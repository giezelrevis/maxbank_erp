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firstSheet="2" activeTab="2"/>
  </bookViews>
  <sheets>
    <sheet name="1" sheetId="3" state="hidden" r:id="rId1"/>
    <sheet name="2" sheetId="5" state="hidden" r:id="rId2"/>
    <sheet name="Bank" sheetId="4" r:id="rId3"/>
  </sheets>
  <definedNames>
    <definedName name="_xlnm.Print_Area" localSheetId="0">'1'!$A$1:$P$23</definedName>
    <definedName name="_xlnm.Print_Area" localSheetId="1">'2'!$A$1:$AO$25</definedName>
    <definedName name="_xlnm.Print_Titles" localSheetId="0">'1'!$A:$H,'1'!$1:$9</definedName>
    <definedName name="_xlnm.Print_Titles" localSheetId="1">'2'!$A:$G,'2'!$1:$9</definedName>
  </definedNames>
  <calcPr calcId="152511" fullCalcOnLoad="1"/>
</workbook>
</file>

<file path=xl/calcChain.xml><?xml version="1.0" encoding="utf-8"?>
<calcChain xmlns="http://schemas.openxmlformats.org/spreadsheetml/2006/main">
  <c r="AH20" i="5" l="1"/>
  <c r="AB20" i="5"/>
  <c r="AN19" i="5"/>
  <c r="AF19" i="5"/>
  <c r="X19" i="5"/>
  <c r="P19" i="5"/>
  <c r="AO19" i="5" s="1"/>
  <c r="P24" i="3"/>
  <c r="AN26" i="5"/>
  <c r="AO26" i="5"/>
  <c r="AF26" i="5"/>
  <c r="X26" i="5"/>
  <c r="P26" i="5"/>
  <c r="U16" i="5"/>
  <c r="U20" i="5" s="1"/>
  <c r="T16" i="5"/>
  <c r="Q16" i="5"/>
  <c r="X16" i="5" s="1"/>
  <c r="P23" i="3"/>
  <c r="P11" i="3"/>
  <c r="P12" i="3"/>
  <c r="I13" i="3"/>
  <c r="P13" i="3" s="1"/>
  <c r="K13" i="3"/>
  <c r="K10" i="3" s="1"/>
  <c r="M13" i="3"/>
  <c r="M10" i="3" s="1"/>
  <c r="M21" i="3" s="1"/>
  <c r="O13" i="3"/>
  <c r="P14" i="3"/>
  <c r="P15" i="3"/>
  <c r="K18" i="3"/>
  <c r="K16" i="3" s="1"/>
  <c r="P16" i="3" s="1"/>
  <c r="M18" i="3"/>
  <c r="M16" i="3"/>
  <c r="O18" i="3"/>
  <c r="O16" i="3"/>
  <c r="P17" i="3"/>
  <c r="P18" i="3"/>
  <c r="P19" i="3"/>
  <c r="P20" i="3"/>
  <c r="I10" i="3"/>
  <c r="I21" i="3" s="1"/>
  <c r="O10" i="3"/>
  <c r="O21" i="3"/>
  <c r="N13" i="3"/>
  <c r="N10" i="3"/>
  <c r="N18" i="3"/>
  <c r="N16" i="3" s="1"/>
  <c r="N21" i="3" s="1"/>
  <c r="L13" i="3"/>
  <c r="L10" i="3"/>
  <c r="L21" i="3"/>
  <c r="L18" i="3"/>
  <c r="L16" i="3"/>
  <c r="J13" i="3"/>
  <c r="J10" i="3"/>
  <c r="J21" i="3" s="1"/>
  <c r="J18" i="3"/>
  <c r="J16" i="3"/>
  <c r="AM16" i="5"/>
  <c r="AN16" i="5" s="1"/>
  <c r="AN17" i="5"/>
  <c r="AN18" i="5"/>
  <c r="AF24" i="5"/>
  <c r="AF25" i="5"/>
  <c r="X24" i="5"/>
  <c r="X25" i="5"/>
  <c r="AO25" i="5"/>
  <c r="W16" i="5"/>
  <c r="X17" i="5"/>
  <c r="X18" i="5"/>
  <c r="P24" i="5"/>
  <c r="AO24" i="5" s="1"/>
  <c r="P25" i="5"/>
  <c r="O16" i="5"/>
  <c r="N16" i="5"/>
  <c r="I10" i="5"/>
  <c r="I20" i="5" s="1"/>
  <c r="J10" i="5"/>
  <c r="K10" i="5"/>
  <c r="K20" i="5" s="1"/>
  <c r="L10" i="5"/>
  <c r="L20" i="5" s="1"/>
  <c r="M10" i="5"/>
  <c r="M20" i="5" s="1"/>
  <c r="N10" i="5"/>
  <c r="N20" i="5" s="1"/>
  <c r="O10" i="5"/>
  <c r="O20" i="5" s="1"/>
  <c r="P10" i="5"/>
  <c r="Q10" i="5"/>
  <c r="R10" i="5"/>
  <c r="R20" i="5" s="1"/>
  <c r="S10" i="5"/>
  <c r="S20" i="5" s="1"/>
  <c r="T10" i="5"/>
  <c r="T20" i="5" s="1"/>
  <c r="U10" i="5"/>
  <c r="V10" i="5"/>
  <c r="W10" i="5"/>
  <c r="W20" i="5" s="1"/>
  <c r="Y10" i="5"/>
  <c r="Y20" i="5" s="1"/>
  <c r="Z10" i="5"/>
  <c r="Z20" i="5" s="1"/>
  <c r="AA10" i="5"/>
  <c r="AF10" i="5" s="1"/>
  <c r="AB10" i="5"/>
  <c r="AC10" i="5"/>
  <c r="AC20" i="5" s="1"/>
  <c r="AD10" i="5"/>
  <c r="AD20" i="5" s="1"/>
  <c r="AE10" i="5"/>
  <c r="AG10" i="5"/>
  <c r="AG20" i="5" s="1"/>
  <c r="AH10" i="5"/>
  <c r="AI10" i="5"/>
  <c r="AN10" i="5" s="1"/>
  <c r="AJ10" i="5"/>
  <c r="AJ20" i="5" s="1"/>
  <c r="AK10" i="5"/>
  <c r="AK20" i="5" s="1"/>
  <c r="AL10" i="5"/>
  <c r="AL20" i="5" s="1"/>
  <c r="AM10" i="5"/>
  <c r="AM20" i="5" s="1"/>
  <c r="P11" i="5"/>
  <c r="X11" i="5"/>
  <c r="AO11" i="5"/>
  <c r="AF11" i="5"/>
  <c r="AN11" i="5"/>
  <c r="P12" i="5"/>
  <c r="AO12" i="5"/>
  <c r="X12" i="5"/>
  <c r="AF12" i="5"/>
  <c r="AN12" i="5"/>
  <c r="J13" i="5"/>
  <c r="J20" i="5" s="1"/>
  <c r="K13" i="5"/>
  <c r="P13" i="5" s="1"/>
  <c r="AO13" i="5" s="1"/>
  <c r="L13" i="5"/>
  <c r="M13" i="5"/>
  <c r="N13" i="5"/>
  <c r="O13" i="5"/>
  <c r="R13" i="5"/>
  <c r="S13" i="5"/>
  <c r="X13" i="5" s="1"/>
  <c r="T13" i="5"/>
  <c r="U13" i="5"/>
  <c r="V13" i="5"/>
  <c r="V20" i="5" s="1"/>
  <c r="W13" i="5"/>
  <c r="Z13" i="5"/>
  <c r="AA13" i="5"/>
  <c r="AB13" i="5"/>
  <c r="AC13" i="5"/>
  <c r="AD13" i="5"/>
  <c r="AE13" i="5"/>
  <c r="AF13" i="5" s="1"/>
  <c r="AH13" i="5"/>
  <c r="AI13" i="5"/>
  <c r="AJ13" i="5"/>
  <c r="AK13" i="5"/>
  <c r="AL13" i="5"/>
  <c r="AM13" i="5"/>
  <c r="P14" i="5"/>
  <c r="AO14" i="5"/>
  <c r="X14" i="5"/>
  <c r="AF14" i="5"/>
  <c r="AN14" i="5"/>
  <c r="P15" i="5"/>
  <c r="AO15" i="5" s="1"/>
  <c r="X15" i="5"/>
  <c r="AF15" i="5"/>
  <c r="AN15" i="5"/>
  <c r="I16" i="5"/>
  <c r="J16" i="5"/>
  <c r="K16" i="5"/>
  <c r="P16" i="5"/>
  <c r="L16" i="5"/>
  <c r="M16" i="5"/>
  <c r="V16" i="5"/>
  <c r="AD16" i="5"/>
  <c r="AE16" i="5"/>
  <c r="AF16" i="5"/>
  <c r="AL16" i="5"/>
  <c r="P17" i="5"/>
  <c r="AF17" i="5"/>
  <c r="AO17" i="5"/>
  <c r="P18" i="5"/>
  <c r="AO18" i="5" s="1"/>
  <c r="AO16" i="5" s="1"/>
  <c r="AF18" i="5"/>
  <c r="AE20" i="5"/>
  <c r="I22" i="5"/>
  <c r="P22" i="5" s="1"/>
  <c r="J22" i="5"/>
  <c r="K22" i="5"/>
  <c r="L22" i="5"/>
  <c r="M22" i="5"/>
  <c r="N22" i="5"/>
  <c r="O22" i="5"/>
  <c r="Q22" i="5"/>
  <c r="X22" i="5" s="1"/>
  <c r="R22" i="5"/>
  <c r="S22" i="5"/>
  <c r="T22" i="5"/>
  <c r="U22" i="5"/>
  <c r="V22" i="5"/>
  <c r="W22" i="5"/>
  <c r="Y22" i="5"/>
  <c r="AF22" i="5" s="1"/>
  <c r="Z22" i="5"/>
  <c r="AA22" i="5"/>
  <c r="AB22" i="5"/>
  <c r="AC22" i="5"/>
  <c r="AD22" i="5"/>
  <c r="AE22" i="5"/>
  <c r="AG22" i="5"/>
  <c r="AN22" i="5" s="1"/>
  <c r="AH22" i="5"/>
  <c r="AI22" i="5"/>
  <c r="AJ22" i="5"/>
  <c r="AK22" i="5"/>
  <c r="AL22" i="5"/>
  <c r="AM22" i="5"/>
  <c r="P23" i="5"/>
  <c r="AO23" i="5" s="1"/>
  <c r="X23" i="5"/>
  <c r="AF23" i="5"/>
  <c r="AN23" i="5"/>
  <c r="AN24" i="5"/>
  <c r="AN25" i="5"/>
  <c r="AN13" i="5"/>
  <c r="P20" i="5" l="1"/>
  <c r="K21" i="3"/>
  <c r="P21" i="3" s="1"/>
  <c r="P10" i="3"/>
  <c r="AO22" i="5"/>
  <c r="AA20" i="5"/>
  <c r="AF20" i="5" s="1"/>
  <c r="Q20" i="5"/>
  <c r="X20" i="5" s="1"/>
  <c r="AI20" i="5"/>
  <c r="AN20" i="5" s="1"/>
  <c r="X10" i="5"/>
  <c r="AO10" i="5" s="1"/>
  <c r="AO20" i="5" l="1"/>
</calcChain>
</file>

<file path=xl/sharedStrings.xml><?xml version="1.0" encoding="utf-8"?>
<sst xmlns="http://schemas.openxmlformats.org/spreadsheetml/2006/main" count="248" uniqueCount="165">
  <si>
    <t>Checks and Other Cash Items</t>
  </si>
  <si>
    <t>Particulars</t>
  </si>
  <si>
    <t>Account Code</t>
  </si>
  <si>
    <t>Peso Accts</t>
  </si>
  <si>
    <t>Foreign Regular</t>
  </si>
  <si>
    <t>FCDU/EFCDU</t>
  </si>
  <si>
    <t>Total</t>
  </si>
  <si>
    <t>In US $</t>
  </si>
  <si>
    <t>Peso Equiv.</t>
  </si>
  <si>
    <t>Resident</t>
  </si>
  <si>
    <t>(1)</t>
  </si>
  <si>
    <t>(2)</t>
  </si>
  <si>
    <t>BSP</t>
  </si>
  <si>
    <t>(3)</t>
  </si>
  <si>
    <t>Banks</t>
  </si>
  <si>
    <t>(a)</t>
  </si>
  <si>
    <t>UBs/KBs</t>
  </si>
  <si>
    <t>(b)</t>
  </si>
  <si>
    <t>Other Banks</t>
  </si>
  <si>
    <t>Non-Resident</t>
  </si>
  <si>
    <t>Central Government/Central Banks</t>
  </si>
  <si>
    <t>OBUs</t>
  </si>
  <si>
    <t>Additional Information</t>
  </si>
  <si>
    <t>Due from PCHC</t>
  </si>
  <si>
    <t>FCDU</t>
  </si>
  <si>
    <t>105100000000100000</t>
  </si>
  <si>
    <t>105100000000121100</t>
  </si>
  <si>
    <t>105100000000130000</t>
  </si>
  <si>
    <t>105100000000140000</t>
  </si>
  <si>
    <t>105100000000141000</t>
  </si>
  <si>
    <t>105100000000142000</t>
  </si>
  <si>
    <t>105100000000200000</t>
  </si>
  <si>
    <t>105100000000210000</t>
  </si>
  <si>
    <t>105100000000230000</t>
  </si>
  <si>
    <t>105100000000231000</t>
  </si>
  <si>
    <t>105100000000232000</t>
  </si>
  <si>
    <t>105100000000000000</t>
  </si>
  <si>
    <t>105100000500600000</t>
  </si>
  <si>
    <t>$$$</t>
  </si>
  <si>
    <t>x</t>
  </si>
  <si>
    <t>Due from Other Banks</t>
  </si>
  <si>
    <t>Classified as to Type of Deposit</t>
  </si>
  <si>
    <t xml:space="preserve">Demand </t>
  </si>
  <si>
    <t>Savings Deposit</t>
  </si>
  <si>
    <t>NOW</t>
  </si>
  <si>
    <t>Time Certificates of Deposit</t>
  </si>
  <si>
    <t>Foreign Offices</t>
  </si>
  <si>
    <t>Resident Banks</t>
  </si>
  <si>
    <t>105200000000140000</t>
  </si>
  <si>
    <t>105200000000141000</t>
  </si>
  <si>
    <t>105200000000142000</t>
  </si>
  <si>
    <t>Non-Resident Banks/OBUs</t>
  </si>
  <si>
    <t>105200000000230000</t>
  </si>
  <si>
    <t>105200000000231000</t>
  </si>
  <si>
    <t>105200000000232000</t>
  </si>
  <si>
    <t>(c)</t>
  </si>
  <si>
    <t>Local Currency</t>
  </si>
  <si>
    <t>105200000000190001</t>
  </si>
  <si>
    <t xml:space="preserve">Foreign Currency </t>
  </si>
  <si>
    <t>105200000000190002</t>
  </si>
  <si>
    <t>105200000000000000</t>
  </si>
  <si>
    <t>Additional Information:</t>
  </si>
  <si>
    <t>A.</t>
  </si>
  <si>
    <t>Classified as to Original Term</t>
  </si>
  <si>
    <t>105200000000610000</t>
  </si>
  <si>
    <t>Short Term (one year or less)</t>
  </si>
  <si>
    <t>105200000000611000</t>
  </si>
  <si>
    <t>Medium Term (&gt;1 year to 5 years)</t>
  </si>
  <si>
    <t>105200000000612100</t>
  </si>
  <si>
    <t>Long Term (&gt;5  years)</t>
  </si>
  <si>
    <t>105200000000612200</t>
  </si>
  <si>
    <t>Government-Philippine Postal Corporation</t>
  </si>
  <si>
    <t>TOTAL</t>
  </si>
  <si>
    <t/>
  </si>
  <si>
    <t>105200000000190000</t>
  </si>
  <si>
    <t>Solo Reports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</si>
  <si>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</si>
  <si>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</si>
  <si>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</si>
  <si>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</si>
  <si>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</si>
  <si>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</si>
  <si>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</si>
  <si>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</si>
  <si>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</si>
  <si>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</si>
  <si>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</si>
  <si>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</si>
  <si>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</si>
  <si>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</si>
  <si>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</si>
  <si>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</si>
  <si>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</si>
  <si>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</si>
  <si>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</si>
  <si>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</si>
  <si>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</si>
  <si>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</si>
  <si>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</si>
  <si>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</si>
  <si>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</si>
  <si>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</si>
  <si>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</si>
  <si>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</si>
  <si>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</si>
  <si>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</si>
  <si>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</si>
  <si>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</si>
  <si>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</si>
  <si>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8888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</si>
  <si>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</si>
  <si>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</si>
  <si>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</si>
  <si>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</si>
  <si>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</si>
  <si>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</si>
  <si>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</si>
  <si>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</si>
  <si>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</si>
  <si>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</si>
  <si>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</si>
  <si>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</si>
  <si>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</si>
  <si>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</si>
  <si>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</si>
  <si>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</si>
  <si>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</si>
  <si>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</si>
  <si>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</si>
  <si>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</si>
  <si>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</si>
  <si>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</si>
  <si>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</si>
  <si>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</si>
  <si>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</si>
  <si>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</si>
  <si>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</si>
  <si>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</si>
  <si>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</si>
  <si>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</si>
  <si>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</si>
  <si>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</si>
  <si>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</si>
  <si>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</si>
  <si>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</si>
  <si>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</si>
  <si>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</si>
  <si>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</si>
  <si>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</si>
  <si>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</si>
  <si>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</si>
  <si>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B.</t>
  </si>
  <si>
    <t>105200000000620000</t>
  </si>
  <si>
    <t>Cash Segregated For Customer Brokering Services</t>
  </si>
  <si>
    <t>105100001000600000</t>
  </si>
  <si>
    <t>Special Reserve Bank Account for Securities Brokers</t>
  </si>
  <si>
    <t>(d)</t>
  </si>
  <si>
    <t>Non-Resident Banks - Clearing and Settlement Account</t>
  </si>
  <si>
    <t>105200000000290000</t>
  </si>
  <si>
    <t>Resident Banks - Clearing and Settlement Account</t>
  </si>
  <si>
    <t>v14.0</t>
  </si>
  <si>
    <t>MAXIMUM SAVINGS BANK, INC.</t>
  </si>
  <si>
    <t>3</t>
  </si>
  <si>
    <t>070011</t>
  </si>
  <si>
    <t>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</si>
</sst>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_);\(0\)"/>
    <numFmt numFmtId="165" formatCode="00000#"/>
    <numFmt numFmtId="173" formatCode="0\-00\-00\-00\-000\-00\-0\-0\-0\-0\-0\-0"/>
  </numFmts>
  <fonts count="14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sz val="7"/>
      <color indexed="10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color indexed="9"/>
      <name val="Arial Narrow"/>
      <family val="2"/>
    </font>
    <font>
      <sz val="10"/>
      <name val="Arial"/>
      <family val="2"/>
    </font>
    <font>
      <sz val="10"/>
      <color rgb="FF00B0F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2" fillId="0" borderId="0"/>
  </cellStyleXfs>
  <cellXfs count="129">
    <xf numFmtId="0" fontId="0" fillId="0" borderId="0" xfId="0"/>
    <xf numFmtId="0" fontId="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vertical="top"/>
    </xf>
    <xf numFmtId="173" fontId="3" fillId="0" borderId="1" xfId="0" applyNumberFormat="1" applyFont="1" applyFill="1" applyBorder="1" applyAlignment="1">
      <alignment horizontal="center" vertical="top"/>
    </xf>
    <xf numFmtId="49" fontId="5" fillId="0" borderId="0" xfId="0" applyNumberFormat="1" applyFont="1" applyFill="1"/>
    <xf numFmtId="0" fontId="3" fillId="0" borderId="0" xfId="0" applyFont="1" applyFill="1" applyAlignment="1">
      <alignment horizontal="center"/>
    </xf>
    <xf numFmtId="0" fontId="6" fillId="0" borderId="0" xfId="0" applyFont="1" applyFill="1"/>
    <xf numFmtId="49" fontId="3" fillId="0" borderId="0" xfId="0" applyNumberFormat="1" applyFont="1" applyFill="1"/>
    <xf numFmtId="0" fontId="3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/>
    </xf>
    <xf numFmtId="4" fontId="7" fillId="0" borderId="1" xfId="0" applyNumberFormat="1" applyFont="1" applyFill="1" applyBorder="1" applyAlignment="1" applyProtection="1">
      <alignment vertical="top"/>
      <protection hidden="1"/>
    </xf>
    <xf numFmtId="0" fontId="6" fillId="0" borderId="0" xfId="0" applyFont="1" applyFill="1" applyAlignment="1">
      <alignment horizontal="center"/>
    </xf>
    <xf numFmtId="4" fontId="3" fillId="0" borderId="1" xfId="0" applyNumberFormat="1" applyFont="1" applyFill="1" applyBorder="1" applyAlignment="1" applyProtection="1">
      <alignment vertical="top"/>
      <protection locked="0"/>
    </xf>
    <xf numFmtId="0" fontId="10" fillId="0" borderId="0" xfId="0" applyFont="1"/>
    <xf numFmtId="0" fontId="10" fillId="0" borderId="0" xfId="0" applyFont="1" applyFill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top"/>
    </xf>
    <xf numFmtId="0" fontId="10" fillId="0" borderId="0" xfId="0" applyFont="1" applyFill="1" applyAlignment="1">
      <alignment vertical="top"/>
    </xf>
    <xf numFmtId="0" fontId="11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" fillId="0" borderId="0" xfId="0" applyFont="1"/>
    <xf numFmtId="49" fontId="10" fillId="0" borderId="0" xfId="0" applyNumberFormat="1" applyFont="1" applyFill="1"/>
    <xf numFmtId="0" fontId="10" fillId="0" borderId="0" xfId="0" applyFont="1" applyAlignment="1">
      <alignment horizontal="center"/>
    </xf>
    <xf numFmtId="4" fontId="1" fillId="0" borderId="0" xfId="0" applyNumberFormat="1" applyFont="1" applyProtection="1">
      <protection hidden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7" fillId="0" borderId="1" xfId="0" applyNumberFormat="1" applyFont="1" applyBorder="1" applyAlignment="1" applyProtection="1">
      <alignment vertical="top"/>
      <protection hidden="1"/>
    </xf>
    <xf numFmtId="165" fontId="3" fillId="0" borderId="1" xfId="0" applyNumberFormat="1" applyFont="1" applyBorder="1" applyAlignment="1">
      <alignment horizontal="center" vertical="top"/>
    </xf>
    <xf numFmtId="165" fontId="3" fillId="0" borderId="1" xfId="0" applyNumberFormat="1" applyFont="1" applyFill="1" applyBorder="1" applyAlignment="1">
      <alignment horizontal="center" vertical="top"/>
    </xf>
    <xf numFmtId="4" fontId="3" fillId="0" borderId="1" xfId="0" applyNumberFormat="1" applyFont="1" applyBorder="1" applyAlignment="1" applyProtection="1">
      <alignment vertical="top"/>
      <protection locked="0"/>
    </xf>
    <xf numFmtId="4" fontId="7" fillId="0" borderId="1" xfId="0" applyNumberFormat="1" applyFont="1" applyBorder="1" applyAlignment="1" applyProtection="1">
      <alignment vertical="top"/>
    </xf>
    <xf numFmtId="4" fontId="7" fillId="0" borderId="1" xfId="0" applyNumberFormat="1" applyFont="1" applyFill="1" applyBorder="1" applyAlignment="1" applyProtection="1">
      <alignment vertical="top"/>
    </xf>
    <xf numFmtId="4" fontId="7" fillId="2" borderId="1" xfId="0" applyNumberFormat="1" applyFont="1" applyFill="1" applyBorder="1" applyAlignment="1" applyProtection="1">
      <alignment vertical="top"/>
    </xf>
    <xf numFmtId="4" fontId="3" fillId="2" borderId="1" xfId="0" applyNumberFormat="1" applyFont="1" applyFill="1" applyBorder="1" applyAlignment="1" applyProtection="1">
      <alignment vertical="top"/>
    </xf>
    <xf numFmtId="4" fontId="3" fillId="0" borderId="1" xfId="0" applyNumberFormat="1" applyFont="1" applyBorder="1" applyAlignment="1" applyProtection="1">
      <alignment vertical="top"/>
    </xf>
    <xf numFmtId="4" fontId="3" fillId="0" borderId="1" xfId="0" applyNumberFormat="1" applyFont="1" applyFill="1" applyBorder="1" applyAlignment="1" applyProtection="1">
      <alignment vertical="top"/>
    </xf>
    <xf numFmtId="4" fontId="4" fillId="2" borderId="1" xfId="0" applyNumberFormat="1" applyFont="1" applyFill="1" applyBorder="1" applyAlignment="1" applyProtection="1">
      <alignment vertical="top"/>
    </xf>
    <xf numFmtId="4" fontId="7" fillId="2" borderId="1" xfId="0" applyNumberFormat="1" applyFont="1" applyFill="1" applyBorder="1" applyAlignment="1" applyProtection="1">
      <alignment vertical="top"/>
      <protection hidden="1"/>
    </xf>
    <xf numFmtId="4" fontId="3" fillId="2" borderId="1" xfId="0" applyNumberFormat="1" applyFont="1" applyFill="1" applyBorder="1" applyAlignment="1" applyProtection="1">
      <alignment vertical="top"/>
      <protection hidden="1"/>
    </xf>
    <xf numFmtId="0" fontId="2" fillId="0" borderId="1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vertical="top"/>
      <protection hidden="1"/>
    </xf>
    <xf numFmtId="49" fontId="3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1" xfId="0" quotePrefix="1" applyNumberFormat="1" applyFont="1" applyFill="1" applyBorder="1" applyAlignment="1" applyProtection="1">
      <alignment vertical="top"/>
      <protection hidden="1"/>
    </xf>
    <xf numFmtId="49" fontId="3" fillId="0" borderId="1" xfId="0" applyNumberFormat="1" applyFont="1" applyFill="1" applyBorder="1" applyAlignment="1" applyProtection="1">
      <alignment vertical="top"/>
      <protection hidden="1"/>
    </xf>
    <xf numFmtId="164" fontId="3" fillId="0" borderId="1" xfId="0" applyNumberFormat="1" applyFont="1" applyFill="1" applyBorder="1" applyAlignment="1" applyProtection="1">
      <alignment vertical="top"/>
      <protection hidden="1"/>
    </xf>
    <xf numFmtId="49" fontId="2" fillId="0" borderId="1" xfId="0" applyNumberFormat="1" applyFont="1" applyFill="1" applyBorder="1" applyAlignment="1" applyProtection="1">
      <alignment vertical="top"/>
      <protection hidden="1"/>
    </xf>
    <xf numFmtId="49" fontId="3" fillId="0" borderId="1" xfId="0" applyNumberFormat="1" applyFont="1" applyFill="1" applyBorder="1" applyAlignment="1" applyProtection="1">
      <alignment horizontal="center" vertical="top"/>
      <protection hidden="1"/>
    </xf>
    <xf numFmtId="0" fontId="3" fillId="0" borderId="1" xfId="0" quotePrefix="1" applyFont="1" applyBorder="1" applyAlignment="1" applyProtection="1">
      <alignment vertical="top"/>
      <protection hidden="1"/>
    </xf>
    <xf numFmtId="0" fontId="3" fillId="0" borderId="1" xfId="0" applyFont="1" applyBorder="1" applyAlignment="1" applyProtection="1">
      <alignment vertical="top"/>
      <protection hidden="1"/>
    </xf>
    <xf numFmtId="49" fontId="3" fillId="0" borderId="1" xfId="0" quotePrefix="1" applyNumberFormat="1" applyFont="1" applyBorder="1" applyAlignment="1" applyProtection="1">
      <alignment horizontal="center" vertical="top"/>
      <protection hidden="1"/>
    </xf>
    <xf numFmtId="0" fontId="3" fillId="0" borderId="1" xfId="0" quotePrefix="1" applyFont="1" applyFill="1" applyBorder="1" applyAlignment="1" applyProtection="1">
      <alignment vertical="top"/>
      <protection hidden="1"/>
    </xf>
    <xf numFmtId="0" fontId="3" fillId="0" borderId="1" xfId="0" quotePrefix="1" applyFont="1" applyBorder="1" applyAlignment="1" applyProtection="1">
      <alignment vertical="top" wrapText="1"/>
      <protection hidden="1"/>
    </xf>
    <xf numFmtId="0" fontId="2" fillId="0" borderId="1" xfId="0" applyFont="1" applyBorder="1" applyAlignment="1" applyProtection="1">
      <alignment vertical="top"/>
      <protection hidden="1"/>
    </xf>
    <xf numFmtId="49" fontId="3" fillId="0" borderId="1" xfId="0" applyNumberFormat="1" applyFont="1" applyBorder="1" applyAlignment="1" applyProtection="1">
      <alignment horizontal="center" vertical="top"/>
      <protection hidden="1"/>
    </xf>
    <xf numFmtId="165" fontId="1" fillId="0" borderId="1" xfId="0" applyNumberFormat="1" applyFont="1" applyBorder="1" applyAlignment="1">
      <alignment horizontal="center" vertical="top"/>
    </xf>
    <xf numFmtId="4" fontId="1" fillId="0" borderId="1" xfId="0" applyNumberFormat="1" applyFont="1" applyFill="1" applyBorder="1" applyAlignment="1" applyProtection="1">
      <alignment vertical="top"/>
      <protection locked="0"/>
    </xf>
    <xf numFmtId="0" fontId="1" fillId="0" borderId="1" xfId="0" applyFont="1" applyBorder="1" applyAlignment="1" applyProtection="1">
      <alignment vertical="top"/>
      <protection hidden="1"/>
    </xf>
    <xf numFmtId="0" fontId="1" fillId="0" borderId="1" xfId="0" quotePrefix="1" applyFont="1" applyBorder="1" applyAlignment="1" applyProtection="1">
      <alignment vertical="top"/>
      <protection hidden="1"/>
    </xf>
    <xf numFmtId="49" fontId="1" fillId="0" borderId="1" xfId="0" quotePrefix="1" applyNumberFormat="1" applyFont="1" applyBorder="1" applyAlignment="1" applyProtection="1">
      <alignment horizontal="center" vertical="top"/>
      <protection hidden="1"/>
    </xf>
    <xf numFmtId="173" fontId="1" fillId="0" borderId="1" xfId="0" applyNumberFormat="1" applyFont="1" applyFill="1" applyBorder="1" applyAlignment="1">
      <alignment horizontal="center" vertical="top"/>
    </xf>
    <xf numFmtId="49" fontId="1" fillId="0" borderId="1" xfId="0" quotePrefix="1" applyNumberFormat="1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1" fillId="0" borderId="1" xfId="1" quotePrefix="1" applyNumberFormat="1" applyFont="1" applyBorder="1" applyAlignment="1" applyProtection="1">
      <alignment horizontal="center" vertical="top"/>
      <protection hidden="1"/>
    </xf>
    <xf numFmtId="0" fontId="1" fillId="0" borderId="1" xfId="1" applyFont="1" applyFill="1" applyBorder="1" applyAlignment="1" applyProtection="1">
      <alignment horizontal="left" vertical="top" wrapText="1"/>
      <protection hidden="1"/>
    </xf>
    <xf numFmtId="0" fontId="1" fillId="0" borderId="1" xfId="1" applyFont="1" applyFill="1" applyBorder="1" applyAlignment="1" applyProtection="1">
      <alignment vertical="top"/>
      <protection hidden="1"/>
    </xf>
    <xf numFmtId="0" fontId="1" fillId="0" borderId="1" xfId="1" quotePrefix="1" applyFont="1" applyFill="1" applyBorder="1" applyAlignment="1" applyProtection="1">
      <alignment vertical="top"/>
      <protection hidden="1"/>
    </xf>
    <xf numFmtId="0" fontId="1" fillId="0" borderId="1" xfId="1" applyFont="1" applyFill="1" applyBorder="1" applyAlignment="1" applyProtection="1">
      <alignment horizontal="left" vertical="top"/>
      <protection hidden="1"/>
    </xf>
    <xf numFmtId="49" fontId="13" fillId="3" borderId="0" xfId="0" applyNumberFormat="1" applyFont="1" applyFill="1" applyProtection="1">
      <protection locked="0"/>
    </xf>
    <xf numFmtId="49" fontId="13" fillId="3" borderId="0" xfId="0" applyNumberFormat="1" applyFont="1" applyFill="1"/>
    <xf numFmtId="0" fontId="13" fillId="3" borderId="0" xfId="0" applyFont="1" applyFill="1"/>
    <xf numFmtId="0" fontId="13" fillId="3" borderId="0" xfId="0" applyFont="1" applyFill="1" applyProtection="1">
      <protection locked="0"/>
    </xf>
    <xf numFmtId="1" fontId="13" fillId="3" borderId="0" xfId="0" applyNumberFormat="1" applyFont="1" applyFill="1"/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5" xfId="0" applyFont="1" applyFill="1" applyBorder="1" applyAlignment="1" applyProtection="1">
      <alignment horizontal="left" vertical="top" wrapText="1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49" fontId="8" fillId="0" borderId="0" xfId="0" applyNumberFormat="1" applyFont="1" applyFill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1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left" vertical="top" wrapText="1"/>
      <protection hidden="1"/>
    </xf>
    <xf numFmtId="0" fontId="2" fillId="0" borderId="7" xfId="0" applyFont="1" applyBorder="1" applyAlignment="1" applyProtection="1">
      <alignment horizontal="center" vertical="center" wrapText="1"/>
      <protection hidden="1"/>
    </xf>
    <xf numFmtId="0" fontId="2" fillId="0" borderId="8" xfId="0" applyFont="1" applyBorder="1" applyAlignment="1" applyProtection="1">
      <alignment horizontal="center" vertical="center" wrapText="1"/>
      <protection hidden="1"/>
    </xf>
    <xf numFmtId="0" fontId="2" fillId="0" borderId="9" xfId="0" applyFont="1" applyBorder="1" applyAlignment="1" applyProtection="1">
      <alignment horizontal="center" vertical="center" wrapText="1"/>
      <protection hidden="1"/>
    </xf>
    <xf numFmtId="0" fontId="2" fillId="0" borderId="13" xfId="0" applyFont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2" fillId="0" borderId="11" xfId="0" applyFont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1" fillId="0" borderId="5" xfId="0" quotePrefix="1" applyFont="1" applyBorder="1" applyAlignment="1" applyProtection="1">
      <alignment horizontal="left" vertical="top" wrapText="1"/>
      <protection hidden="1"/>
    </xf>
    <xf numFmtId="0" fontId="1" fillId="0" borderId="6" xfId="0" quotePrefix="1" applyFont="1" applyBorder="1" applyAlignment="1" applyProtection="1">
      <alignment horizontal="left" vertical="top" wrapText="1"/>
      <protection hidden="1"/>
    </xf>
    <xf numFmtId="0" fontId="9" fillId="0" borderId="0" xfId="0" applyFont="1" applyAlignment="1">
      <alignment horizontal="center"/>
    </xf>
    <xf numFmtId="0" fontId="8" fillId="0" borderId="0" xfId="0" applyFont="1" applyFill="1" applyAlignment="1">
      <alignment horizontal="left"/>
    </xf>
    <xf numFmtId="0" fontId="9" fillId="0" borderId="0" xfId="0" applyFont="1" applyFill="1" applyAlignment="1">
      <alignment horizontal="center"/>
    </xf>
    <xf numFmtId="0" fontId="9" fillId="0" borderId="11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theme/theme1.xml" Type="http://schemas.openxmlformats.org/officeDocument/2006/relationships/theme"/>
<Relationship Id="rId5" Target="styles.xml" Type="http://schemas.openxmlformats.org/officeDocument/2006/relationships/styles"/>
<Relationship Id="rId6" Target="sharedStrings.xml" Type="http://schemas.openxmlformats.org/officeDocument/2006/relationships/sharedStrings"/>
<Relationship Id="rId7" Target="calcChain.xml" Type="http://schemas.openxmlformats.org/officeDocument/2006/relationships/calcChain"/>
<Relationship Id="rId8" Target="vbaProject.bin" Type="http://schemas.microsoft.com/office/2006/relationships/vbaProjec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2"/>
  <sheetViews>
    <sheetView zoomScale="85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customWidth="true" style="9" width="3.0" collapsed="false"/>
    <col min="2" max="2" customWidth="true" style="1" width="3.7109375" collapsed="false"/>
    <col min="3" max="3" customWidth="true" style="1" width="30.85546875" collapsed="false"/>
    <col min="4" max="4" customWidth="true" hidden="true" style="1" width="0.140625" collapsed="false"/>
    <col min="5" max="5" customWidth="true" hidden="true" style="1" width="3.28515625" collapsed="false"/>
    <col min="6" max="6" customWidth="true" hidden="true" style="1" width="17.42578125" collapsed="false"/>
    <col min="7" max="7" bestFit="true" customWidth="true" style="7" width="16.7109375" collapsed="false"/>
    <col min="8" max="8" customWidth="true" hidden="true" style="7" width="22.85546875" collapsed="false"/>
    <col min="9" max="13" customWidth="true" style="1" width="17.7109375" collapsed="false"/>
    <col min="14" max="15" customWidth="true" hidden="true" style="1" width="17.7109375" collapsed="false"/>
    <col min="16" max="16" customWidth="true" style="1" width="17.7109375" collapsed="false"/>
    <col min="17" max="16384" style="1" width="9.140625" collapsed="false"/>
  </cols>
  <sheetData>
    <row r="1" spans="1:16" ht="12.75" x14ac:dyDescent="0.2">
      <c r="A1" s="86" t="s">
        <v>0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</row>
    <row r="2" spans="1:16" hidden="1" x14ac:dyDescent="0.2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</row>
    <row r="3" spans="1:16" hidden="1" x14ac:dyDescent="0.2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</row>
    <row r="4" spans="1:16" hidden="1" x14ac:dyDescent="0.2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</row>
    <row r="5" spans="1:16" hidden="1" x14ac:dyDescent="0.2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</row>
    <row r="6" spans="1:16" hidden="1" x14ac:dyDescent="0.2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</row>
    <row r="7" spans="1:16" x14ac:dyDescent="0.2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</row>
    <row r="8" spans="1:16" x14ac:dyDescent="0.2">
      <c r="A8" s="92" t="s">
        <v>1</v>
      </c>
      <c r="B8" s="93"/>
      <c r="C8" s="93"/>
      <c r="D8" s="93"/>
      <c r="E8" s="93"/>
      <c r="F8" s="94"/>
      <c r="G8" s="90" t="s">
        <v>2</v>
      </c>
      <c r="H8" s="10"/>
      <c r="I8" s="88" t="s">
        <v>3</v>
      </c>
      <c r="J8" s="79" t="s">
        <v>4</v>
      </c>
      <c r="K8" s="80"/>
      <c r="L8" s="81" t="s">
        <v>5</v>
      </c>
      <c r="M8" s="82"/>
      <c r="N8" s="87" t="s">
        <v>46</v>
      </c>
      <c r="O8" s="87"/>
      <c r="P8" s="88" t="s">
        <v>6</v>
      </c>
    </row>
    <row r="9" spans="1:16" x14ac:dyDescent="0.2">
      <c r="A9" s="95"/>
      <c r="B9" s="96"/>
      <c r="C9" s="96"/>
      <c r="D9" s="96"/>
      <c r="E9" s="96"/>
      <c r="F9" s="97"/>
      <c r="G9" s="91"/>
      <c r="H9" s="11"/>
      <c r="I9" s="89"/>
      <c r="J9" s="2" t="s">
        <v>7</v>
      </c>
      <c r="K9" s="3" t="s">
        <v>8</v>
      </c>
      <c r="L9" s="2" t="s">
        <v>7</v>
      </c>
      <c r="M9" s="3" t="s">
        <v>8</v>
      </c>
      <c r="N9" s="11" t="s">
        <v>7</v>
      </c>
      <c r="O9" s="3" t="s">
        <v>8</v>
      </c>
      <c r="P9" s="89"/>
    </row>
    <row r="10" spans="1:16" s="4" customFormat="1" x14ac:dyDescent="0.2">
      <c r="A10" s="45" t="s">
        <v>9</v>
      </c>
      <c r="B10" s="46"/>
      <c r="C10" s="46"/>
      <c r="D10" s="46"/>
      <c r="E10" s="46"/>
      <c r="F10" s="46"/>
      <c r="G10" s="47" t="s">
        <v>25</v>
      </c>
      <c r="H10" s="5"/>
      <c r="I10" s="12">
        <f t="shared" ref="I10:O10" si="0">I11 + I12 + I13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>I10+K10+M10+O10</f>
        <v>0</v>
      </c>
    </row>
    <row r="11" spans="1:16" s="4" customFormat="1" x14ac:dyDescent="0.2">
      <c r="A11" s="48" t="s">
        <v>10</v>
      </c>
      <c r="B11" s="46" t="s">
        <v>71</v>
      </c>
      <c r="C11" s="46"/>
      <c r="D11" s="46"/>
      <c r="E11" s="46"/>
      <c r="F11" s="46"/>
      <c r="G11" s="47" t="s">
        <v>26</v>
      </c>
      <c r="H11" s="5"/>
      <c r="I11" s="14" t="n">
        <v>0.0</v>
      </c>
      <c r="J11" s="14"/>
      <c r="K11" s="14"/>
      <c r="L11" s="14"/>
      <c r="M11" s="14"/>
      <c r="N11" s="14"/>
      <c r="O11" s="14"/>
      <c r="P11" s="12">
        <f t="shared" ref="P11:P24" si="1">I11+K11+M11+O11</f>
        <v>0</v>
      </c>
    </row>
    <row r="12" spans="1:16" s="4" customFormat="1" x14ac:dyDescent="0.2">
      <c r="A12" s="48" t="s">
        <v>11</v>
      </c>
      <c r="B12" s="46" t="s">
        <v>12</v>
      </c>
      <c r="C12" s="46"/>
      <c r="D12" s="46"/>
      <c r="E12" s="46"/>
      <c r="F12" s="46"/>
      <c r="G12" s="47" t="s">
        <v>27</v>
      </c>
      <c r="H12" s="5"/>
      <c r="I12" s="14" t="n">
        <v>0.0</v>
      </c>
      <c r="J12" s="14"/>
      <c r="K12" s="14"/>
      <c r="L12" s="14"/>
      <c r="M12" s="14"/>
      <c r="N12" s="14"/>
      <c r="O12" s="14"/>
      <c r="P12" s="12">
        <f t="shared" si="1"/>
        <v>0</v>
      </c>
    </row>
    <row r="13" spans="1:16" s="4" customFormat="1" x14ac:dyDescent="0.2">
      <c r="A13" s="48" t="s">
        <v>13</v>
      </c>
      <c r="B13" s="46" t="s">
        <v>14</v>
      </c>
      <c r="C13" s="46"/>
      <c r="D13" s="46"/>
      <c r="E13" s="46"/>
      <c r="F13" s="46"/>
      <c r="G13" s="47" t="s">
        <v>28</v>
      </c>
      <c r="H13" s="5"/>
      <c r="I13" s="37">
        <f t="shared" ref="I13:O13" si="2">I14 + I15</f>
        <v>0</v>
      </c>
      <c r="J13" s="37">
        <f t="shared" si="2"/>
        <v>0</v>
      </c>
      <c r="K13" s="37">
        <f t="shared" si="2"/>
        <v>0</v>
      </c>
      <c r="L13" s="37">
        <f t="shared" si="2"/>
        <v>0</v>
      </c>
      <c r="M13" s="37">
        <f t="shared" si="2"/>
        <v>0</v>
      </c>
      <c r="N13" s="37">
        <f t="shared" si="2"/>
        <v>0</v>
      </c>
      <c r="O13" s="37">
        <f t="shared" si="2"/>
        <v>0</v>
      </c>
      <c r="P13" s="12">
        <f t="shared" si="1"/>
        <v>0</v>
      </c>
    </row>
    <row r="14" spans="1:16" s="4" customFormat="1" x14ac:dyDescent="0.2">
      <c r="A14" s="48"/>
      <c r="B14" s="46" t="s">
        <v>15</v>
      </c>
      <c r="C14" s="46" t="s">
        <v>16</v>
      </c>
      <c r="D14" s="46"/>
      <c r="E14" s="46"/>
      <c r="F14" s="46"/>
      <c r="G14" s="47" t="s">
        <v>29</v>
      </c>
      <c r="H14" s="5"/>
      <c r="I14" s="14" t="n">
        <v>313249.34</v>
      </c>
      <c r="J14" s="14"/>
      <c r="K14" s="14"/>
      <c r="L14" s="14"/>
      <c r="M14" s="14"/>
      <c r="N14" s="14"/>
      <c r="O14" s="14"/>
      <c r="P14" s="12">
        <f t="shared" si="1"/>
        <v>0</v>
      </c>
    </row>
    <row r="15" spans="1:16" s="4" customFormat="1" x14ac:dyDescent="0.2">
      <c r="A15" s="49"/>
      <c r="B15" s="46" t="s">
        <v>17</v>
      </c>
      <c r="C15" s="50" t="s">
        <v>18</v>
      </c>
      <c r="D15" s="46"/>
      <c r="E15" s="46"/>
      <c r="F15" s="46"/>
      <c r="G15" s="47" t="s">
        <v>30</v>
      </c>
      <c r="H15" s="5"/>
      <c r="I15" s="14" t="n">
        <v>0.0</v>
      </c>
      <c r="J15" s="14"/>
      <c r="K15" s="14"/>
      <c r="L15" s="14"/>
      <c r="M15" s="14"/>
      <c r="N15" s="14"/>
      <c r="O15" s="14"/>
      <c r="P15" s="12">
        <f t="shared" si="1"/>
        <v>0</v>
      </c>
    </row>
    <row r="16" spans="1:16" s="4" customFormat="1" x14ac:dyDescent="0.2">
      <c r="A16" s="51" t="s">
        <v>19</v>
      </c>
      <c r="B16" s="46"/>
      <c r="C16" s="50"/>
      <c r="D16" s="46"/>
      <c r="E16" s="46"/>
      <c r="F16" s="46"/>
      <c r="G16" s="47" t="s">
        <v>31</v>
      </c>
      <c r="H16" s="5"/>
      <c r="I16" s="38"/>
      <c r="J16" s="37">
        <f t="shared" ref="J16:O16" si="3">J17 + J18</f>
        <v>0</v>
      </c>
      <c r="K16" s="37">
        <f t="shared" si="3"/>
        <v>0</v>
      </c>
      <c r="L16" s="37">
        <f t="shared" si="3"/>
        <v>0</v>
      </c>
      <c r="M16" s="37">
        <f t="shared" si="3"/>
        <v>0</v>
      </c>
      <c r="N16" s="37">
        <f t="shared" si="3"/>
        <v>0</v>
      </c>
      <c r="O16" s="37">
        <f t="shared" si="3"/>
        <v>0</v>
      </c>
      <c r="P16" s="12">
        <f t="shared" si="1"/>
        <v>0</v>
      </c>
    </row>
    <row r="17" spans="1:16" s="4" customFormat="1" x14ac:dyDescent="0.2">
      <c r="A17" s="48" t="s">
        <v>10</v>
      </c>
      <c r="B17" s="46" t="s">
        <v>20</v>
      </c>
      <c r="C17" s="50"/>
      <c r="D17" s="46"/>
      <c r="E17" s="46"/>
      <c r="F17" s="46"/>
      <c r="G17" s="47" t="s">
        <v>32</v>
      </c>
      <c r="H17" s="5"/>
      <c r="I17" s="42"/>
      <c r="J17" s="14"/>
      <c r="K17" s="14"/>
      <c r="L17" s="14"/>
      <c r="M17" s="14"/>
      <c r="N17" s="14"/>
      <c r="O17" s="14"/>
      <c r="P17" s="12">
        <f t="shared" si="1"/>
        <v>0</v>
      </c>
    </row>
    <row r="18" spans="1:16" s="4" customFormat="1" x14ac:dyDescent="0.2">
      <c r="A18" s="48" t="s">
        <v>11</v>
      </c>
      <c r="B18" s="46" t="s">
        <v>14</v>
      </c>
      <c r="C18" s="50"/>
      <c r="D18" s="46"/>
      <c r="E18" s="46"/>
      <c r="F18" s="46"/>
      <c r="G18" s="47" t="s">
        <v>33</v>
      </c>
      <c r="H18" s="5"/>
      <c r="I18" s="38"/>
      <c r="J18" s="37">
        <f t="shared" ref="J18:O18" si="4">J19 + J20</f>
        <v>0</v>
      </c>
      <c r="K18" s="37">
        <f t="shared" si="4"/>
        <v>0</v>
      </c>
      <c r="L18" s="37">
        <f t="shared" si="4"/>
        <v>0</v>
      </c>
      <c r="M18" s="37">
        <f t="shared" si="4"/>
        <v>0</v>
      </c>
      <c r="N18" s="37">
        <f t="shared" si="4"/>
        <v>0</v>
      </c>
      <c r="O18" s="37">
        <f t="shared" si="4"/>
        <v>0</v>
      </c>
      <c r="P18" s="12">
        <f t="shared" si="1"/>
        <v>0</v>
      </c>
    </row>
    <row r="19" spans="1:16" s="4" customFormat="1" x14ac:dyDescent="0.2">
      <c r="A19" s="49"/>
      <c r="B19" s="46" t="s">
        <v>15</v>
      </c>
      <c r="C19" s="50" t="s">
        <v>21</v>
      </c>
      <c r="D19" s="46"/>
      <c r="E19" s="46"/>
      <c r="F19" s="46"/>
      <c r="G19" s="47" t="s">
        <v>34</v>
      </c>
      <c r="H19" s="5"/>
      <c r="I19" s="42"/>
      <c r="J19" s="14"/>
      <c r="K19" s="14"/>
      <c r="L19" s="14"/>
      <c r="M19" s="14"/>
      <c r="N19" s="14"/>
      <c r="O19" s="14"/>
      <c r="P19" s="12">
        <f t="shared" si="1"/>
        <v>0</v>
      </c>
    </row>
    <row r="20" spans="1:16" s="4" customFormat="1" x14ac:dyDescent="0.2">
      <c r="A20" s="49"/>
      <c r="B20" s="46" t="s">
        <v>17</v>
      </c>
      <c r="C20" s="50" t="s">
        <v>18</v>
      </c>
      <c r="D20" s="46"/>
      <c r="E20" s="46"/>
      <c r="F20" s="46"/>
      <c r="G20" s="47" t="s">
        <v>35</v>
      </c>
      <c r="H20" s="5"/>
      <c r="I20" s="42"/>
      <c r="J20" s="14"/>
      <c r="K20" s="14"/>
      <c r="L20" s="14"/>
      <c r="M20" s="14"/>
      <c r="N20" s="14"/>
      <c r="O20" s="14"/>
      <c r="P20" s="12">
        <f t="shared" si="1"/>
        <v>0</v>
      </c>
    </row>
    <row r="21" spans="1:16" s="4" customFormat="1" x14ac:dyDescent="0.2">
      <c r="A21" s="51" t="s">
        <v>72</v>
      </c>
      <c r="B21" s="46"/>
      <c r="C21" s="46"/>
      <c r="D21" s="46"/>
      <c r="E21" s="46"/>
      <c r="F21" s="46"/>
      <c r="G21" s="47" t="s">
        <v>36</v>
      </c>
      <c r="H21" s="5"/>
      <c r="I21" s="37">
        <f t="shared" ref="I21:O21" si="5">I10 + I16</f>
        <v>0</v>
      </c>
      <c r="J21" s="37">
        <f t="shared" si="5"/>
        <v>0</v>
      </c>
      <c r="K21" s="37">
        <f t="shared" si="5"/>
        <v>0</v>
      </c>
      <c r="L21" s="37">
        <f t="shared" si="5"/>
        <v>0</v>
      </c>
      <c r="M21" s="37">
        <f t="shared" si="5"/>
        <v>0</v>
      </c>
      <c r="N21" s="37">
        <f t="shared" si="5"/>
        <v>0</v>
      </c>
      <c r="O21" s="37">
        <f t="shared" si="5"/>
        <v>0</v>
      </c>
      <c r="P21" s="12">
        <f t="shared" si="1"/>
        <v>0</v>
      </c>
    </row>
    <row r="22" spans="1:16" s="4" customFormat="1" x14ac:dyDescent="0.2">
      <c r="A22" s="51" t="s">
        <v>22</v>
      </c>
      <c r="B22" s="46"/>
      <c r="C22" s="50"/>
      <c r="D22" s="46"/>
      <c r="E22" s="46"/>
      <c r="F22" s="46"/>
      <c r="G22" s="52"/>
      <c r="H22" s="5"/>
      <c r="I22" s="41"/>
      <c r="J22" s="41"/>
      <c r="K22" s="41"/>
      <c r="L22" s="41"/>
      <c r="M22" s="41"/>
      <c r="N22" s="41"/>
      <c r="O22" s="41"/>
      <c r="P22" s="12"/>
    </row>
    <row r="23" spans="1:16" s="4" customFormat="1" x14ac:dyDescent="0.2">
      <c r="A23" s="48" t="s">
        <v>10</v>
      </c>
      <c r="B23" s="46" t="s">
        <v>23</v>
      </c>
      <c r="C23" s="50"/>
      <c r="D23" s="46"/>
      <c r="E23" s="46"/>
      <c r="F23" s="46"/>
      <c r="G23" s="47" t="s">
        <v>37</v>
      </c>
      <c r="H23" s="5"/>
      <c r="I23" s="14"/>
      <c r="J23" s="39"/>
      <c r="K23" s="39"/>
      <c r="L23" s="39"/>
      <c r="M23" s="39"/>
      <c r="N23" s="14"/>
      <c r="O23" s="14"/>
      <c r="P23" s="12">
        <f t="shared" si="1"/>
        <v>0</v>
      </c>
    </row>
    <row r="24" spans="1:16" ht="24" customHeight="1" x14ac:dyDescent="0.2">
      <c r="A24" s="66" t="s">
        <v>11</v>
      </c>
      <c r="B24" s="84" t="s">
        <v>153</v>
      </c>
      <c r="C24" s="85"/>
      <c r="D24" s="67"/>
      <c r="E24" s="67"/>
      <c r="F24" s="67"/>
      <c r="G24" s="68" t="s">
        <v>154</v>
      </c>
      <c r="H24" s="65"/>
      <c r="I24" s="14"/>
      <c r="J24" s="14"/>
      <c r="K24" s="14"/>
      <c r="L24" s="39"/>
      <c r="M24" s="39"/>
      <c r="N24" s="61"/>
      <c r="O24" s="61"/>
      <c r="P24" s="12">
        <f t="shared" si="1"/>
        <v>0</v>
      </c>
    </row>
    <row r="25" spans="1:16" x14ac:dyDescent="0.2">
      <c r="A25" s="6"/>
      <c r="G25" s="13" t="s">
        <v>38</v>
      </c>
    </row>
    <row r="129" spans="6:6" x14ac:dyDescent="0.2">
      <c r="F129" s="8" t="s">
        <v>24</v>
      </c>
    </row>
    <row r="130" spans="6:6" x14ac:dyDescent="0.2">
      <c r="F130" s="8"/>
    </row>
    <row r="131" spans="6:6" x14ac:dyDescent="0.2">
      <c r="F131" s="8"/>
    </row>
    <row r="132" spans="6:6" x14ac:dyDescent="0.2">
      <c r="F132" s="8" t="s">
        <v>24</v>
      </c>
    </row>
  </sheetData>
  <sheetProtection password="F3D6" sheet="1" objects="1" scenarios="1" selectLockedCells="1"/>
  <mergeCells count="15">
    <mergeCell ref="A1:P1"/>
    <mergeCell ref="N8:O8"/>
    <mergeCell ref="P8:P9"/>
    <mergeCell ref="G8:G9"/>
    <mergeCell ref="A2:P2"/>
    <mergeCell ref="A7:P7"/>
    <mergeCell ref="A3:P3"/>
    <mergeCell ref="A8:F9"/>
    <mergeCell ref="I8:I9"/>
    <mergeCell ref="J8:K8"/>
    <mergeCell ref="L8:M8"/>
    <mergeCell ref="A4:P4"/>
    <mergeCell ref="A5:P5"/>
    <mergeCell ref="A6:P6"/>
    <mergeCell ref="B24:C24"/>
  </mergeCells>
  <phoneticPr fontId="1" type="noConversion"/>
  <dataValidations count="2">
    <dataValidation allowBlank="1" showInputMessage="1" showErrorMessage="1" sqref="AI24"/>
    <dataValidation type="decimal" operator="greaterThanOrEqual" allowBlank="1" showInputMessage="1" showErrorMessage="1" errorTitle="Invalid entry!" error="Accepts greater than or equal to zero only." sqref="I10:P24">
      <formula1>0</formula1>
    </dataValidation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<![CDATA[&R&"Arial,Bold"&9&USchedule 1_x000D_&U &"Arial,Bold" &P &"Arial,Regular"of &"Arial,Bold"&N&C&"Arial,Bold"&8 MAXIMUM SAVINGS BANK, INC.  [ 03-070011 ]
 As of: June 30, 2019]]>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31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X1"/>
    </sheetView>
  </sheetViews>
  <sheetFormatPr defaultRowHeight="12.75" x14ac:dyDescent="0.25"/>
  <cols>
    <col min="1" max="1" customWidth="true" style="15" width="3.140625" collapsed="false"/>
    <col min="2" max="2" customWidth="true" style="15" width="3.85546875" collapsed="false"/>
    <col min="3" max="3" customWidth="true" style="15" width="38.0" collapsed="false"/>
    <col min="4" max="5" customWidth="true" hidden="true" style="15" width="0.140625" collapsed="false"/>
    <col min="6" max="6" customWidth="true" hidden="true" style="15" width="1.7109375" collapsed="false"/>
    <col min="7" max="7" customWidth="true" style="24" width="18.0" collapsed="false"/>
    <col min="8" max="8" customWidth="true" hidden="true" style="24" width="1.0" collapsed="false"/>
    <col min="9" max="13" customWidth="true" style="22" width="17.7109375" collapsed="false"/>
    <col min="14" max="15" customWidth="true" hidden="true" style="22" width="17.7109375" collapsed="false"/>
    <col min="16" max="21" customWidth="true" style="22" width="17.7109375" collapsed="false"/>
    <col min="22" max="23" customWidth="true" hidden="true" style="22" width="17.7109375" collapsed="false"/>
    <col min="24" max="29" customWidth="true" style="22" width="17.7109375" collapsed="false"/>
    <col min="30" max="31" customWidth="true" hidden="true" style="22" width="17.7109375" collapsed="false"/>
    <col min="32" max="37" customWidth="true" style="22" width="17.7109375" collapsed="false"/>
    <col min="38" max="39" customWidth="true" hidden="true" style="22" width="17.7109375" collapsed="false"/>
    <col min="40" max="41" customWidth="true" style="22" width="17.7109375" collapsed="false"/>
    <col min="42" max="16384" style="15" width="9.140625" collapsed="false"/>
  </cols>
  <sheetData>
    <row r="1" spans="1:41" ht="13.5" x14ac:dyDescent="0.25">
      <c r="A1" s="126" t="s">
        <v>40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</row>
    <row r="2" spans="1:41" ht="13.5" x14ac:dyDescent="0.25">
      <c r="A2" s="126" t="s">
        <v>41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</row>
    <row r="3" spans="1:41" hidden="1" x14ac:dyDescent="0.25">
      <c r="A3" s="125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</row>
    <row r="4" spans="1:41" s="16" customFormat="1" hidden="1" x14ac:dyDescent="0.25">
      <c r="A4" s="125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</row>
    <row r="5" spans="1:41" hidden="1" x14ac:dyDescent="0.25">
      <c r="A5" s="125"/>
      <c r="B5" s="125"/>
      <c r="C5" s="125"/>
      <c r="D5" s="125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  <c r="R5" s="125"/>
      <c r="S5" s="125"/>
      <c r="T5" s="125"/>
      <c r="U5" s="125"/>
      <c r="V5" s="125"/>
      <c r="W5" s="125"/>
      <c r="X5" s="125"/>
      <c r="Y5" s="125"/>
      <c r="Z5" s="125"/>
      <c r="AA5" s="125"/>
      <c r="AB5" s="125"/>
      <c r="AC5" s="125"/>
      <c r="AD5" s="125"/>
      <c r="AE5" s="125"/>
      <c r="AF5" s="125"/>
      <c r="AG5" s="125"/>
      <c r="AH5" s="125"/>
      <c r="AI5" s="125"/>
      <c r="AJ5" s="125"/>
      <c r="AK5" s="125"/>
      <c r="AL5" s="125"/>
      <c r="AM5" s="125"/>
      <c r="AN5" s="125"/>
      <c r="AO5" s="125"/>
    </row>
    <row r="6" spans="1:41" x14ac:dyDescent="0.25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28"/>
      <c r="V6" s="128"/>
      <c r="W6" s="128"/>
      <c r="X6" s="128"/>
      <c r="Y6" s="128"/>
      <c r="Z6" s="128"/>
      <c r="AA6" s="128"/>
      <c r="AB6" s="128"/>
      <c r="AC6" s="128"/>
      <c r="AD6" s="128"/>
      <c r="AE6" s="128"/>
      <c r="AF6" s="128"/>
      <c r="AG6" s="128"/>
      <c r="AH6" s="128"/>
      <c r="AI6" s="128"/>
      <c r="AJ6" s="15"/>
      <c r="AK6" s="15"/>
      <c r="AL6" s="15"/>
      <c r="AM6" s="15"/>
      <c r="AN6" s="15"/>
      <c r="AO6" s="15"/>
    </row>
    <row r="7" spans="1:41" s="17" customFormat="1" x14ac:dyDescent="0.2">
      <c r="A7" s="110" t="s">
        <v>1</v>
      </c>
      <c r="B7" s="111"/>
      <c r="C7" s="111"/>
      <c r="D7" s="111"/>
      <c r="E7" s="111"/>
      <c r="F7" s="112"/>
      <c r="G7" s="119" t="s">
        <v>2</v>
      </c>
      <c r="H7" s="28"/>
      <c r="I7" s="81" t="s">
        <v>42</v>
      </c>
      <c r="J7" s="98"/>
      <c r="K7" s="98"/>
      <c r="L7" s="98"/>
      <c r="M7" s="98"/>
      <c r="N7" s="98"/>
      <c r="O7" s="98"/>
      <c r="P7" s="82"/>
      <c r="Q7" s="104" t="s">
        <v>43</v>
      </c>
      <c r="R7" s="122"/>
      <c r="S7" s="122"/>
      <c r="T7" s="122"/>
      <c r="U7" s="122"/>
      <c r="V7" s="122"/>
      <c r="W7" s="122"/>
      <c r="X7" s="105"/>
      <c r="Y7" s="81" t="s">
        <v>44</v>
      </c>
      <c r="Z7" s="98"/>
      <c r="AA7" s="98"/>
      <c r="AB7" s="98"/>
      <c r="AC7" s="98"/>
      <c r="AD7" s="98"/>
      <c r="AE7" s="98"/>
      <c r="AF7" s="82"/>
      <c r="AG7" s="81" t="s">
        <v>45</v>
      </c>
      <c r="AH7" s="98"/>
      <c r="AI7" s="98"/>
      <c r="AJ7" s="98"/>
      <c r="AK7" s="98"/>
      <c r="AL7" s="98"/>
      <c r="AM7" s="98"/>
      <c r="AN7" s="82"/>
      <c r="AO7" s="99" t="s">
        <v>6</v>
      </c>
    </row>
    <row r="8" spans="1:41" s="17" customFormat="1" ht="21.75" customHeight="1" x14ac:dyDescent="0.2">
      <c r="A8" s="113"/>
      <c r="B8" s="114"/>
      <c r="C8" s="114"/>
      <c r="D8" s="114"/>
      <c r="E8" s="114"/>
      <c r="F8" s="115"/>
      <c r="G8" s="119"/>
      <c r="H8" s="26"/>
      <c r="I8" s="99" t="s">
        <v>3</v>
      </c>
      <c r="J8" s="102" t="s">
        <v>4</v>
      </c>
      <c r="K8" s="103"/>
      <c r="L8" s="104" t="s">
        <v>5</v>
      </c>
      <c r="M8" s="105"/>
      <c r="N8" s="104" t="s">
        <v>46</v>
      </c>
      <c r="O8" s="105"/>
      <c r="P8" s="99" t="s">
        <v>6</v>
      </c>
      <c r="Q8" s="99" t="s">
        <v>3</v>
      </c>
      <c r="R8" s="102" t="s">
        <v>4</v>
      </c>
      <c r="S8" s="103"/>
      <c r="T8" s="104" t="s">
        <v>5</v>
      </c>
      <c r="U8" s="105"/>
      <c r="V8" s="104" t="s">
        <v>46</v>
      </c>
      <c r="W8" s="105"/>
      <c r="X8" s="99" t="s">
        <v>6</v>
      </c>
      <c r="Y8" s="99" t="s">
        <v>3</v>
      </c>
      <c r="Z8" s="102" t="s">
        <v>4</v>
      </c>
      <c r="AA8" s="103"/>
      <c r="AB8" s="104" t="s">
        <v>5</v>
      </c>
      <c r="AC8" s="105"/>
      <c r="AD8" s="104" t="s">
        <v>46</v>
      </c>
      <c r="AE8" s="105"/>
      <c r="AF8" s="99" t="s">
        <v>6</v>
      </c>
      <c r="AG8" s="108" t="s">
        <v>3</v>
      </c>
      <c r="AH8" s="120" t="s">
        <v>4</v>
      </c>
      <c r="AI8" s="121"/>
      <c r="AJ8" s="106" t="s">
        <v>5</v>
      </c>
      <c r="AK8" s="107"/>
      <c r="AL8" s="106" t="s">
        <v>46</v>
      </c>
      <c r="AM8" s="107"/>
      <c r="AN8" s="88" t="s">
        <v>6</v>
      </c>
      <c r="AO8" s="100"/>
    </row>
    <row r="9" spans="1:41" s="17" customFormat="1" x14ac:dyDescent="0.2">
      <c r="A9" s="116"/>
      <c r="B9" s="117"/>
      <c r="C9" s="117"/>
      <c r="D9" s="117"/>
      <c r="E9" s="117"/>
      <c r="F9" s="118"/>
      <c r="G9" s="119"/>
      <c r="H9" s="27"/>
      <c r="I9" s="101"/>
      <c r="J9" s="29" t="s">
        <v>7</v>
      </c>
      <c r="K9" s="30" t="s">
        <v>8</v>
      </c>
      <c r="L9" s="31" t="s">
        <v>7</v>
      </c>
      <c r="M9" s="30" t="s">
        <v>8</v>
      </c>
      <c r="N9" s="31" t="s">
        <v>7</v>
      </c>
      <c r="O9" s="30" t="s">
        <v>8</v>
      </c>
      <c r="P9" s="101"/>
      <c r="Q9" s="101"/>
      <c r="R9" s="29" t="s">
        <v>7</v>
      </c>
      <c r="S9" s="30" t="s">
        <v>8</v>
      </c>
      <c r="T9" s="31" t="s">
        <v>7</v>
      </c>
      <c r="U9" s="30" t="s">
        <v>8</v>
      </c>
      <c r="V9" s="31" t="s">
        <v>7</v>
      </c>
      <c r="W9" s="30" t="s">
        <v>8</v>
      </c>
      <c r="X9" s="101"/>
      <c r="Y9" s="101"/>
      <c r="Z9" s="29" t="s">
        <v>7</v>
      </c>
      <c r="AA9" s="30" t="s">
        <v>8</v>
      </c>
      <c r="AB9" s="31" t="s">
        <v>7</v>
      </c>
      <c r="AC9" s="30" t="s">
        <v>8</v>
      </c>
      <c r="AD9" s="31" t="s">
        <v>7</v>
      </c>
      <c r="AE9" s="30" t="s">
        <v>8</v>
      </c>
      <c r="AF9" s="101"/>
      <c r="AG9" s="89"/>
      <c r="AH9" s="11" t="s">
        <v>7</v>
      </c>
      <c r="AI9" s="3" t="s">
        <v>8</v>
      </c>
      <c r="AJ9" s="2" t="s">
        <v>7</v>
      </c>
      <c r="AK9" s="3" t="s">
        <v>8</v>
      </c>
      <c r="AL9" s="2" t="s">
        <v>7</v>
      </c>
      <c r="AM9" s="3" t="s">
        <v>8</v>
      </c>
      <c r="AN9" s="89"/>
      <c r="AO9" s="101"/>
    </row>
    <row r="10" spans="1:41" s="18" customFormat="1" x14ac:dyDescent="0.2">
      <c r="A10" s="53" t="s">
        <v>15</v>
      </c>
      <c r="B10" s="54" t="s">
        <v>47</v>
      </c>
      <c r="C10" s="54"/>
      <c r="D10" s="54"/>
      <c r="E10" s="54"/>
      <c r="F10" s="54"/>
      <c r="G10" s="47" t="s">
        <v>48</v>
      </c>
      <c r="H10" s="5"/>
      <c r="I10" s="32">
        <f t="shared" ref="I10:O10" si="0">I11 + I12</f>
        <v>0</v>
      </c>
      <c r="J10" s="32">
        <f t="shared" si="0"/>
        <v>0</v>
      </c>
      <c r="K10" s="32">
        <f t="shared" si="0"/>
        <v>0</v>
      </c>
      <c r="L10" s="32">
        <f t="shared" si="0"/>
        <v>0</v>
      </c>
      <c r="M10" s="32">
        <f t="shared" si="0"/>
        <v>0</v>
      </c>
      <c r="N10" s="32">
        <f t="shared" si="0"/>
        <v>0</v>
      </c>
      <c r="O10" s="32">
        <f t="shared" si="0"/>
        <v>0</v>
      </c>
      <c r="P10" s="32">
        <f t="shared" ref="P10:P20" si="1">I10+K10+M10+O10</f>
        <v>0</v>
      </c>
      <c r="Q10" s="12">
        <f t="shared" ref="Q10:W10" si="2">Q11 + Q12</f>
        <v>0</v>
      </c>
      <c r="R10" s="12">
        <f t="shared" si="2"/>
        <v>0</v>
      </c>
      <c r="S10" s="12">
        <f t="shared" si="2"/>
        <v>0</v>
      </c>
      <c r="T10" s="12">
        <f t="shared" si="2"/>
        <v>0</v>
      </c>
      <c r="U10" s="12">
        <f t="shared" si="2"/>
        <v>0</v>
      </c>
      <c r="V10" s="12">
        <f t="shared" si="2"/>
        <v>0</v>
      </c>
      <c r="W10" s="12">
        <f t="shared" si="2"/>
        <v>0</v>
      </c>
      <c r="X10" s="12">
        <f t="shared" ref="X10:X19" si="3">Q10+S10+U10+W10</f>
        <v>0</v>
      </c>
      <c r="Y10" s="12">
        <f t="shared" ref="Y10:AE10" si="4">Y11 + Y12</f>
        <v>0</v>
      </c>
      <c r="Z10" s="12">
        <f t="shared" si="4"/>
        <v>0</v>
      </c>
      <c r="AA10" s="12">
        <f t="shared" si="4"/>
        <v>0</v>
      </c>
      <c r="AB10" s="32">
        <f t="shared" si="4"/>
        <v>0</v>
      </c>
      <c r="AC10" s="32">
        <f t="shared" si="4"/>
        <v>0</v>
      </c>
      <c r="AD10" s="12">
        <f t="shared" si="4"/>
        <v>0</v>
      </c>
      <c r="AE10" s="12">
        <f t="shared" si="4"/>
        <v>0</v>
      </c>
      <c r="AF10" s="32">
        <f t="shared" ref="AF10:AF20" si="5">Y10+AA10+AC10+AE10</f>
        <v>0</v>
      </c>
      <c r="AG10" s="12">
        <f t="shared" ref="AG10:AM10" si="6">AG11 + AG12</f>
        <v>0</v>
      </c>
      <c r="AH10" s="12">
        <f t="shared" si="6"/>
        <v>0</v>
      </c>
      <c r="AI10" s="12">
        <f t="shared" si="6"/>
        <v>0</v>
      </c>
      <c r="AJ10" s="12">
        <f t="shared" si="6"/>
        <v>0</v>
      </c>
      <c r="AK10" s="12">
        <f t="shared" si="6"/>
        <v>0</v>
      </c>
      <c r="AL10" s="12">
        <f t="shared" si="6"/>
        <v>0</v>
      </c>
      <c r="AM10" s="12">
        <f t="shared" si="6"/>
        <v>0</v>
      </c>
      <c r="AN10" s="12">
        <f t="shared" ref="AN10:AN18" si="7">AG10+AI10+AK10+AM10</f>
        <v>0</v>
      </c>
      <c r="AO10" s="32">
        <f t="shared" ref="AO10:AO15" si="8">P10+X10+AF10+AN10</f>
        <v>0</v>
      </c>
    </row>
    <row r="11" spans="1:41" s="18" customFormat="1" x14ac:dyDescent="0.2">
      <c r="A11" s="53"/>
      <c r="B11" s="53" t="s">
        <v>10</v>
      </c>
      <c r="C11" s="54" t="s">
        <v>16</v>
      </c>
      <c r="D11" s="54"/>
      <c r="E11" s="54"/>
      <c r="F11" s="54"/>
      <c r="G11" s="55" t="s">
        <v>49</v>
      </c>
      <c r="H11" s="33"/>
      <c r="I11" s="35" t="n">
        <v>1.18371887004E9</v>
      </c>
      <c r="J11" s="35"/>
      <c r="K11" s="35"/>
      <c r="L11" s="35"/>
      <c r="M11" s="35"/>
      <c r="N11" s="35"/>
      <c r="O11" s="35"/>
      <c r="P11" s="36">
        <f t="shared" si="1"/>
        <v>0</v>
      </c>
      <c r="Q11" s="14" t="n">
        <v>0.0</v>
      </c>
      <c r="R11" s="14"/>
      <c r="S11" s="14"/>
      <c r="T11" s="14"/>
      <c r="U11" s="14"/>
      <c r="V11" s="14"/>
      <c r="W11" s="14"/>
      <c r="X11" s="37">
        <f t="shared" si="3"/>
        <v>0</v>
      </c>
      <c r="Y11" s="14" t="n">
        <v>0.0</v>
      </c>
      <c r="Z11" s="14"/>
      <c r="AA11" s="14"/>
      <c r="AB11" s="35"/>
      <c r="AC11" s="35"/>
      <c r="AD11" s="14"/>
      <c r="AE11" s="14"/>
      <c r="AF11" s="36">
        <f t="shared" si="5"/>
        <v>0</v>
      </c>
      <c r="AG11" s="14" t="n">
        <v>0.0</v>
      </c>
      <c r="AH11" s="14"/>
      <c r="AI11" s="14"/>
      <c r="AJ11" s="14"/>
      <c r="AK11" s="14"/>
      <c r="AL11" s="14"/>
      <c r="AM11" s="14"/>
      <c r="AN11" s="12">
        <f t="shared" si="7"/>
        <v>0</v>
      </c>
      <c r="AO11" s="32">
        <f t="shared" si="8"/>
        <v>0</v>
      </c>
    </row>
    <row r="12" spans="1:41" s="18" customFormat="1" x14ac:dyDescent="0.2">
      <c r="A12" s="53"/>
      <c r="B12" s="53" t="s">
        <v>11</v>
      </c>
      <c r="C12" s="54" t="s">
        <v>18</v>
      </c>
      <c r="D12" s="54"/>
      <c r="E12" s="54"/>
      <c r="F12" s="54"/>
      <c r="G12" s="55" t="s">
        <v>50</v>
      </c>
      <c r="H12" s="33"/>
      <c r="I12" s="35" t="n">
        <v>0.0</v>
      </c>
      <c r="J12" s="35"/>
      <c r="K12" s="35"/>
      <c r="L12" s="35"/>
      <c r="M12" s="35"/>
      <c r="N12" s="35"/>
      <c r="O12" s="35"/>
      <c r="P12" s="36">
        <f t="shared" si="1"/>
        <v>0</v>
      </c>
      <c r="Q12" s="14" t="n">
        <v>0.0</v>
      </c>
      <c r="R12" s="14"/>
      <c r="S12" s="14"/>
      <c r="T12" s="14"/>
      <c r="U12" s="14"/>
      <c r="V12" s="14"/>
      <c r="W12" s="14"/>
      <c r="X12" s="37">
        <f t="shared" si="3"/>
        <v>0</v>
      </c>
      <c r="Y12" s="14" t="n">
        <v>0.0</v>
      </c>
      <c r="Z12" s="14"/>
      <c r="AA12" s="14"/>
      <c r="AB12" s="35"/>
      <c r="AC12" s="35"/>
      <c r="AD12" s="14"/>
      <c r="AE12" s="14"/>
      <c r="AF12" s="36">
        <f t="shared" si="5"/>
        <v>0</v>
      </c>
      <c r="AG12" s="14" t="n">
        <v>0.0</v>
      </c>
      <c r="AH12" s="14"/>
      <c r="AI12" s="14"/>
      <c r="AJ12" s="14"/>
      <c r="AK12" s="14"/>
      <c r="AL12" s="14"/>
      <c r="AM12" s="14"/>
      <c r="AN12" s="12">
        <f t="shared" si="7"/>
        <v>0</v>
      </c>
      <c r="AO12" s="32">
        <f t="shared" si="8"/>
        <v>0</v>
      </c>
    </row>
    <row r="13" spans="1:41" s="18" customFormat="1" x14ac:dyDescent="0.2">
      <c r="A13" s="53" t="s">
        <v>17</v>
      </c>
      <c r="B13" s="54" t="s">
        <v>51</v>
      </c>
      <c r="C13" s="54"/>
      <c r="D13" s="54"/>
      <c r="E13" s="54"/>
      <c r="F13" s="54"/>
      <c r="G13" s="55" t="s">
        <v>52</v>
      </c>
      <c r="H13" s="33"/>
      <c r="I13" s="38"/>
      <c r="J13" s="36">
        <f t="shared" ref="J13:O13" si="9">J14 + J15</f>
        <v>0</v>
      </c>
      <c r="K13" s="36">
        <f t="shared" si="9"/>
        <v>0</v>
      </c>
      <c r="L13" s="36">
        <f t="shared" si="9"/>
        <v>0</v>
      </c>
      <c r="M13" s="36">
        <f t="shared" si="9"/>
        <v>0</v>
      </c>
      <c r="N13" s="36">
        <f t="shared" si="9"/>
        <v>0</v>
      </c>
      <c r="O13" s="36">
        <f t="shared" si="9"/>
        <v>0</v>
      </c>
      <c r="P13" s="36">
        <f t="shared" si="1"/>
        <v>0</v>
      </c>
      <c r="Q13" s="38"/>
      <c r="R13" s="37">
        <f t="shared" ref="R13:W13" si="10">R14 + R15</f>
        <v>0</v>
      </c>
      <c r="S13" s="37">
        <f t="shared" si="10"/>
        <v>0</v>
      </c>
      <c r="T13" s="37">
        <f t="shared" si="10"/>
        <v>0</v>
      </c>
      <c r="U13" s="37">
        <f t="shared" si="10"/>
        <v>0</v>
      </c>
      <c r="V13" s="37">
        <f t="shared" si="10"/>
        <v>0</v>
      </c>
      <c r="W13" s="37">
        <f t="shared" si="10"/>
        <v>0</v>
      </c>
      <c r="X13" s="37">
        <f t="shared" si="3"/>
        <v>0</v>
      </c>
      <c r="Y13" s="38"/>
      <c r="Z13" s="37">
        <f t="shared" ref="Z13:AE13" si="11">Z14 + Z15</f>
        <v>0</v>
      </c>
      <c r="AA13" s="37">
        <f t="shared" si="11"/>
        <v>0</v>
      </c>
      <c r="AB13" s="36">
        <f t="shared" si="11"/>
        <v>0</v>
      </c>
      <c r="AC13" s="36">
        <f t="shared" si="11"/>
        <v>0</v>
      </c>
      <c r="AD13" s="37">
        <f t="shared" si="11"/>
        <v>0</v>
      </c>
      <c r="AE13" s="37">
        <f t="shared" si="11"/>
        <v>0</v>
      </c>
      <c r="AF13" s="36">
        <f t="shared" si="5"/>
        <v>0</v>
      </c>
      <c r="AG13" s="38"/>
      <c r="AH13" s="36">
        <f t="shared" ref="AH13:AM13" si="12">AH14 + AH15</f>
        <v>0</v>
      </c>
      <c r="AI13" s="36">
        <f t="shared" si="12"/>
        <v>0</v>
      </c>
      <c r="AJ13" s="36">
        <f t="shared" si="12"/>
        <v>0</v>
      </c>
      <c r="AK13" s="36">
        <f t="shared" si="12"/>
        <v>0</v>
      </c>
      <c r="AL13" s="37">
        <f t="shared" si="12"/>
        <v>0</v>
      </c>
      <c r="AM13" s="37">
        <f t="shared" si="12"/>
        <v>0</v>
      </c>
      <c r="AN13" s="12">
        <f t="shared" si="7"/>
        <v>0</v>
      </c>
      <c r="AO13" s="32">
        <f t="shared" si="8"/>
        <v>0</v>
      </c>
    </row>
    <row r="14" spans="1:41" s="18" customFormat="1" x14ac:dyDescent="0.2">
      <c r="A14" s="53"/>
      <c r="B14" s="53" t="s">
        <v>10</v>
      </c>
      <c r="C14" s="54" t="s">
        <v>21</v>
      </c>
      <c r="D14" s="54"/>
      <c r="E14" s="54"/>
      <c r="F14" s="54"/>
      <c r="G14" s="55" t="s">
        <v>53</v>
      </c>
      <c r="H14" s="33"/>
      <c r="I14" s="39"/>
      <c r="J14" s="35"/>
      <c r="K14" s="35"/>
      <c r="L14" s="35"/>
      <c r="M14" s="35"/>
      <c r="N14" s="35"/>
      <c r="O14" s="35"/>
      <c r="P14" s="36">
        <f t="shared" si="1"/>
        <v>0</v>
      </c>
      <c r="Q14" s="39"/>
      <c r="R14" s="14"/>
      <c r="S14" s="14"/>
      <c r="T14" s="14"/>
      <c r="U14" s="14"/>
      <c r="V14" s="14"/>
      <c r="W14" s="14"/>
      <c r="X14" s="37">
        <f t="shared" si="3"/>
        <v>0</v>
      </c>
      <c r="Y14" s="39"/>
      <c r="Z14" s="14"/>
      <c r="AA14" s="14"/>
      <c r="AB14" s="35"/>
      <c r="AC14" s="35"/>
      <c r="AD14" s="14"/>
      <c r="AE14" s="14"/>
      <c r="AF14" s="36">
        <f t="shared" si="5"/>
        <v>0</v>
      </c>
      <c r="AG14" s="39"/>
      <c r="AH14" s="35"/>
      <c r="AI14" s="35"/>
      <c r="AJ14" s="35"/>
      <c r="AK14" s="35"/>
      <c r="AL14" s="14"/>
      <c r="AM14" s="14"/>
      <c r="AN14" s="12">
        <f t="shared" si="7"/>
        <v>0</v>
      </c>
      <c r="AO14" s="32">
        <f t="shared" si="8"/>
        <v>0</v>
      </c>
    </row>
    <row r="15" spans="1:41" s="18" customFormat="1" x14ac:dyDescent="0.2">
      <c r="A15" s="53"/>
      <c r="B15" s="53" t="s">
        <v>11</v>
      </c>
      <c r="C15" s="54" t="s">
        <v>18</v>
      </c>
      <c r="D15" s="54"/>
      <c r="E15" s="54"/>
      <c r="F15" s="54"/>
      <c r="G15" s="55" t="s">
        <v>54</v>
      </c>
      <c r="H15" s="33"/>
      <c r="I15" s="39"/>
      <c r="J15" s="35"/>
      <c r="K15" s="35"/>
      <c r="L15" s="35"/>
      <c r="M15" s="35"/>
      <c r="N15" s="35"/>
      <c r="O15" s="35"/>
      <c r="P15" s="36">
        <f t="shared" si="1"/>
        <v>0</v>
      </c>
      <c r="Q15" s="39"/>
      <c r="R15" s="14"/>
      <c r="S15" s="14"/>
      <c r="T15" s="14"/>
      <c r="U15" s="14"/>
      <c r="V15" s="14"/>
      <c r="W15" s="14"/>
      <c r="X15" s="37">
        <f t="shared" si="3"/>
        <v>0</v>
      </c>
      <c r="Y15" s="39"/>
      <c r="Z15" s="14"/>
      <c r="AA15" s="14"/>
      <c r="AB15" s="35"/>
      <c r="AC15" s="35"/>
      <c r="AD15" s="14"/>
      <c r="AE15" s="14"/>
      <c r="AF15" s="36">
        <f t="shared" si="5"/>
        <v>0</v>
      </c>
      <c r="AG15" s="39"/>
      <c r="AH15" s="35"/>
      <c r="AI15" s="35"/>
      <c r="AJ15" s="35"/>
      <c r="AK15" s="35"/>
      <c r="AL15" s="14"/>
      <c r="AM15" s="14"/>
      <c r="AN15" s="12">
        <f t="shared" si="7"/>
        <v>0</v>
      </c>
      <c r="AO15" s="32">
        <f t="shared" si="8"/>
        <v>0</v>
      </c>
    </row>
    <row r="16" spans="1:41" s="18" customFormat="1" x14ac:dyDescent="0.2">
      <c r="A16" s="56" t="s">
        <v>55</v>
      </c>
      <c r="B16" s="71" t="s">
        <v>159</v>
      </c>
      <c r="C16" s="46"/>
      <c r="D16" s="46"/>
      <c r="E16" s="46"/>
      <c r="F16" s="46"/>
      <c r="G16" s="55" t="s">
        <v>74</v>
      </c>
      <c r="H16" s="33"/>
      <c r="I16" s="36">
        <f>I17 + I18</f>
        <v>0</v>
      </c>
      <c r="J16" s="37">
        <f>J18</f>
        <v>0</v>
      </c>
      <c r="K16" s="37">
        <f>K18</f>
        <v>0</v>
      </c>
      <c r="L16" s="37">
        <f>L18</f>
        <v>0</v>
      </c>
      <c r="M16" s="37">
        <f>M18</f>
        <v>0</v>
      </c>
      <c r="N16" s="37">
        <f>N17+N18</f>
        <v>0</v>
      </c>
      <c r="O16" s="37">
        <f>O17+O18</f>
        <v>0</v>
      </c>
      <c r="P16" s="36">
        <f t="shared" si="1"/>
        <v>0</v>
      </c>
      <c r="Q16" s="37">
        <f>Q17+Q18</f>
        <v>0</v>
      </c>
      <c r="R16" s="43"/>
      <c r="S16" s="43"/>
      <c r="T16" s="37">
        <f>T17+T18</f>
        <v>0</v>
      </c>
      <c r="U16" s="37">
        <f>U17+U18</f>
        <v>0</v>
      </c>
      <c r="V16" s="37">
        <f>V17+V18</f>
        <v>0</v>
      </c>
      <c r="W16" s="37">
        <f>W17+W18</f>
        <v>0</v>
      </c>
      <c r="X16" s="37">
        <f t="shared" si="3"/>
        <v>0</v>
      </c>
      <c r="Y16" s="43"/>
      <c r="Z16" s="43"/>
      <c r="AA16" s="43"/>
      <c r="AB16" s="43"/>
      <c r="AC16" s="43"/>
      <c r="AD16" s="37">
        <f>AD17+AD18</f>
        <v>0</v>
      </c>
      <c r="AE16" s="37">
        <f>AE17+AE18</f>
        <v>0</v>
      </c>
      <c r="AF16" s="36">
        <f t="shared" si="5"/>
        <v>0</v>
      </c>
      <c r="AG16" s="38"/>
      <c r="AH16" s="38"/>
      <c r="AI16" s="38"/>
      <c r="AJ16" s="38"/>
      <c r="AK16" s="38"/>
      <c r="AL16" s="37">
        <f>AL17+AL18</f>
        <v>0</v>
      </c>
      <c r="AM16" s="37">
        <f>AM17+AM18</f>
        <v>0</v>
      </c>
      <c r="AN16" s="12">
        <f t="shared" si="7"/>
        <v>0</v>
      </c>
      <c r="AO16" s="32">
        <f>AO17+AO18</f>
        <v>0</v>
      </c>
    </row>
    <row r="17" spans="1:41" s="18" customFormat="1" x14ac:dyDescent="0.2">
      <c r="A17" s="53"/>
      <c r="B17" s="53" t="s">
        <v>10</v>
      </c>
      <c r="C17" s="54" t="s">
        <v>56</v>
      </c>
      <c r="D17" s="54"/>
      <c r="E17" s="54"/>
      <c r="F17" s="54"/>
      <c r="G17" s="55" t="s">
        <v>57</v>
      </c>
      <c r="H17" s="33"/>
      <c r="I17" s="35"/>
      <c r="J17" s="39"/>
      <c r="K17" s="39"/>
      <c r="L17" s="39"/>
      <c r="M17" s="39"/>
      <c r="N17" s="14"/>
      <c r="O17" s="14"/>
      <c r="P17" s="36">
        <f t="shared" si="1"/>
        <v>0</v>
      </c>
      <c r="Q17" s="14"/>
      <c r="R17" s="44"/>
      <c r="S17" s="44"/>
      <c r="T17" s="44"/>
      <c r="U17" s="44"/>
      <c r="V17" s="14"/>
      <c r="W17" s="14"/>
      <c r="X17" s="37">
        <f t="shared" si="3"/>
        <v>0</v>
      </c>
      <c r="Y17" s="44"/>
      <c r="Z17" s="39"/>
      <c r="AA17" s="39"/>
      <c r="AB17" s="39"/>
      <c r="AC17" s="39"/>
      <c r="AD17" s="14"/>
      <c r="AE17" s="14"/>
      <c r="AF17" s="36">
        <f t="shared" si="5"/>
        <v>0</v>
      </c>
      <c r="AG17" s="39"/>
      <c r="AH17" s="39"/>
      <c r="AI17" s="39"/>
      <c r="AJ17" s="39"/>
      <c r="AK17" s="39"/>
      <c r="AL17" s="14"/>
      <c r="AM17" s="14"/>
      <c r="AN17" s="12">
        <f t="shared" si="7"/>
        <v>0</v>
      </c>
      <c r="AO17" s="32">
        <f>P17+X17+AF17+AN17</f>
        <v>0</v>
      </c>
    </row>
    <row r="18" spans="1:41" s="18" customFormat="1" x14ac:dyDescent="0.2">
      <c r="A18" s="53"/>
      <c r="B18" s="57" t="s">
        <v>11</v>
      </c>
      <c r="C18" s="109" t="s">
        <v>58</v>
      </c>
      <c r="D18" s="109"/>
      <c r="E18" s="109"/>
      <c r="F18" s="109"/>
      <c r="G18" s="55" t="s">
        <v>59</v>
      </c>
      <c r="H18" s="33"/>
      <c r="I18" s="39"/>
      <c r="J18" s="35"/>
      <c r="K18" s="35"/>
      <c r="L18" s="35"/>
      <c r="M18" s="35"/>
      <c r="N18" s="35"/>
      <c r="O18" s="35"/>
      <c r="P18" s="36">
        <f t="shared" si="1"/>
        <v>0</v>
      </c>
      <c r="Q18" s="44"/>
      <c r="R18" s="44"/>
      <c r="S18" s="44"/>
      <c r="T18" s="14"/>
      <c r="U18" s="14"/>
      <c r="V18" s="14"/>
      <c r="W18" s="14"/>
      <c r="X18" s="37">
        <f t="shared" si="3"/>
        <v>0</v>
      </c>
      <c r="Y18" s="39"/>
      <c r="Z18" s="44"/>
      <c r="AA18" s="44"/>
      <c r="AB18" s="44"/>
      <c r="AC18" s="44"/>
      <c r="AD18" s="14"/>
      <c r="AE18" s="14"/>
      <c r="AF18" s="36">
        <f t="shared" si="5"/>
        <v>0</v>
      </c>
      <c r="AG18" s="39"/>
      <c r="AH18" s="39"/>
      <c r="AI18" s="39"/>
      <c r="AJ18" s="39"/>
      <c r="AK18" s="39"/>
      <c r="AL18" s="14"/>
      <c r="AM18" s="14"/>
      <c r="AN18" s="12">
        <f t="shared" si="7"/>
        <v>0</v>
      </c>
      <c r="AO18" s="32">
        <f>P18+X18+AF18+AN18</f>
        <v>0</v>
      </c>
    </row>
    <row r="19" spans="1:41" s="18" customFormat="1" x14ac:dyDescent="0.2">
      <c r="A19" s="72" t="s">
        <v>156</v>
      </c>
      <c r="B19" s="72" t="s">
        <v>157</v>
      </c>
      <c r="C19" s="73"/>
      <c r="D19" s="70"/>
      <c r="E19" s="70"/>
      <c r="F19" s="70"/>
      <c r="G19" s="69" t="s">
        <v>158</v>
      </c>
      <c r="H19" s="33"/>
      <c r="I19" s="39"/>
      <c r="J19" s="35"/>
      <c r="K19" s="35"/>
      <c r="L19" s="35"/>
      <c r="M19" s="35"/>
      <c r="N19" s="35"/>
      <c r="O19" s="35"/>
      <c r="P19" s="36">
        <f t="shared" si="1"/>
        <v>0</v>
      </c>
      <c r="Q19" s="44"/>
      <c r="R19" s="44"/>
      <c r="S19" s="44"/>
      <c r="T19" s="14"/>
      <c r="U19" s="14"/>
      <c r="V19" s="14"/>
      <c r="W19" s="14"/>
      <c r="X19" s="37">
        <f t="shared" si="3"/>
        <v>0</v>
      </c>
      <c r="Y19" s="39"/>
      <c r="Z19" s="44"/>
      <c r="AA19" s="44"/>
      <c r="AB19" s="44"/>
      <c r="AC19" s="44"/>
      <c r="AD19" s="14"/>
      <c r="AE19" s="14"/>
      <c r="AF19" s="36">
        <f t="shared" si="5"/>
        <v>0</v>
      </c>
      <c r="AG19" s="39"/>
      <c r="AH19" s="39"/>
      <c r="AI19" s="39"/>
      <c r="AJ19" s="39"/>
      <c r="AK19" s="39"/>
      <c r="AL19" s="14"/>
      <c r="AM19" s="14"/>
      <c r="AN19" s="12">
        <f>AG19+AI19+AK19+AM19</f>
        <v>0</v>
      </c>
      <c r="AO19" s="32">
        <f>P19+X19+AF19+AN19</f>
        <v>0</v>
      </c>
    </row>
    <row r="20" spans="1:41" s="19" customFormat="1" x14ac:dyDescent="0.2">
      <c r="A20" s="45" t="s">
        <v>72</v>
      </c>
      <c r="B20" s="45"/>
      <c r="C20" s="45"/>
      <c r="D20" s="45"/>
      <c r="E20" s="45"/>
      <c r="F20" s="46"/>
      <c r="G20" s="47" t="s">
        <v>60</v>
      </c>
      <c r="H20" s="34"/>
      <c r="I20" s="36">
        <f>I10+I13+I16+I19</f>
        <v>0</v>
      </c>
      <c r="J20" s="36">
        <f>J10+J13+J16+J19</f>
        <v>0</v>
      </c>
      <c r="K20" s="36">
        <f>K10+K13+K16+K19</f>
        <v>0</v>
      </c>
      <c r="L20" s="36">
        <f>L10+L13+L16+L19</f>
        <v>0</v>
      </c>
      <c r="M20" s="36">
        <f>M10+M13+M16+M19</f>
        <v>0</v>
      </c>
      <c r="N20" s="36">
        <f>N10 + N13 + N16</f>
        <v>0</v>
      </c>
      <c r="O20" s="36">
        <f>O10 + O13 + O16</f>
        <v>0</v>
      </c>
      <c r="P20" s="36">
        <f t="shared" si="1"/>
        <v>0</v>
      </c>
      <c r="Q20" s="36">
        <f>Q10+Q13+Q16+Q19</f>
        <v>0</v>
      </c>
      <c r="R20" s="36">
        <f>R10+R13+R16+R19</f>
        <v>0</v>
      </c>
      <c r="S20" s="36">
        <f>S10+S13+S16+S19</f>
        <v>0</v>
      </c>
      <c r="T20" s="36">
        <f>T10+T13+T16+T19</f>
        <v>0</v>
      </c>
      <c r="U20" s="36">
        <f>U10+U13+U16+U19</f>
        <v>0</v>
      </c>
      <c r="V20" s="36">
        <f>V10 + V13 + V16</f>
        <v>0</v>
      </c>
      <c r="W20" s="36">
        <f>W10 + W13 + W16</f>
        <v>0</v>
      </c>
      <c r="X20" s="37">
        <f>Q20+S20+U20+W20</f>
        <v>0</v>
      </c>
      <c r="Y20" s="36">
        <f>Y10+Y13+Y16+Y19</f>
        <v>0</v>
      </c>
      <c r="Z20" s="36">
        <f>Z10+Z13+Z16+Z19</f>
        <v>0</v>
      </c>
      <c r="AA20" s="36">
        <f>AA10+AA13+AA16+AA19</f>
        <v>0</v>
      </c>
      <c r="AB20" s="36">
        <f>AB10+AB13+AB16+AB19</f>
        <v>0</v>
      </c>
      <c r="AC20" s="36">
        <f>AC10+AC13+AC16+AC19</f>
        <v>0</v>
      </c>
      <c r="AD20" s="36">
        <f>AD10 + AD13 + AD16</f>
        <v>0</v>
      </c>
      <c r="AE20" s="36">
        <f>AE10 + AE13 + AE16</f>
        <v>0</v>
      </c>
      <c r="AF20" s="36">
        <f t="shared" si="5"/>
        <v>0</v>
      </c>
      <c r="AG20" s="36">
        <f>AG10+AG13+AG16+AG19</f>
        <v>0</v>
      </c>
      <c r="AH20" s="36">
        <f>AH10+AH13+AH16+AH19</f>
        <v>0</v>
      </c>
      <c r="AI20" s="36">
        <f>AI10+AI13+AI16+AI19</f>
        <v>0</v>
      </c>
      <c r="AJ20" s="36">
        <f>AJ10+AJ13+AJ16+AJ19</f>
        <v>0</v>
      </c>
      <c r="AK20" s="36">
        <f>AK10+AK13+AK16+AK19</f>
        <v>0</v>
      </c>
      <c r="AL20" s="36">
        <f>AL10 + AL13 + AL16</f>
        <v>0</v>
      </c>
      <c r="AM20" s="36">
        <f>AM10 + AM13 + AM16</f>
        <v>0</v>
      </c>
      <c r="AN20" s="12">
        <f>AG20+AI20+AK20+AM20</f>
        <v>0</v>
      </c>
      <c r="AO20" s="32">
        <f>P20+X20+AF20+AN20</f>
        <v>0</v>
      </c>
    </row>
    <row r="21" spans="1:41" s="18" customFormat="1" x14ac:dyDescent="0.2">
      <c r="A21" s="58" t="s">
        <v>61</v>
      </c>
      <c r="B21" s="54"/>
      <c r="C21" s="54"/>
      <c r="D21" s="54"/>
      <c r="E21" s="54"/>
      <c r="F21" s="54"/>
      <c r="G21" s="59"/>
      <c r="H21" s="33"/>
      <c r="I21" s="40"/>
      <c r="J21" s="40"/>
      <c r="K21" s="40"/>
      <c r="L21" s="40"/>
      <c r="M21" s="40"/>
      <c r="N21" s="40"/>
      <c r="O21" s="40"/>
      <c r="P21" s="36"/>
      <c r="Q21" s="40"/>
      <c r="R21" s="40"/>
      <c r="S21" s="40"/>
      <c r="T21" s="40"/>
      <c r="U21" s="40"/>
      <c r="V21" s="40"/>
      <c r="W21" s="40"/>
      <c r="X21" s="36"/>
      <c r="Y21" s="40"/>
      <c r="Z21" s="40"/>
      <c r="AA21" s="40"/>
      <c r="AB21" s="40"/>
      <c r="AC21" s="40"/>
      <c r="AD21" s="40"/>
      <c r="AE21" s="40"/>
      <c r="AF21" s="36"/>
      <c r="AG21" s="41"/>
      <c r="AH21" s="41"/>
      <c r="AI21" s="41"/>
      <c r="AJ21" s="41"/>
      <c r="AK21" s="41"/>
      <c r="AL21" s="40"/>
      <c r="AM21" s="40"/>
      <c r="AN21" s="12"/>
      <c r="AO21" s="32"/>
    </row>
    <row r="22" spans="1:41" s="18" customFormat="1" x14ac:dyDescent="0.2">
      <c r="A22" s="54" t="s">
        <v>62</v>
      </c>
      <c r="B22" s="54" t="s">
        <v>63</v>
      </c>
      <c r="C22" s="54"/>
      <c r="D22" s="54"/>
      <c r="E22" s="54"/>
      <c r="F22" s="54"/>
      <c r="G22" s="55" t="s">
        <v>64</v>
      </c>
      <c r="H22" s="33"/>
      <c r="I22" s="36">
        <f t="shared" ref="I22:O22" si="13">I23 + I24 + I25</f>
        <v>0</v>
      </c>
      <c r="J22" s="36">
        <f t="shared" si="13"/>
        <v>0</v>
      </c>
      <c r="K22" s="36">
        <f t="shared" si="13"/>
        <v>0</v>
      </c>
      <c r="L22" s="36">
        <f t="shared" si="13"/>
        <v>0</v>
      </c>
      <c r="M22" s="36">
        <f t="shared" si="13"/>
        <v>0</v>
      </c>
      <c r="N22" s="36">
        <f t="shared" si="13"/>
        <v>0</v>
      </c>
      <c r="O22" s="36">
        <f t="shared" si="13"/>
        <v>0</v>
      </c>
      <c r="P22" s="36">
        <f>I22+K22+M22+O22</f>
        <v>0</v>
      </c>
      <c r="Q22" s="36">
        <f t="shared" ref="Q22:W22" si="14">Q23 + Q24 + Q25</f>
        <v>0</v>
      </c>
      <c r="R22" s="36">
        <f t="shared" si="14"/>
        <v>0</v>
      </c>
      <c r="S22" s="36">
        <f t="shared" si="14"/>
        <v>0</v>
      </c>
      <c r="T22" s="36">
        <f t="shared" si="14"/>
        <v>0</v>
      </c>
      <c r="U22" s="36">
        <f t="shared" si="14"/>
        <v>0</v>
      </c>
      <c r="V22" s="36">
        <f t="shared" si="14"/>
        <v>0</v>
      </c>
      <c r="W22" s="36">
        <f t="shared" si="14"/>
        <v>0</v>
      </c>
      <c r="X22" s="37">
        <f>Q22+S22+U22+W22</f>
        <v>0</v>
      </c>
      <c r="Y22" s="36">
        <f t="shared" ref="Y22:AE22" si="15">Y23 + Y24 + Y25</f>
        <v>0</v>
      </c>
      <c r="Z22" s="36">
        <f t="shared" si="15"/>
        <v>0</v>
      </c>
      <c r="AA22" s="36">
        <f t="shared" si="15"/>
        <v>0</v>
      </c>
      <c r="AB22" s="36">
        <f t="shared" si="15"/>
        <v>0</v>
      </c>
      <c r="AC22" s="36">
        <f t="shared" si="15"/>
        <v>0</v>
      </c>
      <c r="AD22" s="36">
        <f t="shared" si="15"/>
        <v>0</v>
      </c>
      <c r="AE22" s="36">
        <f t="shared" si="15"/>
        <v>0</v>
      </c>
      <c r="AF22" s="36">
        <f>Y22+AA22+AC22+AE22</f>
        <v>0</v>
      </c>
      <c r="AG22" s="37">
        <f t="shared" ref="AG22:AM22" si="16">AG23 + AG24 + AG25</f>
        <v>0</v>
      </c>
      <c r="AH22" s="37">
        <f t="shared" si="16"/>
        <v>0</v>
      </c>
      <c r="AI22" s="37">
        <f t="shared" si="16"/>
        <v>0</v>
      </c>
      <c r="AJ22" s="37">
        <f t="shared" si="16"/>
        <v>0</v>
      </c>
      <c r="AK22" s="37">
        <f t="shared" si="16"/>
        <v>0</v>
      </c>
      <c r="AL22" s="36">
        <f t="shared" si="16"/>
        <v>0</v>
      </c>
      <c r="AM22" s="36">
        <f t="shared" si="16"/>
        <v>0</v>
      </c>
      <c r="AN22" s="12">
        <f>AG22+AI22+AK22+AM22</f>
        <v>0</v>
      </c>
      <c r="AO22" s="32">
        <f>P22+X22+AF22+AN22</f>
        <v>0</v>
      </c>
    </row>
    <row r="23" spans="1:41" s="18" customFormat="1" x14ac:dyDescent="0.2">
      <c r="A23" s="53"/>
      <c r="B23" s="53" t="s">
        <v>10</v>
      </c>
      <c r="C23" s="54" t="s">
        <v>65</v>
      </c>
      <c r="D23" s="54"/>
      <c r="E23" s="54"/>
      <c r="F23" s="54"/>
      <c r="G23" s="55" t="s">
        <v>66</v>
      </c>
      <c r="H23" s="33"/>
      <c r="I23" s="35" t="n">
        <v>1.18371887004E9</v>
      </c>
      <c r="J23" s="35"/>
      <c r="K23" s="35"/>
      <c r="L23" s="35"/>
      <c r="M23" s="35"/>
      <c r="N23" s="35"/>
      <c r="O23" s="35"/>
      <c r="P23" s="36">
        <f>I23+K23+M23+O23</f>
        <v>0</v>
      </c>
      <c r="Q23" s="35" t="n">
        <v>0.0</v>
      </c>
      <c r="R23" s="35"/>
      <c r="S23" s="35"/>
      <c r="T23" s="35"/>
      <c r="U23" s="35"/>
      <c r="V23" s="35"/>
      <c r="W23" s="35"/>
      <c r="X23" s="37">
        <f>Q23+S23+U23+W23</f>
        <v>0</v>
      </c>
      <c r="Y23" s="35" t="n">
        <v>0.0</v>
      </c>
      <c r="Z23" s="35"/>
      <c r="AA23" s="35"/>
      <c r="AB23" s="35"/>
      <c r="AC23" s="35"/>
      <c r="AD23" s="35"/>
      <c r="AE23" s="35"/>
      <c r="AF23" s="36">
        <f>Y23+AA23+AC23+AE23</f>
        <v>0</v>
      </c>
      <c r="AG23" s="14" t="n">
        <v>0.0</v>
      </c>
      <c r="AH23" s="14"/>
      <c r="AI23" s="14"/>
      <c r="AJ23" s="14"/>
      <c r="AK23" s="14"/>
      <c r="AL23" s="35"/>
      <c r="AM23" s="35"/>
      <c r="AN23" s="12">
        <f>AG23+AI23+AK23+AM23</f>
        <v>0</v>
      </c>
      <c r="AO23" s="32">
        <f>P23+X23+AF23+AN23</f>
        <v>0</v>
      </c>
    </row>
    <row r="24" spans="1:41" s="18" customFormat="1" x14ac:dyDescent="0.2">
      <c r="A24" s="53"/>
      <c r="B24" s="53" t="s">
        <v>11</v>
      </c>
      <c r="C24" s="54" t="s">
        <v>67</v>
      </c>
      <c r="D24" s="54"/>
      <c r="E24" s="54"/>
      <c r="F24" s="54"/>
      <c r="G24" s="55" t="s">
        <v>68</v>
      </c>
      <c r="H24" s="33"/>
      <c r="I24" s="39"/>
      <c r="J24" s="39"/>
      <c r="K24" s="39"/>
      <c r="L24" s="39"/>
      <c r="M24" s="39"/>
      <c r="N24" s="14"/>
      <c r="O24" s="14"/>
      <c r="P24" s="36">
        <f>I24+K24+M24+O24</f>
        <v>0</v>
      </c>
      <c r="Q24" s="39"/>
      <c r="R24" s="39"/>
      <c r="S24" s="39"/>
      <c r="T24" s="39"/>
      <c r="U24" s="39"/>
      <c r="V24" s="14"/>
      <c r="W24" s="14"/>
      <c r="X24" s="37">
        <f>Q24+S24+U24+W24</f>
        <v>0</v>
      </c>
      <c r="Y24" s="39"/>
      <c r="Z24" s="39"/>
      <c r="AA24" s="39"/>
      <c r="AB24" s="39"/>
      <c r="AC24" s="39"/>
      <c r="AD24" s="14"/>
      <c r="AE24" s="14"/>
      <c r="AF24" s="36">
        <f>Y24+AA24+AC24+AE24</f>
        <v>0</v>
      </c>
      <c r="AG24" s="14" t="n">
        <v>0.0</v>
      </c>
      <c r="AH24" s="14"/>
      <c r="AI24" s="14"/>
      <c r="AJ24" s="14"/>
      <c r="AK24" s="14"/>
      <c r="AL24" s="14"/>
      <c r="AM24" s="14"/>
      <c r="AN24" s="12">
        <f>AG24+AI24+AK24+AM24</f>
        <v>0</v>
      </c>
      <c r="AO24" s="32">
        <f>P24+X24+AF24+AN24</f>
        <v>0</v>
      </c>
    </row>
    <row r="25" spans="1:41" s="18" customFormat="1" x14ac:dyDescent="0.2">
      <c r="A25" s="53"/>
      <c r="B25" s="53" t="s">
        <v>13</v>
      </c>
      <c r="C25" s="54" t="s">
        <v>69</v>
      </c>
      <c r="D25" s="54"/>
      <c r="E25" s="54"/>
      <c r="F25" s="54"/>
      <c r="G25" s="55" t="s">
        <v>70</v>
      </c>
      <c r="H25" s="33"/>
      <c r="I25" s="39"/>
      <c r="J25" s="39"/>
      <c r="K25" s="39"/>
      <c r="L25" s="39"/>
      <c r="M25" s="39"/>
      <c r="N25" s="14"/>
      <c r="O25" s="14"/>
      <c r="P25" s="36">
        <f>I25+K25+M25+O25</f>
        <v>0</v>
      </c>
      <c r="Q25" s="39"/>
      <c r="R25" s="39"/>
      <c r="S25" s="39"/>
      <c r="T25" s="39"/>
      <c r="U25" s="39"/>
      <c r="V25" s="14"/>
      <c r="W25" s="14"/>
      <c r="X25" s="37">
        <f>Q25+S25+U25+W25</f>
        <v>0</v>
      </c>
      <c r="Y25" s="39"/>
      <c r="Z25" s="39"/>
      <c r="AA25" s="39"/>
      <c r="AB25" s="39"/>
      <c r="AC25" s="39"/>
      <c r="AD25" s="14"/>
      <c r="AE25" s="14"/>
      <c r="AF25" s="36">
        <f>Y25+AA25+AC25+AE25</f>
        <v>0</v>
      </c>
      <c r="AG25" s="14" t="n">
        <v>0.0</v>
      </c>
      <c r="AH25" s="14"/>
      <c r="AI25" s="14"/>
      <c r="AJ25" s="14"/>
      <c r="AK25" s="14"/>
      <c r="AL25" s="14"/>
      <c r="AM25" s="14"/>
      <c r="AN25" s="12">
        <f>AG25+AI25+AK25+AM25</f>
        <v>0</v>
      </c>
      <c r="AO25" s="32">
        <f>P25+X25+AF25+AN25</f>
        <v>0</v>
      </c>
    </row>
    <row r="26" spans="1:41" s="18" customFormat="1" ht="27.75" customHeight="1" x14ac:dyDescent="0.2">
      <c r="A26" s="63" t="s">
        <v>151</v>
      </c>
      <c r="B26" s="123" t="s">
        <v>155</v>
      </c>
      <c r="C26" s="124"/>
      <c r="D26" s="62"/>
      <c r="E26" s="62"/>
      <c r="F26" s="62"/>
      <c r="G26" s="64" t="s">
        <v>152</v>
      </c>
      <c r="H26" s="60"/>
      <c r="I26" s="35"/>
      <c r="J26" s="35"/>
      <c r="K26" s="35"/>
      <c r="L26" s="39"/>
      <c r="M26" s="39"/>
      <c r="N26" s="61"/>
      <c r="O26" s="61"/>
      <c r="P26" s="12">
        <f>I26+K26+M26+O26</f>
        <v>0</v>
      </c>
      <c r="Q26" s="35"/>
      <c r="R26" s="35"/>
      <c r="S26" s="35"/>
      <c r="T26" s="39"/>
      <c r="U26" s="39"/>
      <c r="V26" s="61"/>
      <c r="W26" s="61"/>
      <c r="X26" s="12">
        <f>Q26+S26+U26+W26</f>
        <v>0</v>
      </c>
      <c r="Y26" s="35"/>
      <c r="Z26" s="35"/>
      <c r="AA26" s="35"/>
      <c r="AB26" s="39"/>
      <c r="AC26" s="39"/>
      <c r="AD26" s="61"/>
      <c r="AE26" s="61"/>
      <c r="AF26" s="12">
        <f>Y26+AA26+AC26+AE26</f>
        <v>0</v>
      </c>
      <c r="AG26" s="35"/>
      <c r="AH26" s="35"/>
      <c r="AI26" s="35"/>
      <c r="AJ26" s="39"/>
      <c r="AK26" s="39"/>
      <c r="AL26" s="61"/>
      <c r="AM26" s="61"/>
      <c r="AN26" s="12">
        <f>AG26+AI26+AK26+AM26</f>
        <v>0</v>
      </c>
      <c r="AO26" s="12">
        <f>P26+X26+AF26+AN26</f>
        <v>0</v>
      </c>
    </row>
    <row r="27" spans="1:41" x14ac:dyDescent="0.25">
      <c r="A27" s="18"/>
      <c r="B27" s="18"/>
      <c r="C27" s="18"/>
      <c r="D27" s="18"/>
      <c r="E27" s="18"/>
      <c r="F27" s="18"/>
      <c r="G27" s="20" t="s">
        <v>38</v>
      </c>
      <c r="H27" s="21"/>
    </row>
    <row r="28" spans="1:41" x14ac:dyDescent="0.25">
      <c r="A28" s="23"/>
    </row>
    <row r="29" spans="1:41" x14ac:dyDescent="0.25">
      <c r="A29" s="23"/>
    </row>
    <row r="31" spans="1:41" x14ac:dyDescent="0.25">
      <c r="Z31" s="25"/>
    </row>
  </sheetData>
  <sheetProtection password="F256" sheet="1" objects="1" scenarios="1" selectLockedCells="1"/>
  <mergeCells count="37">
    <mergeCell ref="B26:C26"/>
    <mergeCell ref="A3:AO3"/>
    <mergeCell ref="A4:AO4"/>
    <mergeCell ref="A5:AO5"/>
    <mergeCell ref="A1:X1"/>
    <mergeCell ref="A2:X2"/>
    <mergeCell ref="Y2:AO2"/>
    <mergeCell ref="Y1:AO1"/>
    <mergeCell ref="A6:AI6"/>
    <mergeCell ref="J8:K8"/>
    <mergeCell ref="I7:P7"/>
    <mergeCell ref="Q7:X7"/>
    <mergeCell ref="Y7:AF7"/>
    <mergeCell ref="I8:I9"/>
    <mergeCell ref="AF8:AF9"/>
    <mergeCell ref="AB8:AC8"/>
    <mergeCell ref="N8:O8"/>
    <mergeCell ref="V8:W8"/>
    <mergeCell ref="C18:F18"/>
    <mergeCell ref="A7:F9"/>
    <mergeCell ref="G7:G9"/>
    <mergeCell ref="AH8:AI8"/>
    <mergeCell ref="L8:M8"/>
    <mergeCell ref="P8:P9"/>
    <mergeCell ref="Z8:AA8"/>
    <mergeCell ref="X8:X9"/>
    <mergeCell ref="Y8:Y9"/>
    <mergeCell ref="AD8:AE8"/>
    <mergeCell ref="AN8:AN9"/>
    <mergeCell ref="AG7:AN7"/>
    <mergeCell ref="AO7:AO9"/>
    <mergeCell ref="Q8:Q9"/>
    <mergeCell ref="R8:S8"/>
    <mergeCell ref="T8:U8"/>
    <mergeCell ref="AJ8:AK8"/>
    <mergeCell ref="AG8:AG9"/>
    <mergeCell ref="AL8:AM8"/>
  </mergeCells>
  <phoneticPr fontId="1" type="noConversion"/>
  <dataValidations count="1">
    <dataValidation type="decimal" operator="greaterThanOrEqual" allowBlank="1" showInputMessage="1" showErrorMessage="1" errorTitle="Invalid entry!" error="Accepts greater than or equal to zero only." sqref="I10:AO26">
      <formula1>0</formula1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<![CDATA[&R&"Arial,Bold"&9&USchedule 2_x000D_&U &"Arial,Bold" &P &"Arial,Regular"of &"Arial,Bold"&N&C&"Arial,Bold"&8 MAXIMUM SAVINGS BANK, INC.  [ 03-070011 ]
 As of: June 30, 2019]]></oddHeader>
  </headerFooter>
  <colBreaks count="1" manualBreakCount="1">
    <brk id="24" max="23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24"/>
  <sheetViews>
    <sheetView tabSelected="1" topLeftCell="B1" workbookViewId="0"/>
  </sheetViews>
  <sheetFormatPr defaultRowHeight="12.75" x14ac:dyDescent="0.2"/>
  <cols>
    <col min="1" max="1" customWidth="true" hidden="true" style="76" width="43.85546875" collapsed="false"/>
    <col min="2" max="16384" style="76" width="9.140625" collapsed="false"/>
  </cols>
  <sheetData>
    <row r="1" spans="1:2" x14ac:dyDescent="0.2">
      <c r="A1" s="74" t="s">
        <v>161</v>
      </c>
      <c r="B1" s="75" t="s">
        <v>73</v>
      </c>
    </row>
    <row r="2" spans="1:2" x14ac:dyDescent="0.2">
      <c r="A2" s="74" t="s">
        <v>162</v>
      </c>
      <c r="B2" s="75" t="s">
        <v>73</v>
      </c>
    </row>
    <row r="3" spans="1:2" x14ac:dyDescent="0.2">
      <c r="A3" s="74" t="s">
        <v>163</v>
      </c>
      <c r="B3" s="75" t="s">
        <v>73</v>
      </c>
    </row>
    <row r="4" spans="1:2" x14ac:dyDescent="0.2">
      <c r="A4" s="74" t="s">
        <v>109</v>
      </c>
      <c r="B4" s="75" t="s">
        <v>73</v>
      </c>
    </row>
    <row r="5" spans="1:2" x14ac:dyDescent="0.2">
      <c r="A5" s="74">
        <v>5</v>
      </c>
      <c r="B5" s="75" t="s">
        <v>73</v>
      </c>
    </row>
    <row r="6" spans="1:2" x14ac:dyDescent="0.2">
      <c r="A6" s="74" t="s">
        <v>164</v>
      </c>
      <c r="B6" s="76" t="s">
        <v>73</v>
      </c>
    </row>
    <row r="7" spans="1:2" x14ac:dyDescent="0.2">
      <c r="A7" s="77">
        <v>20190630</v>
      </c>
      <c r="B7" s="76" t="s">
        <v>73</v>
      </c>
    </row>
    <row r="8" spans="1:2" x14ac:dyDescent="0.2">
      <c r="A8" s="76" t="s">
        <v>75</v>
      </c>
    </row>
    <row r="9" spans="1:2" x14ac:dyDescent="0.2">
      <c r="A9" s="76" t="s">
        <v>160</v>
      </c>
    </row>
    <row r="10" spans="1:2" x14ac:dyDescent="0.2">
      <c r="A10" s="78">
        <v>1</v>
      </c>
    </row>
    <row r="20" spans="1:1" x14ac:dyDescent="0.2">
      <c r="A20" s="76">
        <v>9</v>
      </c>
    </row>
    <row r="21" spans="1:1" x14ac:dyDescent="0.2">
      <c r="A21" s="76">
        <v>2018</v>
      </c>
    </row>
    <row r="50" spans="1:1" x14ac:dyDescent="0.2">
      <c r="A50" s="76" t="s">
        <v>148</v>
      </c>
    </row>
    <row r="51" spans="1:1" x14ac:dyDescent="0.2">
      <c r="A51" s="76" t="s">
        <v>76</v>
      </c>
    </row>
    <row r="52" spans="1:1" x14ac:dyDescent="0.2">
      <c r="A52" s="76" t="s">
        <v>77</v>
      </c>
    </row>
    <row r="53" spans="1:1" x14ac:dyDescent="0.2">
      <c r="A53" s="76" t="s">
        <v>78</v>
      </c>
    </row>
    <row r="54" spans="1:1" x14ac:dyDescent="0.2">
      <c r="A54" s="76" t="s">
        <v>79</v>
      </c>
    </row>
    <row r="55" spans="1:1" x14ac:dyDescent="0.2">
      <c r="A55" s="76" t="s">
        <v>131</v>
      </c>
    </row>
    <row r="56" spans="1:1" x14ac:dyDescent="0.2">
      <c r="A56" s="76" t="s">
        <v>119</v>
      </c>
    </row>
    <row r="57" spans="1:1" x14ac:dyDescent="0.2">
      <c r="A57" s="76" t="s">
        <v>132</v>
      </c>
    </row>
    <row r="58" spans="1:1" x14ac:dyDescent="0.2">
      <c r="A58" s="76" t="s">
        <v>133</v>
      </c>
    </row>
    <row r="59" spans="1:1" x14ac:dyDescent="0.2">
      <c r="A59" s="76" t="s">
        <v>111</v>
      </c>
    </row>
    <row r="60" spans="1:1" x14ac:dyDescent="0.2">
      <c r="A60" s="76" t="s">
        <v>134</v>
      </c>
    </row>
    <row r="61" spans="1:1" x14ac:dyDescent="0.2">
      <c r="A61" s="76" t="s">
        <v>122</v>
      </c>
    </row>
    <row r="62" spans="1:1" x14ac:dyDescent="0.2">
      <c r="A62" s="76" t="s">
        <v>120</v>
      </c>
    </row>
    <row r="63" spans="1:1" x14ac:dyDescent="0.2">
      <c r="A63" s="76" t="s">
        <v>108</v>
      </c>
    </row>
    <row r="64" spans="1:1" x14ac:dyDescent="0.2">
      <c r="A64" s="76" t="s">
        <v>80</v>
      </c>
    </row>
    <row r="65" spans="1:1" x14ac:dyDescent="0.2">
      <c r="A65" s="76" t="s">
        <v>135</v>
      </c>
    </row>
    <row r="66" spans="1:1" x14ac:dyDescent="0.2">
      <c r="A66" s="76" t="s">
        <v>81</v>
      </c>
    </row>
    <row r="67" spans="1:1" x14ac:dyDescent="0.2">
      <c r="A67" s="76" t="s">
        <v>126</v>
      </c>
    </row>
    <row r="68" spans="1:1" x14ac:dyDescent="0.2">
      <c r="A68" s="76" t="s">
        <v>82</v>
      </c>
    </row>
    <row r="69" spans="1:1" x14ac:dyDescent="0.2">
      <c r="A69" s="76" t="s">
        <v>136</v>
      </c>
    </row>
    <row r="70" spans="1:1" x14ac:dyDescent="0.2">
      <c r="A70" s="76" t="s">
        <v>137</v>
      </c>
    </row>
    <row r="71" spans="1:1" x14ac:dyDescent="0.2">
      <c r="A71" s="76" t="s">
        <v>130</v>
      </c>
    </row>
    <row r="72" spans="1:1" x14ac:dyDescent="0.2">
      <c r="A72" s="76" t="s">
        <v>112</v>
      </c>
    </row>
    <row r="73" spans="1:1" x14ac:dyDescent="0.2">
      <c r="A73" s="76" t="s">
        <v>83</v>
      </c>
    </row>
    <row r="74" spans="1:1" x14ac:dyDescent="0.2">
      <c r="A74" s="76" t="s">
        <v>84</v>
      </c>
    </row>
    <row r="75" spans="1:1" x14ac:dyDescent="0.2">
      <c r="A75" s="76" t="s">
        <v>138</v>
      </c>
    </row>
    <row r="76" spans="1:1" x14ac:dyDescent="0.2">
      <c r="A76" s="76" t="s">
        <v>85</v>
      </c>
    </row>
    <row r="77" spans="1:1" x14ac:dyDescent="0.2">
      <c r="A77" s="76" t="s">
        <v>86</v>
      </c>
    </row>
    <row r="78" spans="1:1" x14ac:dyDescent="0.2">
      <c r="A78" s="76" t="s">
        <v>87</v>
      </c>
    </row>
    <row r="79" spans="1:1" x14ac:dyDescent="0.2">
      <c r="A79" s="76" t="s">
        <v>88</v>
      </c>
    </row>
    <row r="80" spans="1:1" x14ac:dyDescent="0.2">
      <c r="A80" s="76" t="s">
        <v>89</v>
      </c>
    </row>
    <row r="81" spans="1:1" x14ac:dyDescent="0.2">
      <c r="A81" s="76" t="s">
        <v>90</v>
      </c>
    </row>
    <row r="82" spans="1:1" x14ac:dyDescent="0.2">
      <c r="A82" s="76" t="s">
        <v>91</v>
      </c>
    </row>
    <row r="83" spans="1:1" x14ac:dyDescent="0.2">
      <c r="A83" s="76" t="s">
        <v>92</v>
      </c>
    </row>
    <row r="84" spans="1:1" x14ac:dyDescent="0.2">
      <c r="A84" s="76" t="s">
        <v>93</v>
      </c>
    </row>
    <row r="85" spans="1:1" x14ac:dyDescent="0.2">
      <c r="A85" s="76" t="s">
        <v>94</v>
      </c>
    </row>
    <row r="86" spans="1:1" x14ac:dyDescent="0.2">
      <c r="A86" s="76" t="s">
        <v>139</v>
      </c>
    </row>
    <row r="87" spans="1:1" x14ac:dyDescent="0.2">
      <c r="A87" s="76" t="s">
        <v>127</v>
      </c>
    </row>
    <row r="88" spans="1:1" x14ac:dyDescent="0.2">
      <c r="A88" s="76" t="s">
        <v>150</v>
      </c>
    </row>
    <row r="89" spans="1:1" x14ac:dyDescent="0.2">
      <c r="A89" s="76" t="s">
        <v>95</v>
      </c>
    </row>
    <row r="90" spans="1:1" x14ac:dyDescent="0.2">
      <c r="A90" s="76" t="s">
        <v>96</v>
      </c>
    </row>
    <row r="91" spans="1:1" x14ac:dyDescent="0.2">
      <c r="A91" s="76" t="s">
        <v>140</v>
      </c>
    </row>
    <row r="92" spans="1:1" x14ac:dyDescent="0.2">
      <c r="A92" s="76" t="s">
        <v>97</v>
      </c>
    </row>
    <row r="93" spans="1:1" x14ac:dyDescent="0.2">
      <c r="A93" s="76" t="s">
        <v>113</v>
      </c>
    </row>
    <row r="94" spans="1:1" x14ac:dyDescent="0.2">
      <c r="A94" s="76" t="s">
        <v>141</v>
      </c>
    </row>
    <row r="95" spans="1:1" x14ac:dyDescent="0.2">
      <c r="A95" s="76" t="s">
        <v>142</v>
      </c>
    </row>
    <row r="96" spans="1:1" x14ac:dyDescent="0.2">
      <c r="A96" s="76" t="s">
        <v>98</v>
      </c>
    </row>
    <row r="97" spans="1:1" x14ac:dyDescent="0.2">
      <c r="A97" s="76" t="s">
        <v>121</v>
      </c>
    </row>
    <row r="98" spans="1:1" x14ac:dyDescent="0.2">
      <c r="A98" s="76" t="s">
        <v>143</v>
      </c>
    </row>
    <row r="99" spans="1:1" x14ac:dyDescent="0.2">
      <c r="A99" s="76" t="s">
        <v>123</v>
      </c>
    </row>
    <row r="100" spans="1:1" x14ac:dyDescent="0.2">
      <c r="A100" s="76" t="s">
        <v>99</v>
      </c>
    </row>
    <row r="101" spans="1:1" x14ac:dyDescent="0.2">
      <c r="A101" s="76" t="s">
        <v>114</v>
      </c>
    </row>
    <row r="102" spans="1:1" x14ac:dyDescent="0.2">
      <c r="A102" s="76" t="s">
        <v>100</v>
      </c>
    </row>
    <row r="103" spans="1:1" x14ac:dyDescent="0.2">
      <c r="A103" s="76" t="s">
        <v>115</v>
      </c>
    </row>
    <row r="104" spans="1:1" x14ac:dyDescent="0.2">
      <c r="A104" s="76" t="s">
        <v>118</v>
      </c>
    </row>
    <row r="105" spans="1:1" x14ac:dyDescent="0.2">
      <c r="A105" s="76" t="s">
        <v>128</v>
      </c>
    </row>
    <row r="106" spans="1:1" x14ac:dyDescent="0.2">
      <c r="A106" s="76" t="s">
        <v>144</v>
      </c>
    </row>
    <row r="107" spans="1:1" x14ac:dyDescent="0.2">
      <c r="A107" s="76" t="s">
        <v>125</v>
      </c>
    </row>
    <row r="108" spans="1:1" x14ac:dyDescent="0.2">
      <c r="A108" s="76" t="s">
        <v>101</v>
      </c>
    </row>
    <row r="109" spans="1:1" x14ac:dyDescent="0.2">
      <c r="A109" s="76" t="s">
        <v>110</v>
      </c>
    </row>
    <row r="110" spans="1:1" x14ac:dyDescent="0.2">
      <c r="A110" s="76" t="s">
        <v>129</v>
      </c>
    </row>
    <row r="111" spans="1:1" x14ac:dyDescent="0.2">
      <c r="A111" s="76" t="s">
        <v>116</v>
      </c>
    </row>
    <row r="112" spans="1:1" x14ac:dyDescent="0.2">
      <c r="A112" s="76" t="s">
        <v>102</v>
      </c>
    </row>
    <row r="113" spans="1:1" x14ac:dyDescent="0.2">
      <c r="A113" s="76" t="s">
        <v>124</v>
      </c>
    </row>
    <row r="114" spans="1:1" x14ac:dyDescent="0.2">
      <c r="A114" s="76" t="s">
        <v>145</v>
      </c>
    </row>
    <row r="115" spans="1:1" x14ac:dyDescent="0.2">
      <c r="A115" s="76" t="s">
        <v>103</v>
      </c>
    </row>
    <row r="116" spans="1:1" x14ac:dyDescent="0.2">
      <c r="A116" s="76" t="s">
        <v>149</v>
      </c>
    </row>
    <row r="117" spans="1:1" x14ac:dyDescent="0.2">
      <c r="A117" s="76" t="s">
        <v>104</v>
      </c>
    </row>
    <row r="118" spans="1:1" x14ac:dyDescent="0.2">
      <c r="A118" s="76" t="s">
        <v>105</v>
      </c>
    </row>
    <row r="119" spans="1:1" x14ac:dyDescent="0.2">
      <c r="A119" s="76" t="s">
        <v>106</v>
      </c>
    </row>
    <row r="120" spans="1:1" x14ac:dyDescent="0.2">
      <c r="A120" s="76" t="s">
        <v>147</v>
      </c>
    </row>
    <row r="121" spans="1:1" x14ac:dyDescent="0.2">
      <c r="A121" s="76" t="s">
        <v>117</v>
      </c>
    </row>
    <row r="122" spans="1:1" x14ac:dyDescent="0.2">
      <c r="A122" s="76" t="s">
        <v>146</v>
      </c>
    </row>
    <row r="123" spans="1:1" x14ac:dyDescent="0.2">
      <c r="A123" s="76" t="s">
        <v>107</v>
      </c>
    </row>
    <row r="124" spans="1:1" x14ac:dyDescent="0.2">
      <c r="A124" s="76" t="s">
        <v>39</v>
      </c>
    </row>
  </sheetData>
  <sheetProtection password="CF79"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</vt:lpstr>
      <vt:lpstr>2</vt:lpstr>
      <vt:lpstr>Bank</vt:lpstr>
      <vt:lpstr>'1'!Print_Area</vt:lpstr>
      <vt:lpstr>'2'!Print_Area</vt:lpstr>
      <vt:lpstr>'1'!Print_Titles</vt:lpstr>
      <vt:lpstr>'2'!Print_Titles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2005-10-26T00:16:26Z</dcterms:created>
  <dc:creator>Windows User</dc:creator>
  <cp:lastModifiedBy>Windows User</cp:lastModifiedBy>
  <cp:lastPrinted>2006-02-27T06:04:18Z</cp:lastPrinted>
  <dcterms:modified xsi:type="dcterms:W3CDTF">2019-09-20T05:57:27Z</dcterms:modified>
</cp:coreProperties>
</file>