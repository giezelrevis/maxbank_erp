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>
    <mc:Choice Requires="x15">
      <x15ac:absPath xmlns:x15ac="http://schemas.microsoft.com/office/spreadsheetml/2010/11/ac" url="C:\Users\Admin\Desktop\September_Maxbank\ERP-MAXBANK\templates\FRP_v12dot0\"/>
    </mc:Choice>
  </mc:AlternateContent>
  <workbookProtection workbookPassword="E37A" lockStructure="1"/>
  <bookViews>
    <workbookView xWindow="0" yWindow="0" windowWidth="20490" windowHeight="7755" firstSheet="2" activeTab="2"/>
  </bookViews>
  <sheets>
    <sheet name="22" sheetId="1" state="hidden" r:id="rId1"/>
    <sheet name="22A" sheetId="2" state="hidden" r:id="rId2"/>
    <sheet name="Bank" sheetId="5" r:id="rId3"/>
  </sheets>
  <definedNames>
    <definedName name="_xlnm.Print_Area" localSheetId="0">'22'!$A$1:$AW$47</definedName>
    <definedName name="_xlnm.Print_Area" localSheetId="1">'22A'!$A$1:$BD$39</definedName>
    <definedName name="_xlnm.Print_Titles" localSheetId="0">'22'!$A:$H,'22'!$1:$9</definedName>
    <definedName name="_xlnm.Print_Titles" localSheetId="1">'22A'!$A:$H,'22A'!$1:$9</definedName>
  </definedNames>
  <calcPr calcId="152511"/>
</workbook>
</file>

<file path=xl/calcChain.xml><?xml version="1.0" encoding="utf-8"?>
<calcChain xmlns="http://schemas.openxmlformats.org/spreadsheetml/2006/main">
  <c r="BB37" i="2" l="1"/>
  <c r="CH37" i="2" s="1"/>
  <c r="AY37" i="2"/>
  <c r="CE37" i="2" s="1"/>
  <c r="AW37" i="2"/>
  <c r="CC37" i="2" s="1"/>
  <c r="CB34" i="2"/>
  <c r="CA34" i="2"/>
  <c r="BZ34" i="2"/>
  <c r="BD33" i="2"/>
  <c r="CJ33" i="2"/>
  <c r="BC33" i="2"/>
  <c r="CI33" i="2" s="1"/>
  <c r="BB33" i="2"/>
  <c r="CH33" i="2" s="1"/>
  <c r="BA33" i="2"/>
  <c r="CG33" i="2" s="1"/>
  <c r="AZ33" i="2"/>
  <c r="CF33" i="2" s="1"/>
  <c r="AY33" i="2"/>
  <c r="CE33" i="2" s="1"/>
  <c r="AX33" i="2"/>
  <c r="CD33" i="2" s="1"/>
  <c r="AW33" i="2"/>
  <c r="CC33" i="2" s="1"/>
  <c r="BD32" i="2"/>
  <c r="CJ32" i="2"/>
  <c r="BC32" i="2"/>
  <c r="CI32" i="2" s="1"/>
  <c r="BB32" i="2"/>
  <c r="CH32" i="2" s="1"/>
  <c r="BA32" i="2"/>
  <c r="CG32" i="2" s="1"/>
  <c r="AZ32" i="2"/>
  <c r="CF32" i="2" s="1"/>
  <c r="AY32" i="2"/>
  <c r="CE32" i="2" s="1"/>
  <c r="AX32" i="2"/>
  <c r="CD32" i="2" s="1"/>
  <c r="AW32" i="2"/>
  <c r="CC32" i="2" s="1"/>
  <c r="BD31" i="2"/>
  <c r="CJ31" i="2"/>
  <c r="BC31" i="2"/>
  <c r="CI31" i="2" s="1"/>
  <c r="BB31" i="2"/>
  <c r="CH31" i="2" s="1"/>
  <c r="BA31" i="2"/>
  <c r="CG31" i="2" s="1"/>
  <c r="AZ31" i="2"/>
  <c r="CF31" i="2" s="1"/>
  <c r="AY31" i="2"/>
  <c r="CE31" i="2" s="1"/>
  <c r="AX31" i="2"/>
  <c r="CD31" i="2" s="1"/>
  <c r="AW31" i="2"/>
  <c r="CC31" i="2" s="1"/>
  <c r="BD30" i="2"/>
  <c r="CJ30" i="2"/>
  <c r="BC30" i="2"/>
  <c r="CI30" i="2" s="1"/>
  <c r="BB30" i="2"/>
  <c r="CH30" i="2" s="1"/>
  <c r="BA30" i="2"/>
  <c r="CG30" i="2" s="1"/>
  <c r="AZ30" i="2"/>
  <c r="CF30" i="2" s="1"/>
  <c r="AY30" i="2"/>
  <c r="CE30" i="2" s="1"/>
  <c r="AX30" i="2"/>
  <c r="CD30" i="2" s="1"/>
  <c r="AW30" i="2"/>
  <c r="CC30" i="2" s="1"/>
  <c r="BD29" i="2"/>
  <c r="CJ29" i="2"/>
  <c r="BC29" i="2"/>
  <c r="CI29" i="2" s="1"/>
  <c r="BB29" i="2"/>
  <c r="CH29" i="2" s="1"/>
  <c r="BA29" i="2"/>
  <c r="CG29" i="2" s="1"/>
  <c r="AZ29" i="2"/>
  <c r="CF29" i="2" s="1"/>
  <c r="AY29" i="2"/>
  <c r="CE29" i="2" s="1"/>
  <c r="AX29" i="2"/>
  <c r="CD29" i="2" s="1"/>
  <c r="AW29" i="2"/>
  <c r="CC29" i="2" s="1"/>
  <c r="BD28" i="2"/>
  <c r="CJ28" i="2"/>
  <c r="BC28" i="2"/>
  <c r="CI28" i="2" s="1"/>
  <c r="BB28" i="2"/>
  <c r="CH28" i="2" s="1"/>
  <c r="BA28" i="2"/>
  <c r="CG28" i="2" s="1"/>
  <c r="AZ28" i="2"/>
  <c r="CF28" i="2" s="1"/>
  <c r="AY28" i="2"/>
  <c r="CE28" i="2" s="1"/>
  <c r="AX28" i="2"/>
  <c r="CD28" i="2" s="1"/>
  <c r="AW28" i="2"/>
  <c r="CC28" i="2" s="1"/>
  <c r="BD27" i="2"/>
  <c r="CJ27" i="2"/>
  <c r="BC27" i="2"/>
  <c r="CI27" i="2" s="1"/>
  <c r="BB27" i="2"/>
  <c r="CH27" i="2" s="1"/>
  <c r="BA27" i="2"/>
  <c r="CG27" i="2" s="1"/>
  <c r="AZ27" i="2"/>
  <c r="CF27" i="2" s="1"/>
  <c r="AY27" i="2"/>
  <c r="CE27" i="2" s="1"/>
  <c r="AX27" i="2"/>
  <c r="CD27" i="2" s="1"/>
  <c r="AW27" i="2"/>
  <c r="CC27" i="2" s="1"/>
  <c r="BD26" i="2"/>
  <c r="CJ26" i="2"/>
  <c r="BC26" i="2"/>
  <c r="CI26" i="2" s="1"/>
  <c r="BB26" i="2"/>
  <c r="CH26" i="2" s="1"/>
  <c r="BA26" i="2"/>
  <c r="CG26" i="2" s="1"/>
  <c r="AZ26" i="2"/>
  <c r="CF26" i="2" s="1"/>
  <c r="AY26" i="2"/>
  <c r="CE26" i="2" s="1"/>
  <c r="AX26" i="2"/>
  <c r="CD26" i="2" s="1"/>
  <c r="AW26" i="2"/>
  <c r="CC26" i="2" s="1"/>
  <c r="BD25" i="2"/>
  <c r="CJ25" i="2"/>
  <c r="BC25" i="2"/>
  <c r="CI25" i="2" s="1"/>
  <c r="BB25" i="2"/>
  <c r="CH25" i="2" s="1"/>
  <c r="BA25" i="2"/>
  <c r="CG25" i="2" s="1"/>
  <c r="AZ25" i="2"/>
  <c r="CF25" i="2" s="1"/>
  <c r="AY25" i="2"/>
  <c r="CE25" i="2" s="1"/>
  <c r="AX25" i="2"/>
  <c r="CD25" i="2" s="1"/>
  <c r="AW25" i="2"/>
  <c r="CC25" i="2" s="1"/>
  <c r="BD24" i="2"/>
  <c r="CJ24" i="2"/>
  <c r="BC24" i="2"/>
  <c r="CI24" i="2" s="1"/>
  <c r="BB24" i="2"/>
  <c r="CH24" i="2" s="1"/>
  <c r="BA24" i="2"/>
  <c r="CG24" i="2" s="1"/>
  <c r="AZ24" i="2"/>
  <c r="CF24" i="2" s="1"/>
  <c r="AY24" i="2"/>
  <c r="CE24" i="2" s="1"/>
  <c r="AX24" i="2"/>
  <c r="CD24" i="2" s="1"/>
  <c r="AW24" i="2"/>
  <c r="CC24" i="2" s="1"/>
  <c r="BD23" i="2"/>
  <c r="CJ23" i="2"/>
  <c r="BC23" i="2"/>
  <c r="CI23" i="2" s="1"/>
  <c r="BB23" i="2"/>
  <c r="CH23" i="2" s="1"/>
  <c r="BA23" i="2"/>
  <c r="CG23" i="2" s="1"/>
  <c r="AZ23" i="2"/>
  <c r="CF23" i="2" s="1"/>
  <c r="AY23" i="2"/>
  <c r="CE23" i="2" s="1"/>
  <c r="AX23" i="2"/>
  <c r="CD23" i="2" s="1"/>
  <c r="AW23" i="2"/>
  <c r="CC23" i="2" s="1"/>
  <c r="BD22" i="2"/>
  <c r="CJ22" i="2"/>
  <c r="BC22" i="2"/>
  <c r="CI22" i="2" s="1"/>
  <c r="BB22" i="2"/>
  <c r="CH22" i="2" s="1"/>
  <c r="BA22" i="2"/>
  <c r="CG22" i="2" s="1"/>
  <c r="AZ22" i="2"/>
  <c r="CF22" i="2" s="1"/>
  <c r="AY22" i="2"/>
  <c r="CE22" i="2" s="1"/>
  <c r="AX22" i="2"/>
  <c r="CD22" i="2" s="1"/>
  <c r="AW22" i="2"/>
  <c r="CC22" i="2" s="1"/>
  <c r="BD21" i="2"/>
  <c r="CJ21" i="2"/>
  <c r="BC21" i="2"/>
  <c r="CI21" i="2" s="1"/>
  <c r="BB21" i="2"/>
  <c r="CH21" i="2" s="1"/>
  <c r="BA21" i="2"/>
  <c r="CG21" i="2" s="1"/>
  <c r="AZ21" i="2"/>
  <c r="CF21" i="2" s="1"/>
  <c r="AY21" i="2"/>
  <c r="CE21" i="2" s="1"/>
  <c r="AX21" i="2"/>
  <c r="CD21" i="2" s="1"/>
  <c r="AW21" i="2"/>
  <c r="CC21" i="2" s="1"/>
  <c r="BD20" i="2"/>
  <c r="CJ20" i="2"/>
  <c r="BC20" i="2"/>
  <c r="CI20" i="2" s="1"/>
  <c r="BB20" i="2"/>
  <c r="CH20" i="2" s="1"/>
  <c r="BA20" i="2"/>
  <c r="CG20" i="2" s="1"/>
  <c r="AZ20" i="2"/>
  <c r="CF20" i="2" s="1"/>
  <c r="AY20" i="2"/>
  <c r="CE20" i="2" s="1"/>
  <c r="AX20" i="2"/>
  <c r="CD20" i="2" s="1"/>
  <c r="AW20" i="2"/>
  <c r="CC20" i="2" s="1"/>
  <c r="BD19" i="2"/>
  <c r="CJ19" i="2"/>
  <c r="BC19" i="2"/>
  <c r="CI19" i="2" s="1"/>
  <c r="BB19" i="2"/>
  <c r="CH19" i="2" s="1"/>
  <c r="BA19" i="2"/>
  <c r="CG19" i="2" s="1"/>
  <c r="AZ19" i="2"/>
  <c r="CF19" i="2" s="1"/>
  <c r="AY19" i="2"/>
  <c r="CE19" i="2" s="1"/>
  <c r="AX19" i="2"/>
  <c r="CD19" i="2" s="1"/>
  <c r="AW19" i="2"/>
  <c r="CC19" i="2" s="1"/>
  <c r="BD18" i="2"/>
  <c r="CJ18" i="2" s="1"/>
  <c r="BC18" i="2"/>
  <c r="CI18" i="2" s="1"/>
  <c r="BB18" i="2"/>
  <c r="CH18" i="2" s="1"/>
  <c r="BA18" i="2"/>
  <c r="CG18" i="2" s="1"/>
  <c r="AZ18" i="2"/>
  <c r="CF18" i="2" s="1"/>
  <c r="AY18" i="2"/>
  <c r="CE18" i="2" s="1"/>
  <c r="AX18" i="2"/>
  <c r="CD18" i="2" s="1"/>
  <c r="AW18" i="2"/>
  <c r="CC18" i="2" s="1"/>
  <c r="BD17" i="2"/>
  <c r="CJ17" i="2"/>
  <c r="BC17" i="2"/>
  <c r="CI17" i="2" s="1"/>
  <c r="BB17" i="2"/>
  <c r="CH17" i="2" s="1"/>
  <c r="BA17" i="2"/>
  <c r="CG17" i="2" s="1"/>
  <c r="AZ17" i="2"/>
  <c r="CF17" i="2" s="1"/>
  <c r="AY17" i="2"/>
  <c r="CE17" i="2" s="1"/>
  <c r="AX17" i="2"/>
  <c r="CD17" i="2" s="1"/>
  <c r="AW17" i="2"/>
  <c r="CC17" i="2" s="1"/>
  <c r="BD16" i="2"/>
  <c r="CJ16" i="2" s="1"/>
  <c r="BC16" i="2"/>
  <c r="CI16" i="2"/>
  <c r="BB16" i="2"/>
  <c r="CH16" i="2" s="1"/>
  <c r="BA16" i="2"/>
  <c r="CG16" i="2" s="1"/>
  <c r="AZ16" i="2"/>
  <c r="CF16" i="2" s="1"/>
  <c r="AY16" i="2"/>
  <c r="CE16" i="2" s="1"/>
  <c r="AX16" i="2"/>
  <c r="CD16" i="2" s="1"/>
  <c r="AW16" i="2"/>
  <c r="CC16" i="2" s="1"/>
  <c r="BD15" i="2"/>
  <c r="CJ15" i="2" s="1"/>
  <c r="BC15" i="2"/>
  <c r="CI15" i="2" s="1"/>
  <c r="BB15" i="2"/>
  <c r="CH15" i="2" s="1"/>
  <c r="BA15" i="2"/>
  <c r="CG15" i="2" s="1"/>
  <c r="AZ15" i="2"/>
  <c r="CF15" i="2" s="1"/>
  <c r="AY15" i="2"/>
  <c r="CE15" i="2" s="1"/>
  <c r="AX15" i="2"/>
  <c r="CD15" i="2" s="1"/>
  <c r="AW15" i="2"/>
  <c r="CC15" i="2" s="1"/>
  <c r="BD14" i="2"/>
  <c r="CJ14" i="2" s="1"/>
  <c r="BC14" i="2"/>
  <c r="CI14" i="2"/>
  <c r="BB14" i="2"/>
  <c r="CH14" i="2" s="1"/>
  <c r="BA14" i="2"/>
  <c r="CG14" i="2" s="1"/>
  <c r="AZ14" i="2"/>
  <c r="CF14" i="2" s="1"/>
  <c r="AY14" i="2"/>
  <c r="CE14" i="2" s="1"/>
  <c r="AX14" i="2"/>
  <c r="CD14" i="2" s="1"/>
  <c r="AW14" i="2"/>
  <c r="CC14" i="2" s="1"/>
  <c r="BD13" i="2"/>
  <c r="CJ13" i="2" s="1"/>
  <c r="BC13" i="2"/>
  <c r="CI13" i="2"/>
  <c r="BB13" i="2"/>
  <c r="CH13" i="2" s="1"/>
  <c r="BA13" i="2"/>
  <c r="CG13" i="2" s="1"/>
  <c r="AZ13" i="2"/>
  <c r="CF13" i="2" s="1"/>
  <c r="AY13" i="2"/>
  <c r="CE13" i="2" s="1"/>
  <c r="AX13" i="2"/>
  <c r="CD13" i="2" s="1"/>
  <c r="AW13" i="2"/>
  <c r="CC13" i="2" s="1"/>
  <c r="BD12" i="2"/>
  <c r="CJ12" i="2" s="1"/>
  <c r="BC12" i="2"/>
  <c r="CI12" i="2"/>
  <c r="BB12" i="2"/>
  <c r="CH12" i="2"/>
  <c r="BA12" i="2"/>
  <c r="CG12" i="2"/>
  <c r="AZ12" i="2"/>
  <c r="CF12" i="2"/>
  <c r="AY12" i="2"/>
  <c r="CE12" i="2"/>
  <c r="AX12" i="2"/>
  <c r="CD12" i="2"/>
  <c r="AW12" i="2"/>
  <c r="CC12" i="2"/>
  <c r="BD11" i="2"/>
  <c r="CJ11" i="2"/>
  <c r="BC11" i="2"/>
  <c r="CI11" i="2"/>
  <c r="BB11" i="2"/>
  <c r="CH11" i="2"/>
  <c r="BA11" i="2"/>
  <c r="CG11" i="2"/>
  <c r="AZ11" i="2"/>
  <c r="CF11" i="2"/>
  <c r="AY11" i="2"/>
  <c r="AX11" i="2"/>
  <c r="CD11" i="2" s="1"/>
  <c r="AW11" i="2"/>
  <c r="CC11" i="2" s="1"/>
  <c r="BD10" i="2"/>
  <c r="BD34" i="2" s="1"/>
  <c r="BC10" i="2"/>
  <c r="CI10" i="2"/>
  <c r="BB10" i="2"/>
  <c r="CH10" i="2"/>
  <c r="BA10" i="2"/>
  <c r="CG10" i="2"/>
  <c r="AZ10" i="2"/>
  <c r="CF10" i="2"/>
  <c r="AY10" i="2"/>
  <c r="CE10" i="2"/>
  <c r="AX10" i="2"/>
  <c r="CD10" i="2"/>
  <c r="AW10" i="2"/>
  <c r="CC10" i="2"/>
  <c r="AV34" i="2"/>
  <c r="AU34" i="2"/>
  <c r="AT34" i="2"/>
  <c r="AS34" i="2"/>
  <c r="AR34" i="2"/>
  <c r="AQ34" i="2"/>
  <c r="AP34" i="2"/>
  <c r="AO34" i="2"/>
  <c r="AN34" i="2"/>
  <c r="AM34" i="2"/>
  <c r="AL34" i="2"/>
  <c r="AH34" i="2"/>
  <c r="AG34" i="2"/>
  <c r="AF34" i="2"/>
  <c r="AE34" i="2"/>
  <c r="AD34" i="2"/>
  <c r="AC34" i="2"/>
  <c r="AB34" i="2"/>
  <c r="AA34" i="2"/>
  <c r="Z34" i="2"/>
  <c r="Y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AO34" i="1"/>
  <c r="AK34" i="1"/>
  <c r="AN34" i="1"/>
  <c r="AJ34" i="1"/>
  <c r="AG34" i="1"/>
  <c r="AC34" i="1"/>
  <c r="AF34" i="1"/>
  <c r="AB34" i="1"/>
  <c r="Y34" i="1"/>
  <c r="U34" i="1"/>
  <c r="T34" i="1"/>
  <c r="Q34" i="1"/>
  <c r="M34" i="1"/>
  <c r="L34" i="1"/>
  <c r="I34" i="1"/>
  <c r="P34" i="1" s="1"/>
  <c r="AW34" i="1" s="1"/>
  <c r="AV36" i="1"/>
  <c r="AV35" i="1"/>
  <c r="AN36" i="1"/>
  <c r="AN35" i="1"/>
  <c r="AF36" i="1"/>
  <c r="AF35" i="1"/>
  <c r="X36" i="1"/>
  <c r="AW36" i="1"/>
  <c r="X35" i="1"/>
  <c r="P36" i="1"/>
  <c r="P35" i="1"/>
  <c r="AW35" i="1"/>
  <c r="I14" i="1"/>
  <c r="I11" i="1"/>
  <c r="M14" i="1"/>
  <c r="M11" i="1" s="1"/>
  <c r="O14" i="1"/>
  <c r="O11" i="1" s="1"/>
  <c r="O10" i="1" s="1"/>
  <c r="O31" i="1" s="1"/>
  <c r="Q14" i="1"/>
  <c r="Q11" i="1" s="1"/>
  <c r="U14" i="1"/>
  <c r="U11" i="1" s="1"/>
  <c r="W14" i="1"/>
  <c r="W11" i="1" s="1"/>
  <c r="Y14" i="1"/>
  <c r="Y11" i="1" s="1"/>
  <c r="AC14" i="1"/>
  <c r="AC11" i="1" s="1"/>
  <c r="AE14" i="1"/>
  <c r="AE11" i="1" s="1"/>
  <c r="AG14" i="1"/>
  <c r="AG11" i="1" s="1"/>
  <c r="AK14" i="1"/>
  <c r="AK11" i="1" s="1"/>
  <c r="AM14" i="1"/>
  <c r="AM11" i="1" s="1"/>
  <c r="AO14" i="1"/>
  <c r="AO11" i="1" s="1"/>
  <c r="AU14" i="1"/>
  <c r="AU11" i="1" s="1"/>
  <c r="AU10" i="1" s="1"/>
  <c r="AU31" i="1" s="1"/>
  <c r="P12" i="1"/>
  <c r="X12" i="1"/>
  <c r="AF12" i="1"/>
  <c r="AN12" i="1"/>
  <c r="AV12" i="1"/>
  <c r="P13" i="1"/>
  <c r="X13" i="1"/>
  <c r="AF13" i="1"/>
  <c r="AN13" i="1"/>
  <c r="AV13" i="1"/>
  <c r="P15" i="1"/>
  <c r="X15" i="1"/>
  <c r="AF15" i="1"/>
  <c r="AN15" i="1"/>
  <c r="AV15" i="1"/>
  <c r="P16" i="1"/>
  <c r="X16" i="1"/>
  <c r="AF16" i="1"/>
  <c r="AN16" i="1"/>
  <c r="AV16" i="1"/>
  <c r="P17" i="1"/>
  <c r="X17" i="1"/>
  <c r="AF17" i="1"/>
  <c r="AN17" i="1"/>
  <c r="AW17" i="1" s="1"/>
  <c r="AV17" i="1"/>
  <c r="I19" i="1"/>
  <c r="I18" i="1"/>
  <c r="M19" i="1"/>
  <c r="M18" i="1"/>
  <c r="O19" i="1"/>
  <c r="O18" i="1"/>
  <c r="Q19" i="1"/>
  <c r="Q18" i="1"/>
  <c r="U19" i="1"/>
  <c r="U18" i="1" s="1"/>
  <c r="W19" i="1"/>
  <c r="W18" i="1" s="1"/>
  <c r="Y19" i="1"/>
  <c r="Y18" i="1" s="1"/>
  <c r="AC19" i="1"/>
  <c r="AC18" i="1" s="1"/>
  <c r="AE19" i="1"/>
  <c r="AE18" i="1"/>
  <c r="AG19" i="1"/>
  <c r="AN19" i="1" s="1"/>
  <c r="AG18" i="1"/>
  <c r="AK19" i="1"/>
  <c r="AK18" i="1"/>
  <c r="AN18" i="1" s="1"/>
  <c r="AM19" i="1"/>
  <c r="AM18" i="1"/>
  <c r="AO19" i="1"/>
  <c r="AO18" i="1"/>
  <c r="AV18" i="1" s="1"/>
  <c r="AU19" i="1"/>
  <c r="AU18" i="1" s="1"/>
  <c r="P19" i="1"/>
  <c r="P20" i="1"/>
  <c r="AW20" i="1" s="1"/>
  <c r="X20" i="1"/>
  <c r="AF20" i="1"/>
  <c r="AN20" i="1"/>
  <c r="AV20" i="1"/>
  <c r="P21" i="1"/>
  <c r="X21" i="1"/>
  <c r="AF21" i="1"/>
  <c r="AN21" i="1"/>
  <c r="AV21" i="1"/>
  <c r="P22" i="1"/>
  <c r="X22" i="1"/>
  <c r="AW22" i="1" s="1"/>
  <c r="AF22" i="1"/>
  <c r="AN22" i="1"/>
  <c r="AV22" i="1"/>
  <c r="I23" i="1"/>
  <c r="M23" i="1"/>
  <c r="O23" i="1"/>
  <c r="P23" i="1" s="1"/>
  <c r="AW23" i="1" s="1"/>
  <c r="Q23" i="1"/>
  <c r="U23" i="1"/>
  <c r="W23" i="1"/>
  <c r="X23" i="1" s="1"/>
  <c r="Y23" i="1"/>
  <c r="AC23" i="1"/>
  <c r="AE23" i="1"/>
  <c r="AF23" i="1" s="1"/>
  <c r="AG23" i="1"/>
  <c r="AK23" i="1"/>
  <c r="AM23" i="1"/>
  <c r="AN23" i="1" s="1"/>
  <c r="AO23" i="1"/>
  <c r="AV23" i="1"/>
  <c r="AU23" i="1"/>
  <c r="P24" i="1"/>
  <c r="AW24" i="1" s="1"/>
  <c r="X24" i="1"/>
  <c r="AF24" i="1"/>
  <c r="AN24" i="1"/>
  <c r="AV24" i="1"/>
  <c r="P25" i="1"/>
  <c r="X25" i="1"/>
  <c r="AF25" i="1"/>
  <c r="AN25" i="1"/>
  <c r="AV25" i="1"/>
  <c r="P26" i="1"/>
  <c r="X26" i="1"/>
  <c r="AF26" i="1"/>
  <c r="AN26" i="1"/>
  <c r="AV26" i="1"/>
  <c r="P27" i="1"/>
  <c r="X27" i="1"/>
  <c r="AF27" i="1"/>
  <c r="AN27" i="1"/>
  <c r="AV27" i="1"/>
  <c r="I28" i="1"/>
  <c r="P28" i="1" s="1"/>
  <c r="M28" i="1"/>
  <c r="O28" i="1"/>
  <c r="Q28" i="1"/>
  <c r="U28" i="1"/>
  <c r="X28" i="1" s="1"/>
  <c r="W28" i="1"/>
  <c r="Y28" i="1"/>
  <c r="AC28" i="1"/>
  <c r="AE28" i="1"/>
  <c r="AG28" i="1"/>
  <c r="AK28" i="1"/>
  <c r="AN28" i="1" s="1"/>
  <c r="AM28" i="1"/>
  <c r="AO28" i="1"/>
  <c r="AS28" i="1"/>
  <c r="AU28" i="1"/>
  <c r="P29" i="1"/>
  <c r="X29" i="1"/>
  <c r="AF29" i="1"/>
  <c r="AN29" i="1"/>
  <c r="AV29" i="1"/>
  <c r="P30" i="1"/>
  <c r="X30" i="1"/>
  <c r="AF30" i="1"/>
  <c r="AN30" i="1"/>
  <c r="AV30" i="1"/>
  <c r="X33" i="1"/>
  <c r="AW33" i="1" s="1"/>
  <c r="X34" i="1"/>
  <c r="AV34" i="1"/>
  <c r="P37" i="1"/>
  <c r="X37" i="1"/>
  <c r="AF37" i="1"/>
  <c r="AN37" i="1"/>
  <c r="AV37" i="1"/>
  <c r="P38" i="1"/>
  <c r="X38" i="1"/>
  <c r="AF38" i="1"/>
  <c r="AN38" i="1"/>
  <c r="AV38" i="1"/>
  <c r="I39" i="1"/>
  <c r="M39" i="1"/>
  <c r="O39" i="1"/>
  <c r="P39" i="1" s="1"/>
  <c r="Q39" i="1"/>
  <c r="U39" i="1"/>
  <c r="W39" i="1"/>
  <c r="Y39" i="1"/>
  <c r="AC39" i="1"/>
  <c r="AE39" i="1"/>
  <c r="AG39" i="1"/>
  <c r="AK39" i="1"/>
  <c r="AM39" i="1"/>
  <c r="AO39" i="1"/>
  <c r="AV39" i="1" s="1"/>
  <c r="AU39" i="1"/>
  <c r="P40" i="1"/>
  <c r="X40" i="1"/>
  <c r="AF40" i="1"/>
  <c r="AN40" i="1"/>
  <c r="AV40" i="1"/>
  <c r="P41" i="1"/>
  <c r="X41" i="1"/>
  <c r="AF41" i="1"/>
  <c r="AN41" i="1"/>
  <c r="AV41" i="1"/>
  <c r="P42" i="1"/>
  <c r="X42" i="1"/>
  <c r="AF42" i="1"/>
  <c r="AN42" i="1"/>
  <c r="AV42" i="1"/>
  <c r="P43" i="1"/>
  <c r="AW43" i="1" s="1"/>
  <c r="X43" i="1"/>
  <c r="AF43" i="1"/>
  <c r="AN43" i="1"/>
  <c r="AV43" i="1"/>
  <c r="I44" i="1"/>
  <c r="M44" i="1"/>
  <c r="O44" i="1"/>
  <c r="Q44" i="1"/>
  <c r="U44" i="1"/>
  <c r="W44" i="1"/>
  <c r="Y44" i="1"/>
  <c r="AF44" i="1" s="1"/>
  <c r="AC44" i="1"/>
  <c r="AE44" i="1"/>
  <c r="AG44" i="1"/>
  <c r="AK44" i="1"/>
  <c r="AM44" i="1"/>
  <c r="AO44" i="1"/>
  <c r="AV44" i="1" s="1"/>
  <c r="AU44" i="1"/>
  <c r="P45" i="1"/>
  <c r="X45" i="1"/>
  <c r="AF45" i="1"/>
  <c r="AN45" i="1"/>
  <c r="AV45" i="1"/>
  <c r="AW45" i="1" s="1"/>
  <c r="P46" i="1"/>
  <c r="X46" i="1"/>
  <c r="AF46" i="1"/>
  <c r="AW46" i="1"/>
  <c r="AN46" i="1"/>
  <c r="AV46" i="1"/>
  <c r="P47" i="1"/>
  <c r="X47" i="1"/>
  <c r="AF47" i="1"/>
  <c r="AN47" i="1"/>
  <c r="AV47" i="1"/>
  <c r="AT23" i="1"/>
  <c r="AT19" i="1"/>
  <c r="AT18" i="1" s="1"/>
  <c r="AT14" i="1"/>
  <c r="AT11" i="1" s="1"/>
  <c r="AT44" i="1"/>
  <c r="AT39" i="1"/>
  <c r="AT28" i="1"/>
  <c r="AL44" i="1"/>
  <c r="AL39" i="1"/>
  <c r="AL14" i="1"/>
  <c r="AL11" i="1" s="1"/>
  <c r="AL19" i="1"/>
  <c r="AL18" i="1" s="1"/>
  <c r="AL23" i="1"/>
  <c r="AL28" i="1"/>
  <c r="AD44" i="1"/>
  <c r="AD39" i="1"/>
  <c r="AD14" i="1"/>
  <c r="AD11" i="1" s="1"/>
  <c r="AD19" i="1"/>
  <c r="AD18" i="1" s="1"/>
  <c r="AD23" i="1"/>
  <c r="AD28" i="1"/>
  <c r="V44" i="1"/>
  <c r="V39" i="1"/>
  <c r="V14" i="1"/>
  <c r="V11" i="1" s="1"/>
  <c r="V19" i="1"/>
  <c r="V18" i="1" s="1"/>
  <c r="V23" i="1"/>
  <c r="V28" i="1"/>
  <c r="N44" i="1"/>
  <c r="N39" i="1"/>
  <c r="N14" i="1"/>
  <c r="N11" i="1" s="1"/>
  <c r="N19" i="1"/>
  <c r="N18" i="1" s="1"/>
  <c r="N10" i="1" s="1"/>
  <c r="N31" i="1" s="1"/>
  <c r="N23" i="1"/>
  <c r="N28" i="1"/>
  <c r="AJ44" i="1"/>
  <c r="AB44" i="1"/>
  <c r="T44" i="1"/>
  <c r="L44" i="1"/>
  <c r="AJ39" i="1"/>
  <c r="AB39" i="1"/>
  <c r="T39" i="1"/>
  <c r="L39" i="1"/>
  <c r="AR28" i="1"/>
  <c r="AR31" i="1" s="1"/>
  <c r="AJ14" i="1"/>
  <c r="AJ11" i="1" s="1"/>
  <c r="AJ10" i="1" s="1"/>
  <c r="AJ31" i="1" s="1"/>
  <c r="AJ19" i="1"/>
  <c r="AJ18" i="1" s="1"/>
  <c r="AJ23" i="1"/>
  <c r="AJ28" i="1"/>
  <c r="AB14" i="1"/>
  <c r="AB11" i="1" s="1"/>
  <c r="AB10" i="1" s="1"/>
  <c r="AB31" i="1" s="1"/>
  <c r="AB19" i="1"/>
  <c r="AB18" i="1" s="1"/>
  <c r="AB23" i="1"/>
  <c r="AB28" i="1"/>
  <c r="T14" i="1"/>
  <c r="T11" i="1" s="1"/>
  <c r="T10" i="1" s="1"/>
  <c r="T31" i="1" s="1"/>
  <c r="T19" i="1"/>
  <c r="T18" i="1" s="1"/>
  <c r="T23" i="1"/>
  <c r="T28" i="1"/>
  <c r="L14" i="1"/>
  <c r="L11" i="1" s="1"/>
  <c r="L10" i="1" s="1"/>
  <c r="L31" i="1" s="1"/>
  <c r="L19" i="1"/>
  <c r="L18" i="1" s="1"/>
  <c r="L23" i="1"/>
  <c r="L28" i="1"/>
  <c r="I10" i="1"/>
  <c r="I31" i="1" s="1"/>
  <c r="AF19" i="1"/>
  <c r="X19" i="1"/>
  <c r="CE11" i="2"/>
  <c r="V10" i="1" l="1"/>
  <c r="V31" i="1" s="1"/>
  <c r="AL10" i="1"/>
  <c r="AL31" i="1" s="1"/>
  <c r="Q10" i="1"/>
  <c r="X11" i="1"/>
  <c r="AD10" i="1"/>
  <c r="AD31" i="1" s="1"/>
  <c r="W10" i="1"/>
  <c r="W31" i="1" s="1"/>
  <c r="CF34" i="2"/>
  <c r="AZ34" i="2"/>
  <c r="X14" i="1"/>
  <c r="AW47" i="1"/>
  <c r="AN44" i="1"/>
  <c r="AW42" i="1"/>
  <c r="X39" i="1"/>
  <c r="AW39" i="1" s="1"/>
  <c r="AW30" i="1"/>
  <c r="AW29" i="1"/>
  <c r="AF28" i="1"/>
  <c r="AW27" i="1"/>
  <c r="AW15" i="1"/>
  <c r="AE10" i="1"/>
  <c r="AE31" i="1" s="1"/>
  <c r="CE34" i="2"/>
  <c r="CH34" i="2"/>
  <c r="BB34" i="2"/>
  <c r="AT10" i="1"/>
  <c r="AT31" i="1" s="1"/>
  <c r="P44" i="1"/>
  <c r="AW41" i="1"/>
  <c r="AF39" i="1"/>
  <c r="AW38" i="1"/>
  <c r="AW37" i="1"/>
  <c r="AW26" i="1"/>
  <c r="AW21" i="1"/>
  <c r="P18" i="1"/>
  <c r="AW16" i="1"/>
  <c r="AW13" i="1"/>
  <c r="AM10" i="1"/>
  <c r="AM31" i="1" s="1"/>
  <c r="CI34" i="2"/>
  <c r="CD34" i="2"/>
  <c r="AY34" i="2"/>
  <c r="BC34" i="2"/>
  <c r="X44" i="1"/>
  <c r="AW40" i="1"/>
  <c r="AN39" i="1"/>
  <c r="AV28" i="1"/>
  <c r="AW28" i="1" s="1"/>
  <c r="AW25" i="1"/>
  <c r="AW12" i="1"/>
  <c r="AK10" i="1"/>
  <c r="AK31" i="1" s="1"/>
  <c r="P14" i="1"/>
  <c r="AO10" i="1"/>
  <c r="AV11" i="1"/>
  <c r="Q31" i="1"/>
  <c r="P11" i="1"/>
  <c r="M10" i="1"/>
  <c r="AG10" i="1"/>
  <c r="AN11" i="1"/>
  <c r="AW44" i="1"/>
  <c r="X18" i="1"/>
  <c r="AC10" i="1"/>
  <c r="AC31" i="1" s="1"/>
  <c r="CC34" i="2"/>
  <c r="CG34" i="2"/>
  <c r="AF18" i="1"/>
  <c r="Y10" i="1"/>
  <c r="U10" i="1"/>
  <c r="U31" i="1" s="1"/>
  <c r="AV19" i="1"/>
  <c r="AW19" i="1" s="1"/>
  <c r="CJ10" i="2"/>
  <c r="CJ34" i="2" s="1"/>
  <c r="AF14" i="1"/>
  <c r="AS31" i="1"/>
  <c r="AN14" i="1"/>
  <c r="AX34" i="2"/>
  <c r="AV14" i="1"/>
  <c r="AF11" i="1"/>
  <c r="AW34" i="2"/>
  <c r="BA34" i="2"/>
  <c r="X31" i="1" l="1"/>
  <c r="AW14" i="1"/>
  <c r="AW18" i="1"/>
  <c r="AN10" i="1"/>
  <c r="AG31" i="1"/>
  <c r="AN31" i="1" s="1"/>
  <c r="X10" i="1"/>
  <c r="M31" i="1"/>
  <c r="P31" i="1" s="1"/>
  <c r="AW31" i="1" s="1"/>
  <c r="P10" i="1"/>
  <c r="AF10" i="1"/>
  <c r="Y31" i="1"/>
  <c r="AF31" i="1" s="1"/>
  <c r="AW11" i="1"/>
  <c r="AV10" i="1"/>
  <c r="AO31" i="1"/>
  <c r="AV31" i="1" s="1"/>
  <c r="AW10" i="1" l="1"/>
</calcChain>
</file>

<file path=xl/sharedStrings.xml><?xml version="1.0" encoding="utf-8"?>
<sst xmlns="http://schemas.openxmlformats.org/spreadsheetml/2006/main" count="435" uniqueCount="250">
  <si>
    <t>Deposit Liabilities</t>
  </si>
  <si>
    <t>Classified as to Type of Deposit</t>
  </si>
  <si>
    <t>Particulars</t>
  </si>
  <si>
    <t>Resident</t>
  </si>
  <si>
    <t>Account Code</t>
  </si>
  <si>
    <t>Demand Deposit</t>
  </si>
  <si>
    <t>Savings Deposit</t>
  </si>
  <si>
    <t>NOW</t>
  </si>
  <si>
    <t>Time Certificates of Deposit</t>
  </si>
  <si>
    <t>LTNCDs</t>
  </si>
  <si>
    <t>Total Deposit</t>
  </si>
  <si>
    <t>Peso Accts</t>
  </si>
  <si>
    <t>FCDU/EFCDU</t>
  </si>
  <si>
    <t>Total</t>
  </si>
  <si>
    <t>In US $</t>
  </si>
  <si>
    <t>Peso Equiv.</t>
  </si>
  <si>
    <t>A.</t>
  </si>
  <si>
    <t>(1)</t>
  </si>
  <si>
    <t>Government</t>
  </si>
  <si>
    <t>(a)</t>
  </si>
  <si>
    <t>National Government</t>
  </si>
  <si>
    <t>(b)</t>
  </si>
  <si>
    <t>LGU</t>
  </si>
  <si>
    <t>(c)</t>
  </si>
  <si>
    <t>GOCCs</t>
  </si>
  <si>
    <t>1.</t>
  </si>
  <si>
    <t>Social Security Institutions</t>
  </si>
  <si>
    <t>2.</t>
  </si>
  <si>
    <t>Other Financial</t>
  </si>
  <si>
    <t>3.</t>
  </si>
  <si>
    <t>Non-Financial</t>
  </si>
  <si>
    <t>(2)</t>
  </si>
  <si>
    <t>Banks</t>
  </si>
  <si>
    <t>UBs/KBs</t>
  </si>
  <si>
    <t>Government Banks</t>
  </si>
  <si>
    <t>Non-Government Banks</t>
  </si>
  <si>
    <t>Other Banks</t>
  </si>
  <si>
    <t>(3)</t>
  </si>
  <si>
    <t>Private Corporations</t>
  </si>
  <si>
    <t>Financial</t>
  </si>
  <si>
    <t>(4)</t>
  </si>
  <si>
    <t>Individuals</t>
  </si>
  <si>
    <t>(5)</t>
  </si>
  <si>
    <t>Trust Department</t>
  </si>
  <si>
    <t>B.</t>
  </si>
  <si>
    <t>OBUs</t>
  </si>
  <si>
    <t>Others</t>
  </si>
  <si>
    <t>Additional Information:</t>
  </si>
  <si>
    <t>Savings Deposit with Automatic Transfer</t>
  </si>
  <si>
    <t>Non-Taxable</t>
  </si>
  <si>
    <t>Taxable</t>
  </si>
  <si>
    <t>Dormant Accounts</t>
  </si>
  <si>
    <t>Reserve Exempt National Government Deposits</t>
  </si>
  <si>
    <t>Bureau of Customs</t>
  </si>
  <si>
    <t>Bureau of Internal Revenue</t>
  </si>
  <si>
    <t>(6)</t>
  </si>
  <si>
    <t>Gross New Deposits for the Period</t>
  </si>
  <si>
    <t>Gross Withdrawals for the Period</t>
  </si>
  <si>
    <t>(7)</t>
  </si>
  <si>
    <t xml:space="preserve">Classified as to Original Term </t>
  </si>
  <si>
    <t>Short Term (one year or less)</t>
  </si>
  <si>
    <t>Medium Term (&gt;1 year to 5 years)</t>
  </si>
  <si>
    <t>C.</t>
  </si>
  <si>
    <t>Long Term (&gt;5  years)</t>
  </si>
  <si>
    <t>Deposit Size</t>
  </si>
  <si>
    <t>Time Certificate of Deposits</t>
  </si>
  <si>
    <t>No. of Accts</t>
  </si>
  <si>
    <t>Amount</t>
  </si>
  <si>
    <t xml:space="preserve">P60,000.01 - P80,000 </t>
  </si>
  <si>
    <t xml:space="preserve">P80,000.01 - P100,000 </t>
  </si>
  <si>
    <t xml:space="preserve">P100,000.01 - P150,000 </t>
  </si>
  <si>
    <t xml:space="preserve">P150,000.01 - P200,000 </t>
  </si>
  <si>
    <t xml:space="preserve">P200,000.01 - P250,000 </t>
  </si>
  <si>
    <t xml:space="preserve">P250,000.01 - P300,000 </t>
  </si>
  <si>
    <t xml:space="preserve">P300,000.01 - P400,000 </t>
  </si>
  <si>
    <t xml:space="preserve">P400,000.01 - P500,000 </t>
  </si>
  <si>
    <t xml:space="preserve">P500,000.01 - P750,000 </t>
  </si>
  <si>
    <t xml:space="preserve">P750,000.01 - P1,000,000 </t>
  </si>
  <si>
    <t xml:space="preserve">P1,000,000.01 - P1,500,000 </t>
  </si>
  <si>
    <t xml:space="preserve">P1,500,000.01 - P2,000,000 </t>
  </si>
  <si>
    <t>Additional Information :</t>
  </si>
  <si>
    <r>
      <t xml:space="preserve">No. of Depositors </t>
    </r>
    <r>
      <rPr>
        <vertAlign val="superscript"/>
        <sz val="8"/>
        <rFont val="Arial"/>
        <family val="2"/>
      </rPr>
      <t>1/</t>
    </r>
  </si>
  <si>
    <r>
      <t>1/</t>
    </r>
    <r>
      <rPr>
        <sz val="8"/>
        <rFont val="Arial"/>
        <family val="2"/>
      </rPr>
      <t xml:space="preserve"> A depositor (and/or, in trust for) who has several types of accounts (I.e., current, savings, time, etc. should be counted as one)</t>
    </r>
  </si>
  <si>
    <t>215000000000100000</t>
  </si>
  <si>
    <t>215000000000120000</t>
  </si>
  <si>
    <t>215000000000121000</t>
  </si>
  <si>
    <t>215000000000122000</t>
  </si>
  <si>
    <t>215000000000123000</t>
  </si>
  <si>
    <t>215000000000123100</t>
  </si>
  <si>
    <t>215000000000123200</t>
  </si>
  <si>
    <t>215000000000123300</t>
  </si>
  <si>
    <t>215000000000130000</t>
  </si>
  <si>
    <t>215000000000131000</t>
  </si>
  <si>
    <t>215000000000131100</t>
  </si>
  <si>
    <t>215000000000131200</t>
  </si>
  <si>
    <t>215000000000132000</t>
  </si>
  <si>
    <t>215000000000160000</t>
  </si>
  <si>
    <t>215000000000161000</t>
  </si>
  <si>
    <t>215000000000162000</t>
  </si>
  <si>
    <t>215000000000170000</t>
  </si>
  <si>
    <t>215000000000180000</t>
  </si>
  <si>
    <t>215000000000200000</t>
  </si>
  <si>
    <t>215000000000231000</t>
  </si>
  <si>
    <t>215000000000232000</t>
  </si>
  <si>
    <t>215000000000000000</t>
  </si>
  <si>
    <t>215000015500600000</t>
  </si>
  <si>
    <t>215000000000651000</t>
  </si>
  <si>
    <t>215000000000652000</t>
  </si>
  <si>
    <t>215000000000661000</t>
  </si>
  <si>
    <t>215000016000660000</t>
  </si>
  <si>
    <t>215000016000661000</t>
  </si>
  <si>
    <t>215000016000662000</t>
  </si>
  <si>
    <t>215000016500600000</t>
  </si>
  <si>
    <t>215000017000600000</t>
  </si>
  <si>
    <t>215000000000610000</t>
  </si>
  <si>
    <t>215000000000611000</t>
  </si>
  <si>
    <t>215000000000612100</t>
  </si>
  <si>
    <t>215000000000612200</t>
  </si>
  <si>
    <t>215000000020000000</t>
  </si>
  <si>
    <t>215000000025000000</t>
  </si>
  <si>
    <t>215000000030000000</t>
  </si>
  <si>
    <t>215000000035000000</t>
  </si>
  <si>
    <t>215000000040000000</t>
  </si>
  <si>
    <t>215000000045000000</t>
  </si>
  <si>
    <t>215000000050000000</t>
  </si>
  <si>
    <t>215000000055000000</t>
  </si>
  <si>
    <t>215000000060000000</t>
  </si>
  <si>
    <t>215000000065000000</t>
  </si>
  <si>
    <t>215000000070000000</t>
  </si>
  <si>
    <t>215000000075000000</t>
  </si>
  <si>
    <t>215000000000600001</t>
  </si>
  <si>
    <t>x</t>
  </si>
  <si>
    <t>Deposit Liabilities by Size of Accounts Excluding Deposits in Foreign Offices/Branches</t>
  </si>
  <si>
    <t>Foreign Offices</t>
  </si>
  <si>
    <t>Foreign Regular</t>
  </si>
  <si>
    <t>TOTAL</t>
  </si>
  <si>
    <t>Non-Resident</t>
  </si>
  <si>
    <t>$$$</t>
  </si>
  <si>
    <t>Solo Reports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</si>
  <si>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</si>
  <si>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</si>
  <si>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</si>
  <si>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</si>
  <si>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</si>
  <si>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</si>
  <si>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</si>
  <si>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</si>
  <si>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</si>
  <si>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</si>
  <si>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</si>
  <si>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</si>
  <si>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</si>
  <si>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</si>
  <si>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</si>
  <si>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</si>
  <si>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</si>
  <si>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</si>
  <si>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</si>
  <si>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</si>
  <si>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</si>
  <si>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</si>
  <si>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</si>
  <si>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</si>
  <si>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</si>
  <si>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</si>
  <si>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</si>
  <si>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</si>
  <si>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</si>
  <si>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</si>
  <si>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</si>
  <si>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</si>
  <si>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</si>
  <si>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P5,000 and below</t>
  </si>
  <si>
    <t>215000000002000000</t>
  </si>
  <si>
    <t>215000000003000000</t>
  </si>
  <si>
    <t>P10,000.01 - P15,000</t>
  </si>
  <si>
    <t>215000000004000000</t>
  </si>
  <si>
    <t>P5,000.01 - P10,000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</si>
  <si>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</si>
  <si>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</si>
  <si>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</si>
  <si>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</si>
  <si>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</si>
  <si>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</si>
  <si>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</si>
  <si>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</si>
  <si>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</si>
  <si>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</si>
  <si>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</si>
  <si>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</si>
  <si>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</si>
  <si>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</si>
  <si>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</si>
  <si>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</si>
  <si>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</si>
  <si>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</si>
  <si>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</si>
  <si>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</si>
  <si>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</si>
  <si>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</si>
  <si>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</si>
  <si>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</si>
  <si>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</si>
  <si>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</si>
  <si>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</si>
  <si>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</si>
  <si>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</si>
  <si>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</si>
  <si>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</si>
  <si>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</si>
  <si>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</si>
  <si>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</si>
  <si>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</si>
  <si>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</si>
  <si>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</si>
  <si>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</si>
  <si>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</si>
  <si>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</si>
  <si>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</si>
  <si>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(i)</t>
  </si>
  <si>
    <t xml:space="preserve">Personal Equity and Retirement Account </t>
  </si>
  <si>
    <t>215000000000651100</t>
  </si>
  <si>
    <t>(ii)</t>
  </si>
  <si>
    <t>Other Non-Taxable</t>
  </si>
  <si>
    <t>215000000000651200</t>
  </si>
  <si>
    <t>v14.0</t>
  </si>
  <si>
    <t xml:space="preserve">P15,000.01 - P20,000 </t>
  </si>
  <si>
    <t xml:space="preserve">P20,000.01 - P30,000 </t>
  </si>
  <si>
    <t xml:space="preserve">P30,000.01 - P40,000 </t>
  </si>
  <si>
    <t xml:space="preserve">P40,000.01 - P50,000 </t>
  </si>
  <si>
    <t xml:space="preserve">P50,000.01 - P60,000 </t>
  </si>
  <si>
    <t>215000000006000000</t>
  </si>
  <si>
    <t>215000000007000000</t>
  </si>
  <si>
    <t>215000000008000000</t>
  </si>
  <si>
    <t>215000000011000000</t>
  </si>
  <si>
    <t>215000000012000000</t>
  </si>
  <si>
    <t xml:space="preserve">P2,000,000.01 - P3,000,000 </t>
  </si>
  <si>
    <t xml:space="preserve">P3,000,000.01 - P4,000,000 </t>
  </si>
  <si>
    <t xml:space="preserve">P4,000,000.01 - P5,000,000 </t>
  </si>
  <si>
    <t>Over P5,000,000</t>
  </si>
  <si>
    <t>215000000084000000</t>
  </si>
  <si>
    <t>215000000088000000</t>
  </si>
  <si>
    <t>215000000092000000</t>
  </si>
  <si>
    <t>215000000098000000</t>
  </si>
  <si>
    <t>Regular Savings Account</t>
  </si>
  <si>
    <t>Kiddie and Teen Savings Account</t>
  </si>
  <si>
    <t>Basic Deposit Accounts</t>
  </si>
  <si>
    <t>Other Savings Accounts</t>
  </si>
  <si>
    <t>Total Savings Deposit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</si>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</sst>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_);\(0\)"/>
    <numFmt numFmtId="165" formatCode="00000#"/>
    <numFmt numFmtId="166" formatCode="00000000000#"/>
  </numFmts>
  <fonts count="11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vertAlign val="superscript"/>
      <sz val="8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55"/>
      <name val="Arial"/>
      <family val="2"/>
    </font>
    <font>
      <sz val="8"/>
      <color indexed="9"/>
      <name val="Arial"/>
      <family val="2"/>
    </font>
    <font>
      <sz val="10"/>
      <color rgb="FF00B0F0"/>
      <name val="Arial"/>
      <family val="2"/>
    </font>
    <font>
      <sz val="8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5" fontId="2" fillId="0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2" fillId="0" borderId="3" xfId="0" applyFont="1" applyBorder="1"/>
    <xf numFmtId="166" fontId="2" fillId="0" borderId="0" xfId="0" applyNumberFormat="1" applyFont="1"/>
    <xf numFmtId="0" fontId="2" fillId="0" borderId="0" xfId="0" applyFont="1" applyAlignment="1">
      <alignment wrapText="1"/>
    </xf>
    <xf numFmtId="166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4" fillId="0" borderId="0" xfId="0" applyFont="1"/>
    <xf numFmtId="166" fontId="1" fillId="0" borderId="5" xfId="0" applyNumberFormat="1" applyFont="1" applyFill="1" applyBorder="1" applyAlignment="1">
      <alignment horizontal="center" vertical="center"/>
    </xf>
    <xf numFmtId="166" fontId="1" fillId="0" borderId="4" xfId="0" applyNumberFormat="1" applyFont="1" applyFill="1" applyBorder="1" applyAlignment="1">
      <alignment horizontal="center" vertical="center"/>
    </xf>
    <xf numFmtId="166" fontId="1" fillId="0" borderId="6" xfId="0" applyNumberFormat="1" applyFont="1" applyBorder="1" applyAlignment="1">
      <alignment horizontal="center" vertical="center"/>
    </xf>
    <xf numFmtId="166" fontId="1" fillId="0" borderId="7" xfId="0" applyNumberFormat="1" applyFont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166" fontId="1" fillId="0" borderId="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2" fillId="0" borderId="0" xfId="0" applyNumberFormat="1" applyFont="1"/>
    <xf numFmtId="3" fontId="2" fillId="0" borderId="0" xfId="0" applyNumberFormat="1" applyFont="1" applyAlignment="1">
      <alignment horizontal="right" wrapText="1"/>
    </xf>
    <xf numFmtId="0" fontId="2" fillId="0" borderId="0" xfId="0" applyFont="1" applyAlignment="1">
      <alignment horizontal="right" wrapText="1"/>
    </xf>
    <xf numFmtId="3" fontId="5" fillId="0" borderId="0" xfId="0" applyNumberFormat="1" applyFont="1" applyFill="1"/>
    <xf numFmtId="0" fontId="5" fillId="0" borderId="0" xfId="0" applyFont="1"/>
    <xf numFmtId="165" fontId="2" fillId="0" borderId="1" xfId="0" applyNumberFormat="1" applyFont="1" applyFill="1" applyBorder="1" applyAlignment="1">
      <alignment horizontal="center" vertical="center"/>
    </xf>
    <xf numFmtId="4" fontId="5" fillId="0" borderId="1" xfId="0" applyNumberFormat="1" applyFont="1" applyBorder="1" applyAlignment="1" applyProtection="1">
      <alignment horizontal="right"/>
      <protection hidden="1"/>
    </xf>
    <xf numFmtId="4" fontId="5" fillId="2" borderId="1" xfId="0" applyNumberFormat="1" applyFont="1" applyFill="1" applyBorder="1" applyAlignment="1" applyProtection="1">
      <alignment horizontal="right"/>
      <protection hidden="1"/>
    </xf>
    <xf numFmtId="4" fontId="2" fillId="0" borderId="1" xfId="0" applyNumberFormat="1" applyFont="1" applyBorder="1" applyAlignment="1" applyProtection="1">
      <alignment horizontal="right"/>
      <protection hidden="1"/>
    </xf>
    <xf numFmtId="4" fontId="3" fillId="2" borderId="1" xfId="0" applyNumberFormat="1" applyFont="1" applyFill="1" applyBorder="1" applyAlignment="1" applyProtection="1">
      <alignment horizontal="right"/>
      <protection hidden="1"/>
    </xf>
    <xf numFmtId="4" fontId="5" fillId="0" borderId="1" xfId="0" applyNumberFormat="1" applyFont="1" applyFill="1" applyBorder="1" applyAlignment="1" applyProtection="1">
      <alignment horizontal="right"/>
      <protection hidden="1"/>
    </xf>
    <xf numFmtId="4" fontId="2" fillId="2" borderId="1" xfId="0" applyNumberFormat="1" applyFont="1" applyFill="1" applyBorder="1" applyAlignment="1" applyProtection="1">
      <alignment horizontal="right"/>
      <protection hidden="1"/>
    </xf>
    <xf numFmtId="165" fontId="2" fillId="0" borderId="1" xfId="0" applyNumberFormat="1" applyFont="1" applyFill="1" applyBorder="1" applyAlignment="1">
      <alignment horizontal="center" vertical="top" wrapText="1"/>
    </xf>
    <xf numFmtId="4" fontId="2" fillId="0" borderId="1" xfId="0" applyNumberFormat="1" applyFont="1" applyBorder="1" applyAlignment="1" applyProtection="1">
      <alignment horizontal="right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166" fontId="2" fillId="0" borderId="1" xfId="0" applyNumberFormat="1" applyFont="1" applyFill="1" applyBorder="1" applyAlignment="1">
      <alignment horizontal="center" vertical="center"/>
    </xf>
    <xf numFmtId="3" fontId="2" fillId="2" borderId="1" xfId="0" applyNumberFormat="1" applyFont="1" applyFill="1" applyBorder="1" applyProtection="1">
      <protection hidden="1"/>
    </xf>
    <xf numFmtId="4" fontId="3" fillId="2" borderId="1" xfId="0" applyNumberFormat="1" applyFont="1" applyFill="1" applyBorder="1" applyProtection="1">
      <protection hidden="1"/>
    </xf>
    <xf numFmtId="3" fontId="5" fillId="0" borderId="1" xfId="0" applyNumberFormat="1" applyFont="1" applyBorder="1" applyProtection="1">
      <protection hidden="1"/>
    </xf>
    <xf numFmtId="4" fontId="5" fillId="0" borderId="1" xfId="0" applyNumberFormat="1" applyFont="1" applyBorder="1" applyProtection="1">
      <protection hidden="1"/>
    </xf>
    <xf numFmtId="166" fontId="2" fillId="0" borderId="1" xfId="0" applyNumberFormat="1" applyFont="1" applyFill="1" applyBorder="1" applyAlignment="1">
      <alignment horizontal="center"/>
    </xf>
    <xf numFmtId="3" fontId="5" fillId="0" borderId="1" xfId="0" applyNumberFormat="1" applyFont="1" applyFill="1" applyBorder="1" applyAlignment="1" applyProtection="1">
      <alignment horizontal="right" vertical="center" wrapText="1"/>
      <protection hidden="1"/>
    </xf>
    <xf numFmtId="4" fontId="5" fillId="0" borderId="1" xfId="0" applyNumberFormat="1" applyFont="1" applyFill="1" applyBorder="1" applyProtection="1">
      <protection hidden="1"/>
    </xf>
    <xf numFmtId="4" fontId="5" fillId="2" borderId="1" xfId="0" applyNumberFormat="1" applyFont="1" applyFill="1" applyBorder="1" applyProtection="1">
      <protection hidden="1"/>
    </xf>
    <xf numFmtId="166" fontId="2" fillId="0" borderId="1" xfId="0" applyNumberFormat="1" applyFont="1" applyBorder="1"/>
    <xf numFmtId="4" fontId="2" fillId="2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vertical="center" wrapText="1"/>
      <protection locked="0" hidden="1"/>
    </xf>
    <xf numFmtId="4" fontId="2" fillId="0" borderId="1" xfId="0" applyNumberFormat="1" applyFont="1" applyFill="1" applyBorder="1" applyAlignment="1" applyProtection="1">
      <protection locked="0" hidden="1"/>
    </xf>
    <xf numFmtId="166" fontId="2" fillId="0" borderId="1" xfId="0" applyNumberFormat="1" applyFont="1" applyBorder="1" applyAlignment="1">
      <alignment horizontal="center" vertical="center" wrapText="1"/>
    </xf>
    <xf numFmtId="4" fontId="2" fillId="0" borderId="1" xfId="0" applyNumberFormat="1" applyFont="1" applyFill="1" applyBorder="1" applyAlignment="1" applyProtection="1">
      <protection locked="0"/>
    </xf>
    <xf numFmtId="4" fontId="5" fillId="0" borderId="1" xfId="0" applyNumberFormat="1" applyFont="1" applyBorder="1" applyAlignment="1" applyProtection="1">
      <alignment horizontal="right"/>
    </xf>
    <xf numFmtId="4" fontId="2" fillId="0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horizontal="right"/>
      <protection locked="0"/>
    </xf>
    <xf numFmtId="4" fontId="7" fillId="2" borderId="1" xfId="0" applyNumberFormat="1" applyFont="1" applyFill="1" applyBorder="1" applyAlignment="1" applyProtection="1">
      <alignment horizontal="right"/>
      <protection hidden="1"/>
    </xf>
    <xf numFmtId="3" fontId="2" fillId="0" borderId="1" xfId="0" applyNumberFormat="1" applyFont="1" applyBorder="1" applyAlignment="1" applyProtection="1">
      <alignment horizontal="right" wrapText="1"/>
      <protection hidden="1"/>
    </xf>
    <xf numFmtId="4" fontId="2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hidden="1"/>
    </xf>
    <xf numFmtId="0" fontId="2" fillId="0" borderId="1" xfId="0" applyFont="1" applyBorder="1" applyProtection="1">
      <protection hidden="1"/>
    </xf>
    <xf numFmtId="4" fontId="7" fillId="2" borderId="1" xfId="0" applyNumberFormat="1" applyFont="1" applyFill="1" applyBorder="1" applyAlignment="1" applyProtection="1">
      <protection hidden="1"/>
    </xf>
    <xf numFmtId="3" fontId="2" fillId="0" borderId="1" xfId="0" applyNumberFormat="1" applyFont="1" applyFill="1" applyBorder="1" applyAlignment="1" applyProtection="1">
      <alignment wrapText="1"/>
      <protection locked="0"/>
    </xf>
    <xf numFmtId="3" fontId="2" fillId="0" borderId="1" xfId="0" applyNumberFormat="1" applyFont="1" applyFill="1" applyBorder="1" applyAlignment="1" applyProtection="1">
      <protection locked="0"/>
    </xf>
    <xf numFmtId="0" fontId="2" fillId="0" borderId="4" xfId="0" applyFont="1" applyBorder="1" applyAlignment="1">
      <alignment horizontal="center" vertical="center"/>
    </xf>
    <xf numFmtId="4" fontId="2" fillId="0" borderId="1" xfId="0" applyNumberFormat="1" applyFont="1" applyFill="1" applyBorder="1" applyAlignment="1" applyProtection="1">
      <alignment vertical="center"/>
      <protection locked="0" hidden="1"/>
    </xf>
    <xf numFmtId="3" fontId="2" fillId="0" borderId="1" xfId="0" applyNumberFormat="1" applyFont="1" applyFill="1" applyBorder="1" applyAlignment="1" applyProtection="1">
      <alignment vertical="center"/>
      <protection locked="0" hidden="1"/>
    </xf>
    <xf numFmtId="0" fontId="8" fillId="0" borderId="0" xfId="0" applyFont="1"/>
    <xf numFmtId="166" fontId="8" fillId="0" borderId="0" xfId="0" applyNumberFormat="1" applyFont="1"/>
    <xf numFmtId="4" fontId="2" fillId="0" borderId="1" xfId="0" applyNumberFormat="1" applyFont="1" applyFill="1" applyBorder="1" applyAlignment="1" applyProtection="1">
      <alignment horizontal="right"/>
      <protection hidden="1"/>
    </xf>
    <xf numFmtId="0" fontId="1" fillId="0" borderId="1" xfId="0" applyFont="1" applyFill="1" applyBorder="1" applyAlignment="1" applyProtection="1">
      <alignment horizontal="left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Protection="1">
      <protection hidden="1"/>
    </xf>
    <xf numFmtId="49" fontId="2" fillId="0" borderId="1" xfId="0" quotePrefix="1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Protection="1">
      <protection hidden="1"/>
    </xf>
    <xf numFmtId="0" fontId="2" fillId="0" borderId="1" xfId="0" quotePrefix="1" applyFont="1" applyFill="1" applyBorder="1" applyProtection="1"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49" fontId="1" fillId="0" borderId="1" xfId="0" applyNumberFormat="1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164" fontId="2" fillId="0" borderId="1" xfId="0" applyNumberFormat="1" applyFont="1" applyFill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2" fillId="0" borderId="1" xfId="0" quotePrefix="1" applyFont="1" applyFill="1" applyBorder="1" applyAlignment="1" applyProtection="1">
      <alignment horizontal="left"/>
      <protection hidden="1"/>
    </xf>
    <xf numFmtId="4" fontId="2" fillId="0" borderId="1" xfId="0" applyNumberFormat="1" applyFont="1" applyFill="1" applyBorder="1" applyAlignment="1" applyProtection="1">
      <protection hidden="1"/>
    </xf>
    <xf numFmtId="0" fontId="2" fillId="0" borderId="1" xfId="0" applyFont="1" applyFill="1" applyBorder="1" applyAlignment="1" applyProtection="1">
      <alignment horizontal="left" vertical="center"/>
      <protection hidden="1"/>
    </xf>
    <xf numFmtId="49" fontId="2" fillId="0" borderId="1" xfId="0" applyNumberFormat="1" applyFont="1" applyBorder="1" applyProtection="1">
      <protection hidden="1"/>
    </xf>
    <xf numFmtId="49" fontId="2" fillId="0" borderId="1" xfId="0" quotePrefix="1" applyNumberFormat="1" applyFont="1" applyBorder="1" applyAlignment="1" applyProtection="1">
      <alignment horizontal="center"/>
      <protection hidden="1"/>
    </xf>
    <xf numFmtId="0" fontId="9" fillId="3" borderId="0" xfId="0" applyFont="1" applyFill="1" applyProtection="1">
      <protection locked="0"/>
    </xf>
    <xf numFmtId="0" fontId="9" fillId="3" borderId="0" xfId="0" applyFont="1" applyFill="1"/>
    <xf numFmtId="1" fontId="9" fillId="3" borderId="0" xfId="0" applyNumberFormat="1" applyFont="1" applyFill="1"/>
    <xf numFmtId="3" fontId="10" fillId="0" borderId="1" xfId="0" applyNumberFormat="1" applyFont="1" applyFill="1" applyBorder="1" applyAlignment="1" applyProtection="1">
      <alignment vertical="center" wrapText="1"/>
      <protection hidden="1"/>
    </xf>
    <xf numFmtId="4" fontId="10" fillId="0" borderId="1" xfId="0" applyNumberFormat="1" applyFont="1" applyFill="1" applyBorder="1" applyAlignment="1" applyProtection="1">
      <alignment vertical="center"/>
      <protection hidden="1"/>
    </xf>
    <xf numFmtId="3" fontId="10" fillId="0" borderId="1" xfId="0" applyNumberFormat="1" applyFont="1" applyFill="1" applyBorder="1" applyAlignment="1" applyProtection="1">
      <alignment vertical="center"/>
      <protection hidden="1"/>
    </xf>
    <xf numFmtId="4" fontId="10" fillId="0" borderId="1" xfId="0" applyNumberFormat="1" applyFont="1" applyFill="1" applyBorder="1" applyAlignment="1" applyProtection="1">
      <protection hidden="1"/>
    </xf>
    <xf numFmtId="3" fontId="2" fillId="0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vertical="center"/>
      <protection hidden="1"/>
    </xf>
    <xf numFmtId="3" fontId="2" fillId="0" borderId="1" xfId="0" applyNumberFormat="1" applyFont="1" applyFill="1" applyBorder="1" applyAlignment="1" applyProtection="1">
      <alignment horizontal="right"/>
      <protection hidden="1"/>
    </xf>
    <xf numFmtId="0" fontId="1" fillId="0" borderId="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13" xfId="0" applyFont="1" applyFill="1" applyBorder="1" applyAlignment="1" applyProtection="1">
      <alignment horizontal="center" vertical="center"/>
      <protection hidden="1"/>
    </xf>
    <xf numFmtId="0" fontId="1" fillId="0" borderId="14" xfId="0" applyFont="1" applyFill="1" applyBorder="1" applyAlignment="1" applyProtection="1">
      <alignment horizontal="center" vertical="center"/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15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/>
      <protection hidden="1"/>
    </xf>
    <xf numFmtId="0" fontId="1" fillId="0" borderId="5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66" fontId="1" fillId="0" borderId="9" xfId="0" applyNumberFormat="1" applyFont="1" applyFill="1" applyBorder="1" applyAlignment="1" applyProtection="1">
      <alignment horizontal="center" vertical="center"/>
      <protection hidden="1"/>
    </xf>
    <xf numFmtId="166" fontId="1" fillId="0" borderId="5" xfId="0" applyNumberFormat="1" applyFont="1" applyFill="1" applyBorder="1" applyAlignment="1" applyProtection="1">
      <alignment horizontal="center" vertical="center"/>
      <protection hidden="1"/>
    </xf>
    <xf numFmtId="166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8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166" fontId="1" fillId="0" borderId="1" xfId="0" applyNumberFormat="1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theme/theme1.xml" Type="http://schemas.openxmlformats.org/officeDocument/2006/relationships/theme"/>
<Relationship Id="rId5" Target="styles.xml" Type="http://schemas.openxmlformats.org/officeDocument/2006/relationships/styles"/>
<Relationship Id="rId6" Target="sharedStrings.xml" Type="http://schemas.openxmlformats.org/officeDocument/2006/relationships/sharedStrings"/>
<Relationship Id="rId7" Target="calcChain.xml" Type="http://schemas.openxmlformats.org/officeDocument/2006/relationships/calcChain"/>
<Relationship Id="rId8" Target="vbaProject.bin" Type="http://schemas.microsoft.com/office/2006/relationships/vbaProjec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48"/>
  <sheetViews>
    <sheetView zoomScale="75" zoomScaleNormal="85" zoomScaleSheetLayoutView="7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sqref="A1:AW1"/>
    </sheetView>
  </sheetViews>
  <sheetFormatPr defaultRowHeight="11.25" x14ac:dyDescent="0.2"/>
  <cols>
    <col min="1" max="1" customWidth="true" style="1" width="2.5703125" collapsed="false"/>
    <col min="2" max="2" customWidth="true" style="1" width="3.28515625" collapsed="false"/>
    <col min="3" max="3" customWidth="true" style="1" width="2.85546875" collapsed="false"/>
    <col min="4" max="4" customWidth="true" style="1" width="2.5703125" collapsed="false"/>
    <col min="5" max="5" customWidth="true" hidden="true" style="1" width="2.5703125" collapsed="false"/>
    <col min="6" max="6" customWidth="true" style="1" width="32.140625" collapsed="false"/>
    <col min="7" max="7" customWidth="true" style="1" width="18.5703125" collapsed="false"/>
    <col min="8" max="8" customWidth="true" hidden="true" style="1" width="16.5703125" collapsed="false"/>
    <col min="9" max="13" customWidth="true" style="1" width="17.7109375" collapsed="false"/>
    <col min="14" max="15" customWidth="true" hidden="true" style="1" width="17.7109375" collapsed="false"/>
    <col min="16" max="21" customWidth="true" style="1" width="17.7109375" collapsed="false"/>
    <col min="22" max="23" customWidth="true" hidden="true" style="1" width="17.7109375" collapsed="false"/>
    <col min="24" max="29" customWidth="true" style="1" width="17.7109375" collapsed="false"/>
    <col min="30" max="31" customWidth="true" hidden="true" style="1" width="17.7109375" collapsed="false"/>
    <col min="32" max="37" customWidth="true" style="1" width="17.7109375" collapsed="false"/>
    <col min="38" max="39" customWidth="true" hidden="true" style="1" width="17.7109375" collapsed="false"/>
    <col min="40" max="45" customWidth="true" style="1" width="17.7109375" collapsed="false"/>
    <col min="46" max="47" customWidth="true" hidden="true" style="1" width="17.7109375" collapsed="false"/>
    <col min="48" max="49" customWidth="true" style="1" width="17.7109375" collapsed="false"/>
    <col min="50" max="16384" style="1" width="9.140625" collapsed="false"/>
  </cols>
  <sheetData>
    <row r="1" spans="1:49" ht="12.75" x14ac:dyDescent="0.2">
      <c r="A1" s="105" t="s">
        <v>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</row>
    <row r="2" spans="1:49" ht="12.75" x14ac:dyDescent="0.2">
      <c r="A2" s="105" t="s">
        <v>1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</row>
    <row r="3" spans="1:49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</row>
    <row r="4" spans="1:49" hidden="1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</row>
    <row r="5" spans="1:49" hidden="1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</row>
    <row r="6" spans="1:49" hidden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</row>
    <row r="7" spans="1:49" ht="11.25" customHeight="1" x14ac:dyDescent="0.2">
      <c r="A7" s="108" t="s">
        <v>2</v>
      </c>
      <c r="B7" s="109"/>
      <c r="C7" s="109"/>
      <c r="D7" s="109"/>
      <c r="E7" s="109"/>
      <c r="F7" s="110"/>
      <c r="G7" s="119" t="s">
        <v>4</v>
      </c>
      <c r="H7" s="19"/>
      <c r="I7" s="103" t="s">
        <v>5</v>
      </c>
      <c r="J7" s="118"/>
      <c r="K7" s="118"/>
      <c r="L7" s="118"/>
      <c r="M7" s="118"/>
      <c r="N7" s="118"/>
      <c r="O7" s="118"/>
      <c r="P7" s="104"/>
      <c r="Q7" s="103" t="s">
        <v>6</v>
      </c>
      <c r="R7" s="118"/>
      <c r="S7" s="118"/>
      <c r="T7" s="118"/>
      <c r="U7" s="118"/>
      <c r="V7" s="118"/>
      <c r="W7" s="118"/>
      <c r="X7" s="104"/>
      <c r="Y7" s="103" t="s">
        <v>7</v>
      </c>
      <c r="Z7" s="118"/>
      <c r="AA7" s="118"/>
      <c r="AB7" s="118"/>
      <c r="AC7" s="118"/>
      <c r="AD7" s="118"/>
      <c r="AE7" s="118"/>
      <c r="AF7" s="104"/>
      <c r="AG7" s="103" t="s">
        <v>8</v>
      </c>
      <c r="AH7" s="118"/>
      <c r="AI7" s="118"/>
      <c r="AJ7" s="118"/>
      <c r="AK7" s="118"/>
      <c r="AL7" s="118"/>
      <c r="AM7" s="118"/>
      <c r="AN7" s="104"/>
      <c r="AO7" s="103" t="s">
        <v>9</v>
      </c>
      <c r="AP7" s="118"/>
      <c r="AQ7" s="118"/>
      <c r="AR7" s="118"/>
      <c r="AS7" s="118"/>
      <c r="AT7" s="118"/>
      <c r="AU7" s="118"/>
      <c r="AV7" s="104"/>
      <c r="AW7" s="106" t="s">
        <v>10</v>
      </c>
    </row>
    <row r="8" spans="1:49" ht="11.25" customHeight="1" x14ac:dyDescent="0.2">
      <c r="A8" s="111"/>
      <c r="B8" s="112"/>
      <c r="C8" s="112"/>
      <c r="D8" s="112"/>
      <c r="E8" s="112"/>
      <c r="F8" s="113"/>
      <c r="G8" s="120"/>
      <c r="H8" s="14"/>
      <c r="I8" s="106" t="s">
        <v>11</v>
      </c>
      <c r="J8" s="103" t="s">
        <v>134</v>
      </c>
      <c r="K8" s="104"/>
      <c r="L8" s="103" t="s">
        <v>12</v>
      </c>
      <c r="M8" s="104"/>
      <c r="N8" s="102" t="s">
        <v>133</v>
      </c>
      <c r="O8" s="102"/>
      <c r="P8" s="106" t="s">
        <v>13</v>
      </c>
      <c r="Q8" s="106" t="s">
        <v>11</v>
      </c>
      <c r="R8" s="103" t="s">
        <v>134</v>
      </c>
      <c r="S8" s="104"/>
      <c r="T8" s="103" t="s">
        <v>12</v>
      </c>
      <c r="U8" s="104"/>
      <c r="V8" s="102" t="s">
        <v>133</v>
      </c>
      <c r="W8" s="102"/>
      <c r="X8" s="106" t="s">
        <v>13</v>
      </c>
      <c r="Y8" s="106" t="s">
        <v>11</v>
      </c>
      <c r="Z8" s="103" t="s">
        <v>134</v>
      </c>
      <c r="AA8" s="104"/>
      <c r="AB8" s="103" t="s">
        <v>12</v>
      </c>
      <c r="AC8" s="104"/>
      <c r="AD8" s="102" t="s">
        <v>133</v>
      </c>
      <c r="AE8" s="102"/>
      <c r="AF8" s="106" t="s">
        <v>13</v>
      </c>
      <c r="AG8" s="106" t="s">
        <v>11</v>
      </c>
      <c r="AH8" s="103" t="s">
        <v>134</v>
      </c>
      <c r="AI8" s="104"/>
      <c r="AJ8" s="103" t="s">
        <v>12</v>
      </c>
      <c r="AK8" s="104"/>
      <c r="AL8" s="102" t="s">
        <v>133</v>
      </c>
      <c r="AM8" s="102"/>
      <c r="AN8" s="106" t="s">
        <v>13</v>
      </c>
      <c r="AO8" s="117" t="s">
        <v>11</v>
      </c>
      <c r="AP8" s="123" t="s">
        <v>134</v>
      </c>
      <c r="AQ8" s="124"/>
      <c r="AR8" s="123" t="s">
        <v>12</v>
      </c>
      <c r="AS8" s="124"/>
      <c r="AT8" s="102" t="s">
        <v>133</v>
      </c>
      <c r="AU8" s="102"/>
      <c r="AV8" s="106" t="s">
        <v>13</v>
      </c>
      <c r="AW8" s="117"/>
    </row>
    <row r="9" spans="1:49" ht="11.25" customHeight="1" x14ac:dyDescent="0.2">
      <c r="A9" s="114"/>
      <c r="B9" s="115"/>
      <c r="C9" s="115"/>
      <c r="D9" s="115"/>
      <c r="E9" s="115"/>
      <c r="F9" s="116"/>
      <c r="G9" s="121"/>
      <c r="H9" s="15"/>
      <c r="I9" s="107"/>
      <c r="J9" s="2" t="s">
        <v>14</v>
      </c>
      <c r="K9" s="3" t="s">
        <v>15</v>
      </c>
      <c r="L9" s="2" t="s">
        <v>14</v>
      </c>
      <c r="M9" s="3" t="s">
        <v>15</v>
      </c>
      <c r="N9" s="2" t="s">
        <v>14</v>
      </c>
      <c r="O9" s="2" t="s">
        <v>15</v>
      </c>
      <c r="P9" s="107"/>
      <c r="Q9" s="107"/>
      <c r="R9" s="2" t="s">
        <v>14</v>
      </c>
      <c r="S9" s="3" t="s">
        <v>15</v>
      </c>
      <c r="T9" s="2" t="s">
        <v>14</v>
      </c>
      <c r="U9" s="3" t="s">
        <v>15</v>
      </c>
      <c r="V9" s="2" t="s">
        <v>14</v>
      </c>
      <c r="W9" s="2" t="s">
        <v>15</v>
      </c>
      <c r="X9" s="107"/>
      <c r="Y9" s="107"/>
      <c r="Z9" s="2" t="s">
        <v>14</v>
      </c>
      <c r="AA9" s="3" t="s">
        <v>15</v>
      </c>
      <c r="AB9" s="2" t="s">
        <v>14</v>
      </c>
      <c r="AC9" s="3" t="s">
        <v>15</v>
      </c>
      <c r="AD9" s="2" t="s">
        <v>14</v>
      </c>
      <c r="AE9" s="2" t="s">
        <v>15</v>
      </c>
      <c r="AF9" s="107"/>
      <c r="AG9" s="107"/>
      <c r="AH9" s="2" t="s">
        <v>14</v>
      </c>
      <c r="AI9" s="3" t="s">
        <v>15</v>
      </c>
      <c r="AJ9" s="2" t="s">
        <v>14</v>
      </c>
      <c r="AK9" s="3" t="s">
        <v>15</v>
      </c>
      <c r="AL9" s="2" t="s">
        <v>14</v>
      </c>
      <c r="AM9" s="2" t="s">
        <v>15</v>
      </c>
      <c r="AN9" s="107"/>
      <c r="AO9" s="107"/>
      <c r="AP9" s="2" t="s">
        <v>14</v>
      </c>
      <c r="AQ9" s="3" t="s">
        <v>15</v>
      </c>
      <c r="AR9" s="2" t="s">
        <v>14</v>
      </c>
      <c r="AS9" s="3" t="s">
        <v>15</v>
      </c>
      <c r="AT9" s="2" t="s">
        <v>14</v>
      </c>
      <c r="AU9" s="2" t="s">
        <v>15</v>
      </c>
      <c r="AV9" s="107"/>
      <c r="AW9" s="107"/>
    </row>
    <row r="10" spans="1:49" ht="11.25" customHeight="1" x14ac:dyDescent="0.2">
      <c r="A10" s="68" t="s">
        <v>16</v>
      </c>
      <c r="B10" s="68" t="s">
        <v>3</v>
      </c>
      <c r="C10" s="69"/>
      <c r="D10" s="69"/>
      <c r="E10" s="69"/>
      <c r="F10" s="69"/>
      <c r="G10" s="70" t="s">
        <v>83</v>
      </c>
      <c r="H10" s="26"/>
      <c r="I10" s="27">
        <f xml:space="preserve"> (I11 + I18 + I23 + I26 + I27)</f>
        <v>0</v>
      </c>
      <c r="J10" s="28"/>
      <c r="K10" s="28"/>
      <c r="L10" s="27">
        <f xml:space="preserve"> (L11 + L18 + L23 + L26 + L27)</f>
        <v>0</v>
      </c>
      <c r="M10" s="27">
        <f xml:space="preserve"> (M11 + M18 + M23 + M26 + M27)</f>
        <v>0</v>
      </c>
      <c r="N10" s="27">
        <f xml:space="preserve"> (N11 + N18 + N23 + N26 + N27)</f>
        <v>0</v>
      </c>
      <c r="O10" s="27">
        <f xml:space="preserve"> (O11 + O18 + O23 + O26 + O27)</f>
        <v>0</v>
      </c>
      <c r="P10" s="27">
        <f>I10+M10+O10</f>
        <v>0</v>
      </c>
      <c r="Q10" s="27">
        <f xml:space="preserve"> (Q11 + Q18 + Q23 + Q26 + Q27)</f>
        <v>0</v>
      </c>
      <c r="R10" s="28"/>
      <c r="S10" s="28"/>
      <c r="T10" s="27">
        <f xml:space="preserve"> (T11 + T18 + T23 + T26 + T27)</f>
        <v>0</v>
      </c>
      <c r="U10" s="27">
        <f xml:space="preserve"> (U11 + U18 + U23 + U26 + U27)</f>
        <v>0</v>
      </c>
      <c r="V10" s="27">
        <f xml:space="preserve"> (V11 + V18 + V23 + V26 + V27)</f>
        <v>0</v>
      </c>
      <c r="W10" s="27">
        <f xml:space="preserve"> (W11 + W18 + W23 + W26 + W27)</f>
        <v>0</v>
      </c>
      <c r="X10" s="27">
        <f>Q10+U10+W10</f>
        <v>0</v>
      </c>
      <c r="Y10" s="27">
        <f xml:space="preserve"> (Y11 + Y18 + Y23 + Y26 + Y27)</f>
        <v>0</v>
      </c>
      <c r="Z10" s="28"/>
      <c r="AA10" s="28"/>
      <c r="AB10" s="27">
        <f xml:space="preserve"> (AB11 + AB18 + AB23 + AB26 + AB27)</f>
        <v>0</v>
      </c>
      <c r="AC10" s="27">
        <f xml:space="preserve"> (AC11 + AC18 + AC23 + AC26 + AC27)</f>
        <v>0</v>
      </c>
      <c r="AD10" s="27">
        <f xml:space="preserve"> (AD11 + AD18 + AD23 + AD26 + AD27)</f>
        <v>0</v>
      </c>
      <c r="AE10" s="27">
        <f xml:space="preserve"> (AE11 + AE18 + AE23 + AE26 + AE27)</f>
        <v>0</v>
      </c>
      <c r="AF10" s="27">
        <f>Y10+AC10+AE10</f>
        <v>0</v>
      </c>
      <c r="AG10" s="27">
        <f xml:space="preserve"> (AG11 + AG18 + AG23 + AG26 + AG27)</f>
        <v>0</v>
      </c>
      <c r="AH10" s="28"/>
      <c r="AI10" s="28"/>
      <c r="AJ10" s="27">
        <f xml:space="preserve"> (AJ11 + AJ18 + AJ23 + AJ26 + AJ27)</f>
        <v>0</v>
      </c>
      <c r="AK10" s="27">
        <f xml:space="preserve"> (AK11 + AK18 + AK23 + AK26 + AK27)</f>
        <v>0</v>
      </c>
      <c r="AL10" s="27">
        <f xml:space="preserve"> (AL11 + AL18 + AL23 + AL26 + AL27)</f>
        <v>0</v>
      </c>
      <c r="AM10" s="27">
        <f xml:space="preserve"> (AM11 + AM18 + AM23 + AM26 + AM27)</f>
        <v>0</v>
      </c>
      <c r="AN10" s="27">
        <f>AG10+AK10+AM10</f>
        <v>0</v>
      </c>
      <c r="AO10" s="27">
        <f xml:space="preserve"> (AO11 + AO18 + AO23 + AO26 + AO27)</f>
        <v>0</v>
      </c>
      <c r="AP10" s="28"/>
      <c r="AQ10" s="28"/>
      <c r="AR10" s="28"/>
      <c r="AS10" s="28"/>
      <c r="AT10" s="51">
        <f xml:space="preserve"> (AT11 + AT18 + AT23 + AT26 + AT27)</f>
        <v>0</v>
      </c>
      <c r="AU10" s="51">
        <f xml:space="preserve"> (AU11 + AU18 + AU23 + AU26 + AU27)</f>
        <v>0</v>
      </c>
      <c r="AV10" s="27">
        <f>AO10+AS10+AU10</f>
        <v>0</v>
      </c>
      <c r="AW10" s="27">
        <f>P10+X10+AF10+AN10+AV10</f>
        <v>0</v>
      </c>
    </row>
    <row r="11" spans="1:49" ht="11.25" customHeight="1" x14ac:dyDescent="0.2">
      <c r="A11" s="71"/>
      <c r="B11" s="72" t="s">
        <v>17</v>
      </c>
      <c r="C11" s="71" t="s">
        <v>18</v>
      </c>
      <c r="D11" s="71"/>
      <c r="E11" s="71"/>
      <c r="F11" s="71"/>
      <c r="G11" s="73" t="s">
        <v>84</v>
      </c>
      <c r="H11" s="4"/>
      <c r="I11" s="27">
        <f xml:space="preserve"> (I12 + I13 + I14)</f>
        <v>0</v>
      </c>
      <c r="J11" s="28"/>
      <c r="K11" s="28"/>
      <c r="L11" s="27">
        <f xml:space="preserve"> (L12 + L13 + L14)</f>
        <v>0</v>
      </c>
      <c r="M11" s="27">
        <f xml:space="preserve"> (M12 + M13 + M14)</f>
        <v>0</v>
      </c>
      <c r="N11" s="27">
        <f xml:space="preserve"> (N12 + N13 + N14)</f>
        <v>0</v>
      </c>
      <c r="O11" s="27">
        <f xml:space="preserve"> (O12 + O13 + O14)</f>
        <v>0</v>
      </c>
      <c r="P11" s="27">
        <f t="shared" ref="P11:P47" si="0">I11+M11+O11</f>
        <v>0</v>
      </c>
      <c r="Q11" s="27">
        <f xml:space="preserve"> (Q12 + Q13 + Q14)</f>
        <v>0</v>
      </c>
      <c r="R11" s="28"/>
      <c r="S11" s="28"/>
      <c r="T11" s="27">
        <f xml:space="preserve"> (T12 + T13 + T14)</f>
        <v>0</v>
      </c>
      <c r="U11" s="27">
        <f xml:space="preserve"> (U12 + U13 + U14)</f>
        <v>0</v>
      </c>
      <c r="V11" s="27">
        <f xml:space="preserve"> (V12 + V13 + V14)</f>
        <v>0</v>
      </c>
      <c r="W11" s="27">
        <f xml:space="preserve"> (W12 + W13 + W14)</f>
        <v>0</v>
      </c>
      <c r="X11" s="27">
        <f t="shared" ref="X11:X47" si="1">Q11+U11+W11</f>
        <v>0</v>
      </c>
      <c r="Y11" s="27">
        <f xml:space="preserve"> (Y12 + Y13 + Y14)</f>
        <v>0</v>
      </c>
      <c r="Z11" s="28"/>
      <c r="AA11" s="28"/>
      <c r="AB11" s="27">
        <f xml:space="preserve"> (AB12 + AB13 + AB14)</f>
        <v>0</v>
      </c>
      <c r="AC11" s="27">
        <f xml:space="preserve"> (AC12 + AC13 + AC14)</f>
        <v>0</v>
      </c>
      <c r="AD11" s="27">
        <f xml:space="preserve"> (AD12 + AD13 + AD14)</f>
        <v>0</v>
      </c>
      <c r="AE11" s="27">
        <f xml:space="preserve"> (AE12 + AE13 + AE14)</f>
        <v>0</v>
      </c>
      <c r="AF11" s="27">
        <f t="shared" ref="AF11:AF47" si="2">Y11+AC11+AE11</f>
        <v>0</v>
      </c>
      <c r="AG11" s="27">
        <f xml:space="preserve"> (AG12 + AG13 + AG14)</f>
        <v>0</v>
      </c>
      <c r="AH11" s="28"/>
      <c r="AI11" s="28"/>
      <c r="AJ11" s="27">
        <f xml:space="preserve"> (AJ12 + AJ13 + AJ14)</f>
        <v>0</v>
      </c>
      <c r="AK11" s="27">
        <f xml:space="preserve"> (AK12 + AK13 + AK14)</f>
        <v>0</v>
      </c>
      <c r="AL11" s="27">
        <f xml:space="preserve"> (AL12 + AL13 + AL14)</f>
        <v>0</v>
      </c>
      <c r="AM11" s="27">
        <f xml:space="preserve"> (AM12 + AM13 + AM14)</f>
        <v>0</v>
      </c>
      <c r="AN11" s="27">
        <f t="shared" ref="AN11:AN47" si="3">AG11+AK11+AM11</f>
        <v>0</v>
      </c>
      <c r="AO11" s="27">
        <f xml:space="preserve"> (AO12 + AO13 + AO14)</f>
        <v>0</v>
      </c>
      <c r="AP11" s="28"/>
      <c r="AQ11" s="28"/>
      <c r="AR11" s="28"/>
      <c r="AS11" s="28"/>
      <c r="AT11" s="51">
        <f xml:space="preserve"> (AT12 + AT13 + AT14)</f>
        <v>0</v>
      </c>
      <c r="AU11" s="51">
        <f xml:space="preserve"> (AU12 + AU13 + AU14)</f>
        <v>0</v>
      </c>
      <c r="AV11" s="27">
        <f t="shared" ref="AV11:AV47" si="4">AO11+AS11+AU11</f>
        <v>0</v>
      </c>
      <c r="AW11" s="27">
        <f t="shared" ref="AW11:AW47" si="5">P11+X11+AF11+AN11+AV11</f>
        <v>0</v>
      </c>
    </row>
    <row r="12" spans="1:49" ht="11.25" customHeight="1" x14ac:dyDescent="0.2">
      <c r="A12" s="71"/>
      <c r="B12" s="71"/>
      <c r="C12" s="74" t="s">
        <v>19</v>
      </c>
      <c r="D12" s="71" t="s">
        <v>20</v>
      </c>
      <c r="E12" s="71"/>
      <c r="F12" s="71"/>
      <c r="G12" s="73" t="s">
        <v>85</v>
      </c>
      <c r="H12" s="4"/>
      <c r="I12" s="34" t="n">
        <v>0.0</v>
      </c>
      <c r="J12" s="32"/>
      <c r="K12" s="32"/>
      <c r="L12" s="34"/>
      <c r="M12" s="34"/>
      <c r="N12" s="34"/>
      <c r="O12" s="34"/>
      <c r="P12" s="27">
        <f t="shared" si="0"/>
        <v>0</v>
      </c>
      <c r="Q12" s="34" t="n">
        <v>4206.6</v>
      </c>
      <c r="R12" s="32"/>
      <c r="S12" s="32"/>
      <c r="T12" s="34"/>
      <c r="U12" s="34"/>
      <c r="V12" s="34"/>
      <c r="W12" s="34"/>
      <c r="X12" s="27">
        <f t="shared" si="1"/>
        <v>0</v>
      </c>
      <c r="Y12" s="34"/>
      <c r="Z12" s="32"/>
      <c r="AA12" s="32"/>
      <c r="AB12" s="34"/>
      <c r="AC12" s="34"/>
      <c r="AD12" s="34"/>
      <c r="AE12" s="34"/>
      <c r="AF12" s="27">
        <f t="shared" si="2"/>
        <v>0</v>
      </c>
      <c r="AG12" s="34" t="n">
        <v>0.0</v>
      </c>
      <c r="AH12" s="32"/>
      <c r="AI12" s="32"/>
      <c r="AJ12" s="34"/>
      <c r="AK12" s="34"/>
      <c r="AL12" s="34"/>
      <c r="AM12" s="34"/>
      <c r="AN12" s="27">
        <f t="shared" si="3"/>
        <v>0</v>
      </c>
      <c r="AO12" s="34"/>
      <c r="AP12" s="32"/>
      <c r="AQ12" s="32"/>
      <c r="AR12" s="30"/>
      <c r="AS12" s="30"/>
      <c r="AT12" s="50"/>
      <c r="AU12" s="50"/>
      <c r="AV12" s="27">
        <f t="shared" si="4"/>
        <v>0</v>
      </c>
      <c r="AW12" s="27">
        <f t="shared" si="5"/>
        <v>0</v>
      </c>
    </row>
    <row r="13" spans="1:49" ht="11.25" customHeight="1" x14ac:dyDescent="0.2">
      <c r="A13" s="71"/>
      <c r="B13" s="71"/>
      <c r="C13" s="74" t="s">
        <v>21</v>
      </c>
      <c r="D13" s="71" t="s">
        <v>22</v>
      </c>
      <c r="E13" s="71"/>
      <c r="F13" s="71"/>
      <c r="G13" s="73" t="s">
        <v>86</v>
      </c>
      <c r="H13" s="4"/>
      <c r="I13" s="34" t="n">
        <v>0.0</v>
      </c>
      <c r="J13" s="32"/>
      <c r="K13" s="32"/>
      <c r="L13" s="34"/>
      <c r="M13" s="34"/>
      <c r="N13" s="34"/>
      <c r="O13" s="34"/>
      <c r="P13" s="27">
        <f t="shared" si="0"/>
        <v>0</v>
      </c>
      <c r="Q13" s="34" t="n">
        <v>0.0</v>
      </c>
      <c r="R13" s="32"/>
      <c r="S13" s="32"/>
      <c r="T13" s="34"/>
      <c r="U13" s="34"/>
      <c r="V13" s="34"/>
      <c r="W13" s="34"/>
      <c r="X13" s="27">
        <f t="shared" si="1"/>
        <v>0</v>
      </c>
      <c r="Y13" s="34"/>
      <c r="Z13" s="32"/>
      <c r="AA13" s="32"/>
      <c r="AB13" s="34"/>
      <c r="AC13" s="34"/>
      <c r="AD13" s="34"/>
      <c r="AE13" s="34"/>
      <c r="AF13" s="27">
        <f t="shared" si="2"/>
        <v>0</v>
      </c>
      <c r="AG13" s="34" t="n">
        <v>0.0</v>
      </c>
      <c r="AH13" s="32"/>
      <c r="AI13" s="32"/>
      <c r="AJ13" s="34"/>
      <c r="AK13" s="34"/>
      <c r="AL13" s="34"/>
      <c r="AM13" s="34"/>
      <c r="AN13" s="27">
        <f t="shared" si="3"/>
        <v>0</v>
      </c>
      <c r="AO13" s="34"/>
      <c r="AP13" s="32"/>
      <c r="AQ13" s="32"/>
      <c r="AR13" s="30"/>
      <c r="AS13" s="30"/>
      <c r="AT13" s="50"/>
      <c r="AU13" s="50"/>
      <c r="AV13" s="27">
        <f t="shared" si="4"/>
        <v>0</v>
      </c>
      <c r="AW13" s="27">
        <f t="shared" si="5"/>
        <v>0</v>
      </c>
    </row>
    <row r="14" spans="1:49" ht="11.25" customHeight="1" x14ac:dyDescent="0.2">
      <c r="A14" s="71"/>
      <c r="B14" s="71"/>
      <c r="C14" s="74" t="s">
        <v>23</v>
      </c>
      <c r="D14" s="71" t="s">
        <v>24</v>
      </c>
      <c r="E14" s="71"/>
      <c r="F14" s="71"/>
      <c r="G14" s="73" t="s">
        <v>87</v>
      </c>
      <c r="H14" s="4"/>
      <c r="I14" s="27">
        <f xml:space="preserve"> (I15 + I16 + I17)</f>
        <v>0</v>
      </c>
      <c r="J14" s="28"/>
      <c r="K14" s="28"/>
      <c r="L14" s="27">
        <f xml:space="preserve"> (L15 + L16 + L17)</f>
        <v>0</v>
      </c>
      <c r="M14" s="27">
        <f xml:space="preserve"> (M15 + M16 + M17)</f>
        <v>0</v>
      </c>
      <c r="N14" s="27">
        <f xml:space="preserve"> (N15 + N16 + N17)</f>
        <v>0</v>
      </c>
      <c r="O14" s="27">
        <f xml:space="preserve"> (O15 + O16 + O17)</f>
        <v>0</v>
      </c>
      <c r="P14" s="27">
        <f t="shared" si="0"/>
        <v>0</v>
      </c>
      <c r="Q14" s="27">
        <f xml:space="preserve"> (Q15 + Q16 + Q17)</f>
        <v>0</v>
      </c>
      <c r="R14" s="28"/>
      <c r="S14" s="28"/>
      <c r="T14" s="27">
        <f xml:space="preserve"> (T15 + T16 + T17)</f>
        <v>0</v>
      </c>
      <c r="U14" s="27">
        <f xml:space="preserve"> (U15 + U16 + U17)</f>
        <v>0</v>
      </c>
      <c r="V14" s="27">
        <f xml:space="preserve"> (V15 + V16 + V17)</f>
        <v>0</v>
      </c>
      <c r="W14" s="27">
        <f xml:space="preserve"> (W15 + W16 + W17)</f>
        <v>0</v>
      </c>
      <c r="X14" s="27">
        <f t="shared" si="1"/>
        <v>0</v>
      </c>
      <c r="Y14" s="27">
        <f xml:space="preserve"> (Y15 + Y16 + Y17)</f>
        <v>0</v>
      </c>
      <c r="Z14" s="28"/>
      <c r="AA14" s="28"/>
      <c r="AB14" s="27">
        <f xml:space="preserve"> (AB15 + AB16 + AB17)</f>
        <v>0</v>
      </c>
      <c r="AC14" s="27">
        <f xml:space="preserve"> (AC15 + AC16 + AC17)</f>
        <v>0</v>
      </c>
      <c r="AD14" s="27">
        <f xml:space="preserve"> (AD15 + AD16 + AD17)</f>
        <v>0</v>
      </c>
      <c r="AE14" s="27">
        <f xml:space="preserve"> (AE15 + AE16 + AE17)</f>
        <v>0</v>
      </c>
      <c r="AF14" s="27">
        <f t="shared" si="2"/>
        <v>0</v>
      </c>
      <c r="AG14" s="27">
        <f xml:space="preserve"> (AG15 + AG16 + AG17)</f>
        <v>0</v>
      </c>
      <c r="AH14" s="28"/>
      <c r="AI14" s="28"/>
      <c r="AJ14" s="27">
        <f xml:space="preserve"> (AJ15 + AJ16 + AJ17)</f>
        <v>0</v>
      </c>
      <c r="AK14" s="27">
        <f xml:space="preserve"> (AK15 + AK16 + AK17)</f>
        <v>0</v>
      </c>
      <c r="AL14" s="27">
        <f xml:space="preserve"> (AL15 + AL16 + AL17)</f>
        <v>0</v>
      </c>
      <c r="AM14" s="27">
        <f xml:space="preserve"> (AM15 + AM16 + AM17)</f>
        <v>0</v>
      </c>
      <c r="AN14" s="27">
        <f t="shared" si="3"/>
        <v>0</v>
      </c>
      <c r="AO14" s="27">
        <f xml:space="preserve"> (AO15 + AO16 + AO17)</f>
        <v>0</v>
      </c>
      <c r="AP14" s="28"/>
      <c r="AQ14" s="28"/>
      <c r="AR14" s="28"/>
      <c r="AS14" s="28"/>
      <c r="AT14" s="51">
        <f xml:space="preserve"> (AT15 + AT16 + AT17)</f>
        <v>0</v>
      </c>
      <c r="AU14" s="51">
        <f xml:space="preserve"> (AU15 + AU16 + AU17)</f>
        <v>0</v>
      </c>
      <c r="AV14" s="27">
        <f t="shared" si="4"/>
        <v>0</v>
      </c>
      <c r="AW14" s="27">
        <f t="shared" si="5"/>
        <v>0</v>
      </c>
    </row>
    <row r="15" spans="1:49" ht="11.25" customHeight="1" x14ac:dyDescent="0.2">
      <c r="A15" s="71"/>
      <c r="B15" s="71"/>
      <c r="C15" s="74"/>
      <c r="D15" s="75" t="s">
        <v>25</v>
      </c>
      <c r="E15" s="75"/>
      <c r="F15" s="71" t="s">
        <v>26</v>
      </c>
      <c r="G15" s="73" t="s">
        <v>88</v>
      </c>
      <c r="H15" s="4"/>
      <c r="I15" s="34" t="n">
        <v>0.0</v>
      </c>
      <c r="J15" s="32"/>
      <c r="K15" s="32"/>
      <c r="L15" s="34"/>
      <c r="M15" s="34"/>
      <c r="N15" s="34"/>
      <c r="O15" s="34"/>
      <c r="P15" s="27">
        <f t="shared" si="0"/>
        <v>0</v>
      </c>
      <c r="Q15" s="34" t="n">
        <v>0.0</v>
      </c>
      <c r="R15" s="32"/>
      <c r="S15" s="32"/>
      <c r="T15" s="34"/>
      <c r="U15" s="34"/>
      <c r="V15" s="34"/>
      <c r="W15" s="34"/>
      <c r="X15" s="27">
        <f t="shared" si="1"/>
        <v>0</v>
      </c>
      <c r="Y15" s="34"/>
      <c r="Z15" s="32"/>
      <c r="AA15" s="32"/>
      <c r="AB15" s="34"/>
      <c r="AC15" s="34"/>
      <c r="AD15" s="34"/>
      <c r="AE15" s="34"/>
      <c r="AF15" s="27">
        <f t="shared" si="2"/>
        <v>0</v>
      </c>
      <c r="AG15" s="34" t="n">
        <v>0.0</v>
      </c>
      <c r="AH15" s="32"/>
      <c r="AI15" s="32"/>
      <c r="AJ15" s="34"/>
      <c r="AK15" s="34"/>
      <c r="AL15" s="34"/>
      <c r="AM15" s="34"/>
      <c r="AN15" s="27">
        <f t="shared" si="3"/>
        <v>0</v>
      </c>
      <c r="AO15" s="34"/>
      <c r="AP15" s="32"/>
      <c r="AQ15" s="32"/>
      <c r="AR15" s="30"/>
      <c r="AS15" s="30"/>
      <c r="AT15" s="50"/>
      <c r="AU15" s="50"/>
      <c r="AV15" s="27">
        <f t="shared" si="4"/>
        <v>0</v>
      </c>
      <c r="AW15" s="27">
        <f t="shared" si="5"/>
        <v>0</v>
      </c>
    </row>
    <row r="16" spans="1:49" ht="11.25" customHeight="1" x14ac:dyDescent="0.2">
      <c r="A16" s="71"/>
      <c r="B16" s="71"/>
      <c r="C16" s="74"/>
      <c r="D16" s="75" t="s">
        <v>27</v>
      </c>
      <c r="E16" s="75"/>
      <c r="F16" s="71" t="s">
        <v>28</v>
      </c>
      <c r="G16" s="73" t="s">
        <v>89</v>
      </c>
      <c r="H16" s="4"/>
      <c r="I16" s="34" t="n">
        <v>0.0</v>
      </c>
      <c r="J16" s="32"/>
      <c r="K16" s="32"/>
      <c r="L16" s="34"/>
      <c r="M16" s="34"/>
      <c r="N16" s="34"/>
      <c r="O16" s="34"/>
      <c r="P16" s="27">
        <f t="shared" si="0"/>
        <v>0</v>
      </c>
      <c r="Q16" s="34" t="n">
        <v>0.0</v>
      </c>
      <c r="R16" s="32"/>
      <c r="S16" s="32"/>
      <c r="T16" s="34"/>
      <c r="U16" s="34"/>
      <c r="V16" s="34"/>
      <c r="W16" s="34"/>
      <c r="X16" s="27">
        <f t="shared" si="1"/>
        <v>0</v>
      </c>
      <c r="Y16" s="34"/>
      <c r="Z16" s="32"/>
      <c r="AA16" s="32"/>
      <c r="AB16" s="34"/>
      <c r="AC16" s="34"/>
      <c r="AD16" s="34"/>
      <c r="AE16" s="34"/>
      <c r="AF16" s="27">
        <f t="shared" si="2"/>
        <v>0</v>
      </c>
      <c r="AG16" s="34" t="n">
        <v>0.0</v>
      </c>
      <c r="AH16" s="32"/>
      <c r="AI16" s="32"/>
      <c r="AJ16" s="34"/>
      <c r="AK16" s="34"/>
      <c r="AL16" s="34"/>
      <c r="AM16" s="34"/>
      <c r="AN16" s="27">
        <f t="shared" si="3"/>
        <v>0</v>
      </c>
      <c r="AO16" s="34"/>
      <c r="AP16" s="32"/>
      <c r="AQ16" s="32"/>
      <c r="AR16" s="30"/>
      <c r="AS16" s="30"/>
      <c r="AT16" s="50"/>
      <c r="AU16" s="50"/>
      <c r="AV16" s="27">
        <f t="shared" si="4"/>
        <v>0</v>
      </c>
      <c r="AW16" s="27">
        <f t="shared" si="5"/>
        <v>0</v>
      </c>
    </row>
    <row r="17" spans="1:49" ht="11.25" customHeight="1" x14ac:dyDescent="0.2">
      <c r="A17" s="71"/>
      <c r="B17" s="71"/>
      <c r="C17" s="74"/>
      <c r="D17" s="75" t="s">
        <v>29</v>
      </c>
      <c r="E17" s="75"/>
      <c r="F17" s="71" t="s">
        <v>30</v>
      </c>
      <c r="G17" s="73" t="s">
        <v>90</v>
      </c>
      <c r="H17" s="4"/>
      <c r="I17" s="34" t="n">
        <v>0.0</v>
      </c>
      <c r="J17" s="32"/>
      <c r="K17" s="32"/>
      <c r="L17" s="34"/>
      <c r="M17" s="34"/>
      <c r="N17" s="34"/>
      <c r="O17" s="34"/>
      <c r="P17" s="27">
        <f t="shared" si="0"/>
        <v>0</v>
      </c>
      <c r="Q17" s="34" t="n">
        <v>0.0</v>
      </c>
      <c r="R17" s="32"/>
      <c r="S17" s="32"/>
      <c r="T17" s="34"/>
      <c r="U17" s="34"/>
      <c r="V17" s="34"/>
      <c r="W17" s="34"/>
      <c r="X17" s="27">
        <f t="shared" si="1"/>
        <v>0</v>
      </c>
      <c r="Y17" s="34"/>
      <c r="Z17" s="32"/>
      <c r="AA17" s="32"/>
      <c r="AB17" s="34"/>
      <c r="AC17" s="34"/>
      <c r="AD17" s="34"/>
      <c r="AE17" s="34"/>
      <c r="AF17" s="27">
        <f t="shared" si="2"/>
        <v>0</v>
      </c>
      <c r="AG17" s="34" t="n">
        <v>0.0</v>
      </c>
      <c r="AH17" s="32"/>
      <c r="AI17" s="32"/>
      <c r="AJ17" s="34"/>
      <c r="AK17" s="34"/>
      <c r="AL17" s="34"/>
      <c r="AM17" s="34"/>
      <c r="AN17" s="27">
        <f t="shared" si="3"/>
        <v>0</v>
      </c>
      <c r="AO17" s="34"/>
      <c r="AP17" s="32"/>
      <c r="AQ17" s="32"/>
      <c r="AR17" s="30"/>
      <c r="AS17" s="30"/>
      <c r="AT17" s="50"/>
      <c r="AU17" s="50"/>
      <c r="AV17" s="27">
        <f t="shared" si="4"/>
        <v>0</v>
      </c>
      <c r="AW17" s="27">
        <f t="shared" si="5"/>
        <v>0</v>
      </c>
    </row>
    <row r="18" spans="1:49" ht="11.25" customHeight="1" x14ac:dyDescent="0.2">
      <c r="A18" s="71"/>
      <c r="B18" s="72" t="s">
        <v>31</v>
      </c>
      <c r="C18" s="71" t="s">
        <v>32</v>
      </c>
      <c r="D18" s="71"/>
      <c r="E18" s="71"/>
      <c r="F18" s="71"/>
      <c r="G18" s="73" t="s">
        <v>91</v>
      </c>
      <c r="H18" s="4"/>
      <c r="I18" s="27">
        <f xml:space="preserve"> (I19 + I22)</f>
        <v>0</v>
      </c>
      <c r="J18" s="28"/>
      <c r="K18" s="28"/>
      <c r="L18" s="27">
        <f xml:space="preserve"> (L19 + L22)</f>
        <v>0</v>
      </c>
      <c r="M18" s="27">
        <f xml:space="preserve"> (M19 + M22)</f>
        <v>0</v>
      </c>
      <c r="N18" s="27">
        <f xml:space="preserve"> (N19 + N22)</f>
        <v>0</v>
      </c>
      <c r="O18" s="27">
        <f xml:space="preserve"> (O19 + O22)</f>
        <v>0</v>
      </c>
      <c r="P18" s="27">
        <f t="shared" si="0"/>
        <v>0</v>
      </c>
      <c r="Q18" s="27">
        <f xml:space="preserve"> (Q19 + Q22)</f>
        <v>0</v>
      </c>
      <c r="R18" s="28"/>
      <c r="S18" s="28"/>
      <c r="T18" s="27">
        <f xml:space="preserve"> (T19 + T22)</f>
        <v>0</v>
      </c>
      <c r="U18" s="27">
        <f xml:space="preserve"> (U19 + U22)</f>
        <v>0</v>
      </c>
      <c r="V18" s="27">
        <f xml:space="preserve"> (V19 + V22)</f>
        <v>0</v>
      </c>
      <c r="W18" s="27">
        <f xml:space="preserve"> (W19 + W22)</f>
        <v>0</v>
      </c>
      <c r="X18" s="27">
        <f t="shared" si="1"/>
        <v>0</v>
      </c>
      <c r="Y18" s="27">
        <f xml:space="preserve"> (Y19 + Y22)</f>
        <v>0</v>
      </c>
      <c r="Z18" s="28"/>
      <c r="AA18" s="28"/>
      <c r="AB18" s="27">
        <f xml:space="preserve"> (AB19 + AB22)</f>
        <v>0</v>
      </c>
      <c r="AC18" s="27">
        <f xml:space="preserve"> (AC19 + AC22)</f>
        <v>0</v>
      </c>
      <c r="AD18" s="27">
        <f xml:space="preserve"> (AD19 + AD22)</f>
        <v>0</v>
      </c>
      <c r="AE18" s="27">
        <f xml:space="preserve"> (AE19 + AE22)</f>
        <v>0</v>
      </c>
      <c r="AF18" s="27">
        <f t="shared" si="2"/>
        <v>0</v>
      </c>
      <c r="AG18" s="27">
        <f xml:space="preserve"> (AG19 + AG22)</f>
        <v>0</v>
      </c>
      <c r="AH18" s="28"/>
      <c r="AI18" s="28"/>
      <c r="AJ18" s="27">
        <f xml:space="preserve"> (AJ19 + AJ22)</f>
        <v>0</v>
      </c>
      <c r="AK18" s="27">
        <f xml:space="preserve"> (AK19 + AK22)</f>
        <v>0</v>
      </c>
      <c r="AL18" s="27">
        <f xml:space="preserve"> (AL19 + AL22)</f>
        <v>0</v>
      </c>
      <c r="AM18" s="27">
        <f xml:space="preserve"> (AM19 + AM22)</f>
        <v>0</v>
      </c>
      <c r="AN18" s="27">
        <f t="shared" si="3"/>
        <v>0</v>
      </c>
      <c r="AO18" s="27">
        <f xml:space="preserve"> (AO19 + AO22)</f>
        <v>0</v>
      </c>
      <c r="AP18" s="28"/>
      <c r="AQ18" s="28"/>
      <c r="AR18" s="28"/>
      <c r="AS18" s="28"/>
      <c r="AT18" s="51">
        <f xml:space="preserve"> (AT19 + AT22)</f>
        <v>0</v>
      </c>
      <c r="AU18" s="51">
        <f xml:space="preserve"> (AU19 + AU22)</f>
        <v>0</v>
      </c>
      <c r="AV18" s="27">
        <f t="shared" si="4"/>
        <v>0</v>
      </c>
      <c r="AW18" s="27">
        <f t="shared" si="5"/>
        <v>0</v>
      </c>
    </row>
    <row r="19" spans="1:49" ht="11.25" customHeight="1" x14ac:dyDescent="0.2">
      <c r="A19" s="71"/>
      <c r="B19" s="72"/>
      <c r="C19" s="71" t="s">
        <v>19</v>
      </c>
      <c r="D19" s="76" t="s">
        <v>33</v>
      </c>
      <c r="E19" s="76"/>
      <c r="F19" s="71"/>
      <c r="G19" s="73" t="s">
        <v>92</v>
      </c>
      <c r="H19" s="4"/>
      <c r="I19" s="27">
        <f xml:space="preserve"> (I20 + I21)</f>
        <v>0</v>
      </c>
      <c r="J19" s="28"/>
      <c r="K19" s="28"/>
      <c r="L19" s="27">
        <f xml:space="preserve"> (L20 + L21)</f>
        <v>0</v>
      </c>
      <c r="M19" s="27">
        <f xml:space="preserve"> (M20 + M21)</f>
        <v>0</v>
      </c>
      <c r="N19" s="27">
        <f xml:space="preserve"> (N20 + N21)</f>
        <v>0</v>
      </c>
      <c r="O19" s="27">
        <f xml:space="preserve"> (O20 + O21)</f>
        <v>0</v>
      </c>
      <c r="P19" s="27">
        <f t="shared" si="0"/>
        <v>0</v>
      </c>
      <c r="Q19" s="27">
        <f xml:space="preserve"> (Q20 + Q21)</f>
        <v>0</v>
      </c>
      <c r="R19" s="28"/>
      <c r="S19" s="28"/>
      <c r="T19" s="27">
        <f xml:space="preserve"> (T20 + T21)</f>
        <v>0</v>
      </c>
      <c r="U19" s="27">
        <f xml:space="preserve"> (U20 + U21)</f>
        <v>0</v>
      </c>
      <c r="V19" s="27">
        <f xml:space="preserve"> (V20 + V21)</f>
        <v>0</v>
      </c>
      <c r="W19" s="27">
        <f xml:space="preserve"> (W20 + W21)</f>
        <v>0</v>
      </c>
      <c r="X19" s="27">
        <f t="shared" si="1"/>
        <v>0</v>
      </c>
      <c r="Y19" s="27">
        <f xml:space="preserve"> (Y20 + Y21)</f>
        <v>0</v>
      </c>
      <c r="Z19" s="28"/>
      <c r="AA19" s="28"/>
      <c r="AB19" s="27">
        <f xml:space="preserve"> (AB20 + AB21)</f>
        <v>0</v>
      </c>
      <c r="AC19" s="27">
        <f xml:space="preserve"> (AC20 + AC21)</f>
        <v>0</v>
      </c>
      <c r="AD19" s="27">
        <f xml:space="preserve"> (AD20 + AD21)</f>
        <v>0</v>
      </c>
      <c r="AE19" s="27">
        <f xml:space="preserve"> (AE20 + AE21)</f>
        <v>0</v>
      </c>
      <c r="AF19" s="27">
        <f t="shared" si="2"/>
        <v>0</v>
      </c>
      <c r="AG19" s="27">
        <f xml:space="preserve"> (AG20 + AG21)</f>
        <v>0</v>
      </c>
      <c r="AH19" s="28"/>
      <c r="AI19" s="28"/>
      <c r="AJ19" s="27">
        <f xml:space="preserve"> (AJ20 + AJ21)</f>
        <v>0</v>
      </c>
      <c r="AK19" s="27">
        <f xml:space="preserve"> (AK20 + AK21)</f>
        <v>0</v>
      </c>
      <c r="AL19" s="27">
        <f xml:space="preserve"> (AL20 + AL21)</f>
        <v>0</v>
      </c>
      <c r="AM19" s="27">
        <f xml:space="preserve"> (AM20 + AM21)</f>
        <v>0</v>
      </c>
      <c r="AN19" s="27">
        <f t="shared" si="3"/>
        <v>0</v>
      </c>
      <c r="AO19" s="27">
        <f xml:space="preserve"> (AO20 + AO21)</f>
        <v>0</v>
      </c>
      <c r="AP19" s="28"/>
      <c r="AQ19" s="28"/>
      <c r="AR19" s="28"/>
      <c r="AS19" s="28"/>
      <c r="AT19" s="51">
        <f xml:space="preserve"> (AT20 + AT21)</f>
        <v>0</v>
      </c>
      <c r="AU19" s="51">
        <f xml:space="preserve"> (AU20 + AU21)</f>
        <v>0</v>
      </c>
      <c r="AV19" s="27">
        <f t="shared" si="4"/>
        <v>0</v>
      </c>
      <c r="AW19" s="27">
        <f t="shared" si="5"/>
        <v>0</v>
      </c>
    </row>
    <row r="20" spans="1:49" ht="11.25" customHeight="1" x14ac:dyDescent="0.2">
      <c r="A20" s="71"/>
      <c r="B20" s="72"/>
      <c r="C20" s="71"/>
      <c r="D20" s="75" t="s">
        <v>25</v>
      </c>
      <c r="E20" s="75"/>
      <c r="F20" s="71" t="s">
        <v>34</v>
      </c>
      <c r="G20" s="73" t="s">
        <v>93</v>
      </c>
      <c r="H20" s="4"/>
      <c r="I20" s="34" t="n">
        <v>0.0</v>
      </c>
      <c r="J20" s="32"/>
      <c r="K20" s="32"/>
      <c r="L20" s="34"/>
      <c r="M20" s="34"/>
      <c r="N20" s="34"/>
      <c r="O20" s="34"/>
      <c r="P20" s="27">
        <f t="shared" si="0"/>
        <v>0</v>
      </c>
      <c r="Q20" s="34" t="n">
        <v>0.0</v>
      </c>
      <c r="R20" s="32"/>
      <c r="S20" s="32"/>
      <c r="T20" s="34"/>
      <c r="U20" s="34"/>
      <c r="V20" s="34"/>
      <c r="W20" s="34"/>
      <c r="X20" s="27">
        <f t="shared" si="1"/>
        <v>0</v>
      </c>
      <c r="Y20" s="34"/>
      <c r="Z20" s="32"/>
      <c r="AA20" s="32"/>
      <c r="AB20" s="34"/>
      <c r="AC20" s="34"/>
      <c r="AD20" s="34"/>
      <c r="AE20" s="34"/>
      <c r="AF20" s="27">
        <f t="shared" si="2"/>
        <v>0</v>
      </c>
      <c r="AG20" s="34" t="n">
        <v>0.0</v>
      </c>
      <c r="AH20" s="32"/>
      <c r="AI20" s="32"/>
      <c r="AJ20" s="34"/>
      <c r="AK20" s="34"/>
      <c r="AL20" s="34"/>
      <c r="AM20" s="34"/>
      <c r="AN20" s="27">
        <f t="shared" si="3"/>
        <v>0</v>
      </c>
      <c r="AO20" s="34"/>
      <c r="AP20" s="32"/>
      <c r="AQ20" s="32"/>
      <c r="AR20" s="30"/>
      <c r="AS20" s="30"/>
      <c r="AT20" s="50"/>
      <c r="AU20" s="50"/>
      <c r="AV20" s="27">
        <f t="shared" si="4"/>
        <v>0</v>
      </c>
      <c r="AW20" s="27">
        <f t="shared" si="5"/>
        <v>0</v>
      </c>
    </row>
    <row r="21" spans="1:49" ht="11.25" customHeight="1" x14ac:dyDescent="0.2">
      <c r="A21" s="71"/>
      <c r="B21" s="72"/>
      <c r="C21" s="71"/>
      <c r="D21" s="75" t="s">
        <v>27</v>
      </c>
      <c r="E21" s="75"/>
      <c r="F21" s="71" t="s">
        <v>35</v>
      </c>
      <c r="G21" s="73" t="s">
        <v>94</v>
      </c>
      <c r="H21" s="4"/>
      <c r="I21" s="34" t="n">
        <v>0.0</v>
      </c>
      <c r="J21" s="32"/>
      <c r="K21" s="32"/>
      <c r="L21" s="34"/>
      <c r="M21" s="34"/>
      <c r="N21" s="34"/>
      <c r="O21" s="34"/>
      <c r="P21" s="27">
        <f t="shared" si="0"/>
        <v>0</v>
      </c>
      <c r="Q21" s="34" t="n">
        <v>0.0</v>
      </c>
      <c r="R21" s="32"/>
      <c r="S21" s="32"/>
      <c r="T21" s="34"/>
      <c r="U21" s="34"/>
      <c r="V21" s="34"/>
      <c r="W21" s="34"/>
      <c r="X21" s="27">
        <f t="shared" si="1"/>
        <v>0</v>
      </c>
      <c r="Y21" s="34"/>
      <c r="Z21" s="32"/>
      <c r="AA21" s="32"/>
      <c r="AB21" s="34"/>
      <c r="AC21" s="34"/>
      <c r="AD21" s="34"/>
      <c r="AE21" s="34"/>
      <c r="AF21" s="27">
        <f t="shared" si="2"/>
        <v>0</v>
      </c>
      <c r="AG21" s="34" t="n">
        <v>0.0</v>
      </c>
      <c r="AH21" s="32"/>
      <c r="AI21" s="32"/>
      <c r="AJ21" s="34"/>
      <c r="AK21" s="34"/>
      <c r="AL21" s="34"/>
      <c r="AM21" s="34"/>
      <c r="AN21" s="27">
        <f t="shared" si="3"/>
        <v>0</v>
      </c>
      <c r="AO21" s="34"/>
      <c r="AP21" s="32"/>
      <c r="AQ21" s="32"/>
      <c r="AR21" s="30"/>
      <c r="AS21" s="30"/>
      <c r="AT21" s="50"/>
      <c r="AU21" s="50"/>
      <c r="AV21" s="27">
        <f t="shared" si="4"/>
        <v>0</v>
      </c>
      <c r="AW21" s="27">
        <f t="shared" si="5"/>
        <v>0</v>
      </c>
    </row>
    <row r="22" spans="1:49" ht="11.25" customHeight="1" x14ac:dyDescent="0.2">
      <c r="A22" s="71"/>
      <c r="B22" s="77"/>
      <c r="C22" s="71" t="s">
        <v>21</v>
      </c>
      <c r="D22" s="71" t="s">
        <v>36</v>
      </c>
      <c r="E22" s="71"/>
      <c r="F22" s="71"/>
      <c r="G22" s="73" t="s">
        <v>95</v>
      </c>
      <c r="H22" s="4"/>
      <c r="I22" s="34" t="n">
        <v>0.0</v>
      </c>
      <c r="J22" s="32"/>
      <c r="K22" s="32"/>
      <c r="L22" s="34"/>
      <c r="M22" s="34"/>
      <c r="N22" s="34"/>
      <c r="O22" s="34"/>
      <c r="P22" s="27">
        <f t="shared" si="0"/>
        <v>0</v>
      </c>
      <c r="Q22" s="34" t="n">
        <v>0.0</v>
      </c>
      <c r="R22" s="32"/>
      <c r="S22" s="32"/>
      <c r="T22" s="34"/>
      <c r="U22" s="34"/>
      <c r="V22" s="34"/>
      <c r="W22" s="34"/>
      <c r="X22" s="27">
        <f t="shared" si="1"/>
        <v>0</v>
      </c>
      <c r="Y22" s="34"/>
      <c r="Z22" s="32"/>
      <c r="AA22" s="32"/>
      <c r="AB22" s="34"/>
      <c r="AC22" s="34"/>
      <c r="AD22" s="34"/>
      <c r="AE22" s="34"/>
      <c r="AF22" s="27">
        <f t="shared" si="2"/>
        <v>0</v>
      </c>
      <c r="AG22" s="34" t="n">
        <v>0.0</v>
      </c>
      <c r="AH22" s="32"/>
      <c r="AI22" s="32"/>
      <c r="AJ22" s="34"/>
      <c r="AK22" s="34"/>
      <c r="AL22" s="34"/>
      <c r="AM22" s="34"/>
      <c r="AN22" s="27">
        <f t="shared" si="3"/>
        <v>0</v>
      </c>
      <c r="AO22" s="34"/>
      <c r="AP22" s="32"/>
      <c r="AQ22" s="32"/>
      <c r="AR22" s="30"/>
      <c r="AS22" s="30"/>
      <c r="AT22" s="50"/>
      <c r="AU22" s="50"/>
      <c r="AV22" s="27">
        <f t="shared" si="4"/>
        <v>0</v>
      </c>
      <c r="AW22" s="27">
        <f t="shared" si="5"/>
        <v>0</v>
      </c>
    </row>
    <row r="23" spans="1:49" ht="11.25" customHeight="1" x14ac:dyDescent="0.2">
      <c r="A23" s="71"/>
      <c r="B23" s="75" t="s">
        <v>37</v>
      </c>
      <c r="C23" s="71" t="s">
        <v>38</v>
      </c>
      <c r="D23" s="71"/>
      <c r="E23" s="71"/>
      <c r="F23" s="71"/>
      <c r="G23" s="73" t="s">
        <v>96</v>
      </c>
      <c r="H23" s="4"/>
      <c r="I23" s="27">
        <f xml:space="preserve"> (I24 + I25)</f>
        <v>0</v>
      </c>
      <c r="J23" s="28"/>
      <c r="K23" s="28"/>
      <c r="L23" s="27">
        <f xml:space="preserve"> (L24 + L25)</f>
        <v>0</v>
      </c>
      <c r="M23" s="27">
        <f xml:space="preserve"> (M24 + M25)</f>
        <v>0</v>
      </c>
      <c r="N23" s="27">
        <f xml:space="preserve"> (N24 + N25)</f>
        <v>0</v>
      </c>
      <c r="O23" s="27">
        <f xml:space="preserve"> (O24 + O25)</f>
        <v>0</v>
      </c>
      <c r="P23" s="27">
        <f t="shared" si="0"/>
        <v>0</v>
      </c>
      <c r="Q23" s="27">
        <f xml:space="preserve"> (Q24 + Q25)</f>
        <v>0</v>
      </c>
      <c r="R23" s="28"/>
      <c r="S23" s="28"/>
      <c r="T23" s="27">
        <f xml:space="preserve"> (T24 + T25)</f>
        <v>0</v>
      </c>
      <c r="U23" s="27">
        <f xml:space="preserve"> (U24 + U25)</f>
        <v>0</v>
      </c>
      <c r="V23" s="27">
        <f xml:space="preserve"> (V24 + V25)</f>
        <v>0</v>
      </c>
      <c r="W23" s="27">
        <f xml:space="preserve"> (W24 + W25)</f>
        <v>0</v>
      </c>
      <c r="X23" s="27">
        <f t="shared" si="1"/>
        <v>0</v>
      </c>
      <c r="Y23" s="27">
        <f xml:space="preserve"> (Y24 + Y25)</f>
        <v>0</v>
      </c>
      <c r="Z23" s="28"/>
      <c r="AA23" s="28"/>
      <c r="AB23" s="27">
        <f xml:space="preserve"> (AB24 + AB25)</f>
        <v>0</v>
      </c>
      <c r="AC23" s="27">
        <f xml:space="preserve"> (AC24 + AC25)</f>
        <v>0</v>
      </c>
      <c r="AD23" s="27">
        <f xml:space="preserve"> (AD24 + AD25)</f>
        <v>0</v>
      </c>
      <c r="AE23" s="27">
        <f xml:space="preserve"> (AE24 + AE25)</f>
        <v>0</v>
      </c>
      <c r="AF23" s="27">
        <f t="shared" si="2"/>
        <v>0</v>
      </c>
      <c r="AG23" s="27">
        <f xml:space="preserve"> (AG24 + AG25)</f>
        <v>0</v>
      </c>
      <c r="AH23" s="28"/>
      <c r="AI23" s="28"/>
      <c r="AJ23" s="27">
        <f xml:space="preserve"> (AJ24 + AJ25)</f>
        <v>0</v>
      </c>
      <c r="AK23" s="27">
        <f xml:space="preserve"> (AK24 + AK25)</f>
        <v>0</v>
      </c>
      <c r="AL23" s="27">
        <f xml:space="preserve"> (AL24 + AL25)</f>
        <v>0</v>
      </c>
      <c r="AM23" s="27">
        <f xml:space="preserve"> (AM24 + AM25)</f>
        <v>0</v>
      </c>
      <c r="AN23" s="27">
        <f t="shared" si="3"/>
        <v>0</v>
      </c>
      <c r="AO23" s="27">
        <f xml:space="preserve"> (AO24 + AO25)</f>
        <v>0</v>
      </c>
      <c r="AP23" s="28"/>
      <c r="AQ23" s="28"/>
      <c r="AR23" s="28"/>
      <c r="AS23" s="28"/>
      <c r="AT23" s="51">
        <f xml:space="preserve"> (AT24 + AT25)</f>
        <v>0</v>
      </c>
      <c r="AU23" s="51">
        <f xml:space="preserve"> (AU24 + AU25)</f>
        <v>0</v>
      </c>
      <c r="AV23" s="27">
        <f t="shared" si="4"/>
        <v>0</v>
      </c>
      <c r="AW23" s="27">
        <f t="shared" si="5"/>
        <v>0</v>
      </c>
    </row>
    <row r="24" spans="1:49" ht="11.25" customHeight="1" x14ac:dyDescent="0.2">
      <c r="A24" s="71"/>
      <c r="B24" s="75"/>
      <c r="C24" s="75" t="s">
        <v>19</v>
      </c>
      <c r="D24" s="71" t="s">
        <v>39</v>
      </c>
      <c r="E24" s="71"/>
      <c r="F24" s="71"/>
      <c r="G24" s="73" t="s">
        <v>97</v>
      </c>
      <c r="H24" s="4"/>
      <c r="I24" s="34" t="n">
        <v>49956.3</v>
      </c>
      <c r="J24" s="32"/>
      <c r="K24" s="32"/>
      <c r="L24" s="34"/>
      <c r="M24" s="34"/>
      <c r="N24" s="34"/>
      <c r="O24" s="34"/>
      <c r="P24" s="27">
        <f t="shared" si="0"/>
        <v>0</v>
      </c>
      <c r="Q24" s="34" t="n">
        <v>1.489877892E7</v>
      </c>
      <c r="R24" s="32"/>
      <c r="S24" s="32"/>
      <c r="T24" s="34"/>
      <c r="U24" s="34"/>
      <c r="V24" s="34"/>
      <c r="W24" s="34"/>
      <c r="X24" s="27">
        <f t="shared" si="1"/>
        <v>0</v>
      </c>
      <c r="Y24" s="34"/>
      <c r="Z24" s="32"/>
      <c r="AA24" s="32"/>
      <c r="AB24" s="34"/>
      <c r="AC24" s="34"/>
      <c r="AD24" s="34"/>
      <c r="AE24" s="34"/>
      <c r="AF24" s="27">
        <f t="shared" si="2"/>
        <v>0</v>
      </c>
      <c r="AG24" s="34" t="n">
        <v>0.0</v>
      </c>
      <c r="AH24" s="32"/>
      <c r="AI24" s="32"/>
      <c r="AJ24" s="34"/>
      <c r="AK24" s="34"/>
      <c r="AL24" s="34"/>
      <c r="AM24" s="34"/>
      <c r="AN24" s="27">
        <f t="shared" si="3"/>
        <v>0</v>
      </c>
      <c r="AO24" s="34"/>
      <c r="AP24" s="32"/>
      <c r="AQ24" s="32"/>
      <c r="AR24" s="30"/>
      <c r="AS24" s="30"/>
      <c r="AT24" s="50"/>
      <c r="AU24" s="50"/>
      <c r="AV24" s="27">
        <f t="shared" si="4"/>
        <v>0</v>
      </c>
      <c r="AW24" s="27">
        <f t="shared" si="5"/>
        <v>0</v>
      </c>
    </row>
    <row r="25" spans="1:49" ht="11.25" customHeight="1" x14ac:dyDescent="0.2">
      <c r="A25" s="71"/>
      <c r="B25" s="75"/>
      <c r="C25" s="75" t="s">
        <v>21</v>
      </c>
      <c r="D25" s="71" t="s">
        <v>30</v>
      </c>
      <c r="E25" s="71"/>
      <c r="F25" s="71"/>
      <c r="G25" s="73" t="s">
        <v>98</v>
      </c>
      <c r="H25" s="4"/>
      <c r="I25" s="34" t="n">
        <v>1756197.53</v>
      </c>
      <c r="J25" s="32"/>
      <c r="K25" s="32"/>
      <c r="L25" s="34"/>
      <c r="M25" s="34"/>
      <c r="N25" s="34"/>
      <c r="O25" s="34"/>
      <c r="P25" s="27">
        <f t="shared" si="0"/>
        <v>0</v>
      </c>
      <c r="Q25" s="34" t="n">
        <v>1.16913066173E9</v>
      </c>
      <c r="R25" s="32"/>
      <c r="S25" s="32"/>
      <c r="T25" s="34"/>
      <c r="U25" s="34"/>
      <c r="V25" s="34"/>
      <c r="W25" s="34"/>
      <c r="X25" s="27">
        <f t="shared" si="1"/>
        <v>0</v>
      </c>
      <c r="Y25" s="34"/>
      <c r="Z25" s="32"/>
      <c r="AA25" s="32"/>
      <c r="AB25" s="34"/>
      <c r="AC25" s="34"/>
      <c r="AD25" s="34"/>
      <c r="AE25" s="34"/>
      <c r="AF25" s="27">
        <f t="shared" si="2"/>
        <v>0</v>
      </c>
      <c r="AG25" s="34" t="n">
        <v>0.0</v>
      </c>
      <c r="AH25" s="32"/>
      <c r="AI25" s="32"/>
      <c r="AJ25" s="34"/>
      <c r="AK25" s="34"/>
      <c r="AL25" s="34"/>
      <c r="AM25" s="34"/>
      <c r="AN25" s="27">
        <f t="shared" si="3"/>
        <v>0</v>
      </c>
      <c r="AO25" s="34"/>
      <c r="AP25" s="32"/>
      <c r="AQ25" s="32"/>
      <c r="AR25" s="30"/>
      <c r="AS25" s="30"/>
      <c r="AT25" s="50"/>
      <c r="AU25" s="50"/>
      <c r="AV25" s="27">
        <f t="shared" si="4"/>
        <v>0</v>
      </c>
      <c r="AW25" s="27">
        <f t="shared" si="5"/>
        <v>0</v>
      </c>
    </row>
    <row r="26" spans="1:49" ht="11.25" customHeight="1" x14ac:dyDescent="0.2">
      <c r="A26" s="71"/>
      <c r="B26" s="75" t="s">
        <v>40</v>
      </c>
      <c r="C26" s="71" t="s">
        <v>41</v>
      </c>
      <c r="D26" s="71"/>
      <c r="E26" s="71"/>
      <c r="F26" s="71"/>
      <c r="G26" s="73" t="s">
        <v>99</v>
      </c>
      <c r="H26" s="4"/>
      <c r="I26" s="34" t="n">
        <v>1931182.13</v>
      </c>
      <c r="J26" s="32"/>
      <c r="K26" s="32"/>
      <c r="L26" s="34"/>
      <c r="M26" s="34"/>
      <c r="N26" s="34"/>
      <c r="O26" s="34"/>
      <c r="P26" s="27">
        <f t="shared" si="0"/>
        <v>0</v>
      </c>
      <c r="Q26" s="34" t="n">
        <v>4.778294056E7</v>
      </c>
      <c r="R26" s="32"/>
      <c r="S26" s="32"/>
      <c r="T26" s="34"/>
      <c r="U26" s="34"/>
      <c r="V26" s="34"/>
      <c r="W26" s="34"/>
      <c r="X26" s="27">
        <f t="shared" si="1"/>
        <v>0</v>
      </c>
      <c r="Y26" s="34"/>
      <c r="Z26" s="32"/>
      <c r="AA26" s="32"/>
      <c r="AB26" s="34"/>
      <c r="AC26" s="34"/>
      <c r="AD26" s="34"/>
      <c r="AE26" s="34"/>
      <c r="AF26" s="27">
        <f t="shared" si="2"/>
        <v>0</v>
      </c>
      <c r="AG26" s="34" t="n">
        <v>2.871309058E7</v>
      </c>
      <c r="AH26" s="32"/>
      <c r="AI26" s="32"/>
      <c r="AJ26" s="34"/>
      <c r="AK26" s="34"/>
      <c r="AL26" s="34"/>
      <c r="AM26" s="34"/>
      <c r="AN26" s="27">
        <f t="shared" si="3"/>
        <v>0</v>
      </c>
      <c r="AO26" s="34"/>
      <c r="AP26" s="32"/>
      <c r="AQ26" s="32"/>
      <c r="AR26" s="30"/>
      <c r="AS26" s="30"/>
      <c r="AT26" s="50"/>
      <c r="AU26" s="50"/>
      <c r="AV26" s="27">
        <f t="shared" si="4"/>
        <v>0</v>
      </c>
      <c r="AW26" s="27">
        <f t="shared" si="5"/>
        <v>0</v>
      </c>
    </row>
    <row r="27" spans="1:49" ht="11.25" customHeight="1" x14ac:dyDescent="0.2">
      <c r="A27" s="71"/>
      <c r="B27" s="75" t="s">
        <v>42</v>
      </c>
      <c r="C27" s="71" t="s">
        <v>43</v>
      </c>
      <c r="D27" s="71"/>
      <c r="E27" s="71"/>
      <c r="F27" s="71"/>
      <c r="G27" s="73" t="s">
        <v>100</v>
      </c>
      <c r="H27" s="4"/>
      <c r="I27" s="35" t="n">
        <v>0.0</v>
      </c>
      <c r="J27" s="32"/>
      <c r="K27" s="32"/>
      <c r="L27" s="35"/>
      <c r="M27" s="35"/>
      <c r="N27" s="35"/>
      <c r="O27" s="35"/>
      <c r="P27" s="27">
        <f t="shared" si="0"/>
        <v>0</v>
      </c>
      <c r="Q27" s="35" t="n">
        <v>0.0</v>
      </c>
      <c r="R27" s="32"/>
      <c r="S27" s="32"/>
      <c r="T27" s="35"/>
      <c r="U27" s="35"/>
      <c r="V27" s="35"/>
      <c r="W27" s="35"/>
      <c r="X27" s="27">
        <f t="shared" si="1"/>
        <v>0</v>
      </c>
      <c r="Y27" s="35"/>
      <c r="Z27" s="32"/>
      <c r="AA27" s="32"/>
      <c r="AB27" s="35"/>
      <c r="AC27" s="35"/>
      <c r="AD27" s="35"/>
      <c r="AE27" s="35"/>
      <c r="AF27" s="27">
        <f t="shared" si="2"/>
        <v>0</v>
      </c>
      <c r="AG27" s="35" t="n">
        <v>0.0</v>
      </c>
      <c r="AH27" s="32"/>
      <c r="AI27" s="32"/>
      <c r="AJ27" s="35"/>
      <c r="AK27" s="35"/>
      <c r="AL27" s="35"/>
      <c r="AM27" s="35"/>
      <c r="AN27" s="27">
        <f t="shared" si="3"/>
        <v>0</v>
      </c>
      <c r="AO27" s="35"/>
      <c r="AP27" s="32"/>
      <c r="AQ27" s="32"/>
      <c r="AR27" s="30"/>
      <c r="AS27" s="30"/>
      <c r="AT27" s="50"/>
      <c r="AU27" s="50"/>
      <c r="AV27" s="27">
        <f t="shared" si="4"/>
        <v>0</v>
      </c>
      <c r="AW27" s="27">
        <f t="shared" si="5"/>
        <v>0</v>
      </c>
    </row>
    <row r="28" spans="1:49" ht="11.25" customHeight="1" x14ac:dyDescent="0.2">
      <c r="A28" s="68" t="s">
        <v>44</v>
      </c>
      <c r="B28" s="68" t="s">
        <v>136</v>
      </c>
      <c r="C28" s="69"/>
      <c r="D28" s="69"/>
      <c r="E28" s="69"/>
      <c r="F28" s="69"/>
      <c r="G28" s="70" t="s">
        <v>101</v>
      </c>
      <c r="H28" s="26"/>
      <c r="I28" s="31">
        <f xml:space="preserve"> (I29 + I30)</f>
        <v>0</v>
      </c>
      <c r="J28" s="28"/>
      <c r="K28" s="28"/>
      <c r="L28" s="31">
        <f xml:space="preserve"> (L29 + L30)</f>
        <v>0</v>
      </c>
      <c r="M28" s="31">
        <f xml:space="preserve"> (M29 + M30)</f>
        <v>0</v>
      </c>
      <c r="N28" s="31">
        <f xml:space="preserve"> (N29 + N30)</f>
        <v>0</v>
      </c>
      <c r="O28" s="31">
        <f xml:space="preserve"> (O29 + O30)</f>
        <v>0</v>
      </c>
      <c r="P28" s="27">
        <f t="shared" si="0"/>
        <v>0</v>
      </c>
      <c r="Q28" s="31">
        <f xml:space="preserve"> (Q29 + Q30)</f>
        <v>0</v>
      </c>
      <c r="R28" s="28"/>
      <c r="S28" s="28"/>
      <c r="T28" s="31">
        <f xml:space="preserve"> (T29 + T30)</f>
        <v>0</v>
      </c>
      <c r="U28" s="31">
        <f xml:space="preserve"> (U29 + U30)</f>
        <v>0</v>
      </c>
      <c r="V28" s="31">
        <f xml:space="preserve"> (V29 + V30)</f>
        <v>0</v>
      </c>
      <c r="W28" s="31">
        <f xml:space="preserve"> (W29 + W30)</f>
        <v>0</v>
      </c>
      <c r="X28" s="27">
        <f t="shared" si="1"/>
        <v>0</v>
      </c>
      <c r="Y28" s="31">
        <f xml:space="preserve"> (Y29 + Y30)</f>
        <v>0</v>
      </c>
      <c r="Z28" s="28"/>
      <c r="AA28" s="28"/>
      <c r="AB28" s="31">
        <f xml:space="preserve"> (AB29 + AB30)</f>
        <v>0</v>
      </c>
      <c r="AC28" s="31">
        <f xml:space="preserve"> (AC29 + AC30)</f>
        <v>0</v>
      </c>
      <c r="AD28" s="31">
        <f xml:space="preserve"> (AD29 + AD30)</f>
        <v>0</v>
      </c>
      <c r="AE28" s="31">
        <f xml:space="preserve"> (AE29 + AE30)</f>
        <v>0</v>
      </c>
      <c r="AF28" s="27">
        <f t="shared" si="2"/>
        <v>0</v>
      </c>
      <c r="AG28" s="31">
        <f xml:space="preserve"> (AG29 + AG30)</f>
        <v>0</v>
      </c>
      <c r="AH28" s="28"/>
      <c r="AI28" s="28"/>
      <c r="AJ28" s="31">
        <f xml:space="preserve"> (AJ29 + AJ30)</f>
        <v>0</v>
      </c>
      <c r="AK28" s="31">
        <f xml:space="preserve"> (AK29 + AK30)</f>
        <v>0</v>
      </c>
      <c r="AL28" s="31">
        <f xml:space="preserve"> (AL29 + AL30)</f>
        <v>0</v>
      </c>
      <c r="AM28" s="31">
        <f xml:space="preserve"> (AM29 + AM30)</f>
        <v>0</v>
      </c>
      <c r="AN28" s="27">
        <f t="shared" si="3"/>
        <v>0</v>
      </c>
      <c r="AO28" s="31">
        <f xml:space="preserve"> (AO29 + AO30)</f>
        <v>0</v>
      </c>
      <c r="AP28" s="28"/>
      <c r="AQ28" s="28"/>
      <c r="AR28" s="54">
        <f xml:space="preserve"> (AR29 + AR30)</f>
        <v>0</v>
      </c>
      <c r="AS28" s="54">
        <f xml:space="preserve"> (AS29 + AS30)</f>
        <v>0</v>
      </c>
      <c r="AT28" s="27">
        <f xml:space="preserve"> (AT29 + AT30)</f>
        <v>0</v>
      </c>
      <c r="AU28" s="27">
        <f xml:space="preserve"> (AU29 + AU30)</f>
        <v>0</v>
      </c>
      <c r="AV28" s="27">
        <f t="shared" si="4"/>
        <v>0</v>
      </c>
      <c r="AW28" s="27">
        <f t="shared" si="5"/>
        <v>0</v>
      </c>
    </row>
    <row r="29" spans="1:49" ht="11.25" customHeight="1" x14ac:dyDescent="0.2">
      <c r="A29" s="71"/>
      <c r="B29" s="72" t="s">
        <v>17</v>
      </c>
      <c r="C29" s="71" t="s">
        <v>45</v>
      </c>
      <c r="D29" s="71"/>
      <c r="E29" s="71"/>
      <c r="F29" s="71"/>
      <c r="G29" s="73" t="s">
        <v>102</v>
      </c>
      <c r="H29" s="4"/>
      <c r="I29" s="35" t="n">
        <v>0.0</v>
      </c>
      <c r="J29" s="32"/>
      <c r="K29" s="32"/>
      <c r="L29" s="35"/>
      <c r="M29" s="35"/>
      <c r="N29" s="35"/>
      <c r="O29" s="35"/>
      <c r="P29" s="27">
        <f t="shared" si="0"/>
        <v>0</v>
      </c>
      <c r="Q29" s="35" t="n">
        <v>0.0</v>
      </c>
      <c r="R29" s="32"/>
      <c r="S29" s="32"/>
      <c r="T29" s="35"/>
      <c r="U29" s="35"/>
      <c r="V29" s="35"/>
      <c r="W29" s="35"/>
      <c r="X29" s="27">
        <f t="shared" si="1"/>
        <v>0</v>
      </c>
      <c r="Y29" s="35"/>
      <c r="Z29" s="32"/>
      <c r="AA29" s="32"/>
      <c r="AB29" s="35"/>
      <c r="AC29" s="35"/>
      <c r="AD29" s="35"/>
      <c r="AE29" s="35"/>
      <c r="AF29" s="27">
        <f t="shared" si="2"/>
        <v>0</v>
      </c>
      <c r="AG29" s="35" t="n">
        <v>0.0</v>
      </c>
      <c r="AH29" s="32"/>
      <c r="AI29" s="32"/>
      <c r="AJ29" s="35"/>
      <c r="AK29" s="35"/>
      <c r="AL29" s="35"/>
      <c r="AM29" s="35"/>
      <c r="AN29" s="27">
        <f t="shared" si="3"/>
        <v>0</v>
      </c>
      <c r="AO29" s="35"/>
      <c r="AP29" s="32"/>
      <c r="AQ29" s="32"/>
      <c r="AR29" s="54"/>
      <c r="AS29" s="54"/>
      <c r="AT29" s="34"/>
      <c r="AU29" s="34"/>
      <c r="AV29" s="27">
        <f t="shared" si="4"/>
        <v>0</v>
      </c>
      <c r="AW29" s="27">
        <f t="shared" si="5"/>
        <v>0</v>
      </c>
    </row>
    <row r="30" spans="1:49" ht="11.25" customHeight="1" x14ac:dyDescent="0.2">
      <c r="A30" s="71"/>
      <c r="B30" s="72" t="s">
        <v>31</v>
      </c>
      <c r="C30" s="71" t="s">
        <v>46</v>
      </c>
      <c r="D30" s="71"/>
      <c r="E30" s="71"/>
      <c r="F30" s="71"/>
      <c r="G30" s="73" t="s">
        <v>103</v>
      </c>
      <c r="H30" s="4"/>
      <c r="I30" s="35" t="n">
        <v>0.0</v>
      </c>
      <c r="J30" s="32"/>
      <c r="K30" s="32"/>
      <c r="L30" s="35"/>
      <c r="M30" s="35"/>
      <c r="N30" s="35"/>
      <c r="O30" s="35"/>
      <c r="P30" s="27">
        <f t="shared" si="0"/>
        <v>0</v>
      </c>
      <c r="Q30" s="35" t="n">
        <v>34016.55</v>
      </c>
      <c r="R30" s="32"/>
      <c r="S30" s="32"/>
      <c r="T30" s="35"/>
      <c r="U30" s="35"/>
      <c r="V30" s="35"/>
      <c r="W30" s="35"/>
      <c r="X30" s="27">
        <f t="shared" si="1"/>
        <v>0</v>
      </c>
      <c r="Y30" s="35"/>
      <c r="Z30" s="32"/>
      <c r="AA30" s="32"/>
      <c r="AB30" s="35"/>
      <c r="AC30" s="35"/>
      <c r="AD30" s="35"/>
      <c r="AE30" s="35"/>
      <c r="AF30" s="27">
        <f t="shared" si="2"/>
        <v>0</v>
      </c>
      <c r="AG30" s="35" t="n">
        <v>0.0</v>
      </c>
      <c r="AH30" s="32"/>
      <c r="AI30" s="32"/>
      <c r="AJ30" s="35"/>
      <c r="AK30" s="35"/>
      <c r="AL30" s="35"/>
      <c r="AM30" s="35"/>
      <c r="AN30" s="27">
        <f t="shared" si="3"/>
        <v>0</v>
      </c>
      <c r="AO30" s="35"/>
      <c r="AP30" s="32"/>
      <c r="AQ30" s="32"/>
      <c r="AR30" s="54"/>
      <c r="AS30" s="54"/>
      <c r="AT30" s="34"/>
      <c r="AU30" s="34"/>
      <c r="AV30" s="27">
        <f t="shared" si="4"/>
        <v>0</v>
      </c>
      <c r="AW30" s="27">
        <f t="shared" si="5"/>
        <v>0</v>
      </c>
    </row>
    <row r="31" spans="1:49" ht="11.25" customHeight="1" x14ac:dyDescent="0.2">
      <c r="A31" s="78" t="s">
        <v>135</v>
      </c>
      <c r="B31" s="78"/>
      <c r="C31" s="78"/>
      <c r="D31" s="71"/>
      <c r="E31" s="71"/>
      <c r="F31" s="71"/>
      <c r="G31" s="73" t="s">
        <v>104</v>
      </c>
      <c r="H31" s="4"/>
      <c r="I31" s="27">
        <f xml:space="preserve"> (I10 + I28)</f>
        <v>0</v>
      </c>
      <c r="J31" s="28"/>
      <c r="K31" s="28"/>
      <c r="L31" s="27">
        <f xml:space="preserve"> (L10 + L28)</f>
        <v>0</v>
      </c>
      <c r="M31" s="27">
        <f xml:space="preserve"> (M10 + M28)</f>
        <v>0</v>
      </c>
      <c r="N31" s="27">
        <f xml:space="preserve"> (N10 + N28)</f>
        <v>0</v>
      </c>
      <c r="O31" s="27">
        <f xml:space="preserve"> (O10 + O28)</f>
        <v>0</v>
      </c>
      <c r="P31" s="27">
        <f t="shared" si="0"/>
        <v>0</v>
      </c>
      <c r="Q31" s="27">
        <f xml:space="preserve"> (Q10 + Q28)</f>
        <v>0</v>
      </c>
      <c r="R31" s="28"/>
      <c r="S31" s="28"/>
      <c r="T31" s="27">
        <f xml:space="preserve"> (T10 + T28)</f>
        <v>0</v>
      </c>
      <c r="U31" s="27">
        <f xml:space="preserve"> (U10 + U28)</f>
        <v>0</v>
      </c>
      <c r="V31" s="27">
        <f xml:space="preserve"> (V10 + V28)</f>
        <v>0</v>
      </c>
      <c r="W31" s="27">
        <f xml:space="preserve"> (W10 + W28)</f>
        <v>0</v>
      </c>
      <c r="X31" s="27">
        <f t="shared" si="1"/>
        <v>0</v>
      </c>
      <c r="Y31" s="27">
        <f xml:space="preserve"> (Y10 + Y28)</f>
        <v>0</v>
      </c>
      <c r="Z31" s="28"/>
      <c r="AA31" s="28"/>
      <c r="AB31" s="27">
        <f xml:space="preserve"> (AB10 + AB28)</f>
        <v>0</v>
      </c>
      <c r="AC31" s="27">
        <f xml:space="preserve"> (AC10 + AC28)</f>
        <v>0</v>
      </c>
      <c r="AD31" s="27">
        <f xml:space="preserve"> (AD10 + AD28)</f>
        <v>0</v>
      </c>
      <c r="AE31" s="27">
        <f xml:space="preserve"> (AE10 + AE28)</f>
        <v>0</v>
      </c>
      <c r="AF31" s="27">
        <f t="shared" si="2"/>
        <v>0</v>
      </c>
      <c r="AG31" s="27">
        <f xml:space="preserve"> (AG10 + AG28)</f>
        <v>0</v>
      </c>
      <c r="AH31" s="28"/>
      <c r="AI31" s="28"/>
      <c r="AJ31" s="27">
        <f xml:space="preserve"> (AJ10 + AJ28)</f>
        <v>0</v>
      </c>
      <c r="AK31" s="27">
        <f xml:space="preserve"> (AK10 + AK28)</f>
        <v>0</v>
      </c>
      <c r="AL31" s="27">
        <f xml:space="preserve"> (AL10 + AL28)</f>
        <v>0</v>
      </c>
      <c r="AM31" s="27">
        <f xml:space="preserve"> (AM10 + AM28)</f>
        <v>0</v>
      </c>
      <c r="AN31" s="27">
        <f t="shared" si="3"/>
        <v>0</v>
      </c>
      <c r="AO31" s="27">
        <f xml:space="preserve"> (AO10 + AO28)</f>
        <v>0</v>
      </c>
      <c r="AP31" s="28"/>
      <c r="AQ31" s="28"/>
      <c r="AR31" s="54">
        <f xml:space="preserve"> (AR10 + AR28)</f>
        <v>0</v>
      </c>
      <c r="AS31" s="54">
        <f xml:space="preserve"> (AS10 + AS28)</f>
        <v>0</v>
      </c>
      <c r="AT31" s="27">
        <f xml:space="preserve"> (AT10 + AT28)</f>
        <v>0</v>
      </c>
      <c r="AU31" s="27">
        <f xml:space="preserve"> (AU10 + AU28)</f>
        <v>0</v>
      </c>
      <c r="AV31" s="27">
        <f t="shared" si="4"/>
        <v>0</v>
      </c>
      <c r="AW31" s="27">
        <f t="shared" si="5"/>
        <v>0</v>
      </c>
    </row>
    <row r="32" spans="1:49" ht="11.25" customHeight="1" x14ac:dyDescent="0.2">
      <c r="A32" s="78" t="s">
        <v>47</v>
      </c>
      <c r="B32" s="78"/>
      <c r="C32" s="78"/>
      <c r="D32" s="71"/>
      <c r="E32" s="71"/>
      <c r="F32" s="71"/>
      <c r="G32" s="79"/>
      <c r="H32" s="4"/>
      <c r="I32" s="29"/>
      <c r="J32" s="67"/>
      <c r="K32" s="67"/>
      <c r="L32" s="29"/>
      <c r="M32" s="29"/>
      <c r="N32" s="29"/>
      <c r="O32" s="29"/>
      <c r="P32" s="27"/>
      <c r="Q32" s="29"/>
      <c r="R32" s="67"/>
      <c r="S32" s="67"/>
      <c r="T32" s="29"/>
      <c r="U32" s="29"/>
      <c r="V32" s="29"/>
      <c r="W32" s="29"/>
      <c r="X32" s="27"/>
      <c r="Y32" s="29"/>
      <c r="Z32" s="67"/>
      <c r="AA32" s="67"/>
      <c r="AB32" s="29"/>
      <c r="AC32" s="29"/>
      <c r="AD32" s="29"/>
      <c r="AE32" s="29"/>
      <c r="AF32" s="27"/>
      <c r="AG32" s="29"/>
      <c r="AH32" s="67"/>
      <c r="AI32" s="67"/>
      <c r="AJ32" s="29"/>
      <c r="AK32" s="29"/>
      <c r="AL32" s="29"/>
      <c r="AM32" s="29"/>
      <c r="AN32" s="27"/>
      <c r="AO32" s="29"/>
      <c r="AP32" s="67"/>
      <c r="AQ32" s="67"/>
      <c r="AR32" s="67"/>
      <c r="AS32" s="67"/>
      <c r="AT32" s="29"/>
      <c r="AU32" s="29"/>
      <c r="AV32" s="27"/>
      <c r="AW32" s="27"/>
    </row>
    <row r="33" spans="1:50" ht="11.25" customHeight="1" x14ac:dyDescent="0.2">
      <c r="A33" s="75" t="s">
        <v>17</v>
      </c>
      <c r="B33" s="71" t="s">
        <v>48</v>
      </c>
      <c r="C33" s="78"/>
      <c r="D33" s="71"/>
      <c r="E33" s="71"/>
      <c r="F33" s="71"/>
      <c r="G33" s="73" t="s">
        <v>105</v>
      </c>
      <c r="H33" s="4"/>
      <c r="I33" s="32"/>
      <c r="J33" s="32"/>
      <c r="K33" s="32"/>
      <c r="L33" s="32"/>
      <c r="M33" s="32"/>
      <c r="N33" s="59"/>
      <c r="O33" s="59"/>
      <c r="P33" s="54"/>
      <c r="Q33" s="34"/>
      <c r="R33" s="32"/>
      <c r="S33" s="32"/>
      <c r="T33" s="34"/>
      <c r="U33" s="34"/>
      <c r="V33" s="34"/>
      <c r="W33" s="34"/>
      <c r="X33" s="27">
        <f t="shared" si="1"/>
        <v>0</v>
      </c>
      <c r="Y33" s="32"/>
      <c r="Z33" s="32"/>
      <c r="AA33" s="32"/>
      <c r="AB33" s="32"/>
      <c r="AC33" s="32"/>
      <c r="AD33" s="59"/>
      <c r="AE33" s="59"/>
      <c r="AF33" s="54"/>
      <c r="AG33" s="32"/>
      <c r="AH33" s="32"/>
      <c r="AI33" s="32"/>
      <c r="AJ33" s="32"/>
      <c r="AK33" s="32"/>
      <c r="AL33" s="59"/>
      <c r="AM33" s="59"/>
      <c r="AN33" s="54"/>
      <c r="AO33" s="32"/>
      <c r="AP33" s="32"/>
      <c r="AQ33" s="32"/>
      <c r="AR33" s="32"/>
      <c r="AS33" s="32"/>
      <c r="AT33" s="59"/>
      <c r="AU33" s="59"/>
      <c r="AV33" s="54"/>
      <c r="AW33" s="27">
        <f t="shared" si="5"/>
        <v>0</v>
      </c>
    </row>
    <row r="34" spans="1:50" ht="11.25" customHeight="1" x14ac:dyDescent="0.2">
      <c r="A34" s="75" t="s">
        <v>31</v>
      </c>
      <c r="B34" s="71" t="s">
        <v>49</v>
      </c>
      <c r="C34" s="71"/>
      <c r="D34" s="71"/>
      <c r="E34" s="71"/>
      <c r="F34" s="71"/>
      <c r="G34" s="73" t="s">
        <v>106</v>
      </c>
      <c r="H34" s="4"/>
      <c r="I34" s="27">
        <f xml:space="preserve"> (I35 + I36)</f>
        <v>0</v>
      </c>
      <c r="J34" s="32"/>
      <c r="K34" s="32"/>
      <c r="L34" s="27">
        <f xml:space="preserve"> (L35 + L36)</f>
        <v>0</v>
      </c>
      <c r="M34" s="27">
        <f xml:space="preserve"> (M35 + M36)</f>
        <v>0</v>
      </c>
      <c r="N34" s="34"/>
      <c r="O34" s="34"/>
      <c r="P34" s="27">
        <f t="shared" si="0"/>
        <v>0</v>
      </c>
      <c r="Q34" s="27">
        <f xml:space="preserve"> (Q35 + Q36)</f>
        <v>0</v>
      </c>
      <c r="R34" s="32"/>
      <c r="S34" s="32"/>
      <c r="T34" s="27">
        <f xml:space="preserve"> (T35 + T36)</f>
        <v>0</v>
      </c>
      <c r="U34" s="27">
        <f xml:space="preserve"> (U35 + U36)</f>
        <v>0</v>
      </c>
      <c r="V34" s="34"/>
      <c r="W34" s="34"/>
      <c r="X34" s="27">
        <f t="shared" si="1"/>
        <v>0</v>
      </c>
      <c r="Y34" s="27">
        <f xml:space="preserve"> (Y35 + Y36)</f>
        <v>0</v>
      </c>
      <c r="Z34" s="32"/>
      <c r="AA34" s="32"/>
      <c r="AB34" s="27">
        <f xml:space="preserve"> (AB35 + AB36)</f>
        <v>0</v>
      </c>
      <c r="AC34" s="27">
        <f xml:space="preserve"> (AC35 + AC36)</f>
        <v>0</v>
      </c>
      <c r="AD34" s="34"/>
      <c r="AE34" s="34"/>
      <c r="AF34" s="27">
        <f t="shared" si="2"/>
        <v>0</v>
      </c>
      <c r="AG34" s="27">
        <f xml:space="preserve"> (AG35 + AG36)</f>
        <v>0</v>
      </c>
      <c r="AH34" s="32"/>
      <c r="AI34" s="32"/>
      <c r="AJ34" s="27">
        <f xml:space="preserve"> (AJ35 + AJ36)</f>
        <v>0</v>
      </c>
      <c r="AK34" s="27">
        <f xml:space="preserve"> (AK35 + AK36)</f>
        <v>0</v>
      </c>
      <c r="AL34" s="34"/>
      <c r="AM34" s="34"/>
      <c r="AN34" s="27">
        <f t="shared" si="3"/>
        <v>0</v>
      </c>
      <c r="AO34" s="27">
        <f xml:space="preserve"> (AO35 + AO36)</f>
        <v>0</v>
      </c>
      <c r="AP34" s="32"/>
      <c r="AQ34" s="32"/>
      <c r="AR34" s="32"/>
      <c r="AS34" s="32"/>
      <c r="AT34" s="34"/>
      <c r="AU34" s="34"/>
      <c r="AV34" s="27">
        <f t="shared" si="4"/>
        <v>0</v>
      </c>
      <c r="AW34" s="27">
        <f t="shared" si="5"/>
        <v>0</v>
      </c>
    </row>
    <row r="35" spans="1:50" ht="11.25" customHeight="1" x14ac:dyDescent="0.2">
      <c r="A35" s="75"/>
      <c r="B35" s="71" t="s">
        <v>219</v>
      </c>
      <c r="C35" s="71" t="s">
        <v>220</v>
      </c>
      <c r="D35" s="71"/>
      <c r="E35" s="71"/>
      <c r="F35" s="71"/>
      <c r="G35" s="73" t="s">
        <v>221</v>
      </c>
      <c r="H35" s="4"/>
      <c r="I35" s="34" t="n">
        <v>0.0</v>
      </c>
      <c r="J35" s="32"/>
      <c r="K35" s="32"/>
      <c r="L35" s="34"/>
      <c r="M35" s="34"/>
      <c r="N35" s="34"/>
      <c r="O35" s="34"/>
      <c r="P35" s="27">
        <f t="shared" si="0"/>
        <v>0</v>
      </c>
      <c r="Q35" s="34" t="n">
        <v>0.0</v>
      </c>
      <c r="R35" s="32"/>
      <c r="S35" s="32"/>
      <c r="T35" s="34"/>
      <c r="U35" s="34"/>
      <c r="V35" s="34"/>
      <c r="W35" s="34"/>
      <c r="X35" s="27">
        <f t="shared" si="1"/>
        <v>0</v>
      </c>
      <c r="Y35" s="34"/>
      <c r="Z35" s="32"/>
      <c r="AA35" s="32"/>
      <c r="AB35" s="34"/>
      <c r="AC35" s="34"/>
      <c r="AD35" s="34"/>
      <c r="AE35" s="34"/>
      <c r="AF35" s="27">
        <f t="shared" si="2"/>
        <v>0</v>
      </c>
      <c r="AG35" s="34" t="n">
        <v>0.0</v>
      </c>
      <c r="AH35" s="32"/>
      <c r="AI35" s="32"/>
      <c r="AJ35" s="34"/>
      <c r="AK35" s="34"/>
      <c r="AL35" s="34"/>
      <c r="AM35" s="34"/>
      <c r="AN35" s="27">
        <f t="shared" si="3"/>
        <v>0</v>
      </c>
      <c r="AO35" s="34"/>
      <c r="AP35" s="32"/>
      <c r="AQ35" s="32"/>
      <c r="AR35" s="32"/>
      <c r="AS35" s="32"/>
      <c r="AT35" s="34"/>
      <c r="AU35" s="34"/>
      <c r="AV35" s="27">
        <f t="shared" si="4"/>
        <v>0</v>
      </c>
      <c r="AW35" s="27">
        <f t="shared" si="5"/>
        <v>0</v>
      </c>
    </row>
    <row r="36" spans="1:50" ht="11.25" customHeight="1" x14ac:dyDescent="0.2">
      <c r="A36" s="75"/>
      <c r="B36" s="71" t="s">
        <v>222</v>
      </c>
      <c r="C36" s="71" t="s">
        <v>223</v>
      </c>
      <c r="D36" s="71"/>
      <c r="E36" s="71"/>
      <c r="F36" s="71"/>
      <c r="G36" s="73" t="s">
        <v>224</v>
      </c>
      <c r="H36" s="4"/>
      <c r="I36" s="34" t="n">
        <v>0.0</v>
      </c>
      <c r="J36" s="32"/>
      <c r="K36" s="32"/>
      <c r="L36" s="34"/>
      <c r="M36" s="34"/>
      <c r="N36" s="34"/>
      <c r="O36" s="34"/>
      <c r="P36" s="27">
        <f t="shared" si="0"/>
        <v>0</v>
      </c>
      <c r="Q36" s="34" t="n">
        <v>0.0</v>
      </c>
      <c r="R36" s="32"/>
      <c r="S36" s="32"/>
      <c r="T36" s="34"/>
      <c r="U36" s="34"/>
      <c r="V36" s="34"/>
      <c r="W36" s="34"/>
      <c r="X36" s="27">
        <f t="shared" si="1"/>
        <v>0</v>
      </c>
      <c r="Y36" s="34"/>
      <c r="Z36" s="32"/>
      <c r="AA36" s="32"/>
      <c r="AB36" s="34"/>
      <c r="AC36" s="34"/>
      <c r="AD36" s="34"/>
      <c r="AE36" s="34"/>
      <c r="AF36" s="27">
        <f t="shared" si="2"/>
        <v>0</v>
      </c>
      <c r="AG36" s="34" t="n">
        <v>1.8E7</v>
      </c>
      <c r="AH36" s="32"/>
      <c r="AI36" s="32"/>
      <c r="AJ36" s="34"/>
      <c r="AK36" s="34"/>
      <c r="AL36" s="34"/>
      <c r="AM36" s="34"/>
      <c r="AN36" s="27">
        <f t="shared" si="3"/>
        <v>0</v>
      </c>
      <c r="AO36" s="34"/>
      <c r="AP36" s="32"/>
      <c r="AQ36" s="32"/>
      <c r="AR36" s="32"/>
      <c r="AS36" s="32"/>
      <c r="AT36" s="34"/>
      <c r="AU36" s="34"/>
      <c r="AV36" s="27">
        <f t="shared" si="4"/>
        <v>0</v>
      </c>
      <c r="AW36" s="27">
        <f t="shared" si="5"/>
        <v>0</v>
      </c>
    </row>
    <row r="37" spans="1:50" ht="11.25" customHeight="1" x14ac:dyDescent="0.2">
      <c r="A37" s="75" t="s">
        <v>37</v>
      </c>
      <c r="B37" s="71" t="s">
        <v>50</v>
      </c>
      <c r="C37" s="71"/>
      <c r="D37" s="71"/>
      <c r="E37" s="71"/>
      <c r="F37" s="71"/>
      <c r="G37" s="73" t="s">
        <v>107</v>
      </c>
      <c r="H37" s="4"/>
      <c r="I37" s="34" t="n">
        <v>3737335.96</v>
      </c>
      <c r="J37" s="32"/>
      <c r="K37" s="32"/>
      <c r="L37" s="34"/>
      <c r="M37" s="34"/>
      <c r="N37" s="34"/>
      <c r="O37" s="34"/>
      <c r="P37" s="27">
        <f t="shared" si="0"/>
        <v>0</v>
      </c>
      <c r="Q37" s="34" t="n">
        <v>1.2318506043600001E9</v>
      </c>
      <c r="R37" s="32"/>
      <c r="S37" s="32"/>
      <c r="T37" s="34"/>
      <c r="U37" s="34"/>
      <c r="V37" s="34"/>
      <c r="W37" s="34"/>
      <c r="X37" s="27">
        <f t="shared" si="1"/>
        <v>0</v>
      </c>
      <c r="Y37" s="34"/>
      <c r="Z37" s="32"/>
      <c r="AA37" s="32"/>
      <c r="AB37" s="34"/>
      <c r="AC37" s="34"/>
      <c r="AD37" s="34"/>
      <c r="AE37" s="34"/>
      <c r="AF37" s="27">
        <f t="shared" si="2"/>
        <v>0</v>
      </c>
      <c r="AG37" s="34" t="n">
        <v>1.071309058E7</v>
      </c>
      <c r="AH37" s="32"/>
      <c r="AI37" s="32"/>
      <c r="AJ37" s="34"/>
      <c r="AK37" s="34"/>
      <c r="AL37" s="34"/>
      <c r="AM37" s="34"/>
      <c r="AN37" s="27">
        <f t="shared" si="3"/>
        <v>0</v>
      </c>
      <c r="AO37" s="34"/>
      <c r="AP37" s="32"/>
      <c r="AQ37" s="32"/>
      <c r="AR37" s="32"/>
      <c r="AS37" s="32"/>
      <c r="AT37" s="34"/>
      <c r="AU37" s="34"/>
      <c r="AV37" s="27">
        <f t="shared" si="4"/>
        <v>0</v>
      </c>
      <c r="AW37" s="27">
        <f t="shared" si="5"/>
        <v>0</v>
      </c>
    </row>
    <row r="38" spans="1:50" ht="11.25" customHeight="1" x14ac:dyDescent="0.2">
      <c r="A38" s="75" t="s">
        <v>40</v>
      </c>
      <c r="B38" s="71" t="s">
        <v>51</v>
      </c>
      <c r="C38" s="71"/>
      <c r="D38" s="71"/>
      <c r="E38" s="71"/>
      <c r="F38" s="71"/>
      <c r="G38" s="73" t="s">
        <v>108</v>
      </c>
      <c r="H38" s="4"/>
      <c r="I38" s="34" t="n">
        <v>0.0</v>
      </c>
      <c r="J38" s="32"/>
      <c r="K38" s="32"/>
      <c r="L38" s="34"/>
      <c r="M38" s="34"/>
      <c r="N38" s="34"/>
      <c r="O38" s="34"/>
      <c r="P38" s="27">
        <f t="shared" si="0"/>
        <v>0</v>
      </c>
      <c r="Q38" s="34" t="n">
        <v>2117914.38</v>
      </c>
      <c r="R38" s="32"/>
      <c r="S38" s="32"/>
      <c r="T38" s="34"/>
      <c r="U38" s="34"/>
      <c r="V38" s="34"/>
      <c r="W38" s="34"/>
      <c r="X38" s="27">
        <f t="shared" si="1"/>
        <v>0</v>
      </c>
      <c r="Y38" s="34"/>
      <c r="Z38" s="32"/>
      <c r="AA38" s="32"/>
      <c r="AB38" s="34"/>
      <c r="AC38" s="34"/>
      <c r="AD38" s="34"/>
      <c r="AE38" s="34"/>
      <c r="AF38" s="27">
        <f t="shared" si="2"/>
        <v>0</v>
      </c>
      <c r="AG38" s="34" t="n">
        <v>0.0</v>
      </c>
      <c r="AH38" s="32"/>
      <c r="AI38" s="32"/>
      <c r="AJ38" s="34"/>
      <c r="AK38" s="34"/>
      <c r="AL38" s="34"/>
      <c r="AM38" s="34"/>
      <c r="AN38" s="27">
        <f t="shared" si="3"/>
        <v>0</v>
      </c>
      <c r="AO38" s="34"/>
      <c r="AP38" s="32"/>
      <c r="AQ38" s="32"/>
      <c r="AR38" s="32"/>
      <c r="AS38" s="32"/>
      <c r="AT38" s="34"/>
      <c r="AU38" s="34"/>
      <c r="AV38" s="27">
        <f t="shared" si="4"/>
        <v>0</v>
      </c>
      <c r="AW38" s="27">
        <f t="shared" si="5"/>
        <v>0</v>
      </c>
    </row>
    <row r="39" spans="1:50" ht="11.25" customHeight="1" x14ac:dyDescent="0.2">
      <c r="A39" s="75" t="s">
        <v>42</v>
      </c>
      <c r="B39" s="71" t="s">
        <v>52</v>
      </c>
      <c r="C39" s="71"/>
      <c r="D39" s="71"/>
      <c r="E39" s="71"/>
      <c r="F39" s="71"/>
      <c r="G39" s="73" t="s">
        <v>109</v>
      </c>
      <c r="H39" s="4"/>
      <c r="I39" s="27">
        <f xml:space="preserve"> (I40 + I41)</f>
        <v>0</v>
      </c>
      <c r="J39" s="28"/>
      <c r="K39" s="28"/>
      <c r="L39" s="27">
        <f xml:space="preserve"> (L40 + L41)</f>
        <v>0</v>
      </c>
      <c r="M39" s="27">
        <f xml:space="preserve"> (M40 + M41)</f>
        <v>0</v>
      </c>
      <c r="N39" s="27">
        <f xml:space="preserve"> (N40 + N41)</f>
        <v>0</v>
      </c>
      <c r="O39" s="27">
        <f xml:space="preserve"> (O40 + O41)</f>
        <v>0</v>
      </c>
      <c r="P39" s="27">
        <f t="shared" si="0"/>
        <v>0</v>
      </c>
      <c r="Q39" s="27">
        <f xml:space="preserve"> (Q40 + Q41)</f>
        <v>0</v>
      </c>
      <c r="R39" s="28"/>
      <c r="S39" s="28"/>
      <c r="T39" s="27">
        <f xml:space="preserve"> (T40 + T41)</f>
        <v>0</v>
      </c>
      <c r="U39" s="27">
        <f xml:space="preserve"> (U40 + U41)</f>
        <v>0</v>
      </c>
      <c r="V39" s="27">
        <f xml:space="preserve"> (V40 + V41)</f>
        <v>0</v>
      </c>
      <c r="W39" s="27">
        <f xml:space="preserve"> (W40 + W41)</f>
        <v>0</v>
      </c>
      <c r="X39" s="27">
        <f t="shared" si="1"/>
        <v>0</v>
      </c>
      <c r="Y39" s="27">
        <f xml:space="preserve"> (Y40 + Y41)</f>
        <v>0</v>
      </c>
      <c r="Z39" s="28"/>
      <c r="AA39" s="28"/>
      <c r="AB39" s="27">
        <f xml:space="preserve"> (AB40 + AB41)</f>
        <v>0</v>
      </c>
      <c r="AC39" s="27">
        <f xml:space="preserve"> (AC40 + AC41)</f>
        <v>0</v>
      </c>
      <c r="AD39" s="27">
        <f xml:space="preserve"> (AD40 + AD41)</f>
        <v>0</v>
      </c>
      <c r="AE39" s="27">
        <f xml:space="preserve"> (AE40 + AE41)</f>
        <v>0</v>
      </c>
      <c r="AF39" s="27">
        <f t="shared" si="2"/>
        <v>0</v>
      </c>
      <c r="AG39" s="27">
        <f xml:space="preserve"> (AG40 + AG41)</f>
        <v>0</v>
      </c>
      <c r="AH39" s="28"/>
      <c r="AI39" s="28"/>
      <c r="AJ39" s="27">
        <f xml:space="preserve"> (AJ40 + AJ41)</f>
        <v>0</v>
      </c>
      <c r="AK39" s="27">
        <f xml:space="preserve"> (AK40 + AK41)</f>
        <v>0</v>
      </c>
      <c r="AL39" s="27">
        <f xml:space="preserve"> (AL40 + AL41)</f>
        <v>0</v>
      </c>
      <c r="AM39" s="27">
        <f xml:space="preserve"> (AM40 + AM41)</f>
        <v>0</v>
      </c>
      <c r="AN39" s="27">
        <f t="shared" si="3"/>
        <v>0</v>
      </c>
      <c r="AO39" s="27">
        <f xml:space="preserve"> (AO40 + AO41)</f>
        <v>0</v>
      </c>
      <c r="AP39" s="28"/>
      <c r="AQ39" s="28"/>
      <c r="AR39" s="28"/>
      <c r="AS39" s="28"/>
      <c r="AT39" s="27">
        <f xml:space="preserve"> (AT40 + AT41)</f>
        <v>0</v>
      </c>
      <c r="AU39" s="27">
        <f xml:space="preserve"> (AU40 + AU41)</f>
        <v>0</v>
      </c>
      <c r="AV39" s="27">
        <f t="shared" si="4"/>
        <v>0</v>
      </c>
      <c r="AW39" s="27">
        <f t="shared" si="5"/>
        <v>0</v>
      </c>
    </row>
    <row r="40" spans="1:50" ht="11.25" customHeight="1" x14ac:dyDescent="0.2">
      <c r="A40" s="75"/>
      <c r="B40" s="71" t="s">
        <v>16</v>
      </c>
      <c r="C40" s="71" t="s">
        <v>53</v>
      </c>
      <c r="D40" s="71"/>
      <c r="E40" s="71"/>
      <c r="F40" s="71"/>
      <c r="G40" s="73" t="s">
        <v>110</v>
      </c>
      <c r="H40" s="4"/>
      <c r="I40" s="34" t="n">
        <v>0.0</v>
      </c>
      <c r="J40" s="32"/>
      <c r="K40" s="32"/>
      <c r="L40" s="34"/>
      <c r="M40" s="34"/>
      <c r="N40" s="34"/>
      <c r="O40" s="34"/>
      <c r="P40" s="27">
        <f t="shared" si="0"/>
        <v>0</v>
      </c>
      <c r="Q40" s="34" t="n">
        <v>0.0</v>
      </c>
      <c r="R40" s="32"/>
      <c r="S40" s="32"/>
      <c r="T40" s="34"/>
      <c r="U40" s="34"/>
      <c r="V40" s="34"/>
      <c r="W40" s="34"/>
      <c r="X40" s="27">
        <f t="shared" si="1"/>
        <v>0</v>
      </c>
      <c r="Y40" s="34"/>
      <c r="Z40" s="32"/>
      <c r="AA40" s="32"/>
      <c r="AB40" s="34"/>
      <c r="AC40" s="34"/>
      <c r="AD40" s="34"/>
      <c r="AE40" s="34"/>
      <c r="AF40" s="27">
        <f t="shared" si="2"/>
        <v>0</v>
      </c>
      <c r="AG40" s="34" t="n">
        <v>0.0</v>
      </c>
      <c r="AH40" s="32"/>
      <c r="AI40" s="32"/>
      <c r="AJ40" s="34"/>
      <c r="AK40" s="34"/>
      <c r="AL40" s="34"/>
      <c r="AM40" s="34"/>
      <c r="AN40" s="27">
        <f t="shared" si="3"/>
        <v>0</v>
      </c>
      <c r="AO40" s="34"/>
      <c r="AP40" s="32"/>
      <c r="AQ40" s="32"/>
      <c r="AR40" s="32"/>
      <c r="AS40" s="32"/>
      <c r="AT40" s="34"/>
      <c r="AU40" s="34"/>
      <c r="AV40" s="27">
        <f t="shared" si="4"/>
        <v>0</v>
      </c>
      <c r="AW40" s="27">
        <f t="shared" si="5"/>
        <v>0</v>
      </c>
    </row>
    <row r="41" spans="1:50" ht="11.25" customHeight="1" x14ac:dyDescent="0.2">
      <c r="A41" s="75"/>
      <c r="B41" s="71" t="s">
        <v>44</v>
      </c>
      <c r="C41" s="71" t="s">
        <v>54</v>
      </c>
      <c r="D41" s="71"/>
      <c r="E41" s="71"/>
      <c r="F41" s="71"/>
      <c r="G41" s="73" t="s">
        <v>111</v>
      </c>
      <c r="H41" s="4"/>
      <c r="I41" s="34" t="n">
        <v>0.0</v>
      </c>
      <c r="J41" s="32"/>
      <c r="K41" s="32"/>
      <c r="L41" s="34"/>
      <c r="M41" s="34"/>
      <c r="N41" s="34"/>
      <c r="O41" s="34"/>
      <c r="P41" s="27">
        <f t="shared" si="0"/>
        <v>0</v>
      </c>
      <c r="Q41" s="34" t="n">
        <v>0.0</v>
      </c>
      <c r="R41" s="32"/>
      <c r="S41" s="32"/>
      <c r="T41" s="34"/>
      <c r="U41" s="34"/>
      <c r="V41" s="34"/>
      <c r="W41" s="34"/>
      <c r="X41" s="27">
        <f t="shared" si="1"/>
        <v>0</v>
      </c>
      <c r="Y41" s="34"/>
      <c r="Z41" s="32"/>
      <c r="AA41" s="32"/>
      <c r="AB41" s="34"/>
      <c r="AC41" s="34"/>
      <c r="AD41" s="34"/>
      <c r="AE41" s="34"/>
      <c r="AF41" s="27">
        <f t="shared" si="2"/>
        <v>0</v>
      </c>
      <c r="AG41" s="34" t="n">
        <v>0.0</v>
      </c>
      <c r="AH41" s="32"/>
      <c r="AI41" s="32"/>
      <c r="AJ41" s="34"/>
      <c r="AK41" s="34"/>
      <c r="AL41" s="34"/>
      <c r="AM41" s="34"/>
      <c r="AN41" s="27">
        <f t="shared" si="3"/>
        <v>0</v>
      </c>
      <c r="AO41" s="34"/>
      <c r="AP41" s="32"/>
      <c r="AQ41" s="32"/>
      <c r="AR41" s="32"/>
      <c r="AS41" s="32"/>
      <c r="AT41" s="34"/>
      <c r="AU41" s="34"/>
      <c r="AV41" s="27">
        <f t="shared" si="4"/>
        <v>0</v>
      </c>
      <c r="AW41" s="27">
        <f t="shared" si="5"/>
        <v>0</v>
      </c>
    </row>
    <row r="42" spans="1:50" ht="11.25" customHeight="1" x14ac:dyDescent="0.2">
      <c r="A42" s="75" t="s">
        <v>55</v>
      </c>
      <c r="B42" s="74" t="s">
        <v>16</v>
      </c>
      <c r="C42" s="71" t="s">
        <v>56</v>
      </c>
      <c r="D42" s="71"/>
      <c r="E42" s="71"/>
      <c r="F42" s="71"/>
      <c r="G42" s="73" t="s">
        <v>112</v>
      </c>
      <c r="H42" s="4"/>
      <c r="I42" s="34" t="n">
        <v>0.0</v>
      </c>
      <c r="J42" s="32"/>
      <c r="K42" s="32"/>
      <c r="L42" s="34"/>
      <c r="M42" s="34"/>
      <c r="N42" s="34"/>
      <c r="O42" s="34"/>
      <c r="P42" s="27">
        <f t="shared" si="0"/>
        <v>0</v>
      </c>
      <c r="Q42" s="34" t="n">
        <v>0.0</v>
      </c>
      <c r="R42" s="32"/>
      <c r="S42" s="32"/>
      <c r="T42" s="34"/>
      <c r="U42" s="34"/>
      <c r="V42" s="34"/>
      <c r="W42" s="34"/>
      <c r="X42" s="27">
        <f t="shared" si="1"/>
        <v>0</v>
      </c>
      <c r="Y42" s="34"/>
      <c r="Z42" s="32"/>
      <c r="AA42" s="32"/>
      <c r="AB42" s="34"/>
      <c r="AC42" s="34"/>
      <c r="AD42" s="34"/>
      <c r="AE42" s="34"/>
      <c r="AF42" s="27">
        <f t="shared" si="2"/>
        <v>0</v>
      </c>
      <c r="AG42" s="34" t="n">
        <v>0.0</v>
      </c>
      <c r="AH42" s="32"/>
      <c r="AI42" s="32"/>
      <c r="AJ42" s="34"/>
      <c r="AK42" s="34"/>
      <c r="AL42" s="34"/>
      <c r="AM42" s="34"/>
      <c r="AN42" s="27">
        <f t="shared" si="3"/>
        <v>0</v>
      </c>
      <c r="AO42" s="34"/>
      <c r="AP42" s="32"/>
      <c r="AQ42" s="32"/>
      <c r="AR42" s="32"/>
      <c r="AS42" s="32"/>
      <c r="AT42" s="34"/>
      <c r="AU42" s="34"/>
      <c r="AV42" s="27">
        <f t="shared" si="4"/>
        <v>0</v>
      </c>
      <c r="AW42" s="27">
        <f t="shared" si="5"/>
        <v>0</v>
      </c>
    </row>
    <row r="43" spans="1:50" ht="11.25" customHeight="1" x14ac:dyDescent="0.2">
      <c r="A43" s="71"/>
      <c r="B43" s="74" t="s">
        <v>44</v>
      </c>
      <c r="C43" s="71" t="s">
        <v>57</v>
      </c>
      <c r="D43" s="71"/>
      <c r="E43" s="71"/>
      <c r="F43" s="71"/>
      <c r="G43" s="73" t="s">
        <v>113</v>
      </c>
      <c r="H43" s="4"/>
      <c r="I43" s="34" t="n">
        <v>0.0</v>
      </c>
      <c r="J43" s="32"/>
      <c r="K43" s="32"/>
      <c r="L43" s="34"/>
      <c r="M43" s="34"/>
      <c r="N43" s="34"/>
      <c r="O43" s="34"/>
      <c r="P43" s="27">
        <f t="shared" si="0"/>
        <v>0</v>
      </c>
      <c r="Q43" s="34" t="n">
        <v>0.0</v>
      </c>
      <c r="R43" s="32"/>
      <c r="S43" s="32"/>
      <c r="T43" s="34"/>
      <c r="U43" s="34"/>
      <c r="V43" s="34"/>
      <c r="W43" s="34"/>
      <c r="X43" s="27">
        <f t="shared" si="1"/>
        <v>0</v>
      </c>
      <c r="Y43" s="34"/>
      <c r="Z43" s="32"/>
      <c r="AA43" s="32"/>
      <c r="AB43" s="34"/>
      <c r="AC43" s="34"/>
      <c r="AD43" s="34"/>
      <c r="AE43" s="34"/>
      <c r="AF43" s="27">
        <f t="shared" si="2"/>
        <v>0</v>
      </c>
      <c r="AG43" s="34" t="n">
        <v>0.0</v>
      </c>
      <c r="AH43" s="32"/>
      <c r="AI43" s="32"/>
      <c r="AJ43" s="34"/>
      <c r="AK43" s="34"/>
      <c r="AL43" s="34"/>
      <c r="AM43" s="34"/>
      <c r="AN43" s="27">
        <f t="shared" si="3"/>
        <v>0</v>
      </c>
      <c r="AO43" s="34"/>
      <c r="AP43" s="32"/>
      <c r="AQ43" s="32"/>
      <c r="AR43" s="32"/>
      <c r="AS43" s="32"/>
      <c r="AT43" s="34"/>
      <c r="AU43" s="34"/>
      <c r="AV43" s="27">
        <f t="shared" si="4"/>
        <v>0</v>
      </c>
      <c r="AW43" s="27">
        <f t="shared" si="5"/>
        <v>0</v>
      </c>
    </row>
    <row r="44" spans="1:50" ht="11.25" customHeight="1" x14ac:dyDescent="0.2">
      <c r="A44" s="75" t="s">
        <v>58</v>
      </c>
      <c r="B44" s="71" t="s">
        <v>59</v>
      </c>
      <c r="C44" s="71"/>
      <c r="D44" s="71"/>
      <c r="E44" s="71"/>
      <c r="F44" s="71"/>
      <c r="G44" s="73" t="s">
        <v>114</v>
      </c>
      <c r="H44" s="4"/>
      <c r="I44" s="27">
        <f xml:space="preserve"> (I45 + I46 + I47)</f>
        <v>0</v>
      </c>
      <c r="J44" s="28"/>
      <c r="K44" s="28"/>
      <c r="L44" s="27">
        <f xml:space="preserve"> (L45 + L46 + L47)</f>
        <v>0</v>
      </c>
      <c r="M44" s="27">
        <f xml:space="preserve"> (M45 + M46 + M47)</f>
        <v>0</v>
      </c>
      <c r="N44" s="27">
        <f xml:space="preserve"> (N45 + N46 + N47)</f>
        <v>0</v>
      </c>
      <c r="O44" s="27">
        <f xml:space="preserve"> (O45 + O46 + O47)</f>
        <v>0</v>
      </c>
      <c r="P44" s="27">
        <f t="shared" si="0"/>
        <v>0</v>
      </c>
      <c r="Q44" s="27">
        <f xml:space="preserve"> (Q45 + Q46 + Q47)</f>
        <v>0</v>
      </c>
      <c r="R44" s="28"/>
      <c r="S44" s="28"/>
      <c r="T44" s="27">
        <f xml:space="preserve"> (T45 + T46 + T47)</f>
        <v>0</v>
      </c>
      <c r="U44" s="27">
        <f xml:space="preserve"> (U45 + U46 + U47)</f>
        <v>0</v>
      </c>
      <c r="V44" s="27">
        <f xml:space="preserve"> (V45 + V46 + V47)</f>
        <v>0</v>
      </c>
      <c r="W44" s="27">
        <f xml:space="preserve"> (W45 + W46 + W47)</f>
        <v>0</v>
      </c>
      <c r="X44" s="27">
        <f t="shared" si="1"/>
        <v>0</v>
      </c>
      <c r="Y44" s="27">
        <f xml:space="preserve"> (Y45 + Y46 + Y47)</f>
        <v>0</v>
      </c>
      <c r="Z44" s="28"/>
      <c r="AA44" s="28"/>
      <c r="AB44" s="27">
        <f xml:space="preserve"> (AB45 + AB46 + AB47)</f>
        <v>0</v>
      </c>
      <c r="AC44" s="27">
        <f xml:space="preserve"> (AC45 + AC46 + AC47)</f>
        <v>0</v>
      </c>
      <c r="AD44" s="27">
        <f xml:space="preserve"> (AD45 + AD46 + AD47)</f>
        <v>0</v>
      </c>
      <c r="AE44" s="27">
        <f xml:space="preserve"> (AE45 + AE46 + AE47)</f>
        <v>0</v>
      </c>
      <c r="AF44" s="27">
        <f t="shared" si="2"/>
        <v>0</v>
      </c>
      <c r="AG44" s="27">
        <f xml:space="preserve"> (AG45 + AG46 + AG47)</f>
        <v>0</v>
      </c>
      <c r="AH44" s="28"/>
      <c r="AI44" s="28"/>
      <c r="AJ44" s="27">
        <f xml:space="preserve"> (AJ45 + AJ46 + AJ47)</f>
        <v>0</v>
      </c>
      <c r="AK44" s="27">
        <f xml:space="preserve"> (AK45 + AK46 + AK47)</f>
        <v>0</v>
      </c>
      <c r="AL44" s="27">
        <f xml:space="preserve"> (AL45 + AL46 + AL47)</f>
        <v>0</v>
      </c>
      <c r="AM44" s="27">
        <f xml:space="preserve"> (AM45 + AM46 + AM47)</f>
        <v>0</v>
      </c>
      <c r="AN44" s="27">
        <f t="shared" si="3"/>
        <v>0</v>
      </c>
      <c r="AO44" s="27">
        <f xml:space="preserve"> (AO45 + AO46 + AO47)</f>
        <v>0</v>
      </c>
      <c r="AP44" s="28"/>
      <c r="AQ44" s="28"/>
      <c r="AR44" s="28"/>
      <c r="AS44" s="28"/>
      <c r="AT44" s="27">
        <f xml:space="preserve"> (AT45 + AT46 + AT47)</f>
        <v>0</v>
      </c>
      <c r="AU44" s="27">
        <f xml:space="preserve"> (AU45 + AU46 + AU47)</f>
        <v>0</v>
      </c>
      <c r="AV44" s="27">
        <f t="shared" si="4"/>
        <v>0</v>
      </c>
      <c r="AW44" s="27">
        <f t="shared" si="5"/>
        <v>0</v>
      </c>
    </row>
    <row r="45" spans="1:50" ht="11.25" customHeight="1" x14ac:dyDescent="0.2">
      <c r="A45" s="71"/>
      <c r="B45" s="74" t="s">
        <v>16</v>
      </c>
      <c r="C45" s="80" t="s">
        <v>60</v>
      </c>
      <c r="D45" s="71"/>
      <c r="E45" s="71"/>
      <c r="F45" s="71"/>
      <c r="G45" s="73" t="s">
        <v>115</v>
      </c>
      <c r="H45" s="4"/>
      <c r="I45" s="34" t="n">
        <v>3737335.96</v>
      </c>
      <c r="J45" s="32"/>
      <c r="K45" s="32"/>
      <c r="L45" s="34"/>
      <c r="M45" s="34"/>
      <c r="N45" s="34"/>
      <c r="O45" s="34"/>
      <c r="P45" s="27">
        <f t="shared" si="0"/>
        <v>0</v>
      </c>
      <c r="Q45" s="34" t="n">
        <v>1.23185060436E9</v>
      </c>
      <c r="R45" s="32"/>
      <c r="S45" s="32"/>
      <c r="T45" s="34"/>
      <c r="U45" s="34"/>
      <c r="V45" s="34"/>
      <c r="W45" s="34"/>
      <c r="X45" s="27">
        <f t="shared" si="1"/>
        <v>0</v>
      </c>
      <c r="Y45" s="34"/>
      <c r="Z45" s="32"/>
      <c r="AA45" s="32"/>
      <c r="AB45" s="34"/>
      <c r="AC45" s="34"/>
      <c r="AD45" s="34"/>
      <c r="AE45" s="34"/>
      <c r="AF45" s="27">
        <f t="shared" si="2"/>
        <v>0</v>
      </c>
      <c r="AG45" s="34" t="n">
        <v>7540958.48</v>
      </c>
      <c r="AH45" s="32"/>
      <c r="AI45" s="32"/>
      <c r="AJ45" s="34"/>
      <c r="AK45" s="34"/>
      <c r="AL45" s="34"/>
      <c r="AM45" s="34"/>
      <c r="AN45" s="27">
        <f t="shared" si="3"/>
        <v>0</v>
      </c>
      <c r="AO45" s="34"/>
      <c r="AP45" s="32"/>
      <c r="AQ45" s="32"/>
      <c r="AR45" s="32"/>
      <c r="AS45" s="32"/>
      <c r="AT45" s="34"/>
      <c r="AU45" s="34"/>
      <c r="AV45" s="27">
        <f t="shared" si="4"/>
        <v>0</v>
      </c>
      <c r="AW45" s="27">
        <f t="shared" si="5"/>
        <v>0</v>
      </c>
    </row>
    <row r="46" spans="1:50" ht="11.25" customHeight="1" x14ac:dyDescent="0.2">
      <c r="A46" s="71"/>
      <c r="B46" s="74" t="s">
        <v>44</v>
      </c>
      <c r="C46" s="71" t="s">
        <v>61</v>
      </c>
      <c r="D46" s="81"/>
      <c r="E46" s="81"/>
      <c r="F46" s="81"/>
      <c r="G46" s="82" t="s">
        <v>116</v>
      </c>
      <c r="H46" s="33"/>
      <c r="I46" s="34" t="n">
        <v>0.0</v>
      </c>
      <c r="J46" s="32"/>
      <c r="K46" s="32"/>
      <c r="L46" s="34"/>
      <c r="M46" s="34"/>
      <c r="N46" s="34"/>
      <c r="O46" s="34"/>
      <c r="P46" s="27">
        <f t="shared" si="0"/>
        <v>0</v>
      </c>
      <c r="Q46" s="34" t="n">
        <v>0.0</v>
      </c>
      <c r="R46" s="32"/>
      <c r="S46" s="32"/>
      <c r="T46" s="34"/>
      <c r="U46" s="34"/>
      <c r="V46" s="34"/>
      <c r="W46" s="34"/>
      <c r="X46" s="27">
        <f t="shared" si="1"/>
        <v>0</v>
      </c>
      <c r="Y46" s="34"/>
      <c r="Z46" s="32"/>
      <c r="AA46" s="32"/>
      <c r="AB46" s="34"/>
      <c r="AC46" s="34"/>
      <c r="AD46" s="34"/>
      <c r="AE46" s="34"/>
      <c r="AF46" s="27">
        <f t="shared" si="2"/>
        <v>0</v>
      </c>
      <c r="AG46" s="34" t="n">
        <v>3172132.1</v>
      </c>
      <c r="AH46" s="32"/>
      <c r="AI46" s="32"/>
      <c r="AJ46" s="34"/>
      <c r="AK46" s="34"/>
      <c r="AL46" s="34"/>
      <c r="AM46" s="34"/>
      <c r="AN46" s="27">
        <f t="shared" si="3"/>
        <v>0</v>
      </c>
      <c r="AO46" s="34"/>
      <c r="AP46" s="32"/>
      <c r="AQ46" s="32"/>
      <c r="AR46" s="32"/>
      <c r="AS46" s="32"/>
      <c r="AT46" s="34"/>
      <c r="AU46" s="34"/>
      <c r="AV46" s="27">
        <f t="shared" si="4"/>
        <v>0</v>
      </c>
      <c r="AW46" s="27">
        <f t="shared" si="5"/>
        <v>0</v>
      </c>
    </row>
    <row r="47" spans="1:50" ht="11.25" customHeight="1" x14ac:dyDescent="0.2">
      <c r="A47" s="71"/>
      <c r="B47" s="74" t="s">
        <v>62</v>
      </c>
      <c r="C47" s="71" t="s">
        <v>63</v>
      </c>
      <c r="D47" s="71"/>
      <c r="E47" s="71"/>
      <c r="F47" s="71"/>
      <c r="G47" s="73" t="s">
        <v>117</v>
      </c>
      <c r="H47" s="4"/>
      <c r="I47" s="34" t="n">
        <v>0.0</v>
      </c>
      <c r="J47" s="32"/>
      <c r="K47" s="32"/>
      <c r="L47" s="34"/>
      <c r="M47" s="34"/>
      <c r="N47" s="34"/>
      <c r="O47" s="34"/>
      <c r="P47" s="27">
        <f t="shared" si="0"/>
        <v>0</v>
      </c>
      <c r="Q47" s="34" t="n">
        <v>0.0</v>
      </c>
      <c r="R47" s="32"/>
      <c r="S47" s="32"/>
      <c r="T47" s="34"/>
      <c r="U47" s="34"/>
      <c r="V47" s="34"/>
      <c r="W47" s="34"/>
      <c r="X47" s="27">
        <f t="shared" si="1"/>
        <v>0</v>
      </c>
      <c r="Y47" s="34"/>
      <c r="Z47" s="32"/>
      <c r="AA47" s="32"/>
      <c r="AB47" s="34"/>
      <c r="AC47" s="34"/>
      <c r="AD47" s="34"/>
      <c r="AE47" s="34"/>
      <c r="AF47" s="27">
        <f t="shared" si="2"/>
        <v>0</v>
      </c>
      <c r="AG47" s="34" t="n">
        <v>1.8E7</v>
      </c>
      <c r="AH47" s="32"/>
      <c r="AI47" s="32"/>
      <c r="AJ47" s="34"/>
      <c r="AK47" s="34"/>
      <c r="AL47" s="34"/>
      <c r="AM47" s="34"/>
      <c r="AN47" s="27">
        <f t="shared" si="3"/>
        <v>0</v>
      </c>
      <c r="AO47" s="34"/>
      <c r="AP47" s="32"/>
      <c r="AQ47" s="32"/>
      <c r="AR47" s="32"/>
      <c r="AS47" s="32"/>
      <c r="AT47" s="34"/>
      <c r="AU47" s="34"/>
      <c r="AV47" s="27">
        <f t="shared" si="4"/>
        <v>0</v>
      </c>
      <c r="AW47" s="27">
        <f t="shared" si="5"/>
        <v>0</v>
      </c>
      <c r="AX47" s="6"/>
    </row>
    <row r="48" spans="1:50" x14ac:dyDescent="0.2">
      <c r="G48" s="65" t="s">
        <v>137</v>
      </c>
    </row>
  </sheetData>
  <sheetProtection password="9C58" sheet="1" objects="1" scenarios="1" selectLockedCells="1"/>
  <mergeCells count="39">
    <mergeCell ref="G7:G9"/>
    <mergeCell ref="A3:AW3"/>
    <mergeCell ref="A4:AW4"/>
    <mergeCell ref="A5:AW5"/>
    <mergeCell ref="A6:AW6"/>
    <mergeCell ref="AJ8:AK8"/>
    <mergeCell ref="Y7:AF7"/>
    <mergeCell ref="AG7:AN7"/>
    <mergeCell ref="AO7:AV7"/>
    <mergeCell ref="I7:P7"/>
    <mergeCell ref="AF8:AF9"/>
    <mergeCell ref="AN8:AN9"/>
    <mergeCell ref="AR8:AS8"/>
    <mergeCell ref="AT8:AU8"/>
    <mergeCell ref="AP8:AQ8"/>
    <mergeCell ref="J8:K8"/>
    <mergeCell ref="A1:AW1"/>
    <mergeCell ref="A2:AW2"/>
    <mergeCell ref="L8:M8"/>
    <mergeCell ref="P8:P9"/>
    <mergeCell ref="AG8:AG9"/>
    <mergeCell ref="I8:I9"/>
    <mergeCell ref="A7:F9"/>
    <mergeCell ref="AV8:AV9"/>
    <mergeCell ref="AO8:AO9"/>
    <mergeCell ref="Q7:X7"/>
    <mergeCell ref="AW7:AW9"/>
    <mergeCell ref="Q8:Q9"/>
    <mergeCell ref="T8:U8"/>
    <mergeCell ref="X8:X9"/>
    <mergeCell ref="Y8:Y9"/>
    <mergeCell ref="AB8:AC8"/>
    <mergeCell ref="AL8:AM8"/>
    <mergeCell ref="R8:S8"/>
    <mergeCell ref="Z8:AA8"/>
    <mergeCell ref="AH8:AI8"/>
    <mergeCell ref="N8:O8"/>
    <mergeCell ref="V8:W8"/>
    <mergeCell ref="AD8:AE8"/>
  </mergeCells>
  <phoneticPr fontId="0" type="noConversion"/>
  <dataValidations count="1">
    <dataValidation allowBlank="1" showInputMessage="1" showErrorMessage="1" sqref="I10:AW47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<![CDATA[&R&"Arial,Bold"&9&USchedule 22_x000D_&U &"Arial,Bold" &P &"Arial,Regular"of &"Arial,Bold"&N&C&"Arial,Bold"&8 MAXIMUM SAVINGS BANK, INC.  [ 03-070011 ]
 As of: June 30, 2019]]></oddHeader>
  </headerFooter>
  <colBreaks count="1" manualBreakCount="1">
    <brk id="52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J39"/>
  <sheetViews>
    <sheetView zoomScale="85" zoomScaleNormal="100" zoomScaleSheetLayoutView="100" workbookViewId="0">
      <pane xSplit="8" ySplit="9" topLeftCell="BQ13" activePane="bottomRight" state="frozen"/>
      <selection pane="topRight" activeCell="I1" sqref="I1"/>
      <selection pane="bottomLeft" activeCell="A10" sqref="A10"/>
      <selection pane="bottomRight" sqref="A1:AC1"/>
    </sheetView>
  </sheetViews>
  <sheetFormatPr defaultRowHeight="11.25" x14ac:dyDescent="0.2"/>
  <cols>
    <col min="1" max="1" customWidth="true" style="1" width="46.5703125" collapsed="false"/>
    <col min="2" max="2" customWidth="true" hidden="true" style="1" width="9.5703125" collapsed="false"/>
    <col min="3" max="3" customWidth="true" hidden="true" style="1" width="7.0" collapsed="false"/>
    <col min="4" max="5" customWidth="true" hidden="true" style="1" width="3.42578125" collapsed="false"/>
    <col min="6" max="6" customWidth="true" hidden="true" style="1" width="4.5703125" collapsed="false"/>
    <col min="7" max="7" customWidth="true" style="7" width="18.140625" collapsed="false"/>
    <col min="8" max="8" customWidth="true" hidden="true" style="7" width="16.5703125" collapsed="false"/>
    <col min="9" max="9" customWidth="true" style="23" width="8.7109375" collapsed="false"/>
    <col min="10" max="10" customWidth="true" style="8" width="17.7109375" collapsed="false"/>
    <col min="11" max="11" customWidth="true" style="1" width="8.7109375" collapsed="false"/>
    <col min="12" max="13" customWidth="true" style="1" width="17.7109375" collapsed="false"/>
    <col min="14" max="14" customWidth="true" hidden="true" style="1" width="8.7109375" collapsed="false"/>
    <col min="15" max="16" customWidth="true" hidden="true" style="1" width="17.7109375" collapsed="false"/>
    <col min="17" max="17" customWidth="true" style="1" width="8.7109375" collapsed="false"/>
    <col min="18" max="18" customWidth="true" style="1" width="17.7109375" collapsed="false"/>
    <col min="19" max="19" customWidth="true" style="1" width="8.7109375" collapsed="false"/>
    <col min="20" max="21" customWidth="true" style="1" width="17.7109375" collapsed="false"/>
    <col min="22" max="22" customWidth="true" hidden="true" style="1" width="8.7109375" collapsed="false"/>
    <col min="23" max="24" customWidth="true" hidden="true" style="1" width="17.7109375" collapsed="false"/>
    <col min="25" max="25" customWidth="true" style="1" width="8.7109375" collapsed="false"/>
    <col min="26" max="26" customWidth="true" style="1" width="17.7109375" collapsed="false"/>
    <col min="27" max="27" customWidth="true" style="1" width="8.7109375" collapsed="false"/>
    <col min="28" max="29" customWidth="true" style="1" width="17.7109375" collapsed="false"/>
    <col min="30" max="30" customWidth="true" hidden="true" style="1" width="8.7109375" collapsed="false"/>
    <col min="31" max="32" customWidth="true" hidden="true" style="1" width="17.7109375" collapsed="false"/>
    <col min="33" max="33" customWidth="true" style="1" width="8.7109375" collapsed="false"/>
    <col min="34" max="34" customWidth="true" style="1" width="17.7109375" collapsed="false"/>
    <col min="35" max="35" customWidth="true" style="1" width="8.7109375" collapsed="false"/>
    <col min="36" max="37" customWidth="true" style="1" width="17.7109375" collapsed="false"/>
    <col min="38" max="38" customWidth="true" hidden="true" style="1" width="8.7109375" collapsed="false"/>
    <col min="39" max="40" customWidth="true" hidden="true" style="1" width="17.7109375" collapsed="false"/>
    <col min="41" max="41" customWidth="true" style="1" width="8.7109375" collapsed="false"/>
    <col min="42" max="42" customWidth="true" style="1" width="17.7109375" collapsed="false"/>
    <col min="43" max="43" customWidth="true" style="1" width="8.7109375" collapsed="false"/>
    <col min="44" max="45" customWidth="true" style="5" width="17.7109375" collapsed="false"/>
    <col min="46" max="46" customWidth="true" hidden="true" style="5" width="8.7109375" collapsed="false"/>
    <col min="47" max="48" customWidth="true" hidden="true" style="5" width="17.7109375" collapsed="false"/>
    <col min="49" max="49" customWidth="true" style="5" width="8.7109375" collapsed="false"/>
    <col min="50" max="50" customWidth="true" style="1" width="17.7109375" collapsed="false"/>
    <col min="51" max="51" customWidth="true" style="1" width="8.7109375" collapsed="false"/>
    <col min="52" max="52" customWidth="true" style="1" width="17.7109375" collapsed="false"/>
    <col min="53" max="53" customWidth="true" style="1" width="18.42578125" collapsed="false"/>
    <col min="54" max="54" customWidth="true" hidden="true" style="1" width="8.7109375" collapsed="false"/>
    <col min="55" max="56" customWidth="true" hidden="true" style="1" width="17.7109375" collapsed="false"/>
    <col min="57" max="57" style="1" width="9.140625" collapsed="false"/>
    <col min="58" max="58" customWidth="true" style="1" width="17.7109375" collapsed="false"/>
    <col min="59" max="59" style="1" width="9.140625" collapsed="false"/>
    <col min="60" max="61" customWidth="true" style="1" width="17.7109375" collapsed="false"/>
    <col min="62" max="62" customWidth="true" hidden="true" style="1" width="9.140625" collapsed="false"/>
    <col min="63" max="64" customWidth="true" hidden="true" style="1" width="17.7109375" collapsed="false"/>
    <col min="65" max="65" style="1" width="9.140625" collapsed="false"/>
    <col min="66" max="66" customWidth="true" style="1" width="17.7109375" collapsed="false"/>
    <col min="67" max="67" style="1" width="9.140625" collapsed="false"/>
    <col min="68" max="69" customWidth="true" style="1" width="17.7109375" collapsed="false"/>
    <col min="70" max="70" customWidth="true" hidden="true" style="1" width="9.140625" collapsed="false"/>
    <col min="71" max="72" customWidth="true" hidden="true" style="1" width="17.7109375" collapsed="false"/>
    <col min="73" max="73" style="1" width="9.140625" collapsed="false"/>
    <col min="74" max="74" customWidth="true" style="1" width="17.7109375" collapsed="false"/>
    <col min="75" max="75" style="1" width="9.140625" collapsed="false"/>
    <col min="76" max="77" customWidth="true" style="1" width="17.7109375" collapsed="false"/>
    <col min="78" max="78" customWidth="true" hidden="true" style="1" width="9.140625" collapsed="false"/>
    <col min="79" max="80" customWidth="true" hidden="true" style="1" width="17.7109375" collapsed="false"/>
    <col min="81" max="81" style="1" width="9.140625" collapsed="false"/>
    <col min="82" max="82" customWidth="true" style="1" width="17.7109375" collapsed="false"/>
    <col min="83" max="83" style="1" width="9.140625" collapsed="false"/>
    <col min="84" max="85" customWidth="true" style="1" width="17.7109375" collapsed="false"/>
    <col min="86" max="88" customWidth="true" hidden="true" style="1" width="9.140625" collapsed="false"/>
    <col min="89" max="16384" style="1" width="9.140625" collapsed="false"/>
  </cols>
  <sheetData>
    <row r="1" spans="1:88" ht="12.75" x14ac:dyDescent="0.2">
      <c r="A1" s="105" t="s">
        <v>132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20"/>
      <c r="AE1" s="20"/>
      <c r="AF1" s="20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20"/>
      <c r="BC1" s="20"/>
      <c r="BD1" s="20"/>
      <c r="BE1" s="20"/>
      <c r="BF1" s="20"/>
      <c r="BG1" s="20"/>
      <c r="BH1" s="20"/>
      <c r="BI1" s="20"/>
    </row>
    <row r="2" spans="1:88" hidden="1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</row>
    <row r="3" spans="1:88" hidden="1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</row>
    <row r="4" spans="1:88" hidden="1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  <c r="AX4" s="122"/>
      <c r="AY4" s="122"/>
      <c r="AZ4" s="122"/>
      <c r="BA4" s="122"/>
    </row>
    <row r="5" spans="1:88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</row>
    <row r="6" spans="1:88" ht="11.25" customHeight="1" x14ac:dyDescent="0.2">
      <c r="A6" s="135" t="s">
        <v>64</v>
      </c>
      <c r="B6" s="83"/>
      <c r="C6" s="83"/>
      <c r="D6" s="83"/>
      <c r="E6" s="83"/>
      <c r="F6" s="83"/>
      <c r="G6" s="138" t="s">
        <v>4</v>
      </c>
      <c r="H6" s="16"/>
      <c r="I6" s="141" t="s">
        <v>5</v>
      </c>
      <c r="J6" s="142"/>
      <c r="K6" s="142"/>
      <c r="L6" s="142"/>
      <c r="M6" s="142"/>
      <c r="N6" s="142"/>
      <c r="O6" s="142"/>
      <c r="P6" s="143"/>
      <c r="Q6" s="128" t="s">
        <v>6</v>
      </c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30"/>
      <c r="BE6" s="141" t="s">
        <v>7</v>
      </c>
      <c r="BF6" s="142"/>
      <c r="BG6" s="142"/>
      <c r="BH6" s="142"/>
      <c r="BI6" s="142"/>
      <c r="BJ6" s="142"/>
      <c r="BK6" s="142"/>
      <c r="BL6" s="143"/>
      <c r="BM6" s="141" t="s">
        <v>65</v>
      </c>
      <c r="BN6" s="142"/>
      <c r="BO6" s="142"/>
      <c r="BP6" s="142"/>
      <c r="BQ6" s="142"/>
      <c r="BR6" s="142"/>
      <c r="BS6" s="142"/>
      <c r="BT6" s="143"/>
      <c r="BU6" s="141" t="s">
        <v>9</v>
      </c>
      <c r="BV6" s="142"/>
      <c r="BW6" s="142"/>
      <c r="BX6" s="142"/>
      <c r="BY6" s="142"/>
      <c r="BZ6" s="142"/>
      <c r="CA6" s="142"/>
      <c r="CB6" s="143"/>
      <c r="CC6" s="141" t="s">
        <v>13</v>
      </c>
      <c r="CD6" s="142"/>
      <c r="CE6" s="142"/>
      <c r="CF6" s="142"/>
      <c r="CG6" s="143"/>
      <c r="CH6" s="141"/>
      <c r="CI6" s="142"/>
      <c r="CJ6" s="143"/>
    </row>
    <row r="7" spans="1:88" ht="11.25" customHeight="1" x14ac:dyDescent="0.2">
      <c r="A7" s="136"/>
      <c r="B7" s="84"/>
      <c r="C7" s="84"/>
      <c r="D7" s="84"/>
      <c r="E7" s="84"/>
      <c r="F7" s="84"/>
      <c r="G7" s="138"/>
      <c r="H7" s="17"/>
      <c r="I7" s="125"/>
      <c r="J7" s="127"/>
      <c r="K7" s="127"/>
      <c r="L7" s="127"/>
      <c r="M7" s="127"/>
      <c r="N7" s="127"/>
      <c r="O7" s="127"/>
      <c r="P7" s="126"/>
      <c r="Q7" s="128" t="s">
        <v>244</v>
      </c>
      <c r="R7" s="129"/>
      <c r="S7" s="129"/>
      <c r="T7" s="129"/>
      <c r="U7" s="129"/>
      <c r="V7" s="129"/>
      <c r="W7" s="129"/>
      <c r="X7" s="130"/>
      <c r="Y7" s="128" t="s">
        <v>245</v>
      </c>
      <c r="Z7" s="129"/>
      <c r="AA7" s="129"/>
      <c r="AB7" s="129"/>
      <c r="AC7" s="129"/>
      <c r="AD7" s="129"/>
      <c r="AE7" s="129"/>
      <c r="AF7" s="130"/>
      <c r="AG7" s="128" t="s">
        <v>246</v>
      </c>
      <c r="AH7" s="129"/>
      <c r="AI7" s="129"/>
      <c r="AJ7" s="129"/>
      <c r="AK7" s="129"/>
      <c r="AL7" s="129"/>
      <c r="AM7" s="129"/>
      <c r="AN7" s="130"/>
      <c r="AO7" s="128" t="s">
        <v>247</v>
      </c>
      <c r="AP7" s="129"/>
      <c r="AQ7" s="129"/>
      <c r="AR7" s="129"/>
      <c r="AS7" s="129"/>
      <c r="AT7" s="129"/>
      <c r="AU7" s="129"/>
      <c r="AV7" s="130"/>
      <c r="AW7" s="128" t="s">
        <v>248</v>
      </c>
      <c r="AX7" s="129"/>
      <c r="AY7" s="129"/>
      <c r="AZ7" s="129"/>
      <c r="BA7" s="129"/>
      <c r="BB7" s="129"/>
      <c r="BC7" s="129"/>
      <c r="BD7" s="130"/>
      <c r="BE7" s="125"/>
      <c r="BF7" s="127"/>
      <c r="BG7" s="127"/>
      <c r="BH7" s="127"/>
      <c r="BI7" s="127"/>
      <c r="BJ7" s="127"/>
      <c r="BK7" s="127"/>
      <c r="BL7" s="126"/>
      <c r="BM7" s="125"/>
      <c r="BN7" s="127"/>
      <c r="BO7" s="127"/>
      <c r="BP7" s="127"/>
      <c r="BQ7" s="127"/>
      <c r="BR7" s="127"/>
      <c r="BS7" s="127"/>
      <c r="BT7" s="126"/>
      <c r="BU7" s="125"/>
      <c r="BV7" s="127"/>
      <c r="BW7" s="127"/>
      <c r="BX7" s="127"/>
      <c r="BY7" s="127"/>
      <c r="BZ7" s="127"/>
      <c r="CA7" s="127"/>
      <c r="CB7" s="126"/>
      <c r="CC7" s="125"/>
      <c r="CD7" s="127"/>
      <c r="CE7" s="127"/>
      <c r="CF7" s="127"/>
      <c r="CG7" s="126"/>
      <c r="CH7" s="125"/>
      <c r="CI7" s="127"/>
      <c r="CJ7" s="126"/>
    </row>
    <row r="8" spans="1:88" x14ac:dyDescent="0.2">
      <c r="A8" s="136"/>
      <c r="B8" s="84"/>
      <c r="C8" s="84"/>
      <c r="D8" s="84"/>
      <c r="E8" s="84"/>
      <c r="F8" s="84"/>
      <c r="G8" s="138"/>
      <c r="H8" s="17"/>
      <c r="I8" s="125" t="s">
        <v>11</v>
      </c>
      <c r="J8" s="126"/>
      <c r="K8" s="125" t="s">
        <v>12</v>
      </c>
      <c r="L8" s="127"/>
      <c r="M8" s="126"/>
      <c r="N8" s="128" t="s">
        <v>133</v>
      </c>
      <c r="O8" s="139"/>
      <c r="P8" s="140"/>
      <c r="Q8" s="125" t="s">
        <v>11</v>
      </c>
      <c r="R8" s="126"/>
      <c r="S8" s="125" t="s">
        <v>12</v>
      </c>
      <c r="T8" s="127"/>
      <c r="U8" s="126"/>
      <c r="V8" s="128" t="s">
        <v>133</v>
      </c>
      <c r="W8" s="129"/>
      <c r="X8" s="130"/>
      <c r="Y8" s="125" t="s">
        <v>11</v>
      </c>
      <c r="Z8" s="126"/>
      <c r="AA8" s="125" t="s">
        <v>12</v>
      </c>
      <c r="AB8" s="127"/>
      <c r="AC8" s="126"/>
      <c r="AD8" s="128" t="s">
        <v>133</v>
      </c>
      <c r="AE8" s="129"/>
      <c r="AF8" s="130"/>
      <c r="AG8" s="125" t="s">
        <v>11</v>
      </c>
      <c r="AH8" s="126"/>
      <c r="AI8" s="125" t="s">
        <v>12</v>
      </c>
      <c r="AJ8" s="127"/>
      <c r="AK8" s="126"/>
      <c r="AL8" s="128" t="s">
        <v>133</v>
      </c>
      <c r="AM8" s="129"/>
      <c r="AN8" s="130"/>
      <c r="AO8" s="125" t="s">
        <v>11</v>
      </c>
      <c r="AP8" s="126"/>
      <c r="AQ8" s="125" t="s">
        <v>12</v>
      </c>
      <c r="AR8" s="127"/>
      <c r="AS8" s="126"/>
      <c r="AT8" s="128" t="s">
        <v>133</v>
      </c>
      <c r="AU8" s="129"/>
      <c r="AV8" s="130"/>
      <c r="AW8" s="125" t="s">
        <v>11</v>
      </c>
      <c r="AX8" s="126"/>
      <c r="AY8" s="125" t="s">
        <v>12</v>
      </c>
      <c r="AZ8" s="127"/>
      <c r="BA8" s="126"/>
      <c r="BB8" s="128" t="s">
        <v>133</v>
      </c>
      <c r="BC8" s="129"/>
      <c r="BD8" s="130"/>
      <c r="BE8" s="125" t="s">
        <v>11</v>
      </c>
      <c r="BF8" s="126"/>
      <c r="BG8" s="125" t="s">
        <v>12</v>
      </c>
      <c r="BH8" s="127"/>
      <c r="BI8" s="126"/>
      <c r="BJ8" s="128" t="s">
        <v>133</v>
      </c>
      <c r="BK8" s="129"/>
      <c r="BL8" s="130"/>
      <c r="BM8" s="125" t="s">
        <v>11</v>
      </c>
      <c r="BN8" s="126"/>
      <c r="BO8" s="125" t="s">
        <v>12</v>
      </c>
      <c r="BP8" s="127"/>
      <c r="BQ8" s="126"/>
      <c r="BR8" s="128" t="s">
        <v>133</v>
      </c>
      <c r="BS8" s="129"/>
      <c r="BT8" s="130"/>
      <c r="BU8" s="125" t="s">
        <v>11</v>
      </c>
      <c r="BV8" s="126"/>
      <c r="BW8" s="132" t="s">
        <v>12</v>
      </c>
      <c r="BX8" s="133"/>
      <c r="BY8" s="134"/>
      <c r="BZ8" s="145" t="s">
        <v>133</v>
      </c>
      <c r="CA8" s="146"/>
      <c r="CB8" s="147"/>
      <c r="CC8" s="125" t="s">
        <v>11</v>
      </c>
      <c r="CD8" s="126"/>
      <c r="CE8" s="128" t="s">
        <v>12</v>
      </c>
      <c r="CF8" s="129"/>
      <c r="CG8" s="130"/>
      <c r="CH8" s="144" t="s">
        <v>133</v>
      </c>
      <c r="CI8" s="144"/>
      <c r="CJ8" s="144"/>
    </row>
    <row r="9" spans="1:88" ht="22.5" x14ac:dyDescent="0.2">
      <c r="A9" s="137"/>
      <c r="B9" s="85"/>
      <c r="C9" s="85"/>
      <c r="D9" s="85"/>
      <c r="E9" s="85"/>
      <c r="F9" s="85"/>
      <c r="G9" s="138"/>
      <c r="H9" s="18"/>
      <c r="I9" s="9" t="s">
        <v>66</v>
      </c>
      <c r="J9" s="62" t="s">
        <v>67</v>
      </c>
      <c r="K9" s="9" t="s">
        <v>66</v>
      </c>
      <c r="L9" s="10" t="s">
        <v>14</v>
      </c>
      <c r="M9" s="3" t="s">
        <v>15</v>
      </c>
      <c r="N9" s="9" t="s">
        <v>66</v>
      </c>
      <c r="O9" s="10" t="s">
        <v>14</v>
      </c>
      <c r="P9" s="3" t="s">
        <v>15</v>
      </c>
      <c r="Q9" s="9" t="s">
        <v>66</v>
      </c>
      <c r="R9" s="62" t="s">
        <v>67</v>
      </c>
      <c r="S9" s="9" t="s">
        <v>66</v>
      </c>
      <c r="T9" s="10" t="s">
        <v>14</v>
      </c>
      <c r="U9" s="3" t="s">
        <v>15</v>
      </c>
      <c r="V9" s="9" t="s">
        <v>66</v>
      </c>
      <c r="W9" s="10" t="s">
        <v>14</v>
      </c>
      <c r="X9" s="3" t="s">
        <v>15</v>
      </c>
      <c r="Y9" s="9" t="s">
        <v>66</v>
      </c>
      <c r="Z9" s="62" t="s">
        <v>67</v>
      </c>
      <c r="AA9" s="9" t="s">
        <v>66</v>
      </c>
      <c r="AB9" s="10" t="s">
        <v>14</v>
      </c>
      <c r="AC9" s="3" t="s">
        <v>15</v>
      </c>
      <c r="AD9" s="9" t="s">
        <v>66</v>
      </c>
      <c r="AE9" s="10" t="s">
        <v>14</v>
      </c>
      <c r="AF9" s="3" t="s">
        <v>15</v>
      </c>
      <c r="AG9" s="9" t="s">
        <v>66</v>
      </c>
      <c r="AH9" s="62" t="s">
        <v>67</v>
      </c>
      <c r="AI9" s="9" t="s">
        <v>66</v>
      </c>
      <c r="AJ9" s="10" t="s">
        <v>14</v>
      </c>
      <c r="AK9" s="3" t="s">
        <v>15</v>
      </c>
      <c r="AL9" s="9" t="s">
        <v>66</v>
      </c>
      <c r="AM9" s="10" t="s">
        <v>14</v>
      </c>
      <c r="AN9" s="3" t="s">
        <v>15</v>
      </c>
      <c r="AO9" s="9" t="s">
        <v>66</v>
      </c>
      <c r="AP9" s="62" t="s">
        <v>67</v>
      </c>
      <c r="AQ9" s="9" t="s">
        <v>66</v>
      </c>
      <c r="AR9" s="10" t="s">
        <v>14</v>
      </c>
      <c r="AS9" s="3" t="s">
        <v>15</v>
      </c>
      <c r="AT9" s="9" t="s">
        <v>66</v>
      </c>
      <c r="AU9" s="10" t="s">
        <v>14</v>
      </c>
      <c r="AV9" s="3" t="s">
        <v>15</v>
      </c>
      <c r="AW9" s="9" t="s">
        <v>66</v>
      </c>
      <c r="AX9" s="62" t="s">
        <v>67</v>
      </c>
      <c r="AY9" s="9" t="s">
        <v>66</v>
      </c>
      <c r="AZ9" s="10" t="s">
        <v>14</v>
      </c>
      <c r="BA9" s="3" t="s">
        <v>15</v>
      </c>
      <c r="BB9" s="9" t="s">
        <v>66</v>
      </c>
      <c r="BC9" s="10" t="s">
        <v>14</v>
      </c>
      <c r="BD9" s="3" t="s">
        <v>15</v>
      </c>
      <c r="BE9" s="9" t="s">
        <v>66</v>
      </c>
      <c r="BF9" s="62" t="s">
        <v>67</v>
      </c>
      <c r="BG9" s="9" t="s">
        <v>66</v>
      </c>
      <c r="BH9" s="10" t="s">
        <v>14</v>
      </c>
      <c r="BI9" s="3" t="s">
        <v>15</v>
      </c>
      <c r="BJ9" s="9" t="s">
        <v>66</v>
      </c>
      <c r="BK9" s="10" t="s">
        <v>14</v>
      </c>
      <c r="BL9" s="3" t="s">
        <v>15</v>
      </c>
      <c r="BM9" s="9" t="s">
        <v>66</v>
      </c>
      <c r="BN9" s="62" t="s">
        <v>67</v>
      </c>
      <c r="BO9" s="9" t="s">
        <v>66</v>
      </c>
      <c r="BP9" s="10" t="s">
        <v>14</v>
      </c>
      <c r="BQ9" s="3" t="s">
        <v>15</v>
      </c>
      <c r="BR9" s="9" t="s">
        <v>66</v>
      </c>
      <c r="BS9" s="10" t="s">
        <v>14</v>
      </c>
      <c r="BT9" s="3" t="s">
        <v>15</v>
      </c>
      <c r="BU9" s="9" t="s">
        <v>66</v>
      </c>
      <c r="BV9" s="62" t="s">
        <v>67</v>
      </c>
      <c r="BW9" s="9" t="s">
        <v>66</v>
      </c>
      <c r="BX9" s="11" t="s">
        <v>14</v>
      </c>
      <c r="BY9" s="12" t="s">
        <v>15</v>
      </c>
      <c r="BZ9" s="9" t="s">
        <v>66</v>
      </c>
      <c r="CA9" s="11" t="s">
        <v>14</v>
      </c>
      <c r="CB9" s="12" t="s">
        <v>15</v>
      </c>
      <c r="CC9" s="9" t="s">
        <v>66</v>
      </c>
      <c r="CD9" s="62" t="s">
        <v>67</v>
      </c>
      <c r="CE9" s="9" t="s">
        <v>66</v>
      </c>
      <c r="CF9" s="10" t="s">
        <v>14</v>
      </c>
      <c r="CG9" s="2" t="s">
        <v>15</v>
      </c>
      <c r="CH9" s="49" t="s">
        <v>66</v>
      </c>
      <c r="CI9" s="10" t="s">
        <v>14</v>
      </c>
      <c r="CJ9" s="2" t="s">
        <v>15</v>
      </c>
    </row>
    <row r="10" spans="1:88" x14ac:dyDescent="0.2">
      <c r="A10" s="86" t="s">
        <v>172</v>
      </c>
      <c r="B10" s="86">
        <v>0</v>
      </c>
      <c r="C10" s="86">
        <v>5000</v>
      </c>
      <c r="D10" s="86"/>
      <c r="E10" s="86"/>
      <c r="F10" s="86"/>
      <c r="G10" s="70" t="s">
        <v>173</v>
      </c>
      <c r="H10" s="36"/>
      <c r="I10" s="47" t="n">
        <v>10.0</v>
      </c>
      <c r="J10" s="63" t="n">
        <v>45754.67</v>
      </c>
      <c r="K10" s="64">
        <v>0</v>
      </c>
      <c r="L10" s="48"/>
      <c r="M10" s="48"/>
      <c r="N10" s="100">
        <v>0</v>
      </c>
      <c r="O10" s="88"/>
      <c r="P10" s="88"/>
      <c r="Q10" s="47" t="n">
        <v>2720.0</v>
      </c>
      <c r="R10" s="63" t="n">
        <v>2068803.44</v>
      </c>
      <c r="S10" s="64">
        <v>0</v>
      </c>
      <c r="T10" s="48"/>
      <c r="U10" s="48"/>
      <c r="V10" s="64">
        <v>0</v>
      </c>
      <c r="W10" s="88"/>
      <c r="X10" s="88"/>
      <c r="Y10" s="47">
        <v>0</v>
      </c>
      <c r="Z10" s="63"/>
      <c r="AA10" s="64">
        <v>0</v>
      </c>
      <c r="AB10" s="48"/>
      <c r="AC10" s="48"/>
      <c r="AD10" s="64">
        <v>0</v>
      </c>
      <c r="AE10" s="88"/>
      <c r="AF10" s="88"/>
      <c r="AG10" s="47">
        <v>0</v>
      </c>
      <c r="AH10" s="63"/>
      <c r="AI10" s="46"/>
      <c r="AJ10" s="46"/>
      <c r="AK10" s="46"/>
      <c r="AL10" s="64">
        <v>0</v>
      </c>
      <c r="AM10" s="48"/>
      <c r="AN10" s="48"/>
      <c r="AO10" s="47">
        <v>0</v>
      </c>
      <c r="AP10" s="63"/>
      <c r="AQ10" s="64">
        <v>0</v>
      </c>
      <c r="AR10" s="48"/>
      <c r="AS10" s="48"/>
      <c r="AT10" s="64">
        <v>0</v>
      </c>
      <c r="AU10" s="88"/>
      <c r="AV10" s="88"/>
      <c r="AW10" s="95">
        <f>Q10+Y10+AG10+AO10</f>
        <v>0</v>
      </c>
      <c r="AX10" s="96">
        <f t="shared" ref="AX10:BD10" si="0">R10+Z10+AH10+AP10</f>
        <v>0</v>
      </c>
      <c r="AY10" s="97">
        <f t="shared" si="0"/>
        <v>0</v>
      </c>
      <c r="AZ10" s="98">
        <f t="shared" si="0"/>
        <v>0</v>
      </c>
      <c r="BA10" s="98">
        <f t="shared" si="0"/>
        <v>0</v>
      </c>
      <c r="BB10" s="97">
        <f t="shared" si="0"/>
        <v>0</v>
      </c>
      <c r="BC10" s="98">
        <f t="shared" si="0"/>
        <v>0</v>
      </c>
      <c r="BD10" s="98">
        <f t="shared" si="0"/>
        <v>0</v>
      </c>
      <c r="BE10" s="47">
        <v>0</v>
      </c>
      <c r="BF10" s="63"/>
      <c r="BG10" s="64">
        <v>0</v>
      </c>
      <c r="BH10" s="48"/>
      <c r="BI10" s="48"/>
      <c r="BJ10" s="64">
        <v>0</v>
      </c>
      <c r="BK10" s="88"/>
      <c r="BL10" s="88"/>
      <c r="BM10" s="47" t="n">
        <v>0.0</v>
      </c>
      <c r="BN10" s="63" t="n">
        <v>0.0</v>
      </c>
      <c r="BO10" s="64">
        <v>0</v>
      </c>
      <c r="BP10" s="48"/>
      <c r="BQ10" s="48"/>
      <c r="BR10" s="64">
        <v>0</v>
      </c>
      <c r="BS10" s="88"/>
      <c r="BT10" s="88"/>
      <c r="BU10" s="47">
        <v>0</v>
      </c>
      <c r="BV10" s="63"/>
      <c r="BW10" s="37"/>
      <c r="BX10" s="38"/>
      <c r="BY10" s="38"/>
      <c r="BZ10" s="64">
        <v>0</v>
      </c>
      <c r="CA10" s="48"/>
      <c r="CB10" s="48"/>
      <c r="CC10" s="39">
        <f>I10+AW10+BE10+BM10+BU10</f>
        <v>0</v>
      </c>
      <c r="CD10" s="40">
        <f t="shared" ref="CD10:CJ10" si="1">J10+AX10+BF10+BN10+BV10</f>
        <v>0</v>
      </c>
      <c r="CE10" s="39">
        <f t="shared" si="1"/>
        <v>0</v>
      </c>
      <c r="CF10" s="40">
        <f t="shared" si="1"/>
        <v>0</v>
      </c>
      <c r="CG10" s="40">
        <f t="shared" si="1"/>
        <v>0</v>
      </c>
      <c r="CH10" s="39">
        <f t="shared" si="1"/>
        <v>0</v>
      </c>
      <c r="CI10" s="40">
        <f t="shared" si="1"/>
        <v>0</v>
      </c>
      <c r="CJ10" s="40">
        <f t="shared" si="1"/>
        <v>0</v>
      </c>
    </row>
    <row r="11" spans="1:88" x14ac:dyDescent="0.2">
      <c r="A11" s="86" t="s">
        <v>177</v>
      </c>
      <c r="B11" s="86">
        <v>5000.01</v>
      </c>
      <c r="C11" s="86">
        <v>10000</v>
      </c>
      <c r="D11" s="86"/>
      <c r="E11" s="86"/>
      <c r="F11" s="86"/>
      <c r="G11" s="70" t="s">
        <v>174</v>
      </c>
      <c r="H11" s="36"/>
      <c r="I11" s="47" t="n">
        <v>5.0</v>
      </c>
      <c r="J11" s="63" t="n">
        <v>48615.75</v>
      </c>
      <c r="K11" s="64">
        <v>0</v>
      </c>
      <c r="L11" s="48"/>
      <c r="M11" s="48"/>
      <c r="N11" s="100">
        <v>0</v>
      </c>
      <c r="O11" s="88"/>
      <c r="P11" s="88"/>
      <c r="Q11" s="47" t="n">
        <v>258.0</v>
      </c>
      <c r="R11" s="63" t="n">
        <v>1676407.94</v>
      </c>
      <c r="S11" s="64">
        <v>0</v>
      </c>
      <c r="T11" s="48"/>
      <c r="U11" s="48"/>
      <c r="V11" s="64">
        <v>0</v>
      </c>
      <c r="W11" s="88"/>
      <c r="X11" s="88"/>
      <c r="Y11" s="47">
        <v>0</v>
      </c>
      <c r="Z11" s="63"/>
      <c r="AA11" s="64">
        <v>0</v>
      </c>
      <c r="AB11" s="48"/>
      <c r="AC11" s="48"/>
      <c r="AD11" s="64">
        <v>0</v>
      </c>
      <c r="AE11" s="88"/>
      <c r="AF11" s="88"/>
      <c r="AG11" s="47">
        <v>0</v>
      </c>
      <c r="AH11" s="63"/>
      <c r="AI11" s="46"/>
      <c r="AJ11" s="46"/>
      <c r="AK11" s="46"/>
      <c r="AL11" s="64">
        <v>0</v>
      </c>
      <c r="AM11" s="48"/>
      <c r="AN11" s="48"/>
      <c r="AO11" s="47">
        <v>0</v>
      </c>
      <c r="AP11" s="63"/>
      <c r="AQ11" s="64">
        <v>0</v>
      </c>
      <c r="AR11" s="48"/>
      <c r="AS11" s="48"/>
      <c r="AT11" s="64">
        <v>0</v>
      </c>
      <c r="AU11" s="88"/>
      <c r="AV11" s="88"/>
      <c r="AW11" s="95">
        <f t="shared" ref="AW11:AW33" si="2">Q11+Y11+AG11+AO11</f>
        <v>0</v>
      </c>
      <c r="AX11" s="96">
        <f t="shared" ref="AX11:AX33" si="3">R11+Z11+AH11+AP11</f>
        <v>0</v>
      </c>
      <c r="AY11" s="97">
        <f t="shared" ref="AY11:AY33" si="4">S11+AA11+AI11+AQ11</f>
        <v>0</v>
      </c>
      <c r="AZ11" s="98">
        <f t="shared" ref="AZ11:AZ33" si="5">T11+AB11+AJ11+AR11</f>
        <v>0</v>
      </c>
      <c r="BA11" s="98">
        <f t="shared" ref="BA11:BA33" si="6">U11+AC11+AK11+AS11</f>
        <v>0</v>
      </c>
      <c r="BB11" s="97">
        <f t="shared" ref="BB11:BB33" si="7">V11+AD11+AL11+AT11</f>
        <v>0</v>
      </c>
      <c r="BC11" s="98">
        <f t="shared" ref="BC11:BC33" si="8">W11+AE11+AM11+AU11</f>
        <v>0</v>
      </c>
      <c r="BD11" s="98">
        <f t="shared" ref="BD11:BD33" si="9">X11+AF11+AN11+AV11</f>
        <v>0</v>
      </c>
      <c r="BE11" s="47">
        <v>0</v>
      </c>
      <c r="BF11" s="63"/>
      <c r="BG11" s="64">
        <v>0</v>
      </c>
      <c r="BH11" s="48"/>
      <c r="BI11" s="48"/>
      <c r="BJ11" s="64">
        <v>0</v>
      </c>
      <c r="BK11" s="88"/>
      <c r="BL11" s="88"/>
      <c r="BM11" s="47" t="n">
        <v>0.0</v>
      </c>
      <c r="BN11" s="63" t="n">
        <v>0.0</v>
      </c>
      <c r="BO11" s="64">
        <v>0</v>
      </c>
      <c r="BP11" s="48"/>
      <c r="BQ11" s="48"/>
      <c r="BR11" s="64">
        <v>0</v>
      </c>
      <c r="BS11" s="88"/>
      <c r="BT11" s="88"/>
      <c r="BU11" s="47">
        <v>0</v>
      </c>
      <c r="BV11" s="63"/>
      <c r="BW11" s="37"/>
      <c r="BX11" s="38"/>
      <c r="BY11" s="38"/>
      <c r="BZ11" s="64">
        <v>0</v>
      </c>
      <c r="CA11" s="48"/>
      <c r="CB11" s="48"/>
      <c r="CC11" s="39">
        <f t="shared" ref="CC11:CC33" si="10">I11+AW11+BE11+BM11+BU11</f>
        <v>0</v>
      </c>
      <c r="CD11" s="40">
        <f t="shared" ref="CD11:CD33" si="11">J11+AX11+BF11+BN11+BV11</f>
        <v>0</v>
      </c>
      <c r="CE11" s="39">
        <f t="shared" ref="CE11:CE33" si="12">K11+AY11+BG11+BO11+BW11</f>
        <v>0</v>
      </c>
      <c r="CF11" s="40">
        <f t="shared" ref="CF11:CF33" si="13">L11+AZ11+BH11+BP11+BX11</f>
        <v>0</v>
      </c>
      <c r="CG11" s="40">
        <f t="shared" ref="CG11:CG33" si="14">M11+BA11+BI11+BQ11+BY11</f>
        <v>0</v>
      </c>
      <c r="CH11" s="39">
        <f t="shared" ref="CH11:CH33" si="15">N11+BB11+BJ11+BR11+BZ11</f>
        <v>0</v>
      </c>
      <c r="CI11" s="40">
        <f t="shared" ref="CI11:CI33" si="16">O11+BC11+BK11+BS11+CA11</f>
        <v>0</v>
      </c>
      <c r="CJ11" s="40">
        <f t="shared" ref="CJ11:CJ33" si="17">P11+BD11+BL11+BT11+CB11</f>
        <v>0</v>
      </c>
    </row>
    <row r="12" spans="1:88" x14ac:dyDescent="0.2">
      <c r="A12" s="86" t="s">
        <v>175</v>
      </c>
      <c r="B12" s="86">
        <v>10000.01</v>
      </c>
      <c r="C12" s="86">
        <v>15000</v>
      </c>
      <c r="D12" s="86"/>
      <c r="E12" s="86"/>
      <c r="F12" s="86"/>
      <c r="G12" s="70" t="s">
        <v>176</v>
      </c>
      <c r="H12" s="36"/>
      <c r="I12" s="47" t="n">
        <v>6.0</v>
      </c>
      <c r="J12" s="63" t="n">
        <v>77544.19</v>
      </c>
      <c r="K12" s="64">
        <v>0</v>
      </c>
      <c r="L12" s="48"/>
      <c r="M12" s="48"/>
      <c r="N12" s="100">
        <v>0</v>
      </c>
      <c r="O12" s="88"/>
      <c r="P12" s="88"/>
      <c r="Q12" s="47" t="n">
        <v>125.0</v>
      </c>
      <c r="R12" s="63" t="n">
        <v>1462619.44</v>
      </c>
      <c r="S12" s="64">
        <v>0</v>
      </c>
      <c r="T12" s="48"/>
      <c r="U12" s="48"/>
      <c r="V12" s="64">
        <v>0</v>
      </c>
      <c r="W12" s="88"/>
      <c r="X12" s="88"/>
      <c r="Y12" s="47">
        <v>0</v>
      </c>
      <c r="Z12" s="63"/>
      <c r="AA12" s="64">
        <v>0</v>
      </c>
      <c r="AB12" s="48"/>
      <c r="AC12" s="48"/>
      <c r="AD12" s="64">
        <v>0</v>
      </c>
      <c r="AE12" s="88"/>
      <c r="AF12" s="88"/>
      <c r="AG12" s="47">
        <v>0</v>
      </c>
      <c r="AH12" s="63"/>
      <c r="AI12" s="46"/>
      <c r="AJ12" s="46"/>
      <c r="AK12" s="46"/>
      <c r="AL12" s="64">
        <v>0</v>
      </c>
      <c r="AM12" s="48"/>
      <c r="AN12" s="48"/>
      <c r="AO12" s="47">
        <v>0</v>
      </c>
      <c r="AP12" s="63"/>
      <c r="AQ12" s="64">
        <v>0</v>
      </c>
      <c r="AR12" s="48"/>
      <c r="AS12" s="48"/>
      <c r="AT12" s="64">
        <v>0</v>
      </c>
      <c r="AU12" s="88"/>
      <c r="AV12" s="88"/>
      <c r="AW12" s="95">
        <f t="shared" si="2"/>
        <v>0</v>
      </c>
      <c r="AX12" s="96">
        <f t="shared" si="3"/>
        <v>0</v>
      </c>
      <c r="AY12" s="97">
        <f t="shared" si="4"/>
        <v>0</v>
      </c>
      <c r="AZ12" s="98">
        <f t="shared" si="5"/>
        <v>0</v>
      </c>
      <c r="BA12" s="98">
        <f t="shared" si="6"/>
        <v>0</v>
      </c>
      <c r="BB12" s="97">
        <f t="shared" si="7"/>
        <v>0</v>
      </c>
      <c r="BC12" s="98">
        <f t="shared" si="8"/>
        <v>0</v>
      </c>
      <c r="BD12" s="98">
        <f t="shared" si="9"/>
        <v>0</v>
      </c>
      <c r="BE12" s="47">
        <v>0</v>
      </c>
      <c r="BF12" s="63"/>
      <c r="BG12" s="64">
        <v>0</v>
      </c>
      <c r="BH12" s="48"/>
      <c r="BI12" s="48"/>
      <c r="BJ12" s="64">
        <v>0</v>
      </c>
      <c r="BK12" s="88"/>
      <c r="BL12" s="88"/>
      <c r="BM12" s="47" t="n">
        <v>0.0</v>
      </c>
      <c r="BN12" s="63" t="n">
        <v>0.0</v>
      </c>
      <c r="BO12" s="64">
        <v>0</v>
      </c>
      <c r="BP12" s="48"/>
      <c r="BQ12" s="48"/>
      <c r="BR12" s="64">
        <v>0</v>
      </c>
      <c r="BS12" s="88"/>
      <c r="BT12" s="88"/>
      <c r="BU12" s="47">
        <v>0</v>
      </c>
      <c r="BV12" s="63"/>
      <c r="BW12" s="37"/>
      <c r="BX12" s="38"/>
      <c r="BY12" s="38"/>
      <c r="BZ12" s="64">
        <v>0</v>
      </c>
      <c r="CA12" s="48"/>
      <c r="CB12" s="48"/>
      <c r="CC12" s="39">
        <f t="shared" si="10"/>
        <v>0</v>
      </c>
      <c r="CD12" s="40">
        <f t="shared" si="11"/>
        <v>0</v>
      </c>
      <c r="CE12" s="39">
        <f t="shared" si="12"/>
        <v>0</v>
      </c>
      <c r="CF12" s="40">
        <f t="shared" si="13"/>
        <v>0</v>
      </c>
      <c r="CG12" s="40">
        <f t="shared" si="14"/>
        <v>0</v>
      </c>
      <c r="CH12" s="39">
        <f t="shared" si="15"/>
        <v>0</v>
      </c>
      <c r="CI12" s="40">
        <f t="shared" si="16"/>
        <v>0</v>
      </c>
      <c r="CJ12" s="40">
        <f t="shared" si="17"/>
        <v>0</v>
      </c>
    </row>
    <row r="13" spans="1:88" x14ac:dyDescent="0.2">
      <c r="A13" s="86" t="s">
        <v>226</v>
      </c>
      <c r="B13" s="86">
        <v>15000.01</v>
      </c>
      <c r="C13" s="86">
        <v>20000</v>
      </c>
      <c r="D13" s="86"/>
      <c r="E13" s="86"/>
      <c r="F13" s="86"/>
      <c r="G13" s="70" t="s">
        <v>231</v>
      </c>
      <c r="H13" s="36"/>
      <c r="I13" s="47" t="n">
        <v>15.0</v>
      </c>
      <c r="J13" s="63" t="n">
        <v>293251.46</v>
      </c>
      <c r="K13" s="64">
        <v>0</v>
      </c>
      <c r="L13" s="48"/>
      <c r="M13" s="48"/>
      <c r="N13" s="100">
        <v>0</v>
      </c>
      <c r="O13" s="88"/>
      <c r="P13" s="88"/>
      <c r="Q13" s="47" t="n">
        <v>61.0</v>
      </c>
      <c r="R13" s="63" t="n">
        <v>1033854.88</v>
      </c>
      <c r="S13" s="64">
        <v>0</v>
      </c>
      <c r="T13" s="48"/>
      <c r="U13" s="48"/>
      <c r="V13" s="64">
        <v>0</v>
      </c>
      <c r="W13" s="88"/>
      <c r="X13" s="88"/>
      <c r="Y13" s="47">
        <v>0</v>
      </c>
      <c r="Z13" s="63"/>
      <c r="AA13" s="64">
        <v>0</v>
      </c>
      <c r="AB13" s="48"/>
      <c r="AC13" s="48"/>
      <c r="AD13" s="64">
        <v>0</v>
      </c>
      <c r="AE13" s="88"/>
      <c r="AF13" s="88"/>
      <c r="AG13" s="47">
        <v>0</v>
      </c>
      <c r="AH13" s="63"/>
      <c r="AI13" s="46"/>
      <c r="AJ13" s="46"/>
      <c r="AK13" s="46"/>
      <c r="AL13" s="64">
        <v>0</v>
      </c>
      <c r="AM13" s="48"/>
      <c r="AN13" s="48"/>
      <c r="AO13" s="47">
        <v>0</v>
      </c>
      <c r="AP13" s="63"/>
      <c r="AQ13" s="64">
        <v>0</v>
      </c>
      <c r="AR13" s="48"/>
      <c r="AS13" s="48"/>
      <c r="AT13" s="64">
        <v>0</v>
      </c>
      <c r="AU13" s="88"/>
      <c r="AV13" s="88"/>
      <c r="AW13" s="95">
        <f t="shared" si="2"/>
        <v>0</v>
      </c>
      <c r="AX13" s="96">
        <f t="shared" si="3"/>
        <v>0</v>
      </c>
      <c r="AY13" s="97">
        <f t="shared" si="4"/>
        <v>0</v>
      </c>
      <c r="AZ13" s="98">
        <f t="shared" si="5"/>
        <v>0</v>
      </c>
      <c r="BA13" s="98">
        <f t="shared" si="6"/>
        <v>0</v>
      </c>
      <c r="BB13" s="97">
        <f t="shared" si="7"/>
        <v>0</v>
      </c>
      <c r="BC13" s="98">
        <f t="shared" si="8"/>
        <v>0</v>
      </c>
      <c r="BD13" s="98">
        <f t="shared" si="9"/>
        <v>0</v>
      </c>
      <c r="BE13" s="47">
        <v>0</v>
      </c>
      <c r="BF13" s="63"/>
      <c r="BG13" s="64">
        <v>0</v>
      </c>
      <c r="BH13" s="48"/>
      <c r="BI13" s="48"/>
      <c r="BJ13" s="64">
        <v>0</v>
      </c>
      <c r="BK13" s="88"/>
      <c r="BL13" s="88"/>
      <c r="BM13" s="47" t="n">
        <v>0.0</v>
      </c>
      <c r="BN13" s="63" t="n">
        <v>0.0</v>
      </c>
      <c r="BO13" s="64">
        <v>0</v>
      </c>
      <c r="BP13" s="48"/>
      <c r="BQ13" s="48"/>
      <c r="BR13" s="64">
        <v>0</v>
      </c>
      <c r="BS13" s="88"/>
      <c r="BT13" s="88"/>
      <c r="BU13" s="47">
        <v>0</v>
      </c>
      <c r="BV13" s="63"/>
      <c r="BW13" s="37"/>
      <c r="BX13" s="38"/>
      <c r="BY13" s="38"/>
      <c r="BZ13" s="64">
        <v>0</v>
      </c>
      <c r="CA13" s="48"/>
      <c r="CB13" s="48"/>
      <c r="CC13" s="39">
        <f t="shared" si="10"/>
        <v>0</v>
      </c>
      <c r="CD13" s="40">
        <f t="shared" si="11"/>
        <v>0</v>
      </c>
      <c r="CE13" s="39">
        <f t="shared" si="12"/>
        <v>0</v>
      </c>
      <c r="CF13" s="40">
        <f t="shared" si="13"/>
        <v>0</v>
      </c>
      <c r="CG13" s="40">
        <f t="shared" si="14"/>
        <v>0</v>
      </c>
      <c r="CH13" s="39">
        <f t="shared" si="15"/>
        <v>0</v>
      </c>
      <c r="CI13" s="40">
        <f t="shared" si="16"/>
        <v>0</v>
      </c>
      <c r="CJ13" s="40">
        <f t="shared" si="17"/>
        <v>0</v>
      </c>
    </row>
    <row r="14" spans="1:88" x14ac:dyDescent="0.2">
      <c r="A14" s="86" t="s">
        <v>227</v>
      </c>
      <c r="B14" s="86">
        <v>20000.009999999998</v>
      </c>
      <c r="C14" s="86">
        <v>30000</v>
      </c>
      <c r="D14" s="86"/>
      <c r="E14" s="86"/>
      <c r="F14" s="86"/>
      <c r="G14" s="70" t="s">
        <v>232</v>
      </c>
      <c r="H14" s="36"/>
      <c r="I14" s="47" t="n">
        <v>3.0</v>
      </c>
      <c r="J14" s="63" t="n">
        <v>72652.5</v>
      </c>
      <c r="K14" s="64">
        <v>0</v>
      </c>
      <c r="L14" s="48"/>
      <c r="M14" s="48"/>
      <c r="N14" s="100">
        <v>0</v>
      </c>
      <c r="O14" s="88"/>
      <c r="P14" s="88"/>
      <c r="Q14" s="47" t="n">
        <v>73.0</v>
      </c>
      <c r="R14" s="63" t="n">
        <v>1739109.93</v>
      </c>
      <c r="S14" s="64">
        <v>0</v>
      </c>
      <c r="T14" s="48"/>
      <c r="U14" s="48"/>
      <c r="V14" s="64">
        <v>0</v>
      </c>
      <c r="W14" s="88"/>
      <c r="X14" s="88"/>
      <c r="Y14" s="47">
        <v>0</v>
      </c>
      <c r="Z14" s="63"/>
      <c r="AA14" s="64">
        <v>0</v>
      </c>
      <c r="AB14" s="48"/>
      <c r="AC14" s="48"/>
      <c r="AD14" s="64">
        <v>0</v>
      </c>
      <c r="AE14" s="88"/>
      <c r="AF14" s="88"/>
      <c r="AG14" s="47">
        <v>0</v>
      </c>
      <c r="AH14" s="63"/>
      <c r="AI14" s="46"/>
      <c r="AJ14" s="46"/>
      <c r="AK14" s="46"/>
      <c r="AL14" s="64">
        <v>0</v>
      </c>
      <c r="AM14" s="48"/>
      <c r="AN14" s="48"/>
      <c r="AO14" s="47">
        <v>0</v>
      </c>
      <c r="AP14" s="63"/>
      <c r="AQ14" s="64">
        <v>0</v>
      </c>
      <c r="AR14" s="48"/>
      <c r="AS14" s="48"/>
      <c r="AT14" s="64">
        <v>0</v>
      </c>
      <c r="AU14" s="88"/>
      <c r="AV14" s="88"/>
      <c r="AW14" s="95">
        <f t="shared" si="2"/>
        <v>0</v>
      </c>
      <c r="AX14" s="96">
        <f t="shared" si="3"/>
        <v>0</v>
      </c>
      <c r="AY14" s="97">
        <f t="shared" si="4"/>
        <v>0</v>
      </c>
      <c r="AZ14" s="98">
        <f t="shared" si="5"/>
        <v>0</v>
      </c>
      <c r="BA14" s="98">
        <f t="shared" si="6"/>
        <v>0</v>
      </c>
      <c r="BB14" s="97">
        <f t="shared" si="7"/>
        <v>0</v>
      </c>
      <c r="BC14" s="98">
        <f t="shared" si="8"/>
        <v>0</v>
      </c>
      <c r="BD14" s="98">
        <f t="shared" si="9"/>
        <v>0</v>
      </c>
      <c r="BE14" s="47">
        <v>0</v>
      </c>
      <c r="BF14" s="63"/>
      <c r="BG14" s="64">
        <v>0</v>
      </c>
      <c r="BH14" s="48"/>
      <c r="BI14" s="48"/>
      <c r="BJ14" s="64">
        <v>0</v>
      </c>
      <c r="BK14" s="88"/>
      <c r="BL14" s="88"/>
      <c r="BM14" s="47" t="n">
        <v>0.0</v>
      </c>
      <c r="BN14" s="63" t="n">
        <v>0.0</v>
      </c>
      <c r="BO14" s="64">
        <v>0</v>
      </c>
      <c r="BP14" s="48"/>
      <c r="BQ14" s="48"/>
      <c r="BR14" s="64">
        <v>0</v>
      </c>
      <c r="BS14" s="88"/>
      <c r="BT14" s="88"/>
      <c r="BU14" s="47">
        <v>0</v>
      </c>
      <c r="BV14" s="63"/>
      <c r="BW14" s="37"/>
      <c r="BX14" s="38"/>
      <c r="BY14" s="38"/>
      <c r="BZ14" s="64">
        <v>0</v>
      </c>
      <c r="CA14" s="48"/>
      <c r="CB14" s="48"/>
      <c r="CC14" s="39">
        <f t="shared" si="10"/>
        <v>0</v>
      </c>
      <c r="CD14" s="40">
        <f t="shared" si="11"/>
        <v>0</v>
      </c>
      <c r="CE14" s="39">
        <f t="shared" si="12"/>
        <v>0</v>
      </c>
      <c r="CF14" s="40">
        <f t="shared" si="13"/>
        <v>0</v>
      </c>
      <c r="CG14" s="40">
        <f t="shared" si="14"/>
        <v>0</v>
      </c>
      <c r="CH14" s="39">
        <f t="shared" si="15"/>
        <v>0</v>
      </c>
      <c r="CI14" s="40">
        <f t="shared" si="16"/>
        <v>0</v>
      </c>
      <c r="CJ14" s="40">
        <f t="shared" si="17"/>
        <v>0</v>
      </c>
    </row>
    <row r="15" spans="1:88" x14ac:dyDescent="0.2">
      <c r="A15" s="86" t="s">
        <v>228</v>
      </c>
      <c r="B15" s="86">
        <v>30000.01</v>
      </c>
      <c r="C15" s="86">
        <v>40000</v>
      </c>
      <c r="D15" s="86"/>
      <c r="E15" s="86"/>
      <c r="F15" s="86"/>
      <c r="G15" s="70" t="s">
        <v>233</v>
      </c>
      <c r="H15" s="36"/>
      <c r="I15" s="47" t="n">
        <v>1.0</v>
      </c>
      <c r="J15" s="63" t="n">
        <v>35500.0</v>
      </c>
      <c r="K15" s="64">
        <v>0</v>
      </c>
      <c r="L15" s="48"/>
      <c r="M15" s="48"/>
      <c r="N15" s="100">
        <v>0</v>
      </c>
      <c r="O15" s="88"/>
      <c r="P15" s="88"/>
      <c r="Q15" s="47" t="n">
        <v>37.0</v>
      </c>
      <c r="R15" s="63" t="n">
        <v>1265799.18</v>
      </c>
      <c r="S15" s="64">
        <v>0</v>
      </c>
      <c r="T15" s="48"/>
      <c r="U15" s="48"/>
      <c r="V15" s="64">
        <v>0</v>
      </c>
      <c r="W15" s="88"/>
      <c r="X15" s="88"/>
      <c r="Y15" s="47">
        <v>0</v>
      </c>
      <c r="Z15" s="63"/>
      <c r="AA15" s="64">
        <v>0</v>
      </c>
      <c r="AB15" s="48"/>
      <c r="AC15" s="48"/>
      <c r="AD15" s="64">
        <v>0</v>
      </c>
      <c r="AE15" s="88"/>
      <c r="AF15" s="88"/>
      <c r="AG15" s="47">
        <v>0</v>
      </c>
      <c r="AH15" s="63"/>
      <c r="AI15" s="46"/>
      <c r="AJ15" s="46"/>
      <c r="AK15" s="46"/>
      <c r="AL15" s="64">
        <v>0</v>
      </c>
      <c r="AM15" s="48"/>
      <c r="AN15" s="48"/>
      <c r="AO15" s="47">
        <v>0</v>
      </c>
      <c r="AP15" s="63"/>
      <c r="AQ15" s="64">
        <v>0</v>
      </c>
      <c r="AR15" s="48"/>
      <c r="AS15" s="48"/>
      <c r="AT15" s="64">
        <v>0</v>
      </c>
      <c r="AU15" s="88"/>
      <c r="AV15" s="88"/>
      <c r="AW15" s="95">
        <f t="shared" si="2"/>
        <v>0</v>
      </c>
      <c r="AX15" s="96">
        <f t="shared" si="3"/>
        <v>0</v>
      </c>
      <c r="AY15" s="97">
        <f t="shared" si="4"/>
        <v>0</v>
      </c>
      <c r="AZ15" s="98">
        <f t="shared" si="5"/>
        <v>0</v>
      </c>
      <c r="BA15" s="98">
        <f t="shared" si="6"/>
        <v>0</v>
      </c>
      <c r="BB15" s="97">
        <f t="shared" si="7"/>
        <v>0</v>
      </c>
      <c r="BC15" s="98">
        <f t="shared" si="8"/>
        <v>0</v>
      </c>
      <c r="BD15" s="98">
        <f t="shared" si="9"/>
        <v>0</v>
      </c>
      <c r="BE15" s="47">
        <v>0</v>
      </c>
      <c r="BF15" s="63"/>
      <c r="BG15" s="64">
        <v>0</v>
      </c>
      <c r="BH15" s="48"/>
      <c r="BI15" s="48"/>
      <c r="BJ15" s="64">
        <v>0</v>
      </c>
      <c r="BK15" s="88"/>
      <c r="BL15" s="88"/>
      <c r="BM15" s="47" t="n">
        <v>0.0</v>
      </c>
      <c r="BN15" s="63" t="n">
        <v>0.0</v>
      </c>
      <c r="BO15" s="64">
        <v>0</v>
      </c>
      <c r="BP15" s="48"/>
      <c r="BQ15" s="48"/>
      <c r="BR15" s="64">
        <v>0</v>
      </c>
      <c r="BS15" s="88"/>
      <c r="BT15" s="88"/>
      <c r="BU15" s="47">
        <v>0</v>
      </c>
      <c r="BV15" s="63"/>
      <c r="BW15" s="37"/>
      <c r="BX15" s="38"/>
      <c r="BY15" s="38"/>
      <c r="BZ15" s="64">
        <v>0</v>
      </c>
      <c r="CA15" s="48"/>
      <c r="CB15" s="48"/>
      <c r="CC15" s="39">
        <f t="shared" si="10"/>
        <v>0</v>
      </c>
      <c r="CD15" s="40">
        <f t="shared" si="11"/>
        <v>0</v>
      </c>
      <c r="CE15" s="39">
        <f t="shared" si="12"/>
        <v>0</v>
      </c>
      <c r="CF15" s="40">
        <f t="shared" si="13"/>
        <v>0</v>
      </c>
      <c r="CG15" s="40">
        <f t="shared" si="14"/>
        <v>0</v>
      </c>
      <c r="CH15" s="39">
        <f t="shared" si="15"/>
        <v>0</v>
      </c>
      <c r="CI15" s="40">
        <f t="shared" si="16"/>
        <v>0</v>
      </c>
      <c r="CJ15" s="40">
        <f t="shared" si="17"/>
        <v>0</v>
      </c>
    </row>
    <row r="16" spans="1:88" x14ac:dyDescent="0.2">
      <c r="A16" s="86" t="s">
        <v>229</v>
      </c>
      <c r="B16" s="86">
        <v>40000.01</v>
      </c>
      <c r="C16" s="86">
        <v>50000</v>
      </c>
      <c r="D16" s="86"/>
      <c r="E16" s="86"/>
      <c r="F16" s="86"/>
      <c r="G16" s="70" t="s">
        <v>234</v>
      </c>
      <c r="H16" s="36"/>
      <c r="I16" s="47" t="n">
        <v>2.0</v>
      </c>
      <c r="J16" s="63" t="n">
        <v>99956.3</v>
      </c>
      <c r="K16" s="64">
        <v>0</v>
      </c>
      <c r="L16" s="48"/>
      <c r="M16" s="48"/>
      <c r="N16" s="100">
        <v>0</v>
      </c>
      <c r="O16" s="88"/>
      <c r="P16" s="88"/>
      <c r="Q16" s="47" t="n">
        <v>26.0</v>
      </c>
      <c r="R16" s="63" t="n">
        <v>1141665.99</v>
      </c>
      <c r="S16" s="64">
        <v>0</v>
      </c>
      <c r="T16" s="48"/>
      <c r="U16" s="48"/>
      <c r="V16" s="64">
        <v>0</v>
      </c>
      <c r="W16" s="88"/>
      <c r="X16" s="88"/>
      <c r="Y16" s="47">
        <v>0</v>
      </c>
      <c r="Z16" s="63"/>
      <c r="AA16" s="64">
        <v>0</v>
      </c>
      <c r="AB16" s="48"/>
      <c r="AC16" s="48"/>
      <c r="AD16" s="64">
        <v>0</v>
      </c>
      <c r="AE16" s="88"/>
      <c r="AF16" s="88"/>
      <c r="AG16" s="47">
        <v>0</v>
      </c>
      <c r="AH16" s="63"/>
      <c r="AI16" s="46"/>
      <c r="AJ16" s="46"/>
      <c r="AK16" s="46"/>
      <c r="AL16" s="64">
        <v>0</v>
      </c>
      <c r="AM16" s="48"/>
      <c r="AN16" s="48"/>
      <c r="AO16" s="47">
        <v>0</v>
      </c>
      <c r="AP16" s="63"/>
      <c r="AQ16" s="64">
        <v>0</v>
      </c>
      <c r="AR16" s="48"/>
      <c r="AS16" s="48"/>
      <c r="AT16" s="64">
        <v>0</v>
      </c>
      <c r="AU16" s="88"/>
      <c r="AV16" s="88"/>
      <c r="AW16" s="95">
        <f t="shared" si="2"/>
        <v>0</v>
      </c>
      <c r="AX16" s="96">
        <f t="shared" si="3"/>
        <v>0</v>
      </c>
      <c r="AY16" s="97">
        <f t="shared" si="4"/>
        <v>0</v>
      </c>
      <c r="AZ16" s="98">
        <f t="shared" si="5"/>
        <v>0</v>
      </c>
      <c r="BA16" s="98">
        <f t="shared" si="6"/>
        <v>0</v>
      </c>
      <c r="BB16" s="97">
        <f t="shared" si="7"/>
        <v>0</v>
      </c>
      <c r="BC16" s="98">
        <f t="shared" si="8"/>
        <v>0</v>
      </c>
      <c r="BD16" s="98">
        <f t="shared" si="9"/>
        <v>0</v>
      </c>
      <c r="BE16" s="47">
        <v>0</v>
      </c>
      <c r="BF16" s="63"/>
      <c r="BG16" s="64">
        <v>0</v>
      </c>
      <c r="BH16" s="48"/>
      <c r="BI16" s="48"/>
      <c r="BJ16" s="64">
        <v>0</v>
      </c>
      <c r="BK16" s="88"/>
      <c r="BL16" s="88"/>
      <c r="BM16" s="47" t="n">
        <v>0.0</v>
      </c>
      <c r="BN16" s="63" t="n">
        <v>0.0</v>
      </c>
      <c r="BO16" s="64">
        <v>0</v>
      </c>
      <c r="BP16" s="48"/>
      <c r="BQ16" s="48"/>
      <c r="BR16" s="64">
        <v>0</v>
      </c>
      <c r="BS16" s="88"/>
      <c r="BT16" s="88"/>
      <c r="BU16" s="47">
        <v>0</v>
      </c>
      <c r="BV16" s="63"/>
      <c r="BW16" s="37"/>
      <c r="BX16" s="38"/>
      <c r="BY16" s="38"/>
      <c r="BZ16" s="64">
        <v>0</v>
      </c>
      <c r="CA16" s="48"/>
      <c r="CB16" s="48"/>
      <c r="CC16" s="39">
        <f t="shared" si="10"/>
        <v>0</v>
      </c>
      <c r="CD16" s="40">
        <f t="shared" si="11"/>
        <v>0</v>
      </c>
      <c r="CE16" s="39">
        <f t="shared" si="12"/>
        <v>0</v>
      </c>
      <c r="CF16" s="40">
        <f t="shared" si="13"/>
        <v>0</v>
      </c>
      <c r="CG16" s="40">
        <f t="shared" si="14"/>
        <v>0</v>
      </c>
      <c r="CH16" s="39">
        <f t="shared" si="15"/>
        <v>0</v>
      </c>
      <c r="CI16" s="40">
        <f t="shared" si="16"/>
        <v>0</v>
      </c>
      <c r="CJ16" s="40">
        <f t="shared" si="17"/>
        <v>0</v>
      </c>
    </row>
    <row r="17" spans="1:88" x14ac:dyDescent="0.2">
      <c r="A17" s="86" t="s">
        <v>230</v>
      </c>
      <c r="B17" s="86">
        <v>50000.01</v>
      </c>
      <c r="C17" s="86">
        <v>60000</v>
      </c>
      <c r="D17" s="86"/>
      <c r="E17" s="86"/>
      <c r="F17" s="86"/>
      <c r="G17" s="70" t="s">
        <v>235</v>
      </c>
      <c r="H17" s="36"/>
      <c r="I17" s="47" t="n">
        <v>2.0</v>
      </c>
      <c r="J17" s="63" t="n">
        <v>109223.38</v>
      </c>
      <c r="K17" s="64">
        <v>0</v>
      </c>
      <c r="L17" s="48"/>
      <c r="M17" s="48"/>
      <c r="N17" s="100">
        <v>0</v>
      </c>
      <c r="O17" s="88"/>
      <c r="P17" s="88"/>
      <c r="Q17" s="47" t="n">
        <v>22.0</v>
      </c>
      <c r="R17" s="63" t="n">
        <v>1170936.06</v>
      </c>
      <c r="S17" s="64">
        <v>0</v>
      </c>
      <c r="T17" s="48"/>
      <c r="U17" s="48"/>
      <c r="V17" s="64">
        <v>0</v>
      </c>
      <c r="W17" s="88"/>
      <c r="X17" s="88"/>
      <c r="Y17" s="47">
        <v>0</v>
      </c>
      <c r="Z17" s="63"/>
      <c r="AA17" s="64">
        <v>0</v>
      </c>
      <c r="AB17" s="48"/>
      <c r="AC17" s="48"/>
      <c r="AD17" s="64">
        <v>0</v>
      </c>
      <c r="AE17" s="88"/>
      <c r="AF17" s="88"/>
      <c r="AG17" s="46"/>
      <c r="AH17" s="46"/>
      <c r="AI17" s="46"/>
      <c r="AJ17" s="46"/>
      <c r="AK17" s="46"/>
      <c r="AL17" s="64">
        <v>0</v>
      </c>
      <c r="AM17" s="48"/>
      <c r="AN17" s="48"/>
      <c r="AO17" s="47">
        <v>0</v>
      </c>
      <c r="AP17" s="63"/>
      <c r="AQ17" s="64">
        <v>0</v>
      </c>
      <c r="AR17" s="48"/>
      <c r="AS17" s="48"/>
      <c r="AT17" s="64">
        <v>0</v>
      </c>
      <c r="AU17" s="88"/>
      <c r="AV17" s="88"/>
      <c r="AW17" s="95">
        <f t="shared" si="2"/>
        <v>0</v>
      </c>
      <c r="AX17" s="96">
        <f t="shared" si="3"/>
        <v>0</v>
      </c>
      <c r="AY17" s="97">
        <f t="shared" si="4"/>
        <v>0</v>
      </c>
      <c r="AZ17" s="98">
        <f t="shared" si="5"/>
        <v>0</v>
      </c>
      <c r="BA17" s="98">
        <f t="shared" si="6"/>
        <v>0</v>
      </c>
      <c r="BB17" s="97">
        <f t="shared" si="7"/>
        <v>0</v>
      </c>
      <c r="BC17" s="98">
        <f t="shared" si="8"/>
        <v>0</v>
      </c>
      <c r="BD17" s="98">
        <f t="shared" si="9"/>
        <v>0</v>
      </c>
      <c r="BE17" s="47">
        <v>0</v>
      </c>
      <c r="BF17" s="63"/>
      <c r="BG17" s="64">
        <v>0</v>
      </c>
      <c r="BH17" s="48"/>
      <c r="BI17" s="48"/>
      <c r="BJ17" s="64">
        <v>0</v>
      </c>
      <c r="BK17" s="88"/>
      <c r="BL17" s="88"/>
      <c r="BM17" s="47" t="n">
        <v>5.0</v>
      </c>
      <c r="BN17" s="63" t="n">
        <v>253398.23</v>
      </c>
      <c r="BO17" s="64">
        <v>0</v>
      </c>
      <c r="BP17" s="48"/>
      <c r="BQ17" s="48"/>
      <c r="BR17" s="64">
        <v>0</v>
      </c>
      <c r="BS17" s="88"/>
      <c r="BT17" s="88"/>
      <c r="BU17" s="47">
        <v>0</v>
      </c>
      <c r="BV17" s="63"/>
      <c r="BW17" s="37"/>
      <c r="BX17" s="38"/>
      <c r="BY17" s="38"/>
      <c r="BZ17" s="64">
        <v>0</v>
      </c>
      <c r="CA17" s="48"/>
      <c r="CB17" s="48"/>
      <c r="CC17" s="39">
        <f t="shared" si="10"/>
        <v>0</v>
      </c>
      <c r="CD17" s="40">
        <f t="shared" si="11"/>
        <v>0</v>
      </c>
      <c r="CE17" s="39">
        <f t="shared" si="12"/>
        <v>0</v>
      </c>
      <c r="CF17" s="40">
        <f t="shared" si="13"/>
        <v>0</v>
      </c>
      <c r="CG17" s="40">
        <f t="shared" si="14"/>
        <v>0</v>
      </c>
      <c r="CH17" s="39">
        <f t="shared" si="15"/>
        <v>0</v>
      </c>
      <c r="CI17" s="40">
        <f t="shared" si="16"/>
        <v>0</v>
      </c>
      <c r="CJ17" s="40">
        <f t="shared" si="17"/>
        <v>0</v>
      </c>
    </row>
    <row r="18" spans="1:88" x14ac:dyDescent="0.2">
      <c r="A18" s="87" t="s">
        <v>68</v>
      </c>
      <c r="B18" s="87">
        <v>60000.01</v>
      </c>
      <c r="C18" s="87">
        <v>80000</v>
      </c>
      <c r="D18" s="87"/>
      <c r="E18" s="87"/>
      <c r="F18" s="87"/>
      <c r="G18" s="73" t="s">
        <v>118</v>
      </c>
      <c r="H18" s="41"/>
      <c r="I18" s="47" t="n">
        <v>1.0</v>
      </c>
      <c r="J18" s="63" t="n">
        <v>60483.33</v>
      </c>
      <c r="K18" s="64">
        <v>0</v>
      </c>
      <c r="L18" s="48"/>
      <c r="M18" s="48"/>
      <c r="N18" s="100">
        <v>0</v>
      </c>
      <c r="O18" s="88"/>
      <c r="P18" s="88"/>
      <c r="Q18" s="47" t="n">
        <v>26.0</v>
      </c>
      <c r="R18" s="63" t="n">
        <v>1781886.45</v>
      </c>
      <c r="S18" s="64">
        <v>0</v>
      </c>
      <c r="T18" s="48"/>
      <c r="U18" s="48"/>
      <c r="V18" s="64">
        <v>0</v>
      </c>
      <c r="W18" s="88"/>
      <c r="X18" s="88"/>
      <c r="Y18" s="47">
        <v>0</v>
      </c>
      <c r="Z18" s="63"/>
      <c r="AA18" s="64">
        <v>0</v>
      </c>
      <c r="AB18" s="48"/>
      <c r="AC18" s="48"/>
      <c r="AD18" s="64">
        <v>0</v>
      </c>
      <c r="AE18" s="88"/>
      <c r="AF18" s="88"/>
      <c r="AG18" s="46"/>
      <c r="AH18" s="46"/>
      <c r="AI18" s="46"/>
      <c r="AJ18" s="46"/>
      <c r="AK18" s="46"/>
      <c r="AL18" s="46"/>
      <c r="AM18" s="46"/>
      <c r="AN18" s="46"/>
      <c r="AO18" s="47">
        <v>0</v>
      </c>
      <c r="AP18" s="63"/>
      <c r="AQ18" s="64">
        <v>0</v>
      </c>
      <c r="AR18" s="48"/>
      <c r="AS18" s="48"/>
      <c r="AT18" s="64">
        <v>0</v>
      </c>
      <c r="AU18" s="88"/>
      <c r="AV18" s="88"/>
      <c r="AW18" s="95">
        <f t="shared" si="2"/>
        <v>0</v>
      </c>
      <c r="AX18" s="96">
        <f t="shared" si="3"/>
        <v>0</v>
      </c>
      <c r="AY18" s="97">
        <f t="shared" si="4"/>
        <v>0</v>
      </c>
      <c r="AZ18" s="98">
        <f t="shared" si="5"/>
        <v>0</v>
      </c>
      <c r="BA18" s="98">
        <f t="shared" si="6"/>
        <v>0</v>
      </c>
      <c r="BB18" s="97">
        <f t="shared" si="7"/>
        <v>0</v>
      </c>
      <c r="BC18" s="98">
        <f t="shared" si="8"/>
        <v>0</v>
      </c>
      <c r="BD18" s="98">
        <f t="shared" si="9"/>
        <v>0</v>
      </c>
      <c r="BE18" s="47">
        <v>0</v>
      </c>
      <c r="BF18" s="63"/>
      <c r="BG18" s="64">
        <v>0</v>
      </c>
      <c r="BH18" s="48"/>
      <c r="BI18" s="48"/>
      <c r="BJ18" s="64">
        <v>0</v>
      </c>
      <c r="BK18" s="88"/>
      <c r="BL18" s="88"/>
      <c r="BM18" s="47" t="n">
        <v>0.0</v>
      </c>
      <c r="BN18" s="63" t="n">
        <v>0.0</v>
      </c>
      <c r="BO18" s="64">
        <v>0</v>
      </c>
      <c r="BP18" s="48"/>
      <c r="BQ18" s="48"/>
      <c r="BR18" s="64">
        <v>0</v>
      </c>
      <c r="BS18" s="88"/>
      <c r="BT18" s="88"/>
      <c r="BU18" s="47">
        <v>0</v>
      </c>
      <c r="BV18" s="63"/>
      <c r="BW18" s="37"/>
      <c r="BX18" s="38"/>
      <c r="BY18" s="38"/>
      <c r="BZ18" s="64">
        <v>0</v>
      </c>
      <c r="CA18" s="48"/>
      <c r="CB18" s="48"/>
      <c r="CC18" s="39">
        <f t="shared" si="10"/>
        <v>0</v>
      </c>
      <c r="CD18" s="40">
        <f t="shared" si="11"/>
        <v>0</v>
      </c>
      <c r="CE18" s="39">
        <f t="shared" si="12"/>
        <v>0</v>
      </c>
      <c r="CF18" s="40">
        <f t="shared" si="13"/>
        <v>0</v>
      </c>
      <c r="CG18" s="40">
        <f t="shared" si="14"/>
        <v>0</v>
      </c>
      <c r="CH18" s="39">
        <f t="shared" si="15"/>
        <v>0</v>
      </c>
      <c r="CI18" s="40">
        <f t="shared" si="16"/>
        <v>0</v>
      </c>
      <c r="CJ18" s="40">
        <f t="shared" si="17"/>
        <v>0</v>
      </c>
    </row>
    <row r="19" spans="1:88" x14ac:dyDescent="0.2">
      <c r="A19" s="87" t="s">
        <v>69</v>
      </c>
      <c r="B19" s="87">
        <v>80000.009999999995</v>
      </c>
      <c r="C19" s="87">
        <v>100000</v>
      </c>
      <c r="D19" s="87"/>
      <c r="E19" s="87"/>
      <c r="F19" s="87"/>
      <c r="G19" s="73" t="s">
        <v>119</v>
      </c>
      <c r="H19" s="41"/>
      <c r="I19" s="47" t="n">
        <v>0.0</v>
      </c>
      <c r="J19" s="63" t="n">
        <v>0.0</v>
      </c>
      <c r="K19" s="64">
        <v>0</v>
      </c>
      <c r="L19" s="48"/>
      <c r="M19" s="48"/>
      <c r="N19" s="100">
        <v>0</v>
      </c>
      <c r="O19" s="88"/>
      <c r="P19" s="88"/>
      <c r="Q19" s="47" t="n">
        <v>11.0</v>
      </c>
      <c r="R19" s="63" t="n">
        <v>970671.54</v>
      </c>
      <c r="S19" s="64">
        <v>0</v>
      </c>
      <c r="T19" s="48"/>
      <c r="U19" s="48"/>
      <c r="V19" s="64">
        <v>0</v>
      </c>
      <c r="W19" s="88"/>
      <c r="X19" s="88"/>
      <c r="Y19" s="47">
        <v>0</v>
      </c>
      <c r="Z19" s="63"/>
      <c r="AA19" s="64">
        <v>0</v>
      </c>
      <c r="AB19" s="48"/>
      <c r="AC19" s="48"/>
      <c r="AD19" s="64">
        <v>0</v>
      </c>
      <c r="AE19" s="88"/>
      <c r="AF19" s="88"/>
      <c r="AG19" s="46"/>
      <c r="AH19" s="46"/>
      <c r="AI19" s="46"/>
      <c r="AJ19" s="46"/>
      <c r="AK19" s="46"/>
      <c r="AL19" s="46"/>
      <c r="AM19" s="46"/>
      <c r="AN19" s="46"/>
      <c r="AO19" s="47">
        <v>0</v>
      </c>
      <c r="AP19" s="63"/>
      <c r="AQ19" s="64">
        <v>0</v>
      </c>
      <c r="AR19" s="48"/>
      <c r="AS19" s="48"/>
      <c r="AT19" s="64">
        <v>0</v>
      </c>
      <c r="AU19" s="88"/>
      <c r="AV19" s="88"/>
      <c r="AW19" s="95">
        <f t="shared" si="2"/>
        <v>0</v>
      </c>
      <c r="AX19" s="96">
        <f t="shared" si="3"/>
        <v>0</v>
      </c>
      <c r="AY19" s="97">
        <f t="shared" si="4"/>
        <v>0</v>
      </c>
      <c r="AZ19" s="98">
        <f t="shared" si="5"/>
        <v>0</v>
      </c>
      <c r="BA19" s="98">
        <f t="shared" si="6"/>
        <v>0</v>
      </c>
      <c r="BB19" s="97">
        <f t="shared" si="7"/>
        <v>0</v>
      </c>
      <c r="BC19" s="98">
        <f t="shared" si="8"/>
        <v>0</v>
      </c>
      <c r="BD19" s="98">
        <f t="shared" si="9"/>
        <v>0</v>
      </c>
      <c r="BE19" s="47">
        <v>0</v>
      </c>
      <c r="BF19" s="63"/>
      <c r="BG19" s="64">
        <v>0</v>
      </c>
      <c r="BH19" s="48"/>
      <c r="BI19" s="48"/>
      <c r="BJ19" s="64">
        <v>0</v>
      </c>
      <c r="BK19" s="88"/>
      <c r="BL19" s="88"/>
      <c r="BM19" s="47" t="n">
        <v>3.0</v>
      </c>
      <c r="BN19" s="63" t="n">
        <v>281039.46</v>
      </c>
      <c r="BO19" s="64">
        <v>0</v>
      </c>
      <c r="BP19" s="48"/>
      <c r="BQ19" s="48"/>
      <c r="BR19" s="64">
        <v>0</v>
      </c>
      <c r="BS19" s="88"/>
      <c r="BT19" s="88"/>
      <c r="BU19" s="47">
        <v>0</v>
      </c>
      <c r="BV19" s="63"/>
      <c r="BW19" s="37"/>
      <c r="BX19" s="38"/>
      <c r="BY19" s="38"/>
      <c r="BZ19" s="64">
        <v>0</v>
      </c>
      <c r="CA19" s="48"/>
      <c r="CB19" s="48"/>
      <c r="CC19" s="39">
        <f t="shared" si="10"/>
        <v>0</v>
      </c>
      <c r="CD19" s="40">
        <f t="shared" si="11"/>
        <v>0</v>
      </c>
      <c r="CE19" s="39">
        <f t="shared" si="12"/>
        <v>0</v>
      </c>
      <c r="CF19" s="40">
        <f t="shared" si="13"/>
        <v>0</v>
      </c>
      <c r="CG19" s="40">
        <f t="shared" si="14"/>
        <v>0</v>
      </c>
      <c r="CH19" s="39">
        <f t="shared" si="15"/>
        <v>0</v>
      </c>
      <c r="CI19" s="40">
        <f t="shared" si="16"/>
        <v>0</v>
      </c>
      <c r="CJ19" s="40">
        <f t="shared" si="17"/>
        <v>0</v>
      </c>
    </row>
    <row r="20" spans="1:88" x14ac:dyDescent="0.2">
      <c r="A20" s="87" t="s">
        <v>70</v>
      </c>
      <c r="B20" s="87">
        <v>100000.01</v>
      </c>
      <c r="C20" s="87">
        <v>150000</v>
      </c>
      <c r="D20" s="87"/>
      <c r="E20" s="87"/>
      <c r="F20" s="87"/>
      <c r="G20" s="73" t="s">
        <v>120</v>
      </c>
      <c r="H20" s="41"/>
      <c r="I20" s="47" t="n">
        <v>1.0</v>
      </c>
      <c r="J20" s="63" t="n">
        <v>118203.9</v>
      </c>
      <c r="K20" s="64">
        <v>0</v>
      </c>
      <c r="L20" s="48"/>
      <c r="M20" s="48"/>
      <c r="N20" s="100">
        <v>0</v>
      </c>
      <c r="O20" s="88"/>
      <c r="P20" s="88"/>
      <c r="Q20" s="47" t="n">
        <v>25.0</v>
      </c>
      <c r="R20" s="63" t="n">
        <v>3043001.65</v>
      </c>
      <c r="S20" s="64">
        <v>0</v>
      </c>
      <c r="T20" s="48"/>
      <c r="U20" s="48"/>
      <c r="V20" s="64">
        <v>0</v>
      </c>
      <c r="W20" s="88"/>
      <c r="X20" s="88"/>
      <c r="Y20" s="47">
        <v>0</v>
      </c>
      <c r="Z20" s="63"/>
      <c r="AA20" s="64">
        <v>0</v>
      </c>
      <c r="AB20" s="48"/>
      <c r="AC20" s="48"/>
      <c r="AD20" s="64">
        <v>0</v>
      </c>
      <c r="AE20" s="88"/>
      <c r="AF20" s="88"/>
      <c r="AG20" s="46"/>
      <c r="AH20" s="46"/>
      <c r="AI20" s="46"/>
      <c r="AJ20" s="46"/>
      <c r="AK20" s="46"/>
      <c r="AL20" s="46"/>
      <c r="AM20" s="46"/>
      <c r="AN20" s="46"/>
      <c r="AO20" s="47">
        <v>0</v>
      </c>
      <c r="AP20" s="63"/>
      <c r="AQ20" s="64">
        <v>0</v>
      </c>
      <c r="AR20" s="48"/>
      <c r="AS20" s="48"/>
      <c r="AT20" s="64">
        <v>0</v>
      </c>
      <c r="AU20" s="88"/>
      <c r="AV20" s="88"/>
      <c r="AW20" s="95">
        <f t="shared" si="2"/>
        <v>0</v>
      </c>
      <c r="AX20" s="96">
        <f t="shared" si="3"/>
        <v>0</v>
      </c>
      <c r="AY20" s="97">
        <f t="shared" si="4"/>
        <v>0</v>
      </c>
      <c r="AZ20" s="98">
        <f t="shared" si="5"/>
        <v>0</v>
      </c>
      <c r="BA20" s="98">
        <f t="shared" si="6"/>
        <v>0</v>
      </c>
      <c r="BB20" s="97">
        <f t="shared" si="7"/>
        <v>0</v>
      </c>
      <c r="BC20" s="98">
        <f t="shared" si="8"/>
        <v>0</v>
      </c>
      <c r="BD20" s="98">
        <f t="shared" si="9"/>
        <v>0</v>
      </c>
      <c r="BE20" s="47">
        <v>0</v>
      </c>
      <c r="BF20" s="63"/>
      <c r="BG20" s="64">
        <v>0</v>
      </c>
      <c r="BH20" s="48"/>
      <c r="BI20" s="48"/>
      <c r="BJ20" s="64">
        <v>0</v>
      </c>
      <c r="BK20" s="88"/>
      <c r="BL20" s="88"/>
      <c r="BM20" s="47" t="n">
        <v>4.0</v>
      </c>
      <c r="BN20" s="63" t="n">
        <v>502220.24</v>
      </c>
      <c r="BO20" s="64">
        <v>0</v>
      </c>
      <c r="BP20" s="48"/>
      <c r="BQ20" s="48"/>
      <c r="BR20" s="64">
        <v>0</v>
      </c>
      <c r="BS20" s="88"/>
      <c r="BT20" s="88"/>
      <c r="BU20" s="47">
        <v>0</v>
      </c>
      <c r="BV20" s="63"/>
      <c r="BW20" s="37"/>
      <c r="BX20" s="38"/>
      <c r="BY20" s="38"/>
      <c r="BZ20" s="64">
        <v>0</v>
      </c>
      <c r="CA20" s="48"/>
      <c r="CB20" s="48"/>
      <c r="CC20" s="39">
        <f t="shared" si="10"/>
        <v>0</v>
      </c>
      <c r="CD20" s="40">
        <f t="shared" si="11"/>
        <v>0</v>
      </c>
      <c r="CE20" s="39">
        <f t="shared" si="12"/>
        <v>0</v>
      </c>
      <c r="CF20" s="40">
        <f t="shared" si="13"/>
        <v>0</v>
      </c>
      <c r="CG20" s="40">
        <f t="shared" si="14"/>
        <v>0</v>
      </c>
      <c r="CH20" s="39">
        <f t="shared" si="15"/>
        <v>0</v>
      </c>
      <c r="CI20" s="40">
        <f t="shared" si="16"/>
        <v>0</v>
      </c>
      <c r="CJ20" s="40">
        <f t="shared" si="17"/>
        <v>0</v>
      </c>
    </row>
    <row r="21" spans="1:88" x14ac:dyDescent="0.2">
      <c r="A21" s="87" t="s">
        <v>71</v>
      </c>
      <c r="B21" s="87">
        <v>150000.01</v>
      </c>
      <c r="C21" s="87">
        <v>200000</v>
      </c>
      <c r="D21" s="87"/>
      <c r="E21" s="87"/>
      <c r="F21" s="87"/>
      <c r="G21" s="73" t="s">
        <v>121</v>
      </c>
      <c r="H21" s="41"/>
      <c r="I21" s="47" t="n">
        <v>2.0</v>
      </c>
      <c r="J21" s="63" t="n">
        <v>370372.0</v>
      </c>
      <c r="K21" s="64">
        <v>0</v>
      </c>
      <c r="L21" s="48"/>
      <c r="M21" s="48"/>
      <c r="N21" s="100">
        <v>0</v>
      </c>
      <c r="O21" s="88"/>
      <c r="P21" s="88"/>
      <c r="Q21" s="47" t="n">
        <v>15.0</v>
      </c>
      <c r="R21" s="63" t="n">
        <v>2628178.47</v>
      </c>
      <c r="S21" s="64">
        <v>0</v>
      </c>
      <c r="T21" s="48"/>
      <c r="U21" s="48"/>
      <c r="V21" s="64">
        <v>0</v>
      </c>
      <c r="W21" s="88"/>
      <c r="X21" s="88"/>
      <c r="Y21" s="47">
        <v>0</v>
      </c>
      <c r="Z21" s="63"/>
      <c r="AA21" s="64">
        <v>0</v>
      </c>
      <c r="AB21" s="48"/>
      <c r="AC21" s="48"/>
      <c r="AD21" s="64">
        <v>0</v>
      </c>
      <c r="AE21" s="88"/>
      <c r="AF21" s="88"/>
      <c r="AG21" s="46"/>
      <c r="AH21" s="46"/>
      <c r="AI21" s="46"/>
      <c r="AJ21" s="46"/>
      <c r="AK21" s="46"/>
      <c r="AL21" s="46"/>
      <c r="AM21" s="46"/>
      <c r="AN21" s="46"/>
      <c r="AO21" s="47">
        <v>0</v>
      </c>
      <c r="AP21" s="63"/>
      <c r="AQ21" s="64">
        <v>0</v>
      </c>
      <c r="AR21" s="48"/>
      <c r="AS21" s="48"/>
      <c r="AT21" s="64">
        <v>0</v>
      </c>
      <c r="AU21" s="88"/>
      <c r="AV21" s="88"/>
      <c r="AW21" s="95">
        <f t="shared" si="2"/>
        <v>0</v>
      </c>
      <c r="AX21" s="96">
        <f t="shared" si="3"/>
        <v>0</v>
      </c>
      <c r="AY21" s="97">
        <f t="shared" si="4"/>
        <v>0</v>
      </c>
      <c r="AZ21" s="98">
        <f t="shared" si="5"/>
        <v>0</v>
      </c>
      <c r="BA21" s="98">
        <f t="shared" si="6"/>
        <v>0</v>
      </c>
      <c r="BB21" s="97">
        <f t="shared" si="7"/>
        <v>0</v>
      </c>
      <c r="BC21" s="98">
        <f t="shared" si="8"/>
        <v>0</v>
      </c>
      <c r="BD21" s="98">
        <f t="shared" si="9"/>
        <v>0</v>
      </c>
      <c r="BE21" s="47">
        <v>0</v>
      </c>
      <c r="BF21" s="63"/>
      <c r="BG21" s="64">
        <v>0</v>
      </c>
      <c r="BH21" s="48"/>
      <c r="BI21" s="48"/>
      <c r="BJ21" s="64">
        <v>0</v>
      </c>
      <c r="BK21" s="88"/>
      <c r="BL21" s="88"/>
      <c r="BM21" s="47" t="n">
        <v>4.0</v>
      </c>
      <c r="BN21" s="63" t="n">
        <v>725837.21</v>
      </c>
      <c r="BO21" s="64">
        <v>0</v>
      </c>
      <c r="BP21" s="48"/>
      <c r="BQ21" s="48"/>
      <c r="BR21" s="64">
        <v>0</v>
      </c>
      <c r="BS21" s="88"/>
      <c r="BT21" s="88"/>
      <c r="BU21" s="47">
        <v>0</v>
      </c>
      <c r="BV21" s="63"/>
      <c r="BW21" s="37"/>
      <c r="BX21" s="38"/>
      <c r="BY21" s="38"/>
      <c r="BZ21" s="64">
        <v>0</v>
      </c>
      <c r="CA21" s="48"/>
      <c r="CB21" s="48"/>
      <c r="CC21" s="39">
        <f t="shared" si="10"/>
        <v>0</v>
      </c>
      <c r="CD21" s="40">
        <f t="shared" si="11"/>
        <v>0</v>
      </c>
      <c r="CE21" s="39">
        <f t="shared" si="12"/>
        <v>0</v>
      </c>
      <c r="CF21" s="40">
        <f t="shared" si="13"/>
        <v>0</v>
      </c>
      <c r="CG21" s="40">
        <f t="shared" si="14"/>
        <v>0</v>
      </c>
      <c r="CH21" s="39">
        <f t="shared" si="15"/>
        <v>0</v>
      </c>
      <c r="CI21" s="40">
        <f t="shared" si="16"/>
        <v>0</v>
      </c>
      <c r="CJ21" s="40">
        <f t="shared" si="17"/>
        <v>0</v>
      </c>
    </row>
    <row r="22" spans="1:88" x14ac:dyDescent="0.2">
      <c r="A22" s="87" t="s">
        <v>72</v>
      </c>
      <c r="B22" s="87">
        <v>200000.01</v>
      </c>
      <c r="C22" s="87">
        <v>250000</v>
      </c>
      <c r="D22" s="87"/>
      <c r="E22" s="87"/>
      <c r="F22" s="87"/>
      <c r="G22" s="73" t="s">
        <v>122</v>
      </c>
      <c r="H22" s="41"/>
      <c r="I22" s="47" t="n">
        <v>1.0</v>
      </c>
      <c r="J22" s="63" t="n">
        <v>225200.0</v>
      </c>
      <c r="K22" s="64">
        <v>0</v>
      </c>
      <c r="L22" s="48"/>
      <c r="M22" s="48"/>
      <c r="N22" s="100">
        <v>0</v>
      </c>
      <c r="O22" s="88"/>
      <c r="P22" s="88"/>
      <c r="Q22" s="47" t="n">
        <v>10.0</v>
      </c>
      <c r="R22" s="63" t="n">
        <v>2185287.77</v>
      </c>
      <c r="S22" s="64">
        <v>0</v>
      </c>
      <c r="T22" s="48"/>
      <c r="U22" s="48"/>
      <c r="V22" s="64">
        <v>0</v>
      </c>
      <c r="W22" s="88"/>
      <c r="X22" s="88"/>
      <c r="Y22" s="47">
        <v>0</v>
      </c>
      <c r="Z22" s="63"/>
      <c r="AA22" s="64">
        <v>0</v>
      </c>
      <c r="AB22" s="48"/>
      <c r="AC22" s="48"/>
      <c r="AD22" s="64">
        <v>0</v>
      </c>
      <c r="AE22" s="88"/>
      <c r="AF22" s="88"/>
      <c r="AG22" s="46"/>
      <c r="AH22" s="46"/>
      <c r="AI22" s="46"/>
      <c r="AJ22" s="46"/>
      <c r="AK22" s="46"/>
      <c r="AL22" s="46"/>
      <c r="AM22" s="46"/>
      <c r="AN22" s="46"/>
      <c r="AO22" s="47">
        <v>0</v>
      </c>
      <c r="AP22" s="63"/>
      <c r="AQ22" s="64">
        <v>0</v>
      </c>
      <c r="AR22" s="48"/>
      <c r="AS22" s="48"/>
      <c r="AT22" s="64">
        <v>0</v>
      </c>
      <c r="AU22" s="88"/>
      <c r="AV22" s="88"/>
      <c r="AW22" s="95">
        <f t="shared" si="2"/>
        <v>0</v>
      </c>
      <c r="AX22" s="96">
        <f t="shared" si="3"/>
        <v>0</v>
      </c>
      <c r="AY22" s="97">
        <f t="shared" si="4"/>
        <v>0</v>
      </c>
      <c r="AZ22" s="98">
        <f t="shared" si="5"/>
        <v>0</v>
      </c>
      <c r="BA22" s="98">
        <f t="shared" si="6"/>
        <v>0</v>
      </c>
      <c r="BB22" s="97">
        <f t="shared" si="7"/>
        <v>0</v>
      </c>
      <c r="BC22" s="98">
        <f t="shared" si="8"/>
        <v>0</v>
      </c>
      <c r="BD22" s="98">
        <f t="shared" si="9"/>
        <v>0</v>
      </c>
      <c r="BE22" s="47">
        <v>0</v>
      </c>
      <c r="BF22" s="63"/>
      <c r="BG22" s="64">
        <v>0</v>
      </c>
      <c r="BH22" s="48"/>
      <c r="BI22" s="48"/>
      <c r="BJ22" s="64">
        <v>0</v>
      </c>
      <c r="BK22" s="88"/>
      <c r="BL22" s="88"/>
      <c r="BM22" s="47" t="n">
        <v>4.0</v>
      </c>
      <c r="BN22" s="63" t="n">
        <v>936865.65</v>
      </c>
      <c r="BO22" s="64">
        <v>0</v>
      </c>
      <c r="BP22" s="48"/>
      <c r="BQ22" s="48"/>
      <c r="BR22" s="64">
        <v>0</v>
      </c>
      <c r="BS22" s="88"/>
      <c r="BT22" s="88"/>
      <c r="BU22" s="47">
        <v>0</v>
      </c>
      <c r="BV22" s="63"/>
      <c r="BW22" s="37"/>
      <c r="BX22" s="38"/>
      <c r="BY22" s="38"/>
      <c r="BZ22" s="64">
        <v>0</v>
      </c>
      <c r="CA22" s="48"/>
      <c r="CB22" s="48"/>
      <c r="CC22" s="39">
        <f t="shared" si="10"/>
        <v>0</v>
      </c>
      <c r="CD22" s="40">
        <f t="shared" si="11"/>
        <v>0</v>
      </c>
      <c r="CE22" s="39">
        <f t="shared" si="12"/>
        <v>0</v>
      </c>
      <c r="CF22" s="40">
        <f t="shared" si="13"/>
        <v>0</v>
      </c>
      <c r="CG22" s="40">
        <f t="shared" si="14"/>
        <v>0</v>
      </c>
      <c r="CH22" s="39">
        <f t="shared" si="15"/>
        <v>0</v>
      </c>
      <c r="CI22" s="40">
        <f t="shared" si="16"/>
        <v>0</v>
      </c>
      <c r="CJ22" s="40">
        <f t="shared" si="17"/>
        <v>0</v>
      </c>
    </row>
    <row r="23" spans="1:88" x14ac:dyDescent="0.2">
      <c r="A23" s="87" t="s">
        <v>73</v>
      </c>
      <c r="B23" s="87">
        <v>250000.01</v>
      </c>
      <c r="C23" s="87">
        <v>300000</v>
      </c>
      <c r="D23" s="87"/>
      <c r="E23" s="87"/>
      <c r="F23" s="87"/>
      <c r="G23" s="73" t="s">
        <v>123</v>
      </c>
      <c r="H23" s="41"/>
      <c r="I23" s="47" t="n">
        <v>1.0</v>
      </c>
      <c r="J23" s="63" t="n">
        <v>270000.0</v>
      </c>
      <c r="K23" s="64">
        <v>0</v>
      </c>
      <c r="L23" s="48"/>
      <c r="M23" s="48"/>
      <c r="N23" s="100">
        <v>0</v>
      </c>
      <c r="O23" s="88"/>
      <c r="P23" s="88"/>
      <c r="Q23" s="47" t="n">
        <v>8.0</v>
      </c>
      <c r="R23" s="63" t="n">
        <v>2147575.14</v>
      </c>
      <c r="S23" s="64">
        <v>0</v>
      </c>
      <c r="T23" s="48"/>
      <c r="U23" s="48"/>
      <c r="V23" s="64">
        <v>0</v>
      </c>
      <c r="W23" s="88"/>
      <c r="X23" s="88"/>
      <c r="Y23" s="47">
        <v>0</v>
      </c>
      <c r="Z23" s="63"/>
      <c r="AA23" s="64">
        <v>0</v>
      </c>
      <c r="AB23" s="48"/>
      <c r="AC23" s="48"/>
      <c r="AD23" s="64">
        <v>0</v>
      </c>
      <c r="AE23" s="88"/>
      <c r="AF23" s="88"/>
      <c r="AG23" s="46"/>
      <c r="AH23" s="46"/>
      <c r="AI23" s="46"/>
      <c r="AJ23" s="46"/>
      <c r="AK23" s="46"/>
      <c r="AL23" s="46"/>
      <c r="AM23" s="46"/>
      <c r="AN23" s="46"/>
      <c r="AO23" s="47">
        <v>0</v>
      </c>
      <c r="AP23" s="63"/>
      <c r="AQ23" s="64">
        <v>0</v>
      </c>
      <c r="AR23" s="48"/>
      <c r="AS23" s="48"/>
      <c r="AT23" s="64">
        <v>0</v>
      </c>
      <c r="AU23" s="88"/>
      <c r="AV23" s="88"/>
      <c r="AW23" s="95">
        <f t="shared" si="2"/>
        <v>0</v>
      </c>
      <c r="AX23" s="96">
        <f t="shared" si="3"/>
        <v>0</v>
      </c>
      <c r="AY23" s="97">
        <f t="shared" si="4"/>
        <v>0</v>
      </c>
      <c r="AZ23" s="98">
        <f t="shared" si="5"/>
        <v>0</v>
      </c>
      <c r="BA23" s="98">
        <f t="shared" si="6"/>
        <v>0</v>
      </c>
      <c r="BB23" s="97">
        <f t="shared" si="7"/>
        <v>0</v>
      </c>
      <c r="BC23" s="98">
        <f t="shared" si="8"/>
        <v>0</v>
      </c>
      <c r="BD23" s="98">
        <f t="shared" si="9"/>
        <v>0</v>
      </c>
      <c r="BE23" s="47">
        <v>0</v>
      </c>
      <c r="BF23" s="63"/>
      <c r="BG23" s="64">
        <v>0</v>
      </c>
      <c r="BH23" s="48"/>
      <c r="BI23" s="48"/>
      <c r="BJ23" s="64">
        <v>0</v>
      </c>
      <c r="BK23" s="88"/>
      <c r="BL23" s="88"/>
      <c r="BM23" s="47" t="n">
        <v>0.0</v>
      </c>
      <c r="BN23" s="63" t="n">
        <v>0.0</v>
      </c>
      <c r="BO23" s="64">
        <v>0</v>
      </c>
      <c r="BP23" s="48"/>
      <c r="BQ23" s="48"/>
      <c r="BR23" s="64">
        <v>0</v>
      </c>
      <c r="BS23" s="88"/>
      <c r="BT23" s="88"/>
      <c r="BU23" s="47">
        <v>0</v>
      </c>
      <c r="BV23" s="63"/>
      <c r="BW23" s="37"/>
      <c r="BX23" s="38"/>
      <c r="BY23" s="38"/>
      <c r="BZ23" s="64">
        <v>0</v>
      </c>
      <c r="CA23" s="48"/>
      <c r="CB23" s="48"/>
      <c r="CC23" s="39">
        <f t="shared" si="10"/>
        <v>0</v>
      </c>
      <c r="CD23" s="40">
        <f t="shared" si="11"/>
        <v>0</v>
      </c>
      <c r="CE23" s="39">
        <f t="shared" si="12"/>
        <v>0</v>
      </c>
      <c r="CF23" s="40">
        <f t="shared" si="13"/>
        <v>0</v>
      </c>
      <c r="CG23" s="40">
        <f t="shared" si="14"/>
        <v>0</v>
      </c>
      <c r="CH23" s="39">
        <f t="shared" si="15"/>
        <v>0</v>
      </c>
      <c r="CI23" s="40">
        <f t="shared" si="16"/>
        <v>0</v>
      </c>
      <c r="CJ23" s="40">
        <f t="shared" si="17"/>
        <v>0</v>
      </c>
    </row>
    <row r="24" spans="1:88" x14ac:dyDescent="0.2">
      <c r="A24" s="87" t="s">
        <v>74</v>
      </c>
      <c r="B24" s="87">
        <v>300000.01</v>
      </c>
      <c r="C24" s="87">
        <v>400000</v>
      </c>
      <c r="D24" s="87"/>
      <c r="E24" s="87"/>
      <c r="F24" s="87"/>
      <c r="G24" s="73" t="s">
        <v>124</v>
      </c>
      <c r="H24" s="41"/>
      <c r="I24" s="47" t="n">
        <v>0.0</v>
      </c>
      <c r="J24" s="63" t="n">
        <v>0.0</v>
      </c>
      <c r="K24" s="64">
        <v>0</v>
      </c>
      <c r="L24" s="48"/>
      <c r="M24" s="48"/>
      <c r="N24" s="100">
        <v>0</v>
      </c>
      <c r="O24" s="88"/>
      <c r="P24" s="88"/>
      <c r="Q24" s="47" t="n">
        <v>9.0</v>
      </c>
      <c r="R24" s="63" t="n">
        <v>3060497.46</v>
      </c>
      <c r="S24" s="64">
        <v>0</v>
      </c>
      <c r="T24" s="48"/>
      <c r="U24" s="48"/>
      <c r="V24" s="64">
        <v>0</v>
      </c>
      <c r="W24" s="88"/>
      <c r="X24" s="88"/>
      <c r="Y24" s="47">
        <v>0</v>
      </c>
      <c r="Z24" s="63"/>
      <c r="AA24" s="64">
        <v>0</v>
      </c>
      <c r="AB24" s="48"/>
      <c r="AC24" s="48"/>
      <c r="AD24" s="64">
        <v>0</v>
      </c>
      <c r="AE24" s="88"/>
      <c r="AF24" s="88"/>
      <c r="AG24" s="46"/>
      <c r="AH24" s="46"/>
      <c r="AI24" s="46"/>
      <c r="AJ24" s="46"/>
      <c r="AK24" s="46"/>
      <c r="AL24" s="46"/>
      <c r="AM24" s="46"/>
      <c r="AN24" s="46"/>
      <c r="AO24" s="47">
        <v>0</v>
      </c>
      <c r="AP24" s="63"/>
      <c r="AQ24" s="64">
        <v>0</v>
      </c>
      <c r="AR24" s="48"/>
      <c r="AS24" s="48"/>
      <c r="AT24" s="64">
        <v>0</v>
      </c>
      <c r="AU24" s="88"/>
      <c r="AV24" s="88"/>
      <c r="AW24" s="95">
        <f t="shared" si="2"/>
        <v>0</v>
      </c>
      <c r="AX24" s="96">
        <f t="shared" si="3"/>
        <v>0</v>
      </c>
      <c r="AY24" s="97">
        <f t="shared" si="4"/>
        <v>0</v>
      </c>
      <c r="AZ24" s="98">
        <f t="shared" si="5"/>
        <v>0</v>
      </c>
      <c r="BA24" s="98">
        <f t="shared" si="6"/>
        <v>0</v>
      </c>
      <c r="BB24" s="97">
        <f t="shared" si="7"/>
        <v>0</v>
      </c>
      <c r="BC24" s="98">
        <f t="shared" si="8"/>
        <v>0</v>
      </c>
      <c r="BD24" s="98">
        <f t="shared" si="9"/>
        <v>0</v>
      </c>
      <c r="BE24" s="47">
        <v>0</v>
      </c>
      <c r="BF24" s="63"/>
      <c r="BG24" s="64">
        <v>0</v>
      </c>
      <c r="BH24" s="48"/>
      <c r="BI24" s="48"/>
      <c r="BJ24" s="64">
        <v>0</v>
      </c>
      <c r="BK24" s="88"/>
      <c r="BL24" s="88"/>
      <c r="BM24" s="47" t="n">
        <v>3.0</v>
      </c>
      <c r="BN24" s="63" t="n">
        <v>1010338.67</v>
      </c>
      <c r="BO24" s="64">
        <v>0</v>
      </c>
      <c r="BP24" s="48"/>
      <c r="BQ24" s="48"/>
      <c r="BR24" s="64">
        <v>0</v>
      </c>
      <c r="BS24" s="88"/>
      <c r="BT24" s="88"/>
      <c r="BU24" s="47">
        <v>0</v>
      </c>
      <c r="BV24" s="63"/>
      <c r="BW24" s="37"/>
      <c r="BX24" s="38"/>
      <c r="BY24" s="38"/>
      <c r="BZ24" s="64">
        <v>0</v>
      </c>
      <c r="CA24" s="48"/>
      <c r="CB24" s="48"/>
      <c r="CC24" s="39">
        <f t="shared" si="10"/>
        <v>0</v>
      </c>
      <c r="CD24" s="40">
        <f t="shared" si="11"/>
        <v>0</v>
      </c>
      <c r="CE24" s="39">
        <f t="shared" si="12"/>
        <v>0</v>
      </c>
      <c r="CF24" s="40">
        <f t="shared" si="13"/>
        <v>0</v>
      </c>
      <c r="CG24" s="40">
        <f t="shared" si="14"/>
        <v>0</v>
      </c>
      <c r="CH24" s="39">
        <f t="shared" si="15"/>
        <v>0</v>
      </c>
      <c r="CI24" s="40">
        <f t="shared" si="16"/>
        <v>0</v>
      </c>
      <c r="CJ24" s="40">
        <f t="shared" si="17"/>
        <v>0</v>
      </c>
    </row>
    <row r="25" spans="1:88" x14ac:dyDescent="0.2">
      <c r="A25" s="87" t="s">
        <v>75</v>
      </c>
      <c r="B25" s="87">
        <v>400000.01</v>
      </c>
      <c r="C25" s="87">
        <v>500000</v>
      </c>
      <c r="D25" s="87"/>
      <c r="E25" s="87"/>
      <c r="F25" s="87"/>
      <c r="G25" s="73" t="s">
        <v>125</v>
      </c>
      <c r="H25" s="41"/>
      <c r="I25" s="47" t="n">
        <v>1.0</v>
      </c>
      <c r="J25" s="63" t="n">
        <v>414800.0</v>
      </c>
      <c r="K25" s="64">
        <v>0</v>
      </c>
      <c r="L25" s="48"/>
      <c r="M25" s="48"/>
      <c r="N25" s="100">
        <v>0</v>
      </c>
      <c r="O25" s="88"/>
      <c r="P25" s="88"/>
      <c r="Q25" s="47" t="n">
        <v>7.0</v>
      </c>
      <c r="R25" s="63" t="n">
        <v>3061026.17</v>
      </c>
      <c r="S25" s="64">
        <v>0</v>
      </c>
      <c r="T25" s="48"/>
      <c r="U25" s="48"/>
      <c r="V25" s="64">
        <v>0</v>
      </c>
      <c r="W25" s="88"/>
      <c r="X25" s="88"/>
      <c r="Y25" s="47">
        <v>0</v>
      </c>
      <c r="Z25" s="63"/>
      <c r="AA25" s="64">
        <v>0</v>
      </c>
      <c r="AB25" s="48"/>
      <c r="AC25" s="48"/>
      <c r="AD25" s="64">
        <v>0</v>
      </c>
      <c r="AE25" s="88"/>
      <c r="AF25" s="88"/>
      <c r="AG25" s="46"/>
      <c r="AH25" s="46"/>
      <c r="AI25" s="46"/>
      <c r="AJ25" s="46"/>
      <c r="AK25" s="46"/>
      <c r="AL25" s="46"/>
      <c r="AM25" s="46"/>
      <c r="AN25" s="46"/>
      <c r="AO25" s="47">
        <v>0</v>
      </c>
      <c r="AP25" s="63"/>
      <c r="AQ25" s="64">
        <v>0</v>
      </c>
      <c r="AR25" s="48"/>
      <c r="AS25" s="48"/>
      <c r="AT25" s="64">
        <v>0</v>
      </c>
      <c r="AU25" s="88"/>
      <c r="AV25" s="88"/>
      <c r="AW25" s="95">
        <f t="shared" si="2"/>
        <v>0</v>
      </c>
      <c r="AX25" s="96">
        <f t="shared" si="3"/>
        <v>0</v>
      </c>
      <c r="AY25" s="97">
        <f t="shared" si="4"/>
        <v>0</v>
      </c>
      <c r="AZ25" s="98">
        <f t="shared" si="5"/>
        <v>0</v>
      </c>
      <c r="BA25" s="98">
        <f t="shared" si="6"/>
        <v>0</v>
      </c>
      <c r="BB25" s="97">
        <f t="shared" si="7"/>
        <v>0</v>
      </c>
      <c r="BC25" s="98">
        <f t="shared" si="8"/>
        <v>0</v>
      </c>
      <c r="BD25" s="98">
        <f t="shared" si="9"/>
        <v>0</v>
      </c>
      <c r="BE25" s="47">
        <v>0</v>
      </c>
      <c r="BF25" s="63"/>
      <c r="BG25" s="64">
        <v>0</v>
      </c>
      <c r="BH25" s="48"/>
      <c r="BI25" s="48"/>
      <c r="BJ25" s="64">
        <v>0</v>
      </c>
      <c r="BK25" s="88"/>
      <c r="BL25" s="88"/>
      <c r="BM25" s="47" t="n">
        <v>16.0</v>
      </c>
      <c r="BN25" s="63" t="n">
        <v>7819300.7</v>
      </c>
      <c r="BO25" s="64">
        <v>0</v>
      </c>
      <c r="BP25" s="48"/>
      <c r="BQ25" s="48"/>
      <c r="BR25" s="64">
        <v>0</v>
      </c>
      <c r="BS25" s="88"/>
      <c r="BT25" s="88"/>
      <c r="BU25" s="47">
        <v>0</v>
      </c>
      <c r="BV25" s="63"/>
      <c r="BW25" s="37"/>
      <c r="BX25" s="38"/>
      <c r="BY25" s="38"/>
      <c r="BZ25" s="64">
        <v>0</v>
      </c>
      <c r="CA25" s="48"/>
      <c r="CB25" s="48"/>
      <c r="CC25" s="39">
        <f t="shared" si="10"/>
        <v>0</v>
      </c>
      <c r="CD25" s="40">
        <f t="shared" si="11"/>
        <v>0</v>
      </c>
      <c r="CE25" s="39">
        <f t="shared" si="12"/>
        <v>0</v>
      </c>
      <c r="CF25" s="40">
        <f t="shared" si="13"/>
        <v>0</v>
      </c>
      <c r="CG25" s="40">
        <f t="shared" si="14"/>
        <v>0</v>
      </c>
      <c r="CH25" s="39">
        <f t="shared" si="15"/>
        <v>0</v>
      </c>
      <c r="CI25" s="40">
        <f t="shared" si="16"/>
        <v>0</v>
      </c>
      <c r="CJ25" s="40">
        <f t="shared" si="17"/>
        <v>0</v>
      </c>
    </row>
    <row r="26" spans="1:88" x14ac:dyDescent="0.2">
      <c r="A26" s="87" t="s">
        <v>76</v>
      </c>
      <c r="B26" s="87">
        <v>500000.01</v>
      </c>
      <c r="C26" s="87">
        <v>750000</v>
      </c>
      <c r="D26" s="87"/>
      <c r="E26" s="87"/>
      <c r="F26" s="87"/>
      <c r="G26" s="73" t="s">
        <v>126</v>
      </c>
      <c r="H26" s="41"/>
      <c r="I26" s="47" t="n">
        <v>0.0</v>
      </c>
      <c r="J26" s="63" t="n">
        <v>0.0</v>
      </c>
      <c r="K26" s="64">
        <v>0</v>
      </c>
      <c r="L26" s="48"/>
      <c r="M26" s="48"/>
      <c r="N26" s="100">
        <v>0</v>
      </c>
      <c r="O26" s="88"/>
      <c r="P26" s="88"/>
      <c r="Q26" s="47" t="n">
        <v>6.0</v>
      </c>
      <c r="R26" s="63" t="n">
        <v>3546919.99</v>
      </c>
      <c r="S26" s="64">
        <v>0</v>
      </c>
      <c r="T26" s="48"/>
      <c r="U26" s="48"/>
      <c r="V26" s="64">
        <v>0</v>
      </c>
      <c r="W26" s="88"/>
      <c r="X26" s="88"/>
      <c r="Y26" s="47">
        <v>0</v>
      </c>
      <c r="Z26" s="63"/>
      <c r="AA26" s="64">
        <v>0</v>
      </c>
      <c r="AB26" s="48"/>
      <c r="AC26" s="48"/>
      <c r="AD26" s="64">
        <v>0</v>
      </c>
      <c r="AE26" s="88"/>
      <c r="AF26" s="88"/>
      <c r="AG26" s="46"/>
      <c r="AH26" s="46"/>
      <c r="AI26" s="46"/>
      <c r="AJ26" s="46"/>
      <c r="AK26" s="46"/>
      <c r="AL26" s="46"/>
      <c r="AM26" s="46"/>
      <c r="AN26" s="46"/>
      <c r="AO26" s="47">
        <v>0</v>
      </c>
      <c r="AP26" s="63"/>
      <c r="AQ26" s="64">
        <v>0</v>
      </c>
      <c r="AR26" s="48"/>
      <c r="AS26" s="48"/>
      <c r="AT26" s="64">
        <v>0</v>
      </c>
      <c r="AU26" s="88"/>
      <c r="AV26" s="88"/>
      <c r="AW26" s="95">
        <f t="shared" si="2"/>
        <v>0</v>
      </c>
      <c r="AX26" s="96">
        <f t="shared" si="3"/>
        <v>0</v>
      </c>
      <c r="AY26" s="97">
        <f t="shared" si="4"/>
        <v>0</v>
      </c>
      <c r="AZ26" s="98">
        <f t="shared" si="5"/>
        <v>0</v>
      </c>
      <c r="BA26" s="98">
        <f t="shared" si="6"/>
        <v>0</v>
      </c>
      <c r="BB26" s="97">
        <f t="shared" si="7"/>
        <v>0</v>
      </c>
      <c r="BC26" s="98">
        <f t="shared" si="8"/>
        <v>0</v>
      </c>
      <c r="BD26" s="98">
        <f t="shared" si="9"/>
        <v>0</v>
      </c>
      <c r="BE26" s="47">
        <v>0</v>
      </c>
      <c r="BF26" s="63"/>
      <c r="BG26" s="64">
        <v>0</v>
      </c>
      <c r="BH26" s="48"/>
      <c r="BI26" s="48"/>
      <c r="BJ26" s="64">
        <v>0</v>
      </c>
      <c r="BK26" s="88"/>
      <c r="BL26" s="88"/>
      <c r="BM26" s="47" t="n">
        <v>9.0</v>
      </c>
      <c r="BN26" s="63" t="n">
        <v>4619973.74</v>
      </c>
      <c r="BO26" s="64">
        <v>0</v>
      </c>
      <c r="BP26" s="48"/>
      <c r="BQ26" s="48"/>
      <c r="BR26" s="64">
        <v>0</v>
      </c>
      <c r="BS26" s="88"/>
      <c r="BT26" s="88"/>
      <c r="BU26" s="47">
        <v>0</v>
      </c>
      <c r="BV26" s="63"/>
      <c r="BW26" s="37"/>
      <c r="BX26" s="38"/>
      <c r="BY26" s="38"/>
      <c r="BZ26" s="64">
        <v>0</v>
      </c>
      <c r="CA26" s="48"/>
      <c r="CB26" s="48"/>
      <c r="CC26" s="39">
        <f t="shared" si="10"/>
        <v>0</v>
      </c>
      <c r="CD26" s="40">
        <f t="shared" si="11"/>
        <v>0</v>
      </c>
      <c r="CE26" s="39">
        <f t="shared" si="12"/>
        <v>0</v>
      </c>
      <c r="CF26" s="40">
        <f t="shared" si="13"/>
        <v>0</v>
      </c>
      <c r="CG26" s="40">
        <f t="shared" si="14"/>
        <v>0</v>
      </c>
      <c r="CH26" s="39">
        <f t="shared" si="15"/>
        <v>0</v>
      </c>
      <c r="CI26" s="40">
        <f t="shared" si="16"/>
        <v>0</v>
      </c>
      <c r="CJ26" s="40">
        <f t="shared" si="17"/>
        <v>0</v>
      </c>
    </row>
    <row r="27" spans="1:88" x14ac:dyDescent="0.2">
      <c r="A27" s="87" t="s">
        <v>77</v>
      </c>
      <c r="B27" s="87">
        <v>750000.01</v>
      </c>
      <c r="C27" s="87">
        <v>1000000</v>
      </c>
      <c r="D27" s="87"/>
      <c r="E27" s="87"/>
      <c r="F27" s="87"/>
      <c r="G27" s="73" t="s">
        <v>127</v>
      </c>
      <c r="H27" s="41"/>
      <c r="I27" s="47" t="n">
        <v>0.0</v>
      </c>
      <c r="J27" s="63" t="n">
        <v>0.0</v>
      </c>
      <c r="K27" s="64">
        <v>0</v>
      </c>
      <c r="L27" s="48"/>
      <c r="M27" s="48"/>
      <c r="N27" s="100">
        <v>0</v>
      </c>
      <c r="O27" s="88"/>
      <c r="P27" s="88"/>
      <c r="Q27" s="47" t="n">
        <v>3.0</v>
      </c>
      <c r="R27" s="63" t="n">
        <v>2677559.31</v>
      </c>
      <c r="S27" s="64">
        <v>0</v>
      </c>
      <c r="T27" s="48"/>
      <c r="U27" s="48"/>
      <c r="V27" s="64">
        <v>0</v>
      </c>
      <c r="W27" s="88"/>
      <c r="X27" s="88"/>
      <c r="Y27" s="47">
        <v>0</v>
      </c>
      <c r="Z27" s="63"/>
      <c r="AA27" s="64">
        <v>0</v>
      </c>
      <c r="AB27" s="48"/>
      <c r="AC27" s="48"/>
      <c r="AD27" s="64">
        <v>0</v>
      </c>
      <c r="AE27" s="88"/>
      <c r="AF27" s="88"/>
      <c r="AG27" s="46"/>
      <c r="AH27" s="46"/>
      <c r="AI27" s="46"/>
      <c r="AJ27" s="46"/>
      <c r="AK27" s="46"/>
      <c r="AL27" s="46"/>
      <c r="AM27" s="46"/>
      <c r="AN27" s="46"/>
      <c r="AO27" s="47">
        <v>0</v>
      </c>
      <c r="AP27" s="63"/>
      <c r="AQ27" s="64">
        <v>0</v>
      </c>
      <c r="AR27" s="48"/>
      <c r="AS27" s="48"/>
      <c r="AT27" s="64">
        <v>0</v>
      </c>
      <c r="AU27" s="88"/>
      <c r="AV27" s="88"/>
      <c r="AW27" s="95">
        <f t="shared" si="2"/>
        <v>0</v>
      </c>
      <c r="AX27" s="96">
        <f t="shared" si="3"/>
        <v>0</v>
      </c>
      <c r="AY27" s="97">
        <f t="shared" si="4"/>
        <v>0</v>
      </c>
      <c r="AZ27" s="98">
        <f t="shared" si="5"/>
        <v>0</v>
      </c>
      <c r="BA27" s="98">
        <f t="shared" si="6"/>
        <v>0</v>
      </c>
      <c r="BB27" s="97">
        <f t="shared" si="7"/>
        <v>0</v>
      </c>
      <c r="BC27" s="98">
        <f t="shared" si="8"/>
        <v>0</v>
      </c>
      <c r="BD27" s="98">
        <f t="shared" si="9"/>
        <v>0</v>
      </c>
      <c r="BE27" s="47">
        <v>0</v>
      </c>
      <c r="BF27" s="63"/>
      <c r="BG27" s="64">
        <v>0</v>
      </c>
      <c r="BH27" s="48"/>
      <c r="BI27" s="48"/>
      <c r="BJ27" s="64">
        <v>0</v>
      </c>
      <c r="BK27" s="88"/>
      <c r="BL27" s="88"/>
      <c r="BM27" s="47" t="n">
        <v>4.0</v>
      </c>
      <c r="BN27" s="63" t="n">
        <v>4000000.0</v>
      </c>
      <c r="BO27" s="64">
        <v>0</v>
      </c>
      <c r="BP27" s="48"/>
      <c r="BQ27" s="48"/>
      <c r="BR27" s="64">
        <v>0</v>
      </c>
      <c r="BS27" s="88"/>
      <c r="BT27" s="88"/>
      <c r="BU27" s="47">
        <v>0</v>
      </c>
      <c r="BV27" s="63"/>
      <c r="BW27" s="37"/>
      <c r="BX27" s="38"/>
      <c r="BY27" s="38"/>
      <c r="BZ27" s="64">
        <v>0</v>
      </c>
      <c r="CA27" s="48"/>
      <c r="CB27" s="48"/>
      <c r="CC27" s="39">
        <f t="shared" si="10"/>
        <v>0</v>
      </c>
      <c r="CD27" s="40">
        <f t="shared" si="11"/>
        <v>0</v>
      </c>
      <c r="CE27" s="39">
        <f t="shared" si="12"/>
        <v>0</v>
      </c>
      <c r="CF27" s="40">
        <f t="shared" si="13"/>
        <v>0</v>
      </c>
      <c r="CG27" s="40">
        <f t="shared" si="14"/>
        <v>0</v>
      </c>
      <c r="CH27" s="39">
        <f t="shared" si="15"/>
        <v>0</v>
      </c>
      <c r="CI27" s="40">
        <f t="shared" si="16"/>
        <v>0</v>
      </c>
      <c r="CJ27" s="40">
        <f t="shared" si="17"/>
        <v>0</v>
      </c>
    </row>
    <row r="28" spans="1:88" x14ac:dyDescent="0.2">
      <c r="A28" s="87" t="s">
        <v>78</v>
      </c>
      <c r="B28" s="87">
        <v>1000000.01</v>
      </c>
      <c r="C28" s="87">
        <v>1500000</v>
      </c>
      <c r="D28" s="87"/>
      <c r="E28" s="87"/>
      <c r="F28" s="87"/>
      <c r="G28" s="73" t="s">
        <v>128</v>
      </c>
      <c r="H28" s="41"/>
      <c r="I28" s="47" t="n">
        <v>1.0</v>
      </c>
      <c r="J28" s="63" t="n">
        <v>1495778.48</v>
      </c>
      <c r="K28" s="64">
        <v>0</v>
      </c>
      <c r="L28" s="48"/>
      <c r="M28" s="48"/>
      <c r="N28" s="100">
        <v>0</v>
      </c>
      <c r="O28" s="88"/>
      <c r="P28" s="88"/>
      <c r="Q28" s="47" t="n">
        <v>5.0</v>
      </c>
      <c r="R28" s="63" t="n">
        <v>5839243.78</v>
      </c>
      <c r="S28" s="64">
        <v>0</v>
      </c>
      <c r="T28" s="48"/>
      <c r="U28" s="48"/>
      <c r="V28" s="64">
        <v>0</v>
      </c>
      <c r="W28" s="88"/>
      <c r="X28" s="88"/>
      <c r="Y28" s="47">
        <v>0</v>
      </c>
      <c r="Z28" s="63"/>
      <c r="AA28" s="64">
        <v>0</v>
      </c>
      <c r="AB28" s="48"/>
      <c r="AC28" s="48"/>
      <c r="AD28" s="64">
        <v>0</v>
      </c>
      <c r="AE28" s="88"/>
      <c r="AF28" s="88"/>
      <c r="AG28" s="46"/>
      <c r="AH28" s="46"/>
      <c r="AI28" s="46"/>
      <c r="AJ28" s="46"/>
      <c r="AK28" s="46"/>
      <c r="AL28" s="46"/>
      <c r="AM28" s="46"/>
      <c r="AN28" s="46"/>
      <c r="AO28" s="47">
        <v>0</v>
      </c>
      <c r="AP28" s="63"/>
      <c r="AQ28" s="64">
        <v>0</v>
      </c>
      <c r="AR28" s="48"/>
      <c r="AS28" s="48"/>
      <c r="AT28" s="64">
        <v>0</v>
      </c>
      <c r="AU28" s="88"/>
      <c r="AV28" s="88"/>
      <c r="AW28" s="95">
        <f t="shared" si="2"/>
        <v>0</v>
      </c>
      <c r="AX28" s="96">
        <f t="shared" si="3"/>
        <v>0</v>
      </c>
      <c r="AY28" s="97">
        <f t="shared" si="4"/>
        <v>0</v>
      </c>
      <c r="AZ28" s="98">
        <f t="shared" si="5"/>
        <v>0</v>
      </c>
      <c r="BA28" s="98">
        <f t="shared" si="6"/>
        <v>0</v>
      </c>
      <c r="BB28" s="97">
        <f t="shared" si="7"/>
        <v>0</v>
      </c>
      <c r="BC28" s="98">
        <f t="shared" si="8"/>
        <v>0</v>
      </c>
      <c r="BD28" s="98">
        <f t="shared" si="9"/>
        <v>0</v>
      </c>
      <c r="BE28" s="47">
        <v>0</v>
      </c>
      <c r="BF28" s="63"/>
      <c r="BG28" s="64">
        <v>0</v>
      </c>
      <c r="BH28" s="48"/>
      <c r="BI28" s="48"/>
      <c r="BJ28" s="64">
        <v>0</v>
      </c>
      <c r="BK28" s="88"/>
      <c r="BL28" s="88"/>
      <c r="BM28" s="47" t="n">
        <v>1.0</v>
      </c>
      <c r="BN28" s="63" t="n">
        <v>1014050.02</v>
      </c>
      <c r="BO28" s="64">
        <v>0</v>
      </c>
      <c r="BP28" s="48"/>
      <c r="BQ28" s="48"/>
      <c r="BR28" s="64">
        <v>0</v>
      </c>
      <c r="BS28" s="88"/>
      <c r="BT28" s="88"/>
      <c r="BU28" s="47">
        <v>0</v>
      </c>
      <c r="BV28" s="63"/>
      <c r="BW28" s="37"/>
      <c r="BX28" s="38"/>
      <c r="BY28" s="38"/>
      <c r="BZ28" s="64">
        <v>0</v>
      </c>
      <c r="CA28" s="48"/>
      <c r="CB28" s="48"/>
      <c r="CC28" s="39">
        <f t="shared" si="10"/>
        <v>0</v>
      </c>
      <c r="CD28" s="40">
        <f t="shared" si="11"/>
        <v>0</v>
      </c>
      <c r="CE28" s="39">
        <f t="shared" si="12"/>
        <v>0</v>
      </c>
      <c r="CF28" s="40">
        <f t="shared" si="13"/>
        <v>0</v>
      </c>
      <c r="CG28" s="40">
        <f t="shared" si="14"/>
        <v>0</v>
      </c>
      <c r="CH28" s="39">
        <f t="shared" si="15"/>
        <v>0</v>
      </c>
      <c r="CI28" s="40">
        <f t="shared" si="16"/>
        <v>0</v>
      </c>
      <c r="CJ28" s="40">
        <f t="shared" si="17"/>
        <v>0</v>
      </c>
    </row>
    <row r="29" spans="1:88" x14ac:dyDescent="0.2">
      <c r="A29" s="87" t="s">
        <v>79</v>
      </c>
      <c r="B29" s="87">
        <v>1500000.01</v>
      </c>
      <c r="C29" s="87">
        <v>2000000</v>
      </c>
      <c r="D29" s="87"/>
      <c r="E29" s="87"/>
      <c r="F29" s="87"/>
      <c r="G29" s="73" t="s">
        <v>129</v>
      </c>
      <c r="H29" s="41"/>
      <c r="I29" s="47" t="n">
        <v>0.0</v>
      </c>
      <c r="J29" s="63" t="n">
        <v>0.0</v>
      </c>
      <c r="K29" s="64">
        <v>0</v>
      </c>
      <c r="L29" s="48"/>
      <c r="M29" s="48"/>
      <c r="N29" s="100">
        <v>0</v>
      </c>
      <c r="O29" s="88"/>
      <c r="P29" s="88"/>
      <c r="Q29" s="47" t="n">
        <v>0.0</v>
      </c>
      <c r="R29" s="63" t="n">
        <v>0.0</v>
      </c>
      <c r="S29" s="64">
        <v>0</v>
      </c>
      <c r="T29" s="48"/>
      <c r="U29" s="48"/>
      <c r="V29" s="64">
        <v>0</v>
      </c>
      <c r="W29" s="88"/>
      <c r="X29" s="88"/>
      <c r="Y29" s="47">
        <v>0</v>
      </c>
      <c r="Z29" s="63"/>
      <c r="AA29" s="64">
        <v>0</v>
      </c>
      <c r="AB29" s="48"/>
      <c r="AC29" s="48"/>
      <c r="AD29" s="64">
        <v>0</v>
      </c>
      <c r="AE29" s="88"/>
      <c r="AF29" s="88"/>
      <c r="AG29" s="46"/>
      <c r="AH29" s="46"/>
      <c r="AI29" s="46"/>
      <c r="AJ29" s="46"/>
      <c r="AK29" s="46"/>
      <c r="AL29" s="46"/>
      <c r="AM29" s="46"/>
      <c r="AN29" s="46"/>
      <c r="AO29" s="47">
        <v>0</v>
      </c>
      <c r="AP29" s="63"/>
      <c r="AQ29" s="64">
        <v>0</v>
      </c>
      <c r="AR29" s="48"/>
      <c r="AS29" s="48"/>
      <c r="AT29" s="64">
        <v>0</v>
      </c>
      <c r="AU29" s="88"/>
      <c r="AV29" s="88"/>
      <c r="AW29" s="95">
        <f t="shared" si="2"/>
        <v>0</v>
      </c>
      <c r="AX29" s="96">
        <f t="shared" si="3"/>
        <v>0</v>
      </c>
      <c r="AY29" s="97">
        <f t="shared" si="4"/>
        <v>0</v>
      </c>
      <c r="AZ29" s="98">
        <f t="shared" si="5"/>
        <v>0</v>
      </c>
      <c r="BA29" s="98">
        <f t="shared" si="6"/>
        <v>0</v>
      </c>
      <c r="BB29" s="97">
        <f t="shared" si="7"/>
        <v>0</v>
      </c>
      <c r="BC29" s="98">
        <f t="shared" si="8"/>
        <v>0</v>
      </c>
      <c r="BD29" s="98">
        <f t="shared" si="9"/>
        <v>0</v>
      </c>
      <c r="BE29" s="47">
        <v>0</v>
      </c>
      <c r="BF29" s="63"/>
      <c r="BG29" s="64">
        <v>0</v>
      </c>
      <c r="BH29" s="48"/>
      <c r="BI29" s="48"/>
      <c r="BJ29" s="64">
        <v>0</v>
      </c>
      <c r="BK29" s="88"/>
      <c r="BL29" s="88"/>
      <c r="BM29" s="47" t="n">
        <v>0.0</v>
      </c>
      <c r="BN29" s="63" t="n">
        <v>0.0</v>
      </c>
      <c r="BO29" s="64">
        <v>0</v>
      </c>
      <c r="BP29" s="48"/>
      <c r="BQ29" s="48"/>
      <c r="BR29" s="64">
        <v>0</v>
      </c>
      <c r="BS29" s="88"/>
      <c r="BT29" s="88"/>
      <c r="BU29" s="47">
        <v>0</v>
      </c>
      <c r="BV29" s="63"/>
      <c r="BW29" s="37"/>
      <c r="BX29" s="38"/>
      <c r="BY29" s="38"/>
      <c r="BZ29" s="64">
        <v>0</v>
      </c>
      <c r="CA29" s="48"/>
      <c r="CB29" s="48"/>
      <c r="CC29" s="39">
        <f t="shared" si="10"/>
        <v>0</v>
      </c>
      <c r="CD29" s="40">
        <f t="shared" si="11"/>
        <v>0</v>
      </c>
      <c r="CE29" s="39">
        <f t="shared" si="12"/>
        <v>0</v>
      </c>
      <c r="CF29" s="40">
        <f t="shared" si="13"/>
        <v>0</v>
      </c>
      <c r="CG29" s="40">
        <f t="shared" si="14"/>
        <v>0</v>
      </c>
      <c r="CH29" s="39">
        <f t="shared" si="15"/>
        <v>0</v>
      </c>
      <c r="CI29" s="40">
        <f t="shared" si="16"/>
        <v>0</v>
      </c>
      <c r="CJ29" s="40">
        <f t="shared" si="17"/>
        <v>0</v>
      </c>
    </row>
    <row r="30" spans="1:88" x14ac:dyDescent="0.2">
      <c r="A30" s="87" t="s">
        <v>236</v>
      </c>
      <c r="B30" s="87">
        <v>2000000.01</v>
      </c>
      <c r="C30" s="87">
        <v>3000000</v>
      </c>
      <c r="D30" s="87"/>
      <c r="E30" s="87"/>
      <c r="F30" s="87"/>
      <c r="G30" s="73" t="s">
        <v>240</v>
      </c>
      <c r="H30" s="41"/>
      <c r="I30" s="47" t="n">
        <v>0.0</v>
      </c>
      <c r="J30" s="63" t="n">
        <v>0.0</v>
      </c>
      <c r="K30" s="64">
        <v>0</v>
      </c>
      <c r="L30" s="48"/>
      <c r="M30" s="48"/>
      <c r="N30" s="100">
        <v>0</v>
      </c>
      <c r="O30" s="88"/>
      <c r="P30" s="88"/>
      <c r="Q30" s="47" t="n">
        <v>1.0</v>
      </c>
      <c r="R30" s="63" t="n">
        <v>2211720.98</v>
      </c>
      <c r="S30" s="64">
        <v>0</v>
      </c>
      <c r="T30" s="48"/>
      <c r="U30" s="48"/>
      <c r="V30" s="64">
        <v>0</v>
      </c>
      <c r="W30" s="88"/>
      <c r="X30" s="88"/>
      <c r="Y30" s="47">
        <v>0</v>
      </c>
      <c r="Z30" s="63"/>
      <c r="AA30" s="64">
        <v>0</v>
      </c>
      <c r="AB30" s="48"/>
      <c r="AC30" s="48"/>
      <c r="AD30" s="64">
        <v>0</v>
      </c>
      <c r="AE30" s="88"/>
      <c r="AF30" s="88"/>
      <c r="AG30" s="46"/>
      <c r="AH30" s="46"/>
      <c r="AI30" s="46"/>
      <c r="AJ30" s="46"/>
      <c r="AK30" s="46"/>
      <c r="AL30" s="46"/>
      <c r="AM30" s="46"/>
      <c r="AN30" s="46"/>
      <c r="AO30" s="47">
        <v>0</v>
      </c>
      <c r="AP30" s="63"/>
      <c r="AQ30" s="64">
        <v>0</v>
      </c>
      <c r="AR30" s="48"/>
      <c r="AS30" s="48"/>
      <c r="AT30" s="64">
        <v>0</v>
      </c>
      <c r="AU30" s="88"/>
      <c r="AV30" s="88"/>
      <c r="AW30" s="95">
        <f t="shared" si="2"/>
        <v>0</v>
      </c>
      <c r="AX30" s="96">
        <f t="shared" si="3"/>
        <v>0</v>
      </c>
      <c r="AY30" s="97">
        <f t="shared" si="4"/>
        <v>0</v>
      </c>
      <c r="AZ30" s="98">
        <f t="shared" si="5"/>
        <v>0</v>
      </c>
      <c r="BA30" s="98">
        <f t="shared" si="6"/>
        <v>0</v>
      </c>
      <c r="BB30" s="97">
        <f t="shared" si="7"/>
        <v>0</v>
      </c>
      <c r="BC30" s="98">
        <f t="shared" si="8"/>
        <v>0</v>
      </c>
      <c r="BD30" s="98">
        <f t="shared" si="9"/>
        <v>0</v>
      </c>
      <c r="BE30" s="47">
        <v>0</v>
      </c>
      <c r="BF30" s="63"/>
      <c r="BG30" s="64">
        <v>0</v>
      </c>
      <c r="BH30" s="48"/>
      <c r="BI30" s="48"/>
      <c r="BJ30" s="64">
        <v>0</v>
      </c>
      <c r="BK30" s="88"/>
      <c r="BL30" s="88"/>
      <c r="BM30" s="47" t="n">
        <v>0.0</v>
      </c>
      <c r="BN30" s="63" t="n">
        <v>0.0</v>
      </c>
      <c r="BO30" s="64">
        <v>0</v>
      </c>
      <c r="BP30" s="48"/>
      <c r="BQ30" s="48"/>
      <c r="BR30" s="64">
        <v>0</v>
      </c>
      <c r="BS30" s="88"/>
      <c r="BT30" s="88"/>
      <c r="BU30" s="47">
        <v>0</v>
      </c>
      <c r="BV30" s="63"/>
      <c r="BW30" s="37"/>
      <c r="BX30" s="38"/>
      <c r="BY30" s="38"/>
      <c r="BZ30" s="64">
        <v>0</v>
      </c>
      <c r="CA30" s="48"/>
      <c r="CB30" s="48"/>
      <c r="CC30" s="39">
        <f t="shared" si="10"/>
        <v>0</v>
      </c>
      <c r="CD30" s="40">
        <f t="shared" si="11"/>
        <v>0</v>
      </c>
      <c r="CE30" s="39">
        <f t="shared" si="12"/>
        <v>0</v>
      </c>
      <c r="CF30" s="40">
        <f t="shared" si="13"/>
        <v>0</v>
      </c>
      <c r="CG30" s="40">
        <f t="shared" si="14"/>
        <v>0</v>
      </c>
      <c r="CH30" s="39">
        <f t="shared" si="15"/>
        <v>0</v>
      </c>
      <c r="CI30" s="40">
        <f t="shared" si="16"/>
        <v>0</v>
      </c>
      <c r="CJ30" s="40">
        <f t="shared" si="17"/>
        <v>0</v>
      </c>
    </row>
    <row r="31" spans="1:88" x14ac:dyDescent="0.2">
      <c r="A31" s="87" t="s">
        <v>237</v>
      </c>
      <c r="B31" s="87">
        <v>3000000.01</v>
      </c>
      <c r="C31" s="87">
        <v>4000000</v>
      </c>
      <c r="D31" s="87"/>
      <c r="E31" s="87"/>
      <c r="F31" s="87"/>
      <c r="G31" s="73" t="s">
        <v>241</v>
      </c>
      <c r="H31" s="41"/>
      <c r="I31" s="47" t="n">
        <v>0.0</v>
      </c>
      <c r="J31" s="63" t="n">
        <v>0.0</v>
      </c>
      <c r="K31" s="64">
        <v>0</v>
      </c>
      <c r="L31" s="48"/>
      <c r="M31" s="48"/>
      <c r="N31" s="100">
        <v>0</v>
      </c>
      <c r="O31" s="88"/>
      <c r="P31" s="88"/>
      <c r="Q31" s="47" t="n">
        <v>0.0</v>
      </c>
      <c r="R31" s="63" t="n">
        <v>0.0</v>
      </c>
      <c r="S31" s="64">
        <v>0</v>
      </c>
      <c r="T31" s="48"/>
      <c r="U31" s="48"/>
      <c r="V31" s="64">
        <v>0</v>
      </c>
      <c r="W31" s="88"/>
      <c r="X31" s="88"/>
      <c r="Y31" s="47">
        <v>0</v>
      </c>
      <c r="Z31" s="63"/>
      <c r="AA31" s="64">
        <v>0</v>
      </c>
      <c r="AB31" s="48"/>
      <c r="AC31" s="48"/>
      <c r="AD31" s="64">
        <v>0</v>
      </c>
      <c r="AE31" s="88"/>
      <c r="AF31" s="88"/>
      <c r="AG31" s="46"/>
      <c r="AH31" s="46"/>
      <c r="AI31" s="46"/>
      <c r="AJ31" s="46"/>
      <c r="AK31" s="46"/>
      <c r="AL31" s="46"/>
      <c r="AM31" s="46"/>
      <c r="AN31" s="46"/>
      <c r="AO31" s="47">
        <v>0</v>
      </c>
      <c r="AP31" s="63"/>
      <c r="AQ31" s="64">
        <v>0</v>
      </c>
      <c r="AR31" s="48"/>
      <c r="AS31" s="48"/>
      <c r="AT31" s="64">
        <v>0</v>
      </c>
      <c r="AU31" s="88"/>
      <c r="AV31" s="88"/>
      <c r="AW31" s="95">
        <f t="shared" si="2"/>
        <v>0</v>
      </c>
      <c r="AX31" s="96">
        <f t="shared" si="3"/>
        <v>0</v>
      </c>
      <c r="AY31" s="97">
        <f t="shared" si="4"/>
        <v>0</v>
      </c>
      <c r="AZ31" s="98">
        <f t="shared" si="5"/>
        <v>0</v>
      </c>
      <c r="BA31" s="98">
        <f t="shared" si="6"/>
        <v>0</v>
      </c>
      <c r="BB31" s="97">
        <f t="shared" si="7"/>
        <v>0</v>
      </c>
      <c r="BC31" s="98">
        <f t="shared" si="8"/>
        <v>0</v>
      </c>
      <c r="BD31" s="98">
        <f t="shared" si="9"/>
        <v>0</v>
      </c>
      <c r="BE31" s="47">
        <v>0</v>
      </c>
      <c r="BF31" s="63"/>
      <c r="BG31" s="64">
        <v>0</v>
      </c>
      <c r="BH31" s="48"/>
      <c r="BI31" s="48"/>
      <c r="BJ31" s="64">
        <v>0</v>
      </c>
      <c r="BK31" s="88"/>
      <c r="BL31" s="88"/>
      <c r="BM31" s="47" t="n">
        <v>0.0</v>
      </c>
      <c r="BN31" s="63" t="n">
        <v>0.0</v>
      </c>
      <c r="BO31" s="64">
        <v>0</v>
      </c>
      <c r="BP31" s="48"/>
      <c r="BQ31" s="48"/>
      <c r="BR31" s="64">
        <v>0</v>
      </c>
      <c r="BS31" s="88"/>
      <c r="BT31" s="88"/>
      <c r="BU31" s="47">
        <v>0</v>
      </c>
      <c r="BV31" s="63"/>
      <c r="BW31" s="37"/>
      <c r="BX31" s="38"/>
      <c r="BY31" s="38"/>
      <c r="BZ31" s="64">
        <v>0</v>
      </c>
      <c r="CA31" s="48"/>
      <c r="CB31" s="48"/>
      <c r="CC31" s="39">
        <f t="shared" si="10"/>
        <v>0</v>
      </c>
      <c r="CD31" s="40">
        <f t="shared" si="11"/>
        <v>0</v>
      </c>
      <c r="CE31" s="39">
        <f t="shared" si="12"/>
        <v>0</v>
      </c>
      <c r="CF31" s="40">
        <f t="shared" si="13"/>
        <v>0</v>
      </c>
      <c r="CG31" s="40">
        <f t="shared" si="14"/>
        <v>0</v>
      </c>
      <c r="CH31" s="39">
        <f t="shared" si="15"/>
        <v>0</v>
      </c>
      <c r="CI31" s="40">
        <f t="shared" si="16"/>
        <v>0</v>
      </c>
      <c r="CJ31" s="40">
        <f t="shared" si="17"/>
        <v>0</v>
      </c>
    </row>
    <row r="32" spans="1:88" x14ac:dyDescent="0.2">
      <c r="A32" s="87" t="s">
        <v>238</v>
      </c>
      <c r="B32" s="87">
        <v>4000000.01</v>
      </c>
      <c r="C32" s="87">
        <v>5000000</v>
      </c>
      <c r="D32" s="87"/>
      <c r="E32" s="87"/>
      <c r="F32" s="87"/>
      <c r="G32" s="73" t="s">
        <v>242</v>
      </c>
      <c r="H32" s="41"/>
      <c r="I32" s="47" t="n">
        <v>0.0</v>
      </c>
      <c r="J32" s="63" t="n">
        <v>0.0</v>
      </c>
      <c r="K32" s="64">
        <v>0</v>
      </c>
      <c r="L32" s="48"/>
      <c r="M32" s="48"/>
      <c r="N32" s="100">
        <v>0</v>
      </c>
      <c r="O32" s="88"/>
      <c r="P32" s="88"/>
      <c r="Q32" s="47" t="n">
        <v>0.0</v>
      </c>
      <c r="R32" s="63" t="n">
        <v>0.0</v>
      </c>
      <c r="S32" s="64">
        <v>0</v>
      </c>
      <c r="T32" s="48"/>
      <c r="U32" s="48"/>
      <c r="V32" s="64">
        <v>0</v>
      </c>
      <c r="W32" s="88"/>
      <c r="X32" s="88"/>
      <c r="Y32" s="47">
        <v>0</v>
      </c>
      <c r="Z32" s="63"/>
      <c r="AA32" s="64">
        <v>0</v>
      </c>
      <c r="AB32" s="48"/>
      <c r="AC32" s="48"/>
      <c r="AD32" s="64">
        <v>0</v>
      </c>
      <c r="AE32" s="88"/>
      <c r="AF32" s="88"/>
      <c r="AG32" s="46"/>
      <c r="AH32" s="46"/>
      <c r="AI32" s="46"/>
      <c r="AJ32" s="46"/>
      <c r="AK32" s="46"/>
      <c r="AL32" s="46"/>
      <c r="AM32" s="46"/>
      <c r="AN32" s="46"/>
      <c r="AO32" s="47">
        <v>0</v>
      </c>
      <c r="AP32" s="63"/>
      <c r="AQ32" s="64">
        <v>0</v>
      </c>
      <c r="AR32" s="48"/>
      <c r="AS32" s="48"/>
      <c r="AT32" s="64">
        <v>0</v>
      </c>
      <c r="AU32" s="88"/>
      <c r="AV32" s="88"/>
      <c r="AW32" s="95">
        <f t="shared" si="2"/>
        <v>0</v>
      </c>
      <c r="AX32" s="96">
        <f t="shared" si="3"/>
        <v>0</v>
      </c>
      <c r="AY32" s="97">
        <f t="shared" si="4"/>
        <v>0</v>
      </c>
      <c r="AZ32" s="98">
        <f t="shared" si="5"/>
        <v>0</v>
      </c>
      <c r="BA32" s="98">
        <f t="shared" si="6"/>
        <v>0</v>
      </c>
      <c r="BB32" s="97">
        <f t="shared" si="7"/>
        <v>0</v>
      </c>
      <c r="BC32" s="98">
        <f t="shared" si="8"/>
        <v>0</v>
      </c>
      <c r="BD32" s="98">
        <f t="shared" si="9"/>
        <v>0</v>
      </c>
      <c r="BE32" s="47">
        <v>0</v>
      </c>
      <c r="BF32" s="63"/>
      <c r="BG32" s="64">
        <v>0</v>
      </c>
      <c r="BH32" s="48"/>
      <c r="BI32" s="48"/>
      <c r="BJ32" s="64">
        <v>0</v>
      </c>
      <c r="BK32" s="88"/>
      <c r="BL32" s="88"/>
      <c r="BM32" s="47" t="n">
        <v>0.0</v>
      </c>
      <c r="BN32" s="63" t="n">
        <v>0.0</v>
      </c>
      <c r="BO32" s="64">
        <v>0</v>
      </c>
      <c r="BP32" s="48"/>
      <c r="BQ32" s="48"/>
      <c r="BR32" s="64">
        <v>0</v>
      </c>
      <c r="BS32" s="88"/>
      <c r="BT32" s="88"/>
      <c r="BU32" s="47">
        <v>0</v>
      </c>
      <c r="BV32" s="63"/>
      <c r="BW32" s="37"/>
      <c r="BX32" s="38"/>
      <c r="BY32" s="38"/>
      <c r="BZ32" s="64">
        <v>0</v>
      </c>
      <c r="CA32" s="48"/>
      <c r="CB32" s="48"/>
      <c r="CC32" s="39">
        <f t="shared" si="10"/>
        <v>0</v>
      </c>
      <c r="CD32" s="40">
        <f t="shared" si="11"/>
        <v>0</v>
      </c>
      <c r="CE32" s="39">
        <f t="shared" si="12"/>
        <v>0</v>
      </c>
      <c r="CF32" s="40">
        <f t="shared" si="13"/>
        <v>0</v>
      </c>
      <c r="CG32" s="40">
        <f t="shared" si="14"/>
        <v>0</v>
      </c>
      <c r="CH32" s="39">
        <f t="shared" si="15"/>
        <v>0</v>
      </c>
      <c r="CI32" s="40">
        <f t="shared" si="16"/>
        <v>0</v>
      </c>
      <c r="CJ32" s="40">
        <f t="shared" si="17"/>
        <v>0</v>
      </c>
    </row>
    <row r="33" spans="1:88" x14ac:dyDescent="0.2">
      <c r="A33" s="86" t="s">
        <v>239</v>
      </c>
      <c r="B33" s="86">
        <v>5000000.01</v>
      </c>
      <c r="C33" s="88">
        <v>9000000000000</v>
      </c>
      <c r="D33" s="86"/>
      <c r="E33" s="86"/>
      <c r="F33" s="86"/>
      <c r="G33" s="73" t="s">
        <v>243</v>
      </c>
      <c r="H33" s="41"/>
      <c r="I33" s="47" t="n">
        <v>0.0</v>
      </c>
      <c r="J33" s="63" t="n">
        <v>0.0</v>
      </c>
      <c r="K33" s="64">
        <v>0</v>
      </c>
      <c r="L33" s="48"/>
      <c r="M33" s="48"/>
      <c r="N33" s="100">
        <v>0</v>
      </c>
      <c r="O33" s="88"/>
      <c r="P33" s="88"/>
      <c r="Q33" s="47" t="n">
        <v>4.0</v>
      </c>
      <c r="R33" s="63" t="n">
        <v>1.18713782565E9</v>
      </c>
      <c r="S33" s="64">
        <v>0</v>
      </c>
      <c r="T33" s="48"/>
      <c r="U33" s="48"/>
      <c r="V33" s="64">
        <v>0</v>
      </c>
      <c r="W33" s="88"/>
      <c r="X33" s="88"/>
      <c r="Y33" s="47">
        <v>0</v>
      </c>
      <c r="Z33" s="63"/>
      <c r="AA33" s="64">
        <v>0</v>
      </c>
      <c r="AB33" s="48"/>
      <c r="AC33" s="48"/>
      <c r="AD33" s="64">
        <v>0</v>
      </c>
      <c r="AE33" s="88"/>
      <c r="AF33" s="88"/>
      <c r="AG33" s="46"/>
      <c r="AH33" s="46"/>
      <c r="AI33" s="46"/>
      <c r="AJ33" s="46"/>
      <c r="AK33" s="46"/>
      <c r="AL33" s="46"/>
      <c r="AM33" s="46"/>
      <c r="AN33" s="46"/>
      <c r="AO33" s="47">
        <v>0</v>
      </c>
      <c r="AP33" s="63"/>
      <c r="AQ33" s="64">
        <v>0</v>
      </c>
      <c r="AR33" s="48"/>
      <c r="AS33" s="48"/>
      <c r="AT33" s="64">
        <v>0</v>
      </c>
      <c r="AU33" s="88"/>
      <c r="AV33" s="88"/>
      <c r="AW33" s="95">
        <f t="shared" si="2"/>
        <v>0</v>
      </c>
      <c r="AX33" s="96">
        <f t="shared" si="3"/>
        <v>0</v>
      </c>
      <c r="AY33" s="97">
        <f t="shared" si="4"/>
        <v>0</v>
      </c>
      <c r="AZ33" s="98">
        <f t="shared" si="5"/>
        <v>0</v>
      </c>
      <c r="BA33" s="98">
        <f t="shared" si="6"/>
        <v>0</v>
      </c>
      <c r="BB33" s="97">
        <f t="shared" si="7"/>
        <v>0</v>
      </c>
      <c r="BC33" s="98">
        <f t="shared" si="8"/>
        <v>0</v>
      </c>
      <c r="BD33" s="98">
        <f t="shared" si="9"/>
        <v>0</v>
      </c>
      <c r="BE33" s="47">
        <v>0</v>
      </c>
      <c r="BF33" s="63"/>
      <c r="BG33" s="64">
        <v>0</v>
      </c>
      <c r="BH33" s="48"/>
      <c r="BI33" s="48"/>
      <c r="BJ33" s="64">
        <v>0</v>
      </c>
      <c r="BK33" s="88"/>
      <c r="BL33" s="88"/>
      <c r="BM33" s="47" t="n">
        <v>1.0</v>
      </c>
      <c r="BN33" s="63" t="n">
        <v>7500000.0</v>
      </c>
      <c r="BO33" s="64">
        <v>0</v>
      </c>
      <c r="BP33" s="48"/>
      <c r="BQ33" s="48"/>
      <c r="BR33" s="64">
        <v>0</v>
      </c>
      <c r="BS33" s="88"/>
      <c r="BT33" s="88"/>
      <c r="BU33" s="47">
        <v>0</v>
      </c>
      <c r="BV33" s="63"/>
      <c r="BW33" s="37"/>
      <c r="BX33" s="38"/>
      <c r="BY33" s="38"/>
      <c r="BZ33" s="64">
        <v>0</v>
      </c>
      <c r="CA33" s="48"/>
      <c r="CB33" s="48"/>
      <c r="CC33" s="39">
        <f t="shared" si="10"/>
        <v>0</v>
      </c>
      <c r="CD33" s="40">
        <f t="shared" si="11"/>
        <v>0</v>
      </c>
      <c r="CE33" s="39">
        <f t="shared" si="12"/>
        <v>0</v>
      </c>
      <c r="CF33" s="40">
        <f t="shared" si="13"/>
        <v>0</v>
      </c>
      <c r="CG33" s="40">
        <f t="shared" si="14"/>
        <v>0</v>
      </c>
      <c r="CH33" s="39">
        <f t="shared" si="15"/>
        <v>0</v>
      </c>
      <c r="CI33" s="40">
        <f t="shared" si="16"/>
        <v>0</v>
      </c>
      <c r="CJ33" s="40">
        <f t="shared" si="17"/>
        <v>0</v>
      </c>
    </row>
    <row r="34" spans="1:88" x14ac:dyDescent="0.2">
      <c r="A34" s="68" t="s">
        <v>135</v>
      </c>
      <c r="B34" s="89"/>
      <c r="C34" s="89"/>
      <c r="D34" s="89"/>
      <c r="E34" s="89"/>
      <c r="F34" s="89"/>
      <c r="G34" s="70" t="s">
        <v>104</v>
      </c>
      <c r="H34" s="36"/>
      <c r="I34" s="42">
        <f>SUM(I10:I33)</f>
        <v>0</v>
      </c>
      <c r="J34" s="43">
        <f t="shared" ref="J34:BV34" si="18">SUM(J10:J33)</f>
        <v>0</v>
      </c>
      <c r="K34" s="42">
        <f t="shared" si="18"/>
        <v>0</v>
      </c>
      <c r="L34" s="43">
        <f t="shared" si="18"/>
        <v>0</v>
      </c>
      <c r="M34" s="43">
        <f t="shared" si="18"/>
        <v>0</v>
      </c>
      <c r="N34" s="42">
        <f t="shared" si="18"/>
        <v>0</v>
      </c>
      <c r="O34" s="43">
        <f t="shared" si="18"/>
        <v>0</v>
      </c>
      <c r="P34" s="43">
        <f t="shared" si="18"/>
        <v>0</v>
      </c>
      <c r="Q34" s="42">
        <f t="shared" si="18"/>
        <v>0</v>
      </c>
      <c r="R34" s="43">
        <f t="shared" si="18"/>
        <v>0</v>
      </c>
      <c r="S34" s="42">
        <f t="shared" si="18"/>
        <v>0</v>
      </c>
      <c r="T34" s="43">
        <f t="shared" si="18"/>
        <v>0</v>
      </c>
      <c r="U34" s="43">
        <f t="shared" si="18"/>
        <v>0</v>
      </c>
      <c r="V34" s="42">
        <f t="shared" si="18"/>
        <v>0</v>
      </c>
      <c r="W34" s="43">
        <f t="shared" si="18"/>
        <v>0</v>
      </c>
      <c r="X34" s="43">
        <f t="shared" si="18"/>
        <v>0</v>
      </c>
      <c r="Y34" s="42">
        <f t="shared" ref="Y34:AH34" si="19">SUM(Y10:Y33)</f>
        <v>0</v>
      </c>
      <c r="Z34" s="43">
        <f t="shared" si="19"/>
        <v>0</v>
      </c>
      <c r="AA34" s="42">
        <f t="shared" si="19"/>
        <v>0</v>
      </c>
      <c r="AB34" s="43">
        <f t="shared" si="19"/>
        <v>0</v>
      </c>
      <c r="AC34" s="43">
        <f t="shared" si="19"/>
        <v>0</v>
      </c>
      <c r="AD34" s="42">
        <f t="shared" si="19"/>
        <v>0</v>
      </c>
      <c r="AE34" s="43">
        <f t="shared" si="19"/>
        <v>0</v>
      </c>
      <c r="AF34" s="43">
        <f t="shared" si="19"/>
        <v>0</v>
      </c>
      <c r="AG34" s="42">
        <f t="shared" si="19"/>
        <v>0</v>
      </c>
      <c r="AH34" s="43">
        <f t="shared" si="19"/>
        <v>0</v>
      </c>
      <c r="AI34" s="46"/>
      <c r="AJ34" s="46"/>
      <c r="AK34" s="46"/>
      <c r="AL34" s="42">
        <f t="shared" ref="AL34:BD34" si="20">SUM(AL10:AL33)</f>
        <v>0</v>
      </c>
      <c r="AM34" s="43">
        <f t="shared" si="20"/>
        <v>0</v>
      </c>
      <c r="AN34" s="43">
        <f t="shared" si="20"/>
        <v>0</v>
      </c>
      <c r="AO34" s="42">
        <f t="shared" si="20"/>
        <v>0</v>
      </c>
      <c r="AP34" s="43">
        <f t="shared" si="20"/>
        <v>0</v>
      </c>
      <c r="AQ34" s="42">
        <f t="shared" si="20"/>
        <v>0</v>
      </c>
      <c r="AR34" s="43">
        <f t="shared" si="20"/>
        <v>0</v>
      </c>
      <c r="AS34" s="43">
        <f t="shared" si="20"/>
        <v>0</v>
      </c>
      <c r="AT34" s="42">
        <f t="shared" si="20"/>
        <v>0</v>
      </c>
      <c r="AU34" s="43">
        <f t="shared" si="20"/>
        <v>0</v>
      </c>
      <c r="AV34" s="43">
        <f t="shared" si="20"/>
        <v>0</v>
      </c>
      <c r="AW34" s="42">
        <f t="shared" si="20"/>
        <v>0</v>
      </c>
      <c r="AX34" s="43">
        <f t="shared" si="20"/>
        <v>0</v>
      </c>
      <c r="AY34" s="42">
        <f t="shared" si="20"/>
        <v>0</v>
      </c>
      <c r="AZ34" s="43">
        <f t="shared" si="20"/>
        <v>0</v>
      </c>
      <c r="BA34" s="43">
        <f t="shared" si="20"/>
        <v>0</v>
      </c>
      <c r="BB34" s="42">
        <f t="shared" si="20"/>
        <v>0</v>
      </c>
      <c r="BC34" s="43">
        <f t="shared" si="20"/>
        <v>0</v>
      </c>
      <c r="BD34" s="43">
        <f t="shared" si="20"/>
        <v>0</v>
      </c>
      <c r="BE34" s="42">
        <f t="shared" si="18"/>
        <v>0</v>
      </c>
      <c r="BF34" s="43">
        <f t="shared" si="18"/>
        <v>0</v>
      </c>
      <c r="BG34" s="42">
        <f t="shared" si="18"/>
        <v>0</v>
      </c>
      <c r="BH34" s="43">
        <f t="shared" si="18"/>
        <v>0</v>
      </c>
      <c r="BI34" s="43">
        <f t="shared" si="18"/>
        <v>0</v>
      </c>
      <c r="BJ34" s="42">
        <f t="shared" si="18"/>
        <v>0</v>
      </c>
      <c r="BK34" s="43">
        <f t="shared" si="18"/>
        <v>0</v>
      </c>
      <c r="BL34" s="43">
        <f t="shared" si="18"/>
        <v>0</v>
      </c>
      <c r="BM34" s="42">
        <f t="shared" si="18"/>
        <v>0</v>
      </c>
      <c r="BN34" s="43">
        <f t="shared" si="18"/>
        <v>0</v>
      </c>
      <c r="BO34" s="42">
        <f t="shared" si="18"/>
        <v>0</v>
      </c>
      <c r="BP34" s="43">
        <f t="shared" si="18"/>
        <v>0</v>
      </c>
      <c r="BQ34" s="43">
        <f t="shared" si="18"/>
        <v>0</v>
      </c>
      <c r="BR34" s="42">
        <f t="shared" si="18"/>
        <v>0</v>
      </c>
      <c r="BS34" s="43">
        <f t="shared" si="18"/>
        <v>0</v>
      </c>
      <c r="BT34" s="43">
        <f t="shared" si="18"/>
        <v>0</v>
      </c>
      <c r="BU34" s="42">
        <f t="shared" si="18"/>
        <v>0</v>
      </c>
      <c r="BV34" s="43">
        <f t="shared" si="18"/>
        <v>0</v>
      </c>
      <c r="BW34" s="44"/>
      <c r="BX34" s="44"/>
      <c r="BY34" s="44"/>
      <c r="BZ34" s="42">
        <f t="shared" ref="BZ34:CJ34" si="21">SUM(BZ10:BZ33)</f>
        <v>0</v>
      </c>
      <c r="CA34" s="43">
        <f t="shared" si="21"/>
        <v>0</v>
      </c>
      <c r="CB34" s="43">
        <f t="shared" si="21"/>
        <v>0</v>
      </c>
      <c r="CC34" s="39">
        <f t="shared" si="21"/>
        <v>0</v>
      </c>
      <c r="CD34" s="40">
        <f t="shared" si="21"/>
        <v>0</v>
      </c>
      <c r="CE34" s="39">
        <f t="shared" si="21"/>
        <v>0</v>
      </c>
      <c r="CF34" s="40">
        <f t="shared" si="21"/>
        <v>0</v>
      </c>
      <c r="CG34" s="40">
        <f t="shared" si="21"/>
        <v>0</v>
      </c>
      <c r="CH34" s="39">
        <f t="shared" si="21"/>
        <v>0</v>
      </c>
      <c r="CI34" s="40">
        <f t="shared" si="21"/>
        <v>0</v>
      </c>
      <c r="CJ34" s="40">
        <f t="shared" si="21"/>
        <v>0</v>
      </c>
    </row>
    <row r="35" spans="1:88" x14ac:dyDescent="0.2">
      <c r="A35" s="58"/>
      <c r="B35" s="58"/>
      <c r="C35" s="58"/>
      <c r="D35" s="58"/>
      <c r="E35" s="58"/>
      <c r="F35" s="58"/>
      <c r="G35" s="90"/>
      <c r="H35" s="45"/>
      <c r="I35" s="55"/>
      <c r="J35" s="56"/>
      <c r="K35" s="57"/>
      <c r="L35" s="56"/>
      <c r="M35" s="56"/>
      <c r="N35" s="56"/>
      <c r="O35" s="56"/>
      <c r="P35" s="56"/>
      <c r="Q35" s="57"/>
      <c r="R35" s="56"/>
      <c r="S35" s="57"/>
      <c r="T35" s="56"/>
      <c r="U35" s="56"/>
      <c r="V35" s="56"/>
      <c r="W35" s="56"/>
      <c r="X35" s="56"/>
      <c r="Y35" s="57"/>
      <c r="Z35" s="56"/>
      <c r="AA35" s="57"/>
      <c r="AB35" s="56"/>
      <c r="AC35" s="56"/>
      <c r="AD35" s="56"/>
      <c r="AE35" s="56"/>
      <c r="AF35" s="56"/>
      <c r="AG35" s="57"/>
      <c r="AH35" s="56"/>
      <c r="AI35" s="57"/>
      <c r="AJ35" s="56"/>
      <c r="AK35" s="56"/>
      <c r="AL35" s="56"/>
      <c r="AM35" s="56"/>
      <c r="AN35" s="56"/>
      <c r="AO35" s="57"/>
      <c r="AP35" s="56"/>
      <c r="AQ35" s="57"/>
      <c r="AR35" s="56"/>
      <c r="AS35" s="56"/>
      <c r="AT35" s="56"/>
      <c r="AU35" s="56"/>
      <c r="AV35" s="56"/>
      <c r="AW35" s="57"/>
      <c r="AX35" s="56"/>
      <c r="AY35" s="57"/>
      <c r="AZ35" s="56"/>
      <c r="BA35" s="56"/>
      <c r="BB35" s="56"/>
      <c r="BC35" s="56"/>
      <c r="BD35" s="56"/>
      <c r="BE35" s="57"/>
      <c r="BF35" s="56"/>
      <c r="BG35" s="57"/>
      <c r="BH35" s="56"/>
      <c r="BI35" s="56"/>
      <c r="BJ35" s="56"/>
      <c r="BK35" s="56"/>
      <c r="BL35" s="56"/>
      <c r="BM35" s="57"/>
      <c r="BN35" s="56"/>
      <c r="BO35" s="57"/>
      <c r="BP35" s="56"/>
      <c r="BQ35" s="56"/>
      <c r="BR35" s="56"/>
      <c r="BS35" s="56"/>
      <c r="BT35" s="56"/>
      <c r="BU35" s="57"/>
      <c r="BV35" s="56"/>
      <c r="BW35" s="99"/>
      <c r="BX35" s="52"/>
      <c r="BY35" s="52"/>
      <c r="BZ35" s="52"/>
      <c r="CA35" s="52"/>
      <c r="CB35" s="52"/>
      <c r="CC35" s="39"/>
      <c r="CD35" s="40"/>
      <c r="CE35" s="39"/>
      <c r="CF35" s="40"/>
      <c r="CG35" s="40"/>
      <c r="CH35" s="39"/>
      <c r="CI35" s="58"/>
      <c r="CJ35" s="58"/>
    </row>
    <row r="36" spans="1:88" x14ac:dyDescent="0.2">
      <c r="A36" s="58" t="s">
        <v>80</v>
      </c>
      <c r="B36" s="58"/>
      <c r="C36" s="58"/>
      <c r="D36" s="58"/>
      <c r="E36" s="58"/>
      <c r="F36" s="58"/>
      <c r="G36" s="90"/>
      <c r="H36" s="45"/>
      <c r="I36" s="55"/>
      <c r="J36" s="56"/>
      <c r="K36" s="57"/>
      <c r="L36" s="56"/>
      <c r="M36" s="56"/>
      <c r="N36" s="56"/>
      <c r="O36" s="56"/>
      <c r="P36" s="56"/>
      <c r="Q36" s="57"/>
      <c r="R36" s="56"/>
      <c r="S36" s="57"/>
      <c r="T36" s="56"/>
      <c r="U36" s="56"/>
      <c r="V36" s="56"/>
      <c r="W36" s="56"/>
      <c r="X36" s="56"/>
      <c r="Y36" s="57"/>
      <c r="Z36" s="56"/>
      <c r="AA36" s="57"/>
      <c r="AB36" s="56"/>
      <c r="AC36" s="56"/>
      <c r="AD36" s="56"/>
      <c r="AE36" s="56"/>
      <c r="AF36" s="56"/>
      <c r="AG36" s="57"/>
      <c r="AH36" s="56"/>
      <c r="AI36" s="57"/>
      <c r="AJ36" s="56"/>
      <c r="AK36" s="56"/>
      <c r="AL36" s="56"/>
      <c r="AM36" s="56"/>
      <c r="AN36" s="56"/>
      <c r="AO36" s="57"/>
      <c r="AP36" s="56"/>
      <c r="AQ36" s="57"/>
      <c r="AR36" s="56"/>
      <c r="AS36" s="56"/>
      <c r="AT36" s="56"/>
      <c r="AU36" s="56"/>
      <c r="AV36" s="56"/>
      <c r="AW36" s="57"/>
      <c r="AX36" s="56"/>
      <c r="AY36" s="57"/>
      <c r="AZ36" s="56"/>
      <c r="BA36" s="56"/>
      <c r="BB36" s="56"/>
      <c r="BC36" s="56"/>
      <c r="BD36" s="56"/>
      <c r="BE36" s="57"/>
      <c r="BF36" s="56"/>
      <c r="BG36" s="57"/>
      <c r="BH36" s="56"/>
      <c r="BI36" s="56"/>
      <c r="BJ36" s="56"/>
      <c r="BK36" s="56"/>
      <c r="BL36" s="56"/>
      <c r="BM36" s="57"/>
      <c r="BN36" s="56"/>
      <c r="BO36" s="57"/>
      <c r="BP36" s="56"/>
      <c r="BQ36" s="56"/>
      <c r="BR36" s="56"/>
      <c r="BS36" s="56"/>
      <c r="BT36" s="56"/>
      <c r="BU36" s="57"/>
      <c r="BV36" s="56"/>
      <c r="BW36" s="99"/>
      <c r="BX36" s="52"/>
      <c r="BY36" s="52"/>
      <c r="BZ36" s="52"/>
      <c r="CA36" s="52"/>
      <c r="CB36" s="52"/>
      <c r="CC36" s="39"/>
      <c r="CD36" s="40"/>
      <c r="CE36" s="39"/>
      <c r="CF36" s="40"/>
      <c r="CG36" s="40"/>
      <c r="CH36" s="39"/>
      <c r="CI36" s="58"/>
      <c r="CJ36" s="58"/>
    </row>
    <row r="37" spans="1:88" x14ac:dyDescent="0.2">
      <c r="A37" s="58" t="s">
        <v>81</v>
      </c>
      <c r="B37" s="58"/>
      <c r="C37" s="58"/>
      <c r="D37" s="58"/>
      <c r="E37" s="58"/>
      <c r="F37" s="58"/>
      <c r="G37" s="91" t="s">
        <v>130</v>
      </c>
      <c r="H37" s="45"/>
      <c r="I37" s="60" t="n">
        <v>14.0</v>
      </c>
      <c r="J37" s="46"/>
      <c r="K37" s="53"/>
      <c r="L37" s="46"/>
      <c r="M37" s="46"/>
      <c r="N37" s="101"/>
      <c r="O37" s="32"/>
      <c r="P37" s="32"/>
      <c r="Q37" s="53" t="n">
        <v>3420.0</v>
      </c>
      <c r="R37" s="46"/>
      <c r="S37" s="53"/>
      <c r="T37" s="46"/>
      <c r="U37" s="46"/>
      <c r="V37" s="53"/>
      <c r="W37" s="46"/>
      <c r="X37" s="46"/>
      <c r="Y37" s="53"/>
      <c r="Z37" s="46"/>
      <c r="AA37" s="53"/>
      <c r="AB37" s="46"/>
      <c r="AC37" s="46"/>
      <c r="AD37" s="53"/>
      <c r="AE37" s="46"/>
      <c r="AF37" s="46"/>
      <c r="AG37" s="53"/>
      <c r="AH37" s="46"/>
      <c r="AI37" s="46"/>
      <c r="AJ37" s="46"/>
      <c r="AK37" s="46"/>
      <c r="AL37" s="53"/>
      <c r="AM37" s="46"/>
      <c r="AN37" s="46"/>
      <c r="AO37" s="53"/>
      <c r="AP37" s="46"/>
      <c r="AQ37" s="53"/>
      <c r="AR37" s="46"/>
      <c r="AS37" s="46"/>
      <c r="AT37" s="53"/>
      <c r="AU37" s="46"/>
      <c r="AV37" s="46"/>
      <c r="AW37" s="95">
        <f>Q37+Y37+AG37+AO37</f>
        <v>0</v>
      </c>
      <c r="AX37" s="46"/>
      <c r="AY37" s="97">
        <f>S37+AA37+AI37+AQ37</f>
        <v>0</v>
      </c>
      <c r="AZ37" s="46"/>
      <c r="BA37" s="46"/>
      <c r="BB37" s="97">
        <f>V37+AD37+AL37+AT37</f>
        <v>0</v>
      </c>
      <c r="BC37" s="46"/>
      <c r="BD37" s="46"/>
      <c r="BE37" s="53"/>
      <c r="BF37" s="46"/>
      <c r="BG37" s="53"/>
      <c r="BH37" s="46"/>
      <c r="BI37" s="46"/>
      <c r="BJ37" s="61"/>
      <c r="BK37" s="32"/>
      <c r="BL37" s="32"/>
      <c r="BM37" s="53" t="n">
        <v>53.0</v>
      </c>
      <c r="BN37" s="46"/>
      <c r="BO37" s="53"/>
      <c r="BP37" s="46"/>
      <c r="BQ37" s="46"/>
      <c r="BR37" s="61"/>
      <c r="BS37" s="32"/>
      <c r="BT37" s="32"/>
      <c r="BU37" s="53"/>
      <c r="BV37" s="46"/>
      <c r="BW37" s="37"/>
      <c r="BX37" s="46"/>
      <c r="BY37" s="46"/>
      <c r="BZ37" s="61"/>
      <c r="CA37" s="32"/>
      <c r="CB37" s="32"/>
      <c r="CC37" s="39">
        <f>I37+AW37+BE37+BM37+BU37</f>
        <v>0</v>
      </c>
      <c r="CD37" s="44"/>
      <c r="CE37" s="39">
        <f>K37+AY37+BG37+BO37+BW37</f>
        <v>0</v>
      </c>
      <c r="CF37" s="44"/>
      <c r="CG37" s="44"/>
      <c r="CH37" s="39">
        <f>N37+BB37+BJ37+BR37+BZ37</f>
        <v>0</v>
      </c>
      <c r="CI37" s="46"/>
      <c r="CJ37" s="46"/>
    </row>
    <row r="38" spans="1:88" x14ac:dyDescent="0.2">
      <c r="G38" s="66" t="s">
        <v>137</v>
      </c>
      <c r="I38" s="22"/>
      <c r="K38" s="21"/>
      <c r="Q38" s="21"/>
      <c r="S38" s="21"/>
      <c r="Y38" s="21"/>
      <c r="AA38" s="21"/>
      <c r="AG38" s="21"/>
      <c r="AI38" s="21"/>
      <c r="AO38" s="21"/>
      <c r="AQ38" s="21"/>
      <c r="AW38" s="24"/>
      <c r="AX38" s="25"/>
      <c r="AY38" s="25"/>
      <c r="AZ38" s="25"/>
      <c r="BA38" s="25"/>
    </row>
    <row r="39" spans="1:88" x14ac:dyDescent="0.2">
      <c r="A39" s="13" t="s">
        <v>82</v>
      </c>
      <c r="B39" s="13"/>
      <c r="C39" s="13"/>
      <c r="D39" s="13"/>
      <c r="E39" s="13"/>
      <c r="F39" s="13"/>
      <c r="I39" s="22"/>
      <c r="K39" s="21"/>
      <c r="S39" s="21"/>
      <c r="Y39" s="21"/>
      <c r="AA39" s="21"/>
      <c r="AG39" s="21"/>
      <c r="AI39" s="21"/>
      <c r="AO39" s="21"/>
      <c r="AQ39" s="21"/>
      <c r="AW39" s="24"/>
      <c r="AX39" s="25"/>
      <c r="AY39" s="25"/>
      <c r="AZ39" s="25"/>
      <c r="BA39" s="25"/>
    </row>
  </sheetData>
  <sheetProtection password="A645" sheet="1" objects="1" scenarios="1" selectLockedCells="1"/>
  <mergeCells count="50">
    <mergeCell ref="CC6:CG7"/>
    <mergeCell ref="CH6:CJ7"/>
    <mergeCell ref="BE8:BF8"/>
    <mergeCell ref="BG8:BI8"/>
    <mergeCell ref="CH8:CJ8"/>
    <mergeCell ref="BR8:BT8"/>
    <mergeCell ref="BM6:BT7"/>
    <mergeCell ref="BU6:CB7"/>
    <mergeCell ref="BE6:BL7"/>
    <mergeCell ref="BZ8:CB8"/>
    <mergeCell ref="BM8:BN8"/>
    <mergeCell ref="A1:AC1"/>
    <mergeCell ref="AG1:BA1"/>
    <mergeCell ref="CC8:CD8"/>
    <mergeCell ref="CE8:CG8"/>
    <mergeCell ref="BU8:BV8"/>
    <mergeCell ref="BW8:BY8"/>
    <mergeCell ref="A6:A9"/>
    <mergeCell ref="G6:G9"/>
    <mergeCell ref="A2:BA2"/>
    <mergeCell ref="A3:BA3"/>
    <mergeCell ref="BO8:BQ8"/>
    <mergeCell ref="N8:P8"/>
    <mergeCell ref="V8:X8"/>
    <mergeCell ref="BJ8:BL8"/>
    <mergeCell ref="Y8:Z8"/>
    <mergeCell ref="I6:P7"/>
    <mergeCell ref="Y7:AF7"/>
    <mergeCell ref="AY8:BA8"/>
    <mergeCell ref="BB8:BD8"/>
    <mergeCell ref="AT8:AV8"/>
    <mergeCell ref="AW7:BD7"/>
    <mergeCell ref="AD8:AF8"/>
    <mergeCell ref="AG7:AN7"/>
    <mergeCell ref="A4:BA4"/>
    <mergeCell ref="A5:BA5"/>
    <mergeCell ref="I8:J8"/>
    <mergeCell ref="K8:M8"/>
    <mergeCell ref="Q6:BD6"/>
    <mergeCell ref="Q8:R8"/>
    <mergeCell ref="S8:U8"/>
    <mergeCell ref="AA8:AC8"/>
    <mergeCell ref="AW8:AX8"/>
    <mergeCell ref="AG8:AH8"/>
    <mergeCell ref="AI8:AK8"/>
    <mergeCell ref="AL8:AN8"/>
    <mergeCell ref="AO7:AV7"/>
    <mergeCell ref="AO8:AP8"/>
    <mergeCell ref="AQ8:AS8"/>
    <mergeCell ref="Q7:X7"/>
  </mergeCells>
  <phoneticPr fontId="0" type="noConversion"/>
  <dataValidations count="11">
    <dataValidation allowBlank="1" showInputMessage="1" showErrorMessage="1" sqref="N38:N39 I38:I39 K38:K39 L37:M39 J37:J39 O37:P39 Q38:Q39 R37:R39 S38:S39 T37:U39 V38:V39 W37:X39 BW10:BY33 AZ37:BA37 AI10:AK33 Y38:BA39 CA37:CE37 BV37:BY37 BS37:BT37 BP37:BQ37 BN37 BK37:BL37 BH37:BI37 BF37 Z37 AB37:AC37 AG17:AH33 AE37:AF37 AH37:AK37 CF35:CH37 BW35:CE36 AL18:AN33 AM37:AN37 AP37 AR37:AS37 BC37:BD37 AU37:AV37 AX37"/>
    <dataValidation type="whole" operator="greaterThanOrEqual" allowBlank="1" showInputMessage="1" showErrorMessage="1" sqref="I37 K37 N37 Q37 S37 V37 BE37 BG37 BJ37 BM37 BO37 BR37 BU37 BZ37 Y37 AA37 AD37 AG37 AL37 AO37 AQ37 AT37">
      <formula1>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BB37 AY37">
      <formula1>BA37/AQ37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W37">
      <formula1>AX37/AQ37</formula1>
    </dataValidation>
    <dataValidation type="decimal" allowBlank="1" showInputMessage="1" showErrorMessage="1" errorTitle="Invalid Entry" error="Amount entered should be within the range of deposits size when divided by the number of accounts." sqref="C33">
      <formula1>#REF!*A33</formula1>
      <formula2>#REF!*A33</formula2>
    </dataValidation>
    <dataValidation type="decimal" operator="greaterThanOrEqual" allowBlank="1" showInputMessage="1" showErrorMessage="1" errorTitle="Invalid Entry" error="The value you entered is not valid." sqref="I35:BV36">
      <formula1>0</formula1>
    </dataValidation>
    <dataValidation type="decimal" allowBlank="1" showInputMessage="1" showErrorMessage="1" errorTitle="Invalid Entry" error="Amount entered should be within the range of deposits size when divided by the number of accounts." sqref="BN10:BN33 J10:J33 BV10:BV33 R10:R33 Z10:Z33 AP10:AP33 BF10:BF33 AH10:AH16">
      <formula1>$B10*I10</formula1>
      <formula2>$C10*I10</formula2>
    </dataValidation>
    <dataValidation type="decimal" operator="greaterThanOrEqual" allowBlank="1" showInputMessage="1" showErrorMessage="1" errorTitle="Invalid Entry" error="Amount entered should be within the range of deposits size when divided by the number of accounts." sqref="O10:O33 BP10:BP33 BK10:BK33 L10:L33 W10:W33 AM10:AM17 T10:T33 AE10:AE33 AB10:AB33 AU10:AU33 AR10:AR33 BH10:BH33 BS10:BS33 CA10:CA33">
      <formula1>0</formula1>
    </dataValidation>
    <dataValidation type="decimal" allowBlank="1" showInputMessage="1" showErrorMessage="1" errorTitle="Invalid Entry" error="Amount entered should be within the range of deposits size when divided by the number of accounts." sqref="P10:P33 BQ10:BQ33 BL10:BL33 M10:M33 X10:X33 AN10:AN17 U10:U33 AF10:AF33 AC10:AC33 AV10:AV33 AS10:AS33 BI10:BI33 BT10:BT33 CB10:CB33">
      <formula1>$B10*K10</formula1>
      <formula2>$C10*K10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I10:I33 BU10:BU33 Q10:Q33 Y10:Y33 AO10:AO33 BE10:BE33 BM10:BM33 AG10:AG16">
      <formula1>IF(ISERROR(J10/$C10),0,J10/$C10)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K10:K33 N10:N33 S10:S33 AL10:AL17 V10:V33 AA10:AA33 AD10:AD33 AQ10:AQ33 AT10:AT33 BG10:BG33 BJ10:BJ33 BO10:BO33 BR10:BR33 BZ10:BZ33">
      <formula1>IF(ISERROR(M10/$C10),0,M10/$C10)</formula1>
    </dataValidation>
  </dataValidations>
  <printOptions horizontalCentered="1"/>
  <pageMargins left="0.25" right="0.25" top="1" bottom="0.5" header="0.5" footer="0.25"/>
  <pageSetup paperSize="9" scale="80" orientation="landscape" horizontalDpi="360" verticalDpi="360" r:id="rId1"/>
  <headerFooter alignWithMargins="0">
    <oddHeader><![CDATA[&R&"Arial,Bold"&9&USchedule 22a
&U  &P &"Arial,Regular"of &"Arial,Bold"&N&C&"Arial,Bold"&8 MAXIMUM SAVINGS BANK, INC.  [ 03-070011 ]
 As of: June 30, 2019]]></oddHeader>
  </headerFooter>
  <colBreaks count="1" manualBreakCount="1">
    <brk id="32" max="3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4"/>
  <sheetViews>
    <sheetView tabSelected="1" topLeftCell="B1" workbookViewId="0"/>
  </sheetViews>
  <sheetFormatPr defaultRowHeight="12.75" x14ac:dyDescent="0.2"/>
  <cols>
    <col min="1" max="1" customWidth="true" hidden="true" style="93" width="43.85546875" collapsed="false"/>
    <col min="2" max="16384" style="93" width="9.140625" collapsed="false"/>
  </cols>
  <sheetData>
    <row r="1" spans="1:1" x14ac:dyDescent="0.2">
      <c r="A1" s="92" t="s">
        <v>249</v>
      </c>
    </row>
    <row r="2" spans="1:1" x14ac:dyDescent="0.2">
      <c r="A2" s="92">
        <v>3</v>
      </c>
    </row>
    <row r="3" spans="1:1" x14ac:dyDescent="0.2">
      <c r="A3" s="92">
        <v>70011</v>
      </c>
    </row>
    <row r="4" spans="1:1" x14ac:dyDescent="0.2">
      <c r="A4" s="92">
        <v>8888</v>
      </c>
    </row>
    <row r="5" spans="1:1" x14ac:dyDescent="0.2">
      <c r="A5" s="92">
        <v>5</v>
      </c>
    </row>
    <row r="6" spans="1:1" x14ac:dyDescent="0.2">
      <c r="A6" s="92">
        <v>2019</v>
      </c>
    </row>
    <row r="7" spans="1:1" x14ac:dyDescent="0.2">
      <c r="A7" s="92">
        <v>20190630</v>
      </c>
    </row>
    <row r="8" spans="1:1" x14ac:dyDescent="0.2">
      <c r="A8" s="93" t="s">
        <v>138</v>
      </c>
    </row>
    <row r="9" spans="1:1" x14ac:dyDescent="0.2">
      <c r="A9" s="93" t="s">
        <v>225</v>
      </c>
    </row>
    <row r="10" spans="1:1" x14ac:dyDescent="0.2">
      <c r="A10" s="94">
        <v>1</v>
      </c>
    </row>
    <row r="20" spans="1:1" x14ac:dyDescent="0.2">
      <c r="A20" s="93">
        <v>9</v>
      </c>
    </row>
    <row r="21" spans="1:1" x14ac:dyDescent="0.2">
      <c r="A21" s="93">
        <v>2018</v>
      </c>
    </row>
    <row r="50" spans="1:1" x14ac:dyDescent="0.2">
      <c r="A50" s="93" t="s">
        <v>216</v>
      </c>
    </row>
    <row r="51" spans="1:1" x14ac:dyDescent="0.2">
      <c r="A51" s="93" t="s">
        <v>139</v>
      </c>
    </row>
    <row r="52" spans="1:1" x14ac:dyDescent="0.2">
      <c r="A52" s="93" t="s">
        <v>140</v>
      </c>
    </row>
    <row r="53" spans="1:1" x14ac:dyDescent="0.2">
      <c r="A53" s="93" t="s">
        <v>141</v>
      </c>
    </row>
    <row r="54" spans="1:1" x14ac:dyDescent="0.2">
      <c r="A54" s="93" t="s">
        <v>142</v>
      </c>
    </row>
    <row r="55" spans="1:1" x14ac:dyDescent="0.2">
      <c r="A55" s="93" t="s">
        <v>199</v>
      </c>
    </row>
    <row r="56" spans="1:1" x14ac:dyDescent="0.2">
      <c r="A56" s="93" t="s">
        <v>187</v>
      </c>
    </row>
    <row r="57" spans="1:1" x14ac:dyDescent="0.2">
      <c r="A57" s="93" t="s">
        <v>200</v>
      </c>
    </row>
    <row r="58" spans="1:1" x14ac:dyDescent="0.2">
      <c r="A58" s="93" t="s">
        <v>201</v>
      </c>
    </row>
    <row r="59" spans="1:1" x14ac:dyDescent="0.2">
      <c r="A59" s="93" t="s">
        <v>179</v>
      </c>
    </row>
    <row r="60" spans="1:1" x14ac:dyDescent="0.2">
      <c r="A60" s="93" t="s">
        <v>202</v>
      </c>
    </row>
    <row r="61" spans="1:1" x14ac:dyDescent="0.2">
      <c r="A61" s="93" t="s">
        <v>190</v>
      </c>
    </row>
    <row r="62" spans="1:1" x14ac:dyDescent="0.2">
      <c r="A62" s="93" t="s">
        <v>188</v>
      </c>
    </row>
    <row r="63" spans="1:1" x14ac:dyDescent="0.2">
      <c r="A63" s="93" t="s">
        <v>171</v>
      </c>
    </row>
    <row r="64" spans="1:1" x14ac:dyDescent="0.2">
      <c r="A64" s="93" t="s">
        <v>143</v>
      </c>
    </row>
    <row r="65" spans="1:1" x14ac:dyDescent="0.2">
      <c r="A65" s="93" t="s">
        <v>203</v>
      </c>
    </row>
    <row r="66" spans="1:1" x14ac:dyDescent="0.2">
      <c r="A66" s="93" t="s">
        <v>144</v>
      </c>
    </row>
    <row r="67" spans="1:1" x14ac:dyDescent="0.2">
      <c r="A67" s="93" t="s">
        <v>194</v>
      </c>
    </row>
    <row r="68" spans="1:1" x14ac:dyDescent="0.2">
      <c r="A68" s="93" t="s">
        <v>145</v>
      </c>
    </row>
    <row r="69" spans="1:1" x14ac:dyDescent="0.2">
      <c r="A69" s="93" t="s">
        <v>204</v>
      </c>
    </row>
    <row r="70" spans="1:1" x14ac:dyDescent="0.2">
      <c r="A70" s="93" t="s">
        <v>205</v>
      </c>
    </row>
    <row r="71" spans="1:1" x14ac:dyDescent="0.2">
      <c r="A71" s="93" t="s">
        <v>198</v>
      </c>
    </row>
    <row r="72" spans="1:1" x14ac:dyDescent="0.2">
      <c r="A72" s="93" t="s">
        <v>180</v>
      </c>
    </row>
    <row r="73" spans="1:1" x14ac:dyDescent="0.2">
      <c r="A73" s="93" t="s">
        <v>146</v>
      </c>
    </row>
    <row r="74" spans="1:1" x14ac:dyDescent="0.2">
      <c r="A74" s="93" t="s">
        <v>147</v>
      </c>
    </row>
    <row r="75" spans="1:1" x14ac:dyDescent="0.2">
      <c r="A75" s="93" t="s">
        <v>206</v>
      </c>
    </row>
    <row r="76" spans="1:1" x14ac:dyDescent="0.2">
      <c r="A76" s="93" t="s">
        <v>148</v>
      </c>
    </row>
    <row r="77" spans="1:1" x14ac:dyDescent="0.2">
      <c r="A77" s="93" t="s">
        <v>149</v>
      </c>
    </row>
    <row r="78" spans="1:1" x14ac:dyDescent="0.2">
      <c r="A78" s="93" t="s">
        <v>150</v>
      </c>
    </row>
    <row r="79" spans="1:1" x14ac:dyDescent="0.2">
      <c r="A79" s="93" t="s">
        <v>151</v>
      </c>
    </row>
    <row r="80" spans="1:1" x14ac:dyDescent="0.2">
      <c r="A80" s="93" t="s">
        <v>152</v>
      </c>
    </row>
    <row r="81" spans="1:1" x14ac:dyDescent="0.2">
      <c r="A81" s="93" t="s">
        <v>153</v>
      </c>
    </row>
    <row r="82" spans="1:1" x14ac:dyDescent="0.2">
      <c r="A82" s="93" t="s">
        <v>154</v>
      </c>
    </row>
    <row r="83" spans="1:1" x14ac:dyDescent="0.2">
      <c r="A83" s="93" t="s">
        <v>155</v>
      </c>
    </row>
    <row r="84" spans="1:1" x14ac:dyDescent="0.2">
      <c r="A84" s="93" t="s">
        <v>156</v>
      </c>
    </row>
    <row r="85" spans="1:1" x14ac:dyDescent="0.2">
      <c r="A85" s="93" t="s">
        <v>157</v>
      </c>
    </row>
    <row r="86" spans="1:1" x14ac:dyDescent="0.2">
      <c r="A86" s="93" t="s">
        <v>207</v>
      </c>
    </row>
    <row r="87" spans="1:1" x14ac:dyDescent="0.2">
      <c r="A87" s="93" t="s">
        <v>195</v>
      </c>
    </row>
    <row r="88" spans="1:1" x14ac:dyDescent="0.2">
      <c r="A88" s="93" t="s">
        <v>218</v>
      </c>
    </row>
    <row r="89" spans="1:1" x14ac:dyDescent="0.2">
      <c r="A89" s="93" t="s">
        <v>158</v>
      </c>
    </row>
    <row r="90" spans="1:1" x14ac:dyDescent="0.2">
      <c r="A90" s="93" t="s">
        <v>159</v>
      </c>
    </row>
    <row r="91" spans="1:1" x14ac:dyDescent="0.2">
      <c r="A91" s="93" t="s">
        <v>208</v>
      </c>
    </row>
    <row r="92" spans="1:1" x14ac:dyDescent="0.2">
      <c r="A92" s="93" t="s">
        <v>160</v>
      </c>
    </row>
    <row r="93" spans="1:1" x14ac:dyDescent="0.2">
      <c r="A93" s="93" t="s">
        <v>181</v>
      </c>
    </row>
    <row r="94" spans="1:1" x14ac:dyDescent="0.2">
      <c r="A94" s="93" t="s">
        <v>209</v>
      </c>
    </row>
    <row r="95" spans="1:1" x14ac:dyDescent="0.2">
      <c r="A95" s="93" t="s">
        <v>210</v>
      </c>
    </row>
    <row r="96" spans="1:1" x14ac:dyDescent="0.2">
      <c r="A96" s="93" t="s">
        <v>161</v>
      </c>
    </row>
    <row r="97" spans="1:1" x14ac:dyDescent="0.2">
      <c r="A97" s="93" t="s">
        <v>189</v>
      </c>
    </row>
    <row r="98" spans="1:1" x14ac:dyDescent="0.2">
      <c r="A98" s="93" t="s">
        <v>211</v>
      </c>
    </row>
    <row r="99" spans="1:1" x14ac:dyDescent="0.2">
      <c r="A99" s="93" t="s">
        <v>191</v>
      </c>
    </row>
    <row r="100" spans="1:1" x14ac:dyDescent="0.2">
      <c r="A100" s="93" t="s">
        <v>162</v>
      </c>
    </row>
    <row r="101" spans="1:1" x14ac:dyDescent="0.2">
      <c r="A101" s="93" t="s">
        <v>182</v>
      </c>
    </row>
    <row r="102" spans="1:1" x14ac:dyDescent="0.2">
      <c r="A102" s="93" t="s">
        <v>163</v>
      </c>
    </row>
    <row r="103" spans="1:1" x14ac:dyDescent="0.2">
      <c r="A103" s="93" t="s">
        <v>183</v>
      </c>
    </row>
    <row r="104" spans="1:1" x14ac:dyDescent="0.2">
      <c r="A104" s="93" t="s">
        <v>186</v>
      </c>
    </row>
    <row r="105" spans="1:1" x14ac:dyDescent="0.2">
      <c r="A105" s="93" t="s">
        <v>196</v>
      </c>
    </row>
    <row r="106" spans="1:1" x14ac:dyDescent="0.2">
      <c r="A106" s="93" t="s">
        <v>212</v>
      </c>
    </row>
    <row r="107" spans="1:1" x14ac:dyDescent="0.2">
      <c r="A107" s="93" t="s">
        <v>193</v>
      </c>
    </row>
    <row r="108" spans="1:1" x14ac:dyDescent="0.2">
      <c r="A108" s="93" t="s">
        <v>164</v>
      </c>
    </row>
    <row r="109" spans="1:1" x14ac:dyDescent="0.2">
      <c r="A109" s="93" t="s">
        <v>178</v>
      </c>
    </row>
    <row r="110" spans="1:1" x14ac:dyDescent="0.2">
      <c r="A110" s="93" t="s">
        <v>197</v>
      </c>
    </row>
    <row r="111" spans="1:1" x14ac:dyDescent="0.2">
      <c r="A111" s="93" t="s">
        <v>184</v>
      </c>
    </row>
    <row r="112" spans="1:1" x14ac:dyDescent="0.2">
      <c r="A112" s="93" t="s">
        <v>165</v>
      </c>
    </row>
    <row r="113" spans="1:1" x14ac:dyDescent="0.2">
      <c r="A113" s="93" t="s">
        <v>192</v>
      </c>
    </row>
    <row r="114" spans="1:1" x14ac:dyDescent="0.2">
      <c r="A114" s="93" t="s">
        <v>213</v>
      </c>
    </row>
    <row r="115" spans="1:1" x14ac:dyDescent="0.2">
      <c r="A115" s="93" t="s">
        <v>166</v>
      </c>
    </row>
    <row r="116" spans="1:1" x14ac:dyDescent="0.2">
      <c r="A116" s="93" t="s">
        <v>217</v>
      </c>
    </row>
    <row r="117" spans="1:1" x14ac:dyDescent="0.2">
      <c r="A117" s="93" t="s">
        <v>167</v>
      </c>
    </row>
    <row r="118" spans="1:1" x14ac:dyDescent="0.2">
      <c r="A118" s="93" t="s">
        <v>168</v>
      </c>
    </row>
    <row r="119" spans="1:1" x14ac:dyDescent="0.2">
      <c r="A119" s="93" t="s">
        <v>169</v>
      </c>
    </row>
    <row r="120" spans="1:1" x14ac:dyDescent="0.2">
      <c r="A120" s="93" t="s">
        <v>215</v>
      </c>
    </row>
    <row r="121" spans="1:1" x14ac:dyDescent="0.2">
      <c r="A121" s="93" t="s">
        <v>185</v>
      </c>
    </row>
    <row r="122" spans="1:1" x14ac:dyDescent="0.2">
      <c r="A122" s="93" t="s">
        <v>214</v>
      </c>
    </row>
    <row r="123" spans="1:1" x14ac:dyDescent="0.2">
      <c r="A123" s="93" t="s">
        <v>170</v>
      </c>
    </row>
    <row r="124" spans="1:1" x14ac:dyDescent="0.2">
      <c r="A124" s="93" t="s">
        <v>131</v>
      </c>
    </row>
  </sheetData>
  <sheetProtection password="CF79"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22</vt:lpstr>
      <vt:lpstr>22A</vt:lpstr>
      <vt:lpstr>Bank</vt:lpstr>
      <vt:lpstr>'22'!Print_Area</vt:lpstr>
      <vt:lpstr>'22A'!Print_Area</vt:lpstr>
      <vt:lpstr>'22'!Print_Titles</vt:lpstr>
      <vt:lpstr>'22A'!Print_Titles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2005-10-26T01:00:36Z</dcterms:created>
  <dc:creator>Windows User</dc:creator>
  <cp:lastModifiedBy>Windows User</cp:lastModifiedBy>
  <cp:lastPrinted>2006-03-09T02:54:08Z</cp:lastPrinted>
  <dcterms:modified xsi:type="dcterms:W3CDTF">2019-09-24T08:03:10Z</dcterms:modified>
</cp:coreProperties>
</file>