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2" activeTab="2"/>
  </bookViews>
  <sheets>
    <sheet name="BS" sheetId="9" state="hidden" r:id="rId1"/>
    <sheet name="IS" sheetId="7" state="hidden" r:id="rId2"/>
    <sheet name="Bank" sheetId="6" r:id="rId3"/>
  </sheets>
  <functionGroups builtInGroupCount="18"/>
  <definedNames>
    <definedName name="_xlnm.Print_Area" localSheetId="0">BS!$A$1:$P$194</definedName>
    <definedName name="_xlnm.Print_Area" localSheetId="1">IS!$A$1:$P$65</definedName>
    <definedName name="_xlnm.Print_Titles" localSheetId="0">BS!$A:$H,BS!$1:$8</definedName>
    <definedName name="_xlnm.Print_Titles" localSheetId="1">IS!$A:$H,IS!$1:$9</definedName>
  </definedNames>
  <calcPr calcId="152511" fullCalcOnLoad="1"/>
</workbook>
</file>

<file path=xl/calcChain.xml><?xml version="1.0" encoding="utf-8"?>
<calcChain xmlns="http://schemas.openxmlformats.org/spreadsheetml/2006/main">
  <c r="I177" i="9" l="1"/>
  <c r="P186" i="9"/>
  <c r="P185" i="9"/>
  <c r="O17" i="7"/>
  <c r="N17" i="7"/>
  <c r="M17" i="7"/>
  <c r="L17" i="7"/>
  <c r="K17" i="7"/>
  <c r="K15" i="7" s="1"/>
  <c r="J17" i="7"/>
  <c r="I17" i="7"/>
  <c r="P22" i="7"/>
  <c r="P152" i="9"/>
  <c r="P167" i="9"/>
  <c r="M90" i="9"/>
  <c r="L90" i="9"/>
  <c r="I90" i="9"/>
  <c r="P90" i="9"/>
  <c r="P89" i="9"/>
  <c r="P47" i="7"/>
  <c r="M43" i="7"/>
  <c r="M37" i="7" s="1"/>
  <c r="M56" i="7" s="1"/>
  <c r="M61" i="7" s="1"/>
  <c r="M63" i="7" s="1"/>
  <c r="M65" i="7" s="1"/>
  <c r="L43" i="7"/>
  <c r="K43" i="7"/>
  <c r="K37" i="7" s="1"/>
  <c r="J43" i="7"/>
  <c r="I43" i="7"/>
  <c r="N43" i="7"/>
  <c r="N37" i="7" s="1"/>
  <c r="O43" i="7"/>
  <c r="O37" i="7"/>
  <c r="J37" i="7"/>
  <c r="L37" i="7"/>
  <c r="P70" i="9"/>
  <c r="P164" i="9"/>
  <c r="J58" i="9"/>
  <c r="K58" i="9"/>
  <c r="L58" i="9"/>
  <c r="M58" i="9"/>
  <c r="N58" i="9"/>
  <c r="O58" i="9"/>
  <c r="I58" i="9"/>
  <c r="P58" i="9"/>
  <c r="P57" i="9"/>
  <c r="P59" i="9"/>
  <c r="P108" i="9"/>
  <c r="J178" i="9"/>
  <c r="J177" i="9" s="1"/>
  <c r="J181" i="9"/>
  <c r="K178" i="9"/>
  <c r="K177" i="9" s="1"/>
  <c r="K181" i="9"/>
  <c r="L178" i="9"/>
  <c r="L177" i="9" s="1"/>
  <c r="L181" i="9"/>
  <c r="M178" i="9"/>
  <c r="M177" i="9" s="1"/>
  <c r="M181" i="9"/>
  <c r="N178" i="9"/>
  <c r="N177" i="9" s="1"/>
  <c r="N181" i="9"/>
  <c r="O178" i="9"/>
  <c r="O177" i="9"/>
  <c r="O181" i="9"/>
  <c r="I178" i="9"/>
  <c r="I181" i="9"/>
  <c r="P187" i="9"/>
  <c r="J106" i="9"/>
  <c r="J120" i="9"/>
  <c r="J123" i="9"/>
  <c r="J156" i="9" s="1"/>
  <c r="J126" i="9"/>
  <c r="J149" i="9"/>
  <c r="K106" i="9"/>
  <c r="K156" i="9"/>
  <c r="K120" i="9"/>
  <c r="K123" i="9"/>
  <c r="K126" i="9"/>
  <c r="K149" i="9"/>
  <c r="L106" i="9"/>
  <c r="L110" i="9"/>
  <c r="L120" i="9"/>
  <c r="L156" i="9" s="1"/>
  <c r="L193" i="9" s="1"/>
  <c r="L123" i="9"/>
  <c r="L126" i="9"/>
  <c r="L149" i="9"/>
  <c r="M106" i="9"/>
  <c r="P106" i="9" s="1"/>
  <c r="P156" i="9" s="1"/>
  <c r="M110" i="9"/>
  <c r="M120" i="9"/>
  <c r="M123" i="9"/>
  <c r="P123" i="9" s="1"/>
  <c r="M126" i="9"/>
  <c r="M149" i="9"/>
  <c r="N106" i="9"/>
  <c r="N110" i="9"/>
  <c r="N120" i="9"/>
  <c r="N123" i="9"/>
  <c r="N126" i="9"/>
  <c r="N156" i="9" s="1"/>
  <c r="N149" i="9"/>
  <c r="O106" i="9"/>
  <c r="O156" i="9" s="1"/>
  <c r="O193" i="9" s="1"/>
  <c r="O110" i="9"/>
  <c r="P110" i="9" s="1"/>
  <c r="O120" i="9"/>
  <c r="O123" i="9"/>
  <c r="O126" i="9"/>
  <c r="O149" i="9"/>
  <c r="I106" i="9"/>
  <c r="I110" i="9"/>
  <c r="I120" i="9"/>
  <c r="I123" i="9"/>
  <c r="I126" i="9"/>
  <c r="I149" i="9"/>
  <c r="J12" i="9"/>
  <c r="J18" i="9"/>
  <c r="J26" i="9"/>
  <c r="J30" i="9"/>
  <c r="J33" i="9"/>
  <c r="J35" i="9"/>
  <c r="J38" i="9"/>
  <c r="J40" i="9"/>
  <c r="J43" i="9"/>
  <c r="J45" i="9"/>
  <c r="J50" i="9"/>
  <c r="J61" i="9"/>
  <c r="J67" i="9"/>
  <c r="J71" i="9"/>
  <c r="J73" i="9" s="1"/>
  <c r="J76" i="9"/>
  <c r="J79" i="9"/>
  <c r="J101" i="9"/>
  <c r="K12" i="9"/>
  <c r="K18" i="9"/>
  <c r="K26" i="9"/>
  <c r="K30" i="9"/>
  <c r="K33" i="9"/>
  <c r="K35" i="9"/>
  <c r="K38" i="9"/>
  <c r="K40" i="9" s="1"/>
  <c r="K43" i="9"/>
  <c r="K45" i="9"/>
  <c r="K50" i="9"/>
  <c r="P50" i="9" s="1"/>
  <c r="K61" i="9"/>
  <c r="K67" i="9"/>
  <c r="K71" i="9"/>
  <c r="K73" i="9" s="1"/>
  <c r="K76" i="9"/>
  <c r="K79" i="9"/>
  <c r="K101" i="9"/>
  <c r="L12" i="9"/>
  <c r="L18" i="9"/>
  <c r="L26" i="9"/>
  <c r="L30" i="9"/>
  <c r="L33" i="9"/>
  <c r="L35" i="9"/>
  <c r="L38" i="9"/>
  <c r="L40" i="9"/>
  <c r="L45" i="9"/>
  <c r="L50" i="9"/>
  <c r="L61" i="9"/>
  <c r="L67" i="9"/>
  <c r="L71" i="9" s="1"/>
  <c r="L73" i="9" s="1"/>
  <c r="L76" i="9"/>
  <c r="L87" i="9"/>
  <c r="L93" i="9"/>
  <c r="L97" i="9"/>
  <c r="L101" i="9"/>
  <c r="M12" i="9"/>
  <c r="M18" i="9"/>
  <c r="M26" i="9"/>
  <c r="M30" i="9" s="1"/>
  <c r="M104" i="9" s="1"/>
  <c r="M33" i="9"/>
  <c r="M35" i="9"/>
  <c r="M38" i="9"/>
  <c r="M40" i="9"/>
  <c r="M45" i="9"/>
  <c r="M50" i="9"/>
  <c r="M61" i="9"/>
  <c r="M67" i="9"/>
  <c r="M71" i="9" s="1"/>
  <c r="M73" i="9" s="1"/>
  <c r="M76" i="9"/>
  <c r="M87" i="9"/>
  <c r="M93" i="9"/>
  <c r="M97" i="9"/>
  <c r="M101" i="9"/>
  <c r="N12" i="9"/>
  <c r="N18" i="9"/>
  <c r="N26" i="9"/>
  <c r="N30" i="9" s="1"/>
  <c r="N104" i="9" s="1"/>
  <c r="N33" i="9"/>
  <c r="N35" i="9" s="1"/>
  <c r="N38" i="9"/>
  <c r="N40" i="9" s="1"/>
  <c r="N43" i="9"/>
  <c r="N45" i="9"/>
  <c r="N50" i="9"/>
  <c r="N61" i="9"/>
  <c r="N67" i="9"/>
  <c r="N71" i="9" s="1"/>
  <c r="N73" i="9" s="1"/>
  <c r="N76" i="9"/>
  <c r="N83" i="9"/>
  <c r="N87" i="9"/>
  <c r="N93" i="9"/>
  <c r="N97" i="9"/>
  <c r="N101" i="9"/>
  <c r="O12" i="9"/>
  <c r="O18" i="9"/>
  <c r="P18" i="9" s="1"/>
  <c r="O26" i="9"/>
  <c r="O30" i="9"/>
  <c r="O33" i="9"/>
  <c r="O35" i="9"/>
  <c r="O38" i="9"/>
  <c r="O40" i="9"/>
  <c r="O43" i="9"/>
  <c r="O45" i="9"/>
  <c r="P45" i="9" s="1"/>
  <c r="O50" i="9"/>
  <c r="O61" i="9"/>
  <c r="O67" i="9"/>
  <c r="O71" i="9" s="1"/>
  <c r="O73" i="9" s="1"/>
  <c r="O76" i="9"/>
  <c r="O83" i="9"/>
  <c r="O87" i="9"/>
  <c r="P87" i="9" s="1"/>
  <c r="O93" i="9"/>
  <c r="O97" i="9"/>
  <c r="O101" i="9"/>
  <c r="I12" i="9"/>
  <c r="I18" i="9"/>
  <c r="I26" i="9"/>
  <c r="I30" i="9" s="1"/>
  <c r="I33" i="9"/>
  <c r="I35" i="9" s="1"/>
  <c r="P35" i="9" s="1"/>
  <c r="I38" i="9"/>
  <c r="I40" i="9" s="1"/>
  <c r="P40" i="9" s="1"/>
  <c r="I43" i="9"/>
  <c r="I45" i="9"/>
  <c r="I50" i="9"/>
  <c r="I61" i="9"/>
  <c r="P61" i="9" s="1"/>
  <c r="I67" i="9"/>
  <c r="I71" i="9"/>
  <c r="I76" i="9"/>
  <c r="P76" i="9" s="1"/>
  <c r="I79" i="9"/>
  <c r="P79" i="9" s="1"/>
  <c r="I83" i="9"/>
  <c r="I87" i="9"/>
  <c r="I93" i="9"/>
  <c r="I97" i="9"/>
  <c r="P97" i="9" s="1"/>
  <c r="I101" i="9"/>
  <c r="J158" i="9"/>
  <c r="J192" i="9" s="1"/>
  <c r="J163" i="9"/>
  <c r="K158" i="9"/>
  <c r="P158" i="9" s="1"/>
  <c r="K163" i="9"/>
  <c r="L163" i="9"/>
  <c r="L169" i="9"/>
  <c r="L168" i="9"/>
  <c r="L192" i="9" s="1"/>
  <c r="M163" i="9"/>
  <c r="M169" i="9"/>
  <c r="M168" i="9" s="1"/>
  <c r="N158" i="9"/>
  <c r="N192" i="9" s="1"/>
  <c r="N163" i="9"/>
  <c r="N169" i="9"/>
  <c r="N168" i="9"/>
  <c r="O158" i="9"/>
  <c r="O163" i="9"/>
  <c r="O169" i="9"/>
  <c r="O168" i="9"/>
  <c r="O192" i="9" s="1"/>
  <c r="I158" i="9"/>
  <c r="I163" i="9"/>
  <c r="P163" i="9" s="1"/>
  <c r="I169" i="9"/>
  <c r="I168" i="9" s="1"/>
  <c r="J53" i="9"/>
  <c r="J55" i="9" s="1"/>
  <c r="K53" i="9"/>
  <c r="K55" i="9" s="1"/>
  <c r="L53" i="9"/>
  <c r="L55" i="9" s="1"/>
  <c r="L44" i="9" s="1"/>
  <c r="L60" i="9" s="1"/>
  <c r="M53" i="9"/>
  <c r="M55" i="9" s="1"/>
  <c r="M44" i="9" s="1"/>
  <c r="M60" i="9" s="1"/>
  <c r="N53" i="9"/>
  <c r="N55" i="9" s="1"/>
  <c r="N44" i="9" s="1"/>
  <c r="N60" i="9" s="1"/>
  <c r="O53" i="9"/>
  <c r="O55" i="9" s="1"/>
  <c r="I53" i="9"/>
  <c r="I55" i="9" s="1"/>
  <c r="P50" i="7"/>
  <c r="P40" i="7"/>
  <c r="P13" i="9"/>
  <c r="P14" i="9"/>
  <c r="P15" i="9"/>
  <c r="P16" i="9"/>
  <c r="P52" i="9"/>
  <c r="P175" i="9"/>
  <c r="K23" i="9"/>
  <c r="L23" i="9"/>
  <c r="M23" i="9"/>
  <c r="J23" i="9"/>
  <c r="P194" i="9"/>
  <c r="P191" i="9"/>
  <c r="P190" i="9"/>
  <c r="P189" i="9"/>
  <c r="P188" i="9"/>
  <c r="P184" i="9"/>
  <c r="P183" i="9"/>
  <c r="P182" i="9"/>
  <c r="P181" i="9"/>
  <c r="P180" i="9"/>
  <c r="P179" i="9"/>
  <c r="P178" i="9"/>
  <c r="P176" i="9"/>
  <c r="P174" i="9"/>
  <c r="P173" i="9"/>
  <c r="P172" i="9"/>
  <c r="P171" i="9"/>
  <c r="P170" i="9"/>
  <c r="P166" i="9"/>
  <c r="P165" i="9"/>
  <c r="P162" i="9"/>
  <c r="P161" i="9"/>
  <c r="P160" i="9"/>
  <c r="P159" i="9"/>
  <c r="P154" i="9"/>
  <c r="P153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09" i="9"/>
  <c r="P107" i="9"/>
  <c r="P11" i="9"/>
  <c r="P17" i="9"/>
  <c r="P19" i="9"/>
  <c r="P20" i="9"/>
  <c r="P21" i="9"/>
  <c r="P22" i="9"/>
  <c r="P24" i="9"/>
  <c r="P25" i="9"/>
  <c r="P27" i="9"/>
  <c r="P28" i="9"/>
  <c r="P29" i="9"/>
  <c r="P31" i="9"/>
  <c r="P32" i="9"/>
  <c r="P34" i="9"/>
  <c r="P36" i="9"/>
  <c r="P37" i="9"/>
  <c r="P39" i="9"/>
  <c r="P41" i="9"/>
  <c r="P42" i="9"/>
  <c r="P43" i="9"/>
  <c r="P46" i="9"/>
  <c r="P47" i="9"/>
  <c r="P48" i="9"/>
  <c r="P49" i="9"/>
  <c r="P51" i="9"/>
  <c r="P54" i="9"/>
  <c r="P56" i="9"/>
  <c r="P62" i="9"/>
  <c r="P63" i="9"/>
  <c r="P64" i="9"/>
  <c r="P65" i="9"/>
  <c r="P66" i="9"/>
  <c r="P68" i="9"/>
  <c r="P69" i="9"/>
  <c r="P72" i="9"/>
  <c r="P74" i="9"/>
  <c r="P75" i="9"/>
  <c r="P77" i="9"/>
  <c r="P78" i="9"/>
  <c r="P80" i="9"/>
  <c r="P81" i="9"/>
  <c r="P82" i="9"/>
  <c r="P83" i="9"/>
  <c r="P84" i="9"/>
  <c r="P85" i="9"/>
  <c r="P86" i="9"/>
  <c r="P88" i="9"/>
  <c r="P91" i="9"/>
  <c r="P92" i="9"/>
  <c r="P93" i="9"/>
  <c r="P94" i="9"/>
  <c r="P95" i="9"/>
  <c r="P96" i="9"/>
  <c r="P98" i="9"/>
  <c r="P99" i="9"/>
  <c r="P100" i="9"/>
  <c r="P101" i="9"/>
  <c r="P102" i="9"/>
  <c r="P10" i="9"/>
  <c r="P12" i="7"/>
  <c r="P13" i="7"/>
  <c r="I14" i="7"/>
  <c r="K14" i="7"/>
  <c r="P14" i="7" s="1"/>
  <c r="M14" i="7"/>
  <c r="O14" i="7"/>
  <c r="I31" i="7"/>
  <c r="I15" i="7"/>
  <c r="I56" i="7" s="1"/>
  <c r="O31" i="7"/>
  <c r="P31" i="7" s="1"/>
  <c r="K31" i="7"/>
  <c r="M31" i="7"/>
  <c r="M15" i="7"/>
  <c r="P16" i="7"/>
  <c r="P18" i="7"/>
  <c r="P19" i="7"/>
  <c r="P20" i="7"/>
  <c r="P21" i="7"/>
  <c r="P23" i="7"/>
  <c r="P24" i="7"/>
  <c r="P25" i="7"/>
  <c r="P26" i="7"/>
  <c r="P27" i="7"/>
  <c r="P28" i="7"/>
  <c r="P29" i="7"/>
  <c r="P30" i="7"/>
  <c r="P32" i="7"/>
  <c r="P33" i="7"/>
  <c r="P34" i="7"/>
  <c r="P35" i="7"/>
  <c r="P36" i="7"/>
  <c r="P38" i="7"/>
  <c r="P39" i="7"/>
  <c r="P41" i="7"/>
  <c r="P42" i="7"/>
  <c r="P44" i="7"/>
  <c r="P45" i="7"/>
  <c r="P46" i="7"/>
  <c r="P48" i="7"/>
  <c r="P49" i="7"/>
  <c r="P51" i="7"/>
  <c r="O52" i="7"/>
  <c r="I52" i="7"/>
  <c r="P52" i="7" s="1"/>
  <c r="K52" i="7"/>
  <c r="M52" i="7"/>
  <c r="P53" i="7"/>
  <c r="P54" i="7"/>
  <c r="P55" i="7"/>
  <c r="O57" i="7"/>
  <c r="I57" i="7"/>
  <c r="P57" i="7" s="1"/>
  <c r="K57" i="7"/>
  <c r="P58" i="7"/>
  <c r="P59" i="7"/>
  <c r="P60" i="7"/>
  <c r="P62" i="7"/>
  <c r="P64" i="7"/>
  <c r="J14" i="7"/>
  <c r="J31" i="7"/>
  <c r="J15" i="7"/>
  <c r="J56" i="7" s="1"/>
  <c r="J61" i="7" s="1"/>
  <c r="J63" i="7" s="1"/>
  <c r="J65" i="7" s="1"/>
  <c r="J52" i="7"/>
  <c r="J57" i="7"/>
  <c r="L14" i="7"/>
  <c r="L31" i="7"/>
  <c r="L15" i="7"/>
  <c r="L56" i="7" s="1"/>
  <c r="L61" i="7" s="1"/>
  <c r="L63" i="7" s="1"/>
  <c r="L65" i="7" s="1"/>
  <c r="L52" i="7"/>
  <c r="N31" i="7"/>
  <c r="N15" i="7"/>
  <c r="N52" i="7"/>
  <c r="N14" i="7"/>
  <c r="N56" i="7" s="1"/>
  <c r="N61" i="7" s="1"/>
  <c r="N63" i="7" s="1"/>
  <c r="N65" i="7" s="1"/>
  <c r="N57" i="7"/>
  <c r="P11" i="7"/>
  <c r="P53" i="9"/>
  <c r="I73" i="9"/>
  <c r="I156" i="9"/>
  <c r="O23" i="9"/>
  <c r="I37" i="7"/>
  <c r="I23" i="9"/>
  <c r="P23" i="9"/>
  <c r="I61" i="7" l="1"/>
  <c r="P30" i="9"/>
  <c r="P37" i="7"/>
  <c r="P168" i="9"/>
  <c r="I192" i="9"/>
  <c r="M192" i="9"/>
  <c r="N193" i="9"/>
  <c r="P55" i="9"/>
  <c r="I44" i="9"/>
  <c r="L104" i="9"/>
  <c r="P73" i="9"/>
  <c r="J44" i="9"/>
  <c r="J60" i="9" s="1"/>
  <c r="J104" i="9" s="1"/>
  <c r="J193" i="9"/>
  <c r="P177" i="9"/>
  <c r="O44" i="9"/>
  <c r="O60" i="9" s="1"/>
  <c r="O104" i="9" s="1"/>
  <c r="P17" i="7"/>
  <c r="M156" i="9"/>
  <c r="K192" i="9"/>
  <c r="K193" i="9" s="1"/>
  <c r="P43" i="7"/>
  <c r="O15" i="7"/>
  <c r="O56" i="7" s="1"/>
  <c r="O61" i="7" s="1"/>
  <c r="O63" i="7" s="1"/>
  <c r="O65" i="7" s="1"/>
  <c r="P12" i="9"/>
  <c r="P26" i="9"/>
  <c r="P38" i="9"/>
  <c r="P71" i="9"/>
  <c r="K44" i="9"/>
  <c r="K60" i="9" s="1"/>
  <c r="K104" i="9" s="1"/>
  <c r="K56" i="7"/>
  <c r="K61" i="7" s="1"/>
  <c r="K63" i="7" s="1"/>
  <c r="K65" i="7" s="1"/>
  <c r="P169" i="9"/>
  <c r="P67" i="9"/>
  <c r="P33" i="9"/>
  <c r="N23" i="9"/>
  <c r="I60" i="9" l="1"/>
  <c r="P44" i="9"/>
  <c r="P192" i="9"/>
  <c r="P193" i="9" s="1"/>
  <c r="P15" i="7"/>
  <c r="M193" i="9"/>
  <c r="I193" i="9"/>
  <c r="I63" i="7"/>
  <c r="P61" i="7"/>
  <c r="P56" i="7"/>
  <c r="I65" i="7" l="1"/>
  <c r="P65" i="7" s="1"/>
  <c r="P63" i="7"/>
  <c r="P60" i="9"/>
  <c r="P104" i="9" s="1"/>
  <c r="I104" i="9"/>
</calcChain>
</file>

<file path=xl/sharedStrings.xml><?xml version="1.0" encoding="utf-8"?>
<sst xmlns="http://schemas.openxmlformats.org/spreadsheetml/2006/main" count="763" uniqueCount="583">
  <si>
    <t>Account Description</t>
  </si>
  <si>
    <t>Account Code</t>
  </si>
  <si>
    <t>Peso</t>
  </si>
  <si>
    <t>Foreign Regular</t>
  </si>
  <si>
    <t>FCDU/EFCDU</t>
  </si>
  <si>
    <t xml:space="preserve">Total </t>
  </si>
  <si>
    <t>Accounts</t>
  </si>
  <si>
    <t>In US $</t>
  </si>
  <si>
    <t>Peso Equiv.</t>
  </si>
  <si>
    <t>Asset Accounts</t>
  </si>
  <si>
    <t>(1)</t>
  </si>
  <si>
    <t>Cash on Hand</t>
  </si>
  <si>
    <t>(2)</t>
  </si>
  <si>
    <t>Checks and Other Cash Items</t>
  </si>
  <si>
    <t>(3)</t>
  </si>
  <si>
    <t>Due from Bangko Sentral ng Pilipinas</t>
  </si>
  <si>
    <t>(4)</t>
  </si>
  <si>
    <t>Due from Other Banks</t>
  </si>
  <si>
    <t>(5)</t>
  </si>
  <si>
    <t>Financial Assets Held for Trading (HFT)</t>
  </si>
  <si>
    <t>(a)</t>
  </si>
  <si>
    <t>HFT Securities</t>
  </si>
  <si>
    <t>(b)</t>
  </si>
  <si>
    <t>Derivatives with Positive Fair Value Held for Trading</t>
  </si>
  <si>
    <t>(c)</t>
  </si>
  <si>
    <t>Derivatives Carried at Cost</t>
  </si>
  <si>
    <t>(6)</t>
  </si>
  <si>
    <t>Financial Assets Designated at Fair Value through Profit or Loss</t>
  </si>
  <si>
    <t>(7)</t>
  </si>
  <si>
    <t>Available-for-Sale (AFS) Financial Assets</t>
  </si>
  <si>
    <t>(i)</t>
  </si>
  <si>
    <t>AFS Debt Securities</t>
  </si>
  <si>
    <t>Unamortized Discount/Premium</t>
  </si>
  <si>
    <t>AFS-Debt Securities Net of Amortization</t>
  </si>
  <si>
    <t>(ii)</t>
  </si>
  <si>
    <t>AFS Equity Securities</t>
  </si>
  <si>
    <t>Accumulated Market Gains/(Losses)</t>
  </si>
  <si>
    <t>Less : Allowance for Credit Losses</t>
  </si>
  <si>
    <t>AFS Financial Assets - Net</t>
  </si>
  <si>
    <t>(8)</t>
  </si>
  <si>
    <t>Held-to-Maturity (HTM) Financial Assets</t>
  </si>
  <si>
    <t>HTM Financial Assets - Net of Amortization</t>
  </si>
  <si>
    <t>Less: Allowance for Credit Losses</t>
  </si>
  <si>
    <t>HTM Financial Assets - Net</t>
  </si>
  <si>
    <t>(9)</t>
  </si>
  <si>
    <t>Unquoted Debt Securities Classified as Loans</t>
  </si>
  <si>
    <t>Unquoted Debt Securities Classified as Loans - Net</t>
  </si>
  <si>
    <t>(10)</t>
  </si>
  <si>
    <t>Investments in Non-Marketable Equity Securities (INMES)</t>
  </si>
  <si>
    <t>INMES - Net</t>
  </si>
  <si>
    <t>(11)</t>
  </si>
  <si>
    <t>Loans and Receivables</t>
  </si>
  <si>
    <t>Loans to Bangko Sentral ng Pilipinas</t>
  </si>
  <si>
    <t>Maturing within 1 year</t>
  </si>
  <si>
    <t>Maturing beyond 1 year</t>
  </si>
  <si>
    <t xml:space="preserve">Interbank Loans Receivable </t>
  </si>
  <si>
    <t xml:space="preserve">Interbank Loans Receivable-Net </t>
  </si>
  <si>
    <t>Loans and Receivables -Others</t>
  </si>
  <si>
    <t>Less: General Loan Loss Provision (GLLP)</t>
  </si>
  <si>
    <t>(12)</t>
  </si>
  <si>
    <t>Loans and Receivables Arising from Repurchase Agreements, Certificates of Assignment/Participation with Recourse, and Securities Lending and Borrowing Transactions</t>
  </si>
  <si>
    <t>(13)</t>
  </si>
  <si>
    <t>Derivatives with Positive Fair Value Held for Hedging</t>
  </si>
  <si>
    <t>Fair Value Hedges</t>
  </si>
  <si>
    <t>Cash Flow Hedges</t>
  </si>
  <si>
    <t>Hedges of a Net Investment in Foreign Operation</t>
  </si>
  <si>
    <t>(d)</t>
  </si>
  <si>
    <t>Portfolio Hedge of Interest Rate Risk</t>
  </si>
  <si>
    <t>(14)</t>
  </si>
  <si>
    <t>Revaluation of Hedged Assets in Portfolio Hedge of Interest Rate Risk</t>
  </si>
  <si>
    <t>(15)</t>
  </si>
  <si>
    <t>Sales Contract Receivable</t>
  </si>
  <si>
    <t>Performing</t>
  </si>
  <si>
    <t>Non-Performing</t>
  </si>
  <si>
    <t>Sales Contract Receivable - Net</t>
  </si>
  <si>
    <t>(16)</t>
  </si>
  <si>
    <t>Accrued Interest Income from Financial Assets</t>
  </si>
  <si>
    <t>Accrued Interest Income from Financial Assets - Net</t>
  </si>
  <si>
    <t>(17)</t>
  </si>
  <si>
    <t>Equity Investment in Subsidiaries, Associates and Joint Ventures</t>
  </si>
  <si>
    <t>Equity Investment in Subsidiaries, Associates and Joint Ventures - Net</t>
  </si>
  <si>
    <t>(18)</t>
  </si>
  <si>
    <t>Bank Premises, Furniture, Fixture and Equipment</t>
  </si>
  <si>
    <t>Less: Accumulated Depreciation</t>
  </si>
  <si>
    <t>Less: Allowance for Losses</t>
  </si>
  <si>
    <t>Bank Premises, Furniture, Fixture and Equipment - Net</t>
  </si>
  <si>
    <t>(19)</t>
  </si>
  <si>
    <t>Real and Other Properties Acquired</t>
  </si>
  <si>
    <t>Real and Other Properties Acquired - Net</t>
  </si>
  <si>
    <t>(20)</t>
  </si>
  <si>
    <t>Non-Current Assets Held for Sale</t>
  </si>
  <si>
    <t>(21)</t>
  </si>
  <si>
    <t>Goodwill</t>
  </si>
  <si>
    <t>Goodwill - Net</t>
  </si>
  <si>
    <t>(22)</t>
  </si>
  <si>
    <t>Other Intangible Assets</t>
  </si>
  <si>
    <t>Less: Accumulated Amortization</t>
  </si>
  <si>
    <t>Intangible Assets - Net</t>
  </si>
  <si>
    <t>(23)</t>
  </si>
  <si>
    <t>Deferred Tax Asset</t>
  </si>
  <si>
    <t>(24)</t>
  </si>
  <si>
    <t>Other Assets</t>
  </si>
  <si>
    <t>Other Assets - Net</t>
  </si>
  <si>
    <t>(25)</t>
  </si>
  <si>
    <t>Due from Head Office/Branches/Agencies (Philippine branch of a foreign bank)</t>
  </si>
  <si>
    <t>Total Assets</t>
  </si>
  <si>
    <t>Liability Accounts</t>
  </si>
  <si>
    <t>Financial Liabilities Held for Trading</t>
  </si>
  <si>
    <t>Derivatives with Negative Fair Value Held for Trading</t>
  </si>
  <si>
    <t>Liability for Short Position</t>
  </si>
  <si>
    <t>Financial Liabilities Designated at Fair Value through Profit or Loss</t>
  </si>
  <si>
    <t>Deposit Liabilities</t>
  </si>
  <si>
    <t>Demand Deposits</t>
  </si>
  <si>
    <t>Savings Deposits</t>
  </si>
  <si>
    <t>NOW Accounts</t>
  </si>
  <si>
    <t>Time Certificate of Deposits</t>
  </si>
  <si>
    <t>(e)</t>
  </si>
  <si>
    <t>LTNCD</t>
  </si>
  <si>
    <t>Due to Other Banks</t>
  </si>
  <si>
    <t>Bills Payable</t>
  </si>
  <si>
    <t>Bonds Payable</t>
  </si>
  <si>
    <t>Unamortized Bond Discount/Premium</t>
  </si>
  <si>
    <t>Bonds Payable - Net</t>
  </si>
  <si>
    <t>Unsecured Subordinated Debt</t>
  </si>
  <si>
    <t>Unamortized Debt Discount/Premium</t>
  </si>
  <si>
    <t>Unsecured Subordinated Debt - Net</t>
  </si>
  <si>
    <t>Redeemable Preferred Shares</t>
  </si>
  <si>
    <t>Financial Liabilities Associated with Transferred Assets</t>
  </si>
  <si>
    <t>Derivatives with Negative Fair Value Held for Hedging</t>
  </si>
  <si>
    <t>Revaluation of Hedged Liabilities in Portfolio Hedge of Interest Rate Risk</t>
  </si>
  <si>
    <t>Accrued Interest Expense on Financial Liabilities</t>
  </si>
  <si>
    <t>Finance Lease Payment Payable</t>
  </si>
  <si>
    <t>Special Time Deposit</t>
  </si>
  <si>
    <t>Due to Treasurer of the Philippines</t>
  </si>
  <si>
    <t>Treasurer/Cashier/Manager's Checks</t>
  </si>
  <si>
    <t>Payment Orders Payable</t>
  </si>
  <si>
    <t>Margin Deposits on LCs and Customers' Liability on Bills/Drafts under LCs and/or TRs</t>
  </si>
  <si>
    <t>Cash Letters of Credit</t>
  </si>
  <si>
    <t>Outstanding Acceptances Executed by or for Account of this Bank</t>
  </si>
  <si>
    <t>Due to Bangko Sentral ng Pilipinas</t>
  </si>
  <si>
    <t>Due to Philippine Deposit Insurance Corporation</t>
  </si>
  <si>
    <t>Due to Philippine Crop Insurance Corporation</t>
  </si>
  <si>
    <t>Income Tax Payable</t>
  </si>
  <si>
    <t>Other Taxes and Licenses Payable</t>
  </si>
  <si>
    <t>(26)</t>
  </si>
  <si>
    <t>Accrued Expenses</t>
  </si>
  <si>
    <t>(27)</t>
  </si>
  <si>
    <t xml:space="preserve">Unearned Income </t>
  </si>
  <si>
    <t>(28)</t>
  </si>
  <si>
    <t>Deferred Tax Liabilities</t>
  </si>
  <si>
    <t>(29)</t>
  </si>
  <si>
    <t>Provisions</t>
  </si>
  <si>
    <t>Pensions and Other Post Retirement Benefit Obligations</t>
  </si>
  <si>
    <t>Others</t>
  </si>
  <si>
    <t>(30)</t>
  </si>
  <si>
    <t>Other Liabilities</t>
  </si>
  <si>
    <t>(31)</t>
  </si>
  <si>
    <t>Total Liabilities</t>
  </si>
  <si>
    <t>Equity Accounts</t>
  </si>
  <si>
    <t>Common Stock</t>
  </si>
  <si>
    <t>Perpetual and Non-Cumulative Preferred Stock</t>
  </si>
  <si>
    <t>Additional Paid-in Capital</t>
  </si>
  <si>
    <t>Other Equity Instruments</t>
  </si>
  <si>
    <t>Equity Component of Compound Financial Instruments</t>
  </si>
  <si>
    <t>Retained Earnings</t>
  </si>
  <si>
    <t>Retained Earnings Reserve</t>
  </si>
  <si>
    <t>Trust Business</t>
  </si>
  <si>
    <t>Self-insurance</t>
  </si>
  <si>
    <t>(iii)</t>
  </si>
  <si>
    <t>Contingencies</t>
  </si>
  <si>
    <t>(iv)</t>
  </si>
  <si>
    <t>Retained Earnings Free</t>
  </si>
  <si>
    <t>Undivided Profits</t>
  </si>
  <si>
    <t>Other Comprehensive Income</t>
  </si>
  <si>
    <t>Net Unrealized Gains/(Losses) on AFS Financial Assets</t>
  </si>
  <si>
    <t>Debt Securities</t>
  </si>
  <si>
    <t>Equity Securities</t>
  </si>
  <si>
    <t>Gains/(Losses) on Fair Value Adjustment of Hedging Instruments</t>
  </si>
  <si>
    <t>Cash Flow Hedge</t>
  </si>
  <si>
    <t>Hedge of a Net Investment in Foreign Operations</t>
  </si>
  <si>
    <t>Cumulative Foreign Currency Translation</t>
  </si>
  <si>
    <t>Appraisal Increment Reserve</t>
  </si>
  <si>
    <t>Treasury Stock</t>
  </si>
  <si>
    <t>Minority Interest in Subsidiaries (for consolidated report only)</t>
  </si>
  <si>
    <t>Assigned Capital</t>
  </si>
  <si>
    <t>Total Equity</t>
  </si>
  <si>
    <t>Total Liabilities, Minority Interest and Equity</t>
  </si>
  <si>
    <t>Contingent Accounts</t>
  </si>
  <si>
    <t xml:space="preserve"> </t>
  </si>
  <si>
    <t>Income and Expense Accounts</t>
  </si>
  <si>
    <t>Interest Income</t>
  </si>
  <si>
    <t>Interest Expense</t>
  </si>
  <si>
    <t>Provision for Losses on Accrued Interest Income from Financial Assets</t>
  </si>
  <si>
    <t>Net Interest Income</t>
  </si>
  <si>
    <t>Non-Interest Income</t>
  </si>
  <si>
    <t>Dividend Income</t>
  </si>
  <si>
    <t>Fees and Commissions Income</t>
  </si>
  <si>
    <t>Payment Services</t>
  </si>
  <si>
    <t>Intermediation Services</t>
  </si>
  <si>
    <t>Custodianship</t>
  </si>
  <si>
    <t>Underwriting and Securities Dealership</t>
  </si>
  <si>
    <t>Securitization Activities</t>
  </si>
  <si>
    <t>(f)</t>
  </si>
  <si>
    <t>Income from Fiduciary Activities</t>
  </si>
  <si>
    <t>(g)</t>
  </si>
  <si>
    <t>Gains/(Losses) on Financial Assets and Liabilities Held for Trading</t>
  </si>
  <si>
    <t>Gains/(Losses) on Financial Assets and Liabilities Designated at Fair Value through Profit or Loss</t>
  </si>
  <si>
    <t>Foreign Exchange Profit/(Loss)</t>
  </si>
  <si>
    <t>Gains/(Losses) from Sale/Redemption/Derecognition of Non-Trading Financial Assets and Liabilities</t>
  </si>
  <si>
    <t>Gains/(Losses) on Fair Value Adjustment in Hedge Accounting</t>
  </si>
  <si>
    <t xml:space="preserve">Gains/(Losses) from Sale/Derecognition of Non-Financial Assets </t>
  </si>
  <si>
    <t>ROPA</t>
  </si>
  <si>
    <t>Other Intangibles</t>
  </si>
  <si>
    <t>Other Income</t>
  </si>
  <si>
    <t>Non-Interest Expense</t>
  </si>
  <si>
    <t>Compensation/Fringe Benefits</t>
  </si>
  <si>
    <t>Taxes and Licenses</t>
  </si>
  <si>
    <t>Other Administrative Expenses</t>
  </si>
  <si>
    <t>Depreciation/Amortization</t>
  </si>
  <si>
    <t>Impairment Losses</t>
  </si>
  <si>
    <t>Investment in Subsidiaries, Associates and Joint Ventures</t>
  </si>
  <si>
    <t>Losses/Recoveries on Financial Assets</t>
  </si>
  <si>
    <t>Bad Debts Written Off</t>
  </si>
  <si>
    <t>Recovery on Charged-Off Assets</t>
  </si>
  <si>
    <t>Net Profit Before Share in the Profit/(Loss) of Unconsolidated Subsidiaries, Associates and Joint Ventures Accounted for Using the Equity Method</t>
  </si>
  <si>
    <t>Share in the Profit/(Loss) of Unconsolidated Subsidiaries, Associates and Joint Ventures Accounted for Using the Equity Method</t>
  </si>
  <si>
    <t>Income Tax Expense</t>
  </si>
  <si>
    <t>Minority Interest in Profit/(Loss) of Subsidiaries (for consolidated report only)</t>
  </si>
  <si>
    <t>Net Profit or Loss</t>
  </si>
  <si>
    <t>$$$</t>
  </si>
  <si>
    <t>x</t>
  </si>
  <si>
    <t>Foreign Offices</t>
  </si>
  <si>
    <t>Balance Sheet</t>
  </si>
  <si>
    <t>Due to Head Office/Branches/Agencies (Philippine branch of a foreign bank)</t>
  </si>
  <si>
    <t>Paid in Capital Stock</t>
  </si>
  <si>
    <t>Perpetual and Cumulative Preferred Stock</t>
  </si>
  <si>
    <t>Income Statement</t>
  </si>
  <si>
    <t>Provision for Credit Losses on Loans and Receivables and Other Financial Assets</t>
  </si>
  <si>
    <t>Share in the Profit/(Loss) of Unconsolidated Subsidiaries</t>
  </si>
  <si>
    <t>Share in the Profit/(Loss) of Associates</t>
  </si>
  <si>
    <t>Share in the Profit/(Loss) of Joint Ventures</t>
  </si>
  <si>
    <t>Total Profit/Loss Before Tax and Before Minority Interest</t>
  </si>
  <si>
    <t xml:space="preserve">Total Profit/Loss After Tax and Before Minority Interest </t>
  </si>
  <si>
    <t>Solo Reports</t>
  </si>
  <si>
    <t>Demand Deposit Account</t>
  </si>
  <si>
    <t>Unamortized Discount and Other Deferred Credits</t>
  </si>
  <si>
    <t>Loans and Receivables - Others - Net of Amortization</t>
  </si>
  <si>
    <t>Stock Dividend Distributable</t>
  </si>
  <si>
    <t>Fees and Commissions Expenses</t>
  </si>
  <si>
    <t xml:space="preserve">Hybrid Tier 1 </t>
  </si>
  <si>
    <t xml:space="preserve">Others </t>
  </si>
  <si>
    <t>(32)</t>
  </si>
  <si>
    <t>Loan Portfolio Net</t>
  </si>
  <si>
    <t>Loans and Receivables Arising from RA/CA/PR/SLB - Net of Specific Allowance for Credit Losses</t>
  </si>
  <si>
    <t>Loans and Receivables -Others - Net of Specific Allowance for Credit Losses</t>
  </si>
  <si>
    <t>Unquoted Debt Securities Classified as Loans -Net of Amortization</t>
  </si>
  <si>
    <t>105050000000000000</t>
  </si>
  <si>
    <t>105100000000000000</t>
  </si>
  <si>
    <t>105150000000000000</t>
  </si>
  <si>
    <t>105150500000000000</t>
  </si>
  <si>
    <t>105152000000000000</t>
  </si>
  <si>
    <t>105200000000000000</t>
  </si>
  <si>
    <t>110000000000000000</t>
  </si>
  <si>
    <t>110050000000000000</t>
  </si>
  <si>
    <t>110100000000000000</t>
  </si>
  <si>
    <t>110150000000000000</t>
  </si>
  <si>
    <t>115000000000000000</t>
  </si>
  <si>
    <t>120000000000000000</t>
  </si>
  <si>
    <t>120001500000000000</t>
  </si>
  <si>
    <t>170050000000000000</t>
  </si>
  <si>
    <t>120001000000000000</t>
  </si>
  <si>
    <t>120002000000000000</t>
  </si>
  <si>
    <t>160200000000000000</t>
  </si>
  <si>
    <t>165200000000000000</t>
  </si>
  <si>
    <t>195200000000000000</t>
  </si>
  <si>
    <t>125000000000000000</t>
  </si>
  <si>
    <t>170250000000000000</t>
  </si>
  <si>
    <t>125001000000000000</t>
  </si>
  <si>
    <t>165250000000000000</t>
  </si>
  <si>
    <t>195250000000000000</t>
  </si>
  <si>
    <t>130000000000000000</t>
  </si>
  <si>
    <t>170300000000000000</t>
  </si>
  <si>
    <t>130001000000000000</t>
  </si>
  <si>
    <t>165300000000000000</t>
  </si>
  <si>
    <t>195300000000000000</t>
  </si>
  <si>
    <t>135000000000000000</t>
  </si>
  <si>
    <t>165350000000000000</t>
  </si>
  <si>
    <t>195350000000000000</t>
  </si>
  <si>
    <t>140000000000000000</t>
  </si>
  <si>
    <t>140050000000000000</t>
  </si>
  <si>
    <t>140050000500000000</t>
  </si>
  <si>
    <t>140050001000000000</t>
  </si>
  <si>
    <t>140100000000000000</t>
  </si>
  <si>
    <t>165100000000000000</t>
  </si>
  <si>
    <t>195401000000000000</t>
  </si>
  <si>
    <t>140150000000000000</t>
  </si>
  <si>
    <t>170350000000000000</t>
  </si>
  <si>
    <t>140150300000000000</t>
  </si>
  <si>
    <t>165150000000000000</t>
  </si>
  <si>
    <t>140150500000000000</t>
  </si>
  <si>
    <t>140200000000000000</t>
  </si>
  <si>
    <t>165180000000000000</t>
  </si>
  <si>
    <t>195402000000000000</t>
  </si>
  <si>
    <t>175150000000000000</t>
  </si>
  <si>
    <t>195400000000000000</t>
  </si>
  <si>
    <t>145050000000000000</t>
  </si>
  <si>
    <t>145051000000000000</t>
  </si>
  <si>
    <t>145052000000000000</t>
  </si>
  <si>
    <t>145053000000000000</t>
  </si>
  <si>
    <t>145054000000000000</t>
  </si>
  <si>
    <t>145100000000000000</t>
  </si>
  <si>
    <t>145150000000000000</t>
  </si>
  <si>
    <t>145151000000000000</t>
  </si>
  <si>
    <t>145152000000000000</t>
  </si>
  <si>
    <t>165451500000000000</t>
  </si>
  <si>
    <t>195451500000000000</t>
  </si>
  <si>
    <t>145200000000000000</t>
  </si>
  <si>
    <t>165452000000000000</t>
  </si>
  <si>
    <t>195452000000000000</t>
  </si>
  <si>
    <t>145250000000000000</t>
  </si>
  <si>
    <t>165452500000000000</t>
  </si>
  <si>
    <t>195452500000000000</t>
  </si>
  <si>
    <t>150050000000000000</t>
  </si>
  <si>
    <t>185050000000000000</t>
  </si>
  <si>
    <t>180050000000000000</t>
  </si>
  <si>
    <t>195500500000000000</t>
  </si>
  <si>
    <t>150100000000000000</t>
  </si>
  <si>
    <t>185100000000000000</t>
  </si>
  <si>
    <t>180100000000000000</t>
  </si>
  <si>
    <t>195501000000000000</t>
  </si>
  <si>
    <t>150150000000000000</t>
  </si>
  <si>
    <t>150200000000000000</t>
  </si>
  <si>
    <t>180200000000000000</t>
  </si>
  <si>
    <t>195502000000000000</t>
  </si>
  <si>
    <t>150250000000000000</t>
  </si>
  <si>
    <t>190250000000000000</t>
  </si>
  <si>
    <t>180250000000000000</t>
  </si>
  <si>
    <t>195502500000000000</t>
  </si>
  <si>
    <t>155050000000000000</t>
  </si>
  <si>
    <t>155100000000000000</t>
  </si>
  <si>
    <t>180300000000000000</t>
  </si>
  <si>
    <t>195551000000000000</t>
  </si>
  <si>
    <t>155250000000000000</t>
  </si>
  <si>
    <t>155300000000000000</t>
  </si>
  <si>
    <t>100000000000000000</t>
  </si>
  <si>
    <t>205000000000000000</t>
  </si>
  <si>
    <t>205050000000000000</t>
  </si>
  <si>
    <t>205100000000000000</t>
  </si>
  <si>
    <t>210000000000000000</t>
  </si>
  <si>
    <t>215000000000000000</t>
  </si>
  <si>
    <t>215050000000000000</t>
  </si>
  <si>
    <t>215100000000000000</t>
  </si>
  <si>
    <t>215200000000000000</t>
  </si>
  <si>
    <t>215150000000000000</t>
  </si>
  <si>
    <t>215250000000000000</t>
  </si>
  <si>
    <t>220050000000000000</t>
  </si>
  <si>
    <t>220100000000000000</t>
  </si>
  <si>
    <t>220150000000000000</t>
  </si>
  <si>
    <t>235150000000000000</t>
  </si>
  <si>
    <t>295201500000000000</t>
  </si>
  <si>
    <t>220200000000000000</t>
  </si>
  <si>
    <t>235200000000000000</t>
  </si>
  <si>
    <t>295202000000000000</t>
  </si>
  <si>
    <t>220250000000000000</t>
  </si>
  <si>
    <t>225050000000000000</t>
  </si>
  <si>
    <t>225100000000000000</t>
  </si>
  <si>
    <t>225101000000000000</t>
  </si>
  <si>
    <t>225102000000000000</t>
  </si>
  <si>
    <t>225103000000000000</t>
  </si>
  <si>
    <t>225104000000000000</t>
  </si>
  <si>
    <t>225150000000000000</t>
  </si>
  <si>
    <t>225200000000000000</t>
  </si>
  <si>
    <t>225250000000000000</t>
  </si>
  <si>
    <t>220300000000000000</t>
  </si>
  <si>
    <t>230050000000000000</t>
  </si>
  <si>
    <t>230100000000000000</t>
  </si>
  <si>
    <t>230150000000000000</t>
  </si>
  <si>
    <t>230200000000000000</t>
  </si>
  <si>
    <t>230250000000000000</t>
  </si>
  <si>
    <t>230300000000000000</t>
  </si>
  <si>
    <t>230350000000000000</t>
  </si>
  <si>
    <t>230400000000000000</t>
  </si>
  <si>
    <t>230450000000000000</t>
  </si>
  <si>
    <t>230500000000000000</t>
  </si>
  <si>
    <t>230550000000000000</t>
  </si>
  <si>
    <t>230600000000000000</t>
  </si>
  <si>
    <t>230650000000000000</t>
  </si>
  <si>
    <t>230700000000000000</t>
  </si>
  <si>
    <t>230750000000000000</t>
  </si>
  <si>
    <t>230751000000000000</t>
  </si>
  <si>
    <t>230759000000000000</t>
  </si>
  <si>
    <t>230800000000000000</t>
  </si>
  <si>
    <t>230850000000000000</t>
  </si>
  <si>
    <t>230900000000000000</t>
  </si>
  <si>
    <t>200000000000000000</t>
  </si>
  <si>
    <t>305000000000000000</t>
  </si>
  <si>
    <t>305050000000000000</t>
  </si>
  <si>
    <t>305100000000000000</t>
  </si>
  <si>
    <t>305150000000000000</t>
  </si>
  <si>
    <t>305200000000000000</t>
  </si>
  <si>
    <t>310000000000000000</t>
  </si>
  <si>
    <t>310030000000000000</t>
  </si>
  <si>
    <t>310050000000000000</t>
  </si>
  <si>
    <t>310900000000000000</t>
  </si>
  <si>
    <t>315000000000000000</t>
  </si>
  <si>
    <t>315050000000000000</t>
  </si>
  <si>
    <t>315051000000000000</t>
  </si>
  <si>
    <t>315052000000000000</t>
  </si>
  <si>
    <t>315053000000000000</t>
  </si>
  <si>
    <t>315059000000000000</t>
  </si>
  <si>
    <t>315100000000000000</t>
  </si>
  <si>
    <t>315120000000000000</t>
  </si>
  <si>
    <t>315150000000000000</t>
  </si>
  <si>
    <t>320000000000000000</t>
  </si>
  <si>
    <t>320050000000000000</t>
  </si>
  <si>
    <t>320051000000000000</t>
  </si>
  <si>
    <t>320052000000000000</t>
  </si>
  <si>
    <t>320100000000000000</t>
  </si>
  <si>
    <t>320101000000000000</t>
  </si>
  <si>
    <t>320102000000000000</t>
  </si>
  <si>
    <t>320150000000000000</t>
  </si>
  <si>
    <t>320900000000000000</t>
  </si>
  <si>
    <t>325050000000000000</t>
  </si>
  <si>
    <t>325100000000000000</t>
  </si>
  <si>
    <t>325150000000000000</t>
  </si>
  <si>
    <t>325200000000000000</t>
  </si>
  <si>
    <t>300000000000000000</t>
  </si>
  <si>
    <t>900000000000000000</t>
  </si>
  <si>
    <t>400000000000000000</t>
  </si>
  <si>
    <t>505050000000000000</t>
  </si>
  <si>
    <t>605100000000000000</t>
  </si>
  <si>
    <t>605150000000000000</t>
  </si>
  <si>
    <t>505000000000000000</t>
  </si>
  <si>
    <t>510000000000000000</t>
  </si>
  <si>
    <t>510050000000000000</t>
  </si>
  <si>
    <t>510100000000000000</t>
  </si>
  <si>
    <t>510101000000000000</t>
  </si>
  <si>
    <t>510102000000000000</t>
  </si>
  <si>
    <t>510103000000000000</t>
  </si>
  <si>
    <t>510104000000000000</t>
  </si>
  <si>
    <t>510105000000000000</t>
  </si>
  <si>
    <t>510106000000000000</t>
  </si>
  <si>
    <t>510109000000000000</t>
  </si>
  <si>
    <t>510150000000000000</t>
  </si>
  <si>
    <t>510200000000000000</t>
  </si>
  <si>
    <t>510250000000000000</t>
  </si>
  <si>
    <t>510300000000000000</t>
  </si>
  <si>
    <t>510350000000000000</t>
  </si>
  <si>
    <t>510400000000000000</t>
  </si>
  <si>
    <t>510402000000000000</t>
  </si>
  <si>
    <t>510403000000000000</t>
  </si>
  <si>
    <t>510404000000000000</t>
  </si>
  <si>
    <t>510409000000000000</t>
  </si>
  <si>
    <t>510450000000000000</t>
  </si>
  <si>
    <t>610000000000000000</t>
  </si>
  <si>
    <t>610050000000000000</t>
  </si>
  <si>
    <t>610100000000000000</t>
  </si>
  <si>
    <t>610130000000000000</t>
  </si>
  <si>
    <t>610150000000000000</t>
  </si>
  <si>
    <t>610200000000000000</t>
  </si>
  <si>
    <t>610250000000000000</t>
  </si>
  <si>
    <t>610251000000000000</t>
  </si>
  <si>
    <t>610252000000000000</t>
  </si>
  <si>
    <t>610253000000000000</t>
  </si>
  <si>
    <t>610254000000000000</t>
  </si>
  <si>
    <t>610259000000000000</t>
  </si>
  <si>
    <t>610259500000000000</t>
  </si>
  <si>
    <t>610300000000000000</t>
  </si>
  <si>
    <t>700000000000000000</t>
  </si>
  <si>
    <t>700050000000000000</t>
  </si>
  <si>
    <t>700100000000000000</t>
  </si>
  <si>
    <t>700150000000000000</t>
  </si>
  <si>
    <t>905000000000000000</t>
  </si>
  <si>
    <t>805000000000000000</t>
  </si>
  <si>
    <t>805050000000000000</t>
  </si>
  <si>
    <t>805100000000000000</t>
  </si>
  <si>
    <t>805150000000000000</t>
  </si>
  <si>
    <t>910000000000000000</t>
  </si>
  <si>
    <t>615000000000000000</t>
  </si>
  <si>
    <t>915000000000000000</t>
  </si>
  <si>
    <t>810000000000000000</t>
  </si>
  <si>
    <t>920000000000000000</t>
  </si>
  <si>
    <t>170450000000000000</t>
  </si>
  <si>
    <t>145153000000000000</t>
  </si>
  <si>
    <t>Due to FCDU/RBU</t>
  </si>
  <si>
    <t>Due from FCDU/RBU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</si>
  <si>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</si>
  <si>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</si>
  <si>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</si>
  <si>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</si>
  <si>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</si>
  <si>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</si>
  <si>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</si>
  <si>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</si>
  <si>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</si>
  <si>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</si>
  <si>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</si>
  <si>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</si>
  <si>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</si>
  <si>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</si>
  <si>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</si>
  <si>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</si>
  <si>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</si>
  <si>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</si>
  <si>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</si>
  <si>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</si>
  <si>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</si>
  <si>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</si>
  <si>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</si>
  <si>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</si>
  <si>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</si>
  <si>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</si>
  <si>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</si>
  <si>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</si>
  <si>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</si>
  <si>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</si>
  <si>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</si>
  <si>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</si>
  <si>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</si>
  <si>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</si>
  <si>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</si>
  <si>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</si>
  <si>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</si>
  <si>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</si>
  <si>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</si>
  <si>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</si>
  <si>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</si>
  <si>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</si>
  <si>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610253500000000000</t>
  </si>
  <si>
    <t>180150000000000000</t>
  </si>
  <si>
    <t>Non-Current Assets Held for Sale - Net</t>
  </si>
  <si>
    <t>150150000000000001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</si>
  <si>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</si>
  <si>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</si>
  <si>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</si>
  <si>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</si>
  <si>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</si>
  <si>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</si>
  <si>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</si>
  <si>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</si>
  <si>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</si>
  <si>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</si>
  <si>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</si>
  <si>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</si>
  <si>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</si>
  <si>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</si>
  <si>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</si>
  <si>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</si>
  <si>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</si>
  <si>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</si>
  <si>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</si>
  <si>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</si>
  <si>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</si>
  <si>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</si>
  <si>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</si>
  <si>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</si>
  <si>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</si>
  <si>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</si>
  <si>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</si>
  <si>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</si>
  <si>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</si>
  <si>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Deposits for Stock Subscription</t>
  </si>
  <si>
    <t>305250000000000000</t>
  </si>
  <si>
    <t>1ST VALLEY BANK INC A DEVT BANK</t>
  </si>
  <si>
    <t>TONGYANG SAVINGS BANK INC</t>
  </si>
  <si>
    <t>MBANK PHILIPPINES (A TB) INC</t>
  </si>
  <si>
    <t>Sales Contract Receivable - Net of Amortization</t>
  </si>
  <si>
    <t>Broker Customer Accounts for Settlement of Customer Trades</t>
  </si>
  <si>
    <t>230780000000000000</t>
  </si>
  <si>
    <t>(33)</t>
  </si>
  <si>
    <t>Income from Securities Brokering Activities</t>
  </si>
  <si>
    <t>510104500000000000</t>
  </si>
  <si>
    <t>(h)</t>
  </si>
  <si>
    <t>Overnight Deposit Account</t>
  </si>
  <si>
    <t>Term Deposit Account</t>
  </si>
  <si>
    <t>105150700000000000</t>
  </si>
  <si>
    <t>105150900000000000</t>
  </si>
  <si>
    <t>Remeasurements of Net Defined Benefit Liability/ (Asset)</t>
  </si>
  <si>
    <t>320200000000000000</t>
  </si>
  <si>
    <t>Net Unrealized Gains/(Losses) on Fair Value Attributable to Change in Own Credit Risk of Financial Liabilities Designated at Fair Value Through Profit or Loss</t>
  </si>
  <si>
    <t>320250000000000000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</si>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</sst>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12" x14ac:knownFonts="1">
    <font>
      <sz val="10"/>
      <name val="Arial"/>
    </font>
    <font>
      <b/>
      <sz val="8"/>
      <name val="Arial"/>
      <family val="2"/>
    </font>
    <font>
      <i/>
      <sz val="8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8"/>
      <color indexed="23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0"/>
      <color rgb="FF00B0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2">
    <xf numFmtId="0" fontId="0" fillId="0" borderId="0" xfId="0"/>
    <xf numFmtId="0" fontId="1" fillId="0" borderId="1" xfId="0" applyFont="1" applyFill="1" applyBorder="1" applyAlignment="1" applyProtection="1">
      <alignment horizontal="left" vertical="top" wrapText="1"/>
      <protection hidden="1"/>
    </xf>
    <xf numFmtId="4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horizontal="center" vertical="top"/>
      <protection hidden="1"/>
    </xf>
    <xf numFmtId="1" fontId="3" fillId="0" borderId="0" xfId="0" applyNumberFormat="1" applyFont="1" applyFill="1" applyBorder="1" applyAlignment="1" applyProtection="1">
      <alignment horizontal="right" vertical="top"/>
      <protection hidden="1"/>
    </xf>
    <xf numFmtId="2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Alignment="1" applyProtection="1">
      <alignment vertical="top"/>
      <protection hidden="1"/>
    </xf>
    <xf numFmtId="0" fontId="3" fillId="0" borderId="0" xfId="0" quotePrefix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vertical="top"/>
      <protection hidden="1"/>
    </xf>
    <xf numFmtId="1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2" borderId="0" xfId="0" applyFont="1" applyFill="1" applyBorder="1" applyAlignment="1" applyProtection="1">
      <alignment vertical="top"/>
      <protection hidden="1"/>
    </xf>
    <xf numFmtId="1" fontId="6" fillId="0" borderId="0" xfId="0" applyNumberFormat="1" applyFont="1" applyFill="1" applyBorder="1" applyAlignment="1" applyProtection="1">
      <alignment horizontal="center" vertical="top"/>
      <protection hidden="1"/>
    </xf>
    <xf numFmtId="4" fontId="5" fillId="0" borderId="0" xfId="0" applyNumberFormat="1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right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2" xfId="0" applyNumberFormat="1" applyFont="1" applyFill="1" applyBorder="1" applyAlignment="1" applyProtection="1">
      <alignment horizontal="center" vertical="top"/>
      <protection hidden="1"/>
    </xf>
    <xf numFmtId="1" fontId="3" fillId="0" borderId="2" xfId="0" applyNumberFormat="1" applyFont="1" applyFill="1" applyBorder="1" applyAlignment="1" applyProtection="1">
      <alignment horizontal="right" vertical="top"/>
      <protection hidden="1"/>
    </xf>
    <xf numFmtId="4" fontId="3" fillId="0" borderId="2" xfId="0" applyNumberFormat="1" applyFont="1" applyBorder="1" applyAlignment="1" applyProtection="1">
      <alignment horizontal="center" vertical="top"/>
      <protection hidden="1"/>
    </xf>
    <xf numFmtId="4" fontId="5" fillId="0" borderId="2" xfId="0" applyNumberFormat="1" applyFont="1" applyBorder="1" applyAlignment="1" applyProtection="1">
      <alignment horizontal="center" vertical="top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4" xfId="0" applyFont="1" applyFill="1" applyBorder="1" applyAlignment="1" applyProtection="1">
      <alignment vertical="top"/>
      <protection hidden="1"/>
    </xf>
    <xf numFmtId="0" fontId="3" fillId="0" borderId="5" xfId="0" quotePrefix="1" applyFont="1" applyFill="1" applyBorder="1" applyAlignment="1" applyProtection="1">
      <alignment vertical="top"/>
      <protection hidden="1"/>
    </xf>
    <xf numFmtId="0" fontId="3" fillId="0" borderId="6" xfId="0" applyFont="1" applyFill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3" fillId="0" borderId="7" xfId="0" quotePrefix="1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1" fillId="0" borderId="7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" fontId="3" fillId="0" borderId="9" xfId="0" applyNumberFormat="1" applyFont="1" applyFill="1" applyBorder="1" applyAlignment="1" applyProtection="1">
      <alignment horizontal="right" vertical="top"/>
      <protection hidden="1"/>
    </xf>
    <xf numFmtId="2" fontId="3" fillId="0" borderId="7" xfId="0" quotePrefix="1" applyNumberFormat="1" applyFont="1" applyFill="1" applyBorder="1" applyAlignment="1" applyProtection="1">
      <alignment vertical="top"/>
      <protection hidden="1"/>
    </xf>
    <xf numFmtId="2" fontId="3" fillId="0" borderId="8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horizontal="center" vertical="top"/>
      <protection hidden="1"/>
    </xf>
    <xf numFmtId="2" fontId="3" fillId="0" borderId="2" xfId="0" applyNumberFormat="1" applyFont="1" applyFill="1" applyBorder="1" applyAlignment="1" applyProtection="1">
      <alignment horizontal="right" vertical="top"/>
      <protection hidden="1"/>
    </xf>
    <xf numFmtId="1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0" xfId="0" applyNumberFormat="1" applyFont="1" applyFill="1" applyBorder="1" applyAlignment="1" applyProtection="1">
      <alignment vertical="top"/>
      <protection hidden="1"/>
    </xf>
    <xf numFmtId="2" fontId="3" fillId="0" borderId="1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vertical="top"/>
      <protection hidden="1"/>
    </xf>
    <xf numFmtId="2" fontId="3" fillId="0" borderId="5" xfId="0" quotePrefix="1" applyNumberFormat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2" fontId="3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1" fontId="3" fillId="0" borderId="2" xfId="0" applyNumberFormat="1" applyFont="1" applyFill="1" applyBorder="1" applyAlignment="1" applyProtection="1">
      <alignment horizontal="right"/>
      <protection hidden="1"/>
    </xf>
    <xf numFmtId="1" fontId="3" fillId="0" borderId="0" xfId="0" applyNumberFormat="1" applyFont="1" applyBorder="1" applyProtection="1">
      <protection hidden="1"/>
    </xf>
    <xf numFmtId="1" fontId="3" fillId="0" borderId="0" xfId="0" applyNumberFormat="1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0" borderId="0" xfId="0" quotePrefix="1" applyFont="1" applyFill="1" applyBorder="1" applyAlignment="1" applyProtection="1">
      <alignment horizontal="left" vertical="top" wrapText="1"/>
      <protection hidden="1"/>
    </xf>
    <xf numFmtId="1" fontId="6" fillId="0" borderId="0" xfId="0" applyNumberFormat="1" applyFont="1" applyFill="1" applyBorder="1" applyAlignment="1" applyProtection="1">
      <alignment horizontal="center"/>
      <protection hidden="1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 wrapText="1"/>
      <protection hidden="1"/>
    </xf>
    <xf numFmtId="0" fontId="2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wrapText="1"/>
      <protection hidden="1"/>
    </xf>
    <xf numFmtId="0" fontId="1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0" xfId="0" applyFont="1" applyFill="1" applyBorder="1" applyAlignment="1" applyProtection="1">
      <alignment vertical="top"/>
      <protection hidden="1"/>
    </xf>
    <xf numFmtId="0" fontId="3" fillId="0" borderId="6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2" fontId="3" fillId="0" borderId="2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Protection="1">
      <protection hidden="1"/>
    </xf>
    <xf numFmtId="2" fontId="1" fillId="0" borderId="0" xfId="0" applyNumberFormat="1" applyFont="1" applyFill="1" applyBorder="1" applyAlignment="1" applyProtection="1">
      <alignment horizontal="left" vertical="top" wrapText="1"/>
      <protection hidden="1"/>
    </xf>
    <xf numFmtId="2" fontId="1" fillId="0" borderId="6" xfId="0" applyNumberFormat="1" applyFont="1" applyFill="1" applyBorder="1" applyAlignment="1" applyProtection="1">
      <alignment horizontal="left" vertical="top" wrapText="1"/>
      <protection hidden="1"/>
    </xf>
    <xf numFmtId="2" fontId="1" fillId="0" borderId="1" xfId="0" applyNumberFormat="1" applyFont="1" applyFill="1" applyBorder="1" applyAlignment="1" applyProtection="1">
      <alignment horizontal="left" vertical="top" wrapText="1"/>
      <protection hidden="1"/>
    </xf>
    <xf numFmtId="2" fontId="1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Protection="1">
      <protection hidden="1"/>
    </xf>
    <xf numFmtId="2" fontId="3" fillId="0" borderId="1" xfId="0" applyNumberFormat="1" applyFont="1" applyFill="1" applyBorder="1" applyProtection="1">
      <protection hidden="1"/>
    </xf>
    <xf numFmtId="2" fontId="3" fillId="0" borderId="2" xfId="0" applyNumberFormat="1" applyFont="1" applyFill="1" applyBorder="1" applyProtection="1">
      <protection hidden="1"/>
    </xf>
    <xf numFmtId="2" fontId="3" fillId="0" borderId="5" xfId="0" quotePrefix="1" applyNumberFormat="1" applyFont="1" applyFill="1" applyBorder="1" applyAlignment="1" applyProtection="1">
      <alignment vertical="top" wrapText="1"/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4" fontId="3" fillId="0" borderId="0" xfId="0" applyNumberFormat="1" applyFont="1" applyBorder="1" applyProtection="1">
      <protection hidden="1"/>
    </xf>
    <xf numFmtId="39" fontId="3" fillId="0" borderId="2" xfId="0" applyNumberFormat="1" applyFont="1" applyBorder="1" applyAlignment="1" applyProtection="1">
      <alignment vertical="top"/>
      <protection locked="0"/>
    </xf>
    <xf numFmtId="39" fontId="5" fillId="0" borderId="2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locked="0"/>
    </xf>
    <xf numFmtId="39" fontId="5" fillId="0" borderId="2" xfId="0" applyNumberFormat="1" applyFont="1" applyFill="1" applyBorder="1" applyAlignment="1" applyProtection="1">
      <alignment vertical="top"/>
      <protection hidden="1"/>
    </xf>
    <xf numFmtId="39" fontId="3" fillId="3" borderId="2" xfId="0" applyNumberFormat="1" applyFont="1" applyFill="1" applyBorder="1" applyAlignment="1" applyProtection="1">
      <alignment vertical="top"/>
      <protection hidden="1"/>
    </xf>
    <xf numFmtId="39" fontId="5" fillId="3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 vertical="top"/>
      <protection locked="0"/>
    </xf>
    <xf numFmtId="39" fontId="5" fillId="0" borderId="2" xfId="0" applyNumberFormat="1" applyFont="1" applyFill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vertical="top"/>
      <protection hidden="1"/>
    </xf>
    <xf numFmtId="39" fontId="8" fillId="3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/>
      <protection locked="0"/>
    </xf>
    <xf numFmtId="39" fontId="5" fillId="0" borderId="9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hidden="1"/>
    </xf>
    <xf numFmtId="39" fontId="3" fillId="0" borderId="7" xfId="0" quotePrefix="1" applyNumberFormat="1" applyFont="1" applyFill="1" applyBorder="1" applyAlignment="1" applyProtection="1">
      <alignment vertical="top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center" vertical="top"/>
      <protection hidden="1"/>
    </xf>
    <xf numFmtId="39" fontId="3" fillId="0" borderId="0" xfId="0" applyNumberFormat="1" applyFont="1" applyBorder="1" applyAlignment="1" applyProtection="1">
      <alignment vertical="top"/>
      <protection hidden="1"/>
    </xf>
    <xf numFmtId="39" fontId="3" fillId="0" borderId="0" xfId="0" applyNumberFormat="1" applyFont="1" applyFill="1" applyBorder="1" applyAlignment="1" applyProtection="1">
      <alignment vertical="top"/>
      <protection hidden="1"/>
    </xf>
    <xf numFmtId="39" fontId="5" fillId="0" borderId="2" xfId="0" applyNumberFormat="1" applyFont="1" applyBorder="1" applyAlignment="1" applyProtection="1">
      <alignment horizontal="right" vertical="top"/>
      <protection hidden="1"/>
    </xf>
    <xf numFmtId="2" fontId="3" fillId="0" borderId="0" xfId="0" applyNumberFormat="1" applyFont="1" applyFill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vertical="top"/>
      <protection hidden="1"/>
    </xf>
    <xf numFmtId="0" fontId="3" fillId="0" borderId="8" xfId="0" quotePrefix="1" applyFont="1" applyFill="1" applyBorder="1" applyAlignment="1" applyProtection="1">
      <alignment horizontal="left" vertical="top" wrapText="1"/>
      <protection hidden="1"/>
    </xf>
    <xf numFmtId="1" fontId="3" fillId="0" borderId="9" xfId="0" applyNumberFormat="1" applyFont="1" applyFill="1" applyBorder="1" applyAlignment="1" applyProtection="1">
      <alignment horizontal="right"/>
      <protection hidden="1"/>
    </xf>
    <xf numFmtId="39" fontId="3" fillId="0" borderId="9" xfId="0" applyNumberFormat="1" applyFont="1" applyBorder="1" applyAlignment="1" applyProtection="1">
      <alignment horizontal="right"/>
      <protection locked="0"/>
    </xf>
    <xf numFmtId="39" fontId="3" fillId="0" borderId="2" xfId="0" applyNumberFormat="1" applyFont="1" applyFill="1" applyBorder="1" applyAlignment="1" applyProtection="1">
      <alignment horizontal="right" vertical="top"/>
      <protection locked="0"/>
    </xf>
    <xf numFmtId="49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39" fontId="3" fillId="4" borderId="2" xfId="0" applyNumberFormat="1" applyFont="1" applyFill="1" applyBorder="1" applyAlignment="1" applyProtection="1">
      <alignment vertical="top"/>
      <protection hidden="1"/>
    </xf>
    <xf numFmtId="39" fontId="5" fillId="4" borderId="2" xfId="0" applyNumberFormat="1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horizontal="right"/>
      <protection hidden="1"/>
    </xf>
    <xf numFmtId="39" fontId="3" fillId="0" borderId="9" xfId="0" applyNumberFormat="1" applyFont="1" applyBorder="1" applyAlignment="1" applyProtection="1">
      <alignment horizontal="right"/>
      <protection hidden="1"/>
    </xf>
    <xf numFmtId="0" fontId="3" fillId="0" borderId="10" xfId="0" quotePrefix="1" applyFont="1" applyFill="1" applyBorder="1" applyAlignment="1" applyProtection="1">
      <alignment vertical="top"/>
      <protection hidden="1"/>
    </xf>
    <xf numFmtId="0" fontId="3" fillId="0" borderId="12" xfId="0" quotePrefix="1" applyFont="1" applyFill="1" applyBorder="1" applyAlignment="1" applyProtection="1">
      <alignment vertical="top"/>
      <protection hidden="1"/>
    </xf>
    <xf numFmtId="0" fontId="9" fillId="0" borderId="8" xfId="0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vertical="top"/>
      <protection hidden="1"/>
    </xf>
    <xf numFmtId="0" fontId="9" fillId="0" borderId="11" xfId="0" applyFont="1" applyFill="1" applyBorder="1" applyAlignment="1" applyProtection="1">
      <alignment vertical="top"/>
      <protection hidden="1"/>
    </xf>
    <xf numFmtId="0" fontId="9" fillId="0" borderId="0" xfId="0" applyFont="1" applyFill="1" applyBorder="1" applyAlignment="1" applyProtection="1">
      <alignment vertical="top"/>
      <protection hidden="1"/>
    </xf>
    <xf numFmtId="49" fontId="3" fillId="0" borderId="1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2" fontId="2" fillId="0" borderId="8" xfId="0" applyNumberFormat="1" applyFont="1" applyFill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vertical="top"/>
      <protection hidden="1"/>
    </xf>
    <xf numFmtId="2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2" fontId="3" fillId="0" borderId="5" xfId="0" applyNumberFormat="1" applyFont="1" applyFill="1" applyBorder="1" applyAlignment="1" applyProtection="1">
      <alignment vertical="top"/>
      <protection hidden="1"/>
    </xf>
    <xf numFmtId="2" fontId="2" fillId="0" borderId="0" xfId="0" applyNumberFormat="1" applyFont="1" applyFill="1" applyBorder="1" applyAlignment="1" applyProtection="1">
      <alignment vertical="top"/>
      <protection hidden="1"/>
    </xf>
    <xf numFmtId="2" fontId="3" fillId="0" borderId="6" xfId="0" applyNumberFormat="1" applyFont="1" applyFill="1" applyBorder="1" applyAlignment="1" applyProtection="1">
      <alignment vertical="top"/>
      <protection hidden="1"/>
    </xf>
    <xf numFmtId="0" fontId="3" fillId="0" borderId="7" xfId="0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2" fontId="3" fillId="0" borderId="7" xfId="0" applyNumberFormat="1" applyFont="1" applyFill="1" applyBorder="1" applyAlignment="1" applyProtection="1">
      <alignment vertical="top"/>
      <protection hidden="1"/>
    </xf>
    <xf numFmtId="0" fontId="3" fillId="0" borderId="5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0" fontId="10" fillId="0" borderId="1" xfId="0" applyFont="1" applyFill="1" applyBorder="1" applyAlignment="1" applyProtection="1">
      <alignment vertical="top"/>
      <protection hidden="1"/>
    </xf>
    <xf numFmtId="0" fontId="2" fillId="0" borderId="6" xfId="0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0" fontId="10" fillId="0" borderId="8" xfId="0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vertical="top"/>
      <protection hidden="1"/>
    </xf>
    <xf numFmtId="49" fontId="3" fillId="0" borderId="2" xfId="0" applyNumberFormat="1" applyFont="1" applyFill="1" applyBorder="1" applyAlignment="1" applyProtection="1">
      <alignment horizontal="center" vertical="top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49" fontId="3" fillId="0" borderId="2" xfId="0" applyNumberFormat="1" applyFont="1" applyFill="1" applyBorder="1" applyAlignment="1" applyProtection="1">
      <alignment horizontal="left" vertical="top" wrapText="1"/>
      <protection hidden="1"/>
    </xf>
    <xf numFmtId="49" fontId="3" fillId="0" borderId="2" xfId="0" quotePrefix="1" applyNumberFormat="1" applyFont="1" applyFill="1" applyBorder="1" applyAlignment="1" applyProtection="1">
      <alignment horizontal="center"/>
      <protection hidden="1"/>
    </xf>
    <xf numFmtId="0" fontId="1" fillId="0" borderId="12" xfId="0" applyFont="1" applyFill="1" applyBorder="1" applyAlignment="1" applyProtection="1">
      <alignment vertical="top"/>
      <protection hidden="1"/>
    </xf>
    <xf numFmtId="0" fontId="3" fillId="0" borderId="9" xfId="0" applyFont="1" applyFill="1" applyBorder="1" applyAlignment="1" applyProtection="1">
      <alignment vertical="top"/>
      <protection hidden="1"/>
    </xf>
    <xf numFmtId="49" fontId="3" fillId="0" borderId="9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6" xfId="0" applyNumberFormat="1" applyFont="1" applyFill="1" applyBorder="1" applyAlignment="1" applyProtection="1">
      <alignment vertical="top" wrapText="1"/>
      <protection hidden="1"/>
    </xf>
    <xf numFmtId="2" fontId="3" fillId="0" borderId="1" xfId="0" applyNumberFormat="1" applyFont="1" applyFill="1" applyBorder="1" applyAlignment="1" applyProtection="1">
      <alignment vertical="top" wrapText="1"/>
      <protection hidden="1"/>
    </xf>
    <xf numFmtId="2" fontId="3" fillId="0" borderId="2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0" fontId="3" fillId="0" borderId="8" xfId="0" quotePrefix="1" applyFont="1" applyFill="1" applyBorder="1" applyAlignment="1" applyProtection="1">
      <alignment vertical="top"/>
      <protection hidden="1"/>
    </xf>
    <xf numFmtId="0" fontId="11" fillId="5" borderId="0" xfId="0" applyFont="1" applyFill="1" applyProtection="1">
      <protection locked="0"/>
    </xf>
    <xf numFmtId="0" fontId="11" fillId="5" borderId="0" xfId="0" applyFont="1" applyFill="1"/>
    <xf numFmtId="1" fontId="11" fillId="5" borderId="0" xfId="0" applyNumberFormat="1" applyFont="1" applyFill="1"/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6" xfId="0" applyFont="1" applyFill="1" applyBorder="1" applyAlignment="1" applyProtection="1">
      <alignment horizontal="left" vertical="top"/>
      <protection hidden="1"/>
    </xf>
    <xf numFmtId="0" fontId="1" fillId="0" borderId="14" xfId="0" applyFont="1" applyFill="1" applyBorder="1" applyAlignment="1" applyProtection="1">
      <alignment horizontal="left" vertical="top"/>
      <protection hidden="1"/>
    </xf>
    <xf numFmtId="0" fontId="3" fillId="0" borderId="14" xfId="0" applyFont="1" applyBorder="1" applyAlignment="1" applyProtection="1">
      <alignment vertical="top"/>
      <protection hidden="1"/>
    </xf>
    <xf numFmtId="0" fontId="3" fillId="0" borderId="2" xfId="0" applyFont="1" applyBorder="1" applyAlignment="1" applyProtection="1">
      <alignment vertical="top"/>
      <protection hidden="1"/>
    </xf>
    <xf numFmtId="49" fontId="3" fillId="0" borderId="8" xfId="0" applyNumberFormat="1" applyFont="1" applyFill="1" applyBorder="1" applyAlignment="1" applyProtection="1">
      <alignment horizontal="left" vertical="top" wrapText="1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justify"/>
      <protection hidden="1"/>
    </xf>
    <xf numFmtId="0" fontId="3" fillId="0" borderId="1" xfId="0" applyFont="1" applyFill="1" applyBorder="1" applyAlignment="1" applyProtection="1">
      <alignment horizontal="left" vertical="justify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6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Border="1" applyAlignment="1" applyProtection="1"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1" fillId="0" borderId="7" xfId="0" applyFont="1" applyFill="1" applyBorder="1" applyAlignment="1" applyProtection="1">
      <alignment horizontal="left" vertical="top" wrapText="1"/>
      <protection hidden="1"/>
    </xf>
    <xf numFmtId="0" fontId="1" fillId="0" borderId="8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2" fontId="3" fillId="0" borderId="6" xfId="0" applyNumberFormat="1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0" fontId="9" fillId="0" borderId="0" xfId="0" applyFont="1" applyFill="1" applyBorder="1" applyAlignment="1" applyProtection="1">
      <alignment horizontal="left" vertical="top" wrapText="1"/>
      <protection hidden="1"/>
    </xf>
    <xf numFmtId="0" fontId="9" fillId="0" borderId="6" xfId="0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Alignment="1" applyProtection="1">
      <alignment horizontal="left" wrapText="1"/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Alignment="1" applyProtection="1">
      <alignment horizontal="left" wrapText="1"/>
      <protection hidden="1"/>
    </xf>
    <xf numFmtId="2" fontId="3" fillId="0" borderId="6" xfId="0" applyNumberFormat="1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39" fontId="3" fillId="0" borderId="8" xfId="0" applyNumberFormat="1" applyFont="1" applyFill="1" applyBorder="1" applyAlignment="1" applyProtection="1">
      <alignment horizontal="left" vertical="top" wrapText="1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27"/>
  <sheetViews>
    <sheetView showGridLines="0" zoomScale="85" zoomScaleNormal="85" zoomScaleSheetLayoutView="100" workbookViewId="0">
      <pane xSplit="8" ySplit="8" topLeftCell="I15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customWidth="true" style="16" width="3.5703125" collapsed="false"/>
    <col min="2" max="2" customWidth="true" style="16" width="3.28515625" collapsed="false"/>
    <col min="3" max="3" customWidth="true" style="16" width="2.85546875" collapsed="false"/>
    <col min="4" max="4" customWidth="true" style="16" width="59.7109375" collapsed="false"/>
    <col min="5" max="5" customWidth="true" hidden="true" style="16" width="19.140625" collapsed="false"/>
    <col min="6" max="6" customWidth="true" hidden="true" style="16" width="7.5703125" collapsed="false"/>
    <col min="7" max="7" bestFit="true" customWidth="true" style="17" width="18.85546875" collapsed="false"/>
    <col min="8" max="8" customWidth="true" hidden="true" style="18" width="18.7109375" collapsed="false"/>
    <col min="9" max="13" customWidth="true" style="85" width="20.7109375" collapsed="false"/>
    <col min="14" max="15" customWidth="true" hidden="true" style="85" width="20.7109375" collapsed="false"/>
    <col min="16" max="16" customWidth="true" style="15" width="20.7109375" collapsed="false"/>
    <col min="17" max="17" bestFit="true" customWidth="true" style="74" width="28.7109375" collapsed="false"/>
    <col min="18" max="18" bestFit="true" customWidth="true" style="16" width="9.7109375" collapsed="false"/>
    <col min="19" max="45" style="16" width="9.140625" collapsed="false"/>
    <col min="46" max="16384" style="3" width="9.140625" collapsed="false"/>
  </cols>
  <sheetData>
    <row r="1" spans="1:45" ht="11.25" customHeight="1" x14ac:dyDescent="0.2">
      <c r="A1" s="186" t="s">
        <v>232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</row>
    <row r="2" spans="1:45" ht="11.25" hidden="1" customHeight="1" x14ac:dyDescent="0.2">
      <c r="A2" s="181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</row>
    <row r="3" spans="1:45" ht="11.25" hidden="1" customHeight="1" x14ac:dyDescent="0.2">
      <c r="A3" s="181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</row>
    <row r="4" spans="1:45" ht="11.25" hidden="1" customHeight="1" x14ac:dyDescent="0.2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</row>
    <row r="5" spans="1:45" ht="11.25" hidden="1" customHeight="1" x14ac:dyDescent="0.2">
      <c r="A5" s="181"/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</row>
    <row r="6" spans="1:45" ht="11.25" customHeight="1" x14ac:dyDescent="0.2">
      <c r="A6" s="181"/>
      <c r="B6" s="182"/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</row>
    <row r="7" spans="1:45" s="4" customFormat="1" ht="11.25" customHeight="1" x14ac:dyDescent="0.2">
      <c r="A7" s="184" t="s">
        <v>0</v>
      </c>
      <c r="B7" s="184"/>
      <c r="C7" s="184"/>
      <c r="D7" s="184"/>
      <c r="E7" s="185"/>
      <c r="F7" s="185"/>
      <c r="G7" s="168" t="s">
        <v>1</v>
      </c>
      <c r="H7" s="20"/>
      <c r="I7" s="83" t="s">
        <v>2</v>
      </c>
      <c r="J7" s="183" t="s">
        <v>3</v>
      </c>
      <c r="K7" s="183"/>
      <c r="L7" s="183" t="s">
        <v>4</v>
      </c>
      <c r="M7" s="183"/>
      <c r="N7" s="183" t="s">
        <v>231</v>
      </c>
      <c r="O7" s="183"/>
      <c r="P7" s="183" t="s">
        <v>5</v>
      </c>
      <c r="Q7" s="106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</row>
    <row r="8" spans="1:45" s="4" customFormat="1" ht="11.25" customHeight="1" x14ac:dyDescent="0.2">
      <c r="A8" s="184"/>
      <c r="B8" s="184"/>
      <c r="C8" s="184"/>
      <c r="D8" s="184"/>
      <c r="E8" s="185"/>
      <c r="F8" s="185"/>
      <c r="G8" s="168"/>
      <c r="H8" s="20"/>
      <c r="I8" s="84" t="s">
        <v>6</v>
      </c>
      <c r="J8" s="84" t="s">
        <v>7</v>
      </c>
      <c r="K8" s="84" t="s">
        <v>8</v>
      </c>
      <c r="L8" s="84" t="s">
        <v>7</v>
      </c>
      <c r="M8" s="84" t="s">
        <v>8</v>
      </c>
      <c r="N8" s="84" t="s">
        <v>7</v>
      </c>
      <c r="O8" s="84" t="s">
        <v>8</v>
      </c>
      <c r="P8" s="183"/>
      <c r="Q8" s="106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</row>
    <row r="9" spans="1:45" s="8" customFormat="1" ht="11.25" customHeight="1" x14ac:dyDescent="0.2">
      <c r="A9" s="172" t="s">
        <v>9</v>
      </c>
      <c r="B9" s="173"/>
      <c r="C9" s="173"/>
      <c r="D9" s="173"/>
      <c r="E9" s="174"/>
      <c r="F9" s="174"/>
      <c r="G9" s="21"/>
      <c r="H9" s="22"/>
      <c r="I9" s="23"/>
      <c r="J9" s="23"/>
      <c r="K9" s="23"/>
      <c r="L9" s="23"/>
      <c r="M9" s="23"/>
      <c r="N9" s="23"/>
      <c r="O9" s="23"/>
      <c r="P9" s="24"/>
      <c r="Q9" s="45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</row>
    <row r="10" spans="1:45" s="8" customFormat="1" ht="11.25" customHeight="1" x14ac:dyDescent="0.2">
      <c r="A10" s="119" t="s">
        <v>10</v>
      </c>
      <c r="B10" s="29" t="s">
        <v>11</v>
      </c>
      <c r="C10" s="29"/>
      <c r="D10" s="30"/>
      <c r="E10" s="27"/>
      <c r="F10" s="25"/>
      <c r="G10" s="112" t="s">
        <v>256</v>
      </c>
      <c r="H10" s="22"/>
      <c r="I10" s="86" t="n">
        <v>6480883.12</v>
      </c>
      <c r="J10" s="86"/>
      <c r="K10" s="86"/>
      <c r="L10" s="88"/>
      <c r="M10" s="88"/>
      <c r="N10" s="98"/>
      <c r="O10" s="98"/>
      <c r="P10" s="89">
        <f t="shared" ref="P10:P83" si="0">I10+K10+M10+O10</f>
        <v>0</v>
      </c>
      <c r="Q10" s="107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</row>
    <row r="11" spans="1:45" s="8" customFormat="1" ht="11.25" customHeight="1" x14ac:dyDescent="0.2">
      <c r="A11" s="34" t="s">
        <v>12</v>
      </c>
      <c r="B11" s="35" t="s">
        <v>13</v>
      </c>
      <c r="C11" s="35"/>
      <c r="D11" s="27"/>
      <c r="E11" s="27"/>
      <c r="F11" s="25"/>
      <c r="G11" s="112" t="s">
        <v>257</v>
      </c>
      <c r="H11" s="22"/>
      <c r="I11" s="86" t="n">
        <v>313249.34</v>
      </c>
      <c r="J11" s="88"/>
      <c r="K11" s="88"/>
      <c r="L11" s="88"/>
      <c r="M11" s="88"/>
      <c r="N11" s="98"/>
      <c r="O11" s="98"/>
      <c r="P11" s="89">
        <f t="shared" si="0"/>
        <v>0</v>
      </c>
      <c r="Q11" s="107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</row>
    <row r="12" spans="1:45" s="8" customFormat="1" ht="11.25" customHeight="1" x14ac:dyDescent="0.2">
      <c r="A12" s="34" t="s">
        <v>14</v>
      </c>
      <c r="B12" s="35" t="s">
        <v>15</v>
      </c>
      <c r="C12" s="35"/>
      <c r="D12" s="27"/>
      <c r="E12" s="27"/>
      <c r="F12" s="25"/>
      <c r="G12" s="112" t="s">
        <v>258</v>
      </c>
      <c r="H12" s="22"/>
      <c r="I12" s="87">
        <f>SUM(I13:I16)</f>
        <v>0</v>
      </c>
      <c r="J12" s="87">
        <f t="shared" ref="J12:O12" si="1">SUM(J13:J16)</f>
        <v>0</v>
      </c>
      <c r="K12" s="87">
        <f t="shared" si="1"/>
        <v>0</v>
      </c>
      <c r="L12" s="87">
        <f t="shared" si="1"/>
        <v>0</v>
      </c>
      <c r="M12" s="87">
        <f t="shared" si="1"/>
        <v>0</v>
      </c>
      <c r="N12" s="87">
        <f t="shared" si="1"/>
        <v>0</v>
      </c>
      <c r="O12" s="87">
        <f t="shared" si="1"/>
        <v>0</v>
      </c>
      <c r="P12" s="89">
        <f t="shared" si="0"/>
        <v>0</v>
      </c>
      <c r="Q12" s="107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</row>
    <row r="13" spans="1:45" s="8" customFormat="1" ht="11.25" customHeight="1" x14ac:dyDescent="0.2">
      <c r="A13" s="120"/>
      <c r="B13" s="121" t="s">
        <v>20</v>
      </c>
      <c r="C13" s="121" t="s">
        <v>244</v>
      </c>
      <c r="D13" s="122"/>
      <c r="E13" s="27"/>
      <c r="F13" s="25"/>
      <c r="G13" s="112" t="s">
        <v>259</v>
      </c>
      <c r="H13" s="22"/>
      <c r="I13" s="86" t="n">
        <v>1.6072731556E8</v>
      </c>
      <c r="J13" s="88"/>
      <c r="K13" s="88"/>
      <c r="L13" s="88"/>
      <c r="M13" s="88"/>
      <c r="N13" s="98"/>
      <c r="O13" s="98"/>
      <c r="P13" s="89">
        <f t="shared" si="0"/>
        <v>0</v>
      </c>
      <c r="Q13" s="107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</row>
    <row r="14" spans="1:45" s="8" customFormat="1" ht="11.25" customHeight="1" x14ac:dyDescent="0.2">
      <c r="A14" s="34"/>
      <c r="B14" s="123" t="s">
        <v>22</v>
      </c>
      <c r="C14" s="123" t="s">
        <v>573</v>
      </c>
      <c r="D14" s="27"/>
      <c r="E14" s="27"/>
      <c r="F14" s="25"/>
      <c r="G14" s="112" t="s">
        <v>575</v>
      </c>
      <c r="H14" s="22"/>
      <c r="I14" s="86" t="n">
        <v>0.0</v>
      </c>
      <c r="J14" s="88"/>
      <c r="K14" s="88"/>
      <c r="L14" s="88"/>
      <c r="M14" s="88"/>
      <c r="N14" s="98"/>
      <c r="O14" s="98"/>
      <c r="P14" s="89">
        <f t="shared" si="0"/>
        <v>0</v>
      </c>
      <c r="Q14" s="107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</row>
    <row r="15" spans="1:45" s="8" customFormat="1" ht="11.25" customHeight="1" x14ac:dyDescent="0.2">
      <c r="A15" s="34"/>
      <c r="B15" s="123" t="s">
        <v>24</v>
      </c>
      <c r="C15" s="123" t="s">
        <v>574</v>
      </c>
      <c r="D15" s="27"/>
      <c r="E15" s="27"/>
      <c r="F15" s="25"/>
      <c r="G15" s="112" t="s">
        <v>576</v>
      </c>
      <c r="H15" s="22"/>
      <c r="I15" s="86" t="n">
        <v>0.0</v>
      </c>
      <c r="J15" s="88"/>
      <c r="K15" s="88"/>
      <c r="L15" s="88"/>
      <c r="M15" s="88"/>
      <c r="N15" s="98"/>
      <c r="O15" s="98"/>
      <c r="P15" s="89">
        <f t="shared" si="0"/>
        <v>0</v>
      </c>
      <c r="Q15" s="107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</row>
    <row r="16" spans="1:45" s="8" customFormat="1" ht="11.25" customHeight="1" x14ac:dyDescent="0.2">
      <c r="A16" s="120"/>
      <c r="B16" s="124" t="s">
        <v>66</v>
      </c>
      <c r="C16" s="124" t="s">
        <v>153</v>
      </c>
      <c r="D16" s="122"/>
      <c r="E16" s="27"/>
      <c r="F16" s="25"/>
      <c r="G16" s="125" t="s">
        <v>260</v>
      </c>
      <c r="H16" s="22"/>
      <c r="I16" s="86" t="n">
        <v>0.0</v>
      </c>
      <c r="J16" s="88"/>
      <c r="K16" s="88"/>
      <c r="L16" s="88"/>
      <c r="M16" s="88"/>
      <c r="N16" s="98"/>
      <c r="O16" s="98"/>
      <c r="P16" s="89">
        <f t="shared" si="0"/>
        <v>0</v>
      </c>
      <c r="Q16" s="107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</row>
    <row r="17" spans="1:45" s="8" customFormat="1" ht="11.25" customHeight="1" x14ac:dyDescent="0.2">
      <c r="A17" s="34" t="s">
        <v>16</v>
      </c>
      <c r="B17" s="35" t="s">
        <v>17</v>
      </c>
      <c r="C17" s="35"/>
      <c r="D17" s="27"/>
      <c r="E17" s="27"/>
      <c r="F17" s="25"/>
      <c r="G17" s="112" t="s">
        <v>261</v>
      </c>
      <c r="H17" s="22"/>
      <c r="I17" s="86" t="n">
        <v>1.18371887004E9</v>
      </c>
      <c r="J17" s="86"/>
      <c r="K17" s="86"/>
      <c r="L17" s="86"/>
      <c r="M17" s="86"/>
      <c r="N17" s="94"/>
      <c r="O17" s="94"/>
      <c r="P17" s="89">
        <f t="shared" si="0"/>
        <v>0</v>
      </c>
      <c r="Q17" s="107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</row>
    <row r="18" spans="1:45" s="8" customFormat="1" ht="11.25" customHeight="1" x14ac:dyDescent="0.2">
      <c r="A18" s="31" t="s">
        <v>18</v>
      </c>
      <c r="B18" s="10" t="s">
        <v>19</v>
      </c>
      <c r="C18" s="10"/>
      <c r="D18" s="32"/>
      <c r="E18" s="27"/>
      <c r="F18" s="25"/>
      <c r="G18" s="112" t="s">
        <v>262</v>
      </c>
      <c r="H18" s="22"/>
      <c r="I18" s="87">
        <f t="shared" ref="I18:O18" si="2">I19 + I20 + I21</f>
        <v>0</v>
      </c>
      <c r="J18" s="87">
        <f t="shared" si="2"/>
        <v>0</v>
      </c>
      <c r="K18" s="87">
        <f t="shared" si="2"/>
        <v>0</v>
      </c>
      <c r="L18" s="87">
        <f t="shared" si="2"/>
        <v>0</v>
      </c>
      <c r="M18" s="87">
        <f t="shared" si="2"/>
        <v>0</v>
      </c>
      <c r="N18" s="87">
        <f t="shared" si="2"/>
        <v>0</v>
      </c>
      <c r="O18" s="87">
        <f t="shared" si="2"/>
        <v>0</v>
      </c>
      <c r="P18" s="89">
        <f t="shared" si="0"/>
        <v>0</v>
      </c>
      <c r="Q18" s="107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</row>
    <row r="19" spans="1:45" s="8" customFormat="1" ht="11.25" customHeight="1" x14ac:dyDescent="0.2">
      <c r="A19" s="34"/>
      <c r="B19" s="35" t="s">
        <v>20</v>
      </c>
      <c r="C19" s="35" t="s">
        <v>21</v>
      </c>
      <c r="D19" s="27"/>
      <c r="E19" s="27"/>
      <c r="F19" s="25"/>
      <c r="G19" s="112" t="s">
        <v>263</v>
      </c>
      <c r="H19" s="22"/>
      <c r="I19" s="86" t="n">
        <v>0.0</v>
      </c>
      <c r="J19" s="86"/>
      <c r="K19" s="86"/>
      <c r="L19" s="86"/>
      <c r="M19" s="86"/>
      <c r="N19" s="94"/>
      <c r="O19" s="94"/>
      <c r="P19" s="89">
        <f t="shared" si="0"/>
        <v>0</v>
      </c>
      <c r="Q19" s="107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</row>
    <row r="20" spans="1:45" s="8" customFormat="1" ht="11.25" customHeight="1" x14ac:dyDescent="0.2">
      <c r="A20" s="31"/>
      <c r="B20" s="10" t="s">
        <v>22</v>
      </c>
      <c r="C20" s="166" t="s">
        <v>23</v>
      </c>
      <c r="D20" s="167"/>
      <c r="E20" s="28"/>
      <c r="F20" s="26"/>
      <c r="G20" s="112" t="s">
        <v>264</v>
      </c>
      <c r="H20" s="22"/>
      <c r="I20" s="86" t="n">
        <v>0.0</v>
      </c>
      <c r="J20" s="86"/>
      <c r="K20" s="86"/>
      <c r="L20" s="86"/>
      <c r="M20" s="86"/>
      <c r="N20" s="94"/>
      <c r="O20" s="94"/>
      <c r="P20" s="89">
        <f t="shared" si="0"/>
        <v>0</v>
      </c>
      <c r="Q20" s="107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</row>
    <row r="21" spans="1:45" s="8" customFormat="1" ht="11.25" customHeight="1" x14ac:dyDescent="0.2">
      <c r="A21" s="34"/>
      <c r="B21" s="35" t="s">
        <v>24</v>
      </c>
      <c r="C21" s="169" t="s">
        <v>25</v>
      </c>
      <c r="D21" s="170"/>
      <c r="E21" s="28"/>
      <c r="F21" s="26"/>
      <c r="G21" s="112" t="s">
        <v>265</v>
      </c>
      <c r="H21" s="22"/>
      <c r="I21" s="86" t="n">
        <v>0.0</v>
      </c>
      <c r="J21" s="86"/>
      <c r="K21" s="86"/>
      <c r="L21" s="90"/>
      <c r="M21" s="90"/>
      <c r="N21" s="94"/>
      <c r="O21" s="94"/>
      <c r="P21" s="89">
        <f t="shared" si="0"/>
        <v>0</v>
      </c>
      <c r="Q21" s="107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</row>
    <row r="22" spans="1:45" s="8" customFormat="1" ht="11.25" customHeight="1" x14ac:dyDescent="0.2">
      <c r="A22" s="31" t="s">
        <v>26</v>
      </c>
      <c r="B22" s="166" t="s">
        <v>27</v>
      </c>
      <c r="C22" s="166"/>
      <c r="D22" s="167"/>
      <c r="E22" s="28"/>
      <c r="F22" s="26"/>
      <c r="G22" s="112" t="s">
        <v>266</v>
      </c>
      <c r="H22" s="22"/>
      <c r="I22" s="86" t="n">
        <v>0.0</v>
      </c>
      <c r="J22" s="86"/>
      <c r="K22" s="86"/>
      <c r="L22" s="86"/>
      <c r="M22" s="86"/>
      <c r="N22" s="94"/>
      <c r="O22" s="94"/>
      <c r="P22" s="89">
        <f t="shared" si="0"/>
        <v>0</v>
      </c>
      <c r="Q22" s="107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</row>
    <row r="23" spans="1:45" s="8" customFormat="1" ht="11.25" customHeight="1" x14ac:dyDescent="0.2">
      <c r="A23" s="34" t="s">
        <v>28</v>
      </c>
      <c r="B23" s="35" t="s">
        <v>29</v>
      </c>
      <c r="C23" s="35"/>
      <c r="D23" s="27"/>
      <c r="E23" s="27"/>
      <c r="F23" s="25"/>
      <c r="G23" s="112" t="s">
        <v>267</v>
      </c>
      <c r="H23" s="22"/>
      <c r="I23" s="87">
        <f t="shared" ref="I23:O23" si="3">I26 + I27</f>
        <v>0</v>
      </c>
      <c r="J23" s="87">
        <f t="shared" si="3"/>
        <v>0</v>
      </c>
      <c r="K23" s="87">
        <f t="shared" si="3"/>
        <v>0</v>
      </c>
      <c r="L23" s="87">
        <f t="shared" si="3"/>
        <v>0</v>
      </c>
      <c r="M23" s="87">
        <f t="shared" si="3"/>
        <v>0</v>
      </c>
      <c r="N23" s="87">
        <f t="shared" si="3"/>
        <v>0</v>
      </c>
      <c r="O23" s="87">
        <f t="shared" si="3"/>
        <v>0</v>
      </c>
      <c r="P23" s="89">
        <f t="shared" si="0"/>
        <v>0</v>
      </c>
      <c r="Q23" s="107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</row>
    <row r="24" spans="1:45" s="8" customFormat="1" ht="11.25" customHeight="1" x14ac:dyDescent="0.2">
      <c r="A24" s="31"/>
      <c r="B24" s="10"/>
      <c r="C24" s="10" t="s">
        <v>30</v>
      </c>
      <c r="D24" s="32" t="s">
        <v>31</v>
      </c>
      <c r="E24" s="27"/>
      <c r="F24" s="25"/>
      <c r="G24" s="112" t="s">
        <v>268</v>
      </c>
      <c r="H24" s="22"/>
      <c r="I24" s="86" t="n">
        <v>0.0</v>
      </c>
      <c r="J24" s="86"/>
      <c r="K24" s="86"/>
      <c r="L24" s="86"/>
      <c r="M24" s="86"/>
      <c r="N24" s="94"/>
      <c r="O24" s="94"/>
      <c r="P24" s="89">
        <f t="shared" si="0"/>
        <v>0</v>
      </c>
      <c r="Q24" s="107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</row>
    <row r="25" spans="1:45" s="7" customFormat="1" ht="11.25" customHeight="1" x14ac:dyDescent="0.2">
      <c r="A25" s="40"/>
      <c r="B25" s="41"/>
      <c r="C25" s="127"/>
      <c r="D25" s="128" t="s">
        <v>32</v>
      </c>
      <c r="E25" s="128"/>
      <c r="F25" s="129"/>
      <c r="G25" s="112" t="s">
        <v>269</v>
      </c>
      <c r="H25" s="43"/>
      <c r="I25" s="86" t="n">
        <v>0.0</v>
      </c>
      <c r="J25" s="86"/>
      <c r="K25" s="86"/>
      <c r="L25" s="86"/>
      <c r="M25" s="86"/>
      <c r="N25" s="94"/>
      <c r="O25" s="94"/>
      <c r="P25" s="89">
        <f t="shared" si="0"/>
        <v>0</v>
      </c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</row>
    <row r="26" spans="1:45" s="13" customFormat="1" ht="11.25" customHeight="1" x14ac:dyDescent="0.2">
      <c r="A26" s="31"/>
      <c r="B26" s="10"/>
      <c r="C26" s="130"/>
      <c r="D26" s="32" t="s">
        <v>33</v>
      </c>
      <c r="E26" s="27"/>
      <c r="F26" s="25"/>
      <c r="G26" s="112" t="s">
        <v>270</v>
      </c>
      <c r="H26" s="22"/>
      <c r="I26" s="87">
        <f t="shared" ref="I26:O26" si="4">I24 + I25</f>
        <v>0</v>
      </c>
      <c r="J26" s="87">
        <f t="shared" si="4"/>
        <v>0</v>
      </c>
      <c r="K26" s="87">
        <f t="shared" si="4"/>
        <v>0</v>
      </c>
      <c r="L26" s="87">
        <f t="shared" si="4"/>
        <v>0</v>
      </c>
      <c r="M26" s="87">
        <f t="shared" si="4"/>
        <v>0</v>
      </c>
      <c r="N26" s="87">
        <f t="shared" si="4"/>
        <v>0</v>
      </c>
      <c r="O26" s="87">
        <f t="shared" si="4"/>
        <v>0</v>
      </c>
      <c r="P26" s="89">
        <f t="shared" si="0"/>
        <v>0</v>
      </c>
      <c r="Q26" s="107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</row>
    <row r="27" spans="1:45" s="8" customFormat="1" ht="11.25" customHeight="1" x14ac:dyDescent="0.2">
      <c r="A27" s="34"/>
      <c r="B27" s="35"/>
      <c r="C27" s="35" t="s">
        <v>34</v>
      </c>
      <c r="D27" s="27" t="s">
        <v>35</v>
      </c>
      <c r="E27" s="27"/>
      <c r="F27" s="25"/>
      <c r="G27" s="112" t="s">
        <v>271</v>
      </c>
      <c r="H27" s="22"/>
      <c r="I27" s="86" t="n">
        <v>0.0</v>
      </c>
      <c r="J27" s="86"/>
      <c r="K27" s="86"/>
      <c r="L27" s="90"/>
      <c r="M27" s="90"/>
      <c r="N27" s="94"/>
      <c r="O27" s="94"/>
      <c r="P27" s="89">
        <f t="shared" si="0"/>
        <v>0</v>
      </c>
      <c r="Q27" s="107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</row>
    <row r="28" spans="1:45" s="7" customFormat="1" ht="11.25" customHeight="1" x14ac:dyDescent="0.2">
      <c r="A28" s="131"/>
      <c r="B28" s="132" t="s">
        <v>36</v>
      </c>
      <c r="C28" s="45"/>
      <c r="D28" s="133"/>
      <c r="E28" s="46"/>
      <c r="F28" s="47"/>
      <c r="G28" s="112" t="s">
        <v>272</v>
      </c>
      <c r="H28" s="43"/>
      <c r="I28" s="86" t="n">
        <v>0.0</v>
      </c>
      <c r="J28" s="86"/>
      <c r="K28" s="86"/>
      <c r="L28" s="86"/>
      <c r="M28" s="86"/>
      <c r="N28" s="94"/>
      <c r="O28" s="94"/>
      <c r="P28" s="89">
        <f t="shared" si="0"/>
        <v>0</v>
      </c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</row>
    <row r="29" spans="1:45" s="8" customFormat="1" ht="11.25" customHeight="1" x14ac:dyDescent="0.2">
      <c r="A29" s="134"/>
      <c r="B29" s="135" t="s">
        <v>37</v>
      </c>
      <c r="C29" s="35"/>
      <c r="D29" s="27"/>
      <c r="E29" s="27"/>
      <c r="F29" s="25"/>
      <c r="G29" s="112" t="s">
        <v>273</v>
      </c>
      <c r="H29" s="22"/>
      <c r="I29" s="86" t="n">
        <v>0.0</v>
      </c>
      <c r="J29" s="86"/>
      <c r="K29" s="86"/>
      <c r="L29" s="86"/>
      <c r="M29" s="86"/>
      <c r="N29" s="94"/>
      <c r="O29" s="94"/>
      <c r="P29" s="89">
        <f t="shared" si="0"/>
        <v>0</v>
      </c>
      <c r="Q29" s="107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</row>
    <row r="30" spans="1:45" s="13" customFormat="1" ht="11.25" customHeight="1" x14ac:dyDescent="0.2">
      <c r="A30" s="31"/>
      <c r="B30" s="10" t="s">
        <v>38</v>
      </c>
      <c r="C30" s="10"/>
      <c r="D30" s="32"/>
      <c r="E30" s="27"/>
      <c r="F30" s="25"/>
      <c r="G30" s="112" t="s">
        <v>274</v>
      </c>
      <c r="H30" s="22"/>
      <c r="I30" s="87">
        <f t="shared" ref="I30:O30" si="5">I26 + I27 + I28 - I29</f>
        <v>0</v>
      </c>
      <c r="J30" s="87">
        <f t="shared" si="5"/>
        <v>0</v>
      </c>
      <c r="K30" s="87">
        <f t="shared" si="5"/>
        <v>0</v>
      </c>
      <c r="L30" s="87">
        <f t="shared" si="5"/>
        <v>0</v>
      </c>
      <c r="M30" s="87">
        <f t="shared" si="5"/>
        <v>0</v>
      </c>
      <c r="N30" s="87">
        <f t="shared" si="5"/>
        <v>0</v>
      </c>
      <c r="O30" s="87">
        <f t="shared" si="5"/>
        <v>0</v>
      </c>
      <c r="P30" s="89">
        <f t="shared" si="0"/>
        <v>0</v>
      </c>
      <c r="Q30" s="107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</row>
    <row r="31" spans="1:45" s="8" customFormat="1" ht="11.25" customHeight="1" x14ac:dyDescent="0.2">
      <c r="A31" s="34" t="s">
        <v>39</v>
      </c>
      <c r="B31" s="35" t="s">
        <v>40</v>
      </c>
      <c r="C31" s="35"/>
      <c r="D31" s="27"/>
      <c r="E31" s="27"/>
      <c r="F31" s="25"/>
      <c r="G31" s="112" t="s">
        <v>275</v>
      </c>
      <c r="H31" s="22"/>
      <c r="I31" s="86" t="n">
        <v>7429977.31</v>
      </c>
      <c r="J31" s="86"/>
      <c r="K31" s="86"/>
      <c r="L31" s="86"/>
      <c r="M31" s="86"/>
      <c r="N31" s="94"/>
      <c r="O31" s="94"/>
      <c r="P31" s="89">
        <f t="shared" si="0"/>
        <v>0</v>
      </c>
      <c r="Q31" s="107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</row>
    <row r="32" spans="1:45" s="7" customFormat="1" ht="11.25" customHeight="1" x14ac:dyDescent="0.2">
      <c r="A32" s="48"/>
      <c r="B32" s="45"/>
      <c r="C32" s="132" t="s">
        <v>32</v>
      </c>
      <c r="D32" s="133"/>
      <c r="E32" s="46"/>
      <c r="F32" s="47"/>
      <c r="G32" s="112" t="s">
        <v>276</v>
      </c>
      <c r="H32" s="43"/>
      <c r="I32" s="86" t="n">
        <v>0.0</v>
      </c>
      <c r="J32" s="86"/>
      <c r="K32" s="86"/>
      <c r="L32" s="86"/>
      <c r="M32" s="86"/>
      <c r="N32" s="94"/>
      <c r="O32" s="94"/>
      <c r="P32" s="89">
        <f t="shared" si="0"/>
        <v>0</v>
      </c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</row>
    <row r="33" spans="1:45" s="13" customFormat="1" ht="11.25" customHeight="1" x14ac:dyDescent="0.2">
      <c r="A33" s="34"/>
      <c r="B33" s="35"/>
      <c r="C33" s="35" t="s">
        <v>41</v>
      </c>
      <c r="D33" s="27"/>
      <c r="E33" s="27"/>
      <c r="F33" s="25"/>
      <c r="G33" s="112" t="s">
        <v>277</v>
      </c>
      <c r="H33" s="22"/>
      <c r="I33" s="87">
        <f t="shared" ref="I33:O33" si="6">I31 + I32</f>
        <v>0</v>
      </c>
      <c r="J33" s="87">
        <f t="shared" si="6"/>
        <v>0</v>
      </c>
      <c r="K33" s="87">
        <f t="shared" si="6"/>
        <v>0</v>
      </c>
      <c r="L33" s="87">
        <f t="shared" si="6"/>
        <v>0</v>
      </c>
      <c r="M33" s="87">
        <f t="shared" si="6"/>
        <v>0</v>
      </c>
      <c r="N33" s="87">
        <f t="shared" si="6"/>
        <v>0</v>
      </c>
      <c r="O33" s="87">
        <f t="shared" si="6"/>
        <v>0</v>
      </c>
      <c r="P33" s="89">
        <f t="shared" si="0"/>
        <v>0</v>
      </c>
      <c r="Q33" s="107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</row>
    <row r="34" spans="1:45" s="8" customFormat="1" ht="11.25" customHeight="1" x14ac:dyDescent="0.2">
      <c r="A34" s="31"/>
      <c r="B34" s="130" t="s">
        <v>42</v>
      </c>
      <c r="C34" s="10"/>
      <c r="D34" s="32"/>
      <c r="E34" s="27"/>
      <c r="F34" s="25"/>
      <c r="G34" s="112" t="s">
        <v>278</v>
      </c>
      <c r="H34" s="22"/>
      <c r="I34" s="86" t="n">
        <v>0.0</v>
      </c>
      <c r="J34" s="86"/>
      <c r="K34" s="86"/>
      <c r="L34" s="86"/>
      <c r="M34" s="86"/>
      <c r="N34" s="94"/>
      <c r="O34" s="94"/>
      <c r="P34" s="89">
        <f t="shared" si="0"/>
        <v>0</v>
      </c>
      <c r="Q34" s="10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</row>
    <row r="35" spans="1:45" s="13" customFormat="1" ht="11.25" customHeight="1" x14ac:dyDescent="0.2">
      <c r="A35" s="134"/>
      <c r="B35" s="35" t="s">
        <v>43</v>
      </c>
      <c r="C35" s="35"/>
      <c r="D35" s="27"/>
      <c r="E35" s="27"/>
      <c r="F35" s="25"/>
      <c r="G35" s="112" t="s">
        <v>279</v>
      </c>
      <c r="H35" s="22"/>
      <c r="I35" s="87">
        <f t="shared" ref="I35:O35" si="7">I33 - I34</f>
        <v>0</v>
      </c>
      <c r="J35" s="87">
        <f t="shared" si="7"/>
        <v>0</v>
      </c>
      <c r="K35" s="87">
        <f t="shared" si="7"/>
        <v>0</v>
      </c>
      <c r="L35" s="87">
        <f t="shared" si="7"/>
        <v>0</v>
      </c>
      <c r="M35" s="87">
        <f t="shared" si="7"/>
        <v>0</v>
      </c>
      <c r="N35" s="87">
        <f t="shared" si="7"/>
        <v>0</v>
      </c>
      <c r="O35" s="87">
        <f t="shared" si="7"/>
        <v>0</v>
      </c>
      <c r="P35" s="89">
        <f t="shared" si="0"/>
        <v>0</v>
      </c>
      <c r="Q35" s="107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</row>
    <row r="36" spans="1:45" s="8" customFormat="1" ht="11.25" customHeight="1" x14ac:dyDescent="0.2">
      <c r="A36" s="31" t="s">
        <v>44</v>
      </c>
      <c r="B36" s="10" t="s">
        <v>45</v>
      </c>
      <c r="C36" s="10"/>
      <c r="D36" s="32"/>
      <c r="E36" s="27"/>
      <c r="F36" s="25"/>
      <c r="G36" s="112" t="s">
        <v>280</v>
      </c>
      <c r="H36" s="22"/>
      <c r="I36" s="86" t="n">
        <v>0.0</v>
      </c>
      <c r="J36" s="86"/>
      <c r="K36" s="86"/>
      <c r="L36" s="86"/>
      <c r="M36" s="86"/>
      <c r="N36" s="94"/>
      <c r="O36" s="94"/>
      <c r="P36" s="89">
        <f t="shared" si="0"/>
        <v>0</v>
      </c>
      <c r="Q36" s="107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</row>
    <row r="37" spans="1:45" s="7" customFormat="1" ht="11.25" customHeight="1" x14ac:dyDescent="0.2">
      <c r="A37" s="136"/>
      <c r="B37" s="41"/>
      <c r="C37" s="127" t="s">
        <v>32</v>
      </c>
      <c r="D37" s="46"/>
      <c r="E37" s="46"/>
      <c r="F37" s="47"/>
      <c r="G37" s="112" t="s">
        <v>281</v>
      </c>
      <c r="H37" s="43"/>
      <c r="I37" s="86" t="n">
        <v>0.0</v>
      </c>
      <c r="J37" s="86"/>
      <c r="K37" s="86"/>
      <c r="L37" s="86"/>
      <c r="M37" s="86"/>
      <c r="N37" s="94"/>
      <c r="O37" s="94"/>
      <c r="P37" s="89">
        <f t="shared" si="0"/>
        <v>0</v>
      </c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</row>
    <row r="38" spans="1:45" s="13" customFormat="1" ht="11.25" customHeight="1" x14ac:dyDescent="0.2">
      <c r="A38" s="137"/>
      <c r="B38" s="10"/>
      <c r="C38" s="166" t="s">
        <v>255</v>
      </c>
      <c r="D38" s="171"/>
      <c r="E38" s="138"/>
      <c r="F38" s="139"/>
      <c r="G38" s="112" t="s">
        <v>282</v>
      </c>
      <c r="H38" s="22"/>
      <c r="I38" s="87">
        <f t="shared" ref="I38:O38" si="8">I36 + I37</f>
        <v>0</v>
      </c>
      <c r="J38" s="87">
        <f t="shared" si="8"/>
        <v>0</v>
      </c>
      <c r="K38" s="87">
        <f t="shared" si="8"/>
        <v>0</v>
      </c>
      <c r="L38" s="87">
        <f t="shared" si="8"/>
        <v>0</v>
      </c>
      <c r="M38" s="87">
        <f t="shared" si="8"/>
        <v>0</v>
      </c>
      <c r="N38" s="87">
        <f t="shared" si="8"/>
        <v>0</v>
      </c>
      <c r="O38" s="87">
        <f t="shared" si="8"/>
        <v>0</v>
      </c>
      <c r="P38" s="89">
        <f t="shared" si="0"/>
        <v>0</v>
      </c>
      <c r="Q38" s="107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s="8" customFormat="1" ht="11.25" customHeight="1" x14ac:dyDescent="0.2">
      <c r="A39" s="134"/>
      <c r="B39" s="135" t="s">
        <v>42</v>
      </c>
      <c r="C39" s="35"/>
      <c r="D39" s="27"/>
      <c r="E39" s="27"/>
      <c r="F39" s="25"/>
      <c r="G39" s="112" t="s">
        <v>283</v>
      </c>
      <c r="H39" s="22"/>
      <c r="I39" s="86" t="n">
        <v>0.0</v>
      </c>
      <c r="J39" s="86"/>
      <c r="K39" s="86"/>
      <c r="L39" s="86"/>
      <c r="M39" s="86"/>
      <c r="N39" s="94"/>
      <c r="O39" s="94"/>
      <c r="P39" s="89">
        <f t="shared" si="0"/>
        <v>0</v>
      </c>
      <c r="Q39" s="107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</row>
    <row r="40" spans="1:45" s="13" customFormat="1" ht="11.25" customHeight="1" x14ac:dyDescent="0.2">
      <c r="A40" s="137"/>
      <c r="B40" s="10" t="s">
        <v>46</v>
      </c>
      <c r="C40" s="10"/>
      <c r="D40" s="32"/>
      <c r="E40" s="27"/>
      <c r="F40" s="25"/>
      <c r="G40" s="112" t="s">
        <v>284</v>
      </c>
      <c r="H40" s="22"/>
      <c r="I40" s="87">
        <f t="shared" ref="I40:O40" si="9">I38 - I39</f>
        <v>0</v>
      </c>
      <c r="J40" s="87">
        <f t="shared" si="9"/>
        <v>0</v>
      </c>
      <c r="K40" s="87">
        <f t="shared" si="9"/>
        <v>0</v>
      </c>
      <c r="L40" s="87">
        <f t="shared" si="9"/>
        <v>0</v>
      </c>
      <c r="M40" s="87">
        <f t="shared" si="9"/>
        <v>0</v>
      </c>
      <c r="N40" s="87">
        <f t="shared" si="9"/>
        <v>0</v>
      </c>
      <c r="O40" s="87">
        <f t="shared" si="9"/>
        <v>0</v>
      </c>
      <c r="P40" s="89">
        <f t="shared" si="0"/>
        <v>0</v>
      </c>
      <c r="Q40" s="107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</row>
    <row r="41" spans="1:45" s="8" customFormat="1" ht="11.25" customHeight="1" x14ac:dyDescent="0.2">
      <c r="A41" s="34" t="s">
        <v>47</v>
      </c>
      <c r="B41" s="35" t="s">
        <v>48</v>
      </c>
      <c r="C41" s="35"/>
      <c r="D41" s="27"/>
      <c r="E41" s="27"/>
      <c r="F41" s="25"/>
      <c r="G41" s="112" t="s">
        <v>285</v>
      </c>
      <c r="H41" s="22"/>
      <c r="I41" s="86" t="n">
        <v>0.0</v>
      </c>
      <c r="J41" s="86"/>
      <c r="K41" s="86"/>
      <c r="L41" s="90"/>
      <c r="M41" s="90"/>
      <c r="N41" s="94"/>
      <c r="O41" s="94"/>
      <c r="P41" s="89">
        <f t="shared" si="0"/>
        <v>0</v>
      </c>
      <c r="Q41" s="107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</row>
    <row r="42" spans="1:45" s="8" customFormat="1" ht="11.25" customHeight="1" x14ac:dyDescent="0.2">
      <c r="A42" s="31"/>
      <c r="B42" s="130" t="s">
        <v>42</v>
      </c>
      <c r="C42" s="10"/>
      <c r="D42" s="32"/>
      <c r="E42" s="27"/>
      <c r="F42" s="25"/>
      <c r="G42" s="112" t="s">
        <v>286</v>
      </c>
      <c r="H42" s="22"/>
      <c r="I42" s="86" t="n">
        <v>0.0</v>
      </c>
      <c r="J42" s="86"/>
      <c r="K42" s="86"/>
      <c r="L42" s="90"/>
      <c r="M42" s="90"/>
      <c r="N42" s="94"/>
      <c r="O42" s="94"/>
      <c r="P42" s="89">
        <f t="shared" si="0"/>
        <v>0</v>
      </c>
      <c r="Q42" s="107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</row>
    <row r="43" spans="1:45" s="13" customFormat="1" ht="11.25" customHeight="1" x14ac:dyDescent="0.2">
      <c r="A43" s="34"/>
      <c r="B43" s="35" t="s">
        <v>49</v>
      </c>
      <c r="C43" s="35"/>
      <c r="D43" s="27"/>
      <c r="E43" s="27"/>
      <c r="F43" s="25"/>
      <c r="G43" s="112" t="s">
        <v>287</v>
      </c>
      <c r="H43" s="22"/>
      <c r="I43" s="87">
        <f>I41 - I42</f>
        <v>0</v>
      </c>
      <c r="J43" s="87">
        <f>J41 - J42</f>
        <v>0</v>
      </c>
      <c r="K43" s="87">
        <f>K41 - K42</f>
        <v>0</v>
      </c>
      <c r="L43" s="91"/>
      <c r="M43" s="91"/>
      <c r="N43" s="87">
        <f>N41 - N42</f>
        <v>0</v>
      </c>
      <c r="O43" s="87">
        <f>O41 - O42</f>
        <v>0</v>
      </c>
      <c r="P43" s="89">
        <f t="shared" si="0"/>
        <v>0</v>
      </c>
      <c r="Q43" s="107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</row>
    <row r="44" spans="1:45" s="8" customFormat="1" ht="11.25" customHeight="1" x14ac:dyDescent="0.2">
      <c r="A44" s="31" t="s">
        <v>50</v>
      </c>
      <c r="B44" s="10" t="s">
        <v>51</v>
      </c>
      <c r="C44" s="10"/>
      <c r="D44" s="32"/>
      <c r="E44" s="27"/>
      <c r="F44" s="25"/>
      <c r="G44" s="112" t="s">
        <v>288</v>
      </c>
      <c r="H44" s="22"/>
      <c r="I44" s="87">
        <f t="shared" ref="I44:O44" si="10">I45 + I50 + I55</f>
        <v>0</v>
      </c>
      <c r="J44" s="87">
        <f t="shared" si="10"/>
        <v>0</v>
      </c>
      <c r="K44" s="87">
        <f t="shared" si="10"/>
        <v>0</v>
      </c>
      <c r="L44" s="87">
        <f t="shared" si="10"/>
        <v>0</v>
      </c>
      <c r="M44" s="87">
        <f t="shared" si="10"/>
        <v>0</v>
      </c>
      <c r="N44" s="87">
        <f t="shared" si="10"/>
        <v>0</v>
      </c>
      <c r="O44" s="87">
        <f t="shared" si="10"/>
        <v>0</v>
      </c>
      <c r="P44" s="89">
        <f t="shared" si="0"/>
        <v>0</v>
      </c>
      <c r="Q44" s="107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</row>
    <row r="45" spans="1:45" s="8" customFormat="1" ht="11.25" customHeight="1" x14ac:dyDescent="0.2">
      <c r="A45" s="34"/>
      <c r="B45" s="35" t="s">
        <v>20</v>
      </c>
      <c r="C45" s="35" t="s">
        <v>52</v>
      </c>
      <c r="D45" s="27"/>
      <c r="E45" s="27"/>
      <c r="F45" s="25"/>
      <c r="G45" s="112" t="s">
        <v>289</v>
      </c>
      <c r="H45" s="22"/>
      <c r="I45" s="87">
        <f t="shared" ref="I45:O45" si="11">I46+I47</f>
        <v>0</v>
      </c>
      <c r="J45" s="87">
        <f t="shared" si="11"/>
        <v>0</v>
      </c>
      <c r="K45" s="87">
        <f t="shared" si="11"/>
        <v>0</v>
      </c>
      <c r="L45" s="87">
        <f t="shared" si="11"/>
        <v>0</v>
      </c>
      <c r="M45" s="87">
        <f t="shared" si="11"/>
        <v>0</v>
      </c>
      <c r="N45" s="87">
        <f t="shared" si="11"/>
        <v>0</v>
      </c>
      <c r="O45" s="87">
        <f t="shared" si="11"/>
        <v>0</v>
      </c>
      <c r="P45" s="89">
        <f t="shared" si="0"/>
        <v>0</v>
      </c>
      <c r="Q45" s="107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</row>
    <row r="46" spans="1:45" s="8" customFormat="1" ht="11.25" customHeight="1" x14ac:dyDescent="0.2">
      <c r="A46" s="31"/>
      <c r="B46" s="10"/>
      <c r="C46" s="10" t="s">
        <v>30</v>
      </c>
      <c r="D46" s="32" t="s">
        <v>53</v>
      </c>
      <c r="E46" s="27"/>
      <c r="F46" s="25"/>
      <c r="G46" s="112" t="s">
        <v>290</v>
      </c>
      <c r="H46" s="22"/>
      <c r="I46" s="86" t="n">
        <v>0.0</v>
      </c>
      <c r="J46" s="86"/>
      <c r="K46" s="86"/>
      <c r="L46" s="86"/>
      <c r="M46" s="86"/>
      <c r="N46" s="94"/>
      <c r="O46" s="94"/>
      <c r="P46" s="89">
        <f t="shared" si="0"/>
        <v>0</v>
      </c>
      <c r="Q46" s="107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</row>
    <row r="47" spans="1:45" s="8" customFormat="1" ht="11.25" customHeight="1" x14ac:dyDescent="0.2">
      <c r="A47" s="34"/>
      <c r="B47" s="35"/>
      <c r="C47" s="35" t="s">
        <v>34</v>
      </c>
      <c r="D47" s="27" t="s">
        <v>54</v>
      </c>
      <c r="E47" s="27"/>
      <c r="F47" s="25"/>
      <c r="G47" s="112" t="s">
        <v>291</v>
      </c>
      <c r="H47" s="22"/>
      <c r="I47" s="86" t="n">
        <v>0.0</v>
      </c>
      <c r="J47" s="86"/>
      <c r="K47" s="86"/>
      <c r="L47" s="86"/>
      <c r="M47" s="86"/>
      <c r="N47" s="94"/>
      <c r="O47" s="94"/>
      <c r="P47" s="89">
        <f t="shared" si="0"/>
        <v>0</v>
      </c>
      <c r="Q47" s="107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</row>
    <row r="48" spans="1:45" s="8" customFormat="1" ht="11.25" customHeight="1" x14ac:dyDescent="0.2">
      <c r="A48" s="31"/>
      <c r="B48" s="10" t="s">
        <v>22</v>
      </c>
      <c r="C48" s="10" t="s">
        <v>55</v>
      </c>
      <c r="D48" s="32"/>
      <c r="E48" s="27"/>
      <c r="F48" s="25"/>
      <c r="G48" s="112" t="s">
        <v>292</v>
      </c>
      <c r="H48" s="22"/>
      <c r="I48" s="86" t="n">
        <v>0.0</v>
      </c>
      <c r="J48" s="86"/>
      <c r="K48" s="86"/>
      <c r="L48" s="86"/>
      <c r="M48" s="86"/>
      <c r="N48" s="94"/>
      <c r="O48" s="94"/>
      <c r="P48" s="89">
        <f t="shared" si="0"/>
        <v>0</v>
      </c>
      <c r="Q48" s="107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</row>
    <row r="49" spans="1:45" s="8" customFormat="1" ht="11.25" customHeight="1" x14ac:dyDescent="0.2">
      <c r="A49" s="134"/>
      <c r="B49" s="135"/>
      <c r="C49" s="135" t="s">
        <v>42</v>
      </c>
      <c r="D49" s="140"/>
      <c r="E49" s="140"/>
      <c r="F49" s="141"/>
      <c r="G49" s="112" t="s">
        <v>293</v>
      </c>
      <c r="H49" s="22"/>
      <c r="I49" s="86" t="n">
        <v>0.0</v>
      </c>
      <c r="J49" s="86"/>
      <c r="K49" s="86"/>
      <c r="L49" s="86"/>
      <c r="M49" s="86"/>
      <c r="N49" s="94"/>
      <c r="O49" s="94"/>
      <c r="P49" s="89">
        <f t="shared" si="0"/>
        <v>0</v>
      </c>
      <c r="Q49" s="107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</row>
    <row r="50" spans="1:45" s="13" customFormat="1" ht="11.25" customHeight="1" x14ac:dyDescent="0.2">
      <c r="A50" s="137"/>
      <c r="B50" s="10"/>
      <c r="C50" s="10" t="s">
        <v>56</v>
      </c>
      <c r="D50" s="32"/>
      <c r="E50" s="27"/>
      <c r="F50" s="25"/>
      <c r="G50" s="112" t="s">
        <v>294</v>
      </c>
      <c r="H50" s="22"/>
      <c r="I50" s="87">
        <f t="shared" ref="I50:O50" si="12">I48 - I49</f>
        <v>0</v>
      </c>
      <c r="J50" s="87">
        <f t="shared" si="12"/>
        <v>0</v>
      </c>
      <c r="K50" s="87">
        <f t="shared" si="12"/>
        <v>0</v>
      </c>
      <c r="L50" s="87">
        <f t="shared" si="12"/>
        <v>0</v>
      </c>
      <c r="M50" s="87">
        <f t="shared" si="12"/>
        <v>0</v>
      </c>
      <c r="N50" s="87">
        <f t="shared" si="12"/>
        <v>0</v>
      </c>
      <c r="O50" s="87">
        <f t="shared" si="12"/>
        <v>0</v>
      </c>
      <c r="P50" s="89">
        <f t="shared" si="0"/>
        <v>0</v>
      </c>
      <c r="Q50" s="107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</row>
    <row r="51" spans="1:45" s="8" customFormat="1" ht="11.25" customHeight="1" x14ac:dyDescent="0.2">
      <c r="A51" s="34"/>
      <c r="B51" s="35" t="s">
        <v>24</v>
      </c>
      <c r="C51" s="35" t="s">
        <v>57</v>
      </c>
      <c r="D51" s="27"/>
      <c r="E51" s="27"/>
      <c r="F51" s="25"/>
      <c r="G51" s="112" t="s">
        <v>295</v>
      </c>
      <c r="H51" s="22"/>
      <c r="I51" s="86" t="n">
        <v>1.2515527103E8</v>
      </c>
      <c r="J51" s="86"/>
      <c r="K51" s="86"/>
      <c r="L51" s="86"/>
      <c r="M51" s="86"/>
      <c r="N51" s="94"/>
      <c r="O51" s="94"/>
      <c r="P51" s="89">
        <f t="shared" si="0"/>
        <v>0</v>
      </c>
      <c r="Q51" s="107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</row>
    <row r="52" spans="1:45" s="8" customFormat="1" ht="11.25" customHeight="1" x14ac:dyDescent="0.2">
      <c r="A52" s="34"/>
      <c r="B52" s="35"/>
      <c r="C52" s="142" t="s">
        <v>245</v>
      </c>
      <c r="D52" s="27"/>
      <c r="E52" s="27"/>
      <c r="F52" s="25"/>
      <c r="G52" s="112" t="s">
        <v>296</v>
      </c>
      <c r="H52" s="22"/>
      <c r="I52" s="86" t="n">
        <v>0.0</v>
      </c>
      <c r="J52" s="86"/>
      <c r="K52" s="86"/>
      <c r="L52" s="86"/>
      <c r="M52" s="86"/>
      <c r="N52" s="94"/>
      <c r="O52" s="94"/>
      <c r="P52" s="89">
        <f t="shared" si="0"/>
        <v>0</v>
      </c>
      <c r="Q52" s="107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</row>
    <row r="53" spans="1:45" s="8" customFormat="1" ht="11.25" customHeight="1" x14ac:dyDescent="0.2">
      <c r="A53" s="34"/>
      <c r="B53" s="35"/>
      <c r="C53" s="35" t="s">
        <v>246</v>
      </c>
      <c r="D53" s="27"/>
      <c r="E53" s="27"/>
      <c r="F53" s="25"/>
      <c r="G53" s="112" t="s">
        <v>297</v>
      </c>
      <c r="H53" s="22"/>
      <c r="I53" s="87">
        <f>I51-I52</f>
        <v>0</v>
      </c>
      <c r="J53" s="87">
        <f t="shared" ref="J53:O53" si="13">J51-J52</f>
        <v>0</v>
      </c>
      <c r="K53" s="87">
        <f t="shared" si="13"/>
        <v>0</v>
      </c>
      <c r="L53" s="87">
        <f t="shared" si="13"/>
        <v>0</v>
      </c>
      <c r="M53" s="87">
        <f t="shared" si="13"/>
        <v>0</v>
      </c>
      <c r="N53" s="87">
        <f t="shared" si="13"/>
        <v>0</v>
      </c>
      <c r="O53" s="87">
        <f t="shared" si="13"/>
        <v>0</v>
      </c>
      <c r="P53" s="89">
        <f t="shared" si="0"/>
        <v>0</v>
      </c>
      <c r="Q53" s="107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</row>
    <row r="54" spans="1:45" s="8" customFormat="1" ht="11.25" customHeight="1" x14ac:dyDescent="0.2">
      <c r="A54" s="137"/>
      <c r="B54" s="130"/>
      <c r="C54" s="130" t="s">
        <v>42</v>
      </c>
      <c r="D54" s="143"/>
      <c r="E54" s="140"/>
      <c r="F54" s="141"/>
      <c r="G54" s="112" t="s">
        <v>298</v>
      </c>
      <c r="H54" s="22"/>
      <c r="I54" s="86" t="n">
        <v>1.906406648E7</v>
      </c>
      <c r="J54" s="86"/>
      <c r="K54" s="86"/>
      <c r="L54" s="86"/>
      <c r="M54" s="86"/>
      <c r="N54" s="94"/>
      <c r="O54" s="94"/>
      <c r="P54" s="89">
        <f t="shared" si="0"/>
        <v>0</v>
      </c>
      <c r="Q54" s="107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</row>
    <row r="55" spans="1:45" s="13" customFormat="1" ht="11.25" customHeight="1" x14ac:dyDescent="0.2">
      <c r="A55" s="134"/>
      <c r="B55" s="35"/>
      <c r="C55" s="169" t="s">
        <v>254</v>
      </c>
      <c r="D55" s="170"/>
      <c r="E55" s="28"/>
      <c r="F55" s="26"/>
      <c r="G55" s="112" t="s">
        <v>299</v>
      </c>
      <c r="H55" s="22"/>
      <c r="I55" s="87">
        <f>I53-I54</f>
        <v>0</v>
      </c>
      <c r="J55" s="87">
        <f t="shared" ref="J55:O55" si="14">J53-J54</f>
        <v>0</v>
      </c>
      <c r="K55" s="87">
        <f t="shared" si="14"/>
        <v>0</v>
      </c>
      <c r="L55" s="87">
        <f t="shared" si="14"/>
        <v>0</v>
      </c>
      <c r="M55" s="87">
        <f t="shared" si="14"/>
        <v>0</v>
      </c>
      <c r="N55" s="87">
        <f t="shared" si="14"/>
        <v>0</v>
      </c>
      <c r="O55" s="87">
        <f t="shared" si="14"/>
        <v>0</v>
      </c>
      <c r="P55" s="89">
        <f t="shared" si="0"/>
        <v>0</v>
      </c>
      <c r="Q55" s="107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</row>
    <row r="56" spans="1:45" s="8" customFormat="1" ht="24" customHeight="1" x14ac:dyDescent="0.2">
      <c r="A56" s="34" t="s">
        <v>59</v>
      </c>
      <c r="B56" s="169" t="s">
        <v>60</v>
      </c>
      <c r="C56" s="169"/>
      <c r="D56" s="170"/>
      <c r="E56" s="28"/>
      <c r="F56" s="26"/>
      <c r="G56" s="112" t="s">
        <v>300</v>
      </c>
      <c r="H56" s="22"/>
      <c r="I56" s="92" t="n">
        <v>0.0</v>
      </c>
      <c r="J56" s="92"/>
      <c r="K56" s="92"/>
      <c r="L56" s="92"/>
      <c r="M56" s="92"/>
      <c r="N56" s="116"/>
      <c r="O56" s="116"/>
      <c r="P56" s="93">
        <f t="shared" si="0"/>
        <v>0</v>
      </c>
      <c r="Q56" s="107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</row>
    <row r="57" spans="1:45" s="8" customFormat="1" x14ac:dyDescent="0.2">
      <c r="A57" s="137"/>
      <c r="B57" s="130"/>
      <c r="C57" s="130" t="s">
        <v>42</v>
      </c>
      <c r="D57" s="143"/>
      <c r="E57" s="140"/>
      <c r="F57" s="141"/>
      <c r="G57" s="112" t="s">
        <v>301</v>
      </c>
      <c r="H57" s="22"/>
      <c r="I57" s="92" t="n">
        <v>0.0</v>
      </c>
      <c r="J57" s="92"/>
      <c r="K57" s="92"/>
      <c r="L57" s="92"/>
      <c r="M57" s="92"/>
      <c r="N57" s="116"/>
      <c r="O57" s="116"/>
      <c r="P57" s="93">
        <f t="shared" si="0"/>
        <v>0</v>
      </c>
      <c r="Q57" s="107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</row>
    <row r="58" spans="1:45" s="8" customFormat="1" ht="11.25" customHeight="1" x14ac:dyDescent="0.2">
      <c r="A58" s="134"/>
      <c r="B58" s="35"/>
      <c r="C58" s="169" t="s">
        <v>253</v>
      </c>
      <c r="D58" s="170"/>
      <c r="E58" s="28"/>
      <c r="F58" s="26"/>
      <c r="G58" s="112" t="s">
        <v>302</v>
      </c>
      <c r="H58" s="22"/>
      <c r="I58" s="105">
        <f>I56-I57</f>
        <v>0</v>
      </c>
      <c r="J58" s="105">
        <f t="shared" ref="J58:O58" si="15">J56-J57</f>
        <v>0</v>
      </c>
      <c r="K58" s="105">
        <f t="shared" si="15"/>
        <v>0</v>
      </c>
      <c r="L58" s="105">
        <f t="shared" si="15"/>
        <v>0</v>
      </c>
      <c r="M58" s="105">
        <f t="shared" si="15"/>
        <v>0</v>
      </c>
      <c r="N58" s="105">
        <f t="shared" si="15"/>
        <v>0</v>
      </c>
      <c r="O58" s="105">
        <f t="shared" si="15"/>
        <v>0</v>
      </c>
      <c r="P58" s="93">
        <f t="shared" si="0"/>
        <v>0</v>
      </c>
      <c r="Q58" s="107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</row>
    <row r="59" spans="1:45" s="8" customFormat="1" x14ac:dyDescent="0.2">
      <c r="A59" s="144" t="s">
        <v>58</v>
      </c>
      <c r="B59" s="35"/>
      <c r="C59" s="35"/>
      <c r="D59" s="27"/>
      <c r="E59" s="27"/>
      <c r="F59" s="25"/>
      <c r="G59" s="112" t="s">
        <v>303</v>
      </c>
      <c r="H59" s="22"/>
      <c r="I59" s="92" t="n">
        <v>0.0</v>
      </c>
      <c r="J59" s="92"/>
      <c r="K59" s="92"/>
      <c r="L59" s="92"/>
      <c r="M59" s="92"/>
      <c r="N59" s="116"/>
      <c r="O59" s="116"/>
      <c r="P59" s="93">
        <f t="shared" si="0"/>
        <v>0</v>
      </c>
      <c r="Q59" s="107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</row>
    <row r="60" spans="1:45" s="8" customFormat="1" ht="11.25" customHeight="1" x14ac:dyDescent="0.2">
      <c r="A60" s="134" t="s">
        <v>252</v>
      </c>
      <c r="B60" s="35"/>
      <c r="C60" s="10"/>
      <c r="D60" s="10"/>
      <c r="E60" s="28"/>
      <c r="F60" s="26"/>
      <c r="G60" s="112" t="s">
        <v>304</v>
      </c>
      <c r="H60" s="22"/>
      <c r="I60" s="105">
        <f>I44+I58-I59</f>
        <v>0</v>
      </c>
      <c r="J60" s="105">
        <f t="shared" ref="J60:O60" si="16">J44+J58-J59</f>
        <v>0</v>
      </c>
      <c r="K60" s="105">
        <f t="shared" si="16"/>
        <v>0</v>
      </c>
      <c r="L60" s="105">
        <f t="shared" si="16"/>
        <v>0</v>
      </c>
      <c r="M60" s="105">
        <f t="shared" si="16"/>
        <v>0</v>
      </c>
      <c r="N60" s="105">
        <f t="shared" si="16"/>
        <v>0</v>
      </c>
      <c r="O60" s="105">
        <f t="shared" si="16"/>
        <v>0</v>
      </c>
      <c r="P60" s="93">
        <f t="shared" si="0"/>
        <v>0</v>
      </c>
      <c r="Q60" s="107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</row>
    <row r="61" spans="1:45" s="8" customFormat="1" ht="11.25" customHeight="1" x14ac:dyDescent="0.2">
      <c r="A61" s="34" t="s">
        <v>61</v>
      </c>
      <c r="B61" s="169" t="s">
        <v>62</v>
      </c>
      <c r="C61" s="169"/>
      <c r="D61" s="170"/>
      <c r="E61" s="28"/>
      <c r="F61" s="26"/>
      <c r="G61" s="112" t="s">
        <v>305</v>
      </c>
      <c r="H61" s="22"/>
      <c r="I61" s="87">
        <f t="shared" ref="I61:O61" si="17">I62 + I63 + I64 + I65</f>
        <v>0</v>
      </c>
      <c r="J61" s="87">
        <f t="shared" si="17"/>
        <v>0</v>
      </c>
      <c r="K61" s="87">
        <f t="shared" si="17"/>
        <v>0</v>
      </c>
      <c r="L61" s="87">
        <f t="shared" si="17"/>
        <v>0</v>
      </c>
      <c r="M61" s="87">
        <f t="shared" si="17"/>
        <v>0</v>
      </c>
      <c r="N61" s="87">
        <f t="shared" si="17"/>
        <v>0</v>
      </c>
      <c r="O61" s="87">
        <f t="shared" si="17"/>
        <v>0</v>
      </c>
      <c r="P61" s="89">
        <f t="shared" si="0"/>
        <v>0</v>
      </c>
      <c r="Q61" s="107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</row>
    <row r="62" spans="1:45" s="8" customFormat="1" ht="11.25" customHeight="1" x14ac:dyDescent="0.2">
      <c r="A62" s="34"/>
      <c r="B62" s="35" t="s">
        <v>20</v>
      </c>
      <c r="C62" s="35" t="s">
        <v>63</v>
      </c>
      <c r="D62" s="27"/>
      <c r="E62" s="27"/>
      <c r="F62" s="25"/>
      <c r="G62" s="112" t="s">
        <v>306</v>
      </c>
      <c r="H62" s="22"/>
      <c r="I62" s="86" t="n">
        <v>0.0</v>
      </c>
      <c r="J62" s="86"/>
      <c r="K62" s="86"/>
      <c r="L62" s="86"/>
      <c r="M62" s="86"/>
      <c r="N62" s="94"/>
      <c r="O62" s="94"/>
      <c r="P62" s="89">
        <f t="shared" si="0"/>
        <v>0</v>
      </c>
      <c r="Q62" s="107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</row>
    <row r="63" spans="1:45" s="8" customFormat="1" ht="11.25" customHeight="1" x14ac:dyDescent="0.2">
      <c r="A63" s="34"/>
      <c r="B63" s="35" t="s">
        <v>22</v>
      </c>
      <c r="C63" s="35" t="s">
        <v>64</v>
      </c>
      <c r="D63" s="27"/>
      <c r="E63" s="27"/>
      <c r="F63" s="25"/>
      <c r="G63" s="112" t="s">
        <v>307</v>
      </c>
      <c r="H63" s="22"/>
      <c r="I63" s="86" t="n">
        <v>0.0</v>
      </c>
      <c r="J63" s="86"/>
      <c r="K63" s="86"/>
      <c r="L63" s="86"/>
      <c r="M63" s="86"/>
      <c r="N63" s="94"/>
      <c r="O63" s="94"/>
      <c r="P63" s="89">
        <f t="shared" si="0"/>
        <v>0</v>
      </c>
      <c r="Q63" s="107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</row>
    <row r="64" spans="1:45" s="8" customFormat="1" ht="11.25" customHeight="1" x14ac:dyDescent="0.2">
      <c r="A64" s="31"/>
      <c r="B64" s="10" t="s">
        <v>24</v>
      </c>
      <c r="C64" s="10" t="s">
        <v>65</v>
      </c>
      <c r="D64" s="32"/>
      <c r="E64" s="27"/>
      <c r="F64" s="25"/>
      <c r="G64" s="112" t="s">
        <v>308</v>
      </c>
      <c r="H64" s="22"/>
      <c r="I64" s="86" t="n">
        <v>0.0</v>
      </c>
      <c r="J64" s="86"/>
      <c r="K64" s="86"/>
      <c r="L64" s="86"/>
      <c r="M64" s="86"/>
      <c r="N64" s="94"/>
      <c r="O64" s="94"/>
      <c r="P64" s="89">
        <f t="shared" si="0"/>
        <v>0</v>
      </c>
      <c r="Q64" s="107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</row>
    <row r="65" spans="1:45" s="8" customFormat="1" ht="11.25" customHeight="1" x14ac:dyDescent="0.2">
      <c r="A65" s="34"/>
      <c r="B65" s="35" t="s">
        <v>66</v>
      </c>
      <c r="C65" s="35" t="s">
        <v>67</v>
      </c>
      <c r="D65" s="27"/>
      <c r="E65" s="27"/>
      <c r="F65" s="25"/>
      <c r="G65" s="112" t="s">
        <v>309</v>
      </c>
      <c r="H65" s="22"/>
      <c r="I65" s="86" t="n">
        <v>0.0</v>
      </c>
      <c r="J65" s="86"/>
      <c r="K65" s="86"/>
      <c r="L65" s="86"/>
      <c r="M65" s="86"/>
      <c r="N65" s="94"/>
      <c r="O65" s="94"/>
      <c r="P65" s="89">
        <f t="shared" si="0"/>
        <v>0</v>
      </c>
      <c r="Q65" s="107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</row>
    <row r="66" spans="1:45" s="8" customFormat="1" ht="11.25" customHeight="1" x14ac:dyDescent="0.2">
      <c r="A66" s="34" t="s">
        <v>68</v>
      </c>
      <c r="B66" s="169" t="s">
        <v>69</v>
      </c>
      <c r="C66" s="169"/>
      <c r="D66" s="170"/>
      <c r="E66" s="28"/>
      <c r="F66" s="26"/>
      <c r="G66" s="112" t="s">
        <v>310</v>
      </c>
      <c r="H66" s="22"/>
      <c r="I66" s="86" t="n">
        <v>0.0</v>
      </c>
      <c r="J66" s="86"/>
      <c r="K66" s="86"/>
      <c r="L66" s="86"/>
      <c r="M66" s="86"/>
      <c r="N66" s="94"/>
      <c r="O66" s="94"/>
      <c r="P66" s="89">
        <f t="shared" si="0"/>
        <v>0</v>
      </c>
      <c r="Q66" s="107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</row>
    <row r="67" spans="1:45" s="8" customFormat="1" ht="11.25" customHeight="1" x14ac:dyDescent="0.2">
      <c r="A67" s="34" t="s">
        <v>70</v>
      </c>
      <c r="B67" s="35" t="s">
        <v>71</v>
      </c>
      <c r="C67" s="35"/>
      <c r="D67" s="27"/>
      <c r="E67" s="27"/>
      <c r="F67" s="25"/>
      <c r="G67" s="112" t="s">
        <v>311</v>
      </c>
      <c r="H67" s="22"/>
      <c r="I67" s="87">
        <f t="shared" ref="I67:O67" si="18">I68 + I69</f>
        <v>0</v>
      </c>
      <c r="J67" s="87">
        <f t="shared" si="18"/>
        <v>0</v>
      </c>
      <c r="K67" s="87">
        <f t="shared" si="18"/>
        <v>0</v>
      </c>
      <c r="L67" s="87">
        <f t="shared" si="18"/>
        <v>0</v>
      </c>
      <c r="M67" s="87">
        <f t="shared" si="18"/>
        <v>0</v>
      </c>
      <c r="N67" s="87">
        <f t="shared" si="18"/>
        <v>0</v>
      </c>
      <c r="O67" s="87">
        <f t="shared" si="18"/>
        <v>0</v>
      </c>
      <c r="P67" s="89">
        <f t="shared" si="0"/>
        <v>0</v>
      </c>
      <c r="Q67" s="107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</row>
    <row r="68" spans="1:45" s="8" customFormat="1" ht="11.25" customHeight="1" x14ac:dyDescent="0.2">
      <c r="A68" s="31"/>
      <c r="B68" s="10" t="s">
        <v>20</v>
      </c>
      <c r="C68" s="10" t="s">
        <v>72</v>
      </c>
      <c r="D68" s="32"/>
      <c r="E68" s="27"/>
      <c r="F68" s="25"/>
      <c r="G68" s="112" t="s">
        <v>312</v>
      </c>
      <c r="H68" s="22"/>
      <c r="I68" s="86" t="n">
        <v>0.0</v>
      </c>
      <c r="J68" s="86"/>
      <c r="K68" s="86"/>
      <c r="L68" s="86"/>
      <c r="M68" s="86"/>
      <c r="N68" s="94"/>
      <c r="O68" s="94"/>
      <c r="P68" s="89">
        <f t="shared" si="0"/>
        <v>0</v>
      </c>
      <c r="Q68" s="107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</row>
    <row r="69" spans="1:45" s="8" customFormat="1" ht="11.25" customHeight="1" x14ac:dyDescent="0.2">
      <c r="A69" s="34"/>
      <c r="B69" s="35" t="s">
        <v>22</v>
      </c>
      <c r="C69" s="35" t="s">
        <v>73</v>
      </c>
      <c r="D69" s="27"/>
      <c r="E69" s="27"/>
      <c r="F69" s="25"/>
      <c r="G69" s="112" t="s">
        <v>313</v>
      </c>
      <c r="H69" s="22"/>
      <c r="I69" s="86" t="n">
        <v>0.0</v>
      </c>
      <c r="J69" s="86"/>
      <c r="K69" s="86"/>
      <c r="L69" s="86"/>
      <c r="M69" s="86"/>
      <c r="N69" s="94"/>
      <c r="O69" s="94"/>
      <c r="P69" s="89">
        <f t="shared" si="0"/>
        <v>0</v>
      </c>
      <c r="Q69" s="107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</row>
    <row r="70" spans="1:45" s="8" customFormat="1" ht="11.25" customHeight="1" x14ac:dyDescent="0.2">
      <c r="A70" s="34"/>
      <c r="B70" s="145" t="s">
        <v>245</v>
      </c>
      <c r="C70" s="35"/>
      <c r="D70" s="27"/>
      <c r="E70" s="27"/>
      <c r="F70" s="25"/>
      <c r="G70" s="112" t="s">
        <v>482</v>
      </c>
      <c r="H70" s="22"/>
      <c r="I70" s="86" t="n">
        <v>0.0</v>
      </c>
      <c r="J70" s="86"/>
      <c r="K70" s="86"/>
      <c r="L70" s="86"/>
      <c r="M70" s="86"/>
      <c r="N70" s="94"/>
      <c r="O70" s="94"/>
      <c r="P70" s="89">
        <f t="shared" si="0"/>
        <v>0</v>
      </c>
      <c r="Q70" s="107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</row>
    <row r="71" spans="1:45" s="8" customFormat="1" ht="11.25" customHeight="1" x14ac:dyDescent="0.2">
      <c r="A71" s="120"/>
      <c r="B71" s="146" t="s">
        <v>566</v>
      </c>
      <c r="C71" s="146"/>
      <c r="D71" s="122"/>
      <c r="E71" s="27"/>
      <c r="F71" s="25"/>
      <c r="G71" s="112" t="s">
        <v>483</v>
      </c>
      <c r="H71" s="22"/>
      <c r="I71" s="87">
        <f t="shared" ref="I71:O71" si="19">I67-I70</f>
        <v>0</v>
      </c>
      <c r="J71" s="87">
        <f t="shared" si="19"/>
        <v>0</v>
      </c>
      <c r="K71" s="87">
        <f t="shared" si="19"/>
        <v>0</v>
      </c>
      <c r="L71" s="87">
        <f t="shared" si="19"/>
        <v>0</v>
      </c>
      <c r="M71" s="87">
        <f t="shared" si="19"/>
        <v>0</v>
      </c>
      <c r="N71" s="87">
        <f t="shared" si="19"/>
        <v>0</v>
      </c>
      <c r="O71" s="87">
        <f t="shared" si="19"/>
        <v>0</v>
      </c>
      <c r="P71" s="89">
        <f t="shared" si="0"/>
        <v>0</v>
      </c>
      <c r="Q71" s="107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</row>
    <row r="72" spans="1:45" s="8" customFormat="1" ht="11.25" customHeight="1" x14ac:dyDescent="0.2">
      <c r="A72" s="31"/>
      <c r="B72" s="130" t="s">
        <v>42</v>
      </c>
      <c r="C72" s="130"/>
      <c r="D72" s="32"/>
      <c r="E72" s="27"/>
      <c r="F72" s="25"/>
      <c r="G72" s="112" t="s">
        <v>314</v>
      </c>
      <c r="H72" s="22"/>
      <c r="I72" s="86" t="n">
        <v>0.0</v>
      </c>
      <c r="J72" s="86"/>
      <c r="K72" s="86"/>
      <c r="L72" s="86"/>
      <c r="M72" s="86"/>
      <c r="N72" s="94"/>
      <c r="O72" s="94"/>
      <c r="P72" s="89">
        <f t="shared" si="0"/>
        <v>0</v>
      </c>
      <c r="Q72" s="107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</row>
    <row r="73" spans="1:45" s="13" customFormat="1" ht="11.25" customHeight="1" x14ac:dyDescent="0.2">
      <c r="A73" s="34"/>
      <c r="B73" s="35" t="s">
        <v>74</v>
      </c>
      <c r="C73" s="35"/>
      <c r="D73" s="27"/>
      <c r="E73" s="27"/>
      <c r="F73" s="25"/>
      <c r="G73" s="112" t="s">
        <v>315</v>
      </c>
      <c r="H73" s="22"/>
      <c r="I73" s="87">
        <f t="shared" ref="I73:O73" si="20">I71-I72</f>
        <v>0</v>
      </c>
      <c r="J73" s="87">
        <f t="shared" si="20"/>
        <v>0</v>
      </c>
      <c r="K73" s="87">
        <f t="shared" si="20"/>
        <v>0</v>
      </c>
      <c r="L73" s="87">
        <f t="shared" si="20"/>
        <v>0</v>
      </c>
      <c r="M73" s="87">
        <f t="shared" si="20"/>
        <v>0</v>
      </c>
      <c r="N73" s="87">
        <f t="shared" si="20"/>
        <v>0</v>
      </c>
      <c r="O73" s="87">
        <f t="shared" si="20"/>
        <v>0</v>
      </c>
      <c r="P73" s="89">
        <f t="shared" si="0"/>
        <v>0</v>
      </c>
      <c r="Q73" s="107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</row>
    <row r="74" spans="1:45" s="8" customFormat="1" ht="11.25" customHeight="1" x14ac:dyDescent="0.2">
      <c r="A74" s="31" t="s">
        <v>75</v>
      </c>
      <c r="B74" s="10" t="s">
        <v>76</v>
      </c>
      <c r="C74" s="10"/>
      <c r="D74" s="32"/>
      <c r="E74" s="27"/>
      <c r="F74" s="25"/>
      <c r="G74" s="112" t="s">
        <v>316</v>
      </c>
      <c r="H74" s="22"/>
      <c r="I74" s="86" t="n">
        <v>1481257.0</v>
      </c>
      <c r="J74" s="86"/>
      <c r="K74" s="86"/>
      <c r="L74" s="86"/>
      <c r="M74" s="86"/>
      <c r="N74" s="94"/>
      <c r="O74" s="94"/>
      <c r="P74" s="89">
        <f t="shared" si="0"/>
        <v>0</v>
      </c>
      <c r="Q74" s="107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</row>
    <row r="75" spans="1:45" s="8" customFormat="1" ht="11.25" customHeight="1" x14ac:dyDescent="0.2">
      <c r="A75" s="34"/>
      <c r="B75" s="135" t="s">
        <v>42</v>
      </c>
      <c r="C75" s="35"/>
      <c r="D75" s="27"/>
      <c r="E75" s="27"/>
      <c r="F75" s="25"/>
      <c r="G75" s="112" t="s">
        <v>317</v>
      </c>
      <c r="H75" s="22"/>
      <c r="I75" s="86" t="n">
        <v>0.0</v>
      </c>
      <c r="J75" s="86"/>
      <c r="K75" s="86"/>
      <c r="L75" s="86"/>
      <c r="M75" s="86"/>
      <c r="N75" s="94"/>
      <c r="O75" s="94"/>
      <c r="P75" s="89">
        <f t="shared" si="0"/>
        <v>0</v>
      </c>
      <c r="Q75" s="107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</row>
    <row r="76" spans="1:45" s="13" customFormat="1" ht="11.25" customHeight="1" x14ac:dyDescent="0.2">
      <c r="A76" s="31"/>
      <c r="B76" s="10" t="s">
        <v>77</v>
      </c>
      <c r="C76" s="10"/>
      <c r="D76" s="32"/>
      <c r="E76" s="27"/>
      <c r="F76" s="25"/>
      <c r="G76" s="112" t="s">
        <v>318</v>
      </c>
      <c r="H76" s="22"/>
      <c r="I76" s="87">
        <f t="shared" ref="I76:O76" si="21">I74 - I75</f>
        <v>0</v>
      </c>
      <c r="J76" s="87">
        <f t="shared" si="21"/>
        <v>0</v>
      </c>
      <c r="K76" s="87">
        <f t="shared" si="21"/>
        <v>0</v>
      </c>
      <c r="L76" s="87">
        <f t="shared" si="21"/>
        <v>0</v>
      </c>
      <c r="M76" s="87">
        <f t="shared" si="21"/>
        <v>0</v>
      </c>
      <c r="N76" s="87">
        <f t="shared" si="21"/>
        <v>0</v>
      </c>
      <c r="O76" s="87">
        <f t="shared" si="21"/>
        <v>0</v>
      </c>
      <c r="P76" s="89">
        <f t="shared" si="0"/>
        <v>0</v>
      </c>
      <c r="Q76" s="107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</row>
    <row r="77" spans="1:45" s="8" customFormat="1" ht="11.25" customHeight="1" x14ac:dyDescent="0.2">
      <c r="A77" s="34" t="s">
        <v>78</v>
      </c>
      <c r="B77" s="169" t="s">
        <v>79</v>
      </c>
      <c r="C77" s="169"/>
      <c r="D77" s="170"/>
      <c r="E77" s="28"/>
      <c r="F77" s="26"/>
      <c r="G77" s="112" t="s">
        <v>319</v>
      </c>
      <c r="H77" s="22"/>
      <c r="I77" s="86" t="n">
        <v>0.0</v>
      </c>
      <c r="J77" s="86"/>
      <c r="K77" s="86"/>
      <c r="L77" s="90"/>
      <c r="M77" s="90"/>
      <c r="N77" s="113"/>
      <c r="O77" s="113"/>
      <c r="P77" s="89">
        <f t="shared" si="0"/>
        <v>0</v>
      </c>
      <c r="Q77" s="107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</row>
    <row r="78" spans="1:45" s="8" customFormat="1" ht="11.25" customHeight="1" x14ac:dyDescent="0.2">
      <c r="A78" s="137"/>
      <c r="B78" s="130" t="s">
        <v>42</v>
      </c>
      <c r="C78" s="10"/>
      <c r="D78" s="32"/>
      <c r="E78" s="27"/>
      <c r="F78" s="25"/>
      <c r="G78" s="112" t="s">
        <v>320</v>
      </c>
      <c r="H78" s="22"/>
      <c r="I78" s="86" t="n">
        <v>0.0</v>
      </c>
      <c r="J78" s="86"/>
      <c r="K78" s="86"/>
      <c r="L78" s="90"/>
      <c r="M78" s="90"/>
      <c r="N78" s="113"/>
      <c r="O78" s="113"/>
      <c r="P78" s="89">
        <f t="shared" si="0"/>
        <v>0</v>
      </c>
      <c r="Q78" s="107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</row>
    <row r="79" spans="1:45" s="8" customFormat="1" ht="11.25" customHeight="1" x14ac:dyDescent="0.2">
      <c r="A79" s="134"/>
      <c r="B79" s="169" t="s">
        <v>80</v>
      </c>
      <c r="C79" s="169"/>
      <c r="D79" s="170"/>
      <c r="E79" s="28"/>
      <c r="F79" s="26"/>
      <c r="G79" s="112" t="s">
        <v>321</v>
      </c>
      <c r="H79" s="22"/>
      <c r="I79" s="87">
        <f>I77 - I78</f>
        <v>0</v>
      </c>
      <c r="J79" s="87">
        <f>J77 - J78</f>
        <v>0</v>
      </c>
      <c r="K79" s="87">
        <f>K77 - K78</f>
        <v>0</v>
      </c>
      <c r="L79" s="91"/>
      <c r="M79" s="91"/>
      <c r="N79" s="114"/>
      <c r="O79" s="114"/>
      <c r="P79" s="89">
        <f t="shared" si="0"/>
        <v>0</v>
      </c>
      <c r="Q79" s="107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</row>
    <row r="80" spans="1:45" s="8" customFormat="1" ht="11.25" customHeight="1" x14ac:dyDescent="0.2">
      <c r="A80" s="31" t="s">
        <v>81</v>
      </c>
      <c r="B80" s="10" t="s">
        <v>82</v>
      </c>
      <c r="C80" s="10"/>
      <c r="D80" s="32"/>
      <c r="E80" s="27"/>
      <c r="F80" s="25"/>
      <c r="G80" s="112" t="s">
        <v>322</v>
      </c>
      <c r="H80" s="22"/>
      <c r="I80" s="86" t="n">
        <v>1.7291512258E8</v>
      </c>
      <c r="J80" s="90"/>
      <c r="K80" s="90"/>
      <c r="L80" s="90"/>
      <c r="M80" s="90"/>
      <c r="N80" s="94"/>
      <c r="O80" s="94"/>
      <c r="P80" s="89">
        <f t="shared" si="0"/>
        <v>0</v>
      </c>
      <c r="Q80" s="107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</row>
    <row r="81" spans="1:45" s="8" customFormat="1" ht="11.25" customHeight="1" x14ac:dyDescent="0.2">
      <c r="A81" s="34"/>
      <c r="B81" s="135" t="s">
        <v>83</v>
      </c>
      <c r="C81" s="35"/>
      <c r="D81" s="27"/>
      <c r="E81" s="27"/>
      <c r="F81" s="25"/>
      <c r="G81" s="112" t="s">
        <v>323</v>
      </c>
      <c r="H81" s="22"/>
      <c r="I81" s="86" t="n">
        <v>4.005819185E7</v>
      </c>
      <c r="J81" s="90"/>
      <c r="K81" s="90"/>
      <c r="L81" s="90"/>
      <c r="M81" s="90"/>
      <c r="N81" s="94"/>
      <c r="O81" s="94"/>
      <c r="P81" s="89">
        <f t="shared" si="0"/>
        <v>0</v>
      </c>
      <c r="Q81" s="107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</row>
    <row r="82" spans="1:45" s="8" customFormat="1" ht="11.25" customHeight="1" x14ac:dyDescent="0.2">
      <c r="A82" s="31"/>
      <c r="B82" s="130" t="s">
        <v>84</v>
      </c>
      <c r="C82" s="10"/>
      <c r="D82" s="32"/>
      <c r="E82" s="27"/>
      <c r="F82" s="25"/>
      <c r="G82" s="112" t="s">
        <v>324</v>
      </c>
      <c r="H82" s="22"/>
      <c r="I82" s="86" t="n">
        <v>0.0</v>
      </c>
      <c r="J82" s="90"/>
      <c r="K82" s="90"/>
      <c r="L82" s="90"/>
      <c r="M82" s="90"/>
      <c r="N82" s="94"/>
      <c r="O82" s="94"/>
      <c r="P82" s="89">
        <f t="shared" si="0"/>
        <v>0</v>
      </c>
      <c r="Q82" s="107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</row>
    <row r="83" spans="1:45" s="13" customFormat="1" ht="11.25" customHeight="1" x14ac:dyDescent="0.2">
      <c r="A83" s="134"/>
      <c r="B83" s="35" t="s">
        <v>85</v>
      </c>
      <c r="C83" s="35"/>
      <c r="D83" s="27"/>
      <c r="E83" s="27"/>
      <c r="F83" s="25"/>
      <c r="G83" s="112" t="s">
        <v>325</v>
      </c>
      <c r="H83" s="22"/>
      <c r="I83" s="87">
        <f>I80 - I81 - I82</f>
        <v>0</v>
      </c>
      <c r="J83" s="91"/>
      <c r="K83" s="91"/>
      <c r="L83" s="91"/>
      <c r="M83" s="91"/>
      <c r="N83" s="87">
        <f>N80 - N81 - N82</f>
        <v>0</v>
      </c>
      <c r="O83" s="87">
        <f>O80 - O81 - O82</f>
        <v>0</v>
      </c>
      <c r="P83" s="89">
        <f t="shared" si="0"/>
        <v>0</v>
      </c>
      <c r="Q83" s="107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</row>
    <row r="84" spans="1:45" s="8" customFormat="1" ht="11.25" customHeight="1" x14ac:dyDescent="0.2">
      <c r="A84" s="34" t="s">
        <v>86</v>
      </c>
      <c r="B84" s="35" t="s">
        <v>87</v>
      </c>
      <c r="C84" s="35"/>
      <c r="D84" s="27"/>
      <c r="E84" s="27"/>
      <c r="F84" s="25"/>
      <c r="G84" s="112" t="s">
        <v>326</v>
      </c>
      <c r="H84" s="22"/>
      <c r="I84" s="86" t="n">
        <v>2508327.49</v>
      </c>
      <c r="J84" s="90"/>
      <c r="K84" s="90"/>
      <c r="L84" s="86"/>
      <c r="M84" s="86"/>
      <c r="N84" s="94"/>
      <c r="O84" s="94"/>
      <c r="P84" s="89">
        <f t="shared" ref="P84:P150" si="22">I84+K84+M84+O84</f>
        <v>0</v>
      </c>
      <c r="Q84" s="107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</row>
    <row r="85" spans="1:45" s="8" customFormat="1" ht="11.25" customHeight="1" x14ac:dyDescent="0.2">
      <c r="A85" s="34"/>
      <c r="B85" s="135" t="s">
        <v>83</v>
      </c>
      <c r="C85" s="35"/>
      <c r="D85" s="27"/>
      <c r="E85" s="27"/>
      <c r="F85" s="25"/>
      <c r="G85" s="112" t="s">
        <v>327</v>
      </c>
      <c r="H85" s="22"/>
      <c r="I85" s="86" t="n">
        <v>117799.63</v>
      </c>
      <c r="J85" s="90"/>
      <c r="K85" s="90"/>
      <c r="L85" s="86"/>
      <c r="M85" s="86"/>
      <c r="N85" s="94"/>
      <c r="O85" s="94"/>
      <c r="P85" s="89">
        <f t="shared" si="22"/>
        <v>0</v>
      </c>
      <c r="Q85" s="107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</row>
    <row r="86" spans="1:45" s="8" customFormat="1" ht="11.25" customHeight="1" x14ac:dyDescent="0.2">
      <c r="A86" s="137"/>
      <c r="B86" s="130" t="s">
        <v>84</v>
      </c>
      <c r="C86" s="130"/>
      <c r="D86" s="32"/>
      <c r="E86" s="27"/>
      <c r="F86" s="25"/>
      <c r="G86" s="112" t="s">
        <v>328</v>
      </c>
      <c r="H86" s="22"/>
      <c r="I86" s="86" t="n">
        <v>0.0</v>
      </c>
      <c r="J86" s="90"/>
      <c r="K86" s="90"/>
      <c r="L86" s="86"/>
      <c r="M86" s="86"/>
      <c r="N86" s="94"/>
      <c r="O86" s="94"/>
      <c r="P86" s="89">
        <f t="shared" si="22"/>
        <v>0</v>
      </c>
      <c r="Q86" s="107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</row>
    <row r="87" spans="1:45" s="13" customFormat="1" ht="11.25" customHeight="1" x14ac:dyDescent="0.2">
      <c r="A87" s="134"/>
      <c r="B87" s="169" t="s">
        <v>88</v>
      </c>
      <c r="C87" s="169"/>
      <c r="D87" s="170"/>
      <c r="E87" s="28"/>
      <c r="F87" s="26"/>
      <c r="G87" s="112" t="s">
        <v>329</v>
      </c>
      <c r="H87" s="22"/>
      <c r="I87" s="87">
        <f>I84 - I85 - I86</f>
        <v>0</v>
      </c>
      <c r="J87" s="91"/>
      <c r="K87" s="91"/>
      <c r="L87" s="87">
        <f>L84 - L85 - L86</f>
        <v>0</v>
      </c>
      <c r="M87" s="87">
        <f>M84 - M85 - M86</f>
        <v>0</v>
      </c>
      <c r="N87" s="87">
        <f>N84 - N85 - N86</f>
        <v>0</v>
      </c>
      <c r="O87" s="87">
        <f>O84 - O85 - O86</f>
        <v>0</v>
      </c>
      <c r="P87" s="89">
        <f t="shared" si="22"/>
        <v>0</v>
      </c>
      <c r="Q87" s="107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</row>
    <row r="88" spans="1:45" s="8" customFormat="1" ht="11.25" customHeight="1" x14ac:dyDescent="0.2">
      <c r="A88" s="31" t="s">
        <v>89</v>
      </c>
      <c r="B88" s="10" t="s">
        <v>90</v>
      </c>
      <c r="C88" s="10"/>
      <c r="D88" s="32"/>
      <c r="E88" s="27"/>
      <c r="F88" s="25"/>
      <c r="G88" s="112" t="s">
        <v>531</v>
      </c>
      <c r="H88" s="22"/>
      <c r="I88" s="86" t="n">
        <v>0.0</v>
      </c>
      <c r="J88" s="90"/>
      <c r="K88" s="90"/>
      <c r="L88" s="86"/>
      <c r="M88" s="86"/>
      <c r="N88" s="94"/>
      <c r="O88" s="94"/>
      <c r="P88" s="89">
        <f t="shared" si="22"/>
        <v>0</v>
      </c>
      <c r="Q88" s="107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</row>
    <row r="89" spans="1:45" s="8" customFormat="1" ht="11.25" customHeight="1" x14ac:dyDescent="0.2">
      <c r="A89" s="34"/>
      <c r="B89" s="135" t="s">
        <v>84</v>
      </c>
      <c r="C89" s="35"/>
      <c r="D89" s="27"/>
      <c r="E89" s="27"/>
      <c r="F89" s="25"/>
      <c r="G89" s="112" t="s">
        <v>529</v>
      </c>
      <c r="H89" s="22"/>
      <c r="I89" s="86" t="n">
        <v>0.0</v>
      </c>
      <c r="J89" s="90"/>
      <c r="K89" s="90"/>
      <c r="L89" s="86"/>
      <c r="M89" s="86"/>
      <c r="N89" s="94"/>
      <c r="O89" s="94"/>
      <c r="P89" s="89">
        <f t="shared" si="22"/>
        <v>0</v>
      </c>
      <c r="Q89" s="107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</row>
    <row r="90" spans="1:45" s="8" customFormat="1" ht="11.25" customHeight="1" x14ac:dyDescent="0.2">
      <c r="A90" s="137"/>
      <c r="B90" s="35" t="s">
        <v>530</v>
      </c>
      <c r="C90" s="130"/>
      <c r="D90" s="32"/>
      <c r="E90" s="27"/>
      <c r="F90" s="25"/>
      <c r="G90" s="112" t="s">
        <v>330</v>
      </c>
      <c r="H90" s="22"/>
      <c r="I90" s="87">
        <f>I88 - I89</f>
        <v>0</v>
      </c>
      <c r="J90" s="90"/>
      <c r="K90" s="90"/>
      <c r="L90" s="87">
        <f>L88 - L89</f>
        <v>0</v>
      </c>
      <c r="M90" s="87">
        <f>M88 - M89</f>
        <v>0</v>
      </c>
      <c r="N90" s="94"/>
      <c r="O90" s="94"/>
      <c r="P90" s="89">
        <f t="shared" si="22"/>
        <v>0</v>
      </c>
      <c r="Q90" s="107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</row>
    <row r="91" spans="1:45" s="8" customFormat="1" ht="11.25" customHeight="1" x14ac:dyDescent="0.2">
      <c r="A91" s="34" t="s">
        <v>91</v>
      </c>
      <c r="B91" s="35" t="s">
        <v>92</v>
      </c>
      <c r="C91" s="35"/>
      <c r="D91" s="27"/>
      <c r="E91" s="27"/>
      <c r="F91" s="25"/>
      <c r="G91" s="112" t="s">
        <v>331</v>
      </c>
      <c r="H91" s="22"/>
      <c r="I91" s="86" t="n">
        <v>0.0</v>
      </c>
      <c r="J91" s="90"/>
      <c r="K91" s="90"/>
      <c r="L91" s="86"/>
      <c r="M91" s="86"/>
      <c r="N91" s="94"/>
      <c r="O91" s="94"/>
      <c r="P91" s="89">
        <f t="shared" si="22"/>
        <v>0</v>
      </c>
      <c r="Q91" s="107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</row>
    <row r="92" spans="1:45" s="8" customFormat="1" ht="11.25" customHeight="1" x14ac:dyDescent="0.2">
      <c r="A92" s="31"/>
      <c r="B92" s="130" t="s">
        <v>84</v>
      </c>
      <c r="C92" s="10"/>
      <c r="D92" s="32"/>
      <c r="E92" s="27"/>
      <c r="F92" s="25"/>
      <c r="G92" s="112" t="s">
        <v>332</v>
      </c>
      <c r="H92" s="22"/>
      <c r="I92" s="86" t="n">
        <v>0.0</v>
      </c>
      <c r="J92" s="90"/>
      <c r="K92" s="90"/>
      <c r="L92" s="86"/>
      <c r="M92" s="86"/>
      <c r="N92" s="94"/>
      <c r="O92" s="94"/>
      <c r="P92" s="89">
        <f t="shared" si="22"/>
        <v>0</v>
      </c>
      <c r="Q92" s="107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</row>
    <row r="93" spans="1:45" s="13" customFormat="1" ht="11.25" customHeight="1" x14ac:dyDescent="0.2">
      <c r="A93" s="34"/>
      <c r="B93" s="35" t="s">
        <v>93</v>
      </c>
      <c r="C93" s="35"/>
      <c r="D93" s="27"/>
      <c r="E93" s="27"/>
      <c r="F93" s="25"/>
      <c r="G93" s="112" t="s">
        <v>333</v>
      </c>
      <c r="H93" s="22"/>
      <c r="I93" s="87">
        <f t="shared" ref="I93:O93" si="23">I91 - I92</f>
        <v>0</v>
      </c>
      <c r="J93" s="91"/>
      <c r="K93" s="91"/>
      <c r="L93" s="87">
        <f t="shared" si="23"/>
        <v>0</v>
      </c>
      <c r="M93" s="87">
        <f t="shared" si="23"/>
        <v>0</v>
      </c>
      <c r="N93" s="87">
        <f t="shared" si="23"/>
        <v>0</v>
      </c>
      <c r="O93" s="87">
        <f t="shared" si="23"/>
        <v>0</v>
      </c>
      <c r="P93" s="89">
        <f t="shared" si="22"/>
        <v>0</v>
      </c>
      <c r="Q93" s="107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</row>
    <row r="94" spans="1:45" s="8" customFormat="1" ht="11.25" customHeight="1" x14ac:dyDescent="0.2">
      <c r="A94" s="31" t="s">
        <v>94</v>
      </c>
      <c r="B94" s="10" t="s">
        <v>95</v>
      </c>
      <c r="C94" s="10"/>
      <c r="D94" s="32"/>
      <c r="E94" s="27"/>
      <c r="F94" s="25"/>
      <c r="G94" s="112" t="s">
        <v>334</v>
      </c>
      <c r="H94" s="22"/>
      <c r="I94" s="86" t="n">
        <v>4.373988383E7</v>
      </c>
      <c r="J94" s="90"/>
      <c r="K94" s="90"/>
      <c r="L94" s="86"/>
      <c r="M94" s="86"/>
      <c r="N94" s="94"/>
      <c r="O94" s="94"/>
      <c r="P94" s="89">
        <f t="shared" si="22"/>
        <v>0</v>
      </c>
      <c r="Q94" s="107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</row>
    <row r="95" spans="1:45" s="8" customFormat="1" ht="11.25" customHeight="1" x14ac:dyDescent="0.2">
      <c r="A95" s="134"/>
      <c r="B95" s="135" t="s">
        <v>96</v>
      </c>
      <c r="C95" s="35"/>
      <c r="D95" s="27"/>
      <c r="E95" s="27"/>
      <c r="F95" s="25"/>
      <c r="G95" s="112" t="s">
        <v>335</v>
      </c>
      <c r="H95" s="22"/>
      <c r="I95" s="86" t="n">
        <v>2.571873185E7</v>
      </c>
      <c r="J95" s="90"/>
      <c r="K95" s="90"/>
      <c r="L95" s="86"/>
      <c r="M95" s="86"/>
      <c r="N95" s="94"/>
      <c r="O95" s="94"/>
      <c r="P95" s="89">
        <f t="shared" si="22"/>
        <v>0</v>
      </c>
      <c r="Q95" s="107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</row>
    <row r="96" spans="1:45" s="8" customFormat="1" ht="11.25" customHeight="1" x14ac:dyDescent="0.2">
      <c r="A96" s="31"/>
      <c r="B96" s="130" t="s">
        <v>84</v>
      </c>
      <c r="C96" s="10"/>
      <c r="D96" s="32"/>
      <c r="E96" s="27"/>
      <c r="F96" s="25"/>
      <c r="G96" s="112" t="s">
        <v>336</v>
      </c>
      <c r="H96" s="22"/>
      <c r="I96" s="86" t="n">
        <v>0.0</v>
      </c>
      <c r="J96" s="90"/>
      <c r="K96" s="90"/>
      <c r="L96" s="86"/>
      <c r="M96" s="86"/>
      <c r="N96" s="94"/>
      <c r="O96" s="94"/>
      <c r="P96" s="89">
        <f t="shared" si="22"/>
        <v>0</v>
      </c>
      <c r="Q96" s="107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</row>
    <row r="97" spans="1:45" s="13" customFormat="1" ht="11.25" customHeight="1" x14ac:dyDescent="0.2">
      <c r="A97" s="34"/>
      <c r="B97" s="35" t="s">
        <v>97</v>
      </c>
      <c r="C97" s="35"/>
      <c r="D97" s="27"/>
      <c r="E97" s="27"/>
      <c r="F97" s="25"/>
      <c r="G97" s="112" t="s">
        <v>337</v>
      </c>
      <c r="H97" s="22"/>
      <c r="I97" s="87">
        <f t="shared" ref="I97:O97" si="24">I94 - I95 - I96</f>
        <v>0</v>
      </c>
      <c r="J97" s="91"/>
      <c r="K97" s="91"/>
      <c r="L97" s="87">
        <f t="shared" si="24"/>
        <v>0</v>
      </c>
      <c r="M97" s="87">
        <f t="shared" si="24"/>
        <v>0</v>
      </c>
      <c r="N97" s="87">
        <f t="shared" si="24"/>
        <v>0</v>
      </c>
      <c r="O97" s="87">
        <f t="shared" si="24"/>
        <v>0</v>
      </c>
      <c r="P97" s="89">
        <f t="shared" si="22"/>
        <v>0</v>
      </c>
      <c r="Q97" s="107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s="8" customFormat="1" ht="11.25" customHeight="1" x14ac:dyDescent="0.2">
      <c r="A98" s="31" t="s">
        <v>98</v>
      </c>
      <c r="B98" s="10" t="s">
        <v>99</v>
      </c>
      <c r="C98" s="10"/>
      <c r="D98" s="32"/>
      <c r="E98" s="27"/>
      <c r="F98" s="25"/>
      <c r="G98" s="112" t="s">
        <v>338</v>
      </c>
      <c r="H98" s="22"/>
      <c r="I98" s="86" t="n">
        <v>4065996.69</v>
      </c>
      <c r="J98" s="86"/>
      <c r="K98" s="86"/>
      <c r="L98" s="86"/>
      <c r="M98" s="86"/>
      <c r="N98" s="94"/>
      <c r="O98" s="94"/>
      <c r="P98" s="89">
        <f t="shared" si="22"/>
        <v>0</v>
      </c>
      <c r="Q98" s="107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</row>
    <row r="99" spans="1:45" s="8" customFormat="1" ht="11.25" customHeight="1" x14ac:dyDescent="0.2">
      <c r="A99" s="34" t="s">
        <v>100</v>
      </c>
      <c r="B99" s="35" t="s">
        <v>101</v>
      </c>
      <c r="C99" s="35"/>
      <c r="D99" s="27"/>
      <c r="E99" s="27"/>
      <c r="F99" s="25"/>
      <c r="G99" s="112" t="s">
        <v>339</v>
      </c>
      <c r="H99" s="22"/>
      <c r="I99" s="86" t="n">
        <v>3.163874266E7</v>
      </c>
      <c r="J99" s="86"/>
      <c r="K99" s="86"/>
      <c r="L99" s="86"/>
      <c r="M99" s="86"/>
      <c r="N99" s="94"/>
      <c r="O99" s="94"/>
      <c r="P99" s="89">
        <f t="shared" si="22"/>
        <v>0</v>
      </c>
      <c r="Q99" s="107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</row>
    <row r="100" spans="1:45" s="8" customFormat="1" ht="11.25" customHeight="1" x14ac:dyDescent="0.2">
      <c r="A100" s="31"/>
      <c r="B100" s="130" t="s">
        <v>84</v>
      </c>
      <c r="C100" s="10"/>
      <c r="D100" s="32"/>
      <c r="E100" s="27"/>
      <c r="F100" s="25"/>
      <c r="G100" s="112" t="s">
        <v>340</v>
      </c>
      <c r="H100" s="22"/>
      <c r="I100" s="86" t="n">
        <v>102327.35</v>
      </c>
      <c r="J100" s="86"/>
      <c r="K100" s="86"/>
      <c r="L100" s="86"/>
      <c r="M100" s="86"/>
      <c r="N100" s="94"/>
      <c r="O100" s="94"/>
      <c r="P100" s="89">
        <f t="shared" si="22"/>
        <v>0</v>
      </c>
      <c r="Q100" s="107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</row>
    <row r="101" spans="1:45" s="13" customFormat="1" ht="11.25" customHeight="1" x14ac:dyDescent="0.2">
      <c r="A101" s="34"/>
      <c r="B101" s="35" t="s">
        <v>102</v>
      </c>
      <c r="C101" s="35"/>
      <c r="D101" s="27"/>
      <c r="E101" s="27"/>
      <c r="F101" s="25"/>
      <c r="G101" s="112" t="s">
        <v>341</v>
      </c>
      <c r="H101" s="22"/>
      <c r="I101" s="87">
        <f t="shared" ref="I101:O101" si="25">I99 - I100</f>
        <v>0</v>
      </c>
      <c r="J101" s="87">
        <f t="shared" si="25"/>
        <v>0</v>
      </c>
      <c r="K101" s="87">
        <f t="shared" si="25"/>
        <v>0</v>
      </c>
      <c r="L101" s="87">
        <f t="shared" si="25"/>
        <v>0</v>
      </c>
      <c r="M101" s="87">
        <f t="shared" si="25"/>
        <v>0</v>
      </c>
      <c r="N101" s="87">
        <f t="shared" si="25"/>
        <v>0</v>
      </c>
      <c r="O101" s="87">
        <f t="shared" si="25"/>
        <v>0</v>
      </c>
      <c r="P101" s="89">
        <f t="shared" si="22"/>
        <v>0</v>
      </c>
      <c r="Q101" s="107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</row>
    <row r="102" spans="1:45" s="8" customFormat="1" ht="11.25" customHeight="1" x14ac:dyDescent="0.2">
      <c r="A102" s="31" t="s">
        <v>103</v>
      </c>
      <c r="B102" s="166" t="s">
        <v>104</v>
      </c>
      <c r="C102" s="166"/>
      <c r="D102" s="167"/>
      <c r="E102" s="28"/>
      <c r="F102" s="26"/>
      <c r="G102" s="112" t="s">
        <v>342</v>
      </c>
      <c r="H102" s="22"/>
      <c r="I102" s="86" t="n">
        <v>5.3267819029999995E8</v>
      </c>
      <c r="J102" s="86"/>
      <c r="K102" s="86"/>
      <c r="L102" s="86"/>
      <c r="M102" s="86"/>
      <c r="N102" s="94"/>
      <c r="O102" s="94"/>
      <c r="P102" s="89">
        <f t="shared" si="22"/>
        <v>0</v>
      </c>
      <c r="Q102" s="107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</row>
    <row r="103" spans="1:45" s="8" customFormat="1" ht="11.25" customHeight="1" x14ac:dyDescent="0.2">
      <c r="A103" s="34" t="s">
        <v>144</v>
      </c>
      <c r="B103" s="169" t="s">
        <v>485</v>
      </c>
      <c r="C103" s="169"/>
      <c r="D103" s="170"/>
      <c r="E103" s="28"/>
      <c r="F103" s="26"/>
      <c r="G103" s="112" t="s">
        <v>343</v>
      </c>
      <c r="H103" s="22"/>
      <c r="I103" s="86" t="n">
        <v>0.0</v>
      </c>
      <c r="J103" s="86"/>
      <c r="K103" s="86"/>
      <c r="L103" s="86"/>
      <c r="M103" s="86"/>
      <c r="N103" s="94"/>
      <c r="O103" s="94"/>
      <c r="P103" s="114"/>
      <c r="Q103" s="107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</row>
    <row r="104" spans="1:45" s="8" customFormat="1" ht="11.25" customHeight="1" x14ac:dyDescent="0.2">
      <c r="A104" s="37" t="s">
        <v>105</v>
      </c>
      <c r="B104" s="35"/>
      <c r="C104" s="35"/>
      <c r="D104" s="27"/>
      <c r="E104" s="27"/>
      <c r="F104" s="25"/>
      <c r="G104" s="112" t="s">
        <v>344</v>
      </c>
      <c r="H104" s="22"/>
      <c r="I104" s="87">
        <f>I10 + I11 + I12 + I17 + I18 + I22 + I30 + I35 + I40 + I43 + I60+I61 + I66 + I73 + I76 + I79 + I83 + I87 + I90 + I93 + I97 + I98 + I101 + I102+I103</f>
        <v>0</v>
      </c>
      <c r="J104" s="87">
        <f t="shared" ref="J104:P104" si="26">J10 + J11 + J12 + J17 + J18 + J22 + J30 + J35 + J40 + J43 + J60+J61 + J66 + J73 + J76 + J79 + J83 + J87 + J90 + J93 + J97 + J98 + J101 + J102+J103</f>
        <v>0</v>
      </c>
      <c r="K104" s="87">
        <f t="shared" si="26"/>
        <v>0</v>
      </c>
      <c r="L104" s="87">
        <f t="shared" si="26"/>
        <v>0</v>
      </c>
      <c r="M104" s="87">
        <f t="shared" si="26"/>
        <v>0</v>
      </c>
      <c r="N104" s="87">
        <f t="shared" si="26"/>
        <v>0</v>
      </c>
      <c r="O104" s="87">
        <f t="shared" si="26"/>
        <v>0</v>
      </c>
      <c r="P104" s="87">
        <f t="shared" si="26"/>
        <v>0</v>
      </c>
      <c r="Q104" s="107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</row>
    <row r="105" spans="1:45" s="8" customFormat="1" ht="11.25" customHeight="1" x14ac:dyDescent="0.2">
      <c r="A105" s="33" t="s">
        <v>106</v>
      </c>
      <c r="B105" s="10"/>
      <c r="C105" s="10"/>
      <c r="D105" s="32"/>
      <c r="E105" s="27"/>
      <c r="F105" s="25"/>
      <c r="G105" s="147"/>
      <c r="H105" s="22"/>
      <c r="I105" s="94"/>
      <c r="J105" s="94"/>
      <c r="K105" s="94"/>
      <c r="L105" s="94"/>
      <c r="M105" s="94"/>
      <c r="N105" s="94"/>
      <c r="O105" s="94"/>
      <c r="P105" s="87"/>
      <c r="Q105" s="107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</row>
    <row r="106" spans="1:45" s="8" customFormat="1" ht="11.25" customHeight="1" x14ac:dyDescent="0.2">
      <c r="A106" s="34" t="s">
        <v>10</v>
      </c>
      <c r="B106" s="35" t="s">
        <v>107</v>
      </c>
      <c r="C106" s="35"/>
      <c r="D106" s="27"/>
      <c r="E106" s="27"/>
      <c r="F106" s="25"/>
      <c r="G106" s="112" t="s">
        <v>345</v>
      </c>
      <c r="H106" s="22"/>
      <c r="I106" s="87">
        <f t="shared" ref="I106:O106" si="27">I107 + I108</f>
        <v>0</v>
      </c>
      <c r="J106" s="87">
        <f t="shared" si="27"/>
        <v>0</v>
      </c>
      <c r="K106" s="87">
        <f t="shared" si="27"/>
        <v>0</v>
      </c>
      <c r="L106" s="87">
        <f t="shared" si="27"/>
        <v>0</v>
      </c>
      <c r="M106" s="87">
        <f t="shared" si="27"/>
        <v>0</v>
      </c>
      <c r="N106" s="87">
        <f t="shared" si="27"/>
        <v>0</v>
      </c>
      <c r="O106" s="87">
        <f t="shared" si="27"/>
        <v>0</v>
      </c>
      <c r="P106" s="89">
        <f t="shared" si="22"/>
        <v>0</v>
      </c>
      <c r="Q106" s="107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</row>
    <row r="107" spans="1:45" s="8" customFormat="1" ht="11.25" customHeight="1" x14ac:dyDescent="0.2">
      <c r="A107" s="137"/>
      <c r="B107" s="10" t="s">
        <v>20</v>
      </c>
      <c r="C107" s="166" t="s">
        <v>108</v>
      </c>
      <c r="D107" s="167"/>
      <c r="E107" s="28"/>
      <c r="F107" s="26"/>
      <c r="G107" s="112" t="s">
        <v>346</v>
      </c>
      <c r="H107" s="22"/>
      <c r="I107" s="86" t="n">
        <v>0.0</v>
      </c>
      <c r="J107" s="86"/>
      <c r="K107" s="86"/>
      <c r="L107" s="86"/>
      <c r="M107" s="86"/>
      <c r="N107" s="94"/>
      <c r="O107" s="94"/>
      <c r="P107" s="89">
        <f t="shared" si="22"/>
        <v>0</v>
      </c>
      <c r="Q107" s="107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</row>
    <row r="108" spans="1:45" s="8" customFormat="1" ht="11.25" customHeight="1" x14ac:dyDescent="0.2">
      <c r="A108" s="134"/>
      <c r="B108" s="35" t="s">
        <v>22</v>
      </c>
      <c r="C108" s="35" t="s">
        <v>109</v>
      </c>
      <c r="D108" s="27"/>
      <c r="E108" s="27"/>
      <c r="F108" s="25"/>
      <c r="G108" s="112" t="s">
        <v>347</v>
      </c>
      <c r="H108" s="22"/>
      <c r="I108" s="88" t="n">
        <v>0.0</v>
      </c>
      <c r="J108" s="88"/>
      <c r="K108" s="88"/>
      <c r="L108" s="88"/>
      <c r="M108" s="88"/>
      <c r="N108" s="98"/>
      <c r="O108" s="98"/>
      <c r="P108" s="89">
        <f t="shared" si="22"/>
        <v>0</v>
      </c>
      <c r="Q108" s="107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</row>
    <row r="109" spans="1:45" s="8" customFormat="1" ht="11.25" customHeight="1" x14ac:dyDescent="0.2">
      <c r="A109" s="31" t="s">
        <v>12</v>
      </c>
      <c r="B109" s="166" t="s">
        <v>110</v>
      </c>
      <c r="C109" s="166"/>
      <c r="D109" s="167"/>
      <c r="E109" s="28"/>
      <c r="F109" s="26"/>
      <c r="G109" s="112" t="s">
        <v>348</v>
      </c>
      <c r="H109" s="22"/>
      <c r="I109" s="86" t="n">
        <v>0.0</v>
      </c>
      <c r="J109" s="86"/>
      <c r="K109" s="86"/>
      <c r="L109" s="86"/>
      <c r="M109" s="86"/>
      <c r="N109" s="94"/>
      <c r="O109" s="94"/>
      <c r="P109" s="89">
        <f t="shared" si="22"/>
        <v>0</v>
      </c>
      <c r="Q109" s="107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</row>
    <row r="110" spans="1:45" s="8" customFormat="1" ht="11.25" customHeight="1" x14ac:dyDescent="0.2">
      <c r="A110" s="34" t="s">
        <v>14</v>
      </c>
      <c r="B110" s="35" t="s">
        <v>111</v>
      </c>
      <c r="C110" s="35"/>
      <c r="D110" s="27"/>
      <c r="E110" s="27"/>
      <c r="F110" s="25"/>
      <c r="G110" s="112" t="s">
        <v>349</v>
      </c>
      <c r="H110" s="22"/>
      <c r="I110" s="87">
        <f>I111 + I112 + I114 + I113 + I115</f>
        <v>0</v>
      </c>
      <c r="J110" s="91"/>
      <c r="K110" s="91"/>
      <c r="L110" s="87">
        <f>L111 + L112 + L114 + L113 + L115</f>
        <v>0</v>
      </c>
      <c r="M110" s="87">
        <f>M111 + M112 + M114 + M113 + M115</f>
        <v>0</v>
      </c>
      <c r="N110" s="87">
        <f>N111 + N112 + N114 + N113 + N115</f>
        <v>0</v>
      </c>
      <c r="O110" s="87">
        <f>O111 + O112 + O114 + O113 + O115</f>
        <v>0</v>
      </c>
      <c r="P110" s="89">
        <f t="shared" si="22"/>
        <v>0</v>
      </c>
      <c r="Q110" s="107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</row>
    <row r="111" spans="1:45" s="8" customFormat="1" ht="11.25" customHeight="1" x14ac:dyDescent="0.2">
      <c r="A111" s="137"/>
      <c r="B111" s="10" t="s">
        <v>20</v>
      </c>
      <c r="C111" s="10" t="s">
        <v>112</v>
      </c>
      <c r="D111" s="32"/>
      <c r="E111" s="27"/>
      <c r="F111" s="25"/>
      <c r="G111" s="112" t="s">
        <v>350</v>
      </c>
      <c r="H111" s="22"/>
      <c r="I111" s="86" t="n">
        <v>3737335.96</v>
      </c>
      <c r="J111" s="90"/>
      <c r="K111" s="90"/>
      <c r="L111" s="86"/>
      <c r="M111" s="86"/>
      <c r="N111" s="94"/>
      <c r="O111" s="94"/>
      <c r="P111" s="89">
        <f t="shared" si="22"/>
        <v>0</v>
      </c>
      <c r="Q111" s="107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</row>
    <row r="112" spans="1:45" s="8" customFormat="1" ht="11.25" customHeight="1" x14ac:dyDescent="0.2">
      <c r="A112" s="134"/>
      <c r="B112" s="35" t="s">
        <v>22</v>
      </c>
      <c r="C112" s="35" t="s">
        <v>113</v>
      </c>
      <c r="D112" s="27"/>
      <c r="E112" s="27"/>
      <c r="F112" s="25"/>
      <c r="G112" s="112" t="s">
        <v>351</v>
      </c>
      <c r="H112" s="22"/>
      <c r="I112" s="86" t="n">
        <v>1.23185060336E9</v>
      </c>
      <c r="J112" s="90"/>
      <c r="K112" s="90"/>
      <c r="L112" s="86"/>
      <c r="M112" s="86"/>
      <c r="N112" s="94"/>
      <c r="O112" s="94"/>
      <c r="P112" s="89">
        <f t="shared" si="22"/>
        <v>0</v>
      </c>
      <c r="Q112" s="107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</row>
    <row r="113" spans="1:45" s="8" customFormat="1" ht="11.25" customHeight="1" x14ac:dyDescent="0.2">
      <c r="A113" s="137"/>
      <c r="B113" s="10" t="s">
        <v>24</v>
      </c>
      <c r="C113" s="10" t="s">
        <v>114</v>
      </c>
      <c r="D113" s="32"/>
      <c r="E113" s="27"/>
      <c r="F113" s="25"/>
      <c r="G113" s="112" t="s">
        <v>352</v>
      </c>
      <c r="H113" s="22"/>
      <c r="I113" s="86" t="n">
        <v>0.0</v>
      </c>
      <c r="J113" s="90"/>
      <c r="K113" s="90"/>
      <c r="L113" s="86"/>
      <c r="M113" s="86"/>
      <c r="N113" s="94"/>
      <c r="O113" s="94"/>
      <c r="P113" s="89">
        <f t="shared" si="22"/>
        <v>0</v>
      </c>
      <c r="Q113" s="107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</row>
    <row r="114" spans="1:45" s="8" customFormat="1" ht="11.25" customHeight="1" x14ac:dyDescent="0.2">
      <c r="A114" s="134"/>
      <c r="B114" s="35" t="s">
        <v>66</v>
      </c>
      <c r="C114" s="35" t="s">
        <v>115</v>
      </c>
      <c r="D114" s="27"/>
      <c r="E114" s="27"/>
      <c r="F114" s="25"/>
      <c r="G114" s="112" t="s">
        <v>353</v>
      </c>
      <c r="H114" s="22"/>
      <c r="I114" s="86" t="n">
        <v>2.871310158E7</v>
      </c>
      <c r="J114" s="90"/>
      <c r="K114" s="90"/>
      <c r="L114" s="86"/>
      <c r="M114" s="86"/>
      <c r="N114" s="94"/>
      <c r="O114" s="94"/>
      <c r="P114" s="89">
        <f t="shared" si="22"/>
        <v>0</v>
      </c>
      <c r="Q114" s="107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</row>
    <row r="115" spans="1:45" s="8" customFormat="1" ht="11.25" customHeight="1" x14ac:dyDescent="0.2">
      <c r="A115" s="137"/>
      <c r="B115" s="10" t="s">
        <v>116</v>
      </c>
      <c r="C115" s="10" t="s">
        <v>117</v>
      </c>
      <c r="D115" s="32"/>
      <c r="E115" s="27"/>
      <c r="F115" s="25"/>
      <c r="G115" s="112" t="s">
        <v>354</v>
      </c>
      <c r="H115" s="22"/>
      <c r="I115" s="86" t="n">
        <v>0.0</v>
      </c>
      <c r="J115" s="90"/>
      <c r="K115" s="90"/>
      <c r="L115" s="113"/>
      <c r="M115" s="113"/>
      <c r="N115" s="94"/>
      <c r="O115" s="94"/>
      <c r="P115" s="89">
        <f t="shared" si="22"/>
        <v>0</v>
      </c>
      <c r="Q115" s="107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</row>
    <row r="116" spans="1:45" s="8" customFormat="1" ht="11.25" customHeight="1" x14ac:dyDescent="0.2">
      <c r="A116" s="34" t="s">
        <v>16</v>
      </c>
      <c r="B116" s="35" t="s">
        <v>118</v>
      </c>
      <c r="C116" s="35"/>
      <c r="D116" s="27"/>
      <c r="E116" s="27"/>
      <c r="F116" s="25"/>
      <c r="G116" s="112" t="s">
        <v>355</v>
      </c>
      <c r="H116" s="22"/>
      <c r="I116" s="86" t="n">
        <v>0.0</v>
      </c>
      <c r="J116" s="88"/>
      <c r="K116" s="88"/>
      <c r="L116" s="86"/>
      <c r="M116" s="86"/>
      <c r="N116" s="94"/>
      <c r="O116" s="94"/>
      <c r="P116" s="89">
        <f t="shared" si="22"/>
        <v>0</v>
      </c>
      <c r="Q116" s="107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</row>
    <row r="117" spans="1:45" s="8" customFormat="1" ht="11.25" customHeight="1" x14ac:dyDescent="0.2">
      <c r="A117" s="31" t="s">
        <v>18</v>
      </c>
      <c r="B117" s="10" t="s">
        <v>119</v>
      </c>
      <c r="C117" s="12"/>
      <c r="D117" s="126"/>
      <c r="E117" s="28"/>
      <c r="F117" s="26"/>
      <c r="G117" s="112" t="s">
        <v>356</v>
      </c>
      <c r="H117" s="22"/>
      <c r="I117" s="86" t="n">
        <v>0.0</v>
      </c>
      <c r="J117" s="86"/>
      <c r="K117" s="86"/>
      <c r="L117" s="86"/>
      <c r="M117" s="86"/>
      <c r="N117" s="94"/>
      <c r="O117" s="94"/>
      <c r="P117" s="89">
        <f t="shared" si="22"/>
        <v>0</v>
      </c>
      <c r="Q117" s="107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</row>
    <row r="118" spans="1:45" s="8" customFormat="1" ht="11.25" customHeight="1" x14ac:dyDescent="0.2">
      <c r="A118" s="34" t="s">
        <v>26</v>
      </c>
      <c r="B118" s="35" t="s">
        <v>120</v>
      </c>
      <c r="C118" s="35"/>
      <c r="D118" s="27"/>
      <c r="E118" s="27"/>
      <c r="F118" s="25"/>
      <c r="G118" s="112" t="s">
        <v>357</v>
      </c>
      <c r="H118" s="22"/>
      <c r="I118" s="86" t="n">
        <v>0.0</v>
      </c>
      <c r="J118" s="86"/>
      <c r="K118" s="86"/>
      <c r="L118" s="86"/>
      <c r="M118" s="86"/>
      <c r="N118" s="94"/>
      <c r="O118" s="94"/>
      <c r="P118" s="89">
        <f t="shared" si="22"/>
        <v>0</v>
      </c>
      <c r="Q118" s="107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</row>
    <row r="119" spans="1:45" s="7" customFormat="1" ht="11.25" customHeight="1" x14ac:dyDescent="0.2">
      <c r="A119" s="48"/>
      <c r="B119" s="132" t="s">
        <v>121</v>
      </c>
      <c r="C119" s="45"/>
      <c r="D119" s="133"/>
      <c r="E119" s="46"/>
      <c r="F119" s="47"/>
      <c r="G119" s="112" t="s">
        <v>358</v>
      </c>
      <c r="H119" s="43"/>
      <c r="I119" s="86" t="n">
        <v>0.0</v>
      </c>
      <c r="J119" s="86"/>
      <c r="K119" s="86"/>
      <c r="L119" s="86"/>
      <c r="M119" s="86"/>
      <c r="N119" s="94"/>
      <c r="O119" s="94"/>
      <c r="P119" s="89">
        <f t="shared" si="22"/>
        <v>0</v>
      </c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</row>
    <row r="120" spans="1:45" s="13" customFormat="1" ht="11.25" customHeight="1" x14ac:dyDescent="0.2">
      <c r="A120" s="34"/>
      <c r="B120" s="35" t="s">
        <v>122</v>
      </c>
      <c r="C120" s="35"/>
      <c r="D120" s="27"/>
      <c r="E120" s="27"/>
      <c r="F120" s="25"/>
      <c r="G120" s="112" t="s">
        <v>359</v>
      </c>
      <c r="H120" s="22"/>
      <c r="I120" s="87">
        <f t="shared" ref="I120:O120" si="28">I118 + I119</f>
        <v>0</v>
      </c>
      <c r="J120" s="87">
        <f t="shared" si="28"/>
        <v>0</v>
      </c>
      <c r="K120" s="87">
        <f t="shared" si="28"/>
        <v>0</v>
      </c>
      <c r="L120" s="87">
        <f t="shared" si="28"/>
        <v>0</v>
      </c>
      <c r="M120" s="87">
        <f t="shared" si="28"/>
        <v>0</v>
      </c>
      <c r="N120" s="87">
        <f t="shared" si="28"/>
        <v>0</v>
      </c>
      <c r="O120" s="87">
        <f t="shared" si="28"/>
        <v>0</v>
      </c>
      <c r="P120" s="89">
        <f t="shared" si="22"/>
        <v>0</v>
      </c>
      <c r="Q120" s="107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</row>
    <row r="121" spans="1:45" s="8" customFormat="1" ht="11.25" customHeight="1" x14ac:dyDescent="0.2">
      <c r="A121" s="31" t="s">
        <v>28</v>
      </c>
      <c r="B121" s="10" t="s">
        <v>123</v>
      </c>
      <c r="C121" s="10"/>
      <c r="D121" s="32"/>
      <c r="E121" s="27"/>
      <c r="F121" s="25"/>
      <c r="G121" s="112" t="s">
        <v>360</v>
      </c>
      <c r="H121" s="22"/>
      <c r="I121" s="86" t="n">
        <v>0.0</v>
      </c>
      <c r="J121" s="86"/>
      <c r="K121" s="86"/>
      <c r="L121" s="86"/>
      <c r="M121" s="86"/>
      <c r="N121" s="94"/>
      <c r="O121" s="94"/>
      <c r="P121" s="89">
        <f t="shared" si="22"/>
        <v>0</v>
      </c>
      <c r="Q121" s="107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</row>
    <row r="122" spans="1:45" s="7" customFormat="1" ht="11.25" customHeight="1" x14ac:dyDescent="0.2">
      <c r="A122" s="40"/>
      <c r="B122" s="127" t="s">
        <v>124</v>
      </c>
      <c r="C122" s="41"/>
      <c r="D122" s="46"/>
      <c r="E122" s="46"/>
      <c r="F122" s="47"/>
      <c r="G122" s="112" t="s">
        <v>361</v>
      </c>
      <c r="H122" s="43"/>
      <c r="I122" s="86" t="n">
        <v>0.0</v>
      </c>
      <c r="J122" s="86"/>
      <c r="K122" s="86"/>
      <c r="L122" s="86"/>
      <c r="M122" s="86"/>
      <c r="N122" s="94"/>
      <c r="O122" s="94"/>
      <c r="P122" s="89">
        <f t="shared" si="22"/>
        <v>0</v>
      </c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</row>
    <row r="123" spans="1:45" s="13" customFormat="1" ht="11.25" customHeight="1" x14ac:dyDescent="0.2">
      <c r="A123" s="31"/>
      <c r="B123" s="10" t="s">
        <v>125</v>
      </c>
      <c r="C123" s="10"/>
      <c r="D123" s="32"/>
      <c r="E123" s="27"/>
      <c r="F123" s="25"/>
      <c r="G123" s="112" t="s">
        <v>362</v>
      </c>
      <c r="H123" s="22"/>
      <c r="I123" s="87">
        <f t="shared" ref="I123:O123" si="29">I121 + I122</f>
        <v>0</v>
      </c>
      <c r="J123" s="87">
        <f t="shared" si="29"/>
        <v>0</v>
      </c>
      <c r="K123" s="87">
        <f t="shared" si="29"/>
        <v>0</v>
      </c>
      <c r="L123" s="87">
        <f t="shared" si="29"/>
        <v>0</v>
      </c>
      <c r="M123" s="87">
        <f t="shared" si="29"/>
        <v>0</v>
      </c>
      <c r="N123" s="87">
        <f t="shared" si="29"/>
        <v>0</v>
      </c>
      <c r="O123" s="87">
        <f t="shared" si="29"/>
        <v>0</v>
      </c>
      <c r="P123" s="89">
        <f t="shared" si="22"/>
        <v>0</v>
      </c>
      <c r="Q123" s="107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</row>
    <row r="124" spans="1:45" s="8" customFormat="1" ht="11.25" customHeight="1" x14ac:dyDescent="0.2">
      <c r="A124" s="34" t="s">
        <v>39</v>
      </c>
      <c r="B124" s="35" t="s">
        <v>126</v>
      </c>
      <c r="C124" s="35"/>
      <c r="D124" s="27"/>
      <c r="E124" s="27"/>
      <c r="F124" s="25"/>
      <c r="G124" s="112" t="s">
        <v>363</v>
      </c>
      <c r="H124" s="22"/>
      <c r="I124" s="86" t="n">
        <v>0.0</v>
      </c>
      <c r="J124" s="86"/>
      <c r="K124" s="86"/>
      <c r="L124" s="90"/>
      <c r="M124" s="90"/>
      <c r="N124" s="94"/>
      <c r="O124" s="94"/>
      <c r="P124" s="89">
        <f t="shared" si="22"/>
        <v>0</v>
      </c>
      <c r="Q124" s="107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</row>
    <row r="125" spans="1:45" s="8" customFormat="1" ht="11.25" customHeight="1" x14ac:dyDescent="0.2">
      <c r="A125" s="31" t="s">
        <v>44</v>
      </c>
      <c r="B125" s="10" t="s">
        <v>127</v>
      </c>
      <c r="C125" s="10"/>
      <c r="D125" s="32"/>
      <c r="E125" s="27"/>
      <c r="F125" s="25"/>
      <c r="G125" s="112" t="s">
        <v>364</v>
      </c>
      <c r="H125" s="22"/>
      <c r="I125" s="86" t="n">
        <v>0.0</v>
      </c>
      <c r="J125" s="90"/>
      <c r="K125" s="90"/>
      <c r="L125" s="90"/>
      <c r="M125" s="90"/>
      <c r="N125" s="94"/>
      <c r="O125" s="94"/>
      <c r="P125" s="89">
        <f t="shared" si="22"/>
        <v>0</v>
      </c>
      <c r="Q125" s="107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</row>
    <row r="126" spans="1:45" s="8" customFormat="1" ht="11.25" customHeight="1" x14ac:dyDescent="0.2">
      <c r="A126" s="34" t="s">
        <v>47</v>
      </c>
      <c r="B126" s="35" t="s">
        <v>128</v>
      </c>
      <c r="C126" s="35"/>
      <c r="D126" s="27"/>
      <c r="E126" s="27"/>
      <c r="F126" s="25"/>
      <c r="G126" s="112" t="s">
        <v>365</v>
      </c>
      <c r="H126" s="22"/>
      <c r="I126" s="87">
        <f t="shared" ref="I126:O126" si="30">I127 + I128 + I129 + I130</f>
        <v>0</v>
      </c>
      <c r="J126" s="87">
        <f t="shared" si="30"/>
        <v>0</v>
      </c>
      <c r="K126" s="87">
        <f t="shared" si="30"/>
        <v>0</v>
      </c>
      <c r="L126" s="87">
        <f t="shared" si="30"/>
        <v>0</v>
      </c>
      <c r="M126" s="87">
        <f t="shared" si="30"/>
        <v>0</v>
      </c>
      <c r="N126" s="87">
        <f t="shared" si="30"/>
        <v>0</v>
      </c>
      <c r="O126" s="87">
        <f t="shared" si="30"/>
        <v>0</v>
      </c>
      <c r="P126" s="89">
        <f t="shared" si="22"/>
        <v>0</v>
      </c>
      <c r="Q126" s="107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</row>
    <row r="127" spans="1:45" s="8" customFormat="1" ht="11.25" customHeight="1" x14ac:dyDescent="0.2">
      <c r="A127" s="134"/>
      <c r="B127" s="35" t="s">
        <v>20</v>
      </c>
      <c r="C127" s="35" t="s">
        <v>63</v>
      </c>
      <c r="D127" s="27"/>
      <c r="E127" s="27"/>
      <c r="F127" s="25"/>
      <c r="G127" s="112" t="s">
        <v>366</v>
      </c>
      <c r="H127" s="22"/>
      <c r="I127" s="86" t="n">
        <v>0.0</v>
      </c>
      <c r="J127" s="86"/>
      <c r="K127" s="86"/>
      <c r="L127" s="86"/>
      <c r="M127" s="86"/>
      <c r="N127" s="94"/>
      <c r="O127" s="94"/>
      <c r="P127" s="89">
        <f t="shared" si="22"/>
        <v>0</v>
      </c>
      <c r="Q127" s="107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</row>
    <row r="128" spans="1:45" s="8" customFormat="1" ht="11.25" customHeight="1" x14ac:dyDescent="0.2">
      <c r="A128" s="134"/>
      <c r="B128" s="35" t="s">
        <v>22</v>
      </c>
      <c r="C128" s="35" t="s">
        <v>64</v>
      </c>
      <c r="D128" s="27"/>
      <c r="E128" s="27"/>
      <c r="F128" s="25"/>
      <c r="G128" s="112" t="s">
        <v>367</v>
      </c>
      <c r="H128" s="22"/>
      <c r="I128" s="86" t="n">
        <v>0.0</v>
      </c>
      <c r="J128" s="86"/>
      <c r="K128" s="86"/>
      <c r="L128" s="86"/>
      <c r="M128" s="86"/>
      <c r="N128" s="94"/>
      <c r="O128" s="94"/>
      <c r="P128" s="89">
        <f t="shared" si="22"/>
        <v>0</v>
      </c>
      <c r="Q128" s="107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</row>
    <row r="129" spans="1:45" s="8" customFormat="1" ht="11.25" customHeight="1" x14ac:dyDescent="0.2">
      <c r="A129" s="137"/>
      <c r="B129" s="10" t="s">
        <v>24</v>
      </c>
      <c r="C129" s="10" t="s">
        <v>65</v>
      </c>
      <c r="D129" s="32"/>
      <c r="E129" s="27"/>
      <c r="F129" s="25"/>
      <c r="G129" s="112" t="s">
        <v>368</v>
      </c>
      <c r="H129" s="22"/>
      <c r="I129" s="86" t="n">
        <v>0.0</v>
      </c>
      <c r="J129" s="86"/>
      <c r="K129" s="86"/>
      <c r="L129" s="86"/>
      <c r="M129" s="86"/>
      <c r="N129" s="94"/>
      <c r="O129" s="94"/>
      <c r="P129" s="89">
        <f t="shared" si="22"/>
        <v>0</v>
      </c>
      <c r="Q129" s="107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</row>
    <row r="130" spans="1:45" s="8" customFormat="1" ht="11.25" customHeight="1" x14ac:dyDescent="0.2">
      <c r="A130" s="134"/>
      <c r="B130" s="35" t="s">
        <v>66</v>
      </c>
      <c r="C130" s="169" t="s">
        <v>67</v>
      </c>
      <c r="D130" s="170"/>
      <c r="E130" s="28"/>
      <c r="F130" s="26"/>
      <c r="G130" s="112" t="s">
        <v>369</v>
      </c>
      <c r="H130" s="22"/>
      <c r="I130" s="86" t="n">
        <v>0.0</v>
      </c>
      <c r="J130" s="86"/>
      <c r="K130" s="86"/>
      <c r="L130" s="86"/>
      <c r="M130" s="86"/>
      <c r="N130" s="94"/>
      <c r="O130" s="94"/>
      <c r="P130" s="89">
        <f t="shared" si="22"/>
        <v>0</v>
      </c>
      <c r="Q130" s="107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</row>
    <row r="131" spans="1:45" s="8" customFormat="1" ht="11.25" customHeight="1" x14ac:dyDescent="0.2">
      <c r="A131" s="31" t="s">
        <v>50</v>
      </c>
      <c r="B131" s="166" t="s">
        <v>129</v>
      </c>
      <c r="C131" s="166"/>
      <c r="D131" s="167"/>
      <c r="E131" s="28"/>
      <c r="F131" s="26"/>
      <c r="G131" s="112" t="s">
        <v>370</v>
      </c>
      <c r="H131" s="22"/>
      <c r="I131" s="86" t="n">
        <v>0.0</v>
      </c>
      <c r="J131" s="86"/>
      <c r="K131" s="86"/>
      <c r="L131" s="86"/>
      <c r="M131" s="86"/>
      <c r="N131" s="94"/>
      <c r="O131" s="94"/>
      <c r="P131" s="89">
        <f t="shared" si="22"/>
        <v>0</v>
      </c>
      <c r="Q131" s="107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</row>
    <row r="132" spans="1:45" s="8" customFormat="1" ht="11.25" customHeight="1" x14ac:dyDescent="0.2">
      <c r="A132" s="34" t="s">
        <v>59</v>
      </c>
      <c r="B132" s="35" t="s">
        <v>130</v>
      </c>
      <c r="C132" s="35"/>
      <c r="D132" s="27"/>
      <c r="E132" s="27"/>
      <c r="F132" s="25"/>
      <c r="G132" s="112" t="s">
        <v>371</v>
      </c>
      <c r="H132" s="22"/>
      <c r="I132" s="86" t="n">
        <v>163517.94</v>
      </c>
      <c r="J132" s="86"/>
      <c r="K132" s="86"/>
      <c r="L132" s="86"/>
      <c r="M132" s="86"/>
      <c r="N132" s="94"/>
      <c r="O132" s="94"/>
      <c r="P132" s="89">
        <f t="shared" si="22"/>
        <v>0</v>
      </c>
      <c r="Q132" s="107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</row>
    <row r="133" spans="1:45" s="8" customFormat="1" ht="11.25" customHeight="1" x14ac:dyDescent="0.2">
      <c r="A133" s="34" t="s">
        <v>61</v>
      </c>
      <c r="B133" s="169" t="s">
        <v>131</v>
      </c>
      <c r="C133" s="169"/>
      <c r="D133" s="170"/>
      <c r="E133" s="28"/>
      <c r="F133" s="26"/>
      <c r="G133" s="112" t="s">
        <v>372</v>
      </c>
      <c r="H133" s="22"/>
      <c r="I133" s="86" t="n">
        <v>0.0</v>
      </c>
      <c r="J133" s="90"/>
      <c r="K133" s="90"/>
      <c r="L133" s="90"/>
      <c r="M133" s="90"/>
      <c r="N133" s="94"/>
      <c r="O133" s="94"/>
      <c r="P133" s="89">
        <f t="shared" si="22"/>
        <v>0</v>
      </c>
      <c r="Q133" s="107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</row>
    <row r="134" spans="1:45" s="8" customFormat="1" ht="11.25" customHeight="1" x14ac:dyDescent="0.2">
      <c r="A134" s="34" t="s">
        <v>68</v>
      </c>
      <c r="B134" s="35" t="s">
        <v>132</v>
      </c>
      <c r="C134" s="35"/>
      <c r="D134" s="27"/>
      <c r="E134" s="27"/>
      <c r="F134" s="25"/>
      <c r="G134" s="112" t="s">
        <v>373</v>
      </c>
      <c r="H134" s="22"/>
      <c r="I134" s="86" t="n">
        <v>0.0</v>
      </c>
      <c r="J134" s="86"/>
      <c r="K134" s="86"/>
      <c r="L134" s="86"/>
      <c r="M134" s="86"/>
      <c r="N134" s="94"/>
      <c r="O134" s="94"/>
      <c r="P134" s="89">
        <f t="shared" si="22"/>
        <v>0</v>
      </c>
      <c r="Q134" s="107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</row>
    <row r="135" spans="1:45" s="8" customFormat="1" ht="11.25" customHeight="1" x14ac:dyDescent="0.2">
      <c r="A135" s="31" t="s">
        <v>70</v>
      </c>
      <c r="B135" s="10" t="s">
        <v>133</v>
      </c>
      <c r="C135" s="10"/>
      <c r="D135" s="32"/>
      <c r="E135" s="27"/>
      <c r="F135" s="25"/>
      <c r="G135" s="112" t="s">
        <v>374</v>
      </c>
      <c r="H135" s="22"/>
      <c r="I135" s="86" t="n">
        <v>0.0</v>
      </c>
      <c r="J135" s="90"/>
      <c r="K135" s="90"/>
      <c r="L135" s="86"/>
      <c r="M135" s="86"/>
      <c r="N135" s="94"/>
      <c r="O135" s="94"/>
      <c r="P135" s="89">
        <f t="shared" si="22"/>
        <v>0</v>
      </c>
      <c r="Q135" s="107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</row>
    <row r="136" spans="1:45" s="8" customFormat="1" ht="11.25" customHeight="1" x14ac:dyDescent="0.2">
      <c r="A136" s="34" t="s">
        <v>75</v>
      </c>
      <c r="B136" s="35" t="s">
        <v>134</v>
      </c>
      <c r="C136" s="35"/>
      <c r="D136" s="27"/>
      <c r="E136" s="27"/>
      <c r="F136" s="25"/>
      <c r="G136" s="112" t="s">
        <v>375</v>
      </c>
      <c r="H136" s="22"/>
      <c r="I136" s="86" t="n">
        <v>0.0</v>
      </c>
      <c r="J136" s="90"/>
      <c r="K136" s="90"/>
      <c r="L136" s="86"/>
      <c r="M136" s="86"/>
      <c r="N136" s="94"/>
      <c r="O136" s="94"/>
      <c r="P136" s="89">
        <f t="shared" si="22"/>
        <v>0</v>
      </c>
      <c r="Q136" s="107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</row>
    <row r="137" spans="1:45" s="8" customFormat="1" ht="11.25" customHeight="1" x14ac:dyDescent="0.2">
      <c r="A137" s="31" t="s">
        <v>78</v>
      </c>
      <c r="B137" s="10" t="s">
        <v>135</v>
      </c>
      <c r="C137" s="10"/>
      <c r="D137" s="32"/>
      <c r="E137" s="27"/>
      <c r="F137" s="25"/>
      <c r="G137" s="112" t="s">
        <v>376</v>
      </c>
      <c r="H137" s="22"/>
      <c r="I137" s="86" t="n">
        <v>0.0</v>
      </c>
      <c r="J137" s="86"/>
      <c r="K137" s="86"/>
      <c r="L137" s="86"/>
      <c r="M137" s="86"/>
      <c r="N137" s="94"/>
      <c r="O137" s="94"/>
      <c r="P137" s="89">
        <f t="shared" si="22"/>
        <v>0</v>
      </c>
      <c r="Q137" s="107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</row>
    <row r="138" spans="1:45" s="8" customFormat="1" ht="11.25" customHeight="1" x14ac:dyDescent="0.2">
      <c r="A138" s="34" t="s">
        <v>81</v>
      </c>
      <c r="B138" s="35" t="s">
        <v>136</v>
      </c>
      <c r="C138" s="35"/>
      <c r="D138" s="27"/>
      <c r="E138" s="27"/>
      <c r="F138" s="25"/>
      <c r="G138" s="112" t="s">
        <v>377</v>
      </c>
      <c r="H138" s="22"/>
      <c r="I138" s="86" t="n">
        <v>0.0</v>
      </c>
      <c r="J138" s="86"/>
      <c r="K138" s="86"/>
      <c r="L138" s="90"/>
      <c r="M138" s="90"/>
      <c r="N138" s="94"/>
      <c r="O138" s="94"/>
      <c r="P138" s="89">
        <f t="shared" si="22"/>
        <v>0</v>
      </c>
      <c r="Q138" s="107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</row>
    <row r="139" spans="1:45" s="8" customFormat="1" ht="11.25" customHeight="1" x14ac:dyDescent="0.2">
      <c r="A139" s="31" t="s">
        <v>86</v>
      </c>
      <c r="B139" s="10" t="s">
        <v>137</v>
      </c>
      <c r="C139" s="10"/>
      <c r="D139" s="32"/>
      <c r="E139" s="27"/>
      <c r="F139" s="25"/>
      <c r="G139" s="112" t="s">
        <v>378</v>
      </c>
      <c r="H139" s="22"/>
      <c r="I139" s="86" t="n">
        <v>0.0</v>
      </c>
      <c r="J139" s="86"/>
      <c r="K139" s="86"/>
      <c r="L139" s="90"/>
      <c r="M139" s="90"/>
      <c r="N139" s="94"/>
      <c r="O139" s="94"/>
      <c r="P139" s="89">
        <f t="shared" si="22"/>
        <v>0</v>
      </c>
      <c r="Q139" s="107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</row>
    <row r="140" spans="1:45" s="8" customFormat="1" ht="11.25" customHeight="1" x14ac:dyDescent="0.2">
      <c r="A140" s="34" t="s">
        <v>89</v>
      </c>
      <c r="B140" s="169" t="s">
        <v>138</v>
      </c>
      <c r="C140" s="169"/>
      <c r="D140" s="170"/>
      <c r="E140" s="28"/>
      <c r="F140" s="26"/>
      <c r="G140" s="112" t="s">
        <v>379</v>
      </c>
      <c r="H140" s="22"/>
      <c r="I140" s="86" t="n">
        <v>0.0</v>
      </c>
      <c r="J140" s="86"/>
      <c r="K140" s="86"/>
      <c r="L140" s="90"/>
      <c r="M140" s="90"/>
      <c r="N140" s="94"/>
      <c r="O140" s="94"/>
      <c r="P140" s="89">
        <f t="shared" si="22"/>
        <v>0</v>
      </c>
      <c r="Q140" s="107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</row>
    <row r="141" spans="1:45" s="8" customFormat="1" ht="11.25" customHeight="1" x14ac:dyDescent="0.2">
      <c r="A141" s="31" t="s">
        <v>91</v>
      </c>
      <c r="B141" s="166" t="s">
        <v>139</v>
      </c>
      <c r="C141" s="166"/>
      <c r="D141" s="167"/>
      <c r="E141" s="28"/>
      <c r="F141" s="26"/>
      <c r="G141" s="112" t="s">
        <v>380</v>
      </c>
      <c r="H141" s="22"/>
      <c r="I141" s="86" t="n">
        <v>0.0</v>
      </c>
      <c r="J141" s="86"/>
      <c r="K141" s="86"/>
      <c r="L141" s="86"/>
      <c r="M141" s="86"/>
      <c r="N141" s="94"/>
      <c r="O141" s="94"/>
      <c r="P141" s="89">
        <f t="shared" si="22"/>
        <v>0</v>
      </c>
      <c r="Q141" s="107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</row>
    <row r="142" spans="1:45" s="8" customFormat="1" ht="11.25" customHeight="1" x14ac:dyDescent="0.2">
      <c r="A142" s="34" t="s">
        <v>94</v>
      </c>
      <c r="B142" s="169" t="s">
        <v>140</v>
      </c>
      <c r="C142" s="169"/>
      <c r="D142" s="170"/>
      <c r="E142" s="28"/>
      <c r="F142" s="26"/>
      <c r="G142" s="112" t="s">
        <v>381</v>
      </c>
      <c r="H142" s="22"/>
      <c r="I142" s="86" t="n">
        <v>0.0</v>
      </c>
      <c r="J142" s="90"/>
      <c r="K142" s="90"/>
      <c r="L142" s="86"/>
      <c r="M142" s="86"/>
      <c r="N142" s="94"/>
      <c r="O142" s="94"/>
      <c r="P142" s="89">
        <f t="shared" si="22"/>
        <v>0</v>
      </c>
      <c r="Q142" s="107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</row>
    <row r="143" spans="1:45" s="8" customFormat="1" ht="11.25" customHeight="1" x14ac:dyDescent="0.2">
      <c r="A143" s="31" t="s">
        <v>98</v>
      </c>
      <c r="B143" s="166" t="s">
        <v>141</v>
      </c>
      <c r="C143" s="166"/>
      <c r="D143" s="167"/>
      <c r="E143" s="28"/>
      <c r="F143" s="26"/>
      <c r="G143" s="112" t="s">
        <v>382</v>
      </c>
      <c r="H143" s="22"/>
      <c r="I143" s="86" t="n">
        <v>0.0</v>
      </c>
      <c r="J143" s="90"/>
      <c r="K143" s="90"/>
      <c r="L143" s="90"/>
      <c r="M143" s="90"/>
      <c r="N143" s="94"/>
      <c r="O143" s="94"/>
      <c r="P143" s="89">
        <f t="shared" si="22"/>
        <v>0</v>
      </c>
      <c r="Q143" s="107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</row>
    <row r="144" spans="1:45" s="8" customFormat="1" ht="11.25" customHeight="1" x14ac:dyDescent="0.2">
      <c r="A144" s="34" t="s">
        <v>100</v>
      </c>
      <c r="B144" s="35" t="s">
        <v>142</v>
      </c>
      <c r="C144" s="36"/>
      <c r="D144" s="28"/>
      <c r="E144" s="28"/>
      <c r="F144" s="26"/>
      <c r="G144" s="112" t="s">
        <v>383</v>
      </c>
      <c r="H144" s="22"/>
      <c r="I144" s="86" t="n">
        <v>0.0</v>
      </c>
      <c r="J144" s="86"/>
      <c r="K144" s="86"/>
      <c r="L144" s="86"/>
      <c r="M144" s="86"/>
      <c r="N144" s="94"/>
      <c r="O144" s="94"/>
      <c r="P144" s="89">
        <f t="shared" si="22"/>
        <v>0</v>
      </c>
      <c r="Q144" s="107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</row>
    <row r="145" spans="1:45" s="8" customFormat="1" ht="11.25" customHeight="1" x14ac:dyDescent="0.2">
      <c r="A145" s="31" t="s">
        <v>103</v>
      </c>
      <c r="B145" s="166" t="s">
        <v>143</v>
      </c>
      <c r="C145" s="166"/>
      <c r="D145" s="167"/>
      <c r="E145" s="28"/>
      <c r="F145" s="26"/>
      <c r="G145" s="112" t="s">
        <v>384</v>
      </c>
      <c r="H145" s="22"/>
      <c r="I145" s="86" t="n">
        <v>0.0</v>
      </c>
      <c r="J145" s="86"/>
      <c r="K145" s="86"/>
      <c r="L145" s="86"/>
      <c r="M145" s="86"/>
      <c r="N145" s="94"/>
      <c r="O145" s="94"/>
      <c r="P145" s="89">
        <f t="shared" si="22"/>
        <v>0</v>
      </c>
      <c r="Q145" s="107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</row>
    <row r="146" spans="1:45" s="8" customFormat="1" ht="11.25" customHeight="1" x14ac:dyDescent="0.2">
      <c r="A146" s="34" t="s">
        <v>144</v>
      </c>
      <c r="B146" s="35" t="s">
        <v>145</v>
      </c>
      <c r="C146" s="35"/>
      <c r="D146" s="27"/>
      <c r="E146" s="27"/>
      <c r="F146" s="25"/>
      <c r="G146" s="112" t="s">
        <v>385</v>
      </c>
      <c r="H146" s="22"/>
      <c r="I146" s="86" t="n">
        <v>4502522.67</v>
      </c>
      <c r="J146" s="86"/>
      <c r="K146" s="86"/>
      <c r="L146" s="86"/>
      <c r="M146" s="86"/>
      <c r="N146" s="94"/>
      <c r="O146" s="94"/>
      <c r="P146" s="89">
        <f t="shared" si="22"/>
        <v>0</v>
      </c>
      <c r="Q146" s="107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</row>
    <row r="147" spans="1:45" s="8" customFormat="1" ht="11.25" customHeight="1" x14ac:dyDescent="0.2">
      <c r="A147" s="31" t="s">
        <v>146</v>
      </c>
      <c r="B147" s="166" t="s">
        <v>147</v>
      </c>
      <c r="C147" s="166"/>
      <c r="D147" s="167"/>
      <c r="E147" s="28"/>
      <c r="F147" s="26"/>
      <c r="G147" s="112" t="s">
        <v>386</v>
      </c>
      <c r="H147" s="22"/>
      <c r="I147" s="86" t="n">
        <v>0.0</v>
      </c>
      <c r="J147" s="86"/>
      <c r="K147" s="86"/>
      <c r="L147" s="86"/>
      <c r="M147" s="86"/>
      <c r="N147" s="94"/>
      <c r="O147" s="94"/>
      <c r="P147" s="89">
        <f t="shared" si="22"/>
        <v>0</v>
      </c>
      <c r="Q147" s="107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</row>
    <row r="148" spans="1:45" s="8" customFormat="1" ht="11.25" customHeight="1" x14ac:dyDescent="0.2">
      <c r="A148" s="34" t="s">
        <v>148</v>
      </c>
      <c r="B148" s="35" t="s">
        <v>149</v>
      </c>
      <c r="C148" s="36"/>
      <c r="D148" s="28"/>
      <c r="E148" s="28"/>
      <c r="F148" s="26"/>
      <c r="G148" s="112" t="s">
        <v>387</v>
      </c>
      <c r="H148" s="22"/>
      <c r="I148" s="86" t="n">
        <v>22961.04</v>
      </c>
      <c r="J148" s="86"/>
      <c r="K148" s="86"/>
      <c r="L148" s="86"/>
      <c r="M148" s="86"/>
      <c r="N148" s="94"/>
      <c r="O148" s="94"/>
      <c r="P148" s="89">
        <f t="shared" si="22"/>
        <v>0</v>
      </c>
      <c r="Q148" s="107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</row>
    <row r="149" spans="1:45" s="8" customFormat="1" ht="11.25" customHeight="1" x14ac:dyDescent="0.2">
      <c r="A149" s="31" t="s">
        <v>150</v>
      </c>
      <c r="B149" s="166" t="s">
        <v>151</v>
      </c>
      <c r="C149" s="166"/>
      <c r="D149" s="167"/>
      <c r="E149" s="28"/>
      <c r="F149" s="26"/>
      <c r="G149" s="112" t="s">
        <v>388</v>
      </c>
      <c r="H149" s="22"/>
      <c r="I149" s="87">
        <f t="shared" ref="I149:O149" si="31">I150 + I151</f>
        <v>0</v>
      </c>
      <c r="J149" s="87">
        <f t="shared" si="31"/>
        <v>0</v>
      </c>
      <c r="K149" s="87">
        <f t="shared" si="31"/>
        <v>0</v>
      </c>
      <c r="L149" s="87">
        <f t="shared" si="31"/>
        <v>0</v>
      </c>
      <c r="M149" s="87">
        <f t="shared" si="31"/>
        <v>0</v>
      </c>
      <c r="N149" s="87">
        <f t="shared" si="31"/>
        <v>0</v>
      </c>
      <c r="O149" s="87">
        <f t="shared" si="31"/>
        <v>0</v>
      </c>
      <c r="P149" s="89">
        <f t="shared" si="22"/>
        <v>0</v>
      </c>
      <c r="Q149" s="107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</row>
    <row r="150" spans="1:45" s="8" customFormat="1" ht="11.25" customHeight="1" x14ac:dyDescent="0.2">
      <c r="A150" s="34"/>
      <c r="B150" s="35" t="s">
        <v>20</v>
      </c>
      <c r="C150" s="175" t="s">
        <v>152</v>
      </c>
      <c r="D150" s="176"/>
      <c r="E150" s="148"/>
      <c r="F150" s="149"/>
      <c r="G150" s="112" t="s">
        <v>389</v>
      </c>
      <c r="H150" s="22"/>
      <c r="I150" s="86" t="n">
        <v>0.0</v>
      </c>
      <c r="J150" s="86"/>
      <c r="K150" s="86"/>
      <c r="L150" s="86"/>
      <c r="M150" s="86"/>
      <c r="N150" s="94"/>
      <c r="O150" s="94"/>
      <c r="P150" s="89">
        <f t="shared" si="22"/>
        <v>0</v>
      </c>
      <c r="Q150" s="107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</row>
    <row r="151" spans="1:45" s="8" customFormat="1" ht="11.25" customHeight="1" x14ac:dyDescent="0.2">
      <c r="A151" s="31"/>
      <c r="B151" s="10" t="s">
        <v>22</v>
      </c>
      <c r="C151" s="166" t="s">
        <v>153</v>
      </c>
      <c r="D151" s="167"/>
      <c r="E151" s="28"/>
      <c r="F151" s="26"/>
      <c r="G151" s="112" t="s">
        <v>390</v>
      </c>
      <c r="H151" s="22"/>
      <c r="I151" s="86" t="n">
        <v>1530973.17</v>
      </c>
      <c r="J151" s="86"/>
      <c r="K151" s="86"/>
      <c r="L151" s="86"/>
      <c r="M151" s="86"/>
      <c r="N151" s="94"/>
      <c r="O151" s="94"/>
      <c r="P151" s="89">
        <f>I151+K151+M151+O151</f>
        <v>0</v>
      </c>
      <c r="Q151" s="107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</row>
    <row r="152" spans="1:45" s="8" customFormat="1" ht="11.25" customHeight="1" x14ac:dyDescent="0.2">
      <c r="A152" s="34" t="s">
        <v>154</v>
      </c>
      <c r="B152" s="35" t="s">
        <v>567</v>
      </c>
      <c r="C152" s="36"/>
      <c r="D152" s="28"/>
      <c r="E152" s="28"/>
      <c r="F152" s="26"/>
      <c r="G152" s="112" t="s">
        <v>568</v>
      </c>
      <c r="H152" s="22"/>
      <c r="I152" s="86" t="n">
        <v>0.0</v>
      </c>
      <c r="J152" s="86"/>
      <c r="K152" s="86"/>
      <c r="L152" s="91"/>
      <c r="M152" s="91"/>
      <c r="N152" s="86"/>
      <c r="O152" s="86"/>
      <c r="P152" s="89">
        <f>I152+K152+M152+O152</f>
        <v>0</v>
      </c>
      <c r="Q152" s="107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</row>
    <row r="153" spans="1:45" s="8" customFormat="1" ht="11.25" customHeight="1" x14ac:dyDescent="0.2">
      <c r="A153" s="34" t="s">
        <v>156</v>
      </c>
      <c r="B153" s="35" t="s">
        <v>155</v>
      </c>
      <c r="C153" s="35"/>
      <c r="D153" s="27"/>
      <c r="E153" s="27"/>
      <c r="F153" s="25"/>
      <c r="G153" s="112" t="s">
        <v>391</v>
      </c>
      <c r="H153" s="22"/>
      <c r="I153" s="86" t="n">
        <v>3.0092279709999996E8</v>
      </c>
      <c r="J153" s="86"/>
      <c r="K153" s="86"/>
      <c r="L153" s="86"/>
      <c r="M153" s="86"/>
      <c r="N153" s="94"/>
      <c r="O153" s="94"/>
      <c r="P153" s="89">
        <f>I153+K153+M153+O153</f>
        <v>0</v>
      </c>
      <c r="Q153" s="107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</row>
    <row r="154" spans="1:45" s="8" customFormat="1" ht="11.25" customHeight="1" x14ac:dyDescent="0.2">
      <c r="A154" s="34" t="s">
        <v>251</v>
      </c>
      <c r="B154" s="177" t="s">
        <v>233</v>
      </c>
      <c r="C154" s="177"/>
      <c r="D154" s="178"/>
      <c r="E154" s="27"/>
      <c r="F154" s="25"/>
      <c r="G154" s="150" t="s">
        <v>392</v>
      </c>
      <c r="H154" s="54"/>
      <c r="I154" s="96" t="n">
        <v>0.0</v>
      </c>
      <c r="J154" s="96"/>
      <c r="K154" s="96"/>
      <c r="L154" s="96"/>
      <c r="M154" s="96"/>
      <c r="N154" s="117"/>
      <c r="O154" s="117"/>
      <c r="P154" s="89">
        <f>I154+K154+M154+O154</f>
        <v>0</v>
      </c>
      <c r="Q154" s="107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</row>
    <row r="155" spans="1:45" s="8" customFormat="1" ht="11.25" customHeight="1" x14ac:dyDescent="0.2">
      <c r="A155" s="34" t="s">
        <v>569</v>
      </c>
      <c r="B155" s="177" t="s">
        <v>484</v>
      </c>
      <c r="C155" s="177"/>
      <c r="D155" s="178"/>
      <c r="E155" s="27"/>
      <c r="F155" s="25"/>
      <c r="G155" s="150" t="s">
        <v>393</v>
      </c>
      <c r="H155" s="109"/>
      <c r="I155" s="110" t="n">
        <v>0.0</v>
      </c>
      <c r="J155" s="110"/>
      <c r="K155" s="110"/>
      <c r="L155" s="110"/>
      <c r="M155" s="110"/>
      <c r="N155" s="118"/>
      <c r="O155" s="118"/>
      <c r="P155" s="114"/>
      <c r="Q155" s="107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</row>
    <row r="156" spans="1:45" s="8" customFormat="1" ht="11.25" customHeight="1" x14ac:dyDescent="0.2">
      <c r="A156" s="151" t="s">
        <v>157</v>
      </c>
      <c r="B156" s="146"/>
      <c r="C156" s="146"/>
      <c r="D156" s="122"/>
      <c r="E156" s="122"/>
      <c r="F156" s="152"/>
      <c r="G156" s="153" t="s">
        <v>394</v>
      </c>
      <c r="H156" s="39"/>
      <c r="I156" s="97">
        <f>I106 + I109 + I110 + I116 + I117 + I120 + I123 + I124 + I125 + I126 + I131 + I132 + I134 + I135 + I136 + I137 + I138 + I139 + I140 + I133 + I141 + I142 + I143 + I144 + I145 + I146 + I147 + I148 + I149 + I153 + I154+I155+I152</f>
        <v>0</v>
      </c>
      <c r="J156" s="97">
        <f t="shared" ref="J156:O156" si="32">J106 + J109 + J110 + J116 + J117 + J120 + J123 + J124 + J125 + J126 + J131 + J132 + J134 + J135 + J136 + J137 + J138 + J139 + J140 + J133 + J141 + J142 + J143 + J144 + J145 + J146 + J147 + J148 + J149 + J153 + J154+J155+J152</f>
        <v>0</v>
      </c>
      <c r="K156" s="97">
        <f t="shared" si="32"/>
        <v>0</v>
      </c>
      <c r="L156" s="97">
        <f t="shared" si="32"/>
        <v>0</v>
      </c>
      <c r="M156" s="97">
        <f t="shared" si="32"/>
        <v>0</v>
      </c>
      <c r="N156" s="97">
        <f t="shared" si="32"/>
        <v>0</v>
      </c>
      <c r="O156" s="97">
        <f t="shared" si="32"/>
        <v>0</v>
      </c>
      <c r="P156" s="97">
        <f>P106 + P109 + P110 + P116 + P117 + P120 + P123 + P124 + P125 + P126 + P131 + P132 + P134 + P135 + P136 + P137 + P138 + P139 + P140 + P133 + P141 + P142 + P143 + P144 + P145 + P146 + P147 + P148 + P149 + P153 + P154+P155+P152</f>
        <v>0</v>
      </c>
      <c r="Q156" s="107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</row>
    <row r="157" spans="1:45" s="8" customFormat="1" ht="11.25" customHeight="1" x14ac:dyDescent="0.2">
      <c r="A157" s="33" t="s">
        <v>158</v>
      </c>
      <c r="B157" s="10"/>
      <c r="C157" s="10"/>
      <c r="D157" s="32"/>
      <c r="E157" s="27"/>
      <c r="F157" s="25"/>
      <c r="G157" s="147"/>
      <c r="H157" s="22"/>
      <c r="I157" s="94"/>
      <c r="J157" s="98"/>
      <c r="K157" s="98"/>
      <c r="L157" s="98"/>
      <c r="M157" s="98"/>
      <c r="N157" s="98"/>
      <c r="O157" s="98"/>
      <c r="P157" s="87"/>
      <c r="Q157" s="107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</row>
    <row r="158" spans="1:45" s="8" customFormat="1" ht="11.25" customHeight="1" x14ac:dyDescent="0.2">
      <c r="A158" s="34" t="s">
        <v>10</v>
      </c>
      <c r="B158" s="35" t="s">
        <v>234</v>
      </c>
      <c r="C158" s="35"/>
      <c r="D158" s="27"/>
      <c r="E158" s="27"/>
      <c r="F158" s="25"/>
      <c r="G158" s="112" t="s">
        <v>395</v>
      </c>
      <c r="H158" s="22"/>
      <c r="I158" s="87">
        <f>I159 + I160 + I161</f>
        <v>0</v>
      </c>
      <c r="J158" s="87">
        <f>J159 + J160 + J161</f>
        <v>0</v>
      </c>
      <c r="K158" s="87">
        <f>K159 + K160 + K161</f>
        <v>0</v>
      </c>
      <c r="L158" s="91"/>
      <c r="M158" s="91"/>
      <c r="N158" s="87">
        <f>N159 + N160 + N161</f>
        <v>0</v>
      </c>
      <c r="O158" s="87">
        <f>O159 + O160 + O161</f>
        <v>0</v>
      </c>
      <c r="P158" s="89">
        <f t="shared" ref="P158:P191" si="33">I158+K158+M158+O158</f>
        <v>0</v>
      </c>
      <c r="Q158" s="107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</row>
    <row r="159" spans="1:45" s="8" customFormat="1" ht="11.25" customHeight="1" x14ac:dyDescent="0.2">
      <c r="A159" s="31"/>
      <c r="B159" s="10" t="s">
        <v>20</v>
      </c>
      <c r="C159" s="10" t="s">
        <v>159</v>
      </c>
      <c r="D159" s="32"/>
      <c r="E159" s="27"/>
      <c r="F159" s="25"/>
      <c r="G159" s="112" t="s">
        <v>396</v>
      </c>
      <c r="H159" s="22"/>
      <c r="I159" s="86" t="n">
        <v>2.5E8</v>
      </c>
      <c r="J159" s="86"/>
      <c r="K159" s="86"/>
      <c r="L159" s="90"/>
      <c r="M159" s="90"/>
      <c r="N159" s="94"/>
      <c r="O159" s="94"/>
      <c r="P159" s="89">
        <f t="shared" si="33"/>
        <v>0</v>
      </c>
      <c r="Q159" s="107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</row>
    <row r="160" spans="1:45" s="8" customFormat="1" ht="11.25" customHeight="1" x14ac:dyDescent="0.2">
      <c r="A160" s="34"/>
      <c r="B160" s="35" t="s">
        <v>22</v>
      </c>
      <c r="C160" s="35" t="s">
        <v>160</v>
      </c>
      <c r="D160" s="27"/>
      <c r="E160" s="27"/>
      <c r="F160" s="25"/>
      <c r="G160" s="112" t="s">
        <v>397</v>
      </c>
      <c r="H160" s="22"/>
      <c r="I160" s="86" t="n">
        <v>0.0</v>
      </c>
      <c r="J160" s="86"/>
      <c r="K160" s="86"/>
      <c r="L160" s="90"/>
      <c r="M160" s="90"/>
      <c r="N160" s="94"/>
      <c r="O160" s="94"/>
      <c r="P160" s="89">
        <f t="shared" si="33"/>
        <v>0</v>
      </c>
      <c r="Q160" s="107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</row>
    <row r="161" spans="1:45" s="8" customFormat="1" ht="11.25" customHeight="1" x14ac:dyDescent="0.2">
      <c r="A161" s="31"/>
      <c r="B161" s="10" t="s">
        <v>24</v>
      </c>
      <c r="C161" s="10" t="s">
        <v>235</v>
      </c>
      <c r="D161" s="32"/>
      <c r="E161" s="27"/>
      <c r="F161" s="25"/>
      <c r="G161" s="112" t="s">
        <v>398</v>
      </c>
      <c r="H161" s="22"/>
      <c r="I161" s="86" t="n">
        <v>0.0</v>
      </c>
      <c r="J161" s="86"/>
      <c r="K161" s="86"/>
      <c r="L161" s="90"/>
      <c r="M161" s="90"/>
      <c r="N161" s="94"/>
      <c r="O161" s="94"/>
      <c r="P161" s="89">
        <f t="shared" si="33"/>
        <v>0</v>
      </c>
      <c r="Q161" s="107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</row>
    <row r="162" spans="1:45" s="8" customFormat="1" ht="11.25" customHeight="1" x14ac:dyDescent="0.2">
      <c r="A162" s="34" t="s">
        <v>12</v>
      </c>
      <c r="B162" s="35" t="s">
        <v>161</v>
      </c>
      <c r="C162" s="35"/>
      <c r="D162" s="27"/>
      <c r="E162" s="27"/>
      <c r="F162" s="25"/>
      <c r="G162" s="112" t="s">
        <v>399</v>
      </c>
      <c r="H162" s="22"/>
      <c r="I162" s="86" t="n">
        <v>0.0</v>
      </c>
      <c r="J162" s="86"/>
      <c r="K162" s="86"/>
      <c r="L162" s="90"/>
      <c r="M162" s="90"/>
      <c r="N162" s="94"/>
      <c r="O162" s="94"/>
      <c r="P162" s="89">
        <f t="shared" si="33"/>
        <v>0</v>
      </c>
      <c r="Q162" s="107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</row>
    <row r="163" spans="1:45" s="8" customFormat="1" ht="11.25" customHeight="1" x14ac:dyDescent="0.2">
      <c r="A163" s="34" t="s">
        <v>14</v>
      </c>
      <c r="B163" s="35" t="s">
        <v>162</v>
      </c>
      <c r="C163" s="35"/>
      <c r="D163" s="27"/>
      <c r="E163" s="27"/>
      <c r="F163" s="25"/>
      <c r="G163" s="112" t="s">
        <v>400</v>
      </c>
      <c r="H163" s="22"/>
      <c r="I163" s="87">
        <f>I164+I165+I166</f>
        <v>0</v>
      </c>
      <c r="J163" s="87">
        <f t="shared" ref="J163:O163" si="34">J164+J165+J166</f>
        <v>0</v>
      </c>
      <c r="K163" s="87">
        <f t="shared" si="34"/>
        <v>0</v>
      </c>
      <c r="L163" s="87">
        <f t="shared" si="34"/>
        <v>0</v>
      </c>
      <c r="M163" s="87">
        <f t="shared" si="34"/>
        <v>0</v>
      </c>
      <c r="N163" s="87">
        <f t="shared" si="34"/>
        <v>0</v>
      </c>
      <c r="O163" s="87">
        <f t="shared" si="34"/>
        <v>0</v>
      </c>
      <c r="P163" s="89">
        <f t="shared" si="33"/>
        <v>0</v>
      </c>
      <c r="Q163" s="107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</row>
    <row r="164" spans="1:45" s="8" customFormat="1" ht="11.25" customHeight="1" x14ac:dyDescent="0.2">
      <c r="A164" s="31"/>
      <c r="B164" s="10" t="s">
        <v>20</v>
      </c>
      <c r="C164" s="10" t="s">
        <v>249</v>
      </c>
      <c r="D164" s="32"/>
      <c r="E164" s="27"/>
      <c r="F164" s="25"/>
      <c r="G164" s="112" t="s">
        <v>401</v>
      </c>
      <c r="H164" s="22"/>
      <c r="I164" s="86" t="n">
        <v>0.0</v>
      </c>
      <c r="J164" s="86"/>
      <c r="K164" s="86"/>
      <c r="L164" s="86"/>
      <c r="M164" s="86"/>
      <c r="N164" s="94"/>
      <c r="O164" s="94"/>
      <c r="P164" s="89">
        <f t="shared" si="33"/>
        <v>0</v>
      </c>
      <c r="Q164" s="107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</row>
    <row r="165" spans="1:45" s="8" customFormat="1" ht="11.25" customHeight="1" x14ac:dyDescent="0.2">
      <c r="A165" s="34"/>
      <c r="B165" s="35" t="s">
        <v>22</v>
      </c>
      <c r="C165" s="35" t="s">
        <v>163</v>
      </c>
      <c r="D165" s="27"/>
      <c r="E165" s="27"/>
      <c r="F165" s="25"/>
      <c r="G165" s="112" t="s">
        <v>402</v>
      </c>
      <c r="H165" s="22"/>
      <c r="I165" s="86" t="n">
        <v>0.0</v>
      </c>
      <c r="J165" s="86"/>
      <c r="K165" s="86"/>
      <c r="L165" s="88"/>
      <c r="M165" s="88"/>
      <c r="N165" s="94"/>
      <c r="O165" s="94"/>
      <c r="P165" s="89">
        <f t="shared" si="33"/>
        <v>0</v>
      </c>
      <c r="Q165" s="107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</row>
    <row r="166" spans="1:45" s="8" customFormat="1" ht="11.25" customHeight="1" x14ac:dyDescent="0.2">
      <c r="A166" s="31"/>
      <c r="B166" s="10" t="s">
        <v>24</v>
      </c>
      <c r="C166" s="166" t="s">
        <v>250</v>
      </c>
      <c r="D166" s="167"/>
      <c r="E166" s="28"/>
      <c r="F166" s="26"/>
      <c r="G166" s="112" t="s">
        <v>403</v>
      </c>
      <c r="H166" s="22"/>
      <c r="I166" s="86" t="n">
        <v>0.0</v>
      </c>
      <c r="J166" s="86"/>
      <c r="K166" s="86"/>
      <c r="L166" s="88"/>
      <c r="M166" s="88"/>
      <c r="N166" s="94"/>
      <c r="O166" s="94"/>
      <c r="P166" s="89">
        <f t="shared" si="33"/>
        <v>0</v>
      </c>
      <c r="Q166" s="107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</row>
    <row r="167" spans="1:45" s="8" customFormat="1" ht="11.25" customHeight="1" x14ac:dyDescent="0.2">
      <c r="A167" s="34" t="s">
        <v>16</v>
      </c>
      <c r="B167" s="35" t="s">
        <v>561</v>
      </c>
      <c r="C167" s="35"/>
      <c r="D167" s="27"/>
      <c r="E167" s="27"/>
      <c r="F167" s="25"/>
      <c r="G167" s="112" t="s">
        <v>562</v>
      </c>
      <c r="H167" s="22"/>
      <c r="I167" s="86" t="n">
        <v>0.0</v>
      </c>
      <c r="J167" s="88"/>
      <c r="K167" s="88"/>
      <c r="L167" s="90"/>
      <c r="M167" s="90"/>
      <c r="N167" s="94"/>
      <c r="O167" s="94"/>
      <c r="P167" s="89">
        <f t="shared" si="33"/>
        <v>0</v>
      </c>
      <c r="Q167" s="107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</row>
    <row r="168" spans="1:45" s="8" customFormat="1" ht="11.25" customHeight="1" x14ac:dyDescent="0.2">
      <c r="A168" s="34" t="s">
        <v>18</v>
      </c>
      <c r="B168" s="35" t="s">
        <v>164</v>
      </c>
      <c r="C168" s="35"/>
      <c r="D168" s="27"/>
      <c r="E168" s="27"/>
      <c r="F168" s="25"/>
      <c r="G168" s="112" t="s">
        <v>404</v>
      </c>
      <c r="H168" s="22"/>
      <c r="I168" s="87">
        <f>I169 + I174</f>
        <v>0</v>
      </c>
      <c r="J168" s="91"/>
      <c r="K168" s="91"/>
      <c r="L168" s="87">
        <f>L169 + L174</f>
        <v>0</v>
      </c>
      <c r="M168" s="87">
        <f>M169 + M174</f>
        <v>0</v>
      </c>
      <c r="N168" s="87">
        <f>N169 + N174</f>
        <v>0</v>
      </c>
      <c r="O168" s="87">
        <f>O169 + O174</f>
        <v>0</v>
      </c>
      <c r="P168" s="89">
        <f t="shared" si="33"/>
        <v>0</v>
      </c>
      <c r="Q168" s="107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</row>
    <row r="169" spans="1:45" s="8" customFormat="1" ht="11.25" customHeight="1" x14ac:dyDescent="0.2">
      <c r="A169" s="31"/>
      <c r="B169" s="10" t="s">
        <v>20</v>
      </c>
      <c r="C169" s="10" t="s">
        <v>165</v>
      </c>
      <c r="D169" s="32"/>
      <c r="E169" s="27"/>
      <c r="F169" s="25"/>
      <c r="G169" s="112" t="s">
        <v>405</v>
      </c>
      <c r="H169" s="22"/>
      <c r="I169" s="87">
        <f>I170 + I171 + I172 + I173</f>
        <v>0</v>
      </c>
      <c r="J169" s="91"/>
      <c r="K169" s="91"/>
      <c r="L169" s="87">
        <f>L170 + L171 + L172 + L173</f>
        <v>0</v>
      </c>
      <c r="M169" s="87">
        <f>M170 + M171 + M172 + M173</f>
        <v>0</v>
      </c>
      <c r="N169" s="87">
        <f>N170 + N171 + N172 + N173</f>
        <v>0</v>
      </c>
      <c r="O169" s="87">
        <f>O170 + O171 + O172 + O173</f>
        <v>0</v>
      </c>
      <c r="P169" s="89">
        <f t="shared" si="33"/>
        <v>0</v>
      </c>
      <c r="Q169" s="107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</row>
    <row r="170" spans="1:45" s="8" customFormat="1" ht="11.25" customHeight="1" x14ac:dyDescent="0.2">
      <c r="A170" s="34"/>
      <c r="B170" s="35"/>
      <c r="C170" s="35" t="s">
        <v>30</v>
      </c>
      <c r="D170" s="27" t="s">
        <v>166</v>
      </c>
      <c r="E170" s="27"/>
      <c r="F170" s="25"/>
      <c r="G170" s="112" t="s">
        <v>406</v>
      </c>
      <c r="H170" s="22"/>
      <c r="I170" s="86" t="n">
        <v>0.0</v>
      </c>
      <c r="J170" s="90"/>
      <c r="K170" s="90"/>
      <c r="L170" s="88"/>
      <c r="M170" s="88"/>
      <c r="N170" s="94"/>
      <c r="O170" s="94"/>
      <c r="P170" s="89">
        <f t="shared" si="33"/>
        <v>0</v>
      </c>
      <c r="Q170" s="107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</row>
    <row r="171" spans="1:45" s="8" customFormat="1" ht="11.25" customHeight="1" x14ac:dyDescent="0.2">
      <c r="A171" s="31"/>
      <c r="B171" s="10"/>
      <c r="C171" s="10" t="s">
        <v>34</v>
      </c>
      <c r="D171" s="32" t="s">
        <v>167</v>
      </c>
      <c r="E171" s="27"/>
      <c r="F171" s="25"/>
      <c r="G171" s="112" t="s">
        <v>407</v>
      </c>
      <c r="H171" s="22"/>
      <c r="I171" s="86" t="n">
        <v>1000000.0</v>
      </c>
      <c r="J171" s="90"/>
      <c r="K171" s="90"/>
      <c r="L171" s="88"/>
      <c r="M171" s="88"/>
      <c r="N171" s="94"/>
      <c r="O171" s="94"/>
      <c r="P171" s="89">
        <f t="shared" si="33"/>
        <v>0</v>
      </c>
      <c r="Q171" s="107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</row>
    <row r="172" spans="1:45" s="8" customFormat="1" ht="11.25" customHeight="1" x14ac:dyDescent="0.2">
      <c r="A172" s="34"/>
      <c r="B172" s="35"/>
      <c r="C172" s="35" t="s">
        <v>168</v>
      </c>
      <c r="D172" s="27" t="s">
        <v>169</v>
      </c>
      <c r="E172" s="27"/>
      <c r="F172" s="25"/>
      <c r="G172" s="112" t="s">
        <v>408</v>
      </c>
      <c r="H172" s="22"/>
      <c r="I172" s="86" t="n">
        <v>0.0</v>
      </c>
      <c r="J172" s="90"/>
      <c r="K172" s="90"/>
      <c r="L172" s="88"/>
      <c r="M172" s="88"/>
      <c r="N172" s="94"/>
      <c r="O172" s="94"/>
      <c r="P172" s="89">
        <f t="shared" si="33"/>
        <v>0</v>
      </c>
      <c r="Q172" s="107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</row>
    <row r="173" spans="1:45" s="8" customFormat="1" ht="11.25" customHeight="1" x14ac:dyDescent="0.2">
      <c r="A173" s="31"/>
      <c r="B173" s="10"/>
      <c r="C173" s="10" t="s">
        <v>170</v>
      </c>
      <c r="D173" s="32" t="s">
        <v>153</v>
      </c>
      <c r="E173" s="27"/>
      <c r="F173" s="25"/>
      <c r="G173" s="112" t="s">
        <v>409</v>
      </c>
      <c r="H173" s="22"/>
      <c r="I173" s="86" t="n">
        <v>0.0</v>
      </c>
      <c r="J173" s="90"/>
      <c r="K173" s="90"/>
      <c r="L173" s="88"/>
      <c r="M173" s="88"/>
      <c r="N173" s="94"/>
      <c r="O173" s="94"/>
      <c r="P173" s="89">
        <f t="shared" si="33"/>
        <v>0</v>
      </c>
      <c r="Q173" s="107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</row>
    <row r="174" spans="1:45" s="8" customFormat="1" ht="11.25" customHeight="1" x14ac:dyDescent="0.2">
      <c r="A174" s="34"/>
      <c r="B174" s="35" t="s">
        <v>22</v>
      </c>
      <c r="C174" s="35" t="s">
        <v>171</v>
      </c>
      <c r="D174" s="27"/>
      <c r="E174" s="27"/>
      <c r="F174" s="25"/>
      <c r="G174" s="112" t="s">
        <v>410</v>
      </c>
      <c r="H174" s="22"/>
      <c r="I174" s="86" t="n">
        <v>2.6445430709E8</v>
      </c>
      <c r="J174" s="90"/>
      <c r="K174" s="90"/>
      <c r="L174" s="88"/>
      <c r="M174" s="88"/>
      <c r="N174" s="94"/>
      <c r="O174" s="94"/>
      <c r="P174" s="89">
        <f t="shared" si="33"/>
        <v>0</v>
      </c>
      <c r="Q174" s="107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</row>
    <row r="175" spans="1:45" s="8" customFormat="1" ht="11.25" customHeight="1" x14ac:dyDescent="0.2">
      <c r="A175" s="34" t="s">
        <v>26</v>
      </c>
      <c r="B175" s="121" t="s">
        <v>247</v>
      </c>
      <c r="C175" s="35"/>
      <c r="D175" s="27"/>
      <c r="E175" s="27"/>
      <c r="F175" s="25"/>
      <c r="G175" s="112" t="s">
        <v>411</v>
      </c>
      <c r="H175" s="22"/>
      <c r="I175" s="86" t="n">
        <v>0.0</v>
      </c>
      <c r="J175" s="90"/>
      <c r="K175" s="90"/>
      <c r="L175" s="90"/>
      <c r="M175" s="90"/>
      <c r="N175" s="94"/>
      <c r="O175" s="94"/>
      <c r="P175" s="89">
        <f t="shared" si="33"/>
        <v>0</v>
      </c>
      <c r="Q175" s="107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</row>
    <row r="176" spans="1:45" s="7" customFormat="1" ht="11.25" customHeight="1" x14ac:dyDescent="0.2">
      <c r="A176" s="31" t="s">
        <v>28</v>
      </c>
      <c r="B176" s="10" t="s">
        <v>172</v>
      </c>
      <c r="C176" s="10"/>
      <c r="D176" s="32"/>
      <c r="E176" s="27"/>
      <c r="F176" s="25"/>
      <c r="G176" s="112" t="s">
        <v>412</v>
      </c>
      <c r="H176" s="22"/>
      <c r="I176" s="86" t="n">
        <v>0.0</v>
      </c>
      <c r="J176" s="88"/>
      <c r="K176" s="88"/>
      <c r="L176" s="88"/>
      <c r="M176" s="88"/>
      <c r="N176" s="94"/>
      <c r="O176" s="94"/>
      <c r="P176" s="89">
        <f t="shared" si="33"/>
        <v>0</v>
      </c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</row>
    <row r="177" spans="1:45" s="7" customFormat="1" ht="11.25" customHeight="1" x14ac:dyDescent="0.2">
      <c r="A177" s="34" t="s">
        <v>39</v>
      </c>
      <c r="B177" s="41" t="s">
        <v>173</v>
      </c>
      <c r="C177" s="41"/>
      <c r="D177" s="46"/>
      <c r="E177" s="46"/>
      <c r="F177" s="47"/>
      <c r="G177" s="112" t="s">
        <v>413</v>
      </c>
      <c r="H177" s="43"/>
      <c r="I177" s="87">
        <f>I178+I181+I184+I185+I186+I187</f>
        <v>0</v>
      </c>
      <c r="J177" s="87">
        <f>J178+J181+J184+J185+J186+J187</f>
        <v>0</v>
      </c>
      <c r="K177" s="87">
        <f>K178+K181+K184+K185+K186+K187</f>
        <v>0</v>
      </c>
      <c r="L177" s="87">
        <f>L178+L181+L184+L185+L186+L187</f>
        <v>0</v>
      </c>
      <c r="M177" s="87">
        <f>M178+M181+M184+M185+M186+M187</f>
        <v>0</v>
      </c>
      <c r="N177" s="87">
        <f>N178 + N181 + N184+N187</f>
        <v>0</v>
      </c>
      <c r="O177" s="87">
        <f>O178 + O181 + O184+O187</f>
        <v>0</v>
      </c>
      <c r="P177" s="89">
        <f t="shared" si="33"/>
        <v>0</v>
      </c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</row>
    <row r="178" spans="1:45" s="7" customFormat="1" ht="11.25" customHeight="1" x14ac:dyDescent="0.2">
      <c r="A178" s="48"/>
      <c r="B178" s="45" t="s">
        <v>20</v>
      </c>
      <c r="C178" s="179" t="s">
        <v>174</v>
      </c>
      <c r="D178" s="180"/>
      <c r="E178" s="156"/>
      <c r="F178" s="157"/>
      <c r="G178" s="112" t="s">
        <v>414</v>
      </c>
      <c r="H178" s="43"/>
      <c r="I178" s="87">
        <f>I179 + I180</f>
        <v>0</v>
      </c>
      <c r="J178" s="87">
        <f t="shared" ref="J178:O178" si="35">J179 + J180</f>
        <v>0</v>
      </c>
      <c r="K178" s="87">
        <f t="shared" si="35"/>
        <v>0</v>
      </c>
      <c r="L178" s="87">
        <f t="shared" si="35"/>
        <v>0</v>
      </c>
      <c r="M178" s="87">
        <f t="shared" si="35"/>
        <v>0</v>
      </c>
      <c r="N178" s="87">
        <f t="shared" si="35"/>
        <v>0</v>
      </c>
      <c r="O178" s="87">
        <f t="shared" si="35"/>
        <v>0</v>
      </c>
      <c r="P178" s="89">
        <f t="shared" si="33"/>
        <v>0</v>
      </c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</row>
    <row r="179" spans="1:45" s="7" customFormat="1" ht="11.25" customHeight="1" x14ac:dyDescent="0.2">
      <c r="A179" s="40"/>
      <c r="B179" s="41"/>
      <c r="C179" s="158" t="s">
        <v>30</v>
      </c>
      <c r="D179" s="156" t="s">
        <v>175</v>
      </c>
      <c r="E179" s="156"/>
      <c r="F179" s="157"/>
      <c r="G179" s="112" t="s">
        <v>415</v>
      </c>
      <c r="H179" s="43"/>
      <c r="I179" s="86" t="n">
        <v>1811260.8</v>
      </c>
      <c r="J179" s="86"/>
      <c r="K179" s="86"/>
      <c r="L179" s="86"/>
      <c r="M179" s="86"/>
      <c r="N179" s="94"/>
      <c r="O179" s="94"/>
      <c r="P179" s="89">
        <f t="shared" si="33"/>
        <v>0</v>
      </c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</row>
    <row r="180" spans="1:45" s="7" customFormat="1" ht="11.25" customHeight="1" x14ac:dyDescent="0.2">
      <c r="A180" s="48"/>
      <c r="B180" s="45"/>
      <c r="C180" s="154" t="s">
        <v>34</v>
      </c>
      <c r="D180" s="155" t="s">
        <v>176</v>
      </c>
      <c r="E180" s="156"/>
      <c r="F180" s="157"/>
      <c r="G180" s="112" t="s">
        <v>416</v>
      </c>
      <c r="H180" s="43"/>
      <c r="I180" s="86" t="n">
        <v>0.0</v>
      </c>
      <c r="J180" s="86"/>
      <c r="K180" s="86"/>
      <c r="L180" s="90"/>
      <c r="M180" s="90"/>
      <c r="N180" s="94"/>
      <c r="O180" s="94"/>
      <c r="P180" s="89">
        <f t="shared" si="33"/>
        <v>0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</row>
    <row r="181" spans="1:45" s="7" customFormat="1" ht="11.25" customHeight="1" x14ac:dyDescent="0.2">
      <c r="A181" s="40"/>
      <c r="B181" s="41" t="s">
        <v>22</v>
      </c>
      <c r="C181" s="164" t="s">
        <v>177</v>
      </c>
      <c r="D181" s="165"/>
      <c r="E181" s="51"/>
      <c r="F181" s="52"/>
      <c r="G181" s="112" t="s">
        <v>417</v>
      </c>
      <c r="H181" s="43"/>
      <c r="I181" s="87">
        <f t="shared" ref="I181:O181" si="36">I182 + I183</f>
        <v>0</v>
      </c>
      <c r="J181" s="87">
        <f t="shared" si="36"/>
        <v>0</v>
      </c>
      <c r="K181" s="87">
        <f t="shared" si="36"/>
        <v>0</v>
      </c>
      <c r="L181" s="87">
        <f t="shared" si="36"/>
        <v>0</v>
      </c>
      <c r="M181" s="87">
        <f t="shared" si="36"/>
        <v>0</v>
      </c>
      <c r="N181" s="87">
        <f t="shared" si="36"/>
        <v>0</v>
      </c>
      <c r="O181" s="87">
        <f t="shared" si="36"/>
        <v>0</v>
      </c>
      <c r="P181" s="89">
        <f t="shared" si="33"/>
        <v>0</v>
      </c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</row>
    <row r="182" spans="1:45" s="7" customFormat="1" ht="11.25" customHeight="1" x14ac:dyDescent="0.2">
      <c r="A182" s="40"/>
      <c r="B182" s="41"/>
      <c r="C182" s="50" t="s">
        <v>30</v>
      </c>
      <c r="D182" s="51" t="s">
        <v>178</v>
      </c>
      <c r="E182" s="51"/>
      <c r="F182" s="52"/>
      <c r="G182" s="112" t="s">
        <v>418</v>
      </c>
      <c r="H182" s="43"/>
      <c r="I182" s="86" t="n">
        <v>0.0</v>
      </c>
      <c r="J182" s="86"/>
      <c r="K182" s="86"/>
      <c r="L182" s="86"/>
      <c r="M182" s="86"/>
      <c r="N182" s="94"/>
      <c r="O182" s="94"/>
      <c r="P182" s="89">
        <f t="shared" si="33"/>
        <v>0</v>
      </c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</row>
    <row r="183" spans="1:45" s="7" customFormat="1" ht="11.25" customHeight="1" x14ac:dyDescent="0.2">
      <c r="A183" s="40"/>
      <c r="B183" s="41"/>
      <c r="C183" s="41" t="s">
        <v>34</v>
      </c>
      <c r="D183" s="46" t="s">
        <v>179</v>
      </c>
      <c r="E183" s="46"/>
      <c r="F183" s="47"/>
      <c r="G183" s="112" t="s">
        <v>419</v>
      </c>
      <c r="H183" s="43"/>
      <c r="I183" s="86" t="n">
        <v>0.0</v>
      </c>
      <c r="J183" s="86"/>
      <c r="K183" s="86"/>
      <c r="L183" s="90"/>
      <c r="M183" s="90"/>
      <c r="N183" s="94"/>
      <c r="O183" s="94"/>
      <c r="P183" s="89">
        <f t="shared" si="33"/>
        <v>0</v>
      </c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</row>
    <row r="184" spans="1:45" s="7" customFormat="1" ht="11.25" customHeight="1" x14ac:dyDescent="0.2">
      <c r="A184" s="48"/>
      <c r="B184" s="45" t="s">
        <v>24</v>
      </c>
      <c r="C184" s="45" t="s">
        <v>180</v>
      </c>
      <c r="D184" s="133"/>
      <c r="E184" s="46"/>
      <c r="F184" s="47"/>
      <c r="G184" s="112" t="s">
        <v>420</v>
      </c>
      <c r="H184" s="43"/>
      <c r="I184" s="86" t="n">
        <v>0.0</v>
      </c>
      <c r="J184" s="86"/>
      <c r="K184" s="86"/>
      <c r="L184" s="90"/>
      <c r="M184" s="88"/>
      <c r="N184" s="94"/>
      <c r="O184" s="94"/>
      <c r="P184" s="89">
        <f t="shared" si="33"/>
        <v>0</v>
      </c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</row>
    <row r="185" spans="1:45" s="7" customFormat="1" ht="11.25" customHeight="1" x14ac:dyDescent="0.2">
      <c r="A185" s="40"/>
      <c r="B185" s="41" t="s">
        <v>66</v>
      </c>
      <c r="C185" s="41" t="s">
        <v>577</v>
      </c>
      <c r="D185" s="46"/>
      <c r="E185" s="46"/>
      <c r="F185" s="47"/>
      <c r="G185" s="112" t="s">
        <v>578</v>
      </c>
      <c r="H185" s="43"/>
      <c r="I185" s="86" t="n">
        <v>0.0</v>
      </c>
      <c r="J185" s="86"/>
      <c r="K185" s="86"/>
      <c r="L185" s="88"/>
      <c r="M185" s="88"/>
      <c r="N185" s="94"/>
      <c r="O185" s="94"/>
      <c r="P185" s="89">
        <f t="shared" si="33"/>
        <v>0</v>
      </c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</row>
    <row r="186" spans="1:45" s="7" customFormat="1" ht="26.25" customHeight="1" x14ac:dyDescent="0.2">
      <c r="A186" s="40"/>
      <c r="B186" s="41" t="s">
        <v>116</v>
      </c>
      <c r="C186" s="164" t="s">
        <v>579</v>
      </c>
      <c r="D186" s="165"/>
      <c r="E186" s="46"/>
      <c r="F186" s="47"/>
      <c r="G186" s="112" t="s">
        <v>580</v>
      </c>
      <c r="H186" s="43"/>
      <c r="I186" s="86" t="n">
        <v>0.0</v>
      </c>
      <c r="J186" s="86"/>
      <c r="K186" s="86"/>
      <c r="L186" s="88"/>
      <c r="M186" s="88"/>
      <c r="N186" s="94"/>
      <c r="O186" s="94"/>
      <c r="P186" s="89">
        <f t="shared" si="33"/>
        <v>0</v>
      </c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</row>
    <row r="187" spans="1:45" s="8" customFormat="1" ht="11.25" customHeight="1" x14ac:dyDescent="0.2">
      <c r="A187" s="40"/>
      <c r="B187" s="41" t="s">
        <v>202</v>
      </c>
      <c r="C187" s="41" t="s">
        <v>153</v>
      </c>
      <c r="D187" s="46"/>
      <c r="E187" s="46"/>
      <c r="F187" s="47"/>
      <c r="G187" s="112" t="s">
        <v>421</v>
      </c>
      <c r="H187" s="43"/>
      <c r="I187" s="86" t="n">
        <v>0.0</v>
      </c>
      <c r="J187" s="86"/>
      <c r="K187" s="86"/>
      <c r="L187" s="86"/>
      <c r="M187" s="86"/>
      <c r="N187" s="94"/>
      <c r="O187" s="94"/>
      <c r="P187" s="89">
        <f t="shared" si="33"/>
        <v>0</v>
      </c>
      <c r="Q187" s="107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</row>
    <row r="188" spans="1:45" s="8" customFormat="1" ht="11.25" customHeight="1" x14ac:dyDescent="0.2">
      <c r="A188" s="34" t="s">
        <v>44</v>
      </c>
      <c r="B188" s="35" t="s">
        <v>181</v>
      </c>
      <c r="C188" s="35"/>
      <c r="D188" s="27"/>
      <c r="E188" s="27"/>
      <c r="F188" s="25"/>
      <c r="G188" s="112" t="s">
        <v>422</v>
      </c>
      <c r="H188" s="22"/>
      <c r="I188" s="86" t="n">
        <v>0.0</v>
      </c>
      <c r="J188" s="90"/>
      <c r="K188" s="90"/>
      <c r="L188" s="90"/>
      <c r="M188" s="90"/>
      <c r="N188" s="94"/>
      <c r="O188" s="94"/>
      <c r="P188" s="89">
        <f t="shared" si="33"/>
        <v>0</v>
      </c>
      <c r="Q188" s="107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</row>
    <row r="189" spans="1:45" s="8" customFormat="1" ht="11.25" customHeight="1" x14ac:dyDescent="0.2">
      <c r="A189" s="31" t="s">
        <v>47</v>
      </c>
      <c r="B189" s="10" t="s">
        <v>182</v>
      </c>
      <c r="C189" s="10"/>
      <c r="D189" s="32"/>
      <c r="E189" s="27"/>
      <c r="F189" s="25"/>
      <c r="G189" s="112" t="s">
        <v>423</v>
      </c>
      <c r="H189" s="22"/>
      <c r="I189" s="86" t="n">
        <v>0.0</v>
      </c>
      <c r="J189" s="90"/>
      <c r="K189" s="90"/>
      <c r="L189" s="90"/>
      <c r="M189" s="90"/>
      <c r="N189" s="94"/>
      <c r="O189" s="94"/>
      <c r="P189" s="89">
        <f t="shared" si="33"/>
        <v>0</v>
      </c>
      <c r="Q189" s="107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</row>
    <row r="190" spans="1:45" s="8" customFormat="1" ht="11.25" customHeight="1" x14ac:dyDescent="0.2">
      <c r="A190" s="34" t="s">
        <v>50</v>
      </c>
      <c r="B190" s="35" t="s">
        <v>183</v>
      </c>
      <c r="C190" s="35"/>
      <c r="D190" s="27"/>
      <c r="E190" s="27"/>
      <c r="F190" s="25"/>
      <c r="G190" s="112" t="s">
        <v>424</v>
      </c>
      <c r="H190" s="22"/>
      <c r="I190" s="86" t="n">
        <v>0.0</v>
      </c>
      <c r="J190" s="86"/>
      <c r="K190" s="86"/>
      <c r="L190" s="90"/>
      <c r="M190" s="90"/>
      <c r="N190" s="94"/>
      <c r="O190" s="94"/>
      <c r="P190" s="89">
        <f t="shared" si="33"/>
        <v>0</v>
      </c>
      <c r="Q190" s="107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</row>
    <row r="191" spans="1:45" s="8" customFormat="1" ht="11.25" customHeight="1" x14ac:dyDescent="0.2">
      <c r="A191" s="34" t="s">
        <v>59</v>
      </c>
      <c r="B191" s="35" t="s">
        <v>184</v>
      </c>
      <c r="C191" s="35"/>
      <c r="D191" s="27"/>
      <c r="E191" s="27"/>
      <c r="F191" s="25"/>
      <c r="G191" s="112" t="s">
        <v>425</v>
      </c>
      <c r="H191" s="22"/>
      <c r="I191" s="86" t="n">
        <v>0.0</v>
      </c>
      <c r="J191" s="90"/>
      <c r="K191" s="90"/>
      <c r="L191" s="90"/>
      <c r="M191" s="90"/>
      <c r="N191" s="94"/>
      <c r="O191" s="94"/>
      <c r="P191" s="89">
        <f t="shared" si="33"/>
        <v>0</v>
      </c>
      <c r="Q191" s="107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</row>
    <row r="192" spans="1:45" s="8" customFormat="1" ht="11.25" customHeight="1" x14ac:dyDescent="0.2">
      <c r="A192" s="33" t="s">
        <v>185</v>
      </c>
      <c r="B192" s="10"/>
      <c r="C192" s="10"/>
      <c r="D192" s="32"/>
      <c r="E192" s="27"/>
      <c r="F192" s="25"/>
      <c r="G192" s="112" t="s">
        <v>426</v>
      </c>
      <c r="H192" s="22"/>
      <c r="I192" s="87">
        <f t="shared" ref="I192:O192" si="37">I158 + I162 + I163 + I168 + I175 + I176 + I177 + I188 + I189+I190 + I191 + I167</f>
        <v>0</v>
      </c>
      <c r="J192" s="87">
        <f t="shared" si="37"/>
        <v>0</v>
      </c>
      <c r="K192" s="87">
        <f t="shared" si="37"/>
        <v>0</v>
      </c>
      <c r="L192" s="87">
        <f t="shared" si="37"/>
        <v>0</v>
      </c>
      <c r="M192" s="87">
        <f t="shared" si="37"/>
        <v>0</v>
      </c>
      <c r="N192" s="87">
        <f t="shared" si="37"/>
        <v>0</v>
      </c>
      <c r="O192" s="87">
        <f t="shared" si="37"/>
        <v>0</v>
      </c>
      <c r="P192" s="89">
        <f>I192+K192+M192+O192</f>
        <v>0</v>
      </c>
      <c r="Q192" s="107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</row>
    <row r="193" spans="1:45" s="8" customFormat="1" ht="11.25" customHeight="1" x14ac:dyDescent="0.2">
      <c r="A193" s="37" t="s">
        <v>186</v>
      </c>
      <c r="B193" s="35"/>
      <c r="C193" s="35"/>
      <c r="D193" s="27"/>
      <c r="E193" s="27"/>
      <c r="F193" s="25"/>
      <c r="G193" s="112" t="s">
        <v>427</v>
      </c>
      <c r="H193" s="22"/>
      <c r="I193" s="87">
        <f t="shared" ref="I193:P193" si="38">I156 + I192</f>
        <v>0</v>
      </c>
      <c r="J193" s="87">
        <f t="shared" si="38"/>
        <v>0</v>
      </c>
      <c r="K193" s="87">
        <f t="shared" si="38"/>
        <v>0</v>
      </c>
      <c r="L193" s="87">
        <f t="shared" si="38"/>
        <v>0</v>
      </c>
      <c r="M193" s="87">
        <f t="shared" si="38"/>
        <v>0</v>
      </c>
      <c r="N193" s="87">
        <f t="shared" si="38"/>
        <v>0</v>
      </c>
      <c r="O193" s="87">
        <f t="shared" si="38"/>
        <v>0</v>
      </c>
      <c r="P193" s="87">
        <f t="shared" si="38"/>
        <v>0</v>
      </c>
      <c r="Q193" s="107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</row>
    <row r="194" spans="1:45" s="8" customFormat="1" ht="11.25" customHeight="1" x14ac:dyDescent="0.2">
      <c r="A194" s="159" t="s">
        <v>187</v>
      </c>
      <c r="B194" s="25"/>
      <c r="C194" s="25"/>
      <c r="D194" s="25"/>
      <c r="E194" s="25"/>
      <c r="F194" s="25"/>
      <c r="G194" s="112" t="s">
        <v>428</v>
      </c>
      <c r="H194" s="22"/>
      <c r="I194" s="86" t="n">
        <v>0.0</v>
      </c>
      <c r="J194" s="86"/>
      <c r="K194" s="86"/>
      <c r="L194" s="86"/>
      <c r="M194" s="86"/>
      <c r="N194" s="94"/>
      <c r="O194" s="94"/>
      <c r="P194" s="89">
        <f>I194+K194+M194+O194</f>
        <v>0</v>
      </c>
      <c r="Q194" s="45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</row>
    <row r="195" spans="1:45" s="8" customFormat="1" ht="11.25" customHeight="1" x14ac:dyDescent="0.2">
      <c r="A195" s="10"/>
      <c r="B195" s="10"/>
      <c r="C195" s="10"/>
      <c r="D195" s="10"/>
      <c r="E195" s="10"/>
      <c r="F195" s="10"/>
      <c r="G195" s="14" t="s">
        <v>229</v>
      </c>
      <c r="H195" s="6"/>
      <c r="I195" s="85"/>
      <c r="J195" s="85"/>
      <c r="K195" s="85"/>
      <c r="L195" s="85"/>
      <c r="M195" s="85"/>
      <c r="N195" s="85"/>
      <c r="O195" s="85"/>
      <c r="P195" s="15"/>
      <c r="Q195" s="45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</row>
    <row r="196" spans="1:45" s="8" customFormat="1" ht="11.25" customHeight="1" x14ac:dyDescent="0.2">
      <c r="A196" s="10"/>
      <c r="B196" s="10"/>
      <c r="C196" s="10"/>
      <c r="D196" s="10"/>
      <c r="E196" s="10"/>
      <c r="F196" s="10"/>
      <c r="G196" s="5"/>
      <c r="H196" s="6"/>
      <c r="I196" s="85"/>
      <c r="J196" s="85"/>
      <c r="K196" s="85"/>
      <c r="L196" s="85"/>
      <c r="M196" s="85"/>
      <c r="N196" s="85"/>
      <c r="O196" s="85"/>
      <c r="P196" s="15"/>
      <c r="Q196" s="45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</row>
    <row r="197" spans="1:45" s="8" customFormat="1" ht="11.25" customHeight="1" x14ac:dyDescent="0.2">
      <c r="A197" s="10"/>
      <c r="B197" s="10"/>
      <c r="C197" s="10"/>
      <c r="D197" s="10"/>
      <c r="E197" s="10"/>
      <c r="F197" s="10"/>
      <c r="G197" s="5"/>
      <c r="H197" s="6"/>
      <c r="I197" s="85"/>
      <c r="J197" s="85"/>
      <c r="K197" s="85"/>
      <c r="L197" s="85"/>
      <c r="M197" s="85"/>
      <c r="N197" s="85"/>
      <c r="O197" s="85"/>
      <c r="P197" s="15"/>
      <c r="Q197" s="45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</row>
    <row r="198" spans="1:45" s="8" customFormat="1" ht="11.25" customHeight="1" x14ac:dyDescent="0.2">
      <c r="A198" s="10"/>
      <c r="B198" s="10"/>
      <c r="C198" s="10"/>
      <c r="D198" s="10"/>
      <c r="E198" s="10"/>
      <c r="F198" s="10"/>
      <c r="G198" s="5"/>
      <c r="H198" s="6"/>
      <c r="I198" s="85"/>
      <c r="J198" s="85"/>
      <c r="K198" s="85"/>
      <c r="L198" s="85"/>
      <c r="M198" s="85"/>
      <c r="N198" s="85"/>
      <c r="O198" s="85"/>
      <c r="P198" s="15"/>
      <c r="Q198" s="45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</row>
    <row r="199" spans="1:45" s="8" customFormat="1" ht="11.25" customHeight="1" x14ac:dyDescent="0.2">
      <c r="A199" s="10"/>
      <c r="B199" s="10"/>
      <c r="C199" s="10"/>
      <c r="D199" s="10"/>
      <c r="E199" s="10"/>
      <c r="F199" s="10"/>
      <c r="G199" s="5"/>
      <c r="H199" s="6"/>
      <c r="I199" s="85"/>
      <c r="J199" s="85"/>
      <c r="K199" s="85"/>
      <c r="L199" s="85"/>
      <c r="M199" s="85"/>
      <c r="N199" s="85"/>
      <c r="O199" s="85"/>
      <c r="P199" s="15"/>
      <c r="Q199" s="45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</row>
    <row r="200" spans="1:45" s="8" customFormat="1" ht="11.25" customHeight="1" x14ac:dyDescent="0.2">
      <c r="A200" s="10"/>
      <c r="B200" s="10"/>
      <c r="C200" s="10"/>
      <c r="D200" s="10"/>
      <c r="E200" s="10"/>
      <c r="F200" s="10"/>
      <c r="G200" s="5"/>
      <c r="H200" s="6"/>
      <c r="I200" s="85"/>
      <c r="J200" s="85"/>
      <c r="K200" s="85"/>
      <c r="L200" s="85"/>
      <c r="M200" s="85"/>
      <c r="N200" s="85"/>
      <c r="O200" s="85"/>
      <c r="P200" s="15"/>
      <c r="Q200" s="45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</row>
    <row r="201" spans="1:45" s="8" customFormat="1" ht="11.25" customHeight="1" x14ac:dyDescent="0.2">
      <c r="A201" s="10"/>
      <c r="B201" s="10"/>
      <c r="C201" s="10"/>
      <c r="D201" s="10"/>
      <c r="E201" s="10"/>
      <c r="F201" s="10"/>
      <c r="G201" s="5"/>
      <c r="H201" s="6"/>
      <c r="I201" s="85"/>
      <c r="J201" s="85"/>
      <c r="K201" s="85"/>
      <c r="L201" s="85"/>
      <c r="M201" s="85"/>
      <c r="N201" s="85"/>
      <c r="O201" s="85"/>
      <c r="P201" s="15"/>
      <c r="Q201" s="45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</row>
    <row r="202" spans="1:45" s="8" customFormat="1" ht="11.25" customHeight="1" x14ac:dyDescent="0.2">
      <c r="A202" s="10"/>
      <c r="B202" s="10"/>
      <c r="C202" s="10"/>
      <c r="D202" s="10"/>
      <c r="E202" s="10"/>
      <c r="F202" s="10"/>
      <c r="G202" s="5"/>
      <c r="H202" s="6"/>
      <c r="I202" s="85"/>
      <c r="J202" s="85"/>
      <c r="K202" s="85"/>
      <c r="L202" s="85"/>
      <c r="M202" s="85"/>
      <c r="N202" s="85"/>
      <c r="O202" s="85"/>
      <c r="P202" s="15"/>
      <c r="Q202" s="45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</row>
    <row r="203" spans="1:45" s="8" customFormat="1" ht="11.25" customHeight="1" x14ac:dyDescent="0.2">
      <c r="A203" s="10"/>
      <c r="B203" s="10"/>
      <c r="C203" s="10"/>
      <c r="D203" s="10"/>
      <c r="E203" s="10"/>
      <c r="F203" s="10"/>
      <c r="G203" s="5"/>
      <c r="H203" s="6"/>
      <c r="I203" s="85"/>
      <c r="J203" s="85"/>
      <c r="K203" s="85"/>
      <c r="L203" s="85"/>
      <c r="M203" s="85"/>
      <c r="N203" s="85"/>
      <c r="O203" s="85"/>
      <c r="P203" s="15"/>
      <c r="Q203" s="45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</row>
    <row r="204" spans="1:45" s="8" customFormat="1" ht="11.25" customHeight="1" x14ac:dyDescent="0.2">
      <c r="A204" s="10"/>
      <c r="B204" s="10"/>
      <c r="C204" s="10"/>
      <c r="D204" s="10"/>
      <c r="E204" s="10"/>
      <c r="F204" s="10"/>
      <c r="G204" s="5"/>
      <c r="H204" s="6"/>
      <c r="I204" s="85"/>
      <c r="J204" s="85"/>
      <c r="K204" s="85"/>
      <c r="L204" s="85"/>
      <c r="M204" s="85"/>
      <c r="N204" s="85"/>
      <c r="O204" s="85"/>
      <c r="P204" s="15"/>
      <c r="Q204" s="45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</row>
    <row r="205" spans="1:45" s="8" customFormat="1" ht="11.25" customHeight="1" x14ac:dyDescent="0.2">
      <c r="A205" s="10"/>
      <c r="B205" s="10"/>
      <c r="C205" s="10"/>
      <c r="D205" s="10"/>
      <c r="E205" s="10"/>
      <c r="F205" s="10"/>
      <c r="G205" s="5"/>
      <c r="H205" s="6"/>
      <c r="I205" s="85"/>
      <c r="J205" s="85"/>
      <c r="K205" s="85"/>
      <c r="L205" s="85"/>
      <c r="M205" s="85"/>
      <c r="N205" s="85"/>
      <c r="O205" s="85"/>
      <c r="P205" s="15"/>
      <c r="Q205" s="45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</row>
    <row r="206" spans="1:45" s="8" customFormat="1" ht="11.25" customHeight="1" x14ac:dyDescent="0.2">
      <c r="A206" s="10"/>
      <c r="B206" s="10"/>
      <c r="C206" s="10"/>
      <c r="D206" s="10"/>
      <c r="E206" s="10"/>
      <c r="F206" s="10"/>
      <c r="G206" s="5"/>
      <c r="H206" s="6"/>
      <c r="I206" s="85"/>
      <c r="J206" s="85"/>
      <c r="K206" s="85"/>
      <c r="L206" s="85"/>
      <c r="M206" s="85"/>
      <c r="N206" s="85"/>
      <c r="O206" s="85"/>
      <c r="P206" s="15"/>
      <c r="Q206" s="45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</row>
    <row r="207" spans="1:45" s="8" customFormat="1" ht="11.25" customHeight="1" x14ac:dyDescent="0.2">
      <c r="A207" s="10"/>
      <c r="B207" s="10"/>
      <c r="C207" s="10"/>
      <c r="D207" s="10"/>
      <c r="E207" s="10"/>
      <c r="F207" s="10"/>
      <c r="G207" s="5"/>
      <c r="H207" s="6"/>
      <c r="I207" s="85"/>
      <c r="J207" s="85"/>
      <c r="K207" s="85"/>
      <c r="L207" s="85"/>
      <c r="M207" s="85"/>
      <c r="N207" s="85"/>
      <c r="O207" s="85"/>
      <c r="P207" s="15"/>
      <c r="Q207" s="45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</row>
    <row r="208" spans="1:45" s="8" customFormat="1" ht="11.25" customHeight="1" x14ac:dyDescent="0.2">
      <c r="A208" s="10"/>
      <c r="B208" s="10"/>
      <c r="C208" s="10"/>
      <c r="D208" s="10"/>
      <c r="E208" s="10"/>
      <c r="F208" s="10"/>
      <c r="G208" s="5"/>
      <c r="H208" s="6"/>
      <c r="I208" s="85"/>
      <c r="J208" s="85"/>
      <c r="K208" s="85"/>
      <c r="L208" s="85"/>
      <c r="M208" s="85"/>
      <c r="N208" s="85"/>
      <c r="O208" s="85"/>
      <c r="P208" s="15"/>
      <c r="Q208" s="45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</row>
    <row r="209" spans="1:45" s="8" customFormat="1" ht="11.25" customHeight="1" x14ac:dyDescent="0.2">
      <c r="A209" s="10"/>
      <c r="B209" s="10"/>
      <c r="C209" s="10"/>
      <c r="D209" s="10"/>
      <c r="E209" s="10"/>
      <c r="F209" s="10"/>
      <c r="G209" s="5"/>
      <c r="H209" s="6"/>
      <c r="I209" s="85"/>
      <c r="J209" s="85"/>
      <c r="K209" s="85"/>
      <c r="L209" s="85"/>
      <c r="M209" s="85"/>
      <c r="N209" s="85"/>
      <c r="O209" s="85"/>
      <c r="P209" s="15"/>
      <c r="Q209" s="45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</row>
    <row r="210" spans="1:45" s="8" customFormat="1" ht="11.25" customHeight="1" x14ac:dyDescent="0.2">
      <c r="A210" s="10"/>
      <c r="B210" s="10"/>
      <c r="C210" s="10"/>
      <c r="D210" s="10"/>
      <c r="E210" s="10"/>
      <c r="F210" s="10"/>
      <c r="G210" s="5"/>
      <c r="H210" s="6"/>
      <c r="I210" s="85"/>
      <c r="J210" s="85"/>
      <c r="K210" s="85"/>
      <c r="L210" s="85"/>
      <c r="M210" s="85"/>
      <c r="N210" s="85"/>
      <c r="O210" s="85"/>
      <c r="P210" s="15"/>
      <c r="Q210" s="45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</row>
    <row r="211" spans="1:45" s="8" customFormat="1" ht="11.25" customHeight="1" x14ac:dyDescent="0.2">
      <c r="A211" s="10"/>
      <c r="B211" s="10"/>
      <c r="C211" s="10"/>
      <c r="D211" s="10"/>
      <c r="E211" s="10"/>
      <c r="F211" s="10"/>
      <c r="G211" s="5"/>
      <c r="H211" s="6"/>
      <c r="I211" s="85"/>
      <c r="J211" s="85"/>
      <c r="K211" s="85"/>
      <c r="L211" s="85"/>
      <c r="M211" s="85"/>
      <c r="N211" s="85"/>
      <c r="O211" s="85"/>
      <c r="P211" s="15"/>
      <c r="Q211" s="45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</row>
    <row r="212" spans="1:45" s="8" customFormat="1" ht="11.25" customHeight="1" x14ac:dyDescent="0.2">
      <c r="A212" s="10"/>
      <c r="B212" s="10"/>
      <c r="C212" s="10"/>
      <c r="D212" s="10"/>
      <c r="E212" s="10"/>
      <c r="F212" s="10"/>
      <c r="G212" s="5"/>
      <c r="H212" s="6"/>
      <c r="I212" s="85"/>
      <c r="J212" s="85"/>
      <c r="K212" s="85"/>
      <c r="L212" s="85"/>
      <c r="M212" s="85"/>
      <c r="N212" s="85"/>
      <c r="O212" s="85"/>
      <c r="P212" s="15"/>
      <c r="Q212" s="45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</row>
    <row r="213" spans="1:45" s="8" customFormat="1" ht="11.25" customHeight="1" x14ac:dyDescent="0.2">
      <c r="A213" s="10"/>
      <c r="B213" s="10"/>
      <c r="C213" s="10"/>
      <c r="D213" s="10"/>
      <c r="E213" s="10"/>
      <c r="F213" s="10"/>
      <c r="G213" s="5"/>
      <c r="H213" s="6"/>
      <c r="I213" s="85"/>
      <c r="J213" s="85"/>
      <c r="K213" s="85"/>
      <c r="L213" s="85"/>
      <c r="M213" s="85"/>
      <c r="N213" s="85"/>
      <c r="O213" s="85"/>
      <c r="P213" s="15"/>
      <c r="Q213" s="45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</row>
    <row r="214" spans="1:45" s="8" customFormat="1" ht="11.25" customHeight="1" x14ac:dyDescent="0.2">
      <c r="A214" s="10"/>
      <c r="B214" s="10"/>
      <c r="C214" s="10"/>
      <c r="D214" s="10"/>
      <c r="E214" s="10"/>
      <c r="F214" s="10"/>
      <c r="G214" s="5"/>
      <c r="H214" s="6"/>
      <c r="I214" s="85"/>
      <c r="J214" s="85"/>
      <c r="K214" s="85"/>
      <c r="L214" s="85"/>
      <c r="M214" s="85"/>
      <c r="N214" s="85"/>
      <c r="O214" s="85"/>
      <c r="P214" s="15"/>
      <c r="Q214" s="45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</row>
    <row r="215" spans="1:45" s="8" customFormat="1" ht="11.25" customHeight="1" x14ac:dyDescent="0.2">
      <c r="A215" s="10"/>
      <c r="B215" s="10"/>
      <c r="C215" s="10"/>
      <c r="D215" s="10"/>
      <c r="E215" s="10"/>
      <c r="F215" s="10"/>
      <c r="G215" s="5"/>
      <c r="H215" s="6"/>
      <c r="I215" s="85"/>
      <c r="J215" s="85"/>
      <c r="K215" s="85"/>
      <c r="L215" s="85"/>
      <c r="M215" s="85"/>
      <c r="N215" s="85"/>
      <c r="O215" s="85"/>
      <c r="P215" s="15"/>
      <c r="Q215" s="45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</row>
    <row r="216" spans="1:45" s="8" customFormat="1" ht="11.25" customHeight="1" x14ac:dyDescent="0.2">
      <c r="A216" s="10"/>
      <c r="B216" s="10"/>
      <c r="C216" s="10"/>
      <c r="D216" s="10"/>
      <c r="E216" s="10"/>
      <c r="F216" s="10"/>
      <c r="G216" s="5"/>
      <c r="H216" s="6"/>
      <c r="I216" s="85"/>
      <c r="J216" s="85"/>
      <c r="K216" s="85"/>
      <c r="L216" s="85"/>
      <c r="M216" s="85"/>
      <c r="N216" s="85"/>
      <c r="O216" s="85"/>
      <c r="P216" s="15"/>
      <c r="Q216" s="45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</row>
    <row r="217" spans="1:45" s="8" customFormat="1" ht="11.25" customHeight="1" x14ac:dyDescent="0.2">
      <c r="A217" s="10"/>
      <c r="B217" s="10"/>
      <c r="C217" s="10"/>
      <c r="D217" s="10"/>
      <c r="E217" s="10"/>
      <c r="F217" s="10"/>
      <c r="G217" s="5"/>
      <c r="H217" s="6"/>
      <c r="I217" s="85"/>
      <c r="J217" s="85"/>
      <c r="K217" s="85"/>
      <c r="L217" s="85"/>
      <c r="M217" s="85"/>
      <c r="N217" s="85"/>
      <c r="O217" s="85"/>
      <c r="P217" s="15"/>
      <c r="Q217" s="45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</row>
    <row r="218" spans="1:45" s="8" customFormat="1" ht="11.25" customHeight="1" x14ac:dyDescent="0.2">
      <c r="A218" s="10"/>
      <c r="B218" s="10"/>
      <c r="C218" s="10"/>
      <c r="D218" s="10"/>
      <c r="E218" s="10"/>
      <c r="F218" s="10"/>
      <c r="G218" s="5"/>
      <c r="H218" s="6"/>
      <c r="I218" s="85"/>
      <c r="J218" s="85"/>
      <c r="K218" s="85"/>
      <c r="L218" s="85"/>
      <c r="M218" s="85"/>
      <c r="N218" s="85"/>
      <c r="O218" s="85"/>
      <c r="P218" s="15"/>
      <c r="Q218" s="45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</row>
    <row r="219" spans="1:45" s="8" customFormat="1" ht="11.25" customHeight="1" x14ac:dyDescent="0.2">
      <c r="A219" s="10"/>
      <c r="B219" s="10"/>
      <c r="C219" s="10"/>
      <c r="D219" s="10"/>
      <c r="E219" s="10"/>
      <c r="F219" s="10"/>
      <c r="G219" s="5"/>
      <c r="H219" s="6"/>
      <c r="I219" s="85"/>
      <c r="J219" s="85"/>
      <c r="K219" s="85"/>
      <c r="L219" s="85"/>
      <c r="M219" s="85"/>
      <c r="N219" s="85"/>
      <c r="O219" s="85"/>
      <c r="P219" s="15"/>
      <c r="Q219" s="45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</row>
    <row r="220" spans="1:45" s="8" customFormat="1" ht="11.25" customHeight="1" x14ac:dyDescent="0.2">
      <c r="A220" s="10"/>
      <c r="B220" s="10"/>
      <c r="C220" s="10"/>
      <c r="D220" s="10"/>
      <c r="E220" s="10"/>
      <c r="F220" s="10"/>
      <c r="G220" s="5"/>
      <c r="H220" s="6"/>
      <c r="I220" s="85"/>
      <c r="J220" s="85"/>
      <c r="K220" s="85"/>
      <c r="L220" s="85"/>
      <c r="M220" s="85"/>
      <c r="N220" s="85"/>
      <c r="O220" s="85"/>
      <c r="P220" s="15"/>
      <c r="Q220" s="45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</row>
    <row r="221" spans="1:45" s="8" customFormat="1" ht="11.25" customHeight="1" x14ac:dyDescent="0.2">
      <c r="A221" s="10"/>
      <c r="B221" s="10"/>
      <c r="C221" s="10"/>
      <c r="D221" s="10"/>
      <c r="E221" s="10"/>
      <c r="F221" s="10"/>
      <c r="G221" s="5"/>
      <c r="H221" s="6"/>
      <c r="I221" s="85"/>
      <c r="J221" s="85"/>
      <c r="K221" s="85"/>
      <c r="L221" s="85"/>
      <c r="M221" s="85"/>
      <c r="N221" s="85"/>
      <c r="O221" s="85"/>
      <c r="P221" s="15"/>
      <c r="Q221" s="45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</row>
    <row r="222" spans="1:45" s="8" customFormat="1" ht="11.25" customHeight="1" x14ac:dyDescent="0.2">
      <c r="A222" s="10"/>
      <c r="B222" s="10"/>
      <c r="C222" s="10"/>
      <c r="D222" s="10"/>
      <c r="E222" s="10"/>
      <c r="F222" s="10"/>
      <c r="G222" s="5"/>
      <c r="H222" s="6"/>
      <c r="I222" s="85"/>
      <c r="J222" s="85"/>
      <c r="K222" s="85"/>
      <c r="L222" s="85"/>
      <c r="M222" s="85"/>
      <c r="N222" s="85"/>
      <c r="O222" s="85"/>
      <c r="P222" s="15"/>
      <c r="Q222" s="45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</row>
    <row r="223" spans="1:45" s="8" customFormat="1" ht="11.25" customHeight="1" x14ac:dyDescent="0.2">
      <c r="A223" s="10"/>
      <c r="B223" s="10"/>
      <c r="C223" s="10"/>
      <c r="D223" s="10"/>
      <c r="E223" s="10"/>
      <c r="F223" s="10"/>
      <c r="G223" s="5"/>
      <c r="H223" s="6"/>
      <c r="I223" s="85"/>
      <c r="J223" s="85"/>
      <c r="K223" s="85"/>
      <c r="L223" s="85"/>
      <c r="M223" s="85"/>
      <c r="N223" s="85"/>
      <c r="O223" s="85"/>
      <c r="P223" s="15"/>
      <c r="Q223" s="45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</row>
    <row r="224" spans="1:45" s="8" customFormat="1" ht="11.25" customHeight="1" x14ac:dyDescent="0.2">
      <c r="A224" s="10"/>
      <c r="B224" s="10"/>
      <c r="C224" s="10"/>
      <c r="D224" s="10"/>
      <c r="E224" s="10"/>
      <c r="F224" s="10"/>
      <c r="G224" s="5"/>
      <c r="H224" s="6"/>
      <c r="I224" s="85"/>
      <c r="J224" s="85"/>
      <c r="K224" s="85"/>
      <c r="L224" s="85"/>
      <c r="M224" s="85"/>
      <c r="N224" s="85"/>
      <c r="O224" s="85"/>
      <c r="P224" s="15"/>
      <c r="Q224" s="45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</row>
    <row r="225" spans="1:45" s="8" customFormat="1" ht="11.25" customHeight="1" x14ac:dyDescent="0.2">
      <c r="A225" s="10"/>
      <c r="B225" s="10"/>
      <c r="C225" s="10"/>
      <c r="D225" s="10"/>
      <c r="E225" s="10"/>
      <c r="F225" s="10"/>
      <c r="G225" s="5"/>
      <c r="H225" s="6"/>
      <c r="I225" s="85"/>
      <c r="J225" s="85"/>
      <c r="K225" s="85"/>
      <c r="L225" s="85"/>
      <c r="M225" s="85"/>
      <c r="N225" s="85"/>
      <c r="O225" s="85"/>
      <c r="P225" s="15"/>
      <c r="Q225" s="45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</row>
    <row r="226" spans="1:45" s="8" customFormat="1" ht="11.25" customHeight="1" x14ac:dyDescent="0.2">
      <c r="A226" s="10"/>
      <c r="B226" s="10"/>
      <c r="C226" s="10"/>
      <c r="D226" s="10"/>
      <c r="E226" s="10"/>
      <c r="F226" s="10"/>
      <c r="G226" s="5"/>
      <c r="H226" s="6"/>
      <c r="I226" s="85"/>
      <c r="J226" s="85"/>
      <c r="K226" s="85"/>
      <c r="L226" s="85"/>
      <c r="M226" s="85"/>
      <c r="N226" s="85"/>
      <c r="O226" s="85"/>
      <c r="P226" s="15"/>
      <c r="Q226" s="45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</row>
    <row r="227" spans="1:45" s="8" customFormat="1" ht="11.25" customHeight="1" x14ac:dyDescent="0.2">
      <c r="A227" s="10"/>
      <c r="B227" s="10"/>
      <c r="C227" s="10"/>
      <c r="D227" s="10"/>
      <c r="E227" s="10"/>
      <c r="F227" s="10"/>
      <c r="G227" s="5"/>
      <c r="H227" s="6"/>
      <c r="I227" s="85"/>
      <c r="J227" s="85"/>
      <c r="K227" s="85"/>
      <c r="L227" s="85"/>
      <c r="M227" s="85"/>
      <c r="N227" s="85"/>
      <c r="O227" s="85"/>
      <c r="P227" s="15"/>
      <c r="Q227" s="45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</row>
    <row r="228" spans="1:45" s="8" customFormat="1" ht="11.25" customHeight="1" x14ac:dyDescent="0.2">
      <c r="A228" s="10"/>
      <c r="B228" s="10"/>
      <c r="C228" s="10"/>
      <c r="D228" s="10"/>
      <c r="E228" s="10"/>
      <c r="F228" s="10"/>
      <c r="G228" s="5"/>
      <c r="H228" s="6"/>
      <c r="I228" s="85"/>
      <c r="J228" s="85"/>
      <c r="K228" s="85"/>
      <c r="L228" s="85"/>
      <c r="M228" s="85"/>
      <c r="N228" s="85"/>
      <c r="O228" s="85"/>
      <c r="P228" s="15"/>
      <c r="Q228" s="45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</row>
    <row r="229" spans="1:45" s="8" customFormat="1" ht="11.25" customHeight="1" x14ac:dyDescent="0.2">
      <c r="A229" s="10"/>
      <c r="B229" s="10"/>
      <c r="C229" s="10"/>
      <c r="D229" s="10"/>
      <c r="E229" s="10"/>
      <c r="F229" s="10"/>
      <c r="G229" s="5"/>
      <c r="H229" s="6"/>
      <c r="I229" s="85"/>
      <c r="J229" s="85"/>
      <c r="K229" s="85"/>
      <c r="L229" s="85"/>
      <c r="M229" s="85"/>
      <c r="N229" s="85"/>
      <c r="O229" s="85"/>
      <c r="P229" s="15"/>
      <c r="Q229" s="45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</row>
    <row r="230" spans="1:45" s="8" customFormat="1" ht="11.25" customHeight="1" x14ac:dyDescent="0.2">
      <c r="A230" s="10"/>
      <c r="B230" s="10"/>
      <c r="C230" s="10"/>
      <c r="D230" s="10"/>
      <c r="E230" s="10"/>
      <c r="F230" s="10"/>
      <c r="G230" s="5"/>
      <c r="H230" s="6"/>
      <c r="I230" s="85"/>
      <c r="J230" s="85"/>
      <c r="K230" s="85"/>
      <c r="L230" s="85"/>
      <c r="M230" s="85"/>
      <c r="N230" s="85"/>
      <c r="O230" s="85"/>
      <c r="P230" s="15"/>
      <c r="Q230" s="45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</row>
    <row r="231" spans="1:45" s="8" customFormat="1" ht="11.25" customHeight="1" x14ac:dyDescent="0.2">
      <c r="A231" s="10"/>
      <c r="B231" s="10"/>
      <c r="C231" s="10"/>
      <c r="D231" s="10"/>
      <c r="E231" s="10"/>
      <c r="F231" s="10"/>
      <c r="G231" s="5"/>
      <c r="H231" s="6"/>
      <c r="I231" s="85"/>
      <c r="J231" s="85"/>
      <c r="K231" s="85"/>
      <c r="L231" s="85"/>
      <c r="M231" s="85"/>
      <c r="N231" s="85"/>
      <c r="O231" s="85"/>
      <c r="P231" s="15"/>
      <c r="Q231" s="45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</row>
    <row r="232" spans="1:45" s="8" customFormat="1" ht="11.25" customHeight="1" x14ac:dyDescent="0.2">
      <c r="A232" s="10"/>
      <c r="B232" s="10"/>
      <c r="C232" s="10"/>
      <c r="D232" s="10"/>
      <c r="E232" s="10"/>
      <c r="F232" s="10"/>
      <c r="G232" s="5"/>
      <c r="H232" s="6"/>
      <c r="I232" s="85"/>
      <c r="J232" s="85"/>
      <c r="K232" s="85"/>
      <c r="L232" s="85"/>
      <c r="M232" s="85"/>
      <c r="N232" s="85"/>
      <c r="O232" s="85"/>
      <c r="P232" s="15"/>
      <c r="Q232" s="45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</row>
    <row r="233" spans="1:45" s="8" customFormat="1" ht="11.25" customHeight="1" x14ac:dyDescent="0.2">
      <c r="A233" s="10"/>
      <c r="B233" s="10"/>
      <c r="C233" s="10"/>
      <c r="D233" s="10"/>
      <c r="E233" s="10"/>
      <c r="F233" s="10"/>
      <c r="G233" s="5"/>
      <c r="H233" s="6"/>
      <c r="I233" s="85"/>
      <c r="J233" s="85"/>
      <c r="K233" s="85"/>
      <c r="L233" s="85"/>
      <c r="M233" s="85"/>
      <c r="N233" s="85"/>
      <c r="O233" s="85"/>
      <c r="P233" s="15"/>
      <c r="Q233" s="45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</row>
    <row r="234" spans="1:45" s="8" customFormat="1" ht="11.25" customHeight="1" x14ac:dyDescent="0.2">
      <c r="A234" s="10"/>
      <c r="B234" s="10"/>
      <c r="C234" s="10"/>
      <c r="D234" s="10"/>
      <c r="E234" s="10"/>
      <c r="F234" s="10"/>
      <c r="G234" s="5"/>
      <c r="H234" s="6"/>
      <c r="I234" s="85"/>
      <c r="J234" s="85"/>
      <c r="K234" s="85"/>
      <c r="L234" s="85"/>
      <c r="M234" s="85"/>
      <c r="N234" s="85"/>
      <c r="O234" s="85"/>
      <c r="P234" s="15"/>
      <c r="Q234" s="45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</row>
    <row r="235" spans="1:45" s="8" customFormat="1" ht="11.25" customHeight="1" x14ac:dyDescent="0.2">
      <c r="A235" s="10"/>
      <c r="B235" s="10"/>
      <c r="C235" s="10"/>
      <c r="D235" s="10"/>
      <c r="E235" s="10"/>
      <c r="F235" s="10"/>
      <c r="G235" s="5"/>
      <c r="H235" s="6"/>
      <c r="I235" s="85"/>
      <c r="J235" s="85"/>
      <c r="K235" s="85"/>
      <c r="L235" s="85"/>
      <c r="M235" s="85"/>
      <c r="N235" s="85"/>
      <c r="O235" s="85"/>
      <c r="P235" s="15"/>
      <c r="Q235" s="45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</row>
    <row r="236" spans="1:45" s="8" customFormat="1" ht="11.25" customHeight="1" x14ac:dyDescent="0.2">
      <c r="A236" s="10"/>
      <c r="B236" s="10"/>
      <c r="C236" s="10"/>
      <c r="D236" s="10"/>
      <c r="E236" s="10"/>
      <c r="F236" s="10"/>
      <c r="G236" s="5"/>
      <c r="H236" s="6"/>
      <c r="I236" s="85"/>
      <c r="J236" s="85"/>
      <c r="K236" s="85"/>
      <c r="L236" s="85"/>
      <c r="M236" s="85"/>
      <c r="N236" s="85"/>
      <c r="O236" s="85"/>
      <c r="P236" s="15"/>
      <c r="Q236" s="45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</row>
    <row r="237" spans="1:45" s="8" customFormat="1" ht="11.25" customHeight="1" x14ac:dyDescent="0.2">
      <c r="A237" s="10"/>
      <c r="B237" s="10"/>
      <c r="C237" s="10"/>
      <c r="D237" s="10"/>
      <c r="E237" s="10"/>
      <c r="F237" s="10"/>
      <c r="G237" s="5"/>
      <c r="H237" s="6"/>
      <c r="I237" s="85"/>
      <c r="J237" s="85"/>
      <c r="K237" s="85"/>
      <c r="L237" s="85"/>
      <c r="M237" s="85"/>
      <c r="N237" s="85"/>
      <c r="O237" s="85"/>
      <c r="P237" s="15"/>
      <c r="Q237" s="45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</row>
    <row r="238" spans="1:45" s="8" customFormat="1" ht="11.25" customHeight="1" x14ac:dyDescent="0.2">
      <c r="A238" s="10"/>
      <c r="B238" s="10"/>
      <c r="C238" s="10"/>
      <c r="D238" s="10"/>
      <c r="E238" s="10"/>
      <c r="F238" s="10"/>
      <c r="G238" s="5"/>
      <c r="H238" s="6"/>
      <c r="I238" s="85"/>
      <c r="J238" s="85"/>
      <c r="K238" s="85"/>
      <c r="L238" s="85"/>
      <c r="M238" s="85"/>
      <c r="N238" s="85"/>
      <c r="O238" s="85"/>
      <c r="P238" s="15"/>
      <c r="Q238" s="45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</row>
    <row r="239" spans="1:45" s="8" customFormat="1" ht="11.25" customHeight="1" x14ac:dyDescent="0.2">
      <c r="A239" s="10" t="s">
        <v>188</v>
      </c>
      <c r="B239" s="10"/>
      <c r="C239" s="10"/>
      <c r="D239" s="10"/>
      <c r="E239" s="10"/>
      <c r="F239" s="10"/>
      <c r="G239" s="5"/>
      <c r="H239" s="6"/>
      <c r="I239" s="85"/>
      <c r="J239" s="85"/>
      <c r="K239" s="85"/>
      <c r="L239" s="85"/>
      <c r="M239" s="85"/>
      <c r="N239" s="85"/>
      <c r="O239" s="85"/>
      <c r="P239" s="15"/>
      <c r="Q239" s="45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</row>
    <row r="240" spans="1:45" s="8" customFormat="1" ht="11.25" customHeight="1" x14ac:dyDescent="0.2">
      <c r="A240" s="10"/>
      <c r="B240" s="10"/>
      <c r="C240" s="10"/>
      <c r="D240" s="10"/>
      <c r="E240" s="10"/>
      <c r="F240" s="10"/>
      <c r="G240" s="5"/>
      <c r="H240" s="6"/>
      <c r="I240" s="85"/>
      <c r="J240" s="85"/>
      <c r="K240" s="85"/>
      <c r="L240" s="85"/>
      <c r="M240" s="85"/>
      <c r="N240" s="85"/>
      <c r="O240" s="85"/>
      <c r="P240" s="15"/>
      <c r="Q240" s="45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</row>
    <row r="241" spans="1:45" s="8" customFormat="1" ht="11.25" customHeight="1" x14ac:dyDescent="0.2">
      <c r="A241" s="10"/>
      <c r="B241" s="10"/>
      <c r="C241" s="10"/>
      <c r="D241" s="10"/>
      <c r="E241" s="10"/>
      <c r="F241" s="10"/>
      <c r="G241" s="5"/>
      <c r="H241" s="6"/>
      <c r="I241" s="85"/>
      <c r="J241" s="85"/>
      <c r="K241" s="85"/>
      <c r="L241" s="85"/>
      <c r="M241" s="85"/>
      <c r="N241" s="85"/>
      <c r="O241" s="85"/>
      <c r="P241" s="15"/>
      <c r="Q241" s="45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</row>
    <row r="242" spans="1:45" s="8" customFormat="1" ht="11.25" customHeight="1" x14ac:dyDescent="0.2">
      <c r="A242" s="10"/>
      <c r="B242" s="10"/>
      <c r="C242" s="10"/>
      <c r="D242" s="10"/>
      <c r="E242" s="10"/>
      <c r="F242" s="10"/>
      <c r="G242" s="5"/>
      <c r="H242" s="6"/>
      <c r="I242" s="85"/>
      <c r="J242" s="85"/>
      <c r="K242" s="85"/>
      <c r="L242" s="85"/>
      <c r="M242" s="85"/>
      <c r="N242" s="85"/>
      <c r="O242" s="85"/>
      <c r="P242" s="15"/>
      <c r="Q242" s="45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</row>
    <row r="243" spans="1:45" s="8" customFormat="1" ht="11.25" customHeight="1" x14ac:dyDescent="0.2">
      <c r="A243" s="10"/>
      <c r="B243" s="10"/>
      <c r="C243" s="10"/>
      <c r="D243" s="10"/>
      <c r="E243" s="10"/>
      <c r="F243" s="10"/>
      <c r="G243" s="5"/>
      <c r="H243" s="6"/>
      <c r="I243" s="85"/>
      <c r="J243" s="85"/>
      <c r="K243" s="85"/>
      <c r="L243" s="85"/>
      <c r="M243" s="85"/>
      <c r="N243" s="85"/>
      <c r="O243" s="85"/>
      <c r="P243" s="15"/>
      <c r="Q243" s="45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</row>
    <row r="244" spans="1:45" s="8" customFormat="1" ht="11.25" customHeight="1" x14ac:dyDescent="0.2">
      <c r="A244" s="10"/>
      <c r="B244" s="10"/>
      <c r="C244" s="10"/>
      <c r="D244" s="10"/>
      <c r="E244" s="10"/>
      <c r="F244" s="10"/>
      <c r="G244" s="5"/>
      <c r="H244" s="6"/>
      <c r="I244" s="85"/>
      <c r="J244" s="85"/>
      <c r="K244" s="85"/>
      <c r="L244" s="85"/>
      <c r="M244" s="85"/>
      <c r="N244" s="85"/>
      <c r="O244" s="85"/>
      <c r="P244" s="15"/>
      <c r="Q244" s="45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</row>
    <row r="245" spans="1:45" s="8" customFormat="1" ht="11.25" customHeight="1" x14ac:dyDescent="0.2">
      <c r="A245" s="10"/>
      <c r="B245" s="10"/>
      <c r="C245" s="10"/>
      <c r="D245" s="10"/>
      <c r="E245" s="10"/>
      <c r="F245" s="10"/>
      <c r="G245" s="5"/>
      <c r="H245" s="6"/>
      <c r="I245" s="85"/>
      <c r="J245" s="85"/>
      <c r="K245" s="85"/>
      <c r="L245" s="85"/>
      <c r="M245" s="85"/>
      <c r="N245" s="85"/>
      <c r="O245" s="85"/>
      <c r="P245" s="15"/>
      <c r="Q245" s="45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</row>
    <row r="246" spans="1:45" s="8" customFormat="1" ht="11.25" customHeight="1" x14ac:dyDescent="0.2">
      <c r="A246" s="10"/>
      <c r="B246" s="10"/>
      <c r="C246" s="10"/>
      <c r="D246" s="10"/>
      <c r="E246" s="10"/>
      <c r="F246" s="10"/>
      <c r="G246" s="5"/>
      <c r="H246" s="6"/>
      <c r="I246" s="85"/>
      <c r="J246" s="85"/>
      <c r="K246" s="85"/>
      <c r="L246" s="85"/>
      <c r="M246" s="85"/>
      <c r="N246" s="85"/>
      <c r="O246" s="85"/>
      <c r="P246" s="15"/>
      <c r="Q246" s="45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</row>
    <row r="247" spans="1:45" s="8" customFormat="1" ht="11.25" customHeight="1" x14ac:dyDescent="0.2">
      <c r="A247" s="10"/>
      <c r="B247" s="10"/>
      <c r="C247" s="10"/>
      <c r="D247" s="10"/>
      <c r="E247" s="10"/>
      <c r="F247" s="10"/>
      <c r="G247" s="5"/>
      <c r="H247" s="6"/>
      <c r="I247" s="85"/>
      <c r="J247" s="85"/>
      <c r="K247" s="85"/>
      <c r="L247" s="85"/>
      <c r="M247" s="85"/>
      <c r="N247" s="85"/>
      <c r="O247" s="85"/>
      <c r="P247" s="15"/>
      <c r="Q247" s="45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</row>
    <row r="248" spans="1:45" s="8" customFormat="1" ht="11.25" customHeight="1" x14ac:dyDescent="0.2">
      <c r="A248" s="10"/>
      <c r="B248" s="10"/>
      <c r="C248" s="10"/>
      <c r="D248" s="10"/>
      <c r="E248" s="10"/>
      <c r="F248" s="10"/>
      <c r="G248" s="5"/>
      <c r="H248" s="6"/>
      <c r="I248" s="85"/>
      <c r="J248" s="85"/>
      <c r="K248" s="85"/>
      <c r="L248" s="85"/>
      <c r="M248" s="85"/>
      <c r="N248" s="85"/>
      <c r="O248" s="85"/>
      <c r="P248" s="15"/>
      <c r="Q248" s="45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</row>
    <row r="249" spans="1:45" s="8" customFormat="1" ht="11.25" customHeight="1" x14ac:dyDescent="0.2">
      <c r="A249" s="10"/>
      <c r="B249" s="10"/>
      <c r="C249" s="10"/>
      <c r="D249" s="10"/>
      <c r="E249" s="10"/>
      <c r="F249" s="10"/>
      <c r="G249" s="5"/>
      <c r="H249" s="6"/>
      <c r="I249" s="85"/>
      <c r="J249" s="85"/>
      <c r="K249" s="85"/>
      <c r="L249" s="85"/>
      <c r="M249" s="85"/>
      <c r="N249" s="85"/>
      <c r="O249" s="85"/>
      <c r="P249" s="15"/>
      <c r="Q249" s="45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</row>
    <row r="250" spans="1:45" s="8" customFormat="1" ht="11.25" customHeight="1" x14ac:dyDescent="0.2">
      <c r="A250" s="10"/>
      <c r="B250" s="10"/>
      <c r="C250" s="10"/>
      <c r="D250" s="10"/>
      <c r="E250" s="10"/>
      <c r="F250" s="10"/>
      <c r="G250" s="5"/>
      <c r="H250" s="6"/>
      <c r="I250" s="85"/>
      <c r="J250" s="85"/>
      <c r="K250" s="85"/>
      <c r="L250" s="85"/>
      <c r="M250" s="85"/>
      <c r="N250" s="85"/>
      <c r="O250" s="85"/>
      <c r="P250" s="15"/>
      <c r="Q250" s="45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</row>
    <row r="251" spans="1:45" s="8" customFormat="1" ht="11.25" customHeight="1" x14ac:dyDescent="0.2">
      <c r="A251" s="10"/>
      <c r="B251" s="10"/>
      <c r="C251" s="10"/>
      <c r="D251" s="10"/>
      <c r="E251" s="10"/>
      <c r="F251" s="10"/>
      <c r="G251" s="5"/>
      <c r="H251" s="6"/>
      <c r="I251" s="85"/>
      <c r="J251" s="85"/>
      <c r="K251" s="85"/>
      <c r="L251" s="85"/>
      <c r="M251" s="85"/>
      <c r="N251" s="85"/>
      <c r="O251" s="85"/>
      <c r="P251" s="15"/>
      <c r="Q251" s="45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</row>
    <row r="252" spans="1:45" s="8" customFormat="1" ht="11.25" customHeight="1" x14ac:dyDescent="0.2">
      <c r="A252" s="10"/>
      <c r="B252" s="10"/>
      <c r="C252" s="10"/>
      <c r="D252" s="10"/>
      <c r="E252" s="10"/>
      <c r="F252" s="10"/>
      <c r="G252" s="5"/>
      <c r="H252" s="6"/>
      <c r="I252" s="85"/>
      <c r="J252" s="85"/>
      <c r="K252" s="85"/>
      <c r="L252" s="85"/>
      <c r="M252" s="85"/>
      <c r="N252" s="85"/>
      <c r="O252" s="85"/>
      <c r="P252" s="15"/>
      <c r="Q252" s="45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</row>
    <row r="253" spans="1:45" s="8" customFormat="1" ht="11.25" customHeight="1" x14ac:dyDescent="0.2">
      <c r="A253" s="10"/>
      <c r="B253" s="10"/>
      <c r="C253" s="10"/>
      <c r="D253" s="10"/>
      <c r="E253" s="10"/>
      <c r="F253" s="10"/>
      <c r="G253" s="5"/>
      <c r="H253" s="6"/>
      <c r="I253" s="85"/>
      <c r="J253" s="85"/>
      <c r="K253" s="85"/>
      <c r="L253" s="85"/>
      <c r="M253" s="85"/>
      <c r="N253" s="85"/>
      <c r="O253" s="85"/>
      <c r="P253" s="15"/>
      <c r="Q253" s="45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</row>
    <row r="254" spans="1:45" s="8" customFormat="1" ht="11.25" customHeight="1" x14ac:dyDescent="0.2">
      <c r="A254" s="10"/>
      <c r="B254" s="10"/>
      <c r="C254" s="10"/>
      <c r="D254" s="10"/>
      <c r="E254" s="10"/>
      <c r="F254" s="10"/>
      <c r="G254" s="5"/>
      <c r="H254" s="6"/>
      <c r="I254" s="85"/>
      <c r="J254" s="85"/>
      <c r="K254" s="85"/>
      <c r="L254" s="85"/>
      <c r="M254" s="85"/>
      <c r="N254" s="85"/>
      <c r="O254" s="85"/>
      <c r="P254" s="15"/>
      <c r="Q254" s="45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</row>
    <row r="255" spans="1:45" s="8" customFormat="1" ht="11.25" customHeight="1" x14ac:dyDescent="0.2">
      <c r="A255" s="10"/>
      <c r="B255" s="10"/>
      <c r="C255" s="10"/>
      <c r="D255" s="10"/>
      <c r="E255" s="10"/>
      <c r="F255" s="10"/>
      <c r="G255" s="5"/>
      <c r="H255" s="6"/>
      <c r="I255" s="85"/>
      <c r="J255" s="85"/>
      <c r="K255" s="85"/>
      <c r="L255" s="85"/>
      <c r="M255" s="85"/>
      <c r="N255" s="85"/>
      <c r="O255" s="85"/>
      <c r="P255" s="15"/>
      <c r="Q255" s="45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</row>
    <row r="256" spans="1:45" s="8" customFormat="1" ht="11.25" customHeight="1" x14ac:dyDescent="0.2">
      <c r="A256" s="10"/>
      <c r="B256" s="10"/>
      <c r="C256" s="10"/>
      <c r="D256" s="10"/>
      <c r="E256" s="10"/>
      <c r="F256" s="10"/>
      <c r="G256" s="5"/>
      <c r="H256" s="6"/>
      <c r="I256" s="85"/>
      <c r="J256" s="85"/>
      <c r="K256" s="85"/>
      <c r="L256" s="85"/>
      <c r="M256" s="85"/>
      <c r="N256" s="85"/>
      <c r="O256" s="85"/>
      <c r="P256" s="15"/>
      <c r="Q256" s="45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</row>
    <row r="257" spans="1:45" s="8" customFormat="1" ht="11.25" customHeight="1" x14ac:dyDescent="0.2">
      <c r="A257" s="10"/>
      <c r="B257" s="10"/>
      <c r="C257" s="10"/>
      <c r="D257" s="10"/>
      <c r="E257" s="10"/>
      <c r="F257" s="10"/>
      <c r="G257" s="5"/>
      <c r="H257" s="6"/>
      <c r="I257" s="85"/>
      <c r="J257" s="85"/>
      <c r="K257" s="85"/>
      <c r="L257" s="85"/>
      <c r="M257" s="85"/>
      <c r="N257" s="85"/>
      <c r="O257" s="85"/>
      <c r="P257" s="15"/>
      <c r="Q257" s="45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</row>
    <row r="258" spans="1:45" s="8" customFormat="1" ht="11.25" customHeight="1" x14ac:dyDescent="0.2">
      <c r="A258" s="10"/>
      <c r="B258" s="10"/>
      <c r="C258" s="10"/>
      <c r="D258" s="10"/>
      <c r="E258" s="10"/>
      <c r="F258" s="10"/>
      <c r="G258" s="5"/>
      <c r="H258" s="6"/>
      <c r="I258" s="85"/>
      <c r="J258" s="85"/>
      <c r="K258" s="85"/>
      <c r="L258" s="85"/>
      <c r="M258" s="85"/>
      <c r="N258" s="85"/>
      <c r="O258" s="85"/>
      <c r="P258" s="15"/>
      <c r="Q258" s="45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</row>
    <row r="259" spans="1:45" s="8" customFormat="1" ht="11.25" customHeight="1" x14ac:dyDescent="0.2">
      <c r="A259" s="10"/>
      <c r="B259" s="10"/>
      <c r="C259" s="10"/>
      <c r="D259" s="10"/>
      <c r="E259" s="10"/>
      <c r="F259" s="10"/>
      <c r="G259" s="5"/>
      <c r="H259" s="6"/>
      <c r="I259" s="85"/>
      <c r="J259" s="85"/>
      <c r="K259" s="85"/>
      <c r="L259" s="85"/>
      <c r="M259" s="85"/>
      <c r="N259" s="85"/>
      <c r="O259" s="85"/>
      <c r="P259" s="15"/>
      <c r="Q259" s="45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</row>
    <row r="260" spans="1:45" s="8" customFormat="1" ht="11.25" customHeight="1" x14ac:dyDescent="0.2">
      <c r="A260" s="10"/>
      <c r="B260" s="10"/>
      <c r="C260" s="10"/>
      <c r="D260" s="10"/>
      <c r="E260" s="10"/>
      <c r="F260" s="10"/>
      <c r="G260" s="5"/>
      <c r="H260" s="6"/>
      <c r="I260" s="85"/>
      <c r="J260" s="85"/>
      <c r="K260" s="85"/>
      <c r="L260" s="85"/>
      <c r="M260" s="85"/>
      <c r="N260" s="85"/>
      <c r="O260" s="85"/>
      <c r="P260" s="15"/>
      <c r="Q260" s="45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</row>
    <row r="261" spans="1:45" s="8" customFormat="1" ht="11.25" customHeight="1" x14ac:dyDescent="0.2">
      <c r="A261" s="10"/>
      <c r="B261" s="10"/>
      <c r="C261" s="10"/>
      <c r="D261" s="10"/>
      <c r="E261" s="10"/>
      <c r="F261" s="10"/>
      <c r="G261" s="5"/>
      <c r="H261" s="6"/>
      <c r="I261" s="85"/>
      <c r="J261" s="85"/>
      <c r="K261" s="85"/>
      <c r="L261" s="85"/>
      <c r="M261" s="85"/>
      <c r="N261" s="85"/>
      <c r="O261" s="85"/>
      <c r="P261" s="15"/>
      <c r="Q261" s="45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</row>
    <row r="262" spans="1:45" s="8" customFormat="1" ht="11.25" customHeight="1" x14ac:dyDescent="0.2">
      <c r="A262" s="10"/>
      <c r="B262" s="10"/>
      <c r="C262" s="10"/>
      <c r="D262" s="10"/>
      <c r="E262" s="10"/>
      <c r="F262" s="10"/>
      <c r="G262" s="5"/>
      <c r="H262" s="6"/>
      <c r="I262" s="85"/>
      <c r="J262" s="85"/>
      <c r="K262" s="85"/>
      <c r="L262" s="85"/>
      <c r="M262" s="85"/>
      <c r="N262" s="85"/>
      <c r="O262" s="85"/>
      <c r="P262" s="15"/>
      <c r="Q262" s="45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</row>
    <row r="263" spans="1:45" s="8" customFormat="1" ht="11.25" customHeight="1" x14ac:dyDescent="0.2">
      <c r="A263" s="10"/>
      <c r="B263" s="10"/>
      <c r="C263" s="10"/>
      <c r="D263" s="10"/>
      <c r="E263" s="10"/>
      <c r="F263" s="10"/>
      <c r="G263" s="5"/>
      <c r="H263" s="6"/>
      <c r="I263" s="85"/>
      <c r="J263" s="85"/>
      <c r="K263" s="85"/>
      <c r="L263" s="85"/>
      <c r="M263" s="85"/>
      <c r="N263" s="85"/>
      <c r="O263" s="85"/>
      <c r="P263" s="15"/>
      <c r="Q263" s="45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</row>
    <row r="264" spans="1:45" s="8" customFormat="1" ht="11.25" customHeight="1" x14ac:dyDescent="0.2">
      <c r="A264" s="10"/>
      <c r="B264" s="10"/>
      <c r="C264" s="10"/>
      <c r="D264" s="10"/>
      <c r="E264" s="10"/>
      <c r="F264" s="10"/>
      <c r="G264" s="5"/>
      <c r="H264" s="6"/>
      <c r="I264" s="85"/>
      <c r="J264" s="85"/>
      <c r="K264" s="85"/>
      <c r="L264" s="85"/>
      <c r="M264" s="85"/>
      <c r="N264" s="85"/>
      <c r="O264" s="85"/>
      <c r="P264" s="15"/>
      <c r="Q264" s="45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</row>
    <row r="265" spans="1:45" s="8" customFormat="1" ht="11.25" customHeight="1" x14ac:dyDescent="0.2">
      <c r="A265" s="10"/>
      <c r="B265" s="10"/>
      <c r="C265" s="10"/>
      <c r="D265" s="10"/>
      <c r="E265" s="10"/>
      <c r="F265" s="10"/>
      <c r="G265" s="5"/>
      <c r="H265" s="6"/>
      <c r="I265" s="85"/>
      <c r="J265" s="85"/>
      <c r="K265" s="85"/>
      <c r="L265" s="85"/>
      <c r="M265" s="85"/>
      <c r="N265" s="85"/>
      <c r="O265" s="85"/>
      <c r="P265" s="15"/>
      <c r="Q265" s="45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</row>
    <row r="266" spans="1:45" s="8" customFormat="1" ht="11.25" customHeight="1" x14ac:dyDescent="0.2">
      <c r="A266" s="10"/>
      <c r="B266" s="10"/>
      <c r="C266" s="10"/>
      <c r="D266" s="10"/>
      <c r="E266" s="10"/>
      <c r="F266" s="10"/>
      <c r="G266" s="5"/>
      <c r="H266" s="6"/>
      <c r="I266" s="85"/>
      <c r="J266" s="85"/>
      <c r="K266" s="85"/>
      <c r="L266" s="85"/>
      <c r="M266" s="85"/>
      <c r="N266" s="85"/>
      <c r="O266" s="85"/>
      <c r="P266" s="15"/>
      <c r="Q266" s="45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</row>
    <row r="267" spans="1:45" s="8" customFormat="1" ht="11.25" customHeight="1" x14ac:dyDescent="0.2">
      <c r="A267" s="10"/>
      <c r="B267" s="10"/>
      <c r="C267" s="10"/>
      <c r="D267" s="10"/>
      <c r="E267" s="10"/>
      <c r="F267" s="10"/>
      <c r="G267" s="5"/>
      <c r="H267" s="6"/>
      <c r="I267" s="85"/>
      <c r="J267" s="85"/>
      <c r="K267" s="85"/>
      <c r="L267" s="85"/>
      <c r="M267" s="85"/>
      <c r="N267" s="85"/>
      <c r="O267" s="85"/>
      <c r="P267" s="15"/>
      <c r="Q267" s="45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</row>
    <row r="268" spans="1:45" s="8" customFormat="1" ht="11.25" customHeight="1" x14ac:dyDescent="0.2">
      <c r="A268" s="10"/>
      <c r="B268" s="10"/>
      <c r="C268" s="10"/>
      <c r="D268" s="10"/>
      <c r="E268" s="10"/>
      <c r="F268" s="10"/>
      <c r="G268" s="5"/>
      <c r="H268" s="6"/>
      <c r="I268" s="85"/>
      <c r="J268" s="85"/>
      <c r="K268" s="85"/>
      <c r="L268" s="85"/>
      <c r="M268" s="85"/>
      <c r="N268" s="85"/>
      <c r="O268" s="85"/>
      <c r="P268" s="15"/>
      <c r="Q268" s="45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</row>
    <row r="269" spans="1:45" s="8" customFormat="1" ht="11.25" customHeight="1" x14ac:dyDescent="0.2">
      <c r="A269" s="10"/>
      <c r="B269" s="10"/>
      <c r="C269" s="10"/>
      <c r="D269" s="10"/>
      <c r="E269" s="10"/>
      <c r="F269" s="10"/>
      <c r="G269" s="5"/>
      <c r="H269" s="6"/>
      <c r="I269" s="85"/>
      <c r="J269" s="85"/>
      <c r="K269" s="85"/>
      <c r="L269" s="85"/>
      <c r="M269" s="85"/>
      <c r="N269" s="85"/>
      <c r="O269" s="85"/>
      <c r="P269" s="15"/>
      <c r="Q269" s="45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</row>
    <row r="270" spans="1:45" s="8" customFormat="1" ht="11.25" customHeight="1" x14ac:dyDescent="0.2">
      <c r="A270" s="10"/>
      <c r="B270" s="10"/>
      <c r="C270" s="10"/>
      <c r="D270" s="10"/>
      <c r="E270" s="10"/>
      <c r="F270" s="10"/>
      <c r="G270" s="5"/>
      <c r="H270" s="6"/>
      <c r="I270" s="85"/>
      <c r="J270" s="85"/>
      <c r="K270" s="85"/>
      <c r="L270" s="85"/>
      <c r="M270" s="85"/>
      <c r="N270" s="85"/>
      <c r="O270" s="85"/>
      <c r="P270" s="15"/>
      <c r="Q270" s="45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</row>
    <row r="271" spans="1:45" s="8" customFormat="1" ht="11.25" customHeight="1" x14ac:dyDescent="0.2">
      <c r="A271" s="10"/>
      <c r="B271" s="10"/>
      <c r="C271" s="10"/>
      <c r="D271" s="10"/>
      <c r="E271" s="10"/>
      <c r="F271" s="10"/>
      <c r="G271" s="5"/>
      <c r="H271" s="6"/>
      <c r="I271" s="85"/>
      <c r="J271" s="85"/>
      <c r="K271" s="85"/>
      <c r="L271" s="85"/>
      <c r="M271" s="85"/>
      <c r="N271" s="85"/>
      <c r="O271" s="85"/>
      <c r="P271" s="15"/>
      <c r="Q271" s="45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</row>
    <row r="272" spans="1:45" s="8" customFormat="1" ht="11.25" customHeight="1" x14ac:dyDescent="0.2">
      <c r="A272" s="10"/>
      <c r="B272" s="10"/>
      <c r="C272" s="10"/>
      <c r="D272" s="10"/>
      <c r="E272" s="10"/>
      <c r="F272" s="10"/>
      <c r="G272" s="5"/>
      <c r="H272" s="6"/>
      <c r="I272" s="85"/>
      <c r="J272" s="85"/>
      <c r="K272" s="85"/>
      <c r="L272" s="85"/>
      <c r="M272" s="85"/>
      <c r="N272" s="85"/>
      <c r="O272" s="85"/>
      <c r="P272" s="15"/>
      <c r="Q272" s="45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</row>
    <row r="273" spans="1:45" s="8" customFormat="1" ht="11.25" customHeight="1" x14ac:dyDescent="0.2">
      <c r="A273" s="10"/>
      <c r="B273" s="10"/>
      <c r="C273" s="10"/>
      <c r="D273" s="10"/>
      <c r="E273" s="10"/>
      <c r="F273" s="10"/>
      <c r="G273" s="5"/>
      <c r="H273" s="6"/>
      <c r="I273" s="85"/>
      <c r="J273" s="85"/>
      <c r="K273" s="85"/>
      <c r="L273" s="85"/>
      <c r="M273" s="85"/>
      <c r="N273" s="85"/>
      <c r="O273" s="85"/>
      <c r="P273" s="15"/>
      <c r="Q273" s="45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</row>
    <row r="274" spans="1:45" s="8" customFormat="1" ht="11.25" customHeight="1" x14ac:dyDescent="0.2">
      <c r="A274" s="10"/>
      <c r="B274" s="10"/>
      <c r="C274" s="10"/>
      <c r="D274" s="10"/>
      <c r="E274" s="10"/>
      <c r="F274" s="10"/>
      <c r="G274" s="5"/>
      <c r="H274" s="6"/>
      <c r="I274" s="85"/>
      <c r="J274" s="85"/>
      <c r="K274" s="85"/>
      <c r="L274" s="85"/>
      <c r="M274" s="85"/>
      <c r="N274" s="85"/>
      <c r="O274" s="85"/>
      <c r="P274" s="15"/>
      <c r="Q274" s="45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</row>
    <row r="275" spans="1:45" s="8" customFormat="1" ht="11.25" customHeight="1" x14ac:dyDescent="0.2">
      <c r="A275" s="10"/>
      <c r="B275" s="10"/>
      <c r="C275" s="10"/>
      <c r="D275" s="10"/>
      <c r="E275" s="10"/>
      <c r="F275" s="10"/>
      <c r="G275" s="5"/>
      <c r="H275" s="6"/>
      <c r="I275" s="85"/>
      <c r="J275" s="85"/>
      <c r="K275" s="85"/>
      <c r="L275" s="85"/>
      <c r="M275" s="85"/>
      <c r="N275" s="85"/>
      <c r="O275" s="85"/>
      <c r="P275" s="15"/>
      <c r="Q275" s="45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</row>
    <row r="276" spans="1:45" s="8" customFormat="1" ht="11.25" customHeight="1" x14ac:dyDescent="0.2">
      <c r="A276" s="10"/>
      <c r="B276" s="10"/>
      <c r="C276" s="10"/>
      <c r="D276" s="10"/>
      <c r="E276" s="10"/>
      <c r="F276" s="10"/>
      <c r="G276" s="5"/>
      <c r="H276" s="6"/>
      <c r="I276" s="85"/>
      <c r="J276" s="85"/>
      <c r="K276" s="85"/>
      <c r="L276" s="85"/>
      <c r="M276" s="85"/>
      <c r="N276" s="85"/>
      <c r="O276" s="85"/>
      <c r="P276" s="15"/>
      <c r="Q276" s="45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</row>
    <row r="277" spans="1:45" s="8" customFormat="1" ht="11.25" customHeight="1" x14ac:dyDescent="0.2">
      <c r="A277" s="10"/>
      <c r="B277" s="10"/>
      <c r="C277" s="10"/>
      <c r="D277" s="10"/>
      <c r="E277" s="10"/>
      <c r="F277" s="10"/>
      <c r="G277" s="5"/>
      <c r="H277" s="6"/>
      <c r="I277" s="85"/>
      <c r="J277" s="85"/>
      <c r="K277" s="85"/>
      <c r="L277" s="85"/>
      <c r="M277" s="85"/>
      <c r="N277" s="85"/>
      <c r="O277" s="85"/>
      <c r="P277" s="15"/>
      <c r="Q277" s="45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</row>
    <row r="278" spans="1:45" s="8" customFormat="1" ht="11.25" customHeight="1" x14ac:dyDescent="0.2">
      <c r="A278" s="10"/>
      <c r="B278" s="10"/>
      <c r="C278" s="10"/>
      <c r="D278" s="10"/>
      <c r="E278" s="10"/>
      <c r="F278" s="10"/>
      <c r="G278" s="5"/>
      <c r="H278" s="6"/>
      <c r="I278" s="85"/>
      <c r="J278" s="85"/>
      <c r="K278" s="85"/>
      <c r="L278" s="85"/>
      <c r="M278" s="85"/>
      <c r="N278" s="85"/>
      <c r="O278" s="85"/>
      <c r="P278" s="15"/>
      <c r="Q278" s="45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</row>
    <row r="279" spans="1:45" s="8" customFormat="1" ht="11.25" customHeight="1" x14ac:dyDescent="0.2">
      <c r="A279" s="10"/>
      <c r="B279" s="10"/>
      <c r="C279" s="10"/>
      <c r="D279" s="10"/>
      <c r="E279" s="10"/>
      <c r="F279" s="10"/>
      <c r="G279" s="5"/>
      <c r="H279" s="6"/>
      <c r="I279" s="85"/>
      <c r="J279" s="85"/>
      <c r="K279" s="85"/>
      <c r="L279" s="85"/>
      <c r="M279" s="85"/>
      <c r="N279" s="85"/>
      <c r="O279" s="85"/>
      <c r="P279" s="15"/>
      <c r="Q279" s="45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</row>
    <row r="280" spans="1:45" s="8" customFormat="1" ht="11.25" customHeight="1" x14ac:dyDescent="0.2">
      <c r="A280" s="10"/>
      <c r="B280" s="10"/>
      <c r="C280" s="10"/>
      <c r="D280" s="10"/>
      <c r="E280" s="10"/>
      <c r="F280" s="10"/>
      <c r="G280" s="5"/>
      <c r="H280" s="6"/>
      <c r="I280" s="85"/>
      <c r="J280" s="85"/>
      <c r="K280" s="85"/>
      <c r="L280" s="85"/>
      <c r="M280" s="85"/>
      <c r="N280" s="85"/>
      <c r="O280" s="85"/>
      <c r="P280" s="15"/>
      <c r="Q280" s="45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</row>
    <row r="281" spans="1:45" s="8" customFormat="1" ht="11.25" customHeight="1" x14ac:dyDescent="0.2">
      <c r="A281" s="10"/>
      <c r="B281" s="10"/>
      <c r="C281" s="10"/>
      <c r="D281" s="10"/>
      <c r="E281" s="10"/>
      <c r="F281" s="10"/>
      <c r="G281" s="5"/>
      <c r="H281" s="6"/>
      <c r="I281" s="85"/>
      <c r="J281" s="85"/>
      <c r="K281" s="85"/>
      <c r="L281" s="85"/>
      <c r="M281" s="85"/>
      <c r="N281" s="85"/>
      <c r="O281" s="85"/>
      <c r="P281" s="15"/>
      <c r="Q281" s="45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</row>
    <row r="282" spans="1:45" s="8" customFormat="1" ht="11.25" customHeight="1" x14ac:dyDescent="0.2">
      <c r="A282" s="10"/>
      <c r="B282" s="10"/>
      <c r="C282" s="10"/>
      <c r="D282" s="10"/>
      <c r="E282" s="10"/>
      <c r="F282" s="10"/>
      <c r="G282" s="5"/>
      <c r="H282" s="6"/>
      <c r="I282" s="85"/>
      <c r="J282" s="85"/>
      <c r="K282" s="85"/>
      <c r="L282" s="85"/>
      <c r="M282" s="85"/>
      <c r="N282" s="85"/>
      <c r="O282" s="85"/>
      <c r="P282" s="15"/>
      <c r="Q282" s="45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</row>
    <row r="283" spans="1:45" s="8" customFormat="1" ht="11.25" customHeight="1" x14ac:dyDescent="0.2">
      <c r="A283" s="10"/>
      <c r="B283" s="10"/>
      <c r="C283" s="10"/>
      <c r="D283" s="10"/>
      <c r="E283" s="10"/>
      <c r="F283" s="10"/>
      <c r="G283" s="5"/>
      <c r="H283" s="6"/>
      <c r="I283" s="85"/>
      <c r="J283" s="85"/>
      <c r="K283" s="85"/>
      <c r="L283" s="85"/>
      <c r="M283" s="85"/>
      <c r="N283" s="85"/>
      <c r="O283" s="85"/>
      <c r="P283" s="15"/>
      <c r="Q283" s="45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</row>
    <row r="284" spans="1:45" s="8" customFormat="1" ht="11.25" customHeight="1" x14ac:dyDescent="0.2">
      <c r="A284" s="10"/>
      <c r="B284" s="10"/>
      <c r="C284" s="10"/>
      <c r="D284" s="10"/>
      <c r="E284" s="10"/>
      <c r="F284" s="10"/>
      <c r="G284" s="5"/>
      <c r="H284" s="6"/>
      <c r="I284" s="85"/>
      <c r="J284" s="85"/>
      <c r="K284" s="85"/>
      <c r="L284" s="85"/>
      <c r="M284" s="85"/>
      <c r="N284" s="85"/>
      <c r="O284" s="85"/>
      <c r="P284" s="15"/>
      <c r="Q284" s="45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</row>
    <row r="285" spans="1:45" s="8" customFormat="1" ht="11.25" customHeight="1" x14ac:dyDescent="0.2">
      <c r="A285" s="10"/>
      <c r="B285" s="10"/>
      <c r="C285" s="10"/>
      <c r="D285" s="10"/>
      <c r="E285" s="10"/>
      <c r="F285" s="10"/>
      <c r="G285" s="5"/>
      <c r="H285" s="6"/>
      <c r="I285" s="85"/>
      <c r="J285" s="85"/>
      <c r="K285" s="85"/>
      <c r="L285" s="85"/>
      <c r="M285" s="85"/>
      <c r="N285" s="85"/>
      <c r="O285" s="85"/>
      <c r="P285" s="15"/>
      <c r="Q285" s="45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</row>
    <row r="286" spans="1:45" s="8" customFormat="1" ht="11.25" customHeight="1" x14ac:dyDescent="0.2">
      <c r="A286" s="10"/>
      <c r="B286" s="10"/>
      <c r="C286" s="10"/>
      <c r="D286" s="10"/>
      <c r="E286" s="10"/>
      <c r="F286" s="10"/>
      <c r="G286" s="5"/>
      <c r="H286" s="6"/>
      <c r="I286" s="85"/>
      <c r="J286" s="85"/>
      <c r="K286" s="85"/>
      <c r="L286" s="85"/>
      <c r="M286" s="85"/>
      <c r="N286" s="85"/>
      <c r="O286" s="85"/>
      <c r="P286" s="15"/>
      <c r="Q286" s="45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</row>
    <row r="287" spans="1:45" s="8" customFormat="1" ht="11.25" customHeight="1" x14ac:dyDescent="0.2">
      <c r="A287" s="10"/>
      <c r="B287" s="10"/>
      <c r="C287" s="10"/>
      <c r="D287" s="10"/>
      <c r="E287" s="10"/>
      <c r="F287" s="10"/>
      <c r="G287" s="5"/>
      <c r="H287" s="6"/>
      <c r="I287" s="85"/>
      <c r="J287" s="85"/>
      <c r="K287" s="85"/>
      <c r="L287" s="85"/>
      <c r="M287" s="85"/>
      <c r="N287" s="85"/>
      <c r="O287" s="85"/>
      <c r="P287" s="15"/>
      <c r="Q287" s="45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</row>
    <row r="288" spans="1:45" s="8" customFormat="1" ht="11.25" customHeight="1" x14ac:dyDescent="0.2">
      <c r="A288" s="10"/>
      <c r="B288" s="10"/>
      <c r="C288" s="10"/>
      <c r="D288" s="10"/>
      <c r="E288" s="10"/>
      <c r="F288" s="10"/>
      <c r="G288" s="5"/>
      <c r="H288" s="6"/>
      <c r="I288" s="85"/>
      <c r="J288" s="85"/>
      <c r="K288" s="85"/>
      <c r="L288" s="85"/>
      <c r="M288" s="85"/>
      <c r="N288" s="85"/>
      <c r="O288" s="85"/>
      <c r="P288" s="15"/>
      <c r="Q288" s="45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</row>
    <row r="289" spans="1:45" s="8" customFormat="1" ht="11.25" customHeight="1" x14ac:dyDescent="0.2">
      <c r="A289" s="10"/>
      <c r="B289" s="10"/>
      <c r="C289" s="10"/>
      <c r="D289" s="10"/>
      <c r="E289" s="10"/>
      <c r="F289" s="10"/>
      <c r="G289" s="5"/>
      <c r="H289" s="6"/>
      <c r="I289" s="85"/>
      <c r="J289" s="85"/>
      <c r="K289" s="85"/>
      <c r="L289" s="85"/>
      <c r="M289" s="85"/>
      <c r="N289" s="85"/>
      <c r="O289" s="85"/>
      <c r="P289" s="15"/>
      <c r="Q289" s="45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</row>
    <row r="290" spans="1:45" s="8" customFormat="1" ht="11.25" customHeight="1" x14ac:dyDescent="0.2">
      <c r="A290" s="10"/>
      <c r="B290" s="10"/>
      <c r="C290" s="10"/>
      <c r="D290" s="10"/>
      <c r="E290" s="10"/>
      <c r="F290" s="10"/>
      <c r="G290" s="5"/>
      <c r="H290" s="6"/>
      <c r="I290" s="85"/>
      <c r="J290" s="85"/>
      <c r="K290" s="85"/>
      <c r="L290" s="85"/>
      <c r="M290" s="85"/>
      <c r="N290" s="85"/>
      <c r="O290" s="85"/>
      <c r="P290" s="15"/>
      <c r="Q290" s="45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</row>
    <row r="291" spans="1:45" s="8" customFormat="1" ht="11.25" customHeight="1" x14ac:dyDescent="0.2">
      <c r="A291" s="10"/>
      <c r="B291" s="10"/>
      <c r="C291" s="10"/>
      <c r="D291" s="10"/>
      <c r="E291" s="10"/>
      <c r="F291" s="10"/>
      <c r="G291" s="5"/>
      <c r="H291" s="6"/>
      <c r="I291" s="85"/>
      <c r="J291" s="85"/>
      <c r="K291" s="85"/>
      <c r="L291" s="85"/>
      <c r="M291" s="85"/>
      <c r="N291" s="85"/>
      <c r="O291" s="85"/>
      <c r="P291" s="15"/>
      <c r="Q291" s="45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</row>
    <row r="292" spans="1:45" s="8" customFormat="1" ht="11.25" customHeight="1" x14ac:dyDescent="0.2">
      <c r="A292" s="10"/>
      <c r="B292" s="10"/>
      <c r="C292" s="10"/>
      <c r="D292" s="10"/>
      <c r="E292" s="10"/>
      <c r="F292" s="10"/>
      <c r="G292" s="5"/>
      <c r="H292" s="6"/>
      <c r="I292" s="85"/>
      <c r="J292" s="85"/>
      <c r="K292" s="85"/>
      <c r="L292" s="85"/>
      <c r="M292" s="85"/>
      <c r="N292" s="85"/>
      <c r="O292" s="85"/>
      <c r="P292" s="15"/>
      <c r="Q292" s="45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</row>
    <row r="293" spans="1:45" s="8" customFormat="1" ht="11.25" customHeight="1" x14ac:dyDescent="0.2">
      <c r="A293" s="10"/>
      <c r="B293" s="10"/>
      <c r="C293" s="10"/>
      <c r="D293" s="10"/>
      <c r="E293" s="10"/>
      <c r="F293" s="10"/>
      <c r="G293" s="5"/>
      <c r="H293" s="6"/>
      <c r="I293" s="85"/>
      <c r="J293" s="85"/>
      <c r="K293" s="85"/>
      <c r="L293" s="85"/>
      <c r="M293" s="85"/>
      <c r="N293" s="85"/>
      <c r="O293" s="85"/>
      <c r="P293" s="15"/>
      <c r="Q293" s="45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</row>
    <row r="294" spans="1:45" s="8" customFormat="1" ht="11.25" customHeight="1" x14ac:dyDescent="0.2">
      <c r="A294" s="10"/>
      <c r="B294" s="10"/>
      <c r="C294" s="10"/>
      <c r="D294" s="10"/>
      <c r="E294" s="10"/>
      <c r="F294" s="10"/>
      <c r="G294" s="5"/>
      <c r="H294" s="6"/>
      <c r="I294" s="85"/>
      <c r="J294" s="85"/>
      <c r="K294" s="85"/>
      <c r="L294" s="85"/>
      <c r="M294" s="85"/>
      <c r="N294" s="85"/>
      <c r="O294" s="85"/>
      <c r="P294" s="15"/>
      <c r="Q294" s="45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</row>
    <row r="295" spans="1:45" s="8" customFormat="1" ht="11.25" customHeight="1" x14ac:dyDescent="0.2">
      <c r="A295" s="10"/>
      <c r="B295" s="10"/>
      <c r="C295" s="10"/>
      <c r="D295" s="10"/>
      <c r="E295" s="10"/>
      <c r="F295" s="10"/>
      <c r="G295" s="5"/>
      <c r="H295" s="6"/>
      <c r="I295" s="85"/>
      <c r="J295" s="85"/>
      <c r="K295" s="85"/>
      <c r="L295" s="85"/>
      <c r="M295" s="85"/>
      <c r="N295" s="85"/>
      <c r="O295" s="85"/>
      <c r="P295" s="15"/>
      <c r="Q295" s="45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</row>
    <row r="296" spans="1:45" s="8" customFormat="1" ht="11.25" customHeight="1" x14ac:dyDescent="0.2">
      <c r="A296" s="10"/>
      <c r="B296" s="10"/>
      <c r="C296" s="10"/>
      <c r="D296" s="10"/>
      <c r="E296" s="10"/>
      <c r="F296" s="10"/>
      <c r="G296" s="5"/>
      <c r="H296" s="6"/>
      <c r="I296" s="85"/>
      <c r="J296" s="85"/>
      <c r="K296" s="85"/>
      <c r="L296" s="85"/>
      <c r="M296" s="85"/>
      <c r="N296" s="85"/>
      <c r="O296" s="85"/>
      <c r="P296" s="15"/>
      <c r="Q296" s="45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</row>
    <row r="297" spans="1:45" s="8" customFormat="1" ht="11.25" customHeight="1" x14ac:dyDescent="0.2">
      <c r="A297" s="10"/>
      <c r="B297" s="10"/>
      <c r="C297" s="10"/>
      <c r="D297" s="10"/>
      <c r="E297" s="10"/>
      <c r="F297" s="10"/>
      <c r="G297" s="5"/>
      <c r="H297" s="6"/>
      <c r="I297" s="85"/>
      <c r="J297" s="85"/>
      <c r="K297" s="85"/>
      <c r="L297" s="85"/>
      <c r="M297" s="85"/>
      <c r="N297" s="85"/>
      <c r="O297" s="85"/>
      <c r="P297" s="15"/>
      <c r="Q297" s="45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</row>
    <row r="298" spans="1:45" s="8" customFormat="1" ht="11.25" customHeight="1" x14ac:dyDescent="0.2">
      <c r="A298" s="10"/>
      <c r="B298" s="10"/>
      <c r="C298" s="10"/>
      <c r="D298" s="10"/>
      <c r="E298" s="10"/>
      <c r="F298" s="10"/>
      <c r="G298" s="5"/>
      <c r="H298" s="6"/>
      <c r="I298" s="85"/>
      <c r="J298" s="85"/>
      <c r="K298" s="85"/>
      <c r="L298" s="85"/>
      <c r="M298" s="85"/>
      <c r="N298" s="85"/>
      <c r="O298" s="85"/>
      <c r="P298" s="15"/>
      <c r="Q298" s="45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</row>
    <row r="299" spans="1:45" s="8" customFormat="1" ht="11.25" customHeight="1" x14ac:dyDescent="0.2">
      <c r="A299" s="10"/>
      <c r="B299" s="10"/>
      <c r="C299" s="10"/>
      <c r="D299" s="10"/>
      <c r="E299" s="10"/>
      <c r="F299" s="10"/>
      <c r="G299" s="5"/>
      <c r="H299" s="6"/>
      <c r="I299" s="85"/>
      <c r="J299" s="85"/>
      <c r="K299" s="85"/>
      <c r="L299" s="85"/>
      <c r="M299" s="85"/>
      <c r="N299" s="85"/>
      <c r="O299" s="85"/>
      <c r="P299" s="15"/>
      <c r="Q299" s="45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</row>
    <row r="300" spans="1:45" s="8" customFormat="1" ht="11.25" customHeight="1" x14ac:dyDescent="0.2">
      <c r="A300" s="10"/>
      <c r="B300" s="10"/>
      <c r="C300" s="10"/>
      <c r="D300" s="10"/>
      <c r="E300" s="10"/>
      <c r="F300" s="10"/>
      <c r="G300" s="5"/>
      <c r="H300" s="6"/>
      <c r="I300" s="85"/>
      <c r="J300" s="85"/>
      <c r="K300" s="85"/>
      <c r="L300" s="85"/>
      <c r="M300" s="85"/>
      <c r="N300" s="85"/>
      <c r="O300" s="85"/>
      <c r="P300" s="15"/>
      <c r="Q300" s="45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</row>
    <row r="301" spans="1:45" s="8" customFormat="1" ht="11.25" customHeight="1" x14ac:dyDescent="0.2">
      <c r="A301" s="10"/>
      <c r="B301" s="10"/>
      <c r="C301" s="10"/>
      <c r="D301" s="10"/>
      <c r="E301" s="10"/>
      <c r="F301" s="10"/>
      <c r="G301" s="5"/>
      <c r="H301" s="6"/>
      <c r="I301" s="85"/>
      <c r="J301" s="85"/>
      <c r="K301" s="85"/>
      <c r="L301" s="85"/>
      <c r="M301" s="85"/>
      <c r="N301" s="85"/>
      <c r="O301" s="85"/>
      <c r="P301" s="15"/>
      <c r="Q301" s="45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</row>
    <row r="302" spans="1:45" s="8" customFormat="1" ht="11.25" customHeight="1" x14ac:dyDescent="0.2">
      <c r="A302" s="10"/>
      <c r="B302" s="10"/>
      <c r="C302" s="10"/>
      <c r="D302" s="10"/>
      <c r="E302" s="10"/>
      <c r="F302" s="10"/>
      <c r="G302" s="5"/>
      <c r="H302" s="6"/>
      <c r="I302" s="85"/>
      <c r="J302" s="85"/>
      <c r="K302" s="85"/>
      <c r="L302" s="85"/>
      <c r="M302" s="85"/>
      <c r="N302" s="85"/>
      <c r="O302" s="85"/>
      <c r="P302" s="15"/>
      <c r="Q302" s="45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</row>
    <row r="303" spans="1:45" s="8" customFormat="1" ht="11.25" customHeight="1" x14ac:dyDescent="0.2">
      <c r="A303" s="10"/>
      <c r="B303" s="10"/>
      <c r="C303" s="10"/>
      <c r="D303" s="10"/>
      <c r="E303" s="10"/>
      <c r="F303" s="10"/>
      <c r="G303" s="5"/>
      <c r="H303" s="6"/>
      <c r="I303" s="85"/>
      <c r="J303" s="85"/>
      <c r="K303" s="85"/>
      <c r="L303" s="85"/>
      <c r="M303" s="85"/>
      <c r="N303" s="85"/>
      <c r="O303" s="85"/>
      <c r="P303" s="15"/>
      <c r="Q303" s="45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</row>
    <row r="304" spans="1:45" s="8" customFormat="1" ht="11.25" customHeight="1" x14ac:dyDescent="0.2">
      <c r="A304" s="10"/>
      <c r="B304" s="10"/>
      <c r="C304" s="10"/>
      <c r="D304" s="10"/>
      <c r="E304" s="10"/>
      <c r="F304" s="10"/>
      <c r="G304" s="5"/>
      <c r="H304" s="6"/>
      <c r="I304" s="85"/>
      <c r="J304" s="85"/>
      <c r="K304" s="85"/>
      <c r="L304" s="85"/>
      <c r="M304" s="85"/>
      <c r="N304" s="85"/>
      <c r="O304" s="85"/>
      <c r="P304" s="15"/>
      <c r="Q304" s="45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</row>
    <row r="305" spans="1:45" s="8" customFormat="1" ht="11.25" customHeight="1" x14ac:dyDescent="0.2">
      <c r="A305" s="10"/>
      <c r="B305" s="10"/>
      <c r="C305" s="10"/>
      <c r="D305" s="10"/>
      <c r="E305" s="10"/>
      <c r="F305" s="10"/>
      <c r="G305" s="5"/>
      <c r="H305" s="6"/>
      <c r="I305" s="85"/>
      <c r="J305" s="85"/>
      <c r="K305" s="85"/>
      <c r="L305" s="85"/>
      <c r="M305" s="85"/>
      <c r="N305" s="85"/>
      <c r="O305" s="85"/>
      <c r="P305" s="15"/>
      <c r="Q305" s="45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</row>
    <row r="306" spans="1:45" s="8" customFormat="1" ht="11.25" customHeight="1" x14ac:dyDescent="0.2">
      <c r="A306" s="10"/>
      <c r="B306" s="10"/>
      <c r="C306" s="10"/>
      <c r="D306" s="10"/>
      <c r="E306" s="10"/>
      <c r="F306" s="10"/>
      <c r="G306" s="5"/>
      <c r="H306" s="6"/>
      <c r="I306" s="85"/>
      <c r="J306" s="85"/>
      <c r="K306" s="85"/>
      <c r="L306" s="85"/>
      <c r="M306" s="85"/>
      <c r="N306" s="85"/>
      <c r="O306" s="85"/>
      <c r="P306" s="15"/>
      <c r="Q306" s="45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</row>
    <row r="307" spans="1:45" s="8" customFormat="1" ht="11.25" customHeight="1" x14ac:dyDescent="0.2">
      <c r="A307" s="10"/>
      <c r="B307" s="10"/>
      <c r="C307" s="10"/>
      <c r="D307" s="10"/>
      <c r="E307" s="10"/>
      <c r="F307" s="10"/>
      <c r="G307" s="5"/>
      <c r="H307" s="6"/>
      <c r="I307" s="85"/>
      <c r="J307" s="85"/>
      <c r="K307" s="85"/>
      <c r="L307" s="85"/>
      <c r="M307" s="85"/>
      <c r="N307" s="85"/>
      <c r="O307" s="85"/>
      <c r="P307" s="15"/>
      <c r="Q307" s="45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</row>
    <row r="308" spans="1:45" s="8" customFormat="1" ht="11.25" customHeight="1" x14ac:dyDescent="0.2">
      <c r="A308" s="10"/>
      <c r="B308" s="10"/>
      <c r="C308" s="10"/>
      <c r="D308" s="10"/>
      <c r="E308" s="10"/>
      <c r="F308" s="10"/>
      <c r="G308" s="5"/>
      <c r="H308" s="6"/>
      <c r="I308" s="85"/>
      <c r="J308" s="85"/>
      <c r="K308" s="85"/>
      <c r="L308" s="85"/>
      <c r="M308" s="85"/>
      <c r="N308" s="85"/>
      <c r="O308" s="85"/>
      <c r="P308" s="15"/>
      <c r="Q308" s="45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</row>
    <row r="309" spans="1:45" s="8" customFormat="1" ht="11.25" customHeight="1" x14ac:dyDescent="0.2">
      <c r="A309" s="10"/>
      <c r="B309" s="10"/>
      <c r="C309" s="10"/>
      <c r="D309" s="10"/>
      <c r="E309" s="10"/>
      <c r="F309" s="10"/>
      <c r="G309" s="5"/>
      <c r="H309" s="6"/>
      <c r="I309" s="85"/>
      <c r="J309" s="85"/>
      <c r="K309" s="85"/>
      <c r="L309" s="85"/>
      <c r="M309" s="85"/>
      <c r="N309" s="85"/>
      <c r="O309" s="85"/>
      <c r="P309" s="15"/>
      <c r="Q309" s="45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</row>
    <row r="310" spans="1:45" s="8" customFormat="1" ht="11.25" customHeight="1" x14ac:dyDescent="0.2">
      <c r="A310" s="10"/>
      <c r="B310" s="10"/>
      <c r="C310" s="10"/>
      <c r="D310" s="10"/>
      <c r="E310" s="10"/>
      <c r="F310" s="10"/>
      <c r="G310" s="5"/>
      <c r="H310" s="6"/>
      <c r="I310" s="85"/>
      <c r="J310" s="85"/>
      <c r="K310" s="85"/>
      <c r="L310" s="85"/>
      <c r="M310" s="85"/>
      <c r="N310" s="85"/>
      <c r="O310" s="85"/>
      <c r="P310" s="15"/>
      <c r="Q310" s="45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</row>
    <row r="311" spans="1:45" s="8" customFormat="1" ht="11.25" customHeight="1" x14ac:dyDescent="0.2">
      <c r="A311" s="10"/>
      <c r="B311" s="10"/>
      <c r="C311" s="10"/>
      <c r="D311" s="10"/>
      <c r="E311" s="10"/>
      <c r="F311" s="10"/>
      <c r="G311" s="5"/>
      <c r="H311" s="6"/>
      <c r="I311" s="85"/>
      <c r="J311" s="85"/>
      <c r="K311" s="85"/>
      <c r="L311" s="85"/>
      <c r="M311" s="85"/>
      <c r="N311" s="85"/>
      <c r="O311" s="85"/>
      <c r="P311" s="15"/>
      <c r="Q311" s="45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</row>
    <row r="312" spans="1:45" s="8" customFormat="1" ht="11.25" customHeight="1" x14ac:dyDescent="0.2">
      <c r="A312" s="10"/>
      <c r="B312" s="10"/>
      <c r="C312" s="10"/>
      <c r="D312" s="10"/>
      <c r="E312" s="10"/>
      <c r="F312" s="10"/>
      <c r="G312" s="5"/>
      <c r="H312" s="6"/>
      <c r="I312" s="85"/>
      <c r="J312" s="85"/>
      <c r="K312" s="85"/>
      <c r="L312" s="85"/>
      <c r="M312" s="85"/>
      <c r="N312" s="85"/>
      <c r="O312" s="85"/>
      <c r="P312" s="15"/>
      <c r="Q312" s="45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</row>
    <row r="313" spans="1:45" s="8" customFormat="1" ht="11.25" customHeight="1" x14ac:dyDescent="0.2">
      <c r="A313" s="10"/>
      <c r="B313" s="10"/>
      <c r="C313" s="10"/>
      <c r="D313" s="10"/>
      <c r="E313" s="10"/>
      <c r="F313" s="10"/>
      <c r="G313" s="5"/>
      <c r="H313" s="6"/>
      <c r="I313" s="85"/>
      <c r="J313" s="85"/>
      <c r="K313" s="85"/>
      <c r="L313" s="85"/>
      <c r="M313" s="85"/>
      <c r="N313" s="85"/>
      <c r="O313" s="85"/>
      <c r="P313" s="15"/>
      <c r="Q313" s="45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</row>
    <row r="314" spans="1:45" s="8" customFormat="1" ht="11.25" customHeight="1" x14ac:dyDescent="0.2">
      <c r="A314" s="10"/>
      <c r="B314" s="10"/>
      <c r="C314" s="10"/>
      <c r="D314" s="10"/>
      <c r="E314" s="10"/>
      <c r="F314" s="10"/>
      <c r="G314" s="5"/>
      <c r="H314" s="6"/>
      <c r="I314" s="85"/>
      <c r="J314" s="85"/>
      <c r="K314" s="85"/>
      <c r="L314" s="85"/>
      <c r="M314" s="85"/>
      <c r="N314" s="85"/>
      <c r="O314" s="85"/>
      <c r="P314" s="15"/>
      <c r="Q314" s="45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</row>
    <row r="315" spans="1:45" s="8" customFormat="1" ht="11.25" customHeight="1" x14ac:dyDescent="0.2">
      <c r="A315" s="10"/>
      <c r="B315" s="10"/>
      <c r="C315" s="10"/>
      <c r="D315" s="10"/>
      <c r="E315" s="10"/>
      <c r="F315" s="10"/>
      <c r="G315" s="5"/>
      <c r="H315" s="6"/>
      <c r="I315" s="85"/>
      <c r="J315" s="85"/>
      <c r="K315" s="85"/>
      <c r="L315" s="85"/>
      <c r="M315" s="85"/>
      <c r="N315" s="85"/>
      <c r="O315" s="85"/>
      <c r="P315" s="15"/>
      <c r="Q315" s="45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</row>
    <row r="316" spans="1:45" s="8" customFormat="1" ht="11.25" customHeight="1" x14ac:dyDescent="0.2">
      <c r="A316" s="10"/>
      <c r="B316" s="10"/>
      <c r="C316" s="10"/>
      <c r="D316" s="10"/>
      <c r="E316" s="10"/>
      <c r="F316" s="10"/>
      <c r="G316" s="5"/>
      <c r="H316" s="6"/>
      <c r="I316" s="85"/>
      <c r="J316" s="85"/>
      <c r="K316" s="85"/>
      <c r="L316" s="85"/>
      <c r="M316" s="85"/>
      <c r="N316" s="85"/>
      <c r="O316" s="85"/>
      <c r="P316" s="15"/>
      <c r="Q316" s="45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</row>
    <row r="317" spans="1:45" s="8" customFormat="1" ht="11.25" customHeight="1" x14ac:dyDescent="0.2">
      <c r="A317" s="10"/>
      <c r="B317" s="10"/>
      <c r="C317" s="10"/>
      <c r="D317" s="10"/>
      <c r="E317" s="10"/>
      <c r="F317" s="10"/>
      <c r="G317" s="5"/>
      <c r="H317" s="6"/>
      <c r="I317" s="85"/>
      <c r="J317" s="85"/>
      <c r="K317" s="85"/>
      <c r="L317" s="85"/>
      <c r="M317" s="85"/>
      <c r="N317" s="85"/>
      <c r="O317" s="85"/>
      <c r="P317" s="15"/>
      <c r="Q317" s="45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</row>
    <row r="318" spans="1:45" s="8" customFormat="1" ht="11.25" customHeight="1" x14ac:dyDescent="0.2">
      <c r="A318" s="10"/>
      <c r="B318" s="10"/>
      <c r="C318" s="10"/>
      <c r="D318" s="10"/>
      <c r="E318" s="10"/>
      <c r="F318" s="10"/>
      <c r="G318" s="5"/>
      <c r="H318" s="6"/>
      <c r="I318" s="85"/>
      <c r="J318" s="85"/>
      <c r="K318" s="85"/>
      <c r="L318" s="85"/>
      <c r="M318" s="85"/>
      <c r="N318" s="85"/>
      <c r="O318" s="85"/>
      <c r="P318" s="15"/>
      <c r="Q318" s="45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</row>
    <row r="319" spans="1:45" s="8" customFormat="1" ht="11.25" customHeight="1" x14ac:dyDescent="0.2">
      <c r="A319" s="10"/>
      <c r="B319" s="10"/>
      <c r="C319" s="10"/>
      <c r="D319" s="10"/>
      <c r="E319" s="10"/>
      <c r="F319" s="10"/>
      <c r="G319" s="5"/>
      <c r="H319" s="6"/>
      <c r="I319" s="85"/>
      <c r="J319" s="85"/>
      <c r="K319" s="85"/>
      <c r="L319" s="85"/>
      <c r="M319" s="85"/>
      <c r="N319" s="85"/>
      <c r="O319" s="85"/>
      <c r="P319" s="15"/>
      <c r="Q319" s="45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</row>
    <row r="320" spans="1:45" s="8" customFormat="1" ht="11.25" customHeight="1" x14ac:dyDescent="0.2">
      <c r="A320" s="10"/>
      <c r="B320" s="10"/>
      <c r="C320" s="10"/>
      <c r="D320" s="10"/>
      <c r="E320" s="10"/>
      <c r="F320" s="10"/>
      <c r="G320" s="5"/>
      <c r="H320" s="6"/>
      <c r="I320" s="85"/>
      <c r="J320" s="85"/>
      <c r="K320" s="85"/>
      <c r="L320" s="85"/>
      <c r="M320" s="85"/>
      <c r="N320" s="85"/>
      <c r="O320" s="85"/>
      <c r="P320" s="15"/>
      <c r="Q320" s="45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</row>
    <row r="321" spans="1:45" s="8" customFormat="1" ht="11.25" customHeight="1" x14ac:dyDescent="0.2">
      <c r="A321" s="10"/>
      <c r="B321" s="10"/>
      <c r="C321" s="10"/>
      <c r="D321" s="10"/>
      <c r="E321" s="10"/>
      <c r="F321" s="10"/>
      <c r="G321" s="5"/>
      <c r="H321" s="6"/>
      <c r="I321" s="85"/>
      <c r="J321" s="85"/>
      <c r="K321" s="85"/>
      <c r="L321" s="85"/>
      <c r="M321" s="85"/>
      <c r="N321" s="85"/>
      <c r="O321" s="85"/>
      <c r="P321" s="15"/>
      <c r="Q321" s="45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</row>
    <row r="322" spans="1:45" s="8" customFormat="1" ht="11.25" customHeight="1" x14ac:dyDescent="0.2">
      <c r="A322" s="10"/>
      <c r="B322" s="10"/>
      <c r="C322" s="10"/>
      <c r="D322" s="10"/>
      <c r="E322" s="10"/>
      <c r="F322" s="10"/>
      <c r="G322" s="5"/>
      <c r="H322" s="6"/>
      <c r="I322" s="85"/>
      <c r="J322" s="85"/>
      <c r="K322" s="85"/>
      <c r="L322" s="85"/>
      <c r="M322" s="85"/>
      <c r="N322" s="85"/>
      <c r="O322" s="85"/>
      <c r="P322" s="15"/>
      <c r="Q322" s="45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</row>
    <row r="323" spans="1:45" s="8" customFormat="1" ht="11.25" customHeight="1" x14ac:dyDescent="0.2">
      <c r="A323" s="10"/>
      <c r="B323" s="10"/>
      <c r="C323" s="10"/>
      <c r="D323" s="10"/>
      <c r="E323" s="10"/>
      <c r="F323" s="10"/>
      <c r="G323" s="5"/>
      <c r="H323" s="6"/>
      <c r="I323" s="85"/>
      <c r="J323" s="85"/>
      <c r="K323" s="85"/>
      <c r="L323" s="85"/>
      <c r="M323" s="85"/>
      <c r="N323" s="85"/>
      <c r="O323" s="85"/>
      <c r="P323" s="15"/>
      <c r="Q323" s="45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</row>
    <row r="324" spans="1:45" s="8" customFormat="1" ht="11.25" customHeight="1" x14ac:dyDescent="0.2">
      <c r="A324" s="10"/>
      <c r="B324" s="10"/>
      <c r="C324" s="10"/>
      <c r="D324" s="10"/>
      <c r="E324" s="10"/>
      <c r="F324" s="10"/>
      <c r="G324" s="5"/>
      <c r="H324" s="6"/>
      <c r="I324" s="85"/>
      <c r="J324" s="85"/>
      <c r="K324" s="85"/>
      <c r="L324" s="85"/>
      <c r="M324" s="85"/>
      <c r="N324" s="85"/>
      <c r="O324" s="85"/>
      <c r="P324" s="15"/>
      <c r="Q324" s="45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</row>
    <row r="325" spans="1:45" s="8" customFormat="1" ht="11.25" customHeight="1" x14ac:dyDescent="0.2">
      <c r="A325" s="10"/>
      <c r="B325" s="10"/>
      <c r="C325" s="10"/>
      <c r="D325" s="10"/>
      <c r="E325" s="10"/>
      <c r="F325" s="10"/>
      <c r="G325" s="5"/>
      <c r="H325" s="6"/>
      <c r="I325" s="85"/>
      <c r="J325" s="85"/>
      <c r="K325" s="85"/>
      <c r="L325" s="85"/>
      <c r="M325" s="85"/>
      <c r="N325" s="85"/>
      <c r="O325" s="85"/>
      <c r="P325" s="15"/>
      <c r="Q325" s="45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</row>
    <row r="326" spans="1:45" s="8" customFormat="1" ht="11.25" customHeight="1" x14ac:dyDescent="0.2">
      <c r="A326" s="10"/>
      <c r="B326" s="10"/>
      <c r="C326" s="10"/>
      <c r="D326" s="10"/>
      <c r="E326" s="10"/>
      <c r="F326" s="10"/>
      <c r="G326" s="5"/>
      <c r="H326" s="6"/>
      <c r="I326" s="85"/>
      <c r="J326" s="85"/>
      <c r="K326" s="85"/>
      <c r="L326" s="85"/>
      <c r="M326" s="85"/>
      <c r="N326" s="85"/>
      <c r="O326" s="85"/>
      <c r="P326" s="15"/>
      <c r="Q326" s="45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</row>
    <row r="327" spans="1:45" ht="11.25" customHeight="1" x14ac:dyDescent="0.2">
      <c r="A327" s="10"/>
      <c r="B327" s="10"/>
      <c r="C327" s="10"/>
      <c r="D327" s="10"/>
      <c r="E327" s="10"/>
      <c r="F327" s="10"/>
      <c r="G327" s="5"/>
      <c r="H327" s="6"/>
    </row>
  </sheetData>
  <sheetProtection password="C558" sheet="1" objects="1" scenarios="1" selectLockedCells="1"/>
  <mergeCells count="47">
    <mergeCell ref="A1:P1"/>
    <mergeCell ref="A2:P2"/>
    <mergeCell ref="C130:D130"/>
    <mergeCell ref="B131:D131"/>
    <mergeCell ref="B103:D103"/>
    <mergeCell ref="A4:P4"/>
    <mergeCell ref="A5:P5"/>
    <mergeCell ref="A6:P6"/>
    <mergeCell ref="B102:D102"/>
    <mergeCell ref="B61:D61"/>
    <mergeCell ref="A3:P3"/>
    <mergeCell ref="B66:D66"/>
    <mergeCell ref="B79:D79"/>
    <mergeCell ref="B77:D77"/>
    <mergeCell ref="P7:P8"/>
    <mergeCell ref="A7:F8"/>
    <mergeCell ref="J7:K7"/>
    <mergeCell ref="L7:M7"/>
    <mergeCell ref="N7:O7"/>
    <mergeCell ref="C55:D55"/>
    <mergeCell ref="B141:D141"/>
    <mergeCell ref="B133:D133"/>
    <mergeCell ref="B149:D149"/>
    <mergeCell ref="B147:D147"/>
    <mergeCell ref="B145:D145"/>
    <mergeCell ref="B143:D143"/>
    <mergeCell ref="B140:D140"/>
    <mergeCell ref="B109:D109"/>
    <mergeCell ref="B87:D87"/>
    <mergeCell ref="C181:D181"/>
    <mergeCell ref="C150:D150"/>
    <mergeCell ref="C151:D151"/>
    <mergeCell ref="B154:D154"/>
    <mergeCell ref="B155:D155"/>
    <mergeCell ref="C166:D166"/>
    <mergeCell ref="C178:D178"/>
    <mergeCell ref="B142:D142"/>
    <mergeCell ref="C186:D186"/>
    <mergeCell ref="C20:D20"/>
    <mergeCell ref="G7:G8"/>
    <mergeCell ref="C58:D58"/>
    <mergeCell ref="C38:D38"/>
    <mergeCell ref="B56:D56"/>
    <mergeCell ref="A9:F9"/>
    <mergeCell ref="B22:D22"/>
    <mergeCell ref="C21:D21"/>
    <mergeCell ref="C107:D107"/>
  </mergeCells>
  <phoneticPr fontId="0" type="noConversion"/>
  <dataValidations count="5">
    <dataValidation type="decimal" operator="greaterThanOrEqual" allowBlank="1" showInputMessage="1" showErrorMessage="1" errorTitle="Invalid Entry" error="The value you entered is not valid." sqref="I194:O194 I159:K162 I157:K157 I191 I188 N159:O162 I111:I118 I56:O60 I36:O36 I121:O121 L135:O136 N133:O133 I127:O131 L141:M142 J144:M148 I137:O137 I135:I136 I132:I133 I124:K124 I80:I82 I77:K78 I22:O22 I62:O66 I74:O75 N77:O78 N191:O191 N80:O82 I84:O86 I154:M155 I94:O96 I68:O72 I102:O103 I107:O109 L111:O118 I125 J116:K118 N124:O125 I138:I148 J132:O132 J138:K141 I134:O134 I100:M100 N138:O148 I51:O54 N27:O27 N41:O42 I10:O17 I31:O31 I39:O39 I27:K27 I34:O34 I45:O49 N19:O21 I19:K21 L19:M20 I24:O24 I29:O29 I41:K42 N188:O188 N98:O100 I98:M98 N165:O166 I91:I92 I88:I89 J88:K92 N88:O92 L88:M89 L91:M92 I165:K166 I150:K152 N150:O155 L150:M151">
      <formula1>0</formula1>
    </dataValidation>
    <dataValidation allowBlank="1" showInputMessage="1" showErrorMessage="1" sqref="J163:O163 L190:M190 J188:M189 J191:M191 I158:O158 N164:P164 L157:O157 P56:P60 J164:K164 P98:P100 P120:P121 P68:P72 P94:P96 I104:O106 P84:P86 P80:P82 P77:P78 P74:P75 P157:P163 P62:P66 I55:P55 L143:M143 I67:P67 I23:P23 I61:P61 L77:M78 I76:P76 I83:P83 I87:P87 I93:P93 I97:P97 I101:P101 J111:K115 I73:P73 I110:O110 I120:O120 J80:M82 L124:M124 I123:O123 J135:K136 J125:M125 J142:K143 J133:M133 L138:M140 I126:O126 I149:O149 I79:P79 I163:I164 L159:M162 I156:P156 I40:P40 P10:P17 I50:P50 I43:O44 L41:M42 L27:M27 I38:P38 I35:P35 I33:P33 I30:P30 I26:P26 L21:M21 I18:P18 P51:P54 P19:P22 P36 P24 P29 P34 P31 P39 P41:P49 P27 P88:P92 P165:P166 P188:P194 I192:O193 I90 P102:P118 L90:M90 L164:M166 P123:P151 P153:P155 L152:M152"/>
    <dataValidation type="decimal" operator="greaterThanOrEqual" allowBlank="1" showInputMessage="1" showErrorMessage="1" sqref="A37:F37 H119:IV119 H122:IV122 I168:P176 A178:A186 H37:IV37 H32:IV32 H25:IV25 H28:IV28 A25:F25 A28:F28 A32:F32 A119:F119 A122:F122 B177:F186 I167:K167 Q176:IV186 N167:O167 H177:P187">
      <formula1>-99999999999999900</formula1>
    </dataValidation>
    <dataValidation operator="greaterThanOrEqual" allowBlank="1" showInputMessage="1" showErrorMessage="1" errorTitle="Invalid Entry" error="The value you entered is not valid." sqref="I99:M99 I153:M153"/>
    <dataValidation allowBlank="1" showInputMessage="1" showErrorMessage="1" sqref="P167 P152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BS
&U  &P of &N&C&"Arial,Bold"&8 MAXIMUM SAVINGS BANK, INC.  [ 03-070011 ]
 As of: June 30, 2019]]></oddHeader>
  </headerFooter>
  <rowBreaks count="1" manualBreakCount="1">
    <brk id="84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08"/>
  <sheetViews>
    <sheetView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customHeight="1" x14ac:dyDescent="0.2"/>
  <cols>
    <col min="1" max="1" customWidth="true" style="16" width="3.5703125" collapsed="false"/>
    <col min="2" max="3" customWidth="true" style="16" width="3.28515625" collapsed="false"/>
    <col min="4" max="4" customWidth="true" style="16" width="52.5703125" collapsed="false"/>
    <col min="5" max="5" customWidth="true" hidden="true" style="16" width="32.42578125" collapsed="false"/>
    <col min="6" max="6" customWidth="true" hidden="true" style="16" width="11.5703125" collapsed="false"/>
    <col min="7" max="7" bestFit="true" customWidth="true" style="17" width="18.85546875" collapsed="false"/>
    <col min="8" max="8" customWidth="true" hidden="true" style="17" width="18.28515625" collapsed="false"/>
    <col min="9" max="13" customWidth="true" style="85" width="20.7109375" collapsed="false"/>
    <col min="14" max="15" customWidth="true" hidden="true" style="85" width="20.7109375" collapsed="false"/>
    <col min="16" max="16" customWidth="true" style="85" width="20.7109375" collapsed="false"/>
    <col min="17" max="17" customWidth="true" style="55" width="24.42578125" collapsed="false"/>
    <col min="18" max="18" bestFit="true" customWidth="true" style="3" width="8.0" collapsed="false"/>
    <col min="19" max="16384" style="16" width="9.140625" collapsed="false"/>
  </cols>
  <sheetData>
    <row r="1" spans="1:18" ht="11.25" customHeight="1" x14ac:dyDescent="0.2">
      <c r="A1" s="187" t="s">
        <v>236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</row>
    <row r="2" spans="1:18" ht="11.25" hidden="1" customHeight="1" x14ac:dyDescent="0.2">
      <c r="A2" s="208"/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</row>
    <row r="3" spans="1:18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8" ht="11.25" hidden="1" customHeight="1" x14ac:dyDescent="0.2">
      <c r="A4" s="208"/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</row>
    <row r="5" spans="1:18" ht="11.25" hidden="1" customHeight="1" x14ac:dyDescent="0.2">
      <c r="A5" s="208"/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</row>
    <row r="6" spans="1:18" ht="11.25" hidden="1" customHeight="1" x14ac:dyDescent="0.2">
      <c r="A6" s="208"/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</row>
    <row r="7" spans="1:18" ht="11.25" customHeight="1" x14ac:dyDescent="0.2">
      <c r="A7" s="208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</row>
    <row r="8" spans="1:18" s="57" customFormat="1" ht="11.25" customHeight="1" x14ac:dyDescent="0.2">
      <c r="A8" s="184" t="s">
        <v>0</v>
      </c>
      <c r="B8" s="184"/>
      <c r="C8" s="184"/>
      <c r="D8" s="184"/>
      <c r="E8" s="19"/>
      <c r="F8" s="19"/>
      <c r="G8" s="168" t="s">
        <v>1</v>
      </c>
      <c r="H8" s="20"/>
      <c r="I8" s="84" t="s">
        <v>2</v>
      </c>
      <c r="J8" s="210" t="s">
        <v>3</v>
      </c>
      <c r="K8" s="210"/>
      <c r="L8" s="210" t="s">
        <v>4</v>
      </c>
      <c r="M8" s="210"/>
      <c r="N8" s="210" t="s">
        <v>231</v>
      </c>
      <c r="O8" s="210"/>
      <c r="P8" s="210" t="s">
        <v>5</v>
      </c>
      <c r="Q8" s="56"/>
      <c r="R8" s="4"/>
    </row>
    <row r="9" spans="1:18" s="57" customFormat="1" ht="11.25" customHeight="1" x14ac:dyDescent="0.2">
      <c r="A9" s="209"/>
      <c r="B9" s="209"/>
      <c r="C9" s="209"/>
      <c r="D9" s="209"/>
      <c r="E9" s="19"/>
      <c r="F9" s="19"/>
      <c r="G9" s="168"/>
      <c r="H9" s="20"/>
      <c r="I9" s="84" t="s">
        <v>6</v>
      </c>
      <c r="J9" s="84" t="s">
        <v>7</v>
      </c>
      <c r="K9" s="84" t="s">
        <v>8</v>
      </c>
      <c r="L9" s="84" t="s">
        <v>7</v>
      </c>
      <c r="M9" s="84" t="s">
        <v>8</v>
      </c>
      <c r="N9" s="84" t="s">
        <v>7</v>
      </c>
      <c r="O9" s="84" t="s">
        <v>8</v>
      </c>
      <c r="P9" s="210"/>
      <c r="Q9" s="56"/>
      <c r="R9" s="4"/>
    </row>
    <row r="10" spans="1:18" s="10" customFormat="1" ht="11.25" customHeight="1" x14ac:dyDescent="0.2">
      <c r="A10" s="70" t="s">
        <v>189</v>
      </c>
      <c r="B10" s="29"/>
      <c r="C10" s="29"/>
      <c r="D10" s="30"/>
      <c r="E10" s="27"/>
      <c r="F10" s="25"/>
      <c r="G10" s="21"/>
      <c r="H10" s="21"/>
      <c r="I10" s="94"/>
      <c r="J10" s="94"/>
      <c r="K10" s="94"/>
      <c r="L10" s="94"/>
      <c r="M10" s="94"/>
      <c r="N10" s="94"/>
      <c r="O10" s="94"/>
      <c r="P10" s="94"/>
      <c r="Q10" s="11"/>
      <c r="R10" s="8"/>
    </row>
    <row r="11" spans="1:18" s="10" customFormat="1" ht="11.25" customHeight="1" x14ac:dyDescent="0.2">
      <c r="A11" s="34" t="s">
        <v>10</v>
      </c>
      <c r="B11" s="35" t="s">
        <v>190</v>
      </c>
      <c r="C11" s="35"/>
      <c r="D11" s="27"/>
      <c r="E11" s="27"/>
      <c r="F11" s="25"/>
      <c r="G11" s="112" t="s">
        <v>429</v>
      </c>
      <c r="H11" s="21"/>
      <c r="I11" s="86" t="n">
        <v>1.406828899E7</v>
      </c>
      <c r="J11" s="86"/>
      <c r="K11" s="86"/>
      <c r="L11" s="86"/>
      <c r="M11" s="86"/>
      <c r="N11" s="86"/>
      <c r="O11" s="86"/>
      <c r="P11" s="87">
        <f>I11+K11+M11+O11</f>
        <v>0</v>
      </c>
      <c r="Q11" s="11"/>
      <c r="R11" s="8"/>
    </row>
    <row r="12" spans="1:18" s="10" customFormat="1" ht="11.25" customHeight="1" x14ac:dyDescent="0.2">
      <c r="A12" s="31" t="s">
        <v>12</v>
      </c>
      <c r="B12" s="10" t="s">
        <v>191</v>
      </c>
      <c r="D12" s="32"/>
      <c r="E12" s="27"/>
      <c r="F12" s="25"/>
      <c r="G12" s="112" t="s">
        <v>430</v>
      </c>
      <c r="H12" s="21"/>
      <c r="I12" s="86" t="n">
        <v>1821969.18</v>
      </c>
      <c r="J12" s="86"/>
      <c r="K12" s="86"/>
      <c r="L12" s="86"/>
      <c r="M12" s="86"/>
      <c r="N12" s="86"/>
      <c r="O12" s="86"/>
      <c r="P12" s="87">
        <f t="shared" ref="P12:P65" si="0">I12+K12+M12+O12</f>
        <v>0</v>
      </c>
      <c r="Q12" s="11"/>
      <c r="R12" s="8"/>
    </row>
    <row r="13" spans="1:18" s="10" customFormat="1" ht="11.25" customHeight="1" x14ac:dyDescent="0.2">
      <c r="A13" s="34" t="s">
        <v>14</v>
      </c>
      <c r="B13" s="169" t="s">
        <v>192</v>
      </c>
      <c r="C13" s="169"/>
      <c r="D13" s="170"/>
      <c r="E13" s="28"/>
      <c r="F13" s="26"/>
      <c r="G13" s="112" t="s">
        <v>431</v>
      </c>
      <c r="H13" s="21"/>
      <c r="I13" s="86" t="n">
        <v>0.0</v>
      </c>
      <c r="J13" s="86"/>
      <c r="K13" s="86"/>
      <c r="L13" s="86"/>
      <c r="M13" s="86"/>
      <c r="N13" s="86"/>
      <c r="O13" s="86"/>
      <c r="P13" s="87">
        <f t="shared" si="0"/>
        <v>0</v>
      </c>
      <c r="Q13" s="11"/>
      <c r="R13" s="8"/>
    </row>
    <row r="14" spans="1:18" s="10" customFormat="1" ht="11.25" customHeight="1" x14ac:dyDescent="0.2">
      <c r="A14" s="33" t="s">
        <v>193</v>
      </c>
      <c r="D14" s="32"/>
      <c r="E14" s="27"/>
      <c r="F14" s="25"/>
      <c r="G14" s="112" t="s">
        <v>432</v>
      </c>
      <c r="H14" s="21"/>
      <c r="I14" s="87">
        <f t="shared" ref="I14:O14" si="1">I11 - I12 - I13</f>
        <v>0</v>
      </c>
      <c r="J14" s="87">
        <f t="shared" si="1"/>
        <v>0</v>
      </c>
      <c r="K14" s="87">
        <f t="shared" si="1"/>
        <v>0</v>
      </c>
      <c r="L14" s="87">
        <f t="shared" si="1"/>
        <v>0</v>
      </c>
      <c r="M14" s="87">
        <f t="shared" si="1"/>
        <v>0</v>
      </c>
      <c r="N14" s="87">
        <f t="shared" si="1"/>
        <v>0</v>
      </c>
      <c r="O14" s="87">
        <f t="shared" si="1"/>
        <v>0</v>
      </c>
      <c r="P14" s="87">
        <f t="shared" si="0"/>
        <v>0</v>
      </c>
      <c r="Q14" s="11"/>
      <c r="R14" s="8"/>
    </row>
    <row r="15" spans="1:18" s="10" customFormat="1" ht="11.25" customHeight="1" x14ac:dyDescent="0.2">
      <c r="A15" s="37" t="s">
        <v>194</v>
      </c>
      <c r="B15" s="35"/>
      <c r="C15" s="35"/>
      <c r="D15" s="27"/>
      <c r="E15" s="27"/>
      <c r="F15" s="25"/>
      <c r="G15" s="112" t="s">
        <v>433</v>
      </c>
      <c r="H15" s="21"/>
      <c r="I15" s="87">
        <f>I16 + I17 + I26 + I27 + I28 + I29 + I30 + I31 + I36</f>
        <v>0</v>
      </c>
      <c r="J15" s="87">
        <f t="shared" ref="J15:O15" si="2">J16 + J17 + J26 + J27 + J28 + J29 + J30 + J31 + J36</f>
        <v>0</v>
      </c>
      <c r="K15" s="87">
        <f t="shared" si="2"/>
        <v>0</v>
      </c>
      <c r="L15" s="87">
        <f t="shared" si="2"/>
        <v>0</v>
      </c>
      <c r="M15" s="87">
        <f t="shared" si="2"/>
        <v>0</v>
      </c>
      <c r="N15" s="87">
        <f t="shared" si="2"/>
        <v>0</v>
      </c>
      <c r="O15" s="87">
        <f t="shared" si="2"/>
        <v>0</v>
      </c>
      <c r="P15" s="87">
        <f t="shared" si="0"/>
        <v>0</v>
      </c>
      <c r="Q15" s="11"/>
      <c r="R15" s="8"/>
    </row>
    <row r="16" spans="1:18" s="10" customFormat="1" ht="11.25" customHeight="1" x14ac:dyDescent="0.2">
      <c r="A16" s="31" t="s">
        <v>16</v>
      </c>
      <c r="B16" s="10" t="s">
        <v>195</v>
      </c>
      <c r="D16" s="32"/>
      <c r="E16" s="27"/>
      <c r="F16" s="25"/>
      <c r="G16" s="112" t="s">
        <v>434</v>
      </c>
      <c r="H16" s="21"/>
      <c r="I16" s="86" t="n">
        <v>0.0</v>
      </c>
      <c r="J16" s="86"/>
      <c r="K16" s="86"/>
      <c r="L16" s="90"/>
      <c r="M16" s="90"/>
      <c r="N16" s="86"/>
      <c r="O16" s="86"/>
      <c r="P16" s="87">
        <f t="shared" si="0"/>
        <v>0</v>
      </c>
      <c r="Q16" s="11"/>
      <c r="R16" s="8"/>
    </row>
    <row r="17" spans="1:18" s="10" customFormat="1" ht="11.25" customHeight="1" x14ac:dyDescent="0.2">
      <c r="A17" s="34" t="s">
        <v>18</v>
      </c>
      <c r="B17" s="35" t="s">
        <v>196</v>
      </c>
      <c r="C17" s="35"/>
      <c r="D17" s="27"/>
      <c r="E17" s="27"/>
      <c r="F17" s="25"/>
      <c r="G17" s="112" t="s">
        <v>435</v>
      </c>
      <c r="H17" s="21"/>
      <c r="I17" s="87">
        <f t="shared" ref="I17:N17" si="3">I18 + I19 + I20 + I21 + I23 + I24 + I25 + I22</f>
        <v>0</v>
      </c>
      <c r="J17" s="87">
        <f t="shared" si="3"/>
        <v>0</v>
      </c>
      <c r="K17" s="87">
        <f t="shared" si="3"/>
        <v>0</v>
      </c>
      <c r="L17" s="87">
        <f t="shared" si="3"/>
        <v>0</v>
      </c>
      <c r="M17" s="87">
        <f t="shared" si="3"/>
        <v>0</v>
      </c>
      <c r="N17" s="87">
        <f t="shared" si="3"/>
        <v>0</v>
      </c>
      <c r="O17" s="87">
        <f>O18 + O19 + O20 + O21 + O23 + O24 + O25 + O22</f>
        <v>0</v>
      </c>
      <c r="P17" s="87">
        <f t="shared" si="0"/>
        <v>0</v>
      </c>
      <c r="Q17" s="11"/>
      <c r="R17" s="8"/>
    </row>
    <row r="18" spans="1:18" s="10" customFormat="1" ht="11.25" customHeight="1" x14ac:dyDescent="0.2">
      <c r="A18" s="31"/>
      <c r="B18" s="10" t="s">
        <v>20</v>
      </c>
      <c r="C18" s="10" t="s">
        <v>197</v>
      </c>
      <c r="D18" s="32"/>
      <c r="E18" s="27"/>
      <c r="F18" s="25"/>
      <c r="G18" s="112" t="s">
        <v>436</v>
      </c>
      <c r="H18" s="21"/>
      <c r="I18" s="86" t="n">
        <v>0.0</v>
      </c>
      <c r="J18" s="86"/>
      <c r="K18" s="86"/>
      <c r="L18" s="86"/>
      <c r="M18" s="86"/>
      <c r="N18" s="86"/>
      <c r="O18" s="86"/>
      <c r="P18" s="87">
        <f t="shared" si="0"/>
        <v>0</v>
      </c>
      <c r="Q18" s="11"/>
      <c r="R18" s="8"/>
    </row>
    <row r="19" spans="1:18" s="10" customFormat="1" ht="11.25" customHeight="1" x14ac:dyDescent="0.2">
      <c r="A19" s="34"/>
      <c r="B19" s="35" t="s">
        <v>22</v>
      </c>
      <c r="C19" s="35" t="s">
        <v>198</v>
      </c>
      <c r="D19" s="27"/>
      <c r="E19" s="27"/>
      <c r="F19" s="25"/>
      <c r="G19" s="112" t="s">
        <v>437</v>
      </c>
      <c r="H19" s="21"/>
      <c r="I19" s="86" t="n">
        <v>1296436.7</v>
      </c>
      <c r="J19" s="86"/>
      <c r="K19" s="86"/>
      <c r="L19" s="86"/>
      <c r="M19" s="86"/>
      <c r="N19" s="86"/>
      <c r="O19" s="86"/>
      <c r="P19" s="87">
        <f t="shared" si="0"/>
        <v>0</v>
      </c>
      <c r="Q19" s="11"/>
      <c r="R19" s="8"/>
    </row>
    <row r="20" spans="1:18" s="10" customFormat="1" ht="11.25" customHeight="1" x14ac:dyDescent="0.2">
      <c r="A20" s="31"/>
      <c r="B20" s="10" t="s">
        <v>24</v>
      </c>
      <c r="C20" s="10" t="s">
        <v>199</v>
      </c>
      <c r="D20" s="32"/>
      <c r="E20" s="27"/>
      <c r="F20" s="25"/>
      <c r="G20" s="112" t="s">
        <v>438</v>
      </c>
      <c r="H20" s="21"/>
      <c r="I20" s="86" t="n">
        <v>0.0</v>
      </c>
      <c r="J20" s="86"/>
      <c r="K20" s="86"/>
      <c r="L20" s="86"/>
      <c r="M20" s="86"/>
      <c r="N20" s="86"/>
      <c r="O20" s="86"/>
      <c r="P20" s="87">
        <f t="shared" si="0"/>
        <v>0</v>
      </c>
      <c r="Q20" s="11"/>
      <c r="R20" s="8"/>
    </row>
    <row r="21" spans="1:18" s="10" customFormat="1" ht="11.25" customHeight="1" x14ac:dyDescent="0.2">
      <c r="A21" s="34"/>
      <c r="B21" s="35" t="s">
        <v>66</v>
      </c>
      <c r="C21" s="35" t="s">
        <v>200</v>
      </c>
      <c r="D21" s="27"/>
      <c r="E21" s="27"/>
      <c r="F21" s="25"/>
      <c r="G21" s="112" t="s">
        <v>439</v>
      </c>
      <c r="H21" s="21"/>
      <c r="I21" s="86" t="n">
        <v>0.0</v>
      </c>
      <c r="J21" s="86"/>
      <c r="K21" s="86"/>
      <c r="L21" s="86"/>
      <c r="M21" s="86"/>
      <c r="N21" s="86"/>
      <c r="O21" s="86"/>
      <c r="P21" s="87">
        <f t="shared" si="0"/>
        <v>0</v>
      </c>
      <c r="Q21" s="11"/>
      <c r="R21" s="8"/>
    </row>
    <row r="22" spans="1:18" s="10" customFormat="1" ht="11.25" customHeight="1" x14ac:dyDescent="0.2">
      <c r="A22" s="34"/>
      <c r="B22" s="160" t="s">
        <v>116</v>
      </c>
      <c r="C22" s="35" t="s">
        <v>570</v>
      </c>
      <c r="D22" s="27"/>
      <c r="E22" s="27"/>
      <c r="F22" s="25"/>
      <c r="G22" s="112" t="s">
        <v>571</v>
      </c>
      <c r="H22" s="21"/>
      <c r="I22" s="86" t="n">
        <v>0.0</v>
      </c>
      <c r="J22" s="86"/>
      <c r="K22" s="86"/>
      <c r="L22" s="90"/>
      <c r="M22" s="90"/>
      <c r="N22" s="86"/>
      <c r="O22" s="86"/>
      <c r="P22" s="87">
        <f t="shared" si="0"/>
        <v>0</v>
      </c>
      <c r="Q22" s="11"/>
      <c r="R22" s="8"/>
    </row>
    <row r="23" spans="1:18" s="10" customFormat="1" ht="11.25" customHeight="1" x14ac:dyDescent="0.2">
      <c r="A23" s="34"/>
      <c r="B23" s="160" t="s">
        <v>202</v>
      </c>
      <c r="C23" s="35" t="s">
        <v>201</v>
      </c>
      <c r="D23" s="27"/>
      <c r="E23" s="27"/>
      <c r="F23" s="25"/>
      <c r="G23" s="112" t="s">
        <v>440</v>
      </c>
      <c r="H23" s="21"/>
      <c r="I23" s="86" t="n">
        <v>0.0</v>
      </c>
      <c r="J23" s="90"/>
      <c r="K23" s="90"/>
      <c r="L23" s="90"/>
      <c r="M23" s="90"/>
      <c r="N23" s="86"/>
      <c r="O23" s="86"/>
      <c r="P23" s="87">
        <f t="shared" si="0"/>
        <v>0</v>
      </c>
      <c r="Q23" s="11"/>
      <c r="R23" s="8"/>
    </row>
    <row r="24" spans="1:18" s="10" customFormat="1" ht="11.25" customHeight="1" x14ac:dyDescent="0.2">
      <c r="A24" s="34"/>
      <c r="B24" s="72" t="s">
        <v>204</v>
      </c>
      <c r="C24" s="72" t="s">
        <v>203</v>
      </c>
      <c r="D24" s="69"/>
      <c r="E24" s="69"/>
      <c r="F24" s="66"/>
      <c r="G24" s="112" t="s">
        <v>441</v>
      </c>
      <c r="H24" s="21"/>
      <c r="I24" s="86" t="n">
        <v>0.0</v>
      </c>
      <c r="J24" s="86"/>
      <c r="K24" s="86"/>
      <c r="L24" s="86"/>
      <c r="M24" s="86"/>
      <c r="N24" s="86"/>
      <c r="O24" s="86"/>
      <c r="P24" s="87">
        <f t="shared" si="0"/>
        <v>0</v>
      </c>
      <c r="Q24" s="11"/>
      <c r="R24" s="8"/>
    </row>
    <row r="25" spans="1:18" s="10" customFormat="1" ht="11.25" customHeight="1" x14ac:dyDescent="0.2">
      <c r="A25" s="31"/>
      <c r="B25" s="16" t="s">
        <v>572</v>
      </c>
      <c r="C25" s="16" t="s">
        <v>153</v>
      </c>
      <c r="D25" s="71"/>
      <c r="E25" s="69"/>
      <c r="F25" s="66"/>
      <c r="G25" s="112" t="s">
        <v>442</v>
      </c>
      <c r="H25" s="21"/>
      <c r="I25" s="86" t="n">
        <v>2.125364368E7</v>
      </c>
      <c r="J25" s="86"/>
      <c r="K25" s="86"/>
      <c r="L25" s="86"/>
      <c r="M25" s="86"/>
      <c r="N25" s="86"/>
      <c r="O25" s="86"/>
      <c r="P25" s="87">
        <f t="shared" si="0"/>
        <v>0</v>
      </c>
      <c r="Q25" s="11"/>
      <c r="R25" s="8"/>
    </row>
    <row r="26" spans="1:18" s="104" customFormat="1" ht="11.25" customHeight="1" x14ac:dyDescent="0.2">
      <c r="A26" s="99" t="s">
        <v>26</v>
      </c>
      <c r="B26" s="206" t="s">
        <v>205</v>
      </c>
      <c r="C26" s="206"/>
      <c r="D26" s="207"/>
      <c r="E26" s="100"/>
      <c r="F26" s="101"/>
      <c r="G26" s="112" t="s">
        <v>443</v>
      </c>
      <c r="H26" s="102"/>
      <c r="I26" s="86" t="n">
        <v>0.0</v>
      </c>
      <c r="J26" s="86"/>
      <c r="K26" s="86"/>
      <c r="L26" s="86"/>
      <c r="M26" s="86"/>
      <c r="N26" s="86"/>
      <c r="O26" s="86"/>
      <c r="P26" s="87">
        <f t="shared" si="0"/>
        <v>0</v>
      </c>
      <c r="Q26" s="103"/>
      <c r="R26" s="103"/>
    </row>
    <row r="27" spans="1:18" s="45" customFormat="1" ht="24" customHeight="1" x14ac:dyDescent="0.2">
      <c r="A27" s="48" t="s">
        <v>28</v>
      </c>
      <c r="B27" s="195" t="s">
        <v>206</v>
      </c>
      <c r="C27" s="195"/>
      <c r="D27" s="196"/>
      <c r="E27" s="51"/>
      <c r="F27" s="52"/>
      <c r="G27" s="112" t="s">
        <v>444</v>
      </c>
      <c r="H27" s="43"/>
      <c r="I27" s="92" t="n">
        <v>0.0</v>
      </c>
      <c r="J27" s="111"/>
      <c r="K27" s="111"/>
      <c r="L27" s="111"/>
      <c r="M27" s="111"/>
      <c r="N27" s="86"/>
      <c r="O27" s="86"/>
      <c r="P27" s="105">
        <f t="shared" si="0"/>
        <v>0</v>
      </c>
      <c r="Q27" s="7"/>
      <c r="R27" s="7"/>
    </row>
    <row r="28" spans="1:18" s="45" customFormat="1" ht="11.25" customHeight="1" x14ac:dyDescent="0.2">
      <c r="A28" s="40" t="s">
        <v>39</v>
      </c>
      <c r="B28" s="41" t="s">
        <v>207</v>
      </c>
      <c r="C28" s="41"/>
      <c r="D28" s="46"/>
      <c r="E28" s="46"/>
      <c r="F28" s="47"/>
      <c r="G28" s="112" t="s">
        <v>445</v>
      </c>
      <c r="H28" s="42"/>
      <c r="I28" s="86" t="n">
        <v>5.530117146E7</v>
      </c>
      <c r="J28" s="86"/>
      <c r="K28" s="86"/>
      <c r="L28" s="86"/>
      <c r="M28" s="86"/>
      <c r="N28" s="86"/>
      <c r="O28" s="86"/>
      <c r="P28" s="87">
        <f t="shared" si="0"/>
        <v>0</v>
      </c>
      <c r="Q28" s="7"/>
      <c r="R28" s="7"/>
    </row>
    <row r="29" spans="1:18" s="45" customFormat="1" ht="24" customHeight="1" x14ac:dyDescent="0.2">
      <c r="A29" s="48" t="s">
        <v>44</v>
      </c>
      <c r="B29" s="203" t="s">
        <v>208</v>
      </c>
      <c r="C29" s="203"/>
      <c r="D29" s="204"/>
      <c r="E29" s="65"/>
      <c r="F29" s="73"/>
      <c r="G29" s="112" t="s">
        <v>446</v>
      </c>
      <c r="H29" s="43"/>
      <c r="I29" s="92" t="n">
        <v>0.0</v>
      </c>
      <c r="J29" s="92"/>
      <c r="K29" s="92"/>
      <c r="L29" s="92"/>
      <c r="M29" s="92"/>
      <c r="N29" s="86"/>
      <c r="O29" s="86"/>
      <c r="P29" s="105">
        <f t="shared" si="0"/>
        <v>0</v>
      </c>
      <c r="Q29" s="7"/>
      <c r="R29" s="7"/>
    </row>
    <row r="30" spans="1:18" s="45" customFormat="1" ht="11.25" customHeight="1" x14ac:dyDescent="0.2">
      <c r="A30" s="40" t="s">
        <v>47</v>
      </c>
      <c r="B30" s="164" t="s">
        <v>209</v>
      </c>
      <c r="C30" s="164"/>
      <c r="D30" s="165"/>
      <c r="E30" s="51"/>
      <c r="F30" s="52"/>
      <c r="G30" s="112" t="s">
        <v>447</v>
      </c>
      <c r="H30" s="42"/>
      <c r="I30" s="86" t="n">
        <v>0.0</v>
      </c>
      <c r="J30" s="86"/>
      <c r="K30" s="86"/>
      <c r="L30" s="86"/>
      <c r="M30" s="86"/>
      <c r="N30" s="86"/>
      <c r="O30" s="86"/>
      <c r="P30" s="87">
        <f t="shared" si="0"/>
        <v>0</v>
      </c>
      <c r="Q30" s="7"/>
      <c r="R30" s="7"/>
    </row>
    <row r="31" spans="1:18" s="45" customFormat="1" ht="11.25" customHeight="1" x14ac:dyDescent="0.2">
      <c r="A31" s="48" t="s">
        <v>50</v>
      </c>
      <c r="B31" s="203" t="s">
        <v>210</v>
      </c>
      <c r="C31" s="203"/>
      <c r="D31" s="204"/>
      <c r="E31" s="65"/>
      <c r="F31" s="73"/>
      <c r="G31" s="112" t="s">
        <v>448</v>
      </c>
      <c r="H31" s="42"/>
      <c r="I31" s="87">
        <f t="shared" ref="I31:O31" si="4">I32 + I33 + I34 + I35</f>
        <v>0</v>
      </c>
      <c r="J31" s="87">
        <f t="shared" si="4"/>
        <v>0</v>
      </c>
      <c r="K31" s="87">
        <f t="shared" si="4"/>
        <v>0</v>
      </c>
      <c r="L31" s="87">
        <f t="shared" si="4"/>
        <v>0</v>
      </c>
      <c r="M31" s="87">
        <f t="shared" si="4"/>
        <v>0</v>
      </c>
      <c r="N31" s="87">
        <f t="shared" si="4"/>
        <v>0</v>
      </c>
      <c r="O31" s="87">
        <f t="shared" si="4"/>
        <v>0</v>
      </c>
      <c r="P31" s="87">
        <f t="shared" si="0"/>
        <v>0</v>
      </c>
      <c r="Q31" s="7"/>
      <c r="R31" s="7"/>
    </row>
    <row r="32" spans="1:18" s="45" customFormat="1" ht="11.25" customHeight="1" x14ac:dyDescent="0.2">
      <c r="A32" s="40"/>
      <c r="B32" s="50" t="s">
        <v>20</v>
      </c>
      <c r="C32" s="201" t="s">
        <v>82</v>
      </c>
      <c r="D32" s="202"/>
      <c r="E32" s="65"/>
      <c r="F32" s="73"/>
      <c r="G32" s="112" t="s">
        <v>449</v>
      </c>
      <c r="H32" s="42"/>
      <c r="I32" s="86" t="n">
        <v>0.0</v>
      </c>
      <c r="J32" s="95"/>
      <c r="K32" s="95"/>
      <c r="L32" s="90"/>
      <c r="M32" s="90"/>
      <c r="N32" s="86"/>
      <c r="O32" s="86"/>
      <c r="P32" s="87">
        <f t="shared" si="0"/>
        <v>0</v>
      </c>
      <c r="Q32" s="7"/>
      <c r="R32" s="7"/>
    </row>
    <row r="33" spans="1:18" s="45" customFormat="1" ht="11.25" customHeight="1" x14ac:dyDescent="0.2">
      <c r="A33" s="48"/>
      <c r="B33" s="53" t="s">
        <v>22</v>
      </c>
      <c r="C33" s="203" t="s">
        <v>211</v>
      </c>
      <c r="D33" s="204"/>
      <c r="E33" s="65"/>
      <c r="F33" s="73"/>
      <c r="G33" s="112" t="s">
        <v>450</v>
      </c>
      <c r="H33" s="42"/>
      <c r="I33" s="86" t="n">
        <v>58656.23</v>
      </c>
      <c r="J33" s="95"/>
      <c r="K33" s="95"/>
      <c r="L33" s="86"/>
      <c r="M33" s="86"/>
      <c r="N33" s="86"/>
      <c r="O33" s="86"/>
      <c r="P33" s="87">
        <f t="shared" si="0"/>
        <v>0</v>
      </c>
      <c r="Q33" s="7"/>
      <c r="R33" s="7"/>
    </row>
    <row r="34" spans="1:18" s="45" customFormat="1" ht="11.25" customHeight="1" x14ac:dyDescent="0.2">
      <c r="A34" s="40"/>
      <c r="B34" s="50" t="s">
        <v>24</v>
      </c>
      <c r="C34" s="164" t="s">
        <v>92</v>
      </c>
      <c r="D34" s="165"/>
      <c r="E34" s="51"/>
      <c r="F34" s="52"/>
      <c r="G34" s="112" t="s">
        <v>451</v>
      </c>
      <c r="H34" s="42"/>
      <c r="I34" s="86" t="n">
        <v>0.0</v>
      </c>
      <c r="J34" s="86"/>
      <c r="K34" s="86"/>
      <c r="L34" s="86"/>
      <c r="M34" s="86"/>
      <c r="N34" s="86"/>
      <c r="O34" s="86"/>
      <c r="P34" s="87">
        <f t="shared" si="0"/>
        <v>0</v>
      </c>
      <c r="Q34" s="7"/>
      <c r="R34" s="7"/>
    </row>
    <row r="35" spans="1:18" s="45" customFormat="1" ht="11.25" customHeight="1" x14ac:dyDescent="0.2">
      <c r="A35" s="48"/>
      <c r="B35" s="53" t="s">
        <v>66</v>
      </c>
      <c r="C35" s="195" t="s">
        <v>212</v>
      </c>
      <c r="D35" s="196"/>
      <c r="E35" s="51"/>
      <c r="F35" s="52"/>
      <c r="G35" s="112" t="s">
        <v>452</v>
      </c>
      <c r="H35" s="42"/>
      <c r="I35" s="86" t="n">
        <v>0.0</v>
      </c>
      <c r="J35" s="86"/>
      <c r="K35" s="86"/>
      <c r="L35" s="86"/>
      <c r="M35" s="86"/>
      <c r="N35" s="86"/>
      <c r="O35" s="86"/>
      <c r="P35" s="87">
        <f t="shared" si="0"/>
        <v>0</v>
      </c>
      <c r="Q35" s="7"/>
      <c r="R35" s="7"/>
    </row>
    <row r="36" spans="1:18" s="10" customFormat="1" ht="11.25" customHeight="1" x14ac:dyDescent="0.2">
      <c r="A36" s="34" t="s">
        <v>59</v>
      </c>
      <c r="B36" s="35" t="s">
        <v>213</v>
      </c>
      <c r="C36" s="35"/>
      <c r="D36" s="27"/>
      <c r="E36" s="27"/>
      <c r="F36" s="25"/>
      <c r="G36" s="112" t="s">
        <v>453</v>
      </c>
      <c r="H36" s="21"/>
      <c r="I36" s="86" t="n">
        <v>460294.39</v>
      </c>
      <c r="J36" s="86"/>
      <c r="K36" s="86"/>
      <c r="L36" s="86"/>
      <c r="M36" s="86"/>
      <c r="N36" s="86"/>
      <c r="O36" s="86"/>
      <c r="P36" s="87">
        <f t="shared" si="0"/>
        <v>0</v>
      </c>
      <c r="Q36" s="11"/>
      <c r="R36" s="8"/>
    </row>
    <row r="37" spans="1:18" s="10" customFormat="1" ht="11.25" customHeight="1" x14ac:dyDescent="0.2">
      <c r="A37" s="33" t="s">
        <v>214</v>
      </c>
      <c r="D37" s="32"/>
      <c r="E37" s="27"/>
      <c r="F37" s="25"/>
      <c r="G37" s="112" t="s">
        <v>454</v>
      </c>
      <c r="H37" s="21"/>
      <c r="I37" s="87">
        <f>I38 + I39 + I40 + I41 + I42 + I43 + I51</f>
        <v>0</v>
      </c>
      <c r="J37" s="87">
        <f t="shared" ref="J37:O37" si="5">J38 + J39 + J40 + J41 + J42 + J43 + J51</f>
        <v>0</v>
      </c>
      <c r="K37" s="87">
        <f t="shared" si="5"/>
        <v>0</v>
      </c>
      <c r="L37" s="87">
        <f t="shared" si="5"/>
        <v>0</v>
      </c>
      <c r="M37" s="87">
        <f t="shared" si="5"/>
        <v>0</v>
      </c>
      <c r="N37" s="87">
        <f t="shared" si="5"/>
        <v>0</v>
      </c>
      <c r="O37" s="87">
        <f t="shared" si="5"/>
        <v>0</v>
      </c>
      <c r="P37" s="87">
        <f t="shared" si="0"/>
        <v>0</v>
      </c>
      <c r="Q37" s="11"/>
      <c r="R37" s="8"/>
    </row>
    <row r="38" spans="1:18" s="10" customFormat="1" ht="11.25" customHeight="1" x14ac:dyDescent="0.2">
      <c r="A38" s="34" t="s">
        <v>61</v>
      </c>
      <c r="B38" s="35" t="s">
        <v>215</v>
      </c>
      <c r="C38" s="35"/>
      <c r="D38" s="27"/>
      <c r="E38" s="27"/>
      <c r="F38" s="25"/>
      <c r="G38" s="112" t="s">
        <v>455</v>
      </c>
      <c r="H38" s="21"/>
      <c r="I38" s="86" t="n">
        <v>1.961812985E7</v>
      </c>
      <c r="J38" s="86"/>
      <c r="K38" s="86"/>
      <c r="L38" s="86"/>
      <c r="M38" s="86"/>
      <c r="N38" s="86"/>
      <c r="O38" s="86"/>
      <c r="P38" s="87">
        <f t="shared" si="0"/>
        <v>0</v>
      </c>
      <c r="Q38" s="11"/>
      <c r="R38" s="8"/>
    </row>
    <row r="39" spans="1:18" s="10" customFormat="1" ht="11.25" customHeight="1" x14ac:dyDescent="0.2">
      <c r="A39" s="31" t="s">
        <v>68</v>
      </c>
      <c r="B39" s="35" t="s">
        <v>216</v>
      </c>
      <c r="C39" s="35"/>
      <c r="D39" s="27"/>
      <c r="E39" s="27"/>
      <c r="F39" s="25"/>
      <c r="G39" s="112" t="s">
        <v>456</v>
      </c>
      <c r="H39" s="21"/>
      <c r="I39" s="86" t="n">
        <v>3459763.7</v>
      </c>
      <c r="J39" s="86"/>
      <c r="K39" s="86"/>
      <c r="L39" s="86"/>
      <c r="M39" s="86"/>
      <c r="N39" s="86"/>
      <c r="O39" s="86"/>
      <c r="P39" s="87">
        <f t="shared" si="0"/>
        <v>0</v>
      </c>
      <c r="Q39" s="11"/>
      <c r="R39" s="8"/>
    </row>
    <row r="40" spans="1:18" s="10" customFormat="1" ht="11.25" customHeight="1" x14ac:dyDescent="0.2">
      <c r="A40" s="34" t="s">
        <v>70</v>
      </c>
      <c r="B40" s="124" t="s">
        <v>248</v>
      </c>
      <c r="D40" s="32"/>
      <c r="E40" s="27"/>
      <c r="F40" s="25"/>
      <c r="G40" s="112" t="s">
        <v>457</v>
      </c>
      <c r="H40" s="21"/>
      <c r="I40" s="86" t="n">
        <v>2552297.85</v>
      </c>
      <c r="J40" s="86"/>
      <c r="K40" s="86"/>
      <c r="L40" s="86"/>
      <c r="M40" s="86"/>
      <c r="N40" s="86"/>
      <c r="O40" s="86"/>
      <c r="P40" s="87">
        <f t="shared" si="0"/>
        <v>0</v>
      </c>
      <c r="Q40" s="11"/>
      <c r="R40" s="8"/>
    </row>
    <row r="41" spans="1:18" s="10" customFormat="1" ht="11.25" customHeight="1" x14ac:dyDescent="0.2">
      <c r="A41" s="34" t="s">
        <v>75</v>
      </c>
      <c r="B41" s="35" t="s">
        <v>217</v>
      </c>
      <c r="C41" s="35"/>
      <c r="D41" s="27"/>
      <c r="E41" s="27"/>
      <c r="F41" s="25"/>
      <c r="G41" s="112" t="s">
        <v>458</v>
      </c>
      <c r="H41" s="21"/>
      <c r="I41" s="86" t="n">
        <v>3.787216686E7</v>
      </c>
      <c r="J41" s="86"/>
      <c r="K41" s="86"/>
      <c r="L41" s="86"/>
      <c r="M41" s="86"/>
      <c r="N41" s="86"/>
      <c r="O41" s="86"/>
      <c r="P41" s="87">
        <f t="shared" si="0"/>
        <v>0</v>
      </c>
      <c r="Q41" s="11"/>
      <c r="R41" s="8"/>
    </row>
    <row r="42" spans="1:18" s="10" customFormat="1" ht="11.25" customHeight="1" x14ac:dyDescent="0.2">
      <c r="A42" s="31" t="s">
        <v>78</v>
      </c>
      <c r="B42" s="10" t="s">
        <v>218</v>
      </c>
      <c r="D42" s="32"/>
      <c r="E42" s="27"/>
      <c r="F42" s="25"/>
      <c r="G42" s="112" t="s">
        <v>459</v>
      </c>
      <c r="H42" s="21"/>
      <c r="I42" s="86" t="n">
        <v>9696562.5</v>
      </c>
      <c r="J42" s="113"/>
      <c r="K42" s="113"/>
      <c r="L42" s="86"/>
      <c r="M42" s="86"/>
      <c r="N42" s="86"/>
      <c r="O42" s="86"/>
      <c r="P42" s="87">
        <f t="shared" si="0"/>
        <v>0</v>
      </c>
      <c r="Q42" s="11"/>
      <c r="R42" s="8"/>
    </row>
    <row r="43" spans="1:18" s="10" customFormat="1" ht="11.25" customHeight="1" x14ac:dyDescent="0.2">
      <c r="A43" s="34" t="s">
        <v>81</v>
      </c>
      <c r="B43" s="35" t="s">
        <v>219</v>
      </c>
      <c r="C43" s="72"/>
      <c r="D43" s="69"/>
      <c r="E43" s="69"/>
      <c r="F43" s="66"/>
      <c r="G43" s="112" t="s">
        <v>460</v>
      </c>
      <c r="H43" s="21"/>
      <c r="I43" s="87">
        <f>SUM(I44:I50)</f>
        <v>0</v>
      </c>
      <c r="J43" s="87">
        <f>SUM(J44:J50)</f>
        <v>0</v>
      </c>
      <c r="K43" s="87">
        <f>SUM(K44:K50)</f>
        <v>0</v>
      </c>
      <c r="L43" s="87">
        <f>SUM(L44:L50)</f>
        <v>0</v>
      </c>
      <c r="M43" s="87">
        <f>SUM(M44:M50)</f>
        <v>0</v>
      </c>
      <c r="N43" s="87">
        <f xml:space="preserve"> N44 + N45 + N46 + N48 + N49 + N50</f>
        <v>0</v>
      </c>
      <c r="O43" s="87">
        <f xml:space="preserve"> O44 + O45 + O46 + O48 + O49 + O50</f>
        <v>0</v>
      </c>
      <c r="P43" s="87">
        <f t="shared" si="0"/>
        <v>0</v>
      </c>
      <c r="Q43" s="11"/>
      <c r="R43" s="8"/>
    </row>
    <row r="44" spans="1:18" s="10" customFormat="1" ht="11.25" customHeight="1" x14ac:dyDescent="0.2">
      <c r="A44" s="31"/>
      <c r="B44" s="12" t="s">
        <v>20</v>
      </c>
      <c r="C44" s="188" t="s">
        <v>220</v>
      </c>
      <c r="D44" s="205"/>
      <c r="E44" s="38"/>
      <c r="F44" s="67"/>
      <c r="G44" s="112" t="s">
        <v>461</v>
      </c>
      <c r="H44" s="21"/>
      <c r="I44" s="86" t="n">
        <v>0.0</v>
      </c>
      <c r="J44" s="86"/>
      <c r="K44" s="86"/>
      <c r="L44" s="113"/>
      <c r="M44" s="113"/>
      <c r="N44" s="88"/>
      <c r="O44" s="88"/>
      <c r="P44" s="87">
        <f t="shared" si="0"/>
        <v>0</v>
      </c>
      <c r="Q44" s="11"/>
      <c r="R44" s="8"/>
    </row>
    <row r="45" spans="1:18" s="10" customFormat="1" ht="11.25" customHeight="1" x14ac:dyDescent="0.2">
      <c r="A45" s="34"/>
      <c r="B45" s="36" t="s">
        <v>22</v>
      </c>
      <c r="C45" s="197" t="s">
        <v>82</v>
      </c>
      <c r="D45" s="198"/>
      <c r="E45" s="38"/>
      <c r="F45" s="67"/>
      <c r="G45" s="112" t="s">
        <v>462</v>
      </c>
      <c r="H45" s="21"/>
      <c r="I45" s="86" t="n">
        <v>0.0</v>
      </c>
      <c r="J45" s="90"/>
      <c r="K45" s="90"/>
      <c r="L45" s="88"/>
      <c r="M45" s="88"/>
      <c r="N45" s="86"/>
      <c r="O45" s="86"/>
      <c r="P45" s="87">
        <f t="shared" si="0"/>
        <v>0</v>
      </c>
      <c r="Q45" s="11"/>
      <c r="R45" s="8"/>
    </row>
    <row r="46" spans="1:18" s="10" customFormat="1" ht="11.25" customHeight="1" x14ac:dyDescent="0.2">
      <c r="A46" s="34"/>
      <c r="B46" s="36" t="s">
        <v>24</v>
      </c>
      <c r="C46" s="197" t="s">
        <v>211</v>
      </c>
      <c r="D46" s="198"/>
      <c r="E46" s="38"/>
      <c r="F46" s="67"/>
      <c r="G46" s="112" t="s">
        <v>463</v>
      </c>
      <c r="H46" s="21"/>
      <c r="I46" s="86" t="n">
        <v>0.0</v>
      </c>
      <c r="J46" s="90"/>
      <c r="K46" s="90"/>
      <c r="L46" s="86"/>
      <c r="M46" s="86"/>
      <c r="N46" s="86"/>
      <c r="O46" s="86"/>
      <c r="P46" s="87">
        <f t="shared" si="0"/>
        <v>0</v>
      </c>
      <c r="Q46" s="11"/>
      <c r="R46" s="8"/>
    </row>
    <row r="47" spans="1:18" s="10" customFormat="1" ht="11.25" customHeight="1" x14ac:dyDescent="0.2">
      <c r="A47" s="31"/>
      <c r="B47" s="115" t="s">
        <v>66</v>
      </c>
      <c r="C47" s="197" t="s">
        <v>90</v>
      </c>
      <c r="D47" s="198"/>
      <c r="E47" s="38"/>
      <c r="F47" s="67"/>
      <c r="G47" s="112" t="s">
        <v>528</v>
      </c>
      <c r="H47" s="21"/>
      <c r="I47" s="86" t="n">
        <v>0.0</v>
      </c>
      <c r="J47" s="90"/>
      <c r="K47" s="90"/>
      <c r="L47" s="86"/>
      <c r="M47" s="86"/>
      <c r="N47" s="86"/>
      <c r="O47" s="86"/>
      <c r="P47" s="87">
        <f t="shared" si="0"/>
        <v>0</v>
      </c>
      <c r="Q47" s="11"/>
      <c r="R47" s="8"/>
    </row>
    <row r="48" spans="1:18" s="10" customFormat="1" ht="11.25" customHeight="1" x14ac:dyDescent="0.2">
      <c r="A48" s="34"/>
      <c r="B48" s="108" t="s">
        <v>116</v>
      </c>
      <c r="C48" s="197" t="s">
        <v>92</v>
      </c>
      <c r="D48" s="198"/>
      <c r="E48" s="38"/>
      <c r="F48" s="67"/>
      <c r="G48" s="112" t="s">
        <v>464</v>
      </c>
      <c r="H48" s="21"/>
      <c r="I48" s="86" t="n">
        <v>0.0</v>
      </c>
      <c r="J48" s="86"/>
      <c r="K48" s="86"/>
      <c r="L48" s="86"/>
      <c r="M48" s="86"/>
      <c r="N48" s="86"/>
      <c r="O48" s="86"/>
      <c r="P48" s="87">
        <f t="shared" si="0"/>
        <v>0</v>
      </c>
      <c r="Q48" s="11"/>
      <c r="R48" s="8"/>
    </row>
    <row r="49" spans="1:18" s="10" customFormat="1" ht="11.25" customHeight="1" x14ac:dyDescent="0.2">
      <c r="A49" s="34"/>
      <c r="B49" s="58" t="s">
        <v>202</v>
      </c>
      <c r="C49" s="197" t="s">
        <v>95</v>
      </c>
      <c r="D49" s="198"/>
      <c r="E49" s="38"/>
      <c r="F49" s="67"/>
      <c r="G49" s="112" t="s">
        <v>465</v>
      </c>
      <c r="H49" s="21"/>
      <c r="I49" s="86" t="n">
        <v>0.0</v>
      </c>
      <c r="J49" s="86"/>
      <c r="K49" s="86"/>
      <c r="L49" s="86"/>
      <c r="M49" s="86"/>
      <c r="N49" s="86"/>
      <c r="O49" s="86"/>
      <c r="P49" s="87">
        <f t="shared" si="0"/>
        <v>0</v>
      </c>
      <c r="Q49" s="11"/>
      <c r="R49" s="8"/>
    </row>
    <row r="50" spans="1:18" s="10" customFormat="1" ht="11.25" customHeight="1" x14ac:dyDescent="0.2">
      <c r="A50" s="31"/>
      <c r="B50" s="58" t="s">
        <v>204</v>
      </c>
      <c r="C50" s="199" t="s">
        <v>101</v>
      </c>
      <c r="D50" s="200"/>
      <c r="E50" s="38"/>
      <c r="F50" s="67"/>
      <c r="G50" s="112" t="s">
        <v>466</v>
      </c>
      <c r="H50" s="21"/>
      <c r="I50" s="86" t="n">
        <v>0.0</v>
      </c>
      <c r="J50" s="86"/>
      <c r="K50" s="86"/>
      <c r="L50" s="86"/>
      <c r="M50" s="86"/>
      <c r="N50" s="86"/>
      <c r="O50" s="86"/>
      <c r="P50" s="87">
        <f t="shared" si="0"/>
        <v>0</v>
      </c>
      <c r="Q50" s="11"/>
      <c r="R50" s="8"/>
    </row>
    <row r="51" spans="1:18" s="10" customFormat="1" ht="11.25" customHeight="1" x14ac:dyDescent="0.2">
      <c r="A51" s="34" t="s">
        <v>86</v>
      </c>
      <c r="B51" s="35" t="s">
        <v>151</v>
      </c>
      <c r="C51" s="35"/>
      <c r="D51" s="27"/>
      <c r="E51" s="27"/>
      <c r="F51" s="25"/>
      <c r="G51" s="112" t="s">
        <v>467</v>
      </c>
      <c r="H51" s="21"/>
      <c r="I51" s="86" t="n">
        <v>9350835.93</v>
      </c>
      <c r="J51" s="86"/>
      <c r="K51" s="86"/>
      <c r="L51" s="86"/>
      <c r="M51" s="86"/>
      <c r="N51" s="86"/>
      <c r="O51" s="86"/>
      <c r="P51" s="87">
        <f t="shared" si="0"/>
        <v>0</v>
      </c>
      <c r="Q51" s="11"/>
      <c r="R51" s="8"/>
    </row>
    <row r="52" spans="1:18" s="10" customFormat="1" ht="11.25" customHeight="1" x14ac:dyDescent="0.2">
      <c r="A52" s="33" t="s">
        <v>221</v>
      </c>
      <c r="D52" s="32"/>
      <c r="E52" s="27"/>
      <c r="F52" s="25"/>
      <c r="G52" s="112" t="s">
        <v>468</v>
      </c>
      <c r="H52" s="21"/>
      <c r="I52" s="87">
        <f t="shared" ref="I52:O52" si="6">I53 + I54 + I55</f>
        <v>0</v>
      </c>
      <c r="J52" s="87">
        <f t="shared" si="6"/>
        <v>0</v>
      </c>
      <c r="K52" s="87">
        <f t="shared" si="6"/>
        <v>0</v>
      </c>
      <c r="L52" s="87">
        <f t="shared" si="6"/>
        <v>0</v>
      </c>
      <c r="M52" s="87">
        <f t="shared" si="6"/>
        <v>0</v>
      </c>
      <c r="N52" s="87">
        <f t="shared" si="6"/>
        <v>0</v>
      </c>
      <c r="O52" s="87">
        <f t="shared" si="6"/>
        <v>0</v>
      </c>
      <c r="P52" s="87">
        <f t="shared" si="0"/>
        <v>0</v>
      </c>
      <c r="Q52" s="11"/>
      <c r="R52" s="8"/>
    </row>
    <row r="53" spans="1:18" s="10" customFormat="1" ht="11.25" customHeight="1" x14ac:dyDescent="0.2">
      <c r="A53" s="31" t="s">
        <v>89</v>
      </c>
      <c r="B53" s="169" t="s">
        <v>237</v>
      </c>
      <c r="C53" s="169"/>
      <c r="D53" s="170"/>
      <c r="E53" s="28"/>
      <c r="F53" s="26"/>
      <c r="G53" s="112" t="s">
        <v>469</v>
      </c>
      <c r="H53" s="21"/>
      <c r="I53" s="86" t="n">
        <v>0.0</v>
      </c>
      <c r="J53" s="86"/>
      <c r="K53" s="86"/>
      <c r="L53" s="86"/>
      <c r="M53" s="86"/>
      <c r="N53" s="86"/>
      <c r="O53" s="86"/>
      <c r="P53" s="87">
        <f t="shared" si="0"/>
        <v>0</v>
      </c>
      <c r="Q53" s="11"/>
      <c r="R53" s="8"/>
    </row>
    <row r="54" spans="1:18" s="10" customFormat="1" ht="11.25" customHeight="1" x14ac:dyDescent="0.2">
      <c r="A54" s="40" t="s">
        <v>91</v>
      </c>
      <c r="B54" s="10" t="s">
        <v>222</v>
      </c>
      <c r="D54" s="32"/>
      <c r="E54" s="27"/>
      <c r="F54" s="25"/>
      <c r="G54" s="112" t="s">
        <v>470</v>
      </c>
      <c r="H54" s="21"/>
      <c r="I54" s="86" t="n">
        <v>0.0</v>
      </c>
      <c r="J54" s="86"/>
      <c r="K54" s="86"/>
      <c r="L54" s="86"/>
      <c r="M54" s="86"/>
      <c r="N54" s="86"/>
      <c r="O54" s="86"/>
      <c r="P54" s="87">
        <f t="shared" si="0"/>
        <v>0</v>
      </c>
      <c r="Q54" s="11"/>
      <c r="R54" s="8"/>
    </row>
    <row r="55" spans="1:18" s="45" customFormat="1" ht="11.25" customHeight="1" x14ac:dyDescent="0.2">
      <c r="A55" s="48" t="s">
        <v>94</v>
      </c>
      <c r="B55" s="41" t="s">
        <v>223</v>
      </c>
      <c r="C55" s="41"/>
      <c r="D55" s="46"/>
      <c r="E55" s="46"/>
      <c r="F55" s="47"/>
      <c r="G55" s="112" t="s">
        <v>471</v>
      </c>
      <c r="H55" s="42"/>
      <c r="I55" s="86" t="n">
        <v>0.0</v>
      </c>
      <c r="J55" s="86"/>
      <c r="K55" s="86"/>
      <c r="L55" s="86"/>
      <c r="M55" s="86"/>
      <c r="N55" s="86"/>
      <c r="O55" s="86"/>
      <c r="P55" s="87">
        <f t="shared" si="0"/>
        <v>0</v>
      </c>
      <c r="Q55" s="7"/>
      <c r="R55" s="7"/>
    </row>
    <row r="56" spans="1:18" s="10" customFormat="1" ht="35.1" customHeight="1" x14ac:dyDescent="0.2">
      <c r="A56" s="189" t="s">
        <v>224</v>
      </c>
      <c r="B56" s="190"/>
      <c r="C56" s="190"/>
      <c r="D56" s="191"/>
      <c r="E56" s="1"/>
      <c r="F56" s="68"/>
      <c r="G56" s="112" t="s">
        <v>472</v>
      </c>
      <c r="H56" s="21"/>
      <c r="I56" s="87">
        <f>I14 + I15 - I37 + I52</f>
        <v>0</v>
      </c>
      <c r="J56" s="87">
        <f t="shared" ref="J56:O56" si="7">J14 + J15 - J37 + J52</f>
        <v>0</v>
      </c>
      <c r="K56" s="87">
        <f t="shared" si="7"/>
        <v>0</v>
      </c>
      <c r="L56" s="87">
        <f t="shared" si="7"/>
        <v>0</v>
      </c>
      <c r="M56" s="87">
        <f t="shared" si="7"/>
        <v>0</v>
      </c>
      <c r="N56" s="87">
        <f t="shared" si="7"/>
        <v>0</v>
      </c>
      <c r="O56" s="87">
        <f t="shared" si="7"/>
        <v>0</v>
      </c>
      <c r="P56" s="87">
        <f t="shared" si="0"/>
        <v>0</v>
      </c>
      <c r="Q56" s="11"/>
      <c r="R56" s="9"/>
    </row>
    <row r="57" spans="1:18" s="10" customFormat="1" ht="24" customHeight="1" x14ac:dyDescent="0.2">
      <c r="A57" s="192" t="s">
        <v>225</v>
      </c>
      <c r="B57" s="193"/>
      <c r="C57" s="193"/>
      <c r="D57" s="194"/>
      <c r="E57" s="1"/>
      <c r="F57" s="68"/>
      <c r="G57" s="112" t="s">
        <v>473</v>
      </c>
      <c r="H57" s="21"/>
      <c r="I57" s="87">
        <f>I58 + I59 + I60</f>
        <v>0</v>
      </c>
      <c r="J57" s="87">
        <f t="shared" ref="J57:O57" si="8">J58 + J59 + J60</f>
        <v>0</v>
      </c>
      <c r="K57" s="87">
        <f t="shared" si="8"/>
        <v>0</v>
      </c>
      <c r="L57" s="91"/>
      <c r="M57" s="91"/>
      <c r="N57" s="87">
        <f t="shared" si="8"/>
        <v>0</v>
      </c>
      <c r="O57" s="87">
        <f t="shared" si="8"/>
        <v>0</v>
      </c>
      <c r="P57" s="87">
        <f t="shared" si="0"/>
        <v>0</v>
      </c>
      <c r="Q57" s="11"/>
    </row>
    <row r="58" spans="1:18" s="45" customFormat="1" ht="11.25" customHeight="1" x14ac:dyDescent="0.2">
      <c r="A58" s="40" t="s">
        <v>98</v>
      </c>
      <c r="B58" s="74" t="s">
        <v>238</v>
      </c>
      <c r="C58" s="75"/>
      <c r="D58" s="76"/>
      <c r="E58" s="77"/>
      <c r="F58" s="78"/>
      <c r="G58" s="112" t="s">
        <v>474</v>
      </c>
      <c r="H58" s="42"/>
      <c r="I58" s="86" t="n">
        <v>0.0</v>
      </c>
      <c r="J58" s="86"/>
      <c r="K58" s="86"/>
      <c r="L58" s="90"/>
      <c r="M58" s="90"/>
      <c r="N58" s="86"/>
      <c r="O58" s="86"/>
      <c r="P58" s="87">
        <f t="shared" si="0"/>
        <v>0</v>
      </c>
      <c r="Q58" s="7"/>
    </row>
    <row r="59" spans="1:18" s="45" customFormat="1" ht="11.25" customHeight="1" x14ac:dyDescent="0.2">
      <c r="A59" s="40" t="s">
        <v>100</v>
      </c>
      <c r="B59" s="79" t="s">
        <v>239</v>
      </c>
      <c r="C59" s="79"/>
      <c r="D59" s="80"/>
      <c r="E59" s="80"/>
      <c r="F59" s="81"/>
      <c r="G59" s="112" t="s">
        <v>475</v>
      </c>
      <c r="H59" s="42"/>
      <c r="I59" s="86" t="n">
        <v>0.0</v>
      </c>
      <c r="J59" s="86"/>
      <c r="K59" s="86"/>
      <c r="L59" s="90"/>
      <c r="M59" s="90"/>
      <c r="N59" s="86"/>
      <c r="O59" s="86"/>
      <c r="P59" s="87">
        <f t="shared" si="0"/>
        <v>0</v>
      </c>
      <c r="Q59" s="7"/>
    </row>
    <row r="60" spans="1:18" s="45" customFormat="1" ht="11.25" customHeight="1" x14ac:dyDescent="0.2">
      <c r="A60" s="82" t="s">
        <v>103</v>
      </c>
      <c r="B60" s="79" t="s">
        <v>240</v>
      </c>
      <c r="C60" s="79"/>
      <c r="D60" s="80"/>
      <c r="E60" s="80"/>
      <c r="F60" s="81"/>
      <c r="G60" s="112" t="s">
        <v>476</v>
      </c>
      <c r="H60" s="42"/>
      <c r="I60" s="86" t="n">
        <v>0.0</v>
      </c>
      <c r="J60" s="86"/>
      <c r="K60" s="86"/>
      <c r="L60" s="90"/>
      <c r="M60" s="90"/>
      <c r="N60" s="86"/>
      <c r="O60" s="86"/>
      <c r="P60" s="87">
        <f t="shared" si="0"/>
        <v>0</v>
      </c>
      <c r="Q60" s="7"/>
    </row>
    <row r="61" spans="1:18" s="10" customFormat="1" ht="11.25" customHeight="1" x14ac:dyDescent="0.2">
      <c r="A61" s="192" t="s">
        <v>241</v>
      </c>
      <c r="B61" s="193"/>
      <c r="C61" s="193"/>
      <c r="D61" s="194"/>
      <c r="E61" s="1"/>
      <c r="F61" s="68"/>
      <c r="G61" s="112" t="s">
        <v>477</v>
      </c>
      <c r="H61" s="44"/>
      <c r="I61" s="87">
        <f t="shared" ref="I61:O61" si="9">I56 + I57</f>
        <v>0</v>
      </c>
      <c r="J61" s="87">
        <f t="shared" si="9"/>
        <v>0</v>
      </c>
      <c r="K61" s="87">
        <f t="shared" si="9"/>
        <v>0</v>
      </c>
      <c r="L61" s="87">
        <f t="shared" si="9"/>
        <v>0</v>
      </c>
      <c r="M61" s="87">
        <f t="shared" si="9"/>
        <v>0</v>
      </c>
      <c r="N61" s="87">
        <f t="shared" si="9"/>
        <v>0</v>
      </c>
      <c r="O61" s="87">
        <f t="shared" si="9"/>
        <v>0</v>
      </c>
      <c r="P61" s="87">
        <f t="shared" si="0"/>
        <v>0</v>
      </c>
      <c r="Q61" s="11"/>
      <c r="R61" s="9"/>
    </row>
    <row r="62" spans="1:18" s="45" customFormat="1" ht="11.25" customHeight="1" x14ac:dyDescent="0.2">
      <c r="A62" s="48" t="s">
        <v>144</v>
      </c>
      <c r="B62" s="195" t="s">
        <v>226</v>
      </c>
      <c r="C62" s="195"/>
      <c r="D62" s="196"/>
      <c r="E62" s="51"/>
      <c r="F62" s="52"/>
      <c r="G62" s="112" t="s">
        <v>478</v>
      </c>
      <c r="H62" s="42"/>
      <c r="I62" s="86" t="n">
        <v>17072.68</v>
      </c>
      <c r="J62" s="86"/>
      <c r="K62" s="86"/>
      <c r="L62" s="86"/>
      <c r="M62" s="86"/>
      <c r="N62" s="86"/>
      <c r="O62" s="86"/>
      <c r="P62" s="87">
        <f t="shared" si="0"/>
        <v>0</v>
      </c>
      <c r="Q62" s="7"/>
    </row>
    <row r="63" spans="1:18" s="10" customFormat="1" ht="11.25" customHeight="1" x14ac:dyDescent="0.2">
      <c r="A63" s="192" t="s">
        <v>242</v>
      </c>
      <c r="B63" s="193"/>
      <c r="C63" s="193"/>
      <c r="D63" s="194"/>
      <c r="E63" s="1"/>
      <c r="F63" s="68"/>
      <c r="G63" s="112" t="s">
        <v>479</v>
      </c>
      <c r="H63" s="44"/>
      <c r="I63" s="87">
        <f t="shared" ref="I63:O63" si="10">I61 - I62</f>
        <v>0</v>
      </c>
      <c r="J63" s="87">
        <f t="shared" si="10"/>
        <v>0</v>
      </c>
      <c r="K63" s="87">
        <f t="shared" si="10"/>
        <v>0</v>
      </c>
      <c r="L63" s="87">
        <f t="shared" si="10"/>
        <v>0</v>
      </c>
      <c r="M63" s="87">
        <f t="shared" si="10"/>
        <v>0</v>
      </c>
      <c r="N63" s="87">
        <f t="shared" si="10"/>
        <v>0</v>
      </c>
      <c r="O63" s="87">
        <f t="shared" si="10"/>
        <v>0</v>
      </c>
      <c r="P63" s="87">
        <f t="shared" si="0"/>
        <v>0</v>
      </c>
      <c r="Q63" s="11"/>
      <c r="R63" s="9"/>
    </row>
    <row r="64" spans="1:18" s="45" customFormat="1" ht="11.25" customHeight="1" x14ac:dyDescent="0.2">
      <c r="A64" s="48" t="s">
        <v>146</v>
      </c>
      <c r="B64" s="45" t="s">
        <v>227</v>
      </c>
      <c r="C64" s="75"/>
      <c r="D64" s="76"/>
      <c r="E64" s="77"/>
      <c r="F64" s="78"/>
      <c r="G64" s="112" t="s">
        <v>480</v>
      </c>
      <c r="H64" s="42"/>
      <c r="I64" s="86" t="n">
        <v>0.0</v>
      </c>
      <c r="J64" s="86"/>
      <c r="K64" s="86"/>
      <c r="L64" s="86"/>
      <c r="M64" s="86"/>
      <c r="N64" s="86"/>
      <c r="O64" s="86"/>
      <c r="P64" s="87">
        <f t="shared" si="0"/>
        <v>0</v>
      </c>
      <c r="Q64" s="7"/>
    </row>
    <row r="65" spans="1:18" s="10" customFormat="1" ht="11.25" customHeight="1" x14ac:dyDescent="0.2">
      <c r="A65" s="37" t="s">
        <v>228</v>
      </c>
      <c r="B65" s="35"/>
      <c r="C65" s="35"/>
      <c r="D65" s="27"/>
      <c r="E65" s="27"/>
      <c r="F65" s="25"/>
      <c r="G65" s="112" t="s">
        <v>481</v>
      </c>
      <c r="H65" s="44"/>
      <c r="I65" s="87">
        <f t="shared" ref="I65:O65" si="11">I63-I64</f>
        <v>0</v>
      </c>
      <c r="J65" s="87">
        <f t="shared" si="11"/>
        <v>0</v>
      </c>
      <c r="K65" s="87">
        <f t="shared" si="11"/>
        <v>0</v>
      </c>
      <c r="L65" s="87">
        <f t="shared" si="11"/>
        <v>0</v>
      </c>
      <c r="M65" s="87">
        <f t="shared" si="11"/>
        <v>0</v>
      </c>
      <c r="N65" s="87">
        <f t="shared" si="11"/>
        <v>0</v>
      </c>
      <c r="O65" s="87">
        <f t="shared" si="11"/>
        <v>0</v>
      </c>
      <c r="P65" s="87">
        <f t="shared" si="0"/>
        <v>0</v>
      </c>
      <c r="Q65" s="11"/>
      <c r="R65" s="9"/>
    </row>
    <row r="66" spans="1:18" ht="11.25" customHeight="1" x14ac:dyDescent="0.2">
      <c r="G66" s="59" t="s">
        <v>229</v>
      </c>
      <c r="H66" s="60"/>
      <c r="I66" s="2"/>
      <c r="J66" s="2"/>
      <c r="K66" s="2"/>
      <c r="L66" s="2"/>
      <c r="M66" s="2"/>
      <c r="N66" s="2"/>
      <c r="O66" s="2"/>
      <c r="P66" s="2"/>
    </row>
    <row r="67" spans="1:18" ht="11.25" customHeight="1" x14ac:dyDescent="0.2">
      <c r="A67" s="61"/>
    </row>
    <row r="68" spans="1:18" ht="11.25" customHeight="1" x14ac:dyDescent="0.2">
      <c r="A68" s="61"/>
    </row>
    <row r="69" spans="1:18" ht="11.25" customHeight="1" x14ac:dyDescent="0.2">
      <c r="A69" s="61"/>
    </row>
    <row r="70" spans="1:18" ht="11.25" customHeight="1" x14ac:dyDescent="0.2">
      <c r="A70" s="61"/>
      <c r="B70" s="9"/>
      <c r="C70" s="188"/>
      <c r="D70" s="188"/>
      <c r="E70" s="188"/>
      <c r="F70" s="188"/>
      <c r="G70" s="188"/>
      <c r="H70" s="49"/>
    </row>
    <row r="71" spans="1:18" ht="11.25" customHeight="1" x14ac:dyDescent="0.2">
      <c r="A71" s="61"/>
      <c r="B71" s="9"/>
      <c r="C71" s="188"/>
      <c r="D71" s="188"/>
      <c r="E71" s="49"/>
      <c r="F71" s="49"/>
      <c r="G71" s="62"/>
      <c r="H71" s="62"/>
    </row>
    <row r="72" spans="1:18" ht="11.25" customHeight="1" x14ac:dyDescent="0.2">
      <c r="A72" s="61"/>
    </row>
    <row r="73" spans="1:18" ht="11.25" customHeight="1" x14ac:dyDescent="0.2">
      <c r="A73" s="61"/>
      <c r="B73" s="63"/>
    </row>
    <row r="74" spans="1:18" ht="11.25" customHeight="1" x14ac:dyDescent="0.2">
      <c r="A74" s="61"/>
      <c r="B74" s="63"/>
    </row>
    <row r="76" spans="1:18" ht="11.25" customHeight="1" x14ac:dyDescent="0.2">
      <c r="A76" s="61"/>
    </row>
    <row r="77" spans="1:18" ht="11.25" customHeight="1" x14ac:dyDescent="0.2">
      <c r="A77" s="61"/>
    </row>
    <row r="78" spans="1:18" ht="11.25" customHeight="1" x14ac:dyDescent="0.2">
      <c r="A78" s="61"/>
    </row>
    <row r="79" spans="1:18" ht="11.25" customHeight="1" x14ac:dyDescent="0.2">
      <c r="A79" s="61"/>
    </row>
    <row r="80" spans="1:18" ht="11.25" customHeight="1" x14ac:dyDescent="0.2">
      <c r="B80" s="63"/>
    </row>
    <row r="82" spans="1:11" ht="11.25" customHeight="1" x14ac:dyDescent="0.2">
      <c r="A82" s="61"/>
    </row>
    <row r="83" spans="1:11" ht="11.25" customHeight="1" x14ac:dyDescent="0.2">
      <c r="B83" s="63"/>
      <c r="C83" s="63"/>
    </row>
    <row r="84" spans="1:11" ht="11.25" customHeight="1" x14ac:dyDescent="0.2">
      <c r="B84" s="188"/>
      <c r="C84" s="188"/>
      <c r="D84" s="188"/>
      <c r="E84" s="49"/>
      <c r="F84" s="49"/>
    </row>
    <row r="85" spans="1:11" ht="11.25" customHeight="1" x14ac:dyDescent="0.2">
      <c r="A85" s="61"/>
    </row>
    <row r="86" spans="1:11" ht="11.25" customHeight="1" x14ac:dyDescent="0.2">
      <c r="B86" s="63"/>
      <c r="C86" s="63"/>
    </row>
    <row r="88" spans="1:11" ht="11.25" customHeight="1" x14ac:dyDescent="0.2">
      <c r="A88" s="64"/>
    </row>
    <row r="89" spans="1:11" ht="11.25" customHeight="1" x14ac:dyDescent="0.2">
      <c r="A89" s="64"/>
    </row>
    <row r="90" spans="1:11" ht="11.25" customHeight="1" x14ac:dyDescent="0.2">
      <c r="A90" s="61"/>
    </row>
    <row r="94" spans="1:11" ht="11.25" customHeight="1" x14ac:dyDescent="0.2">
      <c r="A94" s="9"/>
      <c r="B94" s="188"/>
      <c r="C94" s="188"/>
      <c r="D94" s="188"/>
      <c r="E94" s="49"/>
      <c r="F94" s="49"/>
      <c r="K94" s="15"/>
    </row>
    <row r="95" spans="1:11" ht="11.25" customHeight="1" x14ac:dyDescent="0.2">
      <c r="A95" s="61"/>
      <c r="K95" s="15"/>
    </row>
    <row r="100" spans="1:11" ht="11.25" customHeight="1" x14ac:dyDescent="0.2">
      <c r="A100" s="61"/>
      <c r="C100" s="49"/>
      <c r="D100" s="49"/>
      <c r="E100" s="49"/>
      <c r="F100" s="49"/>
      <c r="K100" s="15"/>
    </row>
    <row r="101" spans="1:11" ht="11.25" customHeight="1" x14ac:dyDescent="0.2">
      <c r="A101" s="61"/>
      <c r="K101" s="15"/>
    </row>
    <row r="102" spans="1:11" ht="11.25" customHeight="1" x14ac:dyDescent="0.2">
      <c r="A102" s="61"/>
      <c r="B102" s="63"/>
      <c r="K102" s="15"/>
    </row>
    <row r="103" spans="1:11" ht="11.25" customHeight="1" x14ac:dyDescent="0.2">
      <c r="A103" s="61"/>
      <c r="K103" s="15"/>
    </row>
    <row r="104" spans="1:11" ht="11.25" customHeight="1" x14ac:dyDescent="0.2">
      <c r="A104" s="61"/>
    </row>
    <row r="105" spans="1:11" ht="11.25" customHeight="1" x14ac:dyDescent="0.2">
      <c r="A105" s="61"/>
      <c r="B105" s="63"/>
    </row>
    <row r="106" spans="1:11" ht="11.25" customHeight="1" x14ac:dyDescent="0.2">
      <c r="A106" s="61"/>
    </row>
    <row r="107" spans="1:11" ht="11.25" customHeight="1" x14ac:dyDescent="0.2">
      <c r="A107" s="61"/>
    </row>
    <row r="108" spans="1:11" ht="11.25" customHeight="1" x14ac:dyDescent="0.2">
      <c r="A108" s="61"/>
    </row>
    <row r="116" spans="1:6" ht="11.25" customHeight="1" x14ac:dyDescent="0.2">
      <c r="A116" s="61"/>
    </row>
    <row r="117" spans="1:6" ht="11.25" customHeight="1" x14ac:dyDescent="0.2">
      <c r="A117" s="61"/>
    </row>
    <row r="118" spans="1:6" ht="11.25" customHeight="1" x14ac:dyDescent="0.2">
      <c r="A118" s="61"/>
    </row>
    <row r="119" spans="1:6" ht="11.25" customHeight="1" x14ac:dyDescent="0.2">
      <c r="A119" s="61"/>
    </row>
    <row r="120" spans="1:6" ht="11.25" customHeight="1" x14ac:dyDescent="0.2">
      <c r="A120" s="61"/>
    </row>
    <row r="121" spans="1:6" ht="11.25" customHeight="1" x14ac:dyDescent="0.2">
      <c r="A121" s="9"/>
    </row>
    <row r="122" spans="1:6" ht="11.25" customHeight="1" x14ac:dyDescent="0.2">
      <c r="A122" s="9"/>
    </row>
    <row r="123" spans="1:6" ht="11.25" customHeight="1" x14ac:dyDescent="0.2">
      <c r="A123" s="9"/>
      <c r="B123" s="188"/>
      <c r="C123" s="188"/>
      <c r="D123" s="188"/>
      <c r="E123" s="49"/>
      <c r="F123" s="49"/>
    </row>
    <row r="124" spans="1:6" ht="11.25" customHeight="1" x14ac:dyDescent="0.2">
      <c r="A124" s="61"/>
      <c r="C124" s="49"/>
      <c r="D124" s="49"/>
      <c r="E124" s="49"/>
      <c r="F124" s="49"/>
    </row>
    <row r="125" spans="1:6" ht="11.25" customHeight="1" x14ac:dyDescent="0.2">
      <c r="A125" s="9"/>
      <c r="B125" s="188"/>
      <c r="C125" s="188"/>
      <c r="D125" s="188"/>
      <c r="E125" s="49"/>
      <c r="F125" s="49"/>
    </row>
    <row r="126" spans="1:6" ht="11.25" customHeight="1" x14ac:dyDescent="0.2">
      <c r="A126" s="61"/>
    </row>
    <row r="127" spans="1:6" ht="11.25" customHeight="1" x14ac:dyDescent="0.2">
      <c r="A127" s="61"/>
      <c r="B127" s="188"/>
      <c r="C127" s="188"/>
      <c r="D127" s="188"/>
      <c r="E127" s="49"/>
      <c r="F127" s="49"/>
    </row>
    <row r="128" spans="1:6" ht="11.25" customHeight="1" x14ac:dyDescent="0.2">
      <c r="A128" s="61"/>
    </row>
    <row r="129" spans="1:1" ht="11.25" customHeight="1" x14ac:dyDescent="0.2">
      <c r="A129" s="61"/>
    </row>
    <row r="130" spans="1:1" ht="11.25" customHeight="1" x14ac:dyDescent="0.2">
      <c r="A130" s="64"/>
    </row>
    <row r="131" spans="1:1" ht="11.25" customHeight="1" x14ac:dyDescent="0.2">
      <c r="A131" s="64"/>
    </row>
    <row r="132" spans="1:1" ht="11.25" customHeight="1" x14ac:dyDescent="0.2">
      <c r="A132" s="61"/>
    </row>
    <row r="133" spans="1:1" ht="11.25" customHeight="1" x14ac:dyDescent="0.2">
      <c r="A133" s="61"/>
    </row>
    <row r="134" spans="1:1" ht="11.25" customHeight="1" x14ac:dyDescent="0.2">
      <c r="A134" s="61"/>
    </row>
    <row r="135" spans="1:1" ht="11.25" customHeight="1" x14ac:dyDescent="0.2">
      <c r="A135" s="61"/>
    </row>
    <row r="136" spans="1:1" ht="11.25" customHeight="1" x14ac:dyDescent="0.2">
      <c r="A136" s="61"/>
    </row>
    <row r="137" spans="1:1" ht="11.25" customHeight="1" x14ac:dyDescent="0.2">
      <c r="A137" s="61"/>
    </row>
    <row r="138" spans="1:1" ht="11.25" customHeight="1" x14ac:dyDescent="0.2">
      <c r="A138" s="61"/>
    </row>
    <row r="139" spans="1:1" ht="11.25" customHeight="1" x14ac:dyDescent="0.2">
      <c r="A139" s="61"/>
    </row>
    <row r="140" spans="1:1" ht="11.25" customHeight="1" x14ac:dyDescent="0.2">
      <c r="A140" s="61"/>
    </row>
    <row r="141" spans="1:1" ht="11.25" customHeight="1" x14ac:dyDescent="0.2">
      <c r="A141" s="64"/>
    </row>
    <row r="143" spans="1:1" ht="11.25" customHeight="1" x14ac:dyDescent="0.2">
      <c r="A143" s="64"/>
    </row>
    <row r="144" spans="1:1" ht="11.25" customHeight="1" x14ac:dyDescent="0.2">
      <c r="A144" s="64"/>
    </row>
    <row r="145" spans="1:1" ht="11.25" customHeight="1" x14ac:dyDescent="0.2">
      <c r="A145" s="64"/>
    </row>
    <row r="146" spans="1:1" ht="11.25" customHeight="1" x14ac:dyDescent="0.2">
      <c r="A146" s="61"/>
    </row>
    <row r="147" spans="1:1" ht="11.25" customHeight="1" x14ac:dyDescent="0.2">
      <c r="A147" s="61"/>
    </row>
    <row r="148" spans="1:1" ht="11.25" customHeight="1" x14ac:dyDescent="0.2">
      <c r="A148" s="61"/>
    </row>
    <row r="149" spans="1:1" ht="11.25" customHeight="1" x14ac:dyDescent="0.2">
      <c r="A149" s="61"/>
    </row>
    <row r="150" spans="1:1" ht="11.25" customHeight="1" x14ac:dyDescent="0.2">
      <c r="A150" s="61"/>
    </row>
    <row r="151" spans="1:1" ht="11.25" customHeight="1" x14ac:dyDescent="0.2">
      <c r="A151" s="61"/>
    </row>
    <row r="152" spans="1:1" ht="11.25" customHeight="1" x14ac:dyDescent="0.2">
      <c r="A152" s="61"/>
    </row>
    <row r="153" spans="1:1" ht="11.25" customHeight="1" x14ac:dyDescent="0.2">
      <c r="A153" s="61"/>
    </row>
    <row r="154" spans="1:1" ht="11.25" customHeight="1" x14ac:dyDescent="0.2">
      <c r="A154" s="61"/>
    </row>
    <row r="155" spans="1:1" ht="11.25" customHeight="1" x14ac:dyDescent="0.2">
      <c r="A155" s="61"/>
    </row>
    <row r="156" spans="1:1" ht="11.25" customHeight="1" x14ac:dyDescent="0.2">
      <c r="A156" s="61"/>
    </row>
    <row r="157" spans="1:1" ht="11.25" customHeight="1" x14ac:dyDescent="0.2">
      <c r="A157" s="61"/>
    </row>
    <row r="158" spans="1:1" ht="11.25" customHeight="1" x14ac:dyDescent="0.2">
      <c r="A158" s="61"/>
    </row>
    <row r="159" spans="1:1" ht="11.25" customHeight="1" x14ac:dyDescent="0.2">
      <c r="A159" s="61"/>
    </row>
    <row r="160" spans="1:1" ht="11.25" customHeight="1" x14ac:dyDescent="0.2">
      <c r="A160" s="61"/>
    </row>
    <row r="161" spans="1:12" ht="11.25" customHeight="1" x14ac:dyDescent="0.2">
      <c r="A161" s="61"/>
    </row>
    <row r="162" spans="1:12" ht="11.25" customHeight="1" x14ac:dyDescent="0.2">
      <c r="A162" s="64"/>
    </row>
    <row r="163" spans="1:12" ht="11.25" customHeight="1" x14ac:dyDescent="0.2">
      <c r="A163" s="64"/>
    </row>
    <row r="164" spans="1:12" ht="11.25" customHeight="1" x14ac:dyDescent="0.2">
      <c r="A164" s="64"/>
    </row>
    <row r="165" spans="1:12" ht="11.25" customHeight="1" x14ac:dyDescent="0.2">
      <c r="A165" s="64"/>
    </row>
    <row r="166" spans="1:12" ht="11.25" customHeight="1" x14ac:dyDescent="0.2">
      <c r="A166" s="64"/>
    </row>
    <row r="167" spans="1:12" ht="11.25" customHeight="1" x14ac:dyDescent="0.2">
      <c r="A167" s="64"/>
    </row>
    <row r="168" spans="1:12" ht="11.25" customHeight="1" x14ac:dyDescent="0.2">
      <c r="A168" s="64"/>
    </row>
    <row r="170" spans="1:12" ht="11.25" customHeight="1" x14ac:dyDescent="0.2">
      <c r="A170" s="64"/>
    </row>
    <row r="171" spans="1:12" ht="11.25" customHeight="1" x14ac:dyDescent="0.2">
      <c r="A171" s="61"/>
      <c r="K171" s="15"/>
      <c r="L171" s="15"/>
    </row>
    <row r="172" spans="1:12" ht="11.25" customHeight="1" x14ac:dyDescent="0.2">
      <c r="A172" s="61"/>
      <c r="K172" s="15"/>
    </row>
    <row r="173" spans="1:12" ht="11.25" customHeight="1" x14ac:dyDescent="0.2">
      <c r="A173" s="64"/>
    </row>
    <row r="174" spans="1:12" ht="11.25" customHeight="1" x14ac:dyDescent="0.2">
      <c r="A174" s="61"/>
    </row>
    <row r="175" spans="1:12" ht="11.25" customHeight="1" x14ac:dyDescent="0.2">
      <c r="A175" s="64"/>
    </row>
    <row r="176" spans="1:12" ht="11.25" customHeight="1" x14ac:dyDescent="0.2">
      <c r="A176" s="64"/>
    </row>
    <row r="177" spans="1:6" ht="11.25" customHeight="1" x14ac:dyDescent="0.2">
      <c r="A177" s="61"/>
    </row>
    <row r="178" spans="1:6" ht="11.25" customHeight="1" x14ac:dyDescent="0.2">
      <c r="A178" s="61"/>
    </row>
    <row r="179" spans="1:6" ht="11.25" customHeight="1" x14ac:dyDescent="0.2">
      <c r="A179" s="61"/>
    </row>
    <row r="180" spans="1:6" ht="11.25" customHeight="1" x14ac:dyDescent="0.2">
      <c r="A180" s="9"/>
    </row>
    <row r="181" spans="1:6" ht="11.25" customHeight="1" x14ac:dyDescent="0.2">
      <c r="A181" s="9"/>
      <c r="B181" s="188"/>
      <c r="C181" s="188"/>
      <c r="D181" s="188"/>
      <c r="E181" s="49"/>
      <c r="F181" s="49"/>
    </row>
    <row r="182" spans="1:6" ht="11.25" customHeight="1" x14ac:dyDescent="0.2">
      <c r="A182" s="61"/>
    </row>
    <row r="183" spans="1:6" ht="11.25" customHeight="1" x14ac:dyDescent="0.2">
      <c r="A183" s="61"/>
    </row>
    <row r="184" spans="1:6" ht="11.25" customHeight="1" x14ac:dyDescent="0.2">
      <c r="A184" s="9"/>
    </row>
    <row r="185" spans="1:6" ht="11.25" customHeight="1" x14ac:dyDescent="0.2">
      <c r="A185" s="9"/>
      <c r="B185" s="188"/>
      <c r="C185" s="188"/>
      <c r="D185" s="188"/>
      <c r="E185" s="49"/>
      <c r="F185" s="49"/>
    </row>
    <row r="186" spans="1:6" ht="11.25" customHeight="1" x14ac:dyDescent="0.2">
      <c r="A186" s="9"/>
      <c r="B186" s="188"/>
      <c r="C186" s="188"/>
      <c r="D186" s="188"/>
      <c r="E186" s="49"/>
      <c r="F186" s="49"/>
    </row>
    <row r="187" spans="1:6" ht="11.25" customHeight="1" x14ac:dyDescent="0.2">
      <c r="A187" s="61"/>
    </row>
    <row r="188" spans="1:6" ht="11.25" customHeight="1" x14ac:dyDescent="0.2">
      <c r="A188" s="61"/>
    </row>
    <row r="189" spans="1:6" ht="11.25" customHeight="1" x14ac:dyDescent="0.2">
      <c r="A189" s="9"/>
    </row>
    <row r="190" spans="1:6" ht="11.25" customHeight="1" x14ac:dyDescent="0.2">
      <c r="A190" s="9"/>
      <c r="B190" s="188"/>
      <c r="C190" s="188"/>
      <c r="D190" s="188"/>
      <c r="E190" s="49"/>
      <c r="F190" s="49"/>
    </row>
    <row r="191" spans="1:6" ht="11.25" customHeight="1" x14ac:dyDescent="0.2">
      <c r="A191" s="61"/>
    </row>
    <row r="192" spans="1:6" ht="11.25" customHeight="1" x14ac:dyDescent="0.2">
      <c r="A192" s="61"/>
    </row>
    <row r="193" spans="1:1" ht="11.25" customHeight="1" x14ac:dyDescent="0.2">
      <c r="A193" s="61"/>
    </row>
    <row r="194" spans="1:1" ht="11.25" customHeight="1" x14ac:dyDescent="0.2">
      <c r="A194" s="61"/>
    </row>
    <row r="195" spans="1:1" ht="11.25" customHeight="1" x14ac:dyDescent="0.2">
      <c r="A195" s="64"/>
    </row>
    <row r="196" spans="1:1" ht="11.25" customHeight="1" x14ac:dyDescent="0.2">
      <c r="A196" s="61"/>
    </row>
    <row r="197" spans="1:1" ht="11.25" customHeight="1" x14ac:dyDescent="0.2">
      <c r="A197" s="61"/>
    </row>
    <row r="198" spans="1:1" ht="11.25" customHeight="1" x14ac:dyDescent="0.2">
      <c r="A198" s="61"/>
    </row>
    <row r="199" spans="1:1" ht="11.25" customHeight="1" x14ac:dyDescent="0.2">
      <c r="A199" s="61"/>
    </row>
    <row r="200" spans="1:1" ht="11.25" customHeight="1" x14ac:dyDescent="0.2">
      <c r="A200" s="61"/>
    </row>
    <row r="201" spans="1:1" ht="11.25" customHeight="1" x14ac:dyDescent="0.2">
      <c r="A201" s="61"/>
    </row>
    <row r="202" spans="1:1" ht="11.25" customHeight="1" x14ac:dyDescent="0.2">
      <c r="A202" s="61"/>
    </row>
    <row r="203" spans="1:1" ht="11.25" customHeight="1" x14ac:dyDescent="0.2">
      <c r="A203" s="61"/>
    </row>
    <row r="204" spans="1:1" ht="11.25" customHeight="1" x14ac:dyDescent="0.2">
      <c r="A204" s="61"/>
    </row>
    <row r="205" spans="1:1" ht="11.25" customHeight="1" x14ac:dyDescent="0.2">
      <c r="A205" s="61"/>
    </row>
    <row r="206" spans="1:1" ht="11.25" customHeight="1" x14ac:dyDescent="0.2">
      <c r="A206" s="61"/>
    </row>
    <row r="207" spans="1:1" ht="11.25" customHeight="1" x14ac:dyDescent="0.2">
      <c r="A207" s="61"/>
    </row>
    <row r="208" spans="1:1" ht="11.25" customHeight="1" x14ac:dyDescent="0.2">
      <c r="A208" s="61"/>
    </row>
  </sheetData>
  <sheetProtection password="C0D8" sheet="1" objects="1" scenarios="1" selectLockedCells="1"/>
  <mergeCells count="47">
    <mergeCell ref="A1:P1"/>
    <mergeCell ref="A2:P2"/>
    <mergeCell ref="A3:P3"/>
    <mergeCell ref="A4:P4"/>
    <mergeCell ref="A5:P5"/>
    <mergeCell ref="A6:P6"/>
    <mergeCell ref="A7:P7"/>
    <mergeCell ref="A8:D9"/>
    <mergeCell ref="G8:G9"/>
    <mergeCell ref="J8:K8"/>
    <mergeCell ref="L8:M8"/>
    <mergeCell ref="P8:P9"/>
    <mergeCell ref="N8:O8"/>
    <mergeCell ref="B13:D13"/>
    <mergeCell ref="B26:D26"/>
    <mergeCell ref="B27:D27"/>
    <mergeCell ref="B29:D29"/>
    <mergeCell ref="B30:D30"/>
    <mergeCell ref="B31:D31"/>
    <mergeCell ref="C32:D32"/>
    <mergeCell ref="C33:D33"/>
    <mergeCell ref="C34:D34"/>
    <mergeCell ref="C35:D35"/>
    <mergeCell ref="C44:D44"/>
    <mergeCell ref="C45:D45"/>
    <mergeCell ref="C46:D46"/>
    <mergeCell ref="C48:D48"/>
    <mergeCell ref="C49:D49"/>
    <mergeCell ref="B53:D53"/>
    <mergeCell ref="C50:D50"/>
    <mergeCell ref="C47:D47"/>
    <mergeCell ref="A56:D56"/>
    <mergeCell ref="A57:D57"/>
    <mergeCell ref="A61:D61"/>
    <mergeCell ref="B62:D62"/>
    <mergeCell ref="A63:D63"/>
    <mergeCell ref="C70:G70"/>
    <mergeCell ref="B181:D181"/>
    <mergeCell ref="B185:D185"/>
    <mergeCell ref="B186:D186"/>
    <mergeCell ref="B190:D190"/>
    <mergeCell ref="C71:D71"/>
    <mergeCell ref="B84:D84"/>
    <mergeCell ref="B94:D94"/>
    <mergeCell ref="B123:D123"/>
    <mergeCell ref="B125:D125"/>
    <mergeCell ref="B127:D127"/>
  </mergeCells>
  <phoneticPr fontId="0" type="noConversion"/>
  <dataValidations count="6">
    <dataValidation allowBlank="1" showInputMessage="1" showErrorMessage="1" sqref="I61:P61 L16:M16 I43:P43 P38:P42 I65:P65 I17:P17 I14:O15 P36 P11:P16 I37:P37 P44:P51 I63:P63 I56:P57 P18:P21 P23:P25"/>
    <dataValidation type="decimal" operator="greaterThanOrEqual" allowBlank="1" showInputMessage="1" showErrorMessage="1" errorTitle="Invalid Entry" error="The value you entered is not valid." sqref="I11:O13 I36:O36 I16:K16 I51:O51 I38:O42 N16:O16">
      <formula1>0</formula1>
    </dataValidation>
    <dataValidation type="decimal" operator="greaterThanOrEqual" allowBlank="1" showInputMessage="1" showErrorMessage="1" sqref="H58:IV60 H52:IV55 H62:IV62 H64:IV64 A26:F35 A62:F62 A52:F55 A58:F60 B64:F64 H26:H35 N26:IV35 I27:M35">
      <formula1>-99999999999999900</formula1>
    </dataValidation>
    <dataValidation type="decimal" operator="greaterThanOrEqual" allowBlank="1" showInputMessage="1" showErrorMessage="1" sqref="I44:O50">
      <formula1>0</formula1>
    </dataValidation>
    <dataValidation type="decimal" allowBlank="1" showErrorMessage="1" errorTitle="Error" error="Entry Must be Decimal" sqref="I26:M26">
      <formula1>-99999999999999900000</formula1>
      <formula2>99999999999999900000</formula2>
    </dataValidation>
    <dataValidation allowBlank="1" showInputMessage="1" showErrorMessage="1" sqref="P22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<![CDATA[&R&"Arial,Bold"&USchedule IS&U
  &P of &N&C&"Arial,Bold"&8 MAXIMUM SAVINGS BANK, INC.  [ 03-070011 ]
 As of: June 30, 2019]]>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</sheetPr>
  <dimension ref="A1:B124"/>
  <sheetViews>
    <sheetView tabSelected="1" topLeftCell="B1" workbookViewId="0"/>
  </sheetViews>
  <sheetFormatPr defaultRowHeight="12.75" x14ac:dyDescent="0.2"/>
  <cols>
    <col min="1" max="1" customWidth="true" hidden="true" style="162" width="43.85546875" collapsed="false"/>
    <col min="2" max="16384" style="162" width="9.140625" collapsed="false"/>
  </cols>
  <sheetData>
    <row r="1" spans="1:2" x14ac:dyDescent="0.2">
      <c r="A1" s="161" t="s">
        <v>582</v>
      </c>
    </row>
    <row r="2" spans="1:2" x14ac:dyDescent="0.2">
      <c r="A2" s="161">
        <v>3</v>
      </c>
    </row>
    <row r="3" spans="1:2" x14ac:dyDescent="0.2">
      <c r="A3" s="161">
        <v>70011</v>
      </c>
    </row>
    <row r="4" spans="1:2" x14ac:dyDescent="0.2">
      <c r="A4" s="161">
        <v>8888</v>
      </c>
    </row>
    <row r="5" spans="1:2" x14ac:dyDescent="0.2">
      <c r="A5" s="161">
        <v>5</v>
      </c>
    </row>
    <row r="6" spans="1:2" x14ac:dyDescent="0.2">
      <c r="A6" s="161">
        <v>2019</v>
      </c>
    </row>
    <row r="7" spans="1:2" x14ac:dyDescent="0.2">
      <c r="A7" s="161">
        <v>20190630</v>
      </c>
      <c r="B7" s="161"/>
    </row>
    <row r="8" spans="1:2" x14ac:dyDescent="0.2">
      <c r="A8" s="162" t="s">
        <v>243</v>
      </c>
    </row>
    <row r="9" spans="1:2" x14ac:dyDescent="0.2">
      <c r="A9" s="162" t="s">
        <v>581</v>
      </c>
    </row>
    <row r="10" spans="1:2" x14ac:dyDescent="0.2">
      <c r="A10" s="163">
        <v>1</v>
      </c>
    </row>
    <row r="20" spans="1:1" x14ac:dyDescent="0.2">
      <c r="A20" s="162">
        <v>9</v>
      </c>
    </row>
    <row r="21" spans="1:1" x14ac:dyDescent="0.2">
      <c r="A21" s="162">
        <v>2018</v>
      </c>
    </row>
    <row r="50" spans="1:1" x14ac:dyDescent="0.2">
      <c r="A50" s="162" t="s">
        <v>563</v>
      </c>
    </row>
    <row r="51" spans="1:1" x14ac:dyDescent="0.2">
      <c r="A51" s="162" t="s">
        <v>486</v>
      </c>
    </row>
    <row r="52" spans="1:1" x14ac:dyDescent="0.2">
      <c r="A52" s="162" t="s">
        <v>487</v>
      </c>
    </row>
    <row r="53" spans="1:1" x14ac:dyDescent="0.2">
      <c r="A53" s="162" t="s">
        <v>488</v>
      </c>
    </row>
    <row r="54" spans="1:1" x14ac:dyDescent="0.2">
      <c r="A54" s="162" t="s">
        <v>489</v>
      </c>
    </row>
    <row r="55" spans="1:1" x14ac:dyDescent="0.2">
      <c r="A55" s="162" t="s">
        <v>544</v>
      </c>
    </row>
    <row r="56" spans="1:1" x14ac:dyDescent="0.2">
      <c r="A56" s="162" t="s">
        <v>532</v>
      </c>
    </row>
    <row r="57" spans="1:1" x14ac:dyDescent="0.2">
      <c r="A57" s="162" t="s">
        <v>545</v>
      </c>
    </row>
    <row r="58" spans="1:1" x14ac:dyDescent="0.2">
      <c r="A58" s="162" t="s">
        <v>546</v>
      </c>
    </row>
    <row r="59" spans="1:1" x14ac:dyDescent="0.2">
      <c r="A59" s="162" t="s">
        <v>520</v>
      </c>
    </row>
    <row r="60" spans="1:1" x14ac:dyDescent="0.2">
      <c r="A60" s="162" t="s">
        <v>547</v>
      </c>
    </row>
    <row r="61" spans="1:1" x14ac:dyDescent="0.2">
      <c r="A61" s="162" t="s">
        <v>535</v>
      </c>
    </row>
    <row r="62" spans="1:1" x14ac:dyDescent="0.2">
      <c r="A62" s="162" t="s">
        <v>533</v>
      </c>
    </row>
    <row r="63" spans="1:1" x14ac:dyDescent="0.2">
      <c r="A63" s="162" t="s">
        <v>518</v>
      </c>
    </row>
    <row r="64" spans="1:1" x14ac:dyDescent="0.2">
      <c r="A64" s="162" t="s">
        <v>490</v>
      </c>
    </row>
    <row r="65" spans="1:1" x14ac:dyDescent="0.2">
      <c r="A65" s="162" t="s">
        <v>548</v>
      </c>
    </row>
    <row r="66" spans="1:1" x14ac:dyDescent="0.2">
      <c r="A66" s="162" t="s">
        <v>491</v>
      </c>
    </row>
    <row r="67" spans="1:1" x14ac:dyDescent="0.2">
      <c r="A67" s="162" t="s">
        <v>539</v>
      </c>
    </row>
    <row r="68" spans="1:1" x14ac:dyDescent="0.2">
      <c r="A68" s="162" t="s">
        <v>492</v>
      </c>
    </row>
    <row r="69" spans="1:1" x14ac:dyDescent="0.2">
      <c r="A69" s="162" t="s">
        <v>549</v>
      </c>
    </row>
    <row r="70" spans="1:1" x14ac:dyDescent="0.2">
      <c r="A70" s="162" t="s">
        <v>550</v>
      </c>
    </row>
    <row r="71" spans="1:1" x14ac:dyDescent="0.2">
      <c r="A71" s="162" t="s">
        <v>543</v>
      </c>
    </row>
    <row r="72" spans="1:1" x14ac:dyDescent="0.2">
      <c r="A72" s="162" t="s">
        <v>521</v>
      </c>
    </row>
    <row r="73" spans="1:1" x14ac:dyDescent="0.2">
      <c r="A73" s="162" t="s">
        <v>493</v>
      </c>
    </row>
    <row r="74" spans="1:1" x14ac:dyDescent="0.2">
      <c r="A74" s="162" t="s">
        <v>494</v>
      </c>
    </row>
    <row r="75" spans="1:1" x14ac:dyDescent="0.2">
      <c r="A75" s="162" t="s">
        <v>551</v>
      </c>
    </row>
    <row r="76" spans="1:1" x14ac:dyDescent="0.2">
      <c r="A76" s="162" t="s">
        <v>495</v>
      </c>
    </row>
    <row r="77" spans="1:1" x14ac:dyDescent="0.2">
      <c r="A77" s="162" t="s">
        <v>496</v>
      </c>
    </row>
    <row r="78" spans="1:1" x14ac:dyDescent="0.2">
      <c r="A78" s="162" t="s">
        <v>497</v>
      </c>
    </row>
    <row r="79" spans="1:1" x14ac:dyDescent="0.2">
      <c r="A79" s="162" t="s">
        <v>498</v>
      </c>
    </row>
    <row r="80" spans="1:1" x14ac:dyDescent="0.2">
      <c r="A80" s="162" t="s">
        <v>499</v>
      </c>
    </row>
    <row r="81" spans="1:1" x14ac:dyDescent="0.2">
      <c r="A81" s="162" t="s">
        <v>500</v>
      </c>
    </row>
    <row r="82" spans="1:1" x14ac:dyDescent="0.2">
      <c r="A82" s="162" t="s">
        <v>501</v>
      </c>
    </row>
    <row r="83" spans="1:1" x14ac:dyDescent="0.2">
      <c r="A83" s="162" t="s">
        <v>502</v>
      </c>
    </row>
    <row r="84" spans="1:1" x14ac:dyDescent="0.2">
      <c r="A84" s="162" t="s">
        <v>503</v>
      </c>
    </row>
    <row r="85" spans="1:1" x14ac:dyDescent="0.2">
      <c r="A85" s="162" t="s">
        <v>504</v>
      </c>
    </row>
    <row r="86" spans="1:1" x14ac:dyDescent="0.2">
      <c r="A86" s="162" t="s">
        <v>552</v>
      </c>
    </row>
    <row r="87" spans="1:1" x14ac:dyDescent="0.2">
      <c r="A87" s="162" t="s">
        <v>540</v>
      </c>
    </row>
    <row r="88" spans="1:1" x14ac:dyDescent="0.2">
      <c r="A88" s="162" t="s">
        <v>565</v>
      </c>
    </row>
    <row r="89" spans="1:1" x14ac:dyDescent="0.2">
      <c r="A89" s="162" t="s">
        <v>505</v>
      </c>
    </row>
    <row r="90" spans="1:1" x14ac:dyDescent="0.2">
      <c r="A90" s="162" t="s">
        <v>506</v>
      </c>
    </row>
    <row r="91" spans="1:1" x14ac:dyDescent="0.2">
      <c r="A91" s="162" t="s">
        <v>553</v>
      </c>
    </row>
    <row r="92" spans="1:1" x14ac:dyDescent="0.2">
      <c r="A92" s="162" t="s">
        <v>507</v>
      </c>
    </row>
    <row r="93" spans="1:1" x14ac:dyDescent="0.2">
      <c r="A93" s="162" t="s">
        <v>522</v>
      </c>
    </row>
    <row r="94" spans="1:1" x14ac:dyDescent="0.2">
      <c r="A94" s="162" t="s">
        <v>554</v>
      </c>
    </row>
    <row r="95" spans="1:1" x14ac:dyDescent="0.2">
      <c r="A95" s="162" t="s">
        <v>555</v>
      </c>
    </row>
    <row r="96" spans="1:1" x14ac:dyDescent="0.2">
      <c r="A96" s="162" t="s">
        <v>508</v>
      </c>
    </row>
    <row r="97" spans="1:1" x14ac:dyDescent="0.2">
      <c r="A97" s="162" t="s">
        <v>534</v>
      </c>
    </row>
    <row r="98" spans="1:1" x14ac:dyDescent="0.2">
      <c r="A98" s="162" t="s">
        <v>556</v>
      </c>
    </row>
    <row r="99" spans="1:1" x14ac:dyDescent="0.2">
      <c r="A99" s="162" t="s">
        <v>536</v>
      </c>
    </row>
    <row r="100" spans="1:1" x14ac:dyDescent="0.2">
      <c r="A100" s="162" t="s">
        <v>509</v>
      </c>
    </row>
    <row r="101" spans="1:1" x14ac:dyDescent="0.2">
      <c r="A101" s="162" t="s">
        <v>523</v>
      </c>
    </row>
    <row r="102" spans="1:1" x14ac:dyDescent="0.2">
      <c r="A102" s="162" t="s">
        <v>510</v>
      </c>
    </row>
    <row r="103" spans="1:1" x14ac:dyDescent="0.2">
      <c r="A103" s="162" t="s">
        <v>524</v>
      </c>
    </row>
    <row r="104" spans="1:1" x14ac:dyDescent="0.2">
      <c r="A104" s="162" t="s">
        <v>527</v>
      </c>
    </row>
    <row r="105" spans="1:1" x14ac:dyDescent="0.2">
      <c r="A105" s="162" t="s">
        <v>541</v>
      </c>
    </row>
    <row r="106" spans="1:1" x14ac:dyDescent="0.2">
      <c r="A106" s="162" t="s">
        <v>557</v>
      </c>
    </row>
    <row r="107" spans="1:1" x14ac:dyDescent="0.2">
      <c r="A107" s="162" t="s">
        <v>538</v>
      </c>
    </row>
    <row r="108" spans="1:1" x14ac:dyDescent="0.2">
      <c r="A108" s="162" t="s">
        <v>511</v>
      </c>
    </row>
    <row r="109" spans="1:1" x14ac:dyDescent="0.2">
      <c r="A109" s="162" t="s">
        <v>519</v>
      </c>
    </row>
    <row r="110" spans="1:1" x14ac:dyDescent="0.2">
      <c r="A110" s="162" t="s">
        <v>542</v>
      </c>
    </row>
    <row r="111" spans="1:1" x14ac:dyDescent="0.2">
      <c r="A111" s="162" t="s">
        <v>525</v>
      </c>
    </row>
    <row r="112" spans="1:1" x14ac:dyDescent="0.2">
      <c r="A112" s="162" t="s">
        <v>512</v>
      </c>
    </row>
    <row r="113" spans="1:1" x14ac:dyDescent="0.2">
      <c r="A113" s="162" t="s">
        <v>537</v>
      </c>
    </row>
    <row r="114" spans="1:1" x14ac:dyDescent="0.2">
      <c r="A114" s="162" t="s">
        <v>558</v>
      </c>
    </row>
    <row r="115" spans="1:1" x14ac:dyDescent="0.2">
      <c r="A115" s="162" t="s">
        <v>513</v>
      </c>
    </row>
    <row r="116" spans="1:1" x14ac:dyDescent="0.2">
      <c r="A116" s="162" t="s">
        <v>564</v>
      </c>
    </row>
    <row r="117" spans="1:1" x14ac:dyDescent="0.2">
      <c r="A117" s="162" t="s">
        <v>514</v>
      </c>
    </row>
    <row r="118" spans="1:1" x14ac:dyDescent="0.2">
      <c r="A118" s="162" t="s">
        <v>515</v>
      </c>
    </row>
    <row r="119" spans="1:1" x14ac:dyDescent="0.2">
      <c r="A119" s="162" t="s">
        <v>516</v>
      </c>
    </row>
    <row r="120" spans="1:1" x14ac:dyDescent="0.2">
      <c r="A120" s="162" t="s">
        <v>560</v>
      </c>
    </row>
    <row r="121" spans="1:1" x14ac:dyDescent="0.2">
      <c r="A121" s="162" t="s">
        <v>526</v>
      </c>
    </row>
    <row r="122" spans="1:1" x14ac:dyDescent="0.2">
      <c r="A122" s="162" t="s">
        <v>559</v>
      </c>
    </row>
    <row r="123" spans="1:1" x14ac:dyDescent="0.2">
      <c r="A123" s="162" t="s">
        <v>517</v>
      </c>
    </row>
    <row r="124" spans="1:1" x14ac:dyDescent="0.2">
      <c r="A124" s="162" t="s">
        <v>230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BS</vt:lpstr>
      <vt:lpstr>IS</vt:lpstr>
      <vt:lpstr>Bank</vt:lpstr>
      <vt:lpstr>BS!Print_Area</vt:lpstr>
      <vt:lpstr>IS!Print_Area</vt:lpstr>
      <vt:lpstr>BS!Print_Titles</vt:lpstr>
      <vt:lpstr>IS!Print_Titles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2005-10-26T00:14:48Z</dcterms:created>
  <dc:creator>Windows User</dc:creator>
  <cp:lastModifiedBy>Windows User</cp:lastModifiedBy>
  <cp:lastPrinted>2007-04-17T01:54:57Z</cp:lastPrinted>
  <dcterms:modified xsi:type="dcterms:W3CDTF">2019-09-20T06:08:23Z</dcterms:modified>
</cp:coreProperties>
</file>