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ldrin\Desktop\EDITED\"/>
    </mc:Choice>
  </mc:AlternateContent>
  <workbookProtection workbookAlgorithmName="SHA-512" workbookHashValue="aYdBjMts6ccKO8pgC8eWvEbXgGeY2sS1ZEBmUAG7+BYOVpSnFiZ7NphtK4sS1wlSlkmF0zVtX3VMEohcincfLg==" workbookSaltValue="0XEG7sDvaFshxkcBjqBIaA==" workbookSpinCount="100000" lockStructure="1"/>
  <bookViews>
    <workbookView xWindow="135" yWindow="-135" windowWidth="11520" windowHeight="5670" tabRatio="642"/>
  </bookViews>
  <sheets>
    <sheet name="BS" sheetId="4" r:id="rId1"/>
    <sheet name="LES" sheetId="21" r:id="rId2"/>
    <sheet name="AL" sheetId="28" r:id="rId3"/>
    <sheet name="DL" sheetId="23" r:id="rId4"/>
    <sheet name="LDR" sheetId="24" r:id="rId5"/>
    <sheet name="REC" sheetId="29" r:id="rId6"/>
    <sheet name="IR" sheetId="32" r:id="rId7"/>
    <sheet name="Bank" sheetId="26" state="hidden" r:id="rId8"/>
  </sheets>
  <functionGroups builtInGroupCount="18"/>
  <definedNames>
    <definedName name="findx">#REF!</definedName>
    <definedName name="_xlnm.Print_Area" localSheetId="2">AL!$A$1:$O$44</definedName>
    <definedName name="_xlnm.Print_Area" localSheetId="0">BS!$A$1:$N$46</definedName>
    <definedName name="_xlnm.Print_Area" localSheetId="3">DL!$A$1:$AB$44</definedName>
    <definedName name="_xlnm.Print_Area" localSheetId="4">LDR!$A$1:$Z$30</definedName>
    <definedName name="_xlnm.Print_Area" localSheetId="1">LES!$A$1:$O$44</definedName>
    <definedName name="_xlnm.Print_Area" localSheetId="5">REC!$A$1:$G$29</definedName>
    <definedName name="_xlnm.Print_Titles" localSheetId="2">AL!$A:$D,AL!$1:$9</definedName>
    <definedName name="_xlnm.Print_Titles" localSheetId="0">BS!$A:$D,BS!$1:$9</definedName>
    <definedName name="_xlnm.Print_Titles" localSheetId="3">DL!$A:$D,DL!$1:$9</definedName>
    <definedName name="_xlnm.Print_Titles" localSheetId="6">IR!$A:$D</definedName>
    <definedName name="_xlnm.Print_Titles" localSheetId="4">LDR!$A:$G,LDR!$1:$9</definedName>
    <definedName name="_xlnm.Print_Titles" localSheetId="1">LES!$A:$D,LES!$1:$9</definedName>
    <definedName name="_xlnm.Print_Titles" localSheetId="5">REC!$A:$D,REC!$1:$9</definedName>
    <definedName name="x">#REF!</definedName>
    <definedName name="z">#REF!</definedName>
  </definedNames>
  <calcPr calcId="162913" fullCalcOnLoad="1"/>
</workbook>
</file>

<file path=xl/calcChain.xml><?xml version="1.0" encoding="utf-8"?>
<calcChain xmlns="http://schemas.openxmlformats.org/spreadsheetml/2006/main">
  <c r="N29" i="32" l="1"/>
  <c r="M29" i="32"/>
  <c r="L29" i="32"/>
  <c r="K29" i="32"/>
  <c r="J29" i="32"/>
  <c r="I29" i="32"/>
  <c r="H29" i="32"/>
  <c r="G29" i="32"/>
  <c r="F29" i="32"/>
  <c r="E29" i="32"/>
  <c r="N28" i="32"/>
  <c r="M28" i="32"/>
  <c r="L28" i="32"/>
  <c r="K28" i="32"/>
  <c r="J28" i="32"/>
  <c r="I28" i="32"/>
  <c r="H28" i="32"/>
  <c r="G28" i="32"/>
  <c r="F28" i="32"/>
  <c r="E28" i="32"/>
  <c r="N27" i="32"/>
  <c r="M27" i="32"/>
  <c r="L27" i="32"/>
  <c r="K27" i="32"/>
  <c r="J27" i="32"/>
  <c r="I27" i="32"/>
  <c r="H27" i="32"/>
  <c r="G27" i="32"/>
  <c r="F27" i="32"/>
  <c r="E27" i="32"/>
  <c r="N26" i="32"/>
  <c r="M26" i="32"/>
  <c r="L26" i="32"/>
  <c r="K26" i="32"/>
  <c r="J26" i="32"/>
  <c r="I26" i="32"/>
  <c r="H26" i="32"/>
  <c r="G26" i="32"/>
  <c r="F26" i="32"/>
  <c r="E26" i="32"/>
  <c r="N25" i="32"/>
  <c r="M25" i="32"/>
  <c r="L25" i="32"/>
  <c r="K25" i="32"/>
  <c r="J25" i="32"/>
  <c r="I25" i="32"/>
  <c r="H25" i="32"/>
  <c r="G25" i="32"/>
  <c r="F25" i="32"/>
  <c r="E25" i="32"/>
  <c r="N24" i="32"/>
  <c r="M24" i="32"/>
  <c r="L24" i="32"/>
  <c r="K24" i="32"/>
  <c r="J24" i="32"/>
  <c r="I24" i="32"/>
  <c r="H24" i="32"/>
  <c r="G24" i="32"/>
  <c r="F24" i="32"/>
  <c r="E24" i="32"/>
  <c r="N23" i="32"/>
  <c r="M23" i="32"/>
  <c r="L23" i="32"/>
  <c r="K23" i="32"/>
  <c r="J23" i="32"/>
  <c r="I23" i="32"/>
  <c r="H23" i="32"/>
  <c r="G23" i="32"/>
  <c r="F23" i="32"/>
  <c r="E23" i="32"/>
  <c r="N22" i="32"/>
  <c r="M22" i="32"/>
  <c r="L22" i="32"/>
  <c r="K22" i="32"/>
  <c r="J22" i="32"/>
  <c r="I22" i="32"/>
  <c r="H22" i="32"/>
  <c r="G22" i="32"/>
  <c r="F22" i="32"/>
  <c r="E22" i="32"/>
  <c r="N21" i="32"/>
  <c r="M21" i="32"/>
  <c r="L21" i="32"/>
  <c r="K21" i="32"/>
  <c r="J21" i="32"/>
  <c r="I21" i="32"/>
  <c r="H21" i="32"/>
  <c r="G21" i="32"/>
  <c r="F21" i="32"/>
  <c r="E21" i="32"/>
  <c r="N20" i="32"/>
  <c r="M20" i="32"/>
  <c r="M13" i="32" s="1"/>
  <c r="L20" i="32"/>
  <c r="K20" i="32"/>
  <c r="J20" i="32"/>
  <c r="I20" i="32"/>
  <c r="H20" i="32"/>
  <c r="G20" i="32"/>
  <c r="F20" i="32"/>
  <c r="E20" i="32"/>
  <c r="N19" i="32"/>
  <c r="M19" i="32"/>
  <c r="L19" i="32"/>
  <c r="K19" i="32"/>
  <c r="J19" i="32"/>
  <c r="I19" i="32"/>
  <c r="H19" i="32"/>
  <c r="G19" i="32"/>
  <c r="F19" i="32"/>
  <c r="E19" i="32"/>
  <c r="N18" i="32"/>
  <c r="M18" i="32"/>
  <c r="L18" i="32"/>
  <c r="K18" i="32"/>
  <c r="J18" i="32"/>
  <c r="I18" i="32"/>
  <c r="H18" i="32"/>
  <c r="G18" i="32"/>
  <c r="F18" i="32"/>
  <c r="E18" i="32"/>
  <c r="N17" i="32"/>
  <c r="M17" i="32"/>
  <c r="L17" i="32"/>
  <c r="K17" i="32"/>
  <c r="J17" i="32"/>
  <c r="I17" i="32"/>
  <c r="H17" i="32"/>
  <c r="G17" i="32"/>
  <c r="F17" i="32"/>
  <c r="E17" i="32"/>
  <c r="N16" i="32"/>
  <c r="M16" i="32"/>
  <c r="L16" i="32"/>
  <c r="K16" i="32"/>
  <c r="J16" i="32"/>
  <c r="I16" i="32"/>
  <c r="H16" i="32"/>
  <c r="G16" i="32"/>
  <c r="F16" i="32"/>
  <c r="E16" i="32"/>
  <c r="N15" i="32"/>
  <c r="M15" i="32"/>
  <c r="L15" i="32"/>
  <c r="K15" i="32"/>
  <c r="J15" i="32"/>
  <c r="I15" i="32"/>
  <c r="H15" i="32"/>
  <c r="G15" i="32"/>
  <c r="F15" i="32"/>
  <c r="E15" i="32"/>
  <c r="AB29" i="23"/>
  <c r="P29" i="23"/>
  <c r="AB28" i="23"/>
  <c r="P28" i="23"/>
  <c r="AB27" i="23"/>
  <c r="P27" i="23"/>
  <c r="AB26" i="23"/>
  <c r="P26" i="23"/>
  <c r="AB25" i="23"/>
  <c r="P25" i="23"/>
  <c r="AB24" i="23"/>
  <c r="P24" i="23"/>
  <c r="AB23" i="23"/>
  <c r="P23" i="23"/>
  <c r="AB22" i="23"/>
  <c r="P22" i="23"/>
  <c r="AB21" i="23"/>
  <c r="P21" i="23"/>
  <c r="AB20" i="23"/>
  <c r="P20" i="23"/>
  <c r="AB19" i="23"/>
  <c r="P19" i="23"/>
  <c r="AB18" i="23"/>
  <c r="P18" i="23"/>
  <c r="AB17" i="23"/>
  <c r="P17" i="23"/>
  <c r="AB16" i="23"/>
  <c r="P16" i="23"/>
  <c r="AB15" i="23"/>
  <c r="P15" i="23"/>
  <c r="K29" i="28"/>
  <c r="I29" i="28"/>
  <c r="K28" i="28"/>
  <c r="I28" i="28"/>
  <c r="K27" i="28"/>
  <c r="I27" i="28"/>
  <c r="K26" i="28"/>
  <c r="I26" i="28"/>
  <c r="K25" i="28"/>
  <c r="I25" i="28"/>
  <c r="K24" i="28"/>
  <c r="I24" i="28"/>
  <c r="K23" i="28"/>
  <c r="I23" i="28"/>
  <c r="K22" i="28"/>
  <c r="I22" i="28"/>
  <c r="K21" i="28"/>
  <c r="I21" i="28"/>
  <c r="K20" i="28"/>
  <c r="I20" i="28"/>
  <c r="K19" i="28"/>
  <c r="I19" i="28"/>
  <c r="K18" i="28"/>
  <c r="I18" i="28"/>
  <c r="K17" i="28"/>
  <c r="I17" i="28"/>
  <c r="K16" i="28"/>
  <c r="I16" i="28"/>
  <c r="K15" i="28"/>
  <c r="I15" i="28"/>
  <c r="S19" i="24"/>
  <c r="S21" i="24"/>
  <c r="S22" i="24"/>
  <c r="S12" i="24"/>
  <c r="DV10" i="32"/>
  <c r="DW10" i="32"/>
  <c r="DV13" i="32"/>
  <c r="DW13" i="32"/>
  <c r="DV31" i="32"/>
  <c r="DW31" i="32"/>
  <c r="DV34" i="32"/>
  <c r="DW34" i="32"/>
  <c r="DV38" i="32"/>
  <c r="DW38" i="32"/>
  <c r="N36" i="32"/>
  <c r="N35" i="32"/>
  <c r="N34" i="32" s="1"/>
  <c r="N33" i="32"/>
  <c r="N32" i="32"/>
  <c r="N31" i="32" s="1"/>
  <c r="N30" i="32"/>
  <c r="N14" i="32"/>
  <c r="N12" i="32"/>
  <c r="N11" i="32"/>
  <c r="N10" i="32"/>
  <c r="M36" i="32"/>
  <c r="M35" i="32"/>
  <c r="M34" i="32" s="1"/>
  <c r="M33" i="32"/>
  <c r="M32" i="32"/>
  <c r="M31" i="32"/>
  <c r="M30" i="32"/>
  <c r="M14" i="32"/>
  <c r="M12" i="32"/>
  <c r="M11" i="32"/>
  <c r="EY38" i="32"/>
  <c r="EX38" i="32"/>
  <c r="EV38" i="32"/>
  <c r="EU38" i="32"/>
  <c r="ES38" i="32"/>
  <c r="ER38" i="32"/>
  <c r="EP38" i="32"/>
  <c r="EO38" i="32"/>
  <c r="EM38" i="32"/>
  <c r="EL38" i="32"/>
  <c r="EY34" i="32"/>
  <c r="EX34" i="32"/>
  <c r="EV34" i="32"/>
  <c r="EU34" i="32"/>
  <c r="ES34" i="32"/>
  <c r="ER34" i="32"/>
  <c r="EP34" i="32"/>
  <c r="EO34" i="32"/>
  <c r="EM34" i="32"/>
  <c r="EL34" i="32"/>
  <c r="EY31" i="32"/>
  <c r="EY37" i="32" s="1"/>
  <c r="EY41" i="32" s="1"/>
  <c r="EX31" i="32"/>
  <c r="EV31" i="32"/>
  <c r="EU31" i="32"/>
  <c r="EU37" i="32"/>
  <c r="EU41" i="32" s="1"/>
  <c r="ES31" i="32"/>
  <c r="ER31" i="32"/>
  <c r="EP31" i="32"/>
  <c r="EO31" i="32"/>
  <c r="EM31" i="32"/>
  <c r="EL31" i="32"/>
  <c r="EY13" i="32"/>
  <c r="EX13" i="32"/>
  <c r="EV13" i="32"/>
  <c r="EU13" i="32"/>
  <c r="ES13" i="32"/>
  <c r="ES37" i="32"/>
  <c r="ES41" i="32" s="1"/>
  <c r="ER13" i="32"/>
  <c r="EP13" i="32"/>
  <c r="EO13" i="32"/>
  <c r="EM13" i="32"/>
  <c r="EL13" i="32"/>
  <c r="EY10" i="32"/>
  <c r="EX10" i="32"/>
  <c r="EX37" i="32" s="1"/>
  <c r="EX41" i="32"/>
  <c r="EV10" i="32"/>
  <c r="EU10" i="32"/>
  <c r="ES10" i="32"/>
  <c r="ER10" i="32"/>
  <c r="ER37" i="32"/>
  <c r="ER41" i="32" s="1"/>
  <c r="EP10" i="32"/>
  <c r="EO10" i="32"/>
  <c r="EO37" i="32" s="1"/>
  <c r="EO41" i="32" s="1"/>
  <c r="EM10" i="32"/>
  <c r="EM37" i="32" s="1"/>
  <c r="EL10" i="32"/>
  <c r="EL37" i="32"/>
  <c r="EL41" i="32" s="1"/>
  <c r="EI38" i="32"/>
  <c r="EH38" i="32"/>
  <c r="EF38" i="32"/>
  <c r="EE38" i="32"/>
  <c r="EC38" i="32"/>
  <c r="EB38" i="32"/>
  <c r="DZ38" i="32"/>
  <c r="DY38" i="32"/>
  <c r="EI34" i="32"/>
  <c r="EH34" i="32"/>
  <c r="EF34" i="32"/>
  <c r="EE34" i="32"/>
  <c r="EC34" i="32"/>
  <c r="EB34" i="32"/>
  <c r="DZ34" i="32"/>
  <c r="DY34" i="32"/>
  <c r="EI31" i="32"/>
  <c r="EH31" i="32"/>
  <c r="EF31" i="32"/>
  <c r="EE31" i="32"/>
  <c r="EC31" i="32"/>
  <c r="EB31" i="32"/>
  <c r="DZ31" i="32"/>
  <c r="DY31" i="32"/>
  <c r="EI13" i="32"/>
  <c r="EH13" i="32"/>
  <c r="EH37" i="32"/>
  <c r="EH41" i="32" s="1"/>
  <c r="EF13" i="32"/>
  <c r="EE13" i="32"/>
  <c r="EC13" i="32"/>
  <c r="EB13" i="32"/>
  <c r="DZ13" i="32"/>
  <c r="DY13" i="32"/>
  <c r="EI10" i="32"/>
  <c r="EI37" i="32"/>
  <c r="EI41" i="32" s="1"/>
  <c r="EH10" i="32"/>
  <c r="EF10" i="32"/>
  <c r="EF37" i="32" s="1"/>
  <c r="EF41" i="32" s="1"/>
  <c r="EE10" i="32"/>
  <c r="EE37" i="32" s="1"/>
  <c r="EE41" i="32" s="1"/>
  <c r="EC10" i="32"/>
  <c r="EC37" i="32" s="1"/>
  <c r="EC41" i="32" s="1"/>
  <c r="EB10" i="32"/>
  <c r="EB37" i="32"/>
  <c r="EB41" i="32" s="1"/>
  <c r="DZ10" i="32"/>
  <c r="DY10" i="32"/>
  <c r="DY37" i="32"/>
  <c r="DY41" i="32" s="1"/>
  <c r="DT38" i="32"/>
  <c r="DS38" i="32"/>
  <c r="DQ38" i="32"/>
  <c r="DP38" i="32"/>
  <c r="DT34" i="32"/>
  <c r="DS34" i="32"/>
  <c r="DQ34" i="32"/>
  <c r="DP34" i="32"/>
  <c r="DT31" i="32"/>
  <c r="DS31" i="32"/>
  <c r="DQ31" i="32"/>
  <c r="DP31" i="32"/>
  <c r="DT13" i="32"/>
  <c r="DS13" i="32"/>
  <c r="DS37" i="32"/>
  <c r="DS41" i="32" s="1"/>
  <c r="DQ13" i="32"/>
  <c r="DP13" i="32"/>
  <c r="DT10" i="32"/>
  <c r="DT37" i="32" s="1"/>
  <c r="DT41" i="32" s="1"/>
  <c r="DS10" i="32"/>
  <c r="DQ10" i="32"/>
  <c r="DP10" i="32"/>
  <c r="DP37" i="32" s="1"/>
  <c r="DP41" i="32" s="1"/>
  <c r="L36" i="32"/>
  <c r="K36" i="32"/>
  <c r="J36" i="32"/>
  <c r="I36" i="32"/>
  <c r="H36" i="32"/>
  <c r="H34" i="32" s="1"/>
  <c r="G36" i="32"/>
  <c r="F36" i="32"/>
  <c r="E36" i="32"/>
  <c r="L35" i="32"/>
  <c r="L34" i="32" s="1"/>
  <c r="K35" i="32"/>
  <c r="K34" i="32" s="1"/>
  <c r="J35" i="32"/>
  <c r="J34" i="32"/>
  <c r="I35" i="32"/>
  <c r="H35" i="32"/>
  <c r="G35" i="32"/>
  <c r="F35" i="32"/>
  <c r="F34" i="32" s="1"/>
  <c r="E35" i="32"/>
  <c r="L33" i="32"/>
  <c r="L31" i="32" s="1"/>
  <c r="K33" i="32"/>
  <c r="J33" i="32"/>
  <c r="I33" i="32"/>
  <c r="I31" i="32"/>
  <c r="H33" i="32"/>
  <c r="G33" i="32"/>
  <c r="F33" i="32"/>
  <c r="E33" i="32"/>
  <c r="L32" i="32"/>
  <c r="K32" i="32"/>
  <c r="J32" i="32"/>
  <c r="J31" i="32" s="1"/>
  <c r="I32" i="32"/>
  <c r="H32" i="32"/>
  <c r="G32" i="32"/>
  <c r="G31" i="32" s="1"/>
  <c r="F32" i="32"/>
  <c r="F31" i="32" s="1"/>
  <c r="E32" i="32"/>
  <c r="L30" i="32"/>
  <c r="L13" i="32" s="1"/>
  <c r="L37" i="32" s="1"/>
  <c r="L41" i="32" s="1"/>
  <c r="K30" i="32"/>
  <c r="J30" i="32"/>
  <c r="I30" i="32"/>
  <c r="H30" i="32"/>
  <c r="G30" i="32"/>
  <c r="F30" i="32"/>
  <c r="E30" i="32"/>
  <c r="L14" i="32"/>
  <c r="K14" i="32"/>
  <c r="J14" i="32"/>
  <c r="J13" i="32" s="1"/>
  <c r="I14" i="32"/>
  <c r="H14" i="32"/>
  <c r="H13" i="32" s="1"/>
  <c r="H37" i="32" s="1"/>
  <c r="H41" i="32" s="1"/>
  <c r="G14" i="32"/>
  <c r="F14" i="32"/>
  <c r="E14" i="32"/>
  <c r="E13" i="32" s="1"/>
  <c r="L12" i="32"/>
  <c r="K12" i="32"/>
  <c r="J12" i="32"/>
  <c r="I12" i="32"/>
  <c r="H12" i="32"/>
  <c r="G12" i="32"/>
  <c r="F12" i="32"/>
  <c r="E12" i="32"/>
  <c r="L11" i="32"/>
  <c r="L10" i="32" s="1"/>
  <c r="K11" i="32"/>
  <c r="K10" i="32" s="1"/>
  <c r="J11" i="32"/>
  <c r="J10" i="32"/>
  <c r="I11" i="32"/>
  <c r="I10" i="32"/>
  <c r="H11" i="32"/>
  <c r="H10" i="32" s="1"/>
  <c r="G11" i="32"/>
  <c r="F11" i="32"/>
  <c r="F10" i="32" s="1"/>
  <c r="E11" i="32"/>
  <c r="E10" i="32" s="1"/>
  <c r="AB38" i="32"/>
  <c r="AA38" i="32"/>
  <c r="Y38" i="32"/>
  <c r="X38" i="32"/>
  <c r="V38" i="32"/>
  <c r="U38" i="32"/>
  <c r="S38" i="32"/>
  <c r="R38" i="32"/>
  <c r="P38" i="32"/>
  <c r="O38" i="32"/>
  <c r="AB34" i="32"/>
  <c r="AA34" i="32"/>
  <c r="Y34" i="32"/>
  <c r="X34" i="32"/>
  <c r="V34" i="32"/>
  <c r="U34" i="32"/>
  <c r="S34" i="32"/>
  <c r="R34" i="32"/>
  <c r="P34" i="32"/>
  <c r="O34" i="32"/>
  <c r="AB31" i="32"/>
  <c r="AA31" i="32"/>
  <c r="Y31" i="32"/>
  <c r="X31" i="32"/>
  <c r="V31" i="32"/>
  <c r="V37" i="32" s="1"/>
  <c r="V41" i="32" s="1"/>
  <c r="U31" i="32"/>
  <c r="S31" i="32"/>
  <c r="R31" i="32"/>
  <c r="P31" i="32"/>
  <c r="O31" i="32"/>
  <c r="AB13" i="32"/>
  <c r="AA13" i="32"/>
  <c r="Y13" i="32"/>
  <c r="Y37" i="32" s="1"/>
  <c r="Y41" i="32" s="1"/>
  <c r="X13" i="32"/>
  <c r="V13" i="32"/>
  <c r="U13" i="32"/>
  <c r="S13" i="32"/>
  <c r="S37" i="32" s="1"/>
  <c r="S41" i="32" s="1"/>
  <c r="R13" i="32"/>
  <c r="R37" i="32" s="1"/>
  <c r="P13" i="32"/>
  <c r="O13" i="32"/>
  <c r="AB10" i="32"/>
  <c r="AB37" i="32" s="1"/>
  <c r="AB41" i="32" s="1"/>
  <c r="AA10" i="32"/>
  <c r="Y10" i="32"/>
  <c r="X10" i="32"/>
  <c r="X37" i="32" s="1"/>
  <c r="X41" i="32" s="1"/>
  <c r="V10" i="32"/>
  <c r="U10" i="32"/>
  <c r="U37" i="32" s="1"/>
  <c r="U41" i="32" s="1"/>
  <c r="S10" i="32"/>
  <c r="R10" i="32"/>
  <c r="R41" i="32"/>
  <c r="P10" i="32"/>
  <c r="P37" i="32" s="1"/>
  <c r="P41" i="32" s="1"/>
  <c r="O10" i="32"/>
  <c r="O37" i="32" s="1"/>
  <c r="O41" i="32" s="1"/>
  <c r="DN38" i="32"/>
  <c r="DM38" i="32"/>
  <c r="DK38" i="32"/>
  <c r="DJ38" i="32"/>
  <c r="DH38" i="32"/>
  <c r="DG38" i="32"/>
  <c r="DE38" i="32"/>
  <c r="DD38" i="32"/>
  <c r="DB38" i="32"/>
  <c r="DA38" i="32"/>
  <c r="DN34" i="32"/>
  <c r="DN37" i="32" s="1"/>
  <c r="DM34" i="32"/>
  <c r="DK34" i="32"/>
  <c r="DJ34" i="32"/>
  <c r="DH34" i="32"/>
  <c r="DG34" i="32"/>
  <c r="DE34" i="32"/>
  <c r="DD34" i="32"/>
  <c r="DB34" i="32"/>
  <c r="DA34" i="32"/>
  <c r="DN31" i="32"/>
  <c r="DM31" i="32"/>
  <c r="DK31" i="32"/>
  <c r="DJ31" i="32"/>
  <c r="DH31" i="32"/>
  <c r="DG31" i="32"/>
  <c r="DE31" i="32"/>
  <c r="DD31" i="32"/>
  <c r="DB31" i="32"/>
  <c r="DA31" i="32"/>
  <c r="DN13" i="32"/>
  <c r="DM13" i="32"/>
  <c r="DK13" i="32"/>
  <c r="DJ13" i="32"/>
  <c r="DH13" i="32"/>
  <c r="DG13" i="32"/>
  <c r="DG37" i="32" s="1"/>
  <c r="DE13" i="32"/>
  <c r="DD13" i="32"/>
  <c r="DB13" i="32"/>
  <c r="DA13" i="32"/>
  <c r="DA37" i="32" s="1"/>
  <c r="DA41" i="32" s="1"/>
  <c r="DN10" i="32"/>
  <c r="DN41" i="32"/>
  <c r="DM10" i="32"/>
  <c r="DK10" i="32"/>
  <c r="DK37" i="32" s="1"/>
  <c r="DK41" i="32" s="1"/>
  <c r="DJ10" i="32"/>
  <c r="DJ37" i="32" s="1"/>
  <c r="DJ41" i="32" s="1"/>
  <c r="DH10" i="32"/>
  <c r="DG10" i="32"/>
  <c r="DG41" i="32"/>
  <c r="DE10" i="32"/>
  <c r="DE37" i="32" s="1"/>
  <c r="DE41" i="32" s="1"/>
  <c r="DD10" i="32"/>
  <c r="DB10" i="32"/>
  <c r="DB37" i="32"/>
  <c r="DB41" i="32" s="1"/>
  <c r="DA10" i="32"/>
  <c r="CY38" i="32"/>
  <c r="CX38" i="32"/>
  <c r="CV38" i="32"/>
  <c r="CU38" i="32"/>
  <c r="CS38" i="32"/>
  <c r="CR38" i="32"/>
  <c r="CP38" i="32"/>
  <c r="CO38" i="32"/>
  <c r="CM38" i="32"/>
  <c r="CL38" i="32"/>
  <c r="CY34" i="32"/>
  <c r="CX34" i="32"/>
  <c r="CV34" i="32"/>
  <c r="CU34" i="32"/>
  <c r="CS34" i="32"/>
  <c r="CR34" i="32"/>
  <c r="CP34" i="32"/>
  <c r="CO34" i="32"/>
  <c r="CM34" i="32"/>
  <c r="CL34" i="32"/>
  <c r="CY31" i="32"/>
  <c r="CX31" i="32"/>
  <c r="CV31" i="32"/>
  <c r="CU31" i="32"/>
  <c r="CS31" i="32"/>
  <c r="CS37" i="32" s="1"/>
  <c r="CS41" i="32" s="1"/>
  <c r="CR31" i="32"/>
  <c r="CP31" i="32"/>
  <c r="CO31" i="32"/>
  <c r="CM31" i="32"/>
  <c r="CL31" i="32"/>
  <c r="CY13" i="32"/>
  <c r="CX13" i="32"/>
  <c r="CV13" i="32"/>
  <c r="CV37" i="32" s="1"/>
  <c r="CV41" i="32" s="1"/>
  <c r="CU13" i="32"/>
  <c r="CS13" i="32"/>
  <c r="CR13" i="32"/>
  <c r="CP13" i="32"/>
  <c r="CO13" i="32"/>
  <c r="CO37" i="32" s="1"/>
  <c r="CM13" i="32"/>
  <c r="CL13" i="32"/>
  <c r="CY10" i="32"/>
  <c r="CY37" i="32" s="1"/>
  <c r="CY41" i="32" s="1"/>
  <c r="CX10" i="32"/>
  <c r="CV10" i="32"/>
  <c r="CU10" i="32"/>
  <c r="CU37" i="32" s="1"/>
  <c r="CU41" i="32" s="1"/>
  <c r="CS10" i="32"/>
  <c r="CR10" i="32"/>
  <c r="CR37" i="32" s="1"/>
  <c r="CR41" i="32" s="1"/>
  <c r="CP10" i="32"/>
  <c r="CO10" i="32"/>
  <c r="CO41" i="32"/>
  <c r="CM10" i="32"/>
  <c r="CM37" i="32" s="1"/>
  <c r="CM41" i="32" s="1"/>
  <c r="CL10" i="32"/>
  <c r="CL37" i="32" s="1"/>
  <c r="CL41" i="32" s="1"/>
  <c r="CJ38" i="32"/>
  <c r="CI38" i="32"/>
  <c r="CG38" i="32"/>
  <c r="CF38" i="32"/>
  <c r="CD38" i="32"/>
  <c r="CC38" i="32"/>
  <c r="CA38" i="32"/>
  <c r="BZ38" i="32"/>
  <c r="BX38" i="32"/>
  <c r="BW38" i="32"/>
  <c r="CJ34" i="32"/>
  <c r="CJ37" i="32" s="1"/>
  <c r="CI34" i="32"/>
  <c r="CG34" i="32"/>
  <c r="CF34" i="32"/>
  <c r="CD34" i="32"/>
  <c r="CC34" i="32"/>
  <c r="CA34" i="32"/>
  <c r="BZ34" i="32"/>
  <c r="BX34" i="32"/>
  <c r="BW34" i="32"/>
  <c r="CJ31" i="32"/>
  <c r="CI31" i="32"/>
  <c r="CG31" i="32"/>
  <c r="CF31" i="32"/>
  <c r="CD31" i="32"/>
  <c r="CC31" i="32"/>
  <c r="CA31" i="32"/>
  <c r="BZ31" i="32"/>
  <c r="BX31" i="32"/>
  <c r="BW31" i="32"/>
  <c r="CJ13" i="32"/>
  <c r="CI13" i="32"/>
  <c r="CG13" i="32"/>
  <c r="CF13" i="32"/>
  <c r="CD13" i="32"/>
  <c r="CC13" i="32"/>
  <c r="CC37" i="32" s="1"/>
  <c r="CA13" i="32"/>
  <c r="BZ13" i="32"/>
  <c r="BX13" i="32"/>
  <c r="BW13" i="32"/>
  <c r="BW37" i="32" s="1"/>
  <c r="BW41" i="32" s="1"/>
  <c r="CJ10" i="32"/>
  <c r="CJ41" i="32"/>
  <c r="CI10" i="32"/>
  <c r="CG10" i="32"/>
  <c r="CG37" i="32" s="1"/>
  <c r="CG41" i="32" s="1"/>
  <c r="CF10" i="32"/>
  <c r="CF37" i="32" s="1"/>
  <c r="CF41" i="32" s="1"/>
  <c r="CD10" i="32"/>
  <c r="CC10" i="32"/>
  <c r="CC41" i="32"/>
  <c r="CA10" i="32"/>
  <c r="CA37" i="32" s="1"/>
  <c r="CA41" i="32" s="1"/>
  <c r="BZ10" i="32"/>
  <c r="BX10" i="32"/>
  <c r="BX37" i="32"/>
  <c r="BX41" i="32" s="1"/>
  <c r="BW10" i="32"/>
  <c r="AD10" i="32"/>
  <c r="AE10" i="32"/>
  <c r="AG10" i="32"/>
  <c r="AH10" i="32"/>
  <c r="AJ10" i="32"/>
  <c r="AK10" i="32"/>
  <c r="AM10" i="32"/>
  <c r="AN10" i="32"/>
  <c r="AP10" i="32"/>
  <c r="AP37" i="32" s="1"/>
  <c r="AQ10" i="32"/>
  <c r="AS10" i="32"/>
  <c r="AT10" i="32"/>
  <c r="AV10" i="32"/>
  <c r="AW10" i="32"/>
  <c r="AY10" i="32"/>
  <c r="AZ10" i="32"/>
  <c r="BB10" i="32"/>
  <c r="BC10" i="32"/>
  <c r="BE10" i="32"/>
  <c r="BF10" i="32"/>
  <c r="BH10" i="32"/>
  <c r="BI10" i="32"/>
  <c r="BK10" i="32"/>
  <c r="BL10" i="32"/>
  <c r="BN10" i="32"/>
  <c r="BO10" i="32"/>
  <c r="BQ10" i="32"/>
  <c r="BR10" i="32"/>
  <c r="BT10" i="32"/>
  <c r="BU10" i="32"/>
  <c r="D12" i="32"/>
  <c r="AD13" i="32"/>
  <c r="AE13" i="32"/>
  <c r="AG13" i="32"/>
  <c r="AH13" i="32"/>
  <c r="AJ13" i="32"/>
  <c r="AK13" i="32"/>
  <c r="AM13" i="32"/>
  <c r="AN13" i="32"/>
  <c r="AP13" i="32"/>
  <c r="AQ13" i="32"/>
  <c r="AS13" i="32"/>
  <c r="AT13" i="32"/>
  <c r="AV13" i="32"/>
  <c r="AW13" i="32"/>
  <c r="AY13" i="32"/>
  <c r="AZ13" i="32"/>
  <c r="BB13" i="32"/>
  <c r="BC13" i="32"/>
  <c r="BE13" i="32"/>
  <c r="BF13" i="32"/>
  <c r="BH13" i="32"/>
  <c r="BH37" i="32" s="1"/>
  <c r="BH41" i="32" s="1"/>
  <c r="BI13" i="32"/>
  <c r="BK13" i="32"/>
  <c r="BL13" i="32"/>
  <c r="BN13" i="32"/>
  <c r="BO13" i="32"/>
  <c r="BQ13" i="32"/>
  <c r="BR13" i="32"/>
  <c r="BT13" i="32"/>
  <c r="BT37" i="32" s="1"/>
  <c r="BT41" i="32" s="1"/>
  <c r="BU13" i="32"/>
  <c r="BU37" i="32" s="1"/>
  <c r="BU41" i="32" s="1"/>
  <c r="D30" i="32"/>
  <c r="AD31" i="32"/>
  <c r="AE31" i="32"/>
  <c r="AE37" i="32" s="1"/>
  <c r="AE41" i="32" s="1"/>
  <c r="AG31" i="32"/>
  <c r="AH31" i="32"/>
  <c r="AJ31" i="32"/>
  <c r="AK31" i="32"/>
  <c r="AM31" i="32"/>
  <c r="AN31" i="32"/>
  <c r="AP31" i="32"/>
  <c r="AP41" i="32"/>
  <c r="AQ31" i="32"/>
  <c r="AS31" i="32"/>
  <c r="AT31" i="32"/>
  <c r="AV31" i="32"/>
  <c r="AW31" i="32"/>
  <c r="AY31" i="32"/>
  <c r="AZ31" i="32"/>
  <c r="BB31" i="32"/>
  <c r="BC31" i="32"/>
  <c r="BC37" i="32" s="1"/>
  <c r="BC41" i="32" s="1"/>
  <c r="BE31" i="32"/>
  <c r="BF31" i="32"/>
  <c r="BH31" i="32"/>
  <c r="BI31" i="32"/>
  <c r="BK31" i="32"/>
  <c r="BL31" i="32"/>
  <c r="BN31" i="32"/>
  <c r="BO31" i="32"/>
  <c r="BO37" i="32" s="1"/>
  <c r="BO41" i="32" s="1"/>
  <c r="BQ31" i="32"/>
  <c r="BR31" i="32"/>
  <c r="BT31" i="32"/>
  <c r="BU31" i="32"/>
  <c r="D33" i="32"/>
  <c r="AD34" i="32"/>
  <c r="AD37" i="32"/>
  <c r="AD41" i="32" s="1"/>
  <c r="AE34" i="32"/>
  <c r="AG34" i="32"/>
  <c r="AH34" i="32"/>
  <c r="AJ34" i="32"/>
  <c r="AK34" i="32"/>
  <c r="AM34" i="32"/>
  <c r="AN34" i="32"/>
  <c r="AP34" i="32"/>
  <c r="AQ34" i="32"/>
  <c r="AS34" i="32"/>
  <c r="AT34" i="32"/>
  <c r="AV34" i="32"/>
  <c r="AW34" i="32"/>
  <c r="AY34" i="32"/>
  <c r="AZ34" i="32"/>
  <c r="AZ37" i="32" s="1"/>
  <c r="AZ41" i="32" s="1"/>
  <c r="BB34" i="32"/>
  <c r="BC34" i="32"/>
  <c r="BE34" i="32"/>
  <c r="BF34" i="32"/>
  <c r="BH34" i="32"/>
  <c r="BI34" i="32"/>
  <c r="BK34" i="32"/>
  <c r="BL34" i="32"/>
  <c r="BL37" i="32" s="1"/>
  <c r="BL41" i="32" s="1"/>
  <c r="BN34" i="32"/>
  <c r="BO34" i="32"/>
  <c r="BQ34" i="32"/>
  <c r="BR34" i="32"/>
  <c r="BT34" i="32"/>
  <c r="BU34" i="32"/>
  <c r="D36" i="32"/>
  <c r="AQ37" i="32"/>
  <c r="AQ41" i="32" s="1"/>
  <c r="AW37" i="32"/>
  <c r="BI37" i="32"/>
  <c r="BI41" i="32" s="1"/>
  <c r="AD38" i="32"/>
  <c r="AE38" i="32"/>
  <c r="AG38" i="32"/>
  <c r="AH38" i="32"/>
  <c r="AJ38" i="32"/>
  <c r="AK38" i="32"/>
  <c r="AM38" i="32"/>
  <c r="AN38" i="32"/>
  <c r="AP38" i="32"/>
  <c r="AQ38" i="32"/>
  <c r="AS38" i="32"/>
  <c r="AT38" i="32"/>
  <c r="AV38" i="32"/>
  <c r="AW38" i="32"/>
  <c r="AY38" i="32"/>
  <c r="AZ38" i="32"/>
  <c r="BB38" i="32"/>
  <c r="BC38" i="32"/>
  <c r="BE38" i="32"/>
  <c r="BF38" i="32"/>
  <c r="BH38" i="32"/>
  <c r="BI38" i="32"/>
  <c r="BK38" i="32"/>
  <c r="BL38" i="32"/>
  <c r="BN38" i="32"/>
  <c r="BO38" i="32"/>
  <c r="BQ38" i="32"/>
  <c r="BR38" i="32"/>
  <c r="BT38" i="32"/>
  <c r="BU38" i="32"/>
  <c r="D40" i="32"/>
  <c r="F10" i="29"/>
  <c r="D12" i="29"/>
  <c r="F13" i="29"/>
  <c r="F22" i="29" s="1"/>
  <c r="F26" i="29" s="1"/>
  <c r="D15" i="29"/>
  <c r="F16" i="29"/>
  <c r="D18" i="29"/>
  <c r="F19" i="29"/>
  <c r="D21" i="29"/>
  <c r="F23" i="29"/>
  <c r="D25" i="29"/>
  <c r="Z10" i="24"/>
  <c r="Z11" i="24"/>
  <c r="I12" i="24"/>
  <c r="J12" i="24"/>
  <c r="K12" i="24"/>
  <c r="L12" i="24"/>
  <c r="M12" i="24"/>
  <c r="N12" i="24"/>
  <c r="O12" i="24"/>
  <c r="P12" i="24"/>
  <c r="Q12" i="24"/>
  <c r="R12" i="24"/>
  <c r="T12" i="24"/>
  <c r="U12" i="24"/>
  <c r="V12" i="24"/>
  <c r="W12" i="24"/>
  <c r="X12" i="24"/>
  <c r="Y12" i="24"/>
  <c r="Z14" i="24"/>
  <c r="Z15" i="24"/>
  <c r="Z16" i="24"/>
  <c r="Z17" i="24"/>
  <c r="Z18" i="24"/>
  <c r="I19" i="24"/>
  <c r="I21" i="24" s="1"/>
  <c r="J19" i="24"/>
  <c r="J21" i="24" s="1"/>
  <c r="K19" i="24"/>
  <c r="K22" i="24" s="1"/>
  <c r="L19" i="24"/>
  <c r="L21" i="24"/>
  <c r="M19" i="24"/>
  <c r="N19" i="24"/>
  <c r="O19" i="24"/>
  <c r="O22" i="24"/>
  <c r="O21" i="24"/>
  <c r="P19" i="24"/>
  <c r="Q19" i="24"/>
  <c r="R19" i="24"/>
  <c r="T19" i="24"/>
  <c r="T21" i="24" s="1"/>
  <c r="U19" i="24"/>
  <c r="U21" i="24" s="1"/>
  <c r="V19" i="24"/>
  <c r="W19" i="24"/>
  <c r="W22" i="24" s="1"/>
  <c r="W21" i="24"/>
  <c r="X19" i="24"/>
  <c r="X21" i="24" s="1"/>
  <c r="Y19" i="24"/>
  <c r="M21" i="24"/>
  <c r="N21" i="24"/>
  <c r="Q21" i="24"/>
  <c r="V21" i="24"/>
  <c r="Y21" i="24"/>
  <c r="I22" i="24"/>
  <c r="M22" i="24"/>
  <c r="N22" i="24"/>
  <c r="Q22" i="24"/>
  <c r="V22" i="24"/>
  <c r="Y22" i="24"/>
  <c r="E10" i="23"/>
  <c r="F10" i="23"/>
  <c r="G10" i="23"/>
  <c r="H10" i="23"/>
  <c r="I10" i="23"/>
  <c r="J10" i="23"/>
  <c r="K10" i="23"/>
  <c r="K37" i="23" s="1"/>
  <c r="L10" i="23"/>
  <c r="M10" i="23"/>
  <c r="N10" i="23"/>
  <c r="Q10" i="23"/>
  <c r="Q37" i="23" s="1"/>
  <c r="Q41" i="23" s="1"/>
  <c r="R10" i="23"/>
  <c r="S10" i="23"/>
  <c r="T10" i="23"/>
  <c r="U10" i="23"/>
  <c r="V10" i="23"/>
  <c r="W10" i="23"/>
  <c r="X10" i="23"/>
  <c r="Y10" i="23"/>
  <c r="Z10" i="23"/>
  <c r="P11" i="23"/>
  <c r="AB11" i="23"/>
  <c r="D12" i="23"/>
  <c r="E13" i="23"/>
  <c r="F13" i="23"/>
  <c r="G13" i="23"/>
  <c r="H13" i="23"/>
  <c r="I13" i="23"/>
  <c r="J13" i="23"/>
  <c r="K13" i="23"/>
  <c r="L13" i="23"/>
  <c r="L37" i="23" s="1"/>
  <c r="L41" i="23" s="1"/>
  <c r="M13" i="23"/>
  <c r="N13" i="23"/>
  <c r="Q13" i="23"/>
  <c r="R13" i="23"/>
  <c r="S13" i="23"/>
  <c r="T13" i="23"/>
  <c r="U13" i="23"/>
  <c r="V13" i="23"/>
  <c r="V37" i="23"/>
  <c r="V41" i="23" s="1"/>
  <c r="W13" i="23"/>
  <c r="X13" i="23"/>
  <c r="Y13" i="23"/>
  <c r="Z13" i="23"/>
  <c r="P14" i="23"/>
  <c r="AB14" i="23"/>
  <c r="D30" i="23"/>
  <c r="E31" i="23"/>
  <c r="F31" i="23"/>
  <c r="P31" i="23" s="1"/>
  <c r="G31" i="23"/>
  <c r="H31" i="23"/>
  <c r="I31" i="23"/>
  <c r="J31" i="23"/>
  <c r="J37" i="23"/>
  <c r="J41" i="23" s="1"/>
  <c r="K31" i="23"/>
  <c r="L31" i="23"/>
  <c r="M31" i="23"/>
  <c r="N31" i="23"/>
  <c r="Q31" i="23"/>
  <c r="R31" i="23"/>
  <c r="S31" i="23"/>
  <c r="T31" i="23"/>
  <c r="U31" i="23"/>
  <c r="V31" i="23"/>
  <c r="W31" i="23"/>
  <c r="X31" i="23"/>
  <c r="X37" i="23" s="1"/>
  <c r="X41" i="23" s="1"/>
  <c r="Y31" i="23"/>
  <c r="Z31" i="23"/>
  <c r="AB31" i="23" s="1"/>
  <c r="P32" i="23"/>
  <c r="AB32" i="23"/>
  <c r="D33" i="23"/>
  <c r="E34" i="23"/>
  <c r="E37" i="23" s="1"/>
  <c r="E41" i="23" s="1"/>
  <c r="F34" i="23"/>
  <c r="G34" i="23"/>
  <c r="H34" i="23"/>
  <c r="H37" i="23" s="1"/>
  <c r="H41" i="23" s="1"/>
  <c r="I34" i="23"/>
  <c r="I37" i="23" s="1"/>
  <c r="I41" i="23" s="1"/>
  <c r="J34" i="23"/>
  <c r="K34" i="23"/>
  <c r="L34" i="23"/>
  <c r="M34" i="23"/>
  <c r="N34" i="23"/>
  <c r="N37" i="23" s="1"/>
  <c r="N41" i="23" s="1"/>
  <c r="O34" i="23"/>
  <c r="O37" i="23" s="1"/>
  <c r="Q34" i="23"/>
  <c r="R34" i="23"/>
  <c r="S34" i="23"/>
  <c r="T34" i="23"/>
  <c r="U34" i="23"/>
  <c r="U37" i="23"/>
  <c r="V34" i="23"/>
  <c r="W34" i="23"/>
  <c r="X34" i="23"/>
  <c r="Y34" i="23"/>
  <c r="Z34" i="23"/>
  <c r="AA34" i="23"/>
  <c r="AA37" i="23" s="1"/>
  <c r="P35" i="23"/>
  <c r="P34" i="23"/>
  <c r="AB35" i="23"/>
  <c r="D36" i="23"/>
  <c r="E38" i="23"/>
  <c r="F38" i="23"/>
  <c r="G38" i="23"/>
  <c r="H38" i="23"/>
  <c r="I38" i="23"/>
  <c r="J38" i="23"/>
  <c r="K38" i="23"/>
  <c r="L38" i="23"/>
  <c r="M38" i="23"/>
  <c r="N38" i="23"/>
  <c r="O38" i="23"/>
  <c r="Q38" i="23"/>
  <c r="R38" i="23"/>
  <c r="S38" i="23"/>
  <c r="T38" i="23"/>
  <c r="U38" i="23"/>
  <c r="U41" i="23" s="1"/>
  <c r="V38" i="23"/>
  <c r="W38" i="23"/>
  <c r="X38" i="23"/>
  <c r="Y38" i="23"/>
  <c r="Z38" i="23"/>
  <c r="AA38" i="23"/>
  <c r="AB38" i="23"/>
  <c r="P39" i="23"/>
  <c r="P38" i="23" s="1"/>
  <c r="AB39" i="23"/>
  <c r="D40" i="23"/>
  <c r="E10" i="28"/>
  <c r="F10" i="28"/>
  <c r="G10" i="28"/>
  <c r="H10" i="28"/>
  <c r="J10" i="28"/>
  <c r="L10" i="28"/>
  <c r="M10" i="28"/>
  <c r="N10" i="28"/>
  <c r="O10" i="28"/>
  <c r="I11" i="28"/>
  <c r="I10" i="28" s="1"/>
  <c r="D12" i="28"/>
  <c r="E13" i="28"/>
  <c r="F13" i="28"/>
  <c r="G13" i="28"/>
  <c r="G37" i="28" s="1"/>
  <c r="H13" i="28"/>
  <c r="J13" i="28"/>
  <c r="L13" i="28"/>
  <c r="M13" i="28"/>
  <c r="N13" i="28"/>
  <c r="O13" i="28"/>
  <c r="I14" i="28"/>
  <c r="I13" i="28" s="1"/>
  <c r="D30" i="28"/>
  <c r="E31" i="28"/>
  <c r="E37" i="28" s="1"/>
  <c r="E41" i="28" s="1"/>
  <c r="F31" i="28"/>
  <c r="G31" i="28"/>
  <c r="H31" i="28"/>
  <c r="H37" i="28" s="1"/>
  <c r="H41" i="28" s="1"/>
  <c r="J31" i="28"/>
  <c r="J37" i="28" s="1"/>
  <c r="J41" i="28" s="1"/>
  <c r="L31" i="28"/>
  <c r="M31" i="28"/>
  <c r="N31" i="28"/>
  <c r="O31" i="28"/>
  <c r="O37" i="28" s="1"/>
  <c r="O41" i="28" s="1"/>
  <c r="I32" i="28"/>
  <c r="I31" i="28" s="1"/>
  <c r="D33" i="28"/>
  <c r="E34" i="28"/>
  <c r="F34" i="28"/>
  <c r="G34" i="28"/>
  <c r="H34" i="28"/>
  <c r="J34" i="28"/>
  <c r="L34" i="28"/>
  <c r="M34" i="28"/>
  <c r="N34" i="28"/>
  <c r="O34" i="28"/>
  <c r="I35" i="28"/>
  <c r="K35" i="28" s="1"/>
  <c r="K34" i="28"/>
  <c r="D36" i="28"/>
  <c r="E38" i="28"/>
  <c r="F38" i="28"/>
  <c r="G38" i="28"/>
  <c r="H38" i="28"/>
  <c r="J38" i="28"/>
  <c r="L38" i="28"/>
  <c r="M38" i="28"/>
  <c r="N38" i="28"/>
  <c r="O38" i="28"/>
  <c r="I39" i="28"/>
  <c r="K39" i="28"/>
  <c r="K38" i="28" s="1"/>
  <c r="D40" i="28"/>
  <c r="E10" i="21"/>
  <c r="F10" i="21"/>
  <c r="G10" i="21"/>
  <c r="H10" i="21"/>
  <c r="I10" i="21"/>
  <c r="J10" i="21"/>
  <c r="K10" i="21"/>
  <c r="L10" i="21"/>
  <c r="M10" i="21"/>
  <c r="N10" i="21"/>
  <c r="O10" i="21"/>
  <c r="D12" i="21"/>
  <c r="E13" i="21"/>
  <c r="F13" i="21"/>
  <c r="G13" i="21"/>
  <c r="H13" i="21"/>
  <c r="I13" i="21"/>
  <c r="J13" i="21"/>
  <c r="K13" i="21"/>
  <c r="L13" i="21"/>
  <c r="M13" i="21"/>
  <c r="N13" i="21"/>
  <c r="O13" i="21"/>
  <c r="D30" i="21"/>
  <c r="E31" i="21"/>
  <c r="F31" i="21"/>
  <c r="G31" i="21"/>
  <c r="H31" i="21"/>
  <c r="I31" i="21"/>
  <c r="J31" i="21"/>
  <c r="K31" i="21"/>
  <c r="L31" i="21"/>
  <c r="M31" i="21"/>
  <c r="N31" i="21"/>
  <c r="O31" i="21"/>
  <c r="D33" i="21"/>
  <c r="E34" i="21"/>
  <c r="F34" i="21"/>
  <c r="G34" i="21"/>
  <c r="H34" i="21"/>
  <c r="I34" i="21"/>
  <c r="J34" i="21"/>
  <c r="K34" i="21"/>
  <c r="L34" i="21"/>
  <c r="M34" i="21"/>
  <c r="N34" i="21"/>
  <c r="O34" i="21"/>
  <c r="D36" i="21"/>
  <c r="E37" i="21"/>
  <c r="F37" i="21"/>
  <c r="F41" i="21" s="1"/>
  <c r="G37" i="21"/>
  <c r="G41" i="21" s="1"/>
  <c r="I37" i="21"/>
  <c r="M37" i="21"/>
  <c r="E38" i="21"/>
  <c r="E41" i="21" s="1"/>
  <c r="F38" i="21"/>
  <c r="G38" i="21"/>
  <c r="H38" i="21"/>
  <c r="I38" i="21"/>
  <c r="J38" i="21"/>
  <c r="K38" i="21"/>
  <c r="L38" i="21"/>
  <c r="M38" i="21"/>
  <c r="N38" i="21"/>
  <c r="O38" i="21"/>
  <c r="D40" i="21"/>
  <c r="E10" i="4"/>
  <c r="E37" i="4" s="1"/>
  <c r="F10" i="4"/>
  <c r="G10" i="4"/>
  <c r="G37" i="4"/>
  <c r="G41" i="4" s="1"/>
  <c r="H10" i="4"/>
  <c r="I10" i="4"/>
  <c r="J10" i="4"/>
  <c r="K10" i="4"/>
  <c r="L10" i="4"/>
  <c r="M10" i="4"/>
  <c r="N10" i="4"/>
  <c r="D12" i="4"/>
  <c r="E13" i="4"/>
  <c r="F13" i="4"/>
  <c r="G13" i="4"/>
  <c r="H13" i="4"/>
  <c r="I13" i="4"/>
  <c r="J13" i="4"/>
  <c r="K13" i="4"/>
  <c r="L13" i="4"/>
  <c r="M13" i="4"/>
  <c r="N13" i="4"/>
  <c r="D30" i="4"/>
  <c r="E31" i="4"/>
  <c r="E41" i="4"/>
  <c r="F31" i="4"/>
  <c r="G31" i="4"/>
  <c r="H31" i="4"/>
  <c r="I31" i="4"/>
  <c r="J31" i="4"/>
  <c r="K31" i="4"/>
  <c r="L31" i="4"/>
  <c r="M31" i="4"/>
  <c r="N31" i="4"/>
  <c r="D33" i="4"/>
  <c r="E34" i="4"/>
  <c r="F34" i="4"/>
  <c r="F37" i="4" s="1"/>
  <c r="F41" i="4" s="1"/>
  <c r="G34" i="4"/>
  <c r="H34" i="4"/>
  <c r="H37" i="4" s="1"/>
  <c r="H41" i="4" s="1"/>
  <c r="I34" i="4"/>
  <c r="J34" i="4"/>
  <c r="K34" i="4"/>
  <c r="L34" i="4"/>
  <c r="M34" i="4"/>
  <c r="N34" i="4"/>
  <c r="D36" i="4"/>
  <c r="E38" i="4"/>
  <c r="F38" i="4"/>
  <c r="G38" i="4"/>
  <c r="H38" i="4"/>
  <c r="I38" i="4"/>
  <c r="J38" i="4"/>
  <c r="K38" i="4"/>
  <c r="L38" i="4"/>
  <c r="M38" i="4"/>
  <c r="N38" i="4"/>
  <c r="D40" i="4"/>
  <c r="K31" i="32"/>
  <c r="E31" i="32"/>
  <c r="E37" i="32"/>
  <c r="E41" i="32" s="1"/>
  <c r="M10" i="32"/>
  <c r="G10" i="32"/>
  <c r="I34" i="32"/>
  <c r="G34" i="32"/>
  <c r="E34" i="32"/>
  <c r="H31" i="32"/>
  <c r="I13" i="32"/>
  <c r="G13" i="32"/>
  <c r="K11" i="28"/>
  <c r="K10" i="28" s="1"/>
  <c r="K32" i="28"/>
  <c r="K31" i="28"/>
  <c r="I41" i="21"/>
  <c r="M37" i="23"/>
  <c r="M41" i="23"/>
  <c r="L37" i="4"/>
  <c r="L41" i="4" s="1"/>
  <c r="K41" i="23"/>
  <c r="M41" i="21"/>
  <c r="L37" i="21"/>
  <c r="H37" i="21"/>
  <c r="H41" i="21" s="1"/>
  <c r="F37" i="28"/>
  <c r="F41" i="28" s="1"/>
  <c r="I34" i="28"/>
  <c r="M37" i="28"/>
  <c r="M41" i="28" s="1"/>
  <c r="I38" i="28"/>
  <c r="DW37" i="32"/>
  <c r="DW41" i="32" s="1"/>
  <c r="O37" i="21"/>
  <c r="O41" i="21" s="1"/>
  <c r="N37" i="28"/>
  <c r="N41" i="28"/>
  <c r="X22" i="24"/>
  <c r="P21" i="24"/>
  <c r="P22" i="24"/>
  <c r="P10" i="23"/>
  <c r="N37" i="4"/>
  <c r="N41" i="4"/>
  <c r="W37" i="23"/>
  <c r="W41" i="23"/>
  <c r="DV37" i="32"/>
  <c r="DV41" i="32"/>
  <c r="K21" i="24"/>
  <c r="CP37" i="32"/>
  <c r="CP41" i="32" s="1"/>
  <c r="DQ37" i="32"/>
  <c r="DQ41" i="32" s="1"/>
  <c r="DZ37" i="32"/>
  <c r="DZ41" i="32" s="1"/>
  <c r="BN37" i="32"/>
  <c r="BN41" i="32" s="1"/>
  <c r="AY37" i="32"/>
  <c r="AY41" i="32"/>
  <c r="AS37" i="32"/>
  <c r="AS41" i="32" s="1"/>
  <c r="BB37" i="32"/>
  <c r="BB41" i="32" s="1"/>
  <c r="AM37" i="32"/>
  <c r="AM41" i="32"/>
  <c r="AG37" i="32"/>
  <c r="AG41" i="32" s="1"/>
  <c r="BQ37" i="32"/>
  <c r="BQ41" i="32"/>
  <c r="AV37" i="32"/>
  <c r="AV41" i="32" s="1"/>
  <c r="AW41" i="32"/>
  <c r="BK37" i="32"/>
  <c r="BK41" i="32"/>
  <c r="BE37" i="32"/>
  <c r="BE41" i="32" s="1"/>
  <c r="AJ37" i="32"/>
  <c r="AJ41" i="32"/>
  <c r="I37" i="32"/>
  <c r="I41" i="32" s="1"/>
  <c r="L22" i="24"/>
  <c r="T22" i="24"/>
  <c r="F13" i="32" l="1"/>
  <c r="F37" i="32" s="1"/>
  <c r="F41" i="32" s="1"/>
  <c r="J37" i="32"/>
  <c r="J41" i="32" s="1"/>
  <c r="N13" i="32"/>
  <c r="N37" i="32" s="1"/>
  <c r="N41" i="32" s="1"/>
  <c r="K13" i="32"/>
  <c r="K37" i="32" s="1"/>
  <c r="K41" i="32" s="1"/>
  <c r="I37" i="28"/>
  <c r="I41" i="28" s="1"/>
  <c r="N37" i="21"/>
  <c r="N41" i="21" s="1"/>
  <c r="AB34" i="23"/>
  <c r="G37" i="23"/>
  <c r="G41" i="23" s="1"/>
  <c r="L41" i="21"/>
  <c r="G37" i="32"/>
  <c r="G41" i="32" s="1"/>
  <c r="K37" i="4"/>
  <c r="K41" i="4" s="1"/>
  <c r="J37" i="4"/>
  <c r="J41" i="4" s="1"/>
  <c r="K14" i="28"/>
  <c r="K13" i="28" s="1"/>
  <c r="K37" i="28" s="1"/>
  <c r="K41" i="28" s="1"/>
  <c r="G41" i="28"/>
  <c r="Z37" i="23"/>
  <c r="Z41" i="23" s="1"/>
  <c r="T37" i="23"/>
  <c r="T41" i="23" s="1"/>
  <c r="AB10" i="23"/>
  <c r="F37" i="23"/>
  <c r="F41" i="23" s="1"/>
  <c r="P41" i="23" s="1"/>
  <c r="U22" i="24"/>
  <c r="J22" i="24"/>
  <c r="Z12" i="24"/>
  <c r="BR37" i="32"/>
  <c r="BR41" i="32" s="1"/>
  <c r="BF37" i="32"/>
  <c r="BF41" i="32" s="1"/>
  <c r="AT37" i="32"/>
  <c r="AT41" i="32" s="1"/>
  <c r="AN37" i="32"/>
  <c r="AN41" i="32" s="1"/>
  <c r="AH37" i="32"/>
  <c r="AH41" i="32" s="1"/>
  <c r="BZ37" i="32"/>
  <c r="BZ41" i="32" s="1"/>
  <c r="CD37" i="32"/>
  <c r="CD41" i="32" s="1"/>
  <c r="CI37" i="32"/>
  <c r="CI41" i="32" s="1"/>
  <c r="DD37" i="32"/>
  <c r="DD41" i="32" s="1"/>
  <c r="DH37" i="32"/>
  <c r="DH41" i="32" s="1"/>
  <c r="DM37" i="32"/>
  <c r="DM41" i="32" s="1"/>
  <c r="EP37" i="32"/>
  <c r="EP41" i="32" s="1"/>
  <c r="J37" i="21"/>
  <c r="J41" i="21" s="1"/>
  <c r="S37" i="23"/>
  <c r="S41" i="23" s="1"/>
  <c r="R37" i="23"/>
  <c r="P13" i="23"/>
  <c r="P37" i="23" s="1"/>
  <c r="Y37" i="23"/>
  <c r="Y41" i="23" s="1"/>
  <c r="R21" i="24"/>
  <c r="R22" i="24"/>
  <c r="AK37" i="32"/>
  <c r="AK41" i="32" s="1"/>
  <c r="Z19" i="24"/>
  <c r="AB13" i="23"/>
  <c r="M37" i="32"/>
  <c r="M41" i="32" s="1"/>
  <c r="M37" i="4"/>
  <c r="M41" i="4" s="1"/>
  <c r="I37" i="4"/>
  <c r="I41" i="4" s="1"/>
  <c r="K37" i="21"/>
  <c r="K41" i="21" s="1"/>
  <c r="L37" i="28"/>
  <c r="L41" i="28" s="1"/>
  <c r="CX37" i="32"/>
  <c r="CX41" i="32" s="1"/>
  <c r="AA37" i="32"/>
  <c r="AA41" i="32" s="1"/>
  <c r="EM41" i="32"/>
  <c r="EV37" i="32"/>
  <c r="EV41" i="32" s="1"/>
  <c r="R41" i="23" l="1"/>
  <c r="AB41" i="23" s="1"/>
  <c r="AB37" i="23"/>
  <c r="Z21" i="24"/>
  <c r="Z22" i="24"/>
</calcChain>
</file>

<file path=xl/sharedStrings.xml><?xml version="1.0" encoding="utf-8"?>
<sst xmlns="http://schemas.openxmlformats.org/spreadsheetml/2006/main" count="876" uniqueCount="297">
  <si>
    <t>200000000000000000</t>
  </si>
  <si>
    <t>100000000000000000</t>
  </si>
  <si>
    <t>Total Assets</t>
  </si>
  <si>
    <t>195501000000000000</t>
  </si>
  <si>
    <t>195400000000000000</t>
  </si>
  <si>
    <t>140150500000000000</t>
  </si>
  <si>
    <t>165150000000000000</t>
  </si>
  <si>
    <t>140150300000000000</t>
  </si>
  <si>
    <t>140150000000000000</t>
  </si>
  <si>
    <t>195350000000000000</t>
  </si>
  <si>
    <t>195300000000000000</t>
  </si>
  <si>
    <t>195250000000000000</t>
  </si>
  <si>
    <t>195200000000000000</t>
  </si>
  <si>
    <t>115000000000000000</t>
  </si>
  <si>
    <t>Total</t>
  </si>
  <si>
    <t>Account Code</t>
  </si>
  <si>
    <t>B.</t>
  </si>
  <si>
    <t>C.</t>
  </si>
  <si>
    <t>Secured</t>
  </si>
  <si>
    <t>Current</t>
  </si>
  <si>
    <t>DOSRI</t>
  </si>
  <si>
    <t>TOTAL</t>
  </si>
  <si>
    <t>610000000000000000</t>
  </si>
  <si>
    <t>Allowance for Credit Losses</t>
  </si>
  <si>
    <t>Non-DOSRI</t>
  </si>
  <si>
    <t xml:space="preserve">FINANCIAL ASSETS </t>
  </si>
  <si>
    <t>LOCATION OF BRANCHES</t>
  </si>
  <si>
    <t>NAME OF BANKING OFFICE</t>
  </si>
  <si>
    <t>ADDRESS</t>
  </si>
  <si>
    <t>BRANCH CODE</t>
  </si>
  <si>
    <t>SEQ. NO.</t>
  </si>
  <si>
    <t>Non-Financial Assets</t>
  </si>
  <si>
    <t>Due from Head Office/
Branches/ Agencies</t>
  </si>
  <si>
    <t>110000000000000000</t>
  </si>
  <si>
    <t>NCR</t>
  </si>
  <si>
    <t>Visayas</t>
  </si>
  <si>
    <t>Mindanao</t>
  </si>
  <si>
    <t>TOTAL DOMESTIC</t>
  </si>
  <si>
    <t>Foreign Branch Office</t>
  </si>
  <si>
    <t>Selected Balance Sheet and Income Statement Accounts</t>
  </si>
  <si>
    <t>Balance Sheet Accounts</t>
  </si>
  <si>
    <t>Liabilities</t>
  </si>
  <si>
    <t>Deposit Liabilities</t>
  </si>
  <si>
    <t>Total Liabilities</t>
  </si>
  <si>
    <t>Due to Head Office/
Branches/
Agencies</t>
  </si>
  <si>
    <t>Total Equity</t>
  </si>
  <si>
    <t>Income Statement Accounts</t>
  </si>
  <si>
    <t>Net Interest Income</t>
  </si>
  <si>
    <t>Interest Income</t>
  </si>
  <si>
    <t>Interest Expense</t>
  </si>
  <si>
    <t>Provision for Losses on Accrued Interest Income on FA</t>
  </si>
  <si>
    <t>Non-Interest Income</t>
  </si>
  <si>
    <t>Non-Interest Expense</t>
  </si>
  <si>
    <t>Losses/
Recoveries on FA</t>
  </si>
  <si>
    <t>Net Profit or Loss</t>
  </si>
  <si>
    <t>215000000000000000</t>
  </si>
  <si>
    <t>300000000000000000</t>
  </si>
  <si>
    <t>505050000000000000</t>
  </si>
  <si>
    <t>605100000000000000</t>
  </si>
  <si>
    <t>605150000000000000</t>
  </si>
  <si>
    <t>510000000000000000</t>
  </si>
  <si>
    <t>700000000000000000</t>
  </si>
  <si>
    <t>920000000000000000</t>
  </si>
  <si>
    <t xml:space="preserve">Loans and Receivables - Others, Gross </t>
  </si>
  <si>
    <t>Breakdown of Loans as to Borrower Type and Security</t>
  </si>
  <si>
    <t>Unsecured</t>
  </si>
  <si>
    <t>140150012505600000</t>
  </si>
  <si>
    <t>140150012525600000</t>
  </si>
  <si>
    <t>140150013005600000</t>
  </si>
  <si>
    <t>140150013025600000</t>
  </si>
  <si>
    <t xml:space="preserve">Breakdown of Deposits Liabilities </t>
  </si>
  <si>
    <t>Deposit Liabilities - Regular</t>
  </si>
  <si>
    <t>Demand</t>
  </si>
  <si>
    <t>No.</t>
  </si>
  <si>
    <t>Amount</t>
  </si>
  <si>
    <t>Savings</t>
  </si>
  <si>
    <t>Time</t>
  </si>
  <si>
    <t>Now</t>
  </si>
  <si>
    <t>LTNCDs</t>
  </si>
  <si>
    <t>Deposit Liabilities - FCDU</t>
  </si>
  <si>
    <t xml:space="preserve">Bank Loans-to-Deposits Ratio </t>
  </si>
  <si>
    <t>Island Grouping</t>
  </si>
  <si>
    <t>Regions</t>
  </si>
  <si>
    <t>LUZON</t>
  </si>
  <si>
    <t>CAR</t>
  </si>
  <si>
    <t>I</t>
  </si>
  <si>
    <t>II</t>
  </si>
  <si>
    <t>III</t>
  </si>
  <si>
    <t>IV-A</t>
  </si>
  <si>
    <t>IV-B</t>
  </si>
  <si>
    <t>V</t>
  </si>
  <si>
    <t>VIZAYAS</t>
  </si>
  <si>
    <t>VI</t>
  </si>
  <si>
    <t>VII</t>
  </si>
  <si>
    <t>VIII</t>
  </si>
  <si>
    <t>MINDANAO</t>
  </si>
  <si>
    <t>IX</t>
  </si>
  <si>
    <t>X</t>
  </si>
  <si>
    <t>XI</t>
  </si>
  <si>
    <t>XII</t>
  </si>
  <si>
    <t>ARMM</t>
  </si>
  <si>
    <t xml:space="preserve">A. </t>
  </si>
  <si>
    <t xml:space="preserve">Loan Portfolio, Gross </t>
  </si>
  <si>
    <t>A.1</t>
  </si>
  <si>
    <t xml:space="preserve">Loan Portfolio, Net </t>
  </si>
  <si>
    <t>C.1</t>
  </si>
  <si>
    <t>Demand Deposits</t>
  </si>
  <si>
    <t>C.2</t>
  </si>
  <si>
    <t>Savings Deposits</t>
  </si>
  <si>
    <t>C.3</t>
  </si>
  <si>
    <t>Time Deposits</t>
  </si>
  <si>
    <t>C.4</t>
  </si>
  <si>
    <t>NOW Accounts</t>
  </si>
  <si>
    <t>C.5</t>
  </si>
  <si>
    <t>D.</t>
  </si>
  <si>
    <t>Total Deposits</t>
  </si>
  <si>
    <t>E.</t>
  </si>
  <si>
    <t>Loans to Deposit Ratio</t>
  </si>
  <si>
    <t>E.1</t>
  </si>
  <si>
    <t>LDR, at gross loans (A./D.)</t>
  </si>
  <si>
    <t>LDR, at net loans (B./D.)</t>
  </si>
  <si>
    <t>E.2</t>
  </si>
  <si>
    <t>215050000000000000</t>
  </si>
  <si>
    <t>215100000000000000</t>
  </si>
  <si>
    <t>215150000000000000</t>
  </si>
  <si>
    <t>215200000000000000</t>
  </si>
  <si>
    <t>215250000000000000</t>
  </si>
  <si>
    <t>140150300000600001</t>
  </si>
  <si>
    <t>140150500000600001</t>
  </si>
  <si>
    <t>Account Title</t>
  </si>
  <si>
    <t>Reason / Explanation</t>
  </si>
  <si>
    <t>R</t>
  </si>
  <si>
    <t>A</t>
  </si>
  <si>
    <t>A1</t>
  </si>
  <si>
    <t>A2</t>
  </si>
  <si>
    <t>A3</t>
  </si>
  <si>
    <t>A4</t>
  </si>
  <si>
    <t>A5</t>
  </si>
  <si>
    <t>A88</t>
  </si>
  <si>
    <t>A99</t>
  </si>
  <si>
    <t>AL-AMANAH ISLAMIC BANK OF THE PHILS</t>
  </si>
  <si>
    <t/>
  </si>
  <si>
    <t>ABN AMRO BANK INC (A COMM'L BANK)</t>
  </si>
  <si>
    <t>ALLIED BANKING CORP</t>
  </si>
  <si>
    <t>ANZ BANKING GROUP LTD</t>
  </si>
  <si>
    <t>ASIA UNITED BANK CORPORATION</t>
  </si>
  <si>
    <t>BANCO DE ORO-EPCI INC</t>
  </si>
  <si>
    <t>BANGKOK BANK PUBLIC CO LTD</t>
  </si>
  <si>
    <t>BANK OF AMERICA N.A.</t>
  </si>
  <si>
    <t>BANK OF CHINA LIMITED</t>
  </si>
  <si>
    <t>BANK OF COMMERCE</t>
  </si>
  <si>
    <t>BANK OF THE PHIL ISLANDS</t>
  </si>
  <si>
    <t>BDO PRIVATE BANK, INC.</t>
  </si>
  <si>
    <t>CHINA BANKING CORP</t>
  </si>
  <si>
    <t>CHINATRUST(PHILS) CBC</t>
  </si>
  <si>
    <t>CITIBANK, N.A.</t>
  </si>
  <si>
    <t>DEUTSCHE BANK AG</t>
  </si>
  <si>
    <t>DEVELOPMENT BANK OF THE PHIL</t>
  </si>
  <si>
    <t>EAST WEST BANKING CORP</t>
  </si>
  <si>
    <t>EXPORT AND INDUSTRY BANK INC</t>
  </si>
  <si>
    <t>HONGKONG &amp; SHANGHAI BANKING CORP</t>
  </si>
  <si>
    <t>INTERNATIONALE NEDERLANDEN GROEP BK</t>
  </si>
  <si>
    <t>JP MORGAN CHASE BANK NATIONAL ASSN.</t>
  </si>
  <si>
    <t>KOREA EXCHANGE BANK</t>
  </si>
  <si>
    <t>LAND BANK OF THE  PHILIPPINES</t>
  </si>
  <si>
    <t>MAYBANK PHILIPPINES INC</t>
  </si>
  <si>
    <t>MEGA INT'L COMM'L BANK CO LTD</t>
  </si>
  <si>
    <t>METROPOLITAN BANK &amp; TCO</t>
  </si>
  <si>
    <t>MIZUHO CORPORATE BANK LTD-MANILA BR</t>
  </si>
  <si>
    <t>PHIL BANK OF COMMUNICATIONS</t>
  </si>
  <si>
    <t>PHIL NATIONAL BANK</t>
  </si>
  <si>
    <t>PHIL TRUST COMPANY</t>
  </si>
  <si>
    <t>PHILIPPINE VETERANS BANK</t>
  </si>
  <si>
    <t>RIZAL COMM'L BANKING CORP</t>
  </si>
  <si>
    <t>SECURITY BANK CORP</t>
  </si>
  <si>
    <t>STANDARD CHARTERED BANK</t>
  </si>
  <si>
    <t>THE BNK OF TOKYO-MITSUBISHI UFJ LTD</t>
  </si>
  <si>
    <t>UNION BANK OF THE PHILS</t>
  </si>
  <si>
    <t>UNITED COCONUT PLANTERS BANK</t>
  </si>
  <si>
    <t>x</t>
  </si>
  <si>
    <t>BRIS</t>
  </si>
  <si>
    <t>_a</t>
  </si>
  <si>
    <t>_b</t>
  </si>
  <si>
    <t>_c</t>
  </si>
  <si>
    <t>_d</t>
  </si>
  <si>
    <t>_e</t>
  </si>
  <si>
    <t>$$$</t>
  </si>
  <si>
    <t>Reconciling Items Outstanding for More than Six (6) Months on the Due From/Due To Head Office, Branches and Agencies Account</t>
  </si>
  <si>
    <t>Aging of Loans and Receivables - Others</t>
  </si>
  <si>
    <t>CARAGA</t>
  </si>
  <si>
    <t>Loans and Receivables - Others, Net</t>
  </si>
  <si>
    <t>Selected Balance Sheet Accounts</t>
  </si>
  <si>
    <t>155100006000000000</t>
  </si>
  <si>
    <t>230800005500000000</t>
  </si>
  <si>
    <r>
      <t xml:space="preserve">LOCATION OF BRANCHES </t>
    </r>
    <r>
      <rPr>
        <b/>
        <vertAlign val="superscript"/>
        <sz val="10"/>
        <rFont val="Arial"/>
        <family val="2"/>
      </rPr>
      <t>1/</t>
    </r>
  </si>
  <si>
    <r>
      <t xml:space="preserve">LOCATION OF BRANCHES </t>
    </r>
    <r>
      <rPr>
        <b/>
        <vertAlign val="superscript"/>
        <sz val="8"/>
        <rFont val="Arial"/>
        <family val="2"/>
      </rPr>
      <t>1/</t>
    </r>
  </si>
  <si>
    <r>
      <t xml:space="preserve">Loans &amp; Receivables </t>
    </r>
    <r>
      <rPr>
        <b/>
        <vertAlign val="superscript"/>
        <sz val="10"/>
        <rFont val="Arial"/>
        <family val="2"/>
      </rPr>
      <t>2/</t>
    </r>
  </si>
  <si>
    <r>
      <t xml:space="preserve">Real and Other  Properties Acquired </t>
    </r>
    <r>
      <rPr>
        <b/>
        <vertAlign val="superscript"/>
        <sz val="10"/>
        <rFont val="Arial"/>
        <family val="2"/>
      </rPr>
      <t>3/</t>
    </r>
  </si>
  <si>
    <r>
      <t xml:space="preserve">FA Held-for-Trading </t>
    </r>
    <r>
      <rPr>
        <b/>
        <vertAlign val="superscript"/>
        <sz val="10"/>
        <rFont val="Arial"/>
        <family val="2"/>
      </rPr>
      <t>2/</t>
    </r>
  </si>
  <si>
    <r>
      <t xml:space="preserve">FA Designated at FV Through Profit or Loss </t>
    </r>
    <r>
      <rPr>
        <b/>
        <vertAlign val="superscript"/>
        <sz val="10"/>
        <rFont val="Arial"/>
        <family val="2"/>
      </rPr>
      <t>2/</t>
    </r>
  </si>
  <si>
    <r>
      <t>Available for Sale FA</t>
    </r>
    <r>
      <rPr>
        <b/>
        <vertAlign val="superscript"/>
        <sz val="10"/>
        <rFont val="Arial"/>
        <family val="2"/>
      </rPr>
      <t xml:space="preserve"> 2/</t>
    </r>
  </si>
  <si>
    <r>
      <t xml:space="preserve">Held to Maturity FA </t>
    </r>
    <r>
      <rPr>
        <b/>
        <vertAlign val="superscript"/>
        <sz val="10"/>
        <rFont val="Arial"/>
        <family val="2"/>
      </rPr>
      <t>2/</t>
    </r>
  </si>
  <si>
    <r>
      <t xml:space="preserve">Unquoted Debt Securities Classified as Loans </t>
    </r>
    <r>
      <rPr>
        <b/>
        <vertAlign val="superscript"/>
        <sz val="10"/>
        <rFont val="Arial"/>
        <family val="2"/>
      </rPr>
      <t>2/</t>
    </r>
  </si>
  <si>
    <r>
      <t xml:space="preserve">Investments in Non-Marketable Equity Securities </t>
    </r>
    <r>
      <rPr>
        <b/>
        <vertAlign val="superscript"/>
        <sz val="10"/>
        <rFont val="Arial"/>
        <family val="2"/>
      </rPr>
      <t>2/</t>
    </r>
    <r>
      <rPr>
        <b/>
        <sz val="8"/>
        <rFont val="Arial"/>
        <family val="2"/>
      </rPr>
      <t xml:space="preserve"> </t>
    </r>
  </si>
  <si>
    <r>
      <t>3</t>
    </r>
    <r>
      <rPr>
        <b/>
        <sz val="8"/>
        <rFont val="Arial"/>
        <family val="2"/>
      </rPr>
      <t>/</t>
    </r>
    <r>
      <rPr>
        <sz val="10"/>
        <rFont val="Arial"/>
        <family val="2"/>
      </rPr>
      <t xml:space="preserve">  Net of accumulated depreciat</t>
    </r>
    <r>
      <rPr>
        <sz val="10"/>
        <rFont val="Calibri"/>
        <family val="2"/>
      </rPr>
      <t xml:space="preserve">ion and/or allowance for losses  </t>
    </r>
  </si>
  <si>
    <r>
      <t>2</t>
    </r>
    <r>
      <rPr>
        <b/>
        <sz val="8"/>
        <rFont val="Arial"/>
        <family val="2"/>
      </rPr>
      <t>/</t>
    </r>
    <r>
      <rPr>
        <sz val="10"/>
        <rFont val="Arial"/>
        <family val="2"/>
      </rPr>
      <t xml:space="preserve">  Net of allowance for credit losses</t>
    </r>
  </si>
  <si>
    <t>Instructions:</t>
  </si>
  <si>
    <t>1.</t>
  </si>
  <si>
    <t>Loan Portfolio shall refer to loans which have been extended to end-users located in the reported region.  It shall exclude "Loans to BSP", "Interbank Loans Receivable" and loans granted by a bank's FCDU/EFCDU.</t>
  </si>
  <si>
    <t>2.</t>
  </si>
  <si>
    <t>Deposit Liabilities shall refer to deposits generated in the reported region.  It shall exclude FCDU/EFCDU deposits.</t>
  </si>
  <si>
    <t>3.</t>
  </si>
  <si>
    <t>Total Loan Portfolio should be equal to total "Loans and Receivables-Others" in the solo balance sheet of the regular banking unit of the FRP.</t>
  </si>
  <si>
    <t>4.</t>
  </si>
  <si>
    <t>Total Deposit Liabilities should be equal to total "Deposit Liabilities" in the solo balance sheet of the regular banking unit of the FRP.</t>
  </si>
  <si>
    <t>5.</t>
  </si>
  <si>
    <t>Regional groupings shall follow the guidelines of the Philippine Standard Geographic Code.</t>
  </si>
  <si>
    <r>
      <t>1/</t>
    </r>
    <r>
      <rPr>
        <sz val="10"/>
        <rFont val="Arial"/>
        <family val="2"/>
      </rPr>
      <t xml:space="preserve">   Account balances of extension offices/other banking offices which report and are organizationally and administratively attached to a head office or a branch, shall be consolidated with the head office or the concerned branch.</t>
    </r>
  </si>
  <si>
    <r>
      <t>1</t>
    </r>
    <r>
      <rPr>
        <b/>
        <sz val="8"/>
        <rFont val="Arial"/>
        <family val="2"/>
      </rPr>
      <t>/</t>
    </r>
    <r>
      <rPr>
        <sz val="10"/>
        <rFont val="Arial"/>
        <family val="2"/>
      </rPr>
      <t xml:space="preserve">  Account balances of extension offices/other banking offices which report and are organizationally and administratively attached to a head office or a branch, shall be consolidated with the head office or the concerned branch.</t>
    </r>
  </si>
  <si>
    <r>
      <t>1</t>
    </r>
    <r>
      <rPr>
        <b/>
        <sz val="8"/>
        <rFont val="Arial"/>
        <family val="2"/>
      </rPr>
      <t>/</t>
    </r>
    <r>
      <rPr>
        <b/>
        <sz val="8"/>
        <color indexed="8"/>
        <rFont val="Calibri"/>
        <family val="2"/>
      </rPr>
      <t xml:space="preserve"> </t>
    </r>
    <r>
      <rPr>
        <sz val="8"/>
        <color indexed="8"/>
        <rFont val="Calibri"/>
        <family val="2"/>
      </rPr>
      <t xml:space="preserve"> Account balances of extension offices/other banking offices which report and are organizationally and administratively attached to a head office or a branch, shall be consolidated with the head office or the concerned branch.</t>
    </r>
  </si>
  <si>
    <r>
      <t>1</t>
    </r>
    <r>
      <rPr>
        <b/>
        <sz val="8"/>
        <rFont val="Arial"/>
        <family val="2"/>
      </rPr>
      <t xml:space="preserve">/ </t>
    </r>
    <r>
      <rPr>
        <sz val="8"/>
        <rFont val="Arial"/>
        <family val="2"/>
      </rPr>
      <t xml:space="preserve"> Account balances of extension offices/other banking offices which report and are organizationally and administratively attached to a head office or a branch, shall be consolidated with the head office or the concerned branch.</t>
    </r>
  </si>
  <si>
    <t>Luzon  (Net of NCR)</t>
  </si>
  <si>
    <t>Bank Interest Rate</t>
  </si>
  <si>
    <t>Regular Peso Savings</t>
  </si>
  <si>
    <r>
      <t xml:space="preserve">Interest Rate </t>
    </r>
    <r>
      <rPr>
        <vertAlign val="superscript"/>
        <sz val="8"/>
        <rFont val="Calibri"/>
        <family val="2"/>
      </rPr>
      <t>1/</t>
    </r>
  </si>
  <si>
    <t>No. of Accounts</t>
  </si>
  <si>
    <t>Below 50,000.00</t>
  </si>
  <si>
    <t>100,000.01 - 500,000.00</t>
  </si>
  <si>
    <t>500,000.01 - 1,000,000.00</t>
  </si>
  <si>
    <t>99999</t>
  </si>
  <si>
    <t>Less than 30 DAYS - PESO TIME DEPOSIT</t>
  </si>
  <si>
    <t>30-59 DAYS - PESO TIME DEPOSIT</t>
  </si>
  <si>
    <t>60-89 DAYS - PESO TIME DEPOSIT</t>
  </si>
  <si>
    <t>180-359 DAYS - PESO TIME DEPOSIT</t>
  </si>
  <si>
    <t>1 YEAR (360-365 DAYS) - PESO TIME DEPOSIT</t>
  </si>
  <si>
    <t>MORE THAN 1 YEAR - PESO TIME DEPOSIT</t>
  </si>
  <si>
    <t>90-179 DAYS - PESO TIME DEPOSIT</t>
  </si>
  <si>
    <t>Deposit Liabilities - Peso Time Deposit</t>
  </si>
  <si>
    <t>50,000.00 - 100,000.00</t>
  </si>
  <si>
    <t>1,000,000.01 AND ABOVE</t>
  </si>
  <si>
    <t xml:space="preserve">No. of Accounts </t>
  </si>
  <si>
    <r>
      <t xml:space="preserve">Amount </t>
    </r>
    <r>
      <rPr>
        <vertAlign val="superscript"/>
        <sz val="8"/>
        <rFont val="Calibri"/>
        <family val="2"/>
      </rPr>
      <t>2/</t>
    </r>
  </si>
  <si>
    <r>
      <t xml:space="preserve"> Interest Rate</t>
    </r>
    <r>
      <rPr>
        <vertAlign val="superscript"/>
        <sz val="8"/>
        <rFont val="Calibri"/>
        <family val="2"/>
      </rPr>
      <t xml:space="preserve"> 1/</t>
    </r>
  </si>
  <si>
    <t>Deposit Liabilities - Peso Savings Deposit</t>
  </si>
  <si>
    <r>
      <t xml:space="preserve">Interest Rate </t>
    </r>
    <r>
      <rPr>
        <vertAlign val="superscript"/>
        <sz val="8"/>
        <rFont val="Calibri"/>
        <family val="2"/>
      </rPr>
      <t>1/</t>
    </r>
    <r>
      <rPr>
        <sz val="8"/>
        <rFont val="Calibri"/>
        <family val="2"/>
      </rPr>
      <t xml:space="preserve"> </t>
    </r>
  </si>
  <si>
    <r>
      <t>1</t>
    </r>
    <r>
      <rPr>
        <b/>
        <sz val="8"/>
        <rFont val="Calibri"/>
        <family val="2"/>
      </rPr>
      <t>/</t>
    </r>
    <r>
      <rPr>
        <b/>
        <sz val="8"/>
        <color indexed="8"/>
        <rFont val="Calibri"/>
        <family val="2"/>
      </rPr>
      <t xml:space="preserve"> </t>
    </r>
    <r>
      <rPr>
        <sz val="8"/>
        <color indexed="8"/>
        <rFont val="Calibri"/>
        <family val="2"/>
      </rPr>
      <t xml:space="preserve"> The bank shall report the nominal interest rate which refers to the regular walk-in rate being offered to clients.</t>
    </r>
  </si>
  <si>
    <r>
      <rPr>
        <b/>
        <sz val="8"/>
        <color indexed="8"/>
        <rFont val="Calibri"/>
        <family val="2"/>
      </rPr>
      <t>2/</t>
    </r>
    <r>
      <rPr>
        <sz val="8"/>
        <color indexed="8"/>
        <rFont val="Calibri"/>
        <family val="2"/>
      </rPr>
      <t xml:space="preserve"> The amount of deposits shall be reported in Philippine peso, in absolute amount.</t>
    </r>
  </si>
  <si>
    <r>
      <t>3/</t>
    </r>
    <r>
      <rPr>
        <b/>
        <sz val="8"/>
        <color indexed="8"/>
        <rFont val="Calibri"/>
        <family val="2"/>
      </rPr>
      <t xml:space="preserve"> </t>
    </r>
    <r>
      <rPr>
        <sz val="8"/>
        <color indexed="8"/>
        <rFont val="Calibri"/>
        <family val="2"/>
      </rPr>
      <t xml:space="preserve">  The Kiddie Savings account pertains to the interest bearing savings account of children with an initial deposit of Php 100 and no maintaining balance requirement. </t>
    </r>
  </si>
  <si>
    <t>PESO TIME DEPOSIT TOTAL</t>
  </si>
  <si>
    <r>
      <t xml:space="preserve">Kiddie Savings Program </t>
    </r>
    <r>
      <rPr>
        <b/>
        <vertAlign val="superscript"/>
        <sz val="8"/>
        <rFont val="Arial"/>
        <family val="2"/>
      </rPr>
      <t>3/</t>
    </r>
  </si>
  <si>
    <t xml:space="preserve">Below 50,000.00                          </t>
  </si>
  <si>
    <r>
      <t xml:space="preserve">Amount </t>
    </r>
    <r>
      <rPr>
        <vertAlign val="superscript"/>
        <sz val="8"/>
        <rFont val="Calibri"/>
        <family val="2"/>
      </rPr>
      <t xml:space="preserve">2/        </t>
    </r>
  </si>
  <si>
    <t>No. of 
Accounts</t>
  </si>
  <si>
    <t>$$</t>
  </si>
  <si>
    <t>v4.0</t>
  </si>
  <si>
    <t>Sum of Non-Performing Loans, net of ITL and ITL columns</t>
  </si>
  <si>
    <t>Past Due</t>
  </si>
  <si>
    <t>Non-Performing, net of ITL</t>
  </si>
  <si>
    <t>Items in Litigation (ITL)</t>
  </si>
  <si>
    <r>
      <t>4/</t>
    </r>
    <r>
      <rPr>
        <b/>
        <sz val="8"/>
        <color indexed="8"/>
        <rFont val="Calibri"/>
        <family val="2"/>
      </rPr>
      <t xml:space="preserve"> </t>
    </r>
    <r>
      <rPr>
        <sz val="8"/>
        <color indexed="8"/>
        <rFont val="Calibri"/>
        <family val="2"/>
      </rPr>
      <t xml:space="preserve">   The bank shall report all the products that fall under other savings deposit and shall disclose the name of the product that falls under this deposit product. </t>
    </r>
  </si>
  <si>
    <r>
      <t xml:space="preserve">Other Peso Savings Deposit Product                                                                                                                                                                                                                                                                                                                                                 </t>
    </r>
    <r>
      <rPr>
        <b/>
        <u/>
        <sz val="8"/>
        <rFont val="Arial"/>
        <family val="2"/>
      </rPr>
      <t xml:space="preserve">Other Product Name </t>
    </r>
    <r>
      <rPr>
        <b/>
        <vertAlign val="superscript"/>
        <sz val="8"/>
        <rFont val="Arial"/>
        <family val="2"/>
      </rPr>
      <t>4</t>
    </r>
    <r>
      <rPr>
        <b/>
        <sz val="8"/>
        <rFont val="Arial"/>
        <family val="2"/>
      </rPr>
      <t xml:space="preserve">/  </t>
    </r>
  </si>
  <si>
    <t>NEW RB OF SAN LEONARDO(N.E.) INC</t>
  </si>
  <si>
    <t>4</t>
  </si>
  <si>
    <t>040656</t>
  </si>
  <si>
    <t>2017</t>
  </si>
  <si>
    <t>*NEW RB OF SAN LEONARDO(N.E.) INC</t>
  </si>
  <si>
    <t>MAHARLIKA HWY SAN LEONARDO NUEVA EC</t>
  </si>
  <si>
    <t>ARAYAT BR</t>
  </si>
  <si>
    <t>MANGGA CACUTUD ARAYAT PAMPANGA</t>
  </si>
  <si>
    <t>BALIUAG</t>
  </si>
  <si>
    <t>DRT HIGHWAY BALIUAG BULACAN</t>
  </si>
  <si>
    <t>BALOC BR</t>
  </si>
  <si>
    <t>908 BALOC STO DOMINGO NUEVA ECIJA</t>
  </si>
  <si>
    <t>BONGABON</t>
  </si>
  <si>
    <t>BRGY COMML BONGABON NUEVA ECIJA</t>
  </si>
  <si>
    <t>GEN TINIO</t>
  </si>
  <si>
    <t>GEN TINIO NUEVA ECIJA</t>
  </si>
  <si>
    <t>LA PAZ BR</t>
  </si>
  <si>
    <t>LA PAZ TARLAC</t>
  </si>
  <si>
    <t>MABALACAT</t>
  </si>
  <si>
    <t>NO 7807 DAU MABALACAT PAMPANGA</t>
  </si>
  <si>
    <t>MONCADA BR</t>
  </si>
  <si>
    <t>POB 1 MCARTHUR HWY MONCADA TARLAC</t>
  </si>
  <si>
    <t>PENARANDA</t>
  </si>
  <si>
    <t>RIZAL ST POB PENARANDA NUEVA ECIJA</t>
  </si>
  <si>
    <t>RIZAL</t>
  </si>
  <si>
    <t>AGLIPAY POB SUR RIZAL NUEVA ECIJA</t>
  </si>
  <si>
    <t>SAN ISIDRO</t>
  </si>
  <si>
    <t>SAN ISIDRO NUEVA ECIJA</t>
  </si>
  <si>
    <t>SAN MIGUEL</t>
  </si>
  <si>
    <t>SAN MIGUEL BULACAN</t>
  </si>
  <si>
    <t>SN ANTONIO</t>
  </si>
  <si>
    <t>SAN ANTONIO NUEVA ECIJA</t>
  </si>
  <si>
    <t>SN LEONARD</t>
  </si>
  <si>
    <t>DIVERSION SAN LEONARDO NUEVA ECIJA</t>
  </si>
  <si>
    <t>TARLAC CT</t>
  </si>
  <si>
    <t>TARLAC CITY TARLAC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</si>
</sst>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70" formatCode="0_);\(0\)"/>
    <numFmt numFmtId="171" formatCode="General_)"/>
    <numFmt numFmtId="172" formatCode="0.0"/>
    <numFmt numFmtId="173" formatCode="&quot;\&quot;#,##0;[Red]&quot;\&quot;&quot;\&quot;&quot;\&quot;&quot;\&quot;&quot;\&quot;&quot;\&quot;&quot;\&quot;&quot;\&quot;&quot;\&quot;&quot;\&quot;&quot;\&quot;&quot;\&quot;&quot;\&quot;&quot;\&quot;&quot;\&quot;&quot;\&quot;&quot;\&quot;&quot;\&quot;&quot;\&quot;&quot;\&quot;&quot;\&quot;&quot;\&quot;&quot;\&quot;&quot;\&quot;&quot;\&quot;\-#,##0"/>
    <numFmt numFmtId="174" formatCode="0.00_)"/>
    <numFmt numFmtId="175" formatCode="_-* #,##0_-;\-* #,##0_-;_-* &quot;-&quot;_-;_-@_-"/>
    <numFmt numFmtId="176" formatCode="_-* #,##0.00_-;\-* #,##0.00_-;_-* &quot;-&quot;??_-;_-@_-"/>
    <numFmt numFmtId="177" formatCode="_-&quot;$&quot;* #,##0_-;\-&quot;$&quot;* #,##0_-;_-&quot;$&quot;* &quot;-&quot;_-;_-@_-"/>
    <numFmt numFmtId="178" formatCode="_-&quot;$&quot;* #,##0.00_-;\-&quot;$&quot;* #,##0.00_-;_-&quot;$&quot;* &quot;-&quot;??_-;_-@_-"/>
  </numFmts>
  <fonts count="40" x14ac:knownFonts="1">
    <font>
      <sz val="11"/>
      <color theme="1"/>
      <name val="Calibri"/>
      <family val="2"/>
      <scheme val="minor"/>
    </font>
    <font>
      <sz val="11"/>
      <color indexed="8"/>
      <name val="Calibri"/>
      <family val="2"/>
    </font>
    <font>
      <sz val="10"/>
      <name val="Arial"/>
      <family val="2"/>
    </font>
    <font>
      <sz val="8"/>
      <name val="Arial"/>
      <family val="2"/>
    </font>
    <font>
      <b/>
      <sz val="8"/>
      <name val="Arial"/>
      <family val="2"/>
    </font>
    <font>
      <sz val="12"/>
      <name val="Helv"/>
    </font>
    <font>
      <sz val="10"/>
      <name val="Arial"/>
      <family val="2"/>
    </font>
    <font>
      <i/>
      <sz val="10"/>
      <color indexed="56"/>
      <name val="Arial"/>
      <family val="2"/>
    </font>
    <font>
      <sz val="7"/>
      <name val="Small Fonts"/>
      <family val="2"/>
    </font>
    <font>
      <b/>
      <i/>
      <sz val="16"/>
      <name val="Helv"/>
    </font>
    <font>
      <sz val="11"/>
      <color indexed="8"/>
      <name val="Calibri"/>
      <family val="2"/>
    </font>
    <font>
      <sz val="8"/>
      <color indexed="48"/>
      <name val="Arial"/>
      <family val="2"/>
    </font>
    <font>
      <sz val="8"/>
      <color indexed="30"/>
      <name val="Arial"/>
      <family val="2"/>
    </font>
    <font>
      <sz val="8"/>
      <color indexed="55"/>
      <name val="Arial"/>
      <family val="2"/>
    </font>
    <font>
      <sz val="8"/>
      <color indexed="8"/>
      <name val="Arial"/>
      <family val="2"/>
    </font>
    <font>
      <sz val="10"/>
      <color indexed="62"/>
      <name val="Arial"/>
      <family val="2"/>
    </font>
    <font>
      <sz val="8"/>
      <color indexed="9"/>
      <name val="Arial"/>
      <family val="2"/>
    </font>
    <font>
      <sz val="10"/>
      <name val="Calibri"/>
      <family val="2"/>
    </font>
    <font>
      <b/>
      <vertAlign val="superscript"/>
      <sz val="8"/>
      <name val="Arial"/>
      <family val="2"/>
    </font>
    <font>
      <b/>
      <vertAlign val="superscript"/>
      <sz val="10"/>
      <name val="Arial"/>
      <family val="2"/>
    </font>
    <font>
      <b/>
      <u/>
      <sz val="8"/>
      <name val="Arial"/>
      <family val="2"/>
    </font>
    <font>
      <sz val="8"/>
      <color indexed="8"/>
      <name val="Calibri"/>
      <family val="2"/>
    </font>
    <font>
      <b/>
      <sz val="8"/>
      <color indexed="8"/>
      <name val="Calibri"/>
      <family val="2"/>
    </font>
    <font>
      <sz val="8"/>
      <color indexed="9"/>
      <name val="Arial"/>
      <family val="2"/>
    </font>
    <font>
      <sz val="8"/>
      <color indexed="12"/>
      <name val="Arial"/>
      <family val="2"/>
    </font>
    <font>
      <sz val="8"/>
      <color indexed="62"/>
      <name val="Arial"/>
      <family val="2"/>
    </font>
    <font>
      <sz val="8"/>
      <color indexed="30"/>
      <name val="Arial"/>
      <family val="2"/>
    </font>
    <font>
      <b/>
      <sz val="8"/>
      <color indexed="44"/>
      <name val="Arial"/>
      <family val="2"/>
    </font>
    <font>
      <b/>
      <sz val="8"/>
      <color indexed="36"/>
      <name val="Arial"/>
      <family val="2"/>
    </font>
    <font>
      <sz val="8"/>
      <name val="Calibri"/>
      <family val="2"/>
    </font>
    <font>
      <vertAlign val="superscript"/>
      <sz val="8"/>
      <name val="Calibri"/>
      <family val="2"/>
    </font>
    <font>
      <b/>
      <sz val="8"/>
      <name val="Calibri"/>
      <family val="2"/>
    </font>
    <font>
      <sz val="11"/>
      <color theme="0"/>
      <name val="Calibri"/>
      <family val="2"/>
      <scheme val="minor"/>
    </font>
    <font>
      <sz val="8"/>
      <color rgb="FF0066CC"/>
      <name val="Arial"/>
      <family val="2"/>
    </font>
    <font>
      <sz val="8"/>
      <color rgb="FF000000"/>
      <name val="Arial"/>
      <family val="2"/>
    </font>
    <font>
      <sz val="8"/>
      <color rgb="FF0070C0"/>
      <name val="Arial"/>
      <family val="2"/>
    </font>
    <font>
      <sz val="8"/>
      <color theme="0" tint="-0.34998626667073579"/>
      <name val="Arial"/>
      <family val="2"/>
    </font>
    <font>
      <sz val="8"/>
      <color theme="0"/>
      <name val="Arial"/>
      <family val="2"/>
    </font>
    <font>
      <b/>
      <sz val="8"/>
      <color theme="0" tint="-0.34998626667073579"/>
      <name val="Arial"/>
      <family val="2"/>
    </font>
    <font>
      <b/>
      <u/>
      <sz val="8"/>
      <name val="Calibri"/>
      <family val="2"/>
      <scheme val="minor"/>
    </font>
  </fonts>
  <fills count="14">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43"/>
        <bgColor indexed="64"/>
      </patternFill>
    </fill>
    <fill>
      <patternFill patternType="solid">
        <fgColor indexed="49"/>
        <bgColor indexed="64"/>
      </patternFill>
    </fill>
    <fill>
      <patternFill patternType="solid">
        <fgColor indexed="45"/>
        <bgColor indexed="64"/>
      </patternFill>
    </fill>
    <fill>
      <patternFill patternType="solid">
        <fgColor indexed="44"/>
        <bgColor indexed="64"/>
      </patternFill>
    </fill>
    <fill>
      <patternFill patternType="solid">
        <fgColor indexed="36"/>
        <bgColor indexed="64"/>
      </patternFill>
    </fill>
    <fill>
      <patternFill patternType="solid">
        <fgColor rgb="FFFFFF99"/>
        <bgColor rgb="FF000000"/>
      </patternFill>
    </fill>
    <fill>
      <patternFill patternType="solid">
        <fgColor theme="0" tint="-0.34998626667073579"/>
        <bgColor indexed="64"/>
      </patternFill>
    </fill>
    <fill>
      <patternFill patternType="solid">
        <fgColor theme="4" tint="0.59999389629810485"/>
        <bgColor rgb="FF000000"/>
      </patternFill>
    </fill>
    <fill>
      <patternFill patternType="solid">
        <fgColor theme="4" tint="0.79998168889431442"/>
        <bgColor rgb="FF000000"/>
      </patternFill>
    </fill>
  </fills>
  <borders count="103">
    <border>
      <left/>
      <right/>
      <top/>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double">
        <color indexed="64"/>
      </bottom>
      <diagonal/>
    </border>
    <border>
      <left/>
      <right/>
      <top/>
      <bottom style="medium">
        <color indexed="64"/>
      </bottom>
      <diagonal/>
    </border>
    <border>
      <left style="double">
        <color indexed="64"/>
      </left>
      <right/>
      <top style="thin">
        <color indexed="64"/>
      </top>
      <bottom style="thin">
        <color indexed="64"/>
      </bottom>
      <diagonal/>
    </border>
    <border>
      <left/>
      <right style="thin">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style="thin">
        <color indexed="64"/>
      </bottom>
      <diagonal/>
    </border>
    <border>
      <left/>
      <right style="thin">
        <color indexed="64"/>
      </right>
      <top style="thin">
        <color indexed="64"/>
      </top>
      <bottom/>
      <diagonal/>
    </border>
    <border>
      <left style="thin">
        <color indexed="64"/>
      </left>
      <right style="double">
        <color indexed="64"/>
      </right>
      <top style="thin">
        <color indexed="64"/>
      </top>
      <bottom style="double">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style="double">
        <color indexed="64"/>
      </left>
      <right style="double">
        <color indexed="64"/>
      </right>
      <top style="thin">
        <color indexed="64"/>
      </top>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double">
        <color indexed="64"/>
      </right>
      <top style="double">
        <color indexed="64"/>
      </top>
      <bottom/>
      <diagonal/>
    </border>
    <border>
      <left style="thin">
        <color indexed="64"/>
      </left>
      <right style="double">
        <color indexed="64"/>
      </right>
      <top/>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thin">
        <color indexed="64"/>
      </right>
      <top style="double">
        <color indexed="64"/>
      </top>
      <bottom style="thin">
        <color indexed="64"/>
      </bottom>
      <diagonal/>
    </border>
    <border>
      <left style="medium">
        <color indexed="64"/>
      </left>
      <right/>
      <top style="medium">
        <color indexed="64"/>
      </top>
      <bottom style="thin">
        <color indexed="64"/>
      </bottom>
      <diagonal/>
    </border>
    <border>
      <left style="double">
        <color indexed="64"/>
      </left>
      <right style="double">
        <color indexed="64"/>
      </right>
      <top/>
      <bottom style="thin">
        <color indexed="64"/>
      </bottom>
      <diagonal/>
    </border>
    <border>
      <left style="double">
        <color indexed="64"/>
      </left>
      <right style="thin">
        <color indexed="64"/>
      </right>
      <top/>
      <bottom/>
      <diagonal/>
    </border>
    <border>
      <left style="medium">
        <color indexed="64"/>
      </left>
      <right/>
      <top style="thin">
        <color indexed="64"/>
      </top>
      <bottom style="double">
        <color indexed="64"/>
      </bottom>
      <diagonal/>
    </border>
    <border>
      <left style="thin">
        <color indexed="64"/>
      </left>
      <right/>
      <top style="double">
        <color indexed="64"/>
      </top>
      <bottom/>
      <diagonal/>
    </border>
    <border>
      <left style="thin">
        <color indexed="64"/>
      </left>
      <right/>
      <top/>
      <bottom/>
      <diagonal/>
    </border>
    <border>
      <left/>
      <right style="medium">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double">
        <color indexed="64"/>
      </left>
      <right style="double">
        <color indexed="64"/>
      </right>
      <top style="medium">
        <color indexed="64"/>
      </top>
      <bottom/>
      <diagonal/>
    </border>
    <border>
      <left style="double">
        <color indexed="64"/>
      </left>
      <right style="double">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bottom style="medium">
        <color indexed="64"/>
      </bottom>
      <diagonal/>
    </border>
    <border>
      <left style="double">
        <color indexed="64"/>
      </left>
      <right/>
      <top/>
      <bottom style="thin">
        <color indexed="64"/>
      </bottom>
      <diagonal/>
    </border>
    <border>
      <left style="double">
        <color indexed="64"/>
      </left>
      <right style="thin">
        <color indexed="64"/>
      </right>
      <top/>
      <bottom style="medium">
        <color indexed="64"/>
      </bottom>
      <diagonal/>
    </border>
    <border>
      <left style="double">
        <color indexed="64"/>
      </left>
      <right style="double">
        <color indexed="64"/>
      </right>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style="thin">
        <color indexed="64"/>
      </right>
      <top style="thin">
        <color indexed="64"/>
      </top>
      <bottom style="double">
        <color indexed="64"/>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s>
  <cellStyleXfs count="23">
    <xf numFmtId="0" fontId="0" fillId="0" borderId="0"/>
    <xf numFmtId="172" fontId="2" fillId="2" borderId="1" applyNumberFormat="0" applyFill="0" applyBorder="0">
      <alignment vertical="top" wrapText="1"/>
    </xf>
    <xf numFmtId="172" fontId="7" fillId="0" borderId="0" applyNumberFormat="0" applyFill="0">
      <alignment vertical="top" wrapText="1"/>
    </xf>
    <xf numFmtId="43" fontId="10"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173" fontId="5" fillId="2" borderId="0" applyFont="0" applyBorder="0"/>
    <xf numFmtId="38" fontId="3" fillId="2" borderId="0" applyNumberFormat="0" applyBorder="0" applyAlignment="0" applyProtection="0"/>
    <xf numFmtId="10" fontId="3" fillId="3" borderId="2" applyNumberFormat="0" applyBorder="0" applyAlignment="0" applyProtection="0"/>
    <xf numFmtId="37" fontId="8" fillId="0" borderId="0"/>
    <xf numFmtId="174" fontId="9" fillId="0" borderId="0"/>
    <xf numFmtId="0" fontId="2" fillId="0" borderId="0"/>
    <xf numFmtId="0" fontId="6" fillId="0" borderId="0"/>
    <xf numFmtId="0" fontId="2" fillId="0" borderId="0"/>
    <xf numFmtId="0" fontId="2" fillId="0" borderId="0"/>
    <xf numFmtId="170" fontId="5" fillId="0" borderId="0"/>
    <xf numFmtId="0" fontId="2" fillId="0" borderId="0" applyFont="0" applyFill="0" applyBorder="0" applyAlignment="0" applyProtection="0"/>
    <xf numFmtId="0" fontId="2" fillId="0" borderId="0" applyFont="0" applyFill="0" applyBorder="0" applyAlignment="0" applyProtection="0"/>
    <xf numFmtId="10" fontId="2" fillId="0" borderId="0" applyFont="0" applyFill="0" applyBorder="0" applyAlignment="0" applyProtection="0"/>
    <xf numFmtId="175" fontId="2" fillId="0" borderId="0" applyFont="0" applyFill="0" applyBorder="0" applyAlignment="0" applyProtection="0"/>
    <xf numFmtId="176" fontId="2" fillId="0" borderId="0" applyFont="0" applyFill="0" applyBorder="0" applyAlignment="0" applyProtection="0"/>
    <xf numFmtId="177" fontId="2" fillId="0" borderId="0" applyFont="0" applyFill="0" applyBorder="0" applyAlignment="0" applyProtection="0"/>
    <xf numFmtId="178" fontId="2" fillId="0" borderId="0" applyFont="0" applyFill="0" applyBorder="0" applyAlignment="0" applyProtection="0"/>
  </cellStyleXfs>
  <cellXfs count="508">
    <xf numFmtId="0" fontId="0" fillId="0" borderId="0" xfId="0"/>
    <xf numFmtId="4" fontId="3" fillId="0" borderId="3" xfId="11" applyNumberFormat="1" applyFont="1" applyFill="1" applyBorder="1" applyProtection="1">
      <protection locked="0"/>
    </xf>
    <xf numFmtId="4" fontId="3" fillId="0" borderId="2" xfId="11" applyNumberFormat="1" applyFont="1" applyFill="1" applyBorder="1" applyProtection="1">
      <protection locked="0"/>
    </xf>
    <xf numFmtId="4" fontId="3" fillId="0" borderId="4" xfId="11" applyNumberFormat="1" applyFont="1" applyFill="1" applyBorder="1" applyProtection="1">
      <protection locked="0"/>
    </xf>
    <xf numFmtId="3" fontId="14" fillId="0" borderId="2" xfId="11" applyNumberFormat="1" applyFont="1" applyFill="1" applyBorder="1" applyProtection="1">
      <protection locked="0"/>
    </xf>
    <xf numFmtId="3" fontId="14" fillId="0" borderId="3" xfId="11" applyNumberFormat="1" applyFont="1" applyFill="1" applyBorder="1" applyProtection="1">
      <protection locked="0"/>
    </xf>
    <xf numFmtId="4" fontId="14" fillId="0" borderId="2" xfId="11" applyNumberFormat="1" applyFont="1" applyFill="1" applyBorder="1" applyProtection="1">
      <protection locked="0"/>
    </xf>
    <xf numFmtId="4" fontId="14" fillId="0" borderId="4" xfId="11" applyNumberFormat="1" applyFont="1" applyFill="1" applyBorder="1" applyProtection="1">
      <protection locked="0"/>
    </xf>
    <xf numFmtId="4" fontId="3" fillId="0" borderId="5" xfId="11" applyNumberFormat="1" applyFont="1" applyFill="1" applyBorder="1" applyAlignment="1" applyProtection="1">
      <alignment horizontal="right" vertical="center"/>
      <protection locked="0"/>
    </xf>
    <xf numFmtId="4" fontId="3" fillId="0" borderId="6" xfId="11" applyNumberFormat="1" applyFont="1" applyFill="1" applyBorder="1" applyAlignment="1" applyProtection="1">
      <alignment horizontal="right" vertical="center"/>
      <protection locked="0"/>
    </xf>
    <xf numFmtId="4" fontId="3" fillId="0" borderId="2" xfId="11" applyNumberFormat="1" applyFont="1" applyBorder="1" applyAlignment="1" applyProtection="1">
      <alignment horizontal="right" vertical="center"/>
      <protection locked="0"/>
    </xf>
    <xf numFmtId="4" fontId="3" fillId="0" borderId="4" xfId="11" applyNumberFormat="1" applyFont="1" applyBorder="1" applyAlignment="1" applyProtection="1">
      <alignment horizontal="right" vertical="center"/>
      <protection locked="0"/>
    </xf>
    <xf numFmtId="4" fontId="3" fillId="0" borderId="2" xfId="11" applyNumberFormat="1" applyFont="1" applyFill="1" applyBorder="1" applyAlignment="1" applyProtection="1">
      <alignment horizontal="right" vertical="center"/>
      <protection locked="0"/>
    </xf>
    <xf numFmtId="4" fontId="3" fillId="0" borderId="4" xfId="11" applyNumberFormat="1" applyFont="1" applyFill="1" applyBorder="1" applyAlignment="1" applyProtection="1">
      <alignment horizontal="right" vertical="center"/>
      <protection locked="0"/>
    </xf>
    <xf numFmtId="0" fontId="3" fillId="0" borderId="3" xfId="11" applyNumberFormat="1" applyFont="1" applyFill="1" applyBorder="1" applyProtection="1">
      <protection locked="0"/>
    </xf>
    <xf numFmtId="0" fontId="4" fillId="4" borderId="7" xfId="11" applyFont="1" applyFill="1" applyBorder="1" applyAlignment="1" applyProtection="1">
      <alignment horizontal="center" vertical="center" wrapText="1"/>
      <protection hidden="1"/>
    </xf>
    <xf numFmtId="0" fontId="4" fillId="5" borderId="0" xfId="11" applyFont="1" applyFill="1" applyBorder="1" applyAlignment="1" applyProtection="1">
      <alignment horizontal="center" vertical="center" wrapText="1"/>
      <protection hidden="1"/>
    </xf>
    <xf numFmtId="4" fontId="14" fillId="0" borderId="4" xfId="11" applyNumberFormat="1" applyFont="1" applyFill="1" applyBorder="1" applyProtection="1">
      <protection hidden="1"/>
    </xf>
    <xf numFmtId="4" fontId="12" fillId="0" borderId="8" xfId="11" applyNumberFormat="1" applyFont="1" applyFill="1" applyBorder="1" applyProtection="1">
      <protection hidden="1"/>
    </xf>
    <xf numFmtId="4" fontId="12" fillId="0" borderId="8" xfId="3" applyNumberFormat="1" applyFont="1" applyFill="1" applyBorder="1" applyProtection="1">
      <protection hidden="1"/>
    </xf>
    <xf numFmtId="4" fontId="12" fillId="0" borderId="9" xfId="11" applyNumberFormat="1" applyFont="1" applyFill="1" applyBorder="1" applyProtection="1">
      <protection hidden="1"/>
    </xf>
    <xf numFmtId="4" fontId="3" fillId="0" borderId="10" xfId="11" applyNumberFormat="1" applyFont="1" applyFill="1" applyBorder="1" applyProtection="1">
      <protection locked="0"/>
    </xf>
    <xf numFmtId="4" fontId="3" fillId="0" borderId="11" xfId="11" applyNumberFormat="1" applyFont="1" applyFill="1" applyBorder="1" applyProtection="1">
      <protection locked="0"/>
    </xf>
    <xf numFmtId="4" fontId="3" fillId="0" borderId="12" xfId="11" applyNumberFormat="1" applyFont="1" applyFill="1" applyBorder="1" applyProtection="1">
      <protection locked="0"/>
    </xf>
    <xf numFmtId="4" fontId="3" fillId="0" borderId="8" xfId="11" applyNumberFormat="1" applyFont="1" applyFill="1" applyBorder="1" applyProtection="1">
      <protection locked="0"/>
    </xf>
    <xf numFmtId="4" fontId="3" fillId="0" borderId="13" xfId="11" applyNumberFormat="1" applyFont="1" applyFill="1" applyBorder="1" applyProtection="1">
      <protection locked="0"/>
    </xf>
    <xf numFmtId="4" fontId="14" fillId="0" borderId="7" xfId="11" applyNumberFormat="1" applyFont="1" applyFill="1" applyBorder="1" applyProtection="1">
      <protection hidden="1"/>
    </xf>
    <xf numFmtId="4" fontId="12" fillId="2" borderId="2" xfId="11" applyNumberFormat="1" applyFont="1" applyFill="1" applyBorder="1" applyProtection="1">
      <protection hidden="1"/>
    </xf>
    <xf numFmtId="4" fontId="14" fillId="2" borderId="2" xfId="11" applyNumberFormat="1" applyFont="1" applyFill="1" applyBorder="1" applyProtection="1">
      <protection hidden="1"/>
    </xf>
    <xf numFmtId="4" fontId="14" fillId="0" borderId="2" xfId="11" applyNumberFormat="1" applyFont="1" applyFill="1" applyBorder="1" applyProtection="1">
      <protection hidden="1"/>
    </xf>
    <xf numFmtId="4" fontId="12" fillId="2" borderId="2" xfId="3" applyNumberFormat="1" applyFont="1" applyFill="1" applyBorder="1" applyProtection="1">
      <protection hidden="1"/>
    </xf>
    <xf numFmtId="4" fontId="12" fillId="2" borderId="14" xfId="11" applyNumberFormat="1" applyFont="1" applyFill="1" applyBorder="1" applyProtection="1">
      <protection hidden="1"/>
    </xf>
    <xf numFmtId="4" fontId="12" fillId="2" borderId="12" xfId="11" applyNumberFormat="1" applyFont="1" applyFill="1" applyBorder="1" applyProtection="1">
      <protection hidden="1"/>
    </xf>
    <xf numFmtId="0" fontId="4" fillId="5" borderId="15" xfId="11" applyFont="1" applyFill="1" applyBorder="1" applyAlignment="1" applyProtection="1">
      <alignment horizontal="center" vertical="center" wrapText="1"/>
      <protection hidden="1"/>
    </xf>
    <xf numFmtId="49" fontId="15" fillId="6" borderId="0" xfId="12" applyNumberFormat="1" applyFont="1" applyFill="1" applyProtection="1"/>
    <xf numFmtId="49" fontId="6" fillId="6" borderId="0" xfId="12" applyNumberFormat="1" applyFill="1" applyProtection="1">
      <protection hidden="1"/>
    </xf>
    <xf numFmtId="0" fontId="6" fillId="6" borderId="0" xfId="12" applyFill="1" applyProtection="1">
      <protection hidden="1"/>
    </xf>
    <xf numFmtId="0" fontId="15" fillId="6" borderId="0" xfId="12" applyFont="1" applyFill="1" applyProtection="1"/>
    <xf numFmtId="0" fontId="15" fillId="6" borderId="0" xfId="12" applyFont="1" applyFill="1" applyProtection="1">
      <protection hidden="1"/>
    </xf>
    <xf numFmtId="0" fontId="4" fillId="0" borderId="0" xfId="11" applyFont="1" applyBorder="1" applyAlignment="1" applyProtection="1">
      <alignment horizontal="left"/>
      <protection hidden="1"/>
    </xf>
    <xf numFmtId="0" fontId="3" fillId="0" borderId="0" xfId="11" applyFont="1" applyBorder="1" applyProtection="1">
      <protection hidden="1"/>
    </xf>
    <xf numFmtId="0" fontId="13" fillId="0" borderId="0" xfId="11" applyFont="1" applyProtection="1">
      <protection hidden="1"/>
    </xf>
    <xf numFmtId="0" fontId="3" fillId="0" borderId="0" xfId="11" applyFont="1" applyProtection="1">
      <protection hidden="1"/>
    </xf>
    <xf numFmtId="0" fontId="3" fillId="0" borderId="0" xfId="11" applyFont="1" applyBorder="1" applyAlignment="1" applyProtection="1">
      <alignment horizontal="left"/>
      <protection hidden="1"/>
    </xf>
    <xf numFmtId="0" fontId="13" fillId="0" borderId="0" xfId="11" applyFont="1" applyFill="1" applyProtection="1">
      <protection hidden="1"/>
    </xf>
    <xf numFmtId="4" fontId="12" fillId="0" borderId="11" xfId="11" applyNumberFormat="1" applyFont="1" applyFill="1" applyBorder="1" applyProtection="1">
      <protection hidden="1"/>
    </xf>
    <xf numFmtId="4" fontId="12" fillId="0" borderId="12" xfId="11" applyNumberFormat="1" applyFont="1" applyFill="1" applyBorder="1" applyProtection="1">
      <protection hidden="1"/>
    </xf>
    <xf numFmtId="0" fontId="3" fillId="0" borderId="0" xfId="11" applyFont="1" applyFill="1" applyProtection="1">
      <protection hidden="1"/>
    </xf>
    <xf numFmtId="49" fontId="3" fillId="0" borderId="16" xfId="11" applyNumberFormat="1" applyFont="1" applyFill="1" applyBorder="1" applyAlignment="1" applyProtection="1">
      <alignment vertical="top"/>
      <protection hidden="1"/>
    </xf>
    <xf numFmtId="49" fontId="3" fillId="0" borderId="2" xfId="11" applyNumberFormat="1" applyFont="1" applyFill="1" applyBorder="1" applyAlignment="1" applyProtection="1">
      <alignment vertical="top"/>
      <protection hidden="1"/>
    </xf>
    <xf numFmtId="0" fontId="3" fillId="0" borderId="2" xfId="11" applyFont="1" applyFill="1" applyBorder="1" applyAlignment="1" applyProtection="1">
      <alignment vertical="top"/>
      <protection hidden="1"/>
    </xf>
    <xf numFmtId="171" fontId="3" fillId="0" borderId="2" xfId="15" quotePrefix="1" applyNumberFormat="1" applyFont="1" applyFill="1" applyBorder="1" applyAlignment="1" applyProtection="1">
      <alignment horizontal="center" vertical="top"/>
      <protection hidden="1"/>
    </xf>
    <xf numFmtId="4" fontId="3" fillId="0" borderId="3" xfId="11" applyNumberFormat="1" applyFont="1" applyFill="1" applyBorder="1" applyProtection="1">
      <protection hidden="1"/>
    </xf>
    <xf numFmtId="4" fontId="3" fillId="0" borderId="2" xfId="11" applyNumberFormat="1" applyFont="1" applyFill="1" applyBorder="1" applyProtection="1">
      <protection hidden="1"/>
    </xf>
    <xf numFmtId="4" fontId="12" fillId="0" borderId="2" xfId="11" applyNumberFormat="1" applyFont="1" applyFill="1" applyBorder="1" applyProtection="1">
      <protection hidden="1"/>
    </xf>
    <xf numFmtId="171" fontId="16" fillId="0" borderId="2" xfId="15" quotePrefix="1" applyNumberFormat="1" applyFont="1" applyFill="1" applyBorder="1" applyAlignment="1" applyProtection="1">
      <alignment horizontal="center" vertical="top"/>
      <protection hidden="1"/>
    </xf>
    <xf numFmtId="0" fontId="4" fillId="0" borderId="16" xfId="11" applyFont="1" applyFill="1" applyBorder="1" applyAlignment="1" applyProtection="1">
      <alignment horizontal="center" vertical="top"/>
      <protection hidden="1"/>
    </xf>
    <xf numFmtId="0" fontId="3" fillId="0" borderId="2" xfId="11" applyFont="1" applyFill="1" applyBorder="1" applyAlignment="1" applyProtection="1">
      <alignment horizontal="center" vertical="top"/>
      <protection hidden="1"/>
    </xf>
    <xf numFmtId="4" fontId="11" fillId="0" borderId="2" xfId="11" applyNumberFormat="1" applyFont="1" applyFill="1" applyBorder="1" applyProtection="1">
      <protection hidden="1"/>
    </xf>
    <xf numFmtId="4" fontId="12" fillId="0" borderId="3" xfId="11" applyNumberFormat="1" applyFont="1" applyFill="1" applyBorder="1" applyProtection="1">
      <protection hidden="1"/>
    </xf>
    <xf numFmtId="4" fontId="11" fillId="0" borderId="17" xfId="11" applyNumberFormat="1" applyFont="1" applyFill="1" applyBorder="1" applyProtection="1">
      <protection hidden="1"/>
    </xf>
    <xf numFmtId="4" fontId="11" fillId="0" borderId="14" xfId="11" applyNumberFormat="1" applyFont="1" applyFill="1" applyBorder="1" applyProtection="1">
      <protection hidden="1"/>
    </xf>
    <xf numFmtId="4" fontId="12" fillId="0" borderId="14" xfId="11" applyNumberFormat="1" applyFont="1" applyFill="1" applyBorder="1" applyProtection="1">
      <protection hidden="1"/>
    </xf>
    <xf numFmtId="0" fontId="16" fillId="0" borderId="0" xfId="11" applyFont="1" applyFill="1" applyProtection="1">
      <protection hidden="1"/>
    </xf>
    <xf numFmtId="0" fontId="20" fillId="0" borderId="0" xfId="0" applyFont="1" applyFill="1" applyBorder="1" applyProtection="1">
      <protection hidden="1"/>
    </xf>
    <xf numFmtId="0" fontId="2" fillId="0" borderId="0" xfId="11" applyFont="1" applyFill="1" applyProtection="1">
      <protection hidden="1"/>
    </xf>
    <xf numFmtId="0" fontId="20" fillId="0" borderId="0" xfId="0" applyFont="1" applyFill="1" applyBorder="1" applyAlignment="1" applyProtection="1">
      <protection hidden="1"/>
    </xf>
    <xf numFmtId="0" fontId="6" fillId="0" borderId="0" xfId="0" applyFont="1" applyFill="1" applyBorder="1" applyAlignment="1" applyProtection="1">
      <protection hidden="1"/>
    </xf>
    <xf numFmtId="0" fontId="2" fillId="0" borderId="0" xfId="0" applyFont="1" applyFill="1" applyProtection="1">
      <protection hidden="1"/>
    </xf>
    <xf numFmtId="0" fontId="4" fillId="5" borderId="18" xfId="11" applyFont="1" applyFill="1" applyBorder="1" applyAlignment="1" applyProtection="1">
      <alignment horizontal="center" vertical="center" wrapText="1"/>
      <protection hidden="1"/>
    </xf>
    <xf numFmtId="0" fontId="4" fillId="5" borderId="2" xfId="11" applyFont="1" applyFill="1" applyBorder="1" applyAlignment="1" applyProtection="1">
      <alignment horizontal="center" vertical="center" wrapText="1"/>
      <protection hidden="1"/>
    </xf>
    <xf numFmtId="0" fontId="4" fillId="5" borderId="19" xfId="11" quotePrefix="1" applyFont="1" applyFill="1" applyBorder="1" applyAlignment="1" applyProtection="1">
      <alignment horizontal="center" vertical="center" wrapText="1"/>
      <protection hidden="1"/>
    </xf>
    <xf numFmtId="0" fontId="4" fillId="5" borderId="20" xfId="11" quotePrefix="1" applyFont="1" applyFill="1" applyBorder="1" applyAlignment="1" applyProtection="1">
      <alignment horizontal="center" vertical="center" wrapText="1"/>
      <protection hidden="1"/>
    </xf>
    <xf numFmtId="0" fontId="4" fillId="4" borderId="21" xfId="11" quotePrefix="1" applyFont="1" applyFill="1" applyBorder="1" applyAlignment="1" applyProtection="1">
      <alignment horizontal="center" vertical="center" wrapText="1"/>
      <protection hidden="1"/>
    </xf>
    <xf numFmtId="0" fontId="4" fillId="4" borderId="20" xfId="11" quotePrefix="1" applyFont="1" applyFill="1" applyBorder="1" applyAlignment="1" applyProtection="1">
      <alignment horizontal="center" vertical="center" wrapText="1"/>
      <protection hidden="1"/>
    </xf>
    <xf numFmtId="0" fontId="4" fillId="4" borderId="21" xfId="11" quotePrefix="1" applyFont="1" applyFill="1" applyBorder="1" applyAlignment="1" applyProtection="1">
      <alignment horizontal="center" vertical="center"/>
      <protection hidden="1"/>
    </xf>
    <xf numFmtId="4" fontId="12" fillId="0" borderId="22" xfId="11" applyNumberFormat="1" applyFont="1" applyFill="1" applyBorder="1" applyProtection="1">
      <protection hidden="1"/>
    </xf>
    <xf numFmtId="4" fontId="12" fillId="0" borderId="23" xfId="11" applyNumberFormat="1" applyFont="1" applyFill="1" applyBorder="1" applyProtection="1">
      <protection hidden="1"/>
    </xf>
    <xf numFmtId="4" fontId="12" fillId="0" borderId="24" xfId="11" applyNumberFormat="1" applyFont="1" applyFill="1" applyBorder="1" applyProtection="1">
      <protection hidden="1"/>
    </xf>
    <xf numFmtId="4" fontId="12" fillId="0" borderId="25" xfId="11" applyNumberFormat="1" applyFont="1" applyFill="1" applyBorder="1" applyProtection="1">
      <protection hidden="1"/>
    </xf>
    <xf numFmtId="49" fontId="3" fillId="0" borderId="26" xfId="11" applyNumberFormat="1" applyFont="1" applyFill="1" applyBorder="1" applyAlignment="1" applyProtection="1">
      <alignment vertical="top"/>
      <protection hidden="1"/>
    </xf>
    <xf numFmtId="49" fontId="3" fillId="0" borderId="20" xfId="11" applyNumberFormat="1" applyFont="1" applyFill="1" applyBorder="1" applyAlignment="1" applyProtection="1">
      <alignment vertical="top"/>
      <protection hidden="1"/>
    </xf>
    <xf numFmtId="0" fontId="3" fillId="0" borderId="20" xfId="11" applyFont="1" applyFill="1" applyBorder="1" applyAlignment="1" applyProtection="1">
      <alignment vertical="top"/>
      <protection hidden="1"/>
    </xf>
    <xf numFmtId="171" fontId="3" fillId="0" borderId="20" xfId="15" quotePrefix="1" applyNumberFormat="1" applyFont="1" applyFill="1" applyBorder="1" applyAlignment="1" applyProtection="1">
      <alignment horizontal="center" vertical="top"/>
      <protection hidden="1"/>
    </xf>
    <xf numFmtId="4" fontId="3" fillId="0" borderId="4" xfId="11" applyNumberFormat="1" applyFont="1" applyFill="1" applyBorder="1" applyProtection="1">
      <protection hidden="1"/>
    </xf>
    <xf numFmtId="4" fontId="3" fillId="0" borderId="10" xfId="11" applyNumberFormat="1" applyFont="1" applyFill="1" applyBorder="1" applyProtection="1">
      <protection hidden="1"/>
    </xf>
    <xf numFmtId="49" fontId="3" fillId="0" borderId="27" xfId="11" quotePrefix="1" applyNumberFormat="1" applyFont="1" applyFill="1" applyBorder="1" applyAlignment="1" applyProtection="1">
      <alignment vertical="top"/>
      <protection hidden="1"/>
    </xf>
    <xf numFmtId="4" fontId="3" fillId="0" borderId="11" xfId="11" applyNumberFormat="1" applyFont="1" applyFill="1" applyBorder="1" applyProtection="1">
      <protection hidden="1"/>
    </xf>
    <xf numFmtId="4" fontId="3" fillId="0" borderId="12" xfId="11" applyNumberFormat="1" applyFont="1" applyFill="1" applyBorder="1" applyProtection="1">
      <protection hidden="1"/>
    </xf>
    <xf numFmtId="4" fontId="3" fillId="0" borderId="8" xfId="11" applyNumberFormat="1" applyFont="1" applyFill="1" applyBorder="1" applyProtection="1">
      <protection hidden="1"/>
    </xf>
    <xf numFmtId="4" fontId="3" fillId="0" borderId="13" xfId="11" applyNumberFormat="1" applyFont="1" applyFill="1" applyBorder="1" applyProtection="1">
      <protection hidden="1"/>
    </xf>
    <xf numFmtId="0" fontId="3" fillId="0" borderId="27" xfId="11" applyFont="1" applyFill="1" applyBorder="1" applyProtection="1">
      <protection hidden="1"/>
    </xf>
    <xf numFmtId="0" fontId="3" fillId="0" borderId="2" xfId="11" applyFont="1" applyFill="1" applyBorder="1" applyProtection="1">
      <protection hidden="1"/>
    </xf>
    <xf numFmtId="4" fontId="12" fillId="0" borderId="13" xfId="11" applyNumberFormat="1" applyFont="1" applyFill="1" applyBorder="1" applyProtection="1">
      <protection hidden="1"/>
    </xf>
    <xf numFmtId="49" fontId="3" fillId="0" borderId="1" xfId="11" applyNumberFormat="1" applyFont="1" applyFill="1" applyBorder="1" applyAlignment="1" applyProtection="1">
      <alignment vertical="top"/>
      <protection hidden="1"/>
    </xf>
    <xf numFmtId="0" fontId="4" fillId="0" borderId="1" xfId="11" applyFont="1" applyFill="1" applyBorder="1" applyAlignment="1" applyProtection="1">
      <alignment horizontal="center" vertical="top"/>
      <protection hidden="1"/>
    </xf>
    <xf numFmtId="4" fontId="12" fillId="0" borderId="4" xfId="11" applyNumberFormat="1" applyFont="1" applyFill="1" applyBorder="1" applyProtection="1">
      <protection hidden="1"/>
    </xf>
    <xf numFmtId="4" fontId="12" fillId="0" borderId="10" xfId="11" applyNumberFormat="1" applyFont="1" applyFill="1" applyBorder="1" applyProtection="1">
      <protection hidden="1"/>
    </xf>
    <xf numFmtId="4" fontId="12" fillId="0" borderId="17" xfId="11" applyNumberFormat="1" applyFont="1" applyFill="1" applyBorder="1" applyProtection="1">
      <protection hidden="1"/>
    </xf>
    <xf numFmtId="4" fontId="12" fillId="0" borderId="28" xfId="11" applyNumberFormat="1" applyFont="1" applyFill="1" applyBorder="1" applyProtection="1">
      <protection hidden="1"/>
    </xf>
    <xf numFmtId="0" fontId="16" fillId="0" borderId="0" xfId="11" applyFont="1" applyProtection="1">
      <protection hidden="1"/>
    </xf>
    <xf numFmtId="0" fontId="4" fillId="5" borderId="29" xfId="11" applyFont="1" applyFill="1" applyBorder="1" applyAlignment="1" applyProtection="1">
      <alignment horizontal="center" vertical="center"/>
      <protection hidden="1"/>
    </xf>
    <xf numFmtId="49" fontId="3" fillId="0" borderId="16" xfId="11" quotePrefix="1" applyNumberFormat="1" applyFont="1" applyFill="1" applyBorder="1" applyAlignment="1" applyProtection="1">
      <alignment vertical="top"/>
      <protection hidden="1"/>
    </xf>
    <xf numFmtId="4" fontId="11" fillId="0" borderId="11" xfId="11" applyNumberFormat="1" applyFont="1" applyFill="1" applyBorder="1" applyProtection="1">
      <protection hidden="1"/>
    </xf>
    <xf numFmtId="4" fontId="12" fillId="0" borderId="29" xfId="11" applyNumberFormat="1" applyFont="1" applyFill="1" applyBorder="1" applyProtection="1">
      <protection hidden="1"/>
    </xf>
    <xf numFmtId="4" fontId="14" fillId="0" borderId="11" xfId="11" applyNumberFormat="1" applyFont="1" applyFill="1" applyBorder="1" applyProtection="1">
      <protection hidden="1"/>
    </xf>
    <xf numFmtId="3" fontId="12" fillId="0" borderId="11" xfId="11" applyNumberFormat="1" applyFont="1" applyFill="1" applyBorder="1" applyProtection="1">
      <protection hidden="1"/>
    </xf>
    <xf numFmtId="3" fontId="12" fillId="0" borderId="12" xfId="11" applyNumberFormat="1" applyFont="1" applyFill="1" applyBorder="1" applyProtection="1">
      <protection hidden="1"/>
    </xf>
    <xf numFmtId="4" fontId="12" fillId="0" borderId="30" xfId="11" applyNumberFormat="1" applyFont="1" applyFill="1" applyBorder="1" applyProtection="1">
      <protection hidden="1"/>
    </xf>
    <xf numFmtId="3" fontId="14" fillId="0" borderId="3" xfId="11" applyNumberFormat="1" applyFont="1" applyFill="1" applyBorder="1" applyProtection="1">
      <protection hidden="1"/>
    </xf>
    <xf numFmtId="3" fontId="14" fillId="0" borderId="2" xfId="11" applyNumberFormat="1" applyFont="1" applyFill="1" applyBorder="1" applyProtection="1">
      <protection hidden="1"/>
    </xf>
    <xf numFmtId="3" fontId="12" fillId="0" borderId="11" xfId="3" applyNumberFormat="1" applyFont="1" applyFill="1" applyBorder="1" applyProtection="1">
      <protection hidden="1"/>
    </xf>
    <xf numFmtId="4" fontId="12" fillId="0" borderId="12" xfId="3" applyNumberFormat="1" applyFont="1" applyFill="1" applyBorder="1" applyProtection="1">
      <protection hidden="1"/>
    </xf>
    <xf numFmtId="3" fontId="12" fillId="0" borderId="12" xfId="3" applyNumberFormat="1" applyFont="1" applyFill="1" applyBorder="1" applyProtection="1">
      <protection hidden="1"/>
    </xf>
    <xf numFmtId="4" fontId="12" fillId="0" borderId="2" xfId="3" applyNumberFormat="1" applyFont="1" applyFill="1" applyBorder="1" applyProtection="1">
      <protection hidden="1"/>
    </xf>
    <xf numFmtId="171" fontId="23" fillId="0" borderId="2" xfId="15" quotePrefix="1" applyNumberFormat="1" applyFont="1" applyFill="1" applyBorder="1" applyAlignment="1" applyProtection="1">
      <alignment horizontal="center" vertical="top"/>
      <protection hidden="1"/>
    </xf>
    <xf numFmtId="3" fontId="14" fillId="0" borderId="31" xfId="11" applyNumberFormat="1" applyFont="1" applyFill="1" applyBorder="1" applyProtection="1">
      <protection hidden="1"/>
    </xf>
    <xf numFmtId="4" fontId="14" fillId="0" borderId="20" xfId="11" applyNumberFormat="1" applyFont="1" applyFill="1" applyBorder="1" applyProtection="1">
      <protection hidden="1"/>
    </xf>
    <xf numFmtId="3" fontId="14" fillId="0" borderId="20" xfId="11" applyNumberFormat="1" applyFont="1" applyFill="1" applyBorder="1" applyProtection="1">
      <protection hidden="1"/>
    </xf>
    <xf numFmtId="3" fontId="12" fillId="0" borderId="3" xfId="11" applyNumberFormat="1" applyFont="1" applyFill="1" applyBorder="1" applyProtection="1">
      <protection hidden="1"/>
    </xf>
    <xf numFmtId="3" fontId="12" fillId="0" borderId="2" xfId="11" applyNumberFormat="1" applyFont="1" applyFill="1" applyBorder="1" applyProtection="1">
      <protection hidden="1"/>
    </xf>
    <xf numFmtId="3" fontId="12" fillId="0" borderId="17" xfId="11" applyNumberFormat="1" applyFont="1" applyFill="1" applyBorder="1" applyProtection="1">
      <protection hidden="1"/>
    </xf>
    <xf numFmtId="3" fontId="12" fillId="0" borderId="14" xfId="11" applyNumberFormat="1" applyFont="1" applyFill="1" applyBorder="1" applyProtection="1">
      <protection hidden="1"/>
    </xf>
    <xf numFmtId="4" fontId="12" fillId="0" borderId="32" xfId="11" applyNumberFormat="1" applyFont="1" applyFill="1" applyBorder="1" applyProtection="1">
      <protection hidden="1"/>
    </xf>
    <xf numFmtId="3" fontId="3" fillId="0" borderId="0" xfId="11" applyNumberFormat="1" applyFont="1" applyProtection="1">
      <protection hidden="1"/>
    </xf>
    <xf numFmtId="0" fontId="4" fillId="0" borderId="0" xfId="11" applyFont="1" applyAlignment="1" applyProtection="1">
      <alignment horizontal="left"/>
      <protection hidden="1"/>
    </xf>
    <xf numFmtId="49" fontId="4" fillId="0" borderId="0" xfId="11" applyNumberFormat="1" applyFont="1" applyAlignment="1" applyProtection="1">
      <alignment horizontal="center"/>
      <protection hidden="1"/>
    </xf>
    <xf numFmtId="49" fontId="4" fillId="0" borderId="0" xfId="11" applyNumberFormat="1" applyFont="1" applyAlignment="1" applyProtection="1">
      <alignment horizontal="left"/>
      <protection hidden="1"/>
    </xf>
    <xf numFmtId="0" fontId="4" fillId="7" borderId="33" xfId="11" applyFont="1" applyFill="1" applyBorder="1" applyAlignment="1" applyProtection="1">
      <alignment horizontal="center" vertical="center"/>
      <protection hidden="1"/>
    </xf>
    <xf numFmtId="49" fontId="4" fillId="7" borderId="34" xfId="11" applyNumberFormat="1" applyFont="1" applyFill="1" applyBorder="1" applyAlignment="1" applyProtection="1">
      <alignment horizontal="center" vertical="center" wrapText="1"/>
      <protection hidden="1"/>
    </xf>
    <xf numFmtId="0" fontId="3" fillId="0" borderId="0" xfId="11" applyFont="1" applyAlignment="1" applyProtection="1">
      <alignment vertical="center"/>
      <protection hidden="1"/>
    </xf>
    <xf numFmtId="0" fontId="4" fillId="7" borderId="35" xfId="11" applyFont="1" applyFill="1" applyBorder="1" applyAlignment="1" applyProtection="1">
      <alignment horizontal="center" vertical="center"/>
      <protection hidden="1"/>
    </xf>
    <xf numFmtId="49" fontId="4" fillId="7" borderId="36" xfId="11" applyNumberFormat="1" applyFont="1" applyFill="1" applyBorder="1" applyAlignment="1" applyProtection="1">
      <alignment horizontal="center" vertical="center" wrapText="1"/>
      <protection hidden="1"/>
    </xf>
    <xf numFmtId="0" fontId="4" fillId="7" borderId="37" xfId="11" applyFont="1" applyFill="1" applyBorder="1" applyAlignment="1" applyProtection="1">
      <alignment horizontal="center" vertical="center"/>
      <protection hidden="1"/>
    </xf>
    <xf numFmtId="49" fontId="4" fillId="7" borderId="38" xfId="11" applyNumberFormat="1" applyFont="1" applyFill="1" applyBorder="1" applyAlignment="1" applyProtection="1">
      <alignment horizontal="center" vertical="center" wrapText="1"/>
      <protection hidden="1"/>
    </xf>
    <xf numFmtId="0" fontId="4" fillId="0" borderId="39" xfId="11" applyFont="1" applyFill="1" applyBorder="1" applyAlignment="1" applyProtection="1">
      <alignment horizontal="left" vertical="top"/>
      <protection hidden="1"/>
    </xf>
    <xf numFmtId="0" fontId="3" fillId="0" borderId="40" xfId="11" applyFont="1" applyFill="1" applyBorder="1" applyAlignment="1" applyProtection="1">
      <alignment horizontal="left" vertical="top"/>
      <protection hidden="1"/>
    </xf>
    <xf numFmtId="0" fontId="3" fillId="0" borderId="40" xfId="11" applyFont="1" applyFill="1" applyBorder="1" applyAlignment="1" applyProtection="1">
      <alignment horizontal="center" vertical="top"/>
      <protection hidden="1"/>
    </xf>
    <xf numFmtId="0" fontId="3" fillId="0" borderId="41" xfId="11" applyFont="1" applyFill="1" applyBorder="1" applyAlignment="1" applyProtection="1">
      <alignment horizontal="center" vertical="top"/>
      <protection hidden="1"/>
    </xf>
    <xf numFmtId="49" fontId="3" fillId="0" borderId="5" xfId="11" quotePrefix="1" applyNumberFormat="1" applyFont="1" applyFill="1" applyBorder="1" applyAlignment="1" applyProtection="1">
      <alignment horizontal="center" vertical="top"/>
      <protection hidden="1"/>
    </xf>
    <xf numFmtId="49" fontId="3" fillId="0" borderId="5" xfId="11" applyNumberFormat="1" applyFont="1" applyFill="1" applyBorder="1" applyAlignment="1" applyProtection="1">
      <alignment horizontal="center" vertical="top"/>
      <protection hidden="1"/>
    </xf>
    <xf numFmtId="4" fontId="12" fillId="0" borderId="42" xfId="11" applyNumberFormat="1" applyFont="1" applyFill="1" applyBorder="1" applyAlignment="1" applyProtection="1">
      <alignment horizontal="right" vertical="center"/>
      <protection hidden="1"/>
    </xf>
    <xf numFmtId="0" fontId="3" fillId="0" borderId="0" xfId="11" applyFont="1" applyFill="1" applyAlignment="1" applyProtection="1">
      <alignment vertical="top"/>
      <protection hidden="1"/>
    </xf>
    <xf numFmtId="0" fontId="3" fillId="0" borderId="16" xfId="11" applyFont="1" applyBorder="1" applyAlignment="1" applyProtection="1">
      <alignment vertical="top"/>
      <protection hidden="1"/>
    </xf>
    <xf numFmtId="0" fontId="3" fillId="0" borderId="43" xfId="11" applyFont="1" applyBorder="1" applyAlignment="1" applyProtection="1">
      <alignment vertical="top"/>
      <protection hidden="1"/>
    </xf>
    <xf numFmtId="0" fontId="3" fillId="0" borderId="43" xfId="11" applyFont="1" applyBorder="1" applyAlignment="1" applyProtection="1">
      <alignment horizontal="left" vertical="top"/>
      <protection hidden="1"/>
    </xf>
    <xf numFmtId="0" fontId="3" fillId="0" borderId="43" xfId="11" applyFont="1" applyBorder="1" applyAlignment="1" applyProtection="1">
      <alignment vertical="top" wrapText="1"/>
      <protection hidden="1"/>
    </xf>
    <xf numFmtId="0" fontId="3" fillId="0" borderId="3" xfId="11" applyFont="1" applyBorder="1" applyAlignment="1" applyProtection="1">
      <alignment vertical="top" wrapText="1"/>
      <protection hidden="1"/>
    </xf>
    <xf numFmtId="0" fontId="3" fillId="0" borderId="3" xfId="11" applyFont="1" applyBorder="1" applyAlignment="1" applyProtection="1">
      <alignment horizontal="left" vertical="top" wrapText="1"/>
      <protection hidden="1"/>
    </xf>
    <xf numFmtId="49" fontId="3" fillId="0" borderId="2" xfId="11" quotePrefix="1" applyNumberFormat="1" applyFont="1" applyBorder="1" applyAlignment="1" applyProtection="1">
      <alignment horizontal="center" vertical="top"/>
      <protection hidden="1"/>
    </xf>
    <xf numFmtId="49" fontId="3" fillId="0" borderId="2" xfId="11" quotePrefix="1" applyNumberFormat="1" applyFont="1" applyBorder="1" applyAlignment="1" applyProtection="1">
      <alignment vertical="top"/>
      <protection hidden="1"/>
    </xf>
    <xf numFmtId="4" fontId="3" fillId="0" borderId="2" xfId="11" applyNumberFormat="1" applyFont="1" applyBorder="1" applyAlignment="1" applyProtection="1">
      <alignment horizontal="right" vertical="center"/>
      <protection hidden="1"/>
    </xf>
    <xf numFmtId="4" fontId="3" fillId="0" borderId="4" xfId="11" applyNumberFormat="1" applyFont="1" applyBorder="1" applyAlignment="1" applyProtection="1">
      <alignment horizontal="right" vertical="center"/>
      <protection hidden="1"/>
    </xf>
    <xf numFmtId="4" fontId="12" fillId="0" borderId="29" xfId="11" applyNumberFormat="1" applyFont="1" applyBorder="1" applyAlignment="1" applyProtection="1">
      <alignment horizontal="right" vertical="center"/>
      <protection hidden="1"/>
    </xf>
    <xf numFmtId="0" fontId="3" fillId="0" borderId="0" xfId="11" applyFont="1" applyAlignment="1" applyProtection="1">
      <alignment vertical="top"/>
      <protection hidden="1"/>
    </xf>
    <xf numFmtId="0" fontId="3" fillId="0" borderId="43" xfId="11" applyFont="1" applyFill="1" applyBorder="1" applyAlignment="1" applyProtection="1">
      <alignment vertical="top"/>
      <protection hidden="1"/>
    </xf>
    <xf numFmtId="0" fontId="3" fillId="0" borderId="3" xfId="11" applyFont="1" applyFill="1" applyBorder="1" applyAlignment="1" applyProtection="1">
      <alignment vertical="top"/>
      <protection hidden="1"/>
    </xf>
    <xf numFmtId="49" fontId="3" fillId="0" borderId="2" xfId="11" quotePrefix="1" applyNumberFormat="1" applyFont="1" applyFill="1" applyBorder="1" applyAlignment="1" applyProtection="1">
      <alignment horizontal="center" vertical="top"/>
      <protection hidden="1"/>
    </xf>
    <xf numFmtId="49" fontId="3" fillId="0" borderId="2" xfId="11" quotePrefix="1" applyNumberFormat="1" applyFont="1" applyFill="1" applyBorder="1" applyAlignment="1" applyProtection="1">
      <alignment vertical="top"/>
      <protection hidden="1"/>
    </xf>
    <xf numFmtId="4" fontId="11" fillId="0" borderId="2" xfId="11" applyNumberFormat="1" applyFont="1" applyBorder="1" applyAlignment="1" applyProtection="1">
      <alignment horizontal="right" vertical="center"/>
      <protection hidden="1"/>
    </xf>
    <xf numFmtId="0" fontId="3" fillId="0" borderId="43" xfId="11" quotePrefix="1" applyFont="1" applyFill="1" applyBorder="1" applyAlignment="1" applyProtection="1">
      <alignment vertical="top"/>
      <protection hidden="1"/>
    </xf>
    <xf numFmtId="49" fontId="3" fillId="0" borderId="2" xfId="11" applyNumberFormat="1" applyFont="1" applyFill="1" applyBorder="1" applyAlignment="1" applyProtection="1">
      <alignment horizontal="center" vertical="top"/>
      <protection hidden="1"/>
    </xf>
    <xf numFmtId="0" fontId="3" fillId="0" borderId="16" xfId="11" quotePrefix="1" applyFont="1" applyBorder="1" applyAlignment="1" applyProtection="1">
      <alignment vertical="top"/>
      <protection hidden="1"/>
    </xf>
    <xf numFmtId="4" fontId="3" fillId="0" borderId="2" xfId="11" applyNumberFormat="1" applyFont="1" applyFill="1" applyBorder="1" applyAlignment="1" applyProtection="1">
      <alignment horizontal="right" vertical="center"/>
      <protection hidden="1"/>
    </xf>
    <xf numFmtId="4" fontId="11" fillId="0" borderId="29" xfId="11" applyNumberFormat="1" applyFont="1" applyBorder="1" applyAlignment="1" applyProtection="1">
      <alignment horizontal="right" vertical="center"/>
      <protection hidden="1"/>
    </xf>
    <xf numFmtId="9" fontId="11" fillId="0" borderId="2" xfId="11" applyNumberFormat="1" applyFont="1" applyBorder="1" applyAlignment="1" applyProtection="1">
      <alignment horizontal="right" vertical="center"/>
      <protection hidden="1"/>
    </xf>
    <xf numFmtId="9" fontId="12" fillId="0" borderId="29" xfId="11" applyNumberFormat="1" applyFont="1" applyBorder="1" applyAlignment="1" applyProtection="1">
      <alignment horizontal="right" vertical="center"/>
      <protection hidden="1"/>
    </xf>
    <xf numFmtId="0" fontId="3" fillId="0" borderId="44" xfId="11" quotePrefix="1" applyFont="1" applyBorder="1" applyAlignment="1" applyProtection="1">
      <alignment vertical="top"/>
      <protection hidden="1"/>
    </xf>
    <xf numFmtId="0" fontId="3" fillId="0" borderId="45" xfId="11" applyFont="1" applyFill="1" applyBorder="1" applyAlignment="1" applyProtection="1">
      <alignment vertical="top"/>
      <protection hidden="1"/>
    </xf>
    <xf numFmtId="0" fontId="3" fillId="0" borderId="45" xfId="11" applyFont="1" applyBorder="1" applyAlignment="1" applyProtection="1">
      <alignment vertical="top"/>
      <protection hidden="1"/>
    </xf>
    <xf numFmtId="0" fontId="3" fillId="0" borderId="17" xfId="11" applyFont="1" applyFill="1" applyBorder="1" applyAlignment="1" applyProtection="1">
      <alignment vertical="top"/>
      <protection hidden="1"/>
    </xf>
    <xf numFmtId="49" fontId="3" fillId="0" borderId="14" xfId="11" quotePrefix="1" applyNumberFormat="1" applyFont="1" applyFill="1" applyBorder="1" applyAlignment="1" applyProtection="1">
      <alignment horizontal="center" vertical="top"/>
      <protection hidden="1"/>
    </xf>
    <xf numFmtId="49" fontId="3" fillId="0" borderId="14" xfId="11" quotePrefix="1" applyNumberFormat="1" applyFont="1" applyFill="1" applyBorder="1" applyAlignment="1" applyProtection="1">
      <alignment vertical="top"/>
      <protection hidden="1"/>
    </xf>
    <xf numFmtId="9" fontId="11" fillId="0" borderId="14" xfId="11" applyNumberFormat="1" applyFont="1" applyBorder="1" applyAlignment="1" applyProtection="1">
      <alignment horizontal="right" vertical="center"/>
      <protection hidden="1"/>
    </xf>
    <xf numFmtId="9" fontId="12" fillId="0" borderId="32" xfId="11" applyNumberFormat="1" applyFont="1" applyBorder="1" applyAlignment="1" applyProtection="1">
      <alignment horizontal="right" vertical="center"/>
      <protection hidden="1"/>
    </xf>
    <xf numFmtId="49" fontId="16" fillId="0" borderId="0" xfId="11" applyNumberFormat="1" applyFont="1" applyAlignment="1" applyProtection="1">
      <alignment horizontal="center"/>
      <protection hidden="1"/>
    </xf>
    <xf numFmtId="49" fontId="3" fillId="0" borderId="0" xfId="11" applyNumberFormat="1" applyFont="1" applyProtection="1">
      <protection hidden="1"/>
    </xf>
    <xf numFmtId="0" fontId="3" fillId="0" borderId="0" xfId="11" applyFont="1" applyAlignment="1" applyProtection="1">
      <alignment horizontal="center"/>
      <protection hidden="1"/>
    </xf>
    <xf numFmtId="0" fontId="14" fillId="0" borderId="0" xfId="0" applyFont="1" applyProtection="1">
      <protection hidden="1"/>
    </xf>
    <xf numFmtId="49" fontId="3" fillId="0" borderId="0" xfId="11" applyNumberFormat="1" applyFont="1" applyAlignment="1" applyProtection="1">
      <alignment horizontal="center"/>
      <protection hidden="1"/>
    </xf>
    <xf numFmtId="0" fontId="14" fillId="0" borderId="0" xfId="0" quotePrefix="1" applyFont="1" applyProtection="1">
      <protection hidden="1"/>
    </xf>
    <xf numFmtId="0" fontId="3" fillId="0" borderId="11" xfId="11" applyNumberFormat="1" applyFont="1" applyFill="1" applyBorder="1" applyProtection="1">
      <protection hidden="1"/>
    </xf>
    <xf numFmtId="0" fontId="3" fillId="0" borderId="3" xfId="11" applyNumberFormat="1" applyFont="1" applyFill="1" applyBorder="1" applyProtection="1">
      <protection hidden="1"/>
    </xf>
    <xf numFmtId="0" fontId="3" fillId="0" borderId="17" xfId="11" applyNumberFormat="1" applyFont="1" applyFill="1" applyBorder="1" applyProtection="1">
      <protection hidden="1"/>
    </xf>
    <xf numFmtId="3" fontId="14" fillId="0" borderId="31" xfId="11" applyNumberFormat="1" applyFont="1" applyFill="1" applyBorder="1" applyProtection="1">
      <protection locked="0"/>
    </xf>
    <xf numFmtId="4" fontId="14" fillId="0" borderId="20" xfId="11" applyNumberFormat="1" applyFont="1" applyFill="1" applyBorder="1" applyProtection="1">
      <protection locked="0"/>
    </xf>
    <xf numFmtId="3" fontId="14" fillId="0" borderId="20" xfId="11" applyNumberFormat="1" applyFont="1" applyFill="1" applyBorder="1" applyProtection="1">
      <protection locked="0"/>
    </xf>
    <xf numFmtId="4" fontId="14" fillId="0" borderId="7" xfId="11" applyNumberFormat="1" applyFont="1" applyFill="1" applyBorder="1" applyProtection="1">
      <protection locked="0"/>
    </xf>
    <xf numFmtId="3" fontId="3" fillId="2" borderId="2" xfId="11" applyNumberFormat="1" applyFont="1" applyFill="1" applyBorder="1" applyProtection="1">
      <protection hidden="1"/>
    </xf>
    <xf numFmtId="4" fontId="3" fillId="2" borderId="2" xfId="11" applyNumberFormat="1" applyFont="1" applyFill="1" applyBorder="1" applyProtection="1">
      <protection hidden="1"/>
    </xf>
    <xf numFmtId="3" fontId="3" fillId="0" borderId="2" xfId="11" applyNumberFormat="1" applyFont="1" applyFill="1" applyBorder="1" applyProtection="1">
      <protection hidden="1"/>
    </xf>
    <xf numFmtId="3" fontId="24" fillId="2" borderId="12" xfId="11" applyNumberFormat="1" applyFont="1" applyFill="1" applyBorder="1" applyProtection="1">
      <protection hidden="1"/>
    </xf>
    <xf numFmtId="4" fontId="24" fillId="2" borderId="12" xfId="11" applyNumberFormat="1" applyFont="1" applyFill="1" applyBorder="1" applyProtection="1">
      <protection hidden="1"/>
    </xf>
    <xf numFmtId="3" fontId="24" fillId="2" borderId="2" xfId="3" applyNumberFormat="1" applyFont="1" applyFill="1" applyBorder="1" applyProtection="1">
      <protection hidden="1"/>
    </xf>
    <xf numFmtId="4" fontId="24" fillId="2" borderId="2" xfId="3" applyNumberFormat="1" applyFont="1" applyFill="1" applyBorder="1" applyProtection="1">
      <protection hidden="1"/>
    </xf>
    <xf numFmtId="3" fontId="24" fillId="2" borderId="2" xfId="11" applyNumberFormat="1" applyFont="1" applyFill="1" applyBorder="1" applyProtection="1">
      <protection hidden="1"/>
    </xf>
    <xf numFmtId="4" fontId="24" fillId="2" borderId="2" xfId="11" applyNumberFormat="1" applyFont="1" applyFill="1" applyBorder="1" applyProtection="1">
      <protection hidden="1"/>
    </xf>
    <xf numFmtId="3" fontId="24" fillId="2" borderId="14" xfId="11" applyNumberFormat="1" applyFont="1" applyFill="1" applyBorder="1" applyProtection="1">
      <protection hidden="1"/>
    </xf>
    <xf numFmtId="4" fontId="24" fillId="2" borderId="14" xfId="11" applyNumberFormat="1" applyFont="1" applyFill="1" applyBorder="1" applyProtection="1">
      <protection hidden="1"/>
    </xf>
    <xf numFmtId="3" fontId="3" fillId="0" borderId="3" xfId="11" applyNumberFormat="1" applyFont="1" applyFill="1" applyBorder="1" applyProtection="1">
      <protection locked="0"/>
    </xf>
    <xf numFmtId="3" fontId="3" fillId="0" borderId="3" xfId="11" applyNumberFormat="1" applyFont="1" applyFill="1" applyBorder="1" applyProtection="1">
      <protection hidden="1"/>
    </xf>
    <xf numFmtId="4" fontId="3" fillId="0" borderId="30" xfId="11" applyNumberFormat="1" applyFont="1" applyFill="1" applyBorder="1" applyProtection="1">
      <protection hidden="1"/>
    </xf>
    <xf numFmtId="3" fontId="3" fillId="0" borderId="12" xfId="11" applyNumberFormat="1" applyFont="1" applyFill="1" applyBorder="1" applyProtection="1">
      <protection locked="0"/>
    </xf>
    <xf numFmtId="3" fontId="3" fillId="0" borderId="12" xfId="11" applyNumberFormat="1" applyFont="1" applyFill="1" applyBorder="1" applyProtection="1">
      <protection hidden="1"/>
    </xf>
    <xf numFmtId="4" fontId="25" fillId="0" borderId="11" xfId="11" applyNumberFormat="1" applyFont="1" applyFill="1" applyBorder="1" applyProtection="1">
      <protection hidden="1"/>
    </xf>
    <xf numFmtId="4" fontId="26" fillId="0" borderId="2" xfId="11" applyNumberFormat="1" applyFont="1" applyFill="1" applyBorder="1" applyProtection="1">
      <protection hidden="1"/>
    </xf>
    <xf numFmtId="0" fontId="4" fillId="5" borderId="21" xfId="11" quotePrefix="1" applyFont="1" applyFill="1" applyBorder="1" applyAlignment="1" applyProtection="1">
      <alignment horizontal="center" vertical="center"/>
      <protection hidden="1"/>
    </xf>
    <xf numFmtId="0" fontId="4" fillId="4" borderId="19" xfId="11" quotePrefix="1" applyFont="1" applyFill="1" applyBorder="1" applyAlignment="1" applyProtection="1">
      <alignment horizontal="center" vertical="center" wrapText="1"/>
      <protection hidden="1"/>
    </xf>
    <xf numFmtId="0" fontId="4" fillId="7" borderId="46" xfId="11" quotePrefix="1" applyFont="1" applyFill="1" applyBorder="1" applyAlignment="1" applyProtection="1">
      <alignment horizontal="center" vertical="center" wrapText="1"/>
      <protection hidden="1"/>
    </xf>
    <xf numFmtId="4" fontId="11" fillId="0" borderId="23" xfId="11" applyNumberFormat="1" applyFont="1" applyFill="1" applyBorder="1" applyProtection="1">
      <protection hidden="1"/>
    </xf>
    <xf numFmtId="4" fontId="14" fillId="0" borderId="10" xfId="11" applyNumberFormat="1" applyFont="1" applyFill="1" applyBorder="1" applyProtection="1">
      <protection locked="0"/>
    </xf>
    <xf numFmtId="49" fontId="3" fillId="0" borderId="1" xfId="11" quotePrefix="1" applyNumberFormat="1" applyFont="1" applyFill="1" applyBorder="1" applyAlignment="1" applyProtection="1">
      <alignment vertical="top"/>
      <protection hidden="1"/>
    </xf>
    <xf numFmtId="4" fontId="14" fillId="0" borderId="10" xfId="11" applyNumberFormat="1" applyFont="1" applyFill="1" applyBorder="1" applyProtection="1">
      <protection hidden="1"/>
    </xf>
    <xf numFmtId="4" fontId="14" fillId="0" borderId="3" xfId="11" applyNumberFormat="1" applyFont="1" applyFill="1" applyBorder="1" applyProtection="1">
      <protection locked="0"/>
    </xf>
    <xf numFmtId="4" fontId="14" fillId="0" borderId="3" xfId="11" applyNumberFormat="1" applyFont="1" applyFill="1" applyBorder="1" applyProtection="1">
      <protection hidden="1"/>
    </xf>
    <xf numFmtId="171" fontId="3" fillId="0" borderId="10" xfId="15" quotePrefix="1" applyNumberFormat="1" applyFont="1" applyFill="1" applyBorder="1" applyAlignment="1" applyProtection="1">
      <alignment horizontal="center" vertical="top"/>
      <protection hidden="1"/>
    </xf>
    <xf numFmtId="171" fontId="16" fillId="0" borderId="10" xfId="15" quotePrefix="1" applyNumberFormat="1" applyFont="1" applyFill="1" applyBorder="1" applyAlignment="1" applyProtection="1">
      <alignment horizontal="center" vertical="top"/>
      <protection hidden="1"/>
    </xf>
    <xf numFmtId="4" fontId="26" fillId="0" borderId="30" xfId="11" applyNumberFormat="1" applyFont="1" applyFill="1" applyBorder="1" applyProtection="1">
      <protection hidden="1"/>
    </xf>
    <xf numFmtId="3" fontId="3" fillId="0" borderId="2" xfId="11" applyNumberFormat="1" applyFont="1" applyFill="1" applyBorder="1" applyProtection="1">
      <protection locked="0"/>
    </xf>
    <xf numFmtId="49" fontId="3" fillId="0" borderId="27" xfId="11" applyNumberFormat="1" applyFont="1" applyFill="1" applyBorder="1" applyAlignment="1" applyProtection="1">
      <alignment vertical="top"/>
      <protection hidden="1"/>
    </xf>
    <xf numFmtId="49" fontId="3" fillId="0" borderId="47" xfId="11" applyNumberFormat="1" applyFont="1" applyFill="1" applyBorder="1" applyAlignment="1" applyProtection="1">
      <alignment vertical="top"/>
      <protection hidden="1"/>
    </xf>
    <xf numFmtId="49" fontId="3" fillId="0" borderId="12" xfId="11" applyNumberFormat="1" applyFont="1" applyFill="1" applyBorder="1" applyAlignment="1" applyProtection="1">
      <alignment vertical="top"/>
      <protection hidden="1"/>
    </xf>
    <xf numFmtId="0" fontId="3" fillId="0" borderId="12" xfId="11" applyFont="1" applyFill="1" applyBorder="1" applyAlignment="1" applyProtection="1">
      <alignment vertical="top"/>
      <protection hidden="1"/>
    </xf>
    <xf numFmtId="171" fontId="3" fillId="0" borderId="12" xfId="15" quotePrefix="1" applyNumberFormat="1" applyFont="1" applyFill="1" applyBorder="1" applyAlignment="1" applyProtection="1">
      <alignment horizontal="center" vertical="top"/>
      <protection hidden="1"/>
    </xf>
    <xf numFmtId="0" fontId="4" fillId="8" borderId="19" xfId="11" quotePrefix="1" applyFont="1" applyFill="1" applyBorder="1" applyAlignment="1" applyProtection="1">
      <alignment horizontal="center" vertical="center" wrapText="1"/>
      <protection hidden="1"/>
    </xf>
    <xf numFmtId="0" fontId="4" fillId="8" borderId="20" xfId="11" quotePrefix="1" applyFont="1" applyFill="1" applyBorder="1" applyAlignment="1" applyProtection="1">
      <alignment horizontal="center" vertical="center" wrapText="1"/>
      <protection hidden="1"/>
    </xf>
    <xf numFmtId="0" fontId="4" fillId="8" borderId="21" xfId="11" quotePrefix="1" applyFont="1" applyFill="1" applyBorder="1" applyAlignment="1" applyProtection="1">
      <alignment horizontal="center" vertical="center" wrapText="1"/>
      <protection hidden="1"/>
    </xf>
    <xf numFmtId="0" fontId="4" fillId="7" borderId="46" xfId="11" quotePrefix="1" applyFont="1" applyFill="1" applyBorder="1" applyAlignment="1" applyProtection="1">
      <alignment horizontal="center" vertical="center"/>
      <protection hidden="1"/>
    </xf>
    <xf numFmtId="0" fontId="27" fillId="8" borderId="48" xfId="11" applyFont="1" applyFill="1" applyBorder="1" applyAlignment="1" applyProtection="1">
      <alignment horizontal="center" vertical="top"/>
      <protection hidden="1"/>
    </xf>
    <xf numFmtId="0" fontId="27" fillId="8" borderId="22" xfId="11" applyFont="1" applyFill="1" applyBorder="1" applyAlignment="1" applyProtection="1">
      <alignment vertical="top"/>
      <protection hidden="1"/>
    </xf>
    <xf numFmtId="0" fontId="27" fillId="8" borderId="43" xfId="11" applyFont="1" applyFill="1" applyBorder="1" applyAlignment="1" applyProtection="1">
      <alignment horizontal="center" vertical="top"/>
      <protection hidden="1"/>
    </xf>
    <xf numFmtId="0" fontId="27" fillId="8" borderId="3" xfId="11" applyFont="1" applyFill="1" applyBorder="1" applyAlignment="1" applyProtection="1">
      <alignment vertical="top"/>
      <protection hidden="1"/>
    </xf>
    <xf numFmtId="0" fontId="27" fillId="8" borderId="49" xfId="11" applyFont="1" applyFill="1" applyBorder="1" applyAlignment="1" applyProtection="1">
      <alignment horizontal="center" vertical="top"/>
      <protection hidden="1"/>
    </xf>
    <xf numFmtId="0" fontId="27" fillId="8" borderId="11" xfId="11" applyFont="1" applyFill="1" applyBorder="1" applyAlignment="1" applyProtection="1">
      <alignment vertical="top"/>
      <protection hidden="1"/>
    </xf>
    <xf numFmtId="0" fontId="27" fillId="8" borderId="50" xfId="11" applyFont="1" applyFill="1" applyBorder="1" applyAlignment="1" applyProtection="1">
      <alignment vertical="top"/>
      <protection hidden="1"/>
    </xf>
    <xf numFmtId="0" fontId="27" fillId="8" borderId="51" xfId="11" applyFont="1" applyFill="1" applyBorder="1" applyAlignment="1" applyProtection="1">
      <alignment vertical="top"/>
      <protection hidden="1"/>
    </xf>
    <xf numFmtId="0" fontId="3" fillId="0" borderId="20" xfId="11" applyFont="1" applyFill="1" applyBorder="1" applyAlignment="1" applyProtection="1">
      <alignment horizontal="center" vertical="top"/>
      <protection hidden="1"/>
    </xf>
    <xf numFmtId="171" fontId="16" fillId="0" borderId="20" xfId="15" quotePrefix="1" applyNumberFormat="1" applyFont="1" applyFill="1" applyBorder="1" applyAlignment="1" applyProtection="1">
      <alignment horizontal="center" vertical="top"/>
      <protection hidden="1"/>
    </xf>
    <xf numFmtId="0" fontId="3" fillId="0" borderId="22" xfId="11" applyNumberFormat="1" applyFont="1" applyFill="1" applyBorder="1" applyProtection="1">
      <protection hidden="1"/>
    </xf>
    <xf numFmtId="0" fontId="3" fillId="0" borderId="25" xfId="11" applyNumberFormat="1" applyFont="1" applyFill="1" applyBorder="1" applyProtection="1">
      <protection hidden="1"/>
    </xf>
    <xf numFmtId="0" fontId="3" fillId="0" borderId="10" xfId="11" applyNumberFormat="1" applyFont="1" applyFill="1" applyBorder="1" applyProtection="1">
      <protection locked="0"/>
    </xf>
    <xf numFmtId="0" fontId="3" fillId="0" borderId="10" xfId="11" applyNumberFormat="1" applyFont="1" applyFill="1" applyBorder="1" applyProtection="1">
      <protection hidden="1"/>
    </xf>
    <xf numFmtId="0" fontId="3" fillId="0" borderId="13" xfId="11" applyNumberFormat="1" applyFont="1" applyFill="1" applyBorder="1" applyProtection="1">
      <protection hidden="1"/>
    </xf>
    <xf numFmtId="0" fontId="4" fillId="0" borderId="26" xfId="11" applyFont="1" applyFill="1" applyBorder="1" applyAlignment="1" applyProtection="1">
      <alignment horizontal="center" vertical="top"/>
      <protection hidden="1"/>
    </xf>
    <xf numFmtId="0" fontId="3" fillId="0" borderId="28" xfId="11" applyNumberFormat="1" applyFont="1" applyFill="1" applyBorder="1" applyProtection="1">
      <protection hidden="1"/>
    </xf>
    <xf numFmtId="0" fontId="29" fillId="10" borderId="52" xfId="0" applyFont="1" applyFill="1" applyBorder="1" applyAlignment="1" applyProtection="1">
      <alignment horizontal="center" vertical="center" wrapText="1"/>
      <protection hidden="1"/>
    </xf>
    <xf numFmtId="0" fontId="29" fillId="10" borderId="53" xfId="0" applyFont="1" applyFill="1" applyBorder="1" applyAlignment="1" applyProtection="1">
      <alignment horizontal="center" vertical="center" wrapText="1"/>
      <protection hidden="1"/>
    </xf>
    <xf numFmtId="3" fontId="33" fillId="0" borderId="12" xfId="11" applyNumberFormat="1" applyFont="1" applyFill="1" applyBorder="1" applyProtection="1">
      <protection hidden="1"/>
    </xf>
    <xf numFmtId="4" fontId="33" fillId="0" borderId="12" xfId="11" applyNumberFormat="1" applyFont="1" applyFill="1" applyBorder="1" applyProtection="1">
      <protection hidden="1"/>
    </xf>
    <xf numFmtId="3" fontId="34" fillId="0" borderId="2" xfId="11" applyNumberFormat="1" applyFont="1" applyFill="1" applyBorder="1" applyProtection="1">
      <protection locked="0"/>
    </xf>
    <xf numFmtId="4" fontId="34" fillId="0" borderId="2" xfId="11" applyNumberFormat="1" applyFont="1" applyFill="1" applyBorder="1" applyProtection="1">
      <protection locked="0"/>
    </xf>
    <xf numFmtId="3" fontId="34" fillId="0" borderId="2" xfId="11" applyNumberFormat="1" applyFont="1" applyFill="1" applyBorder="1" applyProtection="1">
      <protection hidden="1"/>
    </xf>
    <xf numFmtId="4" fontId="34" fillId="0" borderId="2" xfId="11" applyNumberFormat="1" applyFont="1" applyFill="1" applyBorder="1" applyProtection="1">
      <protection hidden="1"/>
    </xf>
    <xf numFmtId="3" fontId="33" fillId="0" borderId="12" xfId="5" applyNumberFormat="1" applyFont="1" applyFill="1" applyBorder="1" applyProtection="1">
      <protection hidden="1"/>
    </xf>
    <xf numFmtId="3" fontId="34" fillId="0" borderId="20" xfId="11" applyNumberFormat="1" applyFont="1" applyFill="1" applyBorder="1" applyProtection="1">
      <protection locked="0"/>
    </xf>
    <xf numFmtId="3" fontId="33" fillId="0" borderId="3" xfId="11" applyNumberFormat="1" applyFont="1" applyFill="1" applyBorder="1" applyProtection="1">
      <protection hidden="1"/>
    </xf>
    <xf numFmtId="4" fontId="33" fillId="0" borderId="3" xfId="11" applyNumberFormat="1" applyFont="1" applyFill="1" applyBorder="1" applyProtection="1">
      <protection hidden="1"/>
    </xf>
    <xf numFmtId="3" fontId="34" fillId="11" borderId="2" xfId="11" applyNumberFormat="1" applyFont="1" applyFill="1" applyBorder="1" applyProtection="1"/>
    <xf numFmtId="4" fontId="34" fillId="11" borderId="2" xfId="11" applyNumberFormat="1" applyFont="1" applyFill="1" applyBorder="1" applyProtection="1"/>
    <xf numFmtId="3" fontId="34" fillId="11" borderId="2" xfId="11" applyNumberFormat="1" applyFont="1" applyFill="1" applyBorder="1" applyProtection="1">
      <protection hidden="1"/>
    </xf>
    <xf numFmtId="4" fontId="34" fillId="11" borderId="2" xfId="11" applyNumberFormat="1" applyFont="1" applyFill="1" applyBorder="1" applyProtection="1">
      <protection hidden="1"/>
    </xf>
    <xf numFmtId="3" fontId="33" fillId="0" borderId="14" xfId="11" applyNumberFormat="1" applyFont="1" applyFill="1" applyBorder="1" applyProtection="1">
      <protection hidden="1"/>
    </xf>
    <xf numFmtId="4" fontId="33" fillId="0" borderId="14" xfId="11" applyNumberFormat="1" applyFont="1" applyFill="1" applyBorder="1" applyProtection="1">
      <protection hidden="1"/>
    </xf>
    <xf numFmtId="4" fontId="35" fillId="0" borderId="2" xfId="11" applyNumberFormat="1" applyFont="1" applyFill="1" applyBorder="1" applyProtection="1"/>
    <xf numFmtId="4" fontId="35" fillId="0" borderId="14" xfId="11" applyNumberFormat="1" applyFont="1" applyFill="1" applyBorder="1" applyProtection="1"/>
    <xf numFmtId="3" fontId="35" fillId="0" borderId="12" xfId="11" applyNumberFormat="1" applyFont="1" applyFill="1" applyBorder="1" applyProtection="1"/>
    <xf numFmtId="3" fontId="36" fillId="11" borderId="11" xfId="11" applyNumberFormat="1" applyFont="1" applyFill="1" applyBorder="1" applyProtection="1">
      <protection hidden="1"/>
    </xf>
    <xf numFmtId="4" fontId="36" fillId="11" borderId="11" xfId="11" applyNumberFormat="1" applyFont="1" applyFill="1" applyBorder="1" applyProtection="1">
      <protection hidden="1"/>
    </xf>
    <xf numFmtId="4" fontId="36" fillId="11" borderId="2" xfId="11" applyNumberFormat="1" applyFont="1" applyFill="1" applyBorder="1" applyProtection="1">
      <protection hidden="1"/>
    </xf>
    <xf numFmtId="0" fontId="4" fillId="0" borderId="0" xfId="11" applyFont="1" applyFill="1" applyBorder="1" applyAlignment="1" applyProtection="1">
      <alignment vertical="center" wrapText="1"/>
      <protection hidden="1"/>
    </xf>
    <xf numFmtId="0" fontId="0" fillId="0" borderId="0" xfId="0" applyFill="1" applyBorder="1"/>
    <xf numFmtId="0" fontId="4" fillId="0" borderId="0" xfId="11" applyFont="1" applyFill="1" applyBorder="1" applyAlignment="1" applyProtection="1">
      <alignment vertical="center"/>
      <protection hidden="1"/>
    </xf>
    <xf numFmtId="4" fontId="34" fillId="11" borderId="14" xfId="11" applyNumberFormat="1" applyFont="1" applyFill="1" applyBorder="1" applyProtection="1">
      <protection hidden="1"/>
    </xf>
    <xf numFmtId="4" fontId="34" fillId="11" borderId="28" xfId="11" applyNumberFormat="1" applyFont="1" applyFill="1" applyBorder="1" applyProtection="1">
      <protection hidden="1"/>
    </xf>
    <xf numFmtId="3" fontId="33" fillId="0" borderId="2" xfId="11" applyNumberFormat="1" applyFont="1" applyFill="1" applyBorder="1" applyProtection="1">
      <protection hidden="1"/>
    </xf>
    <xf numFmtId="3" fontId="36" fillId="11" borderId="2" xfId="11" applyNumberFormat="1" applyFont="1" applyFill="1" applyBorder="1" applyProtection="1">
      <protection hidden="1"/>
    </xf>
    <xf numFmtId="4" fontId="33" fillId="0" borderId="2" xfId="11" applyNumberFormat="1" applyFont="1" applyFill="1" applyBorder="1" applyProtection="1">
      <protection hidden="1"/>
    </xf>
    <xf numFmtId="3" fontId="33" fillId="0" borderId="2" xfId="5" applyNumberFormat="1" applyFont="1" applyFill="1" applyBorder="1" applyProtection="1">
      <protection hidden="1"/>
    </xf>
    <xf numFmtId="0" fontId="29" fillId="10" borderId="54" xfId="0" applyFont="1" applyFill="1" applyBorder="1" applyAlignment="1" applyProtection="1">
      <alignment horizontal="center" vertical="center" wrapText="1"/>
      <protection hidden="1"/>
    </xf>
    <xf numFmtId="4" fontId="34" fillId="11" borderId="10" xfId="11" applyNumberFormat="1" applyFont="1" applyFill="1" applyBorder="1" applyProtection="1">
      <protection hidden="1"/>
    </xf>
    <xf numFmtId="4" fontId="36" fillId="11" borderId="10" xfId="11" applyNumberFormat="1" applyFont="1" applyFill="1" applyBorder="1" applyProtection="1">
      <protection hidden="1"/>
    </xf>
    <xf numFmtId="4" fontId="34" fillId="11" borderId="10" xfId="11" applyNumberFormat="1" applyFont="1" applyFill="1" applyBorder="1" applyProtection="1"/>
    <xf numFmtId="3" fontId="33" fillId="0" borderId="11" xfId="11" applyNumberFormat="1" applyFont="1" applyFill="1" applyBorder="1" applyProtection="1">
      <protection hidden="1"/>
    </xf>
    <xf numFmtId="3" fontId="34" fillId="0" borderId="3" xfId="11" applyNumberFormat="1" applyFont="1" applyFill="1" applyBorder="1" applyProtection="1">
      <protection locked="0"/>
    </xf>
    <xf numFmtId="3" fontId="34" fillId="0" borderId="3" xfId="11" applyNumberFormat="1" applyFont="1" applyFill="1" applyBorder="1" applyProtection="1">
      <protection hidden="1"/>
    </xf>
    <xf numFmtId="3" fontId="33" fillId="0" borderId="11" xfId="5" applyNumberFormat="1" applyFont="1" applyFill="1" applyBorder="1" applyProtection="1">
      <protection hidden="1"/>
    </xf>
    <xf numFmtId="3" fontId="34" fillId="0" borderId="31" xfId="11" applyNumberFormat="1" applyFont="1" applyFill="1" applyBorder="1" applyProtection="1">
      <protection locked="0"/>
    </xf>
    <xf numFmtId="3" fontId="34" fillId="0" borderId="31" xfId="11" applyNumberFormat="1" applyFont="1" applyFill="1" applyBorder="1" applyProtection="1">
      <protection hidden="1"/>
    </xf>
    <xf numFmtId="3" fontId="34" fillId="11" borderId="3" xfId="11" applyNumberFormat="1" applyFont="1" applyFill="1" applyBorder="1" applyProtection="1"/>
    <xf numFmtId="3" fontId="34" fillId="11" borderId="3" xfId="11" applyNumberFormat="1" applyFont="1" applyFill="1" applyBorder="1" applyProtection="1">
      <protection hidden="1"/>
    </xf>
    <xf numFmtId="0" fontId="29" fillId="10" borderId="55" xfId="0" applyFont="1" applyFill="1" applyBorder="1" applyAlignment="1" applyProtection="1">
      <alignment horizontal="center" vertical="center" wrapText="1"/>
      <protection hidden="1"/>
    </xf>
    <xf numFmtId="3" fontId="33" fillId="0" borderId="17" xfId="11" applyNumberFormat="1" applyFont="1" applyFill="1" applyBorder="1" applyProtection="1">
      <protection hidden="1"/>
    </xf>
    <xf numFmtId="0" fontId="29" fillId="10" borderId="56" xfId="0" applyFont="1" applyFill="1" applyBorder="1" applyAlignment="1" applyProtection="1">
      <alignment horizontal="center" vertical="center" wrapText="1"/>
      <protection hidden="1"/>
    </xf>
    <xf numFmtId="171" fontId="36" fillId="11" borderId="2" xfId="15" quotePrefix="1" applyNumberFormat="1" applyFont="1" applyFill="1" applyBorder="1" applyAlignment="1" applyProtection="1">
      <alignment horizontal="center" vertical="top"/>
      <protection hidden="1"/>
    </xf>
    <xf numFmtId="0" fontId="32" fillId="0" borderId="0" xfId="0" applyFont="1"/>
    <xf numFmtId="49" fontId="37" fillId="0" borderId="2" xfId="11" applyNumberFormat="1" applyFont="1" applyFill="1" applyBorder="1" applyAlignment="1" applyProtection="1">
      <alignment vertical="top"/>
      <protection hidden="1"/>
    </xf>
    <xf numFmtId="0" fontId="37" fillId="0" borderId="2" xfId="11" applyFont="1" applyFill="1" applyBorder="1" applyAlignment="1" applyProtection="1">
      <alignment vertical="top"/>
      <protection hidden="1"/>
    </xf>
    <xf numFmtId="171" fontId="37" fillId="0" borderId="2" xfId="15" quotePrefix="1" applyNumberFormat="1" applyFont="1" applyFill="1" applyBorder="1" applyAlignment="1" applyProtection="1">
      <alignment horizontal="center" vertical="top"/>
      <protection hidden="1"/>
    </xf>
    <xf numFmtId="3" fontId="37" fillId="0" borderId="12" xfId="11" applyNumberFormat="1" applyFont="1" applyFill="1" applyBorder="1" applyProtection="1"/>
    <xf numFmtId="4" fontId="37" fillId="0" borderId="2" xfId="11" applyNumberFormat="1" applyFont="1" applyFill="1" applyBorder="1" applyProtection="1"/>
    <xf numFmtId="3" fontId="37" fillId="0" borderId="2" xfId="11" applyNumberFormat="1" applyFont="1" applyFill="1" applyBorder="1" applyProtection="1">
      <protection hidden="1"/>
    </xf>
    <xf numFmtId="4" fontId="37" fillId="0" borderId="2" xfId="11" applyNumberFormat="1" applyFont="1" applyFill="1" applyBorder="1" applyProtection="1">
      <protection hidden="1"/>
    </xf>
    <xf numFmtId="3" fontId="37" fillId="0" borderId="3" xfId="11" applyNumberFormat="1" applyFont="1" applyFill="1" applyBorder="1" applyProtection="1">
      <protection hidden="1"/>
    </xf>
    <xf numFmtId="4" fontId="37" fillId="0" borderId="10" xfId="11" applyNumberFormat="1" applyFont="1" applyFill="1" applyBorder="1" applyProtection="1">
      <protection hidden="1"/>
    </xf>
    <xf numFmtId="3" fontId="37" fillId="0" borderId="20" xfId="11" applyNumberFormat="1" applyFont="1" applyFill="1" applyBorder="1" applyProtection="1">
      <protection hidden="1"/>
    </xf>
    <xf numFmtId="3" fontId="37" fillId="0" borderId="31" xfId="11" applyNumberFormat="1" applyFont="1" applyFill="1" applyBorder="1" applyProtection="1">
      <protection hidden="1"/>
    </xf>
    <xf numFmtId="0" fontId="36" fillId="11" borderId="2" xfId="11" applyNumberFormat="1" applyFont="1" applyFill="1" applyBorder="1" applyProtection="1">
      <protection hidden="1"/>
    </xf>
    <xf numFmtId="3" fontId="36" fillId="11" borderId="2" xfId="11" applyNumberFormat="1" applyFont="1" applyFill="1" applyBorder="1" applyProtection="1"/>
    <xf numFmtId="4" fontId="36" fillId="11" borderId="2" xfId="11" applyNumberFormat="1" applyFont="1" applyFill="1" applyBorder="1" applyProtection="1"/>
    <xf numFmtId="3" fontId="36" fillId="11" borderId="3" xfId="11" applyNumberFormat="1" applyFont="1" applyFill="1" applyBorder="1" applyProtection="1"/>
    <xf numFmtId="4" fontId="36" fillId="11" borderId="10" xfId="11" applyNumberFormat="1" applyFont="1" applyFill="1" applyBorder="1" applyProtection="1"/>
    <xf numFmtId="4" fontId="36" fillId="11" borderId="20" xfId="11" applyNumberFormat="1" applyFont="1" applyFill="1" applyBorder="1" applyProtection="1">
      <protection hidden="1"/>
    </xf>
    <xf numFmtId="3" fontId="36" fillId="11" borderId="3" xfId="11" applyNumberFormat="1" applyFont="1" applyFill="1" applyBorder="1" applyProtection="1">
      <protection hidden="1"/>
    </xf>
    <xf numFmtId="49" fontId="36" fillId="11" borderId="2" xfId="11" applyNumberFormat="1" applyFont="1" applyFill="1" applyBorder="1" applyAlignment="1" applyProtection="1">
      <alignment vertical="top"/>
      <protection hidden="1"/>
    </xf>
    <xf numFmtId="0" fontId="36" fillId="11" borderId="2" xfId="11" applyFont="1" applyFill="1" applyBorder="1" applyAlignment="1" applyProtection="1">
      <alignment vertical="top"/>
      <protection hidden="1"/>
    </xf>
    <xf numFmtId="0" fontId="36" fillId="11" borderId="2" xfId="11" applyFont="1" applyFill="1" applyBorder="1" applyAlignment="1" applyProtection="1">
      <alignment horizontal="center" vertical="top"/>
      <protection hidden="1"/>
    </xf>
    <xf numFmtId="3" fontId="34" fillId="0" borderId="2" xfId="11" applyNumberFormat="1" applyFont="1" applyFill="1" applyBorder="1" applyAlignment="1" applyProtection="1">
      <protection locked="0"/>
    </xf>
    <xf numFmtId="3" fontId="33" fillId="0" borderId="12" xfId="11" applyNumberFormat="1" applyFont="1" applyFill="1" applyBorder="1" applyAlignment="1" applyProtection="1">
      <protection hidden="1"/>
    </xf>
    <xf numFmtId="4" fontId="33" fillId="0" borderId="12" xfId="11" applyNumberFormat="1" applyFont="1" applyFill="1" applyBorder="1" applyAlignment="1" applyProtection="1">
      <protection hidden="1"/>
    </xf>
    <xf numFmtId="4" fontId="34" fillId="0" borderId="2" xfId="11" applyNumberFormat="1" applyFont="1" applyFill="1" applyBorder="1" applyAlignment="1" applyProtection="1">
      <protection locked="0"/>
    </xf>
    <xf numFmtId="3" fontId="37" fillId="0" borderId="2" xfId="11" applyNumberFormat="1" applyFont="1" applyFill="1" applyBorder="1" applyAlignment="1" applyProtection="1">
      <protection hidden="1"/>
    </xf>
    <xf numFmtId="4" fontId="37" fillId="0" borderId="2" xfId="11" applyNumberFormat="1" applyFont="1" applyFill="1" applyBorder="1" applyAlignment="1" applyProtection="1">
      <protection hidden="1"/>
    </xf>
    <xf numFmtId="3" fontId="33" fillId="0" borderId="12" xfId="5" applyNumberFormat="1" applyFont="1" applyFill="1" applyBorder="1" applyAlignment="1" applyProtection="1">
      <protection hidden="1"/>
    </xf>
    <xf numFmtId="3" fontId="34" fillId="0" borderId="20" xfId="11" applyNumberFormat="1" applyFont="1" applyFill="1" applyBorder="1" applyAlignment="1" applyProtection="1">
      <protection locked="0"/>
    </xf>
    <xf numFmtId="3" fontId="37" fillId="0" borderId="20" xfId="11" applyNumberFormat="1" applyFont="1" applyFill="1" applyBorder="1" applyAlignment="1" applyProtection="1">
      <protection hidden="1"/>
    </xf>
    <xf numFmtId="3" fontId="33" fillId="0" borderId="3" xfId="11" applyNumberFormat="1" applyFont="1" applyFill="1" applyBorder="1" applyAlignment="1" applyProtection="1">
      <protection hidden="1"/>
    </xf>
    <xf numFmtId="3" fontId="3" fillId="0" borderId="3" xfId="11" applyNumberFormat="1" applyFont="1" applyFill="1" applyBorder="1" applyAlignment="1" applyProtection="1">
      <protection locked="0"/>
    </xf>
    <xf numFmtId="3" fontId="37" fillId="0" borderId="3" xfId="11" applyNumberFormat="1" applyFont="1" applyFill="1" applyBorder="1" applyAlignment="1" applyProtection="1">
      <protection hidden="1"/>
    </xf>
    <xf numFmtId="4" fontId="33" fillId="0" borderId="3" xfId="11" applyNumberFormat="1" applyFont="1" applyFill="1" applyBorder="1" applyAlignment="1" applyProtection="1">
      <protection hidden="1"/>
    </xf>
    <xf numFmtId="3" fontId="36" fillId="11" borderId="11" xfId="11" applyNumberFormat="1" applyFont="1" applyFill="1" applyBorder="1" applyAlignment="1" applyProtection="1">
      <protection hidden="1"/>
    </xf>
    <xf numFmtId="4" fontId="36" fillId="11" borderId="11" xfId="11" applyNumberFormat="1" applyFont="1" applyFill="1" applyBorder="1" applyAlignment="1" applyProtection="1">
      <protection hidden="1"/>
    </xf>
    <xf numFmtId="4" fontId="36" fillId="11" borderId="2" xfId="11" applyNumberFormat="1" applyFont="1" applyFill="1" applyBorder="1" applyAlignment="1" applyProtection="1">
      <protection hidden="1"/>
    </xf>
    <xf numFmtId="3" fontId="36" fillId="11" borderId="2" xfId="11" applyNumberFormat="1" applyFont="1" applyFill="1" applyBorder="1" applyAlignment="1" applyProtection="1"/>
    <xf numFmtId="4" fontId="36" fillId="11" borderId="2" xfId="11" applyNumberFormat="1" applyFont="1" applyFill="1" applyBorder="1" applyAlignment="1" applyProtection="1"/>
    <xf numFmtId="3" fontId="36" fillId="11" borderId="20" xfId="11" applyNumberFormat="1" applyFont="1" applyFill="1" applyBorder="1" applyAlignment="1" applyProtection="1">
      <protection hidden="1"/>
    </xf>
    <xf numFmtId="4" fontId="36" fillId="11" borderId="20" xfId="11" applyNumberFormat="1" applyFont="1" applyFill="1" applyBorder="1" applyAlignment="1" applyProtection="1">
      <protection hidden="1"/>
    </xf>
    <xf numFmtId="3" fontId="33" fillId="0" borderId="14" xfId="11" applyNumberFormat="1" applyFont="1" applyFill="1" applyBorder="1" applyAlignment="1" applyProtection="1">
      <protection hidden="1"/>
    </xf>
    <xf numFmtId="4" fontId="33" fillId="0" borderId="14" xfId="11" applyNumberFormat="1" applyFont="1" applyFill="1" applyBorder="1" applyAlignment="1" applyProtection="1">
      <protection hidden="1"/>
    </xf>
    <xf numFmtId="4" fontId="34" fillId="11" borderId="14" xfId="11" applyNumberFormat="1" applyFont="1" applyFill="1" applyBorder="1" applyAlignment="1" applyProtection="1">
      <protection hidden="1"/>
    </xf>
    <xf numFmtId="10" fontId="34" fillId="0" borderId="2" xfId="11" applyNumberFormat="1" applyFont="1" applyFill="1" applyBorder="1" applyProtection="1">
      <protection locked="0"/>
    </xf>
    <xf numFmtId="0" fontId="4" fillId="7" borderId="57" xfId="11" applyFont="1" applyFill="1" applyBorder="1" applyAlignment="1" applyProtection="1">
      <alignment vertical="center"/>
      <protection hidden="1"/>
    </xf>
    <xf numFmtId="10" fontId="34" fillId="0" borderId="10" xfId="11" applyNumberFormat="1" applyFont="1" applyFill="1" applyBorder="1" applyProtection="1">
      <protection locked="0"/>
    </xf>
    <xf numFmtId="49" fontId="37" fillId="0" borderId="1" xfId="11" quotePrefix="1" applyNumberFormat="1" applyFont="1" applyFill="1" applyBorder="1" applyAlignment="1" applyProtection="1">
      <alignment vertical="top"/>
      <protection hidden="1"/>
    </xf>
    <xf numFmtId="49" fontId="37" fillId="0" borderId="1" xfId="11" applyNumberFormat="1" applyFont="1" applyFill="1" applyBorder="1" applyAlignment="1" applyProtection="1">
      <alignment vertical="top"/>
      <protection hidden="1"/>
    </xf>
    <xf numFmtId="49" fontId="36" fillId="11" borderId="1" xfId="11" applyNumberFormat="1" applyFont="1" applyFill="1" applyBorder="1" applyAlignment="1" applyProtection="1">
      <alignment vertical="top"/>
      <protection hidden="1"/>
    </xf>
    <xf numFmtId="0" fontId="38" fillId="11" borderId="1" xfId="11" applyFont="1" applyFill="1" applyBorder="1" applyAlignment="1" applyProtection="1">
      <alignment horizontal="center" vertical="top"/>
      <protection hidden="1"/>
    </xf>
    <xf numFmtId="0" fontId="31" fillId="10" borderId="0" xfId="0" applyFont="1" applyFill="1" applyBorder="1" applyAlignment="1" applyProtection="1">
      <alignment horizontal="center" vertical="center" wrapText="1"/>
    </xf>
    <xf numFmtId="0" fontId="3" fillId="0" borderId="43" xfId="11" applyFont="1" applyBorder="1" applyProtection="1">
      <protection hidden="1"/>
    </xf>
    <xf numFmtId="0" fontId="3" fillId="0" borderId="43" xfId="11" applyFont="1" applyFill="1" applyBorder="1" applyProtection="1">
      <protection hidden="1"/>
    </xf>
    <xf numFmtId="0" fontId="3" fillId="0" borderId="45" xfId="11" applyFont="1" applyFill="1" applyBorder="1" applyProtection="1">
      <protection hidden="1"/>
    </xf>
    <xf numFmtId="3" fontId="33" fillId="0" borderId="58" xfId="11" applyNumberFormat="1" applyFont="1" applyFill="1" applyBorder="1" applyProtection="1">
      <protection hidden="1"/>
    </xf>
    <xf numFmtId="3" fontId="34" fillId="0" borderId="27" xfId="11" applyNumberFormat="1" applyFont="1" applyFill="1" applyBorder="1" applyProtection="1">
      <protection locked="0"/>
    </xf>
    <xf numFmtId="3" fontId="34" fillId="0" borderId="27" xfId="11" applyNumberFormat="1" applyFont="1" applyFill="1" applyBorder="1" applyProtection="1">
      <protection hidden="1"/>
    </xf>
    <xf numFmtId="3" fontId="33" fillId="0" borderId="27" xfId="5" applyNumberFormat="1" applyFont="1" applyFill="1" applyBorder="1" applyProtection="1">
      <protection hidden="1"/>
    </xf>
    <xf numFmtId="3" fontId="33" fillId="0" borderId="27" xfId="11" applyNumberFormat="1" applyFont="1" applyFill="1" applyBorder="1" applyProtection="1">
      <protection hidden="1"/>
    </xf>
    <xf numFmtId="3" fontId="3" fillId="0" borderId="27" xfId="11" applyNumberFormat="1" applyFont="1" applyFill="1" applyBorder="1" applyProtection="1">
      <protection locked="0"/>
    </xf>
    <xf numFmtId="3" fontId="3" fillId="0" borderId="27" xfId="11" applyNumberFormat="1" applyFont="1" applyFill="1" applyBorder="1" applyProtection="1">
      <protection hidden="1"/>
    </xf>
    <xf numFmtId="3" fontId="36" fillId="11" borderId="27" xfId="11" applyNumberFormat="1" applyFont="1" applyFill="1" applyBorder="1" applyProtection="1">
      <protection hidden="1"/>
    </xf>
    <xf numFmtId="3" fontId="34" fillId="11" borderId="27" xfId="11" applyNumberFormat="1" applyFont="1" applyFill="1" applyBorder="1" applyProtection="1"/>
    <xf numFmtId="3" fontId="34" fillId="11" borderId="27" xfId="11" applyNumberFormat="1" applyFont="1" applyFill="1" applyBorder="1" applyProtection="1">
      <protection hidden="1"/>
    </xf>
    <xf numFmtId="3" fontId="33" fillId="0" borderId="59" xfId="11" applyNumberFormat="1" applyFont="1" applyFill="1" applyBorder="1" applyProtection="1">
      <protection hidden="1"/>
    </xf>
    <xf numFmtId="0" fontId="4" fillId="4" borderId="18" xfId="11" applyFont="1" applyFill="1" applyBorder="1" applyAlignment="1" applyProtection="1">
      <alignment horizontal="center" vertical="center" wrapText="1"/>
      <protection hidden="1"/>
    </xf>
    <xf numFmtId="0" fontId="4" fillId="4" borderId="12" xfId="11" applyFont="1" applyFill="1" applyBorder="1" applyAlignment="1" applyProtection="1">
      <alignment horizontal="center" vertical="center" wrapText="1"/>
      <protection hidden="1"/>
    </xf>
    <xf numFmtId="0" fontId="4" fillId="9" borderId="68" xfId="11" applyFont="1" applyFill="1" applyBorder="1" applyAlignment="1" applyProtection="1">
      <alignment horizontal="center" vertical="top"/>
      <protection hidden="1"/>
    </xf>
    <xf numFmtId="0" fontId="4" fillId="9" borderId="45" xfId="11" applyFont="1" applyFill="1" applyBorder="1" applyAlignment="1" applyProtection="1">
      <alignment horizontal="center" vertical="top"/>
      <protection hidden="1"/>
    </xf>
    <xf numFmtId="0" fontId="28" fillId="9" borderId="45" xfId="11" applyFont="1" applyFill="1" applyBorder="1" applyAlignment="1" applyProtection="1">
      <alignment horizontal="center" vertical="top"/>
      <protection hidden="1"/>
    </xf>
    <xf numFmtId="0" fontId="28" fillId="9" borderId="17" xfId="11" applyFont="1" applyFill="1" applyBorder="1" applyAlignment="1" applyProtection="1">
      <alignment horizontal="center" vertical="top"/>
      <protection hidden="1"/>
    </xf>
    <xf numFmtId="0" fontId="4" fillId="8" borderId="1" xfId="11" applyFont="1" applyFill="1" applyBorder="1" applyAlignment="1" applyProtection="1">
      <alignment horizontal="center" vertical="top"/>
      <protection hidden="1"/>
    </xf>
    <xf numFmtId="0" fontId="4" fillId="8" borderId="43" xfId="11" applyFont="1" applyFill="1" applyBorder="1" applyAlignment="1" applyProtection="1">
      <alignment horizontal="center" vertical="top"/>
      <protection hidden="1"/>
    </xf>
    <xf numFmtId="0" fontId="4" fillId="9" borderId="1" xfId="11" applyFont="1" applyFill="1" applyBorder="1" applyAlignment="1" applyProtection="1">
      <alignment horizontal="center" vertical="top"/>
      <protection hidden="1"/>
    </xf>
    <xf numFmtId="0" fontId="4" fillId="9" borderId="43" xfId="11" applyFont="1" applyFill="1" applyBorder="1" applyAlignment="1" applyProtection="1">
      <alignment horizontal="center" vertical="top"/>
      <protection hidden="1"/>
    </xf>
    <xf numFmtId="0" fontId="28" fillId="9" borderId="43" xfId="11" applyFont="1" applyFill="1" applyBorder="1" applyAlignment="1" applyProtection="1">
      <alignment horizontal="center" vertical="top"/>
      <protection hidden="1"/>
    </xf>
    <xf numFmtId="0" fontId="28" fillId="9" borderId="3" xfId="11" applyFont="1" applyFill="1" applyBorder="1" applyAlignment="1" applyProtection="1">
      <alignment horizontal="center" vertical="top"/>
      <protection hidden="1"/>
    </xf>
    <xf numFmtId="0" fontId="4" fillId="8" borderId="21" xfId="11" applyFont="1" applyFill="1" applyBorder="1" applyAlignment="1" applyProtection="1">
      <alignment horizontal="center" vertical="center" wrapText="1"/>
      <protection hidden="1"/>
    </xf>
    <xf numFmtId="0" fontId="4" fillId="8" borderId="61" xfId="11" applyFont="1" applyFill="1" applyBorder="1" applyAlignment="1" applyProtection="1">
      <alignment horizontal="center" vertical="center" wrapText="1"/>
      <protection hidden="1"/>
    </xf>
    <xf numFmtId="0" fontId="4" fillId="7" borderId="62" xfId="11" applyFont="1" applyFill="1" applyBorder="1" applyAlignment="1" applyProtection="1">
      <alignment horizontal="center" vertical="center"/>
      <protection hidden="1"/>
    </xf>
    <xf numFmtId="0" fontId="4" fillId="7" borderId="63" xfId="11" applyFont="1" applyFill="1" applyBorder="1" applyAlignment="1" applyProtection="1">
      <alignment horizontal="center" vertical="center"/>
      <protection hidden="1"/>
    </xf>
    <xf numFmtId="0" fontId="4" fillId="7" borderId="66" xfId="11" applyFont="1" applyFill="1" applyBorder="1" applyAlignment="1" applyProtection="1">
      <alignment horizontal="center" vertical="center"/>
      <protection hidden="1"/>
    </xf>
    <xf numFmtId="0" fontId="4" fillId="7" borderId="64" xfId="11" applyFont="1" applyFill="1" applyBorder="1" applyAlignment="1" applyProtection="1">
      <alignment horizontal="center" vertical="center"/>
      <protection hidden="1"/>
    </xf>
    <xf numFmtId="0" fontId="4" fillId="7" borderId="5" xfId="11" applyFont="1" applyFill="1" applyBorder="1" applyAlignment="1" applyProtection="1">
      <alignment horizontal="center" vertical="center"/>
      <protection hidden="1"/>
    </xf>
    <xf numFmtId="0" fontId="4" fillId="7" borderId="42" xfId="11" applyFont="1" applyFill="1" applyBorder="1" applyAlignment="1" applyProtection="1">
      <alignment horizontal="center" vertical="center"/>
      <protection hidden="1"/>
    </xf>
    <xf numFmtId="0" fontId="4" fillId="8" borderId="19" xfId="11" applyFont="1" applyFill="1" applyBorder="1" applyAlignment="1" applyProtection="1">
      <alignment horizontal="center" vertical="center" wrapText="1"/>
      <protection hidden="1"/>
    </xf>
    <xf numFmtId="0" fontId="4" fillId="8" borderId="67" xfId="11" applyFont="1" applyFill="1" applyBorder="1" applyAlignment="1" applyProtection="1">
      <alignment horizontal="center" vertical="center" wrapText="1"/>
      <protection hidden="1"/>
    </xf>
    <xf numFmtId="0" fontId="4" fillId="8" borderId="20" xfId="11" applyFont="1" applyFill="1" applyBorder="1" applyAlignment="1" applyProtection="1">
      <alignment horizontal="center" vertical="center" wrapText="1"/>
      <protection hidden="1"/>
    </xf>
    <xf numFmtId="0" fontId="4" fillId="8" borderId="36" xfId="11" applyFont="1" applyFill="1" applyBorder="1" applyAlignment="1" applyProtection="1">
      <alignment horizontal="center" vertical="center" wrapText="1"/>
      <protection hidden="1"/>
    </xf>
    <xf numFmtId="0" fontId="4" fillId="7" borderId="60" xfId="11" applyFont="1" applyFill="1" applyBorder="1" applyAlignment="1" applyProtection="1">
      <alignment horizontal="center" vertical="center" wrapText="1"/>
      <protection hidden="1"/>
    </xf>
    <xf numFmtId="0" fontId="4" fillId="7" borderId="61" xfId="11" applyFont="1" applyFill="1" applyBorder="1" applyAlignment="1" applyProtection="1">
      <alignment horizontal="center" vertical="center" wrapText="1"/>
      <protection hidden="1"/>
    </xf>
    <xf numFmtId="0" fontId="4" fillId="7" borderId="62" xfId="11" applyFont="1" applyFill="1" applyBorder="1" applyAlignment="1" applyProtection="1">
      <alignment horizontal="center" vertical="center" wrapText="1"/>
      <protection hidden="1"/>
    </xf>
    <xf numFmtId="0" fontId="4" fillId="7" borderId="63" xfId="11" applyFont="1" applyFill="1" applyBorder="1" applyAlignment="1" applyProtection="1">
      <alignment horizontal="center" vertical="center" wrapText="1"/>
      <protection hidden="1"/>
    </xf>
    <xf numFmtId="0" fontId="4" fillId="7" borderId="64" xfId="11" applyFont="1" applyFill="1" applyBorder="1" applyAlignment="1" applyProtection="1">
      <alignment horizontal="center" vertical="center" wrapText="1"/>
      <protection hidden="1"/>
    </xf>
    <xf numFmtId="0" fontId="4" fillId="7" borderId="42" xfId="11" applyFont="1" applyFill="1" applyBorder="1" applyAlignment="1" applyProtection="1">
      <alignment horizontal="center" vertical="center" wrapText="1"/>
      <protection hidden="1"/>
    </xf>
    <xf numFmtId="0" fontId="4" fillId="7" borderId="29" xfId="11" applyFont="1" applyFill="1" applyBorder="1" applyAlignment="1" applyProtection="1">
      <alignment horizontal="center" vertical="center" wrapText="1"/>
      <protection hidden="1"/>
    </xf>
    <xf numFmtId="0" fontId="4" fillId="7" borderId="21" xfId="11" applyFont="1" applyFill="1" applyBorder="1" applyAlignment="1" applyProtection="1">
      <alignment horizontal="center" vertical="center" wrapText="1"/>
      <protection hidden="1"/>
    </xf>
    <xf numFmtId="0" fontId="4" fillId="7" borderId="18" xfId="11" applyFont="1" applyFill="1" applyBorder="1" applyAlignment="1" applyProtection="1">
      <alignment horizontal="center" vertical="center" wrapText="1"/>
      <protection hidden="1"/>
    </xf>
    <xf numFmtId="0" fontId="4" fillId="7" borderId="19" xfId="11" applyFont="1" applyFill="1" applyBorder="1" applyAlignment="1" applyProtection="1">
      <alignment horizontal="center" vertical="center" wrapText="1"/>
      <protection hidden="1"/>
    </xf>
    <xf numFmtId="0" fontId="4" fillId="8" borderId="65" xfId="11" applyFont="1" applyFill="1" applyBorder="1" applyAlignment="1" applyProtection="1">
      <alignment horizontal="center" vertical="top"/>
      <protection hidden="1"/>
    </xf>
    <xf numFmtId="0" fontId="4" fillId="8" borderId="48" xfId="11" applyFont="1" applyFill="1" applyBorder="1" applyAlignment="1" applyProtection="1">
      <alignment horizontal="center" vertical="top"/>
      <protection hidden="1"/>
    </xf>
    <xf numFmtId="0" fontId="4" fillId="4" borderId="29" xfId="11" applyFont="1" applyFill="1" applyBorder="1" applyAlignment="1" applyProtection="1">
      <alignment horizontal="center" vertical="center"/>
      <protection hidden="1"/>
    </xf>
    <xf numFmtId="0" fontId="4" fillId="7" borderId="69" xfId="11" applyFont="1" applyFill="1" applyBorder="1" applyAlignment="1" applyProtection="1">
      <alignment horizontal="center" vertical="center" wrapText="1"/>
      <protection hidden="1"/>
    </xf>
    <xf numFmtId="0" fontId="4" fillId="7" borderId="70" xfId="11" applyFont="1" applyFill="1" applyBorder="1" applyAlignment="1" applyProtection="1">
      <alignment horizontal="center" vertical="center" wrapText="1"/>
      <protection hidden="1"/>
    </xf>
    <xf numFmtId="0" fontId="4" fillId="4" borderId="18" xfId="11" applyFont="1" applyFill="1" applyBorder="1" applyAlignment="1" applyProtection="1">
      <alignment horizontal="center" vertical="center" wrapText="1"/>
      <protection hidden="1"/>
    </xf>
    <xf numFmtId="0" fontId="4" fillId="4" borderId="2" xfId="11" applyFont="1" applyFill="1" applyBorder="1" applyAlignment="1" applyProtection="1">
      <alignment horizontal="center" vertical="center" wrapText="1"/>
      <protection hidden="1"/>
    </xf>
    <xf numFmtId="0" fontId="4" fillId="4" borderId="29" xfId="11" applyFont="1" applyFill="1" applyBorder="1" applyAlignment="1" applyProtection="1">
      <alignment horizontal="center" vertical="center" wrapText="1"/>
      <protection hidden="1"/>
    </xf>
    <xf numFmtId="0" fontId="4" fillId="8" borderId="47" xfId="11" applyFont="1" applyFill="1" applyBorder="1" applyAlignment="1" applyProtection="1">
      <alignment horizontal="center" vertical="top"/>
      <protection hidden="1"/>
    </xf>
    <xf numFmtId="0" fontId="4" fillId="8" borderId="49" xfId="11" applyFont="1" applyFill="1" applyBorder="1" applyAlignment="1" applyProtection="1">
      <alignment horizontal="center" vertical="top"/>
      <protection hidden="1"/>
    </xf>
    <xf numFmtId="0" fontId="4" fillId="7" borderId="72" xfId="11" applyFont="1" applyFill="1" applyBorder="1" applyAlignment="1" applyProtection="1">
      <alignment horizontal="center" vertical="center" wrapText="1"/>
      <protection hidden="1"/>
    </xf>
    <xf numFmtId="0" fontId="4" fillId="7" borderId="73" xfId="11" applyFont="1" applyFill="1" applyBorder="1" applyAlignment="1" applyProtection="1">
      <alignment horizontal="center" vertical="center" wrapText="1"/>
      <protection hidden="1"/>
    </xf>
    <xf numFmtId="0" fontId="4" fillId="4" borderId="16" xfId="11" applyFont="1" applyFill="1" applyBorder="1" applyAlignment="1" applyProtection="1">
      <alignment horizontal="center" vertical="center" wrapText="1"/>
      <protection hidden="1"/>
    </xf>
    <xf numFmtId="0" fontId="4" fillId="4" borderId="3" xfId="11" applyFont="1" applyFill="1" applyBorder="1" applyAlignment="1" applyProtection="1">
      <alignment horizontal="center" vertical="center" wrapText="1"/>
      <protection hidden="1"/>
    </xf>
    <xf numFmtId="0" fontId="28" fillId="9" borderId="71" xfId="11" applyFont="1" applyFill="1" applyBorder="1" applyAlignment="1" applyProtection="1">
      <alignment horizontal="center" vertical="top"/>
      <protection hidden="1"/>
    </xf>
    <xf numFmtId="0" fontId="28" fillId="9" borderId="51" xfId="11" applyFont="1" applyFill="1" applyBorder="1" applyAlignment="1" applyProtection="1">
      <alignment horizontal="center" vertical="top"/>
      <protection hidden="1"/>
    </xf>
    <xf numFmtId="0" fontId="4" fillId="8" borderId="16" xfId="11" applyFont="1" applyFill="1" applyBorder="1" applyAlignment="1" applyProtection="1">
      <alignment horizontal="center" vertical="top"/>
      <protection hidden="1"/>
    </xf>
    <xf numFmtId="0" fontId="4" fillId="5" borderId="19" xfId="11" applyFont="1" applyFill="1" applyBorder="1" applyAlignment="1" applyProtection="1">
      <alignment horizontal="center" vertical="center" wrapText="1"/>
      <protection hidden="1"/>
    </xf>
    <xf numFmtId="0" fontId="4" fillId="5" borderId="87" xfId="11" applyFont="1" applyFill="1" applyBorder="1" applyAlignment="1" applyProtection="1">
      <alignment horizontal="center" vertical="center" wrapText="1"/>
      <protection hidden="1"/>
    </xf>
    <xf numFmtId="0" fontId="4" fillId="9" borderId="44" xfId="11" applyFont="1" applyFill="1" applyBorder="1" applyAlignment="1" applyProtection="1">
      <alignment horizontal="center" vertical="top"/>
      <protection hidden="1"/>
    </xf>
    <xf numFmtId="0" fontId="4" fillId="9" borderId="16" xfId="11" applyFont="1" applyFill="1" applyBorder="1" applyAlignment="1" applyProtection="1">
      <alignment horizontal="center" vertical="top"/>
      <protection hidden="1"/>
    </xf>
    <xf numFmtId="0" fontId="4" fillId="5" borderId="31" xfId="11" applyFont="1" applyFill="1" applyBorder="1" applyAlignment="1" applyProtection="1">
      <alignment horizontal="center" vertical="center" wrapText="1"/>
      <protection hidden="1"/>
    </xf>
    <xf numFmtId="0" fontId="4" fillId="5" borderId="53" xfId="11" applyFont="1" applyFill="1" applyBorder="1" applyAlignment="1" applyProtection="1">
      <alignment horizontal="center" vertical="center" wrapText="1"/>
      <protection hidden="1"/>
    </xf>
    <xf numFmtId="0" fontId="4" fillId="8" borderId="86" xfId="11" applyFont="1" applyFill="1" applyBorder="1" applyAlignment="1" applyProtection="1">
      <alignment horizontal="center" vertical="top"/>
      <protection hidden="1"/>
    </xf>
    <xf numFmtId="0" fontId="4" fillId="4" borderId="21" xfId="11" applyFont="1" applyFill="1" applyBorder="1" applyAlignment="1" applyProtection="1">
      <alignment horizontal="center" vertical="center" wrapText="1"/>
      <protection hidden="1"/>
    </xf>
    <xf numFmtId="0" fontId="4" fillId="4" borderId="61" xfId="11" applyFont="1" applyFill="1" applyBorder="1" applyAlignment="1" applyProtection="1">
      <alignment horizontal="center" vertical="center" wrapText="1"/>
      <protection hidden="1"/>
    </xf>
    <xf numFmtId="0" fontId="4" fillId="4" borderId="85" xfId="11" applyFont="1" applyFill="1" applyBorder="1" applyAlignment="1" applyProtection="1">
      <alignment horizontal="center" vertical="center" wrapText="1"/>
      <protection hidden="1"/>
    </xf>
    <xf numFmtId="0" fontId="4" fillId="7" borderId="79" xfId="11" applyFont="1" applyFill="1" applyBorder="1" applyAlignment="1" applyProtection="1">
      <alignment horizontal="center" vertical="center" wrapText="1"/>
      <protection hidden="1"/>
    </xf>
    <xf numFmtId="0" fontId="4" fillId="7" borderId="75" xfId="11" applyFont="1" applyFill="1" applyBorder="1" applyAlignment="1" applyProtection="1">
      <alignment horizontal="center" vertical="center" wrapText="1"/>
      <protection hidden="1"/>
    </xf>
    <xf numFmtId="0" fontId="4" fillId="7" borderId="80" xfId="11" applyFont="1" applyFill="1" applyBorder="1" applyAlignment="1" applyProtection="1">
      <alignment horizontal="center" vertical="center" wrapText="1"/>
      <protection hidden="1"/>
    </xf>
    <xf numFmtId="0" fontId="4" fillId="7" borderId="81" xfId="11" applyFont="1" applyFill="1" applyBorder="1" applyAlignment="1" applyProtection="1">
      <alignment horizontal="center" vertical="center" wrapText="1"/>
      <protection hidden="1"/>
    </xf>
    <xf numFmtId="0" fontId="4" fillId="7" borderId="82" xfId="11" applyFont="1" applyFill="1" applyBorder="1" applyAlignment="1" applyProtection="1">
      <alignment horizontal="center" vertical="center" wrapText="1"/>
      <protection hidden="1"/>
    </xf>
    <xf numFmtId="0" fontId="4" fillId="7" borderId="83" xfId="11" applyFont="1" applyFill="1" applyBorder="1" applyAlignment="1" applyProtection="1">
      <alignment horizontal="center" vertical="center" wrapText="1"/>
      <protection hidden="1"/>
    </xf>
    <xf numFmtId="0" fontId="4" fillId="7" borderId="27" xfId="11" applyFont="1" applyFill="1" applyBorder="1" applyAlignment="1" applyProtection="1">
      <alignment horizontal="center" vertical="center" wrapText="1"/>
      <protection hidden="1"/>
    </xf>
    <xf numFmtId="0" fontId="4" fillId="7" borderId="56" xfId="11" applyFont="1" applyFill="1" applyBorder="1" applyAlignment="1" applyProtection="1">
      <alignment horizontal="center" vertical="center" wrapText="1"/>
      <protection hidden="1"/>
    </xf>
    <xf numFmtId="0" fontId="4" fillId="7" borderId="84" xfId="11" applyFont="1" applyFill="1" applyBorder="1" applyAlignment="1" applyProtection="1">
      <alignment horizontal="center" vertical="center" wrapText="1"/>
      <protection hidden="1"/>
    </xf>
    <xf numFmtId="0" fontId="4" fillId="7" borderId="74" xfId="11" applyFont="1" applyFill="1" applyBorder="1" applyAlignment="1" applyProtection="1">
      <alignment horizontal="center" vertical="center"/>
      <protection hidden="1"/>
    </xf>
    <xf numFmtId="0" fontId="4" fillId="7" borderId="23" xfId="11" applyFont="1" applyFill="1" applyBorder="1" applyAlignment="1" applyProtection="1">
      <alignment horizontal="center" vertical="center"/>
      <protection hidden="1"/>
    </xf>
    <xf numFmtId="0" fontId="4" fillId="7" borderId="24" xfId="11" applyFont="1" applyFill="1" applyBorder="1" applyAlignment="1" applyProtection="1">
      <alignment horizontal="center" vertical="center"/>
      <protection hidden="1"/>
    </xf>
    <xf numFmtId="0" fontId="4" fillId="7" borderId="25" xfId="11" applyFont="1" applyFill="1" applyBorder="1" applyAlignment="1" applyProtection="1">
      <alignment horizontal="center" vertical="center"/>
      <protection hidden="1"/>
    </xf>
    <xf numFmtId="0" fontId="4" fillId="7" borderId="75" xfId="11" applyFont="1" applyFill="1" applyBorder="1" applyAlignment="1" applyProtection="1">
      <alignment horizontal="center" vertical="center"/>
      <protection hidden="1"/>
    </xf>
    <xf numFmtId="0" fontId="4" fillId="4" borderId="76" xfId="11" applyFont="1" applyFill="1" applyBorder="1" applyAlignment="1" applyProtection="1">
      <alignment horizontal="center" vertical="center" wrapText="1"/>
      <protection hidden="1"/>
    </xf>
    <xf numFmtId="0" fontId="4" fillId="4" borderId="77" xfId="11" applyFont="1" applyFill="1" applyBorder="1" applyAlignment="1" applyProtection="1">
      <alignment horizontal="center" vertical="center" wrapText="1"/>
      <protection hidden="1"/>
    </xf>
    <xf numFmtId="0" fontId="4" fillId="4" borderId="78" xfId="11" applyFont="1" applyFill="1" applyBorder="1" applyAlignment="1" applyProtection="1">
      <alignment horizontal="center" vertical="center" wrapText="1"/>
      <protection hidden="1"/>
    </xf>
    <xf numFmtId="0" fontId="4" fillId="4" borderId="14" xfId="11" applyFont="1" applyFill="1" applyBorder="1" applyAlignment="1" applyProtection="1">
      <alignment horizontal="center" vertical="center" wrapText="1"/>
      <protection hidden="1"/>
    </xf>
    <xf numFmtId="0" fontId="3" fillId="0" borderId="0" xfId="11" applyFont="1" applyAlignment="1" applyProtection="1">
      <alignment horizontal="left" wrapText="1"/>
      <protection hidden="1"/>
    </xf>
    <xf numFmtId="0" fontId="4" fillId="7" borderId="92" xfId="11" applyFont="1" applyFill="1" applyBorder="1" applyAlignment="1" applyProtection="1">
      <alignment horizontal="center" vertical="center"/>
      <protection hidden="1"/>
    </xf>
    <xf numFmtId="0" fontId="4" fillId="7" borderId="0" xfId="11" applyFont="1" applyFill="1" applyBorder="1" applyAlignment="1" applyProtection="1">
      <alignment horizontal="center" vertical="center"/>
      <protection hidden="1"/>
    </xf>
    <xf numFmtId="0" fontId="4" fillId="7" borderId="35" xfId="11" applyFont="1" applyFill="1" applyBorder="1" applyAlignment="1" applyProtection="1">
      <alignment horizontal="center" vertical="center"/>
      <protection hidden="1"/>
    </xf>
    <xf numFmtId="0" fontId="4" fillId="7" borderId="93" xfId="11" applyFont="1" applyFill="1" applyBorder="1" applyAlignment="1" applyProtection="1">
      <alignment horizontal="center" vertical="center"/>
      <protection hidden="1"/>
    </xf>
    <xf numFmtId="0" fontId="4" fillId="7" borderId="94" xfId="11" applyFont="1" applyFill="1" applyBorder="1" applyAlignment="1" applyProtection="1">
      <alignment horizontal="center" vertical="center"/>
      <protection hidden="1"/>
    </xf>
    <xf numFmtId="0" fontId="4" fillId="7" borderId="37" xfId="11" applyFont="1" applyFill="1" applyBorder="1" applyAlignment="1" applyProtection="1">
      <alignment horizontal="center" vertical="center"/>
      <protection hidden="1"/>
    </xf>
    <xf numFmtId="0" fontId="4" fillId="4" borderId="91" xfId="11" applyFont="1" applyFill="1" applyBorder="1" applyAlignment="1" applyProtection="1">
      <alignment horizontal="center" vertical="center" wrapText="1"/>
      <protection hidden="1"/>
    </xf>
    <xf numFmtId="0" fontId="4" fillId="4" borderId="32" xfId="11" applyFont="1" applyFill="1" applyBorder="1" applyAlignment="1" applyProtection="1">
      <alignment horizontal="center" vertical="center" wrapText="1"/>
      <protection hidden="1"/>
    </xf>
    <xf numFmtId="0" fontId="4" fillId="7" borderId="89" xfId="11" applyFont="1" applyFill="1" applyBorder="1" applyAlignment="1" applyProtection="1">
      <alignment horizontal="center" vertical="center"/>
      <protection hidden="1"/>
    </xf>
    <xf numFmtId="0" fontId="4" fillId="7" borderId="90" xfId="11" applyFont="1" applyFill="1" applyBorder="1" applyAlignment="1" applyProtection="1">
      <alignment horizontal="center" vertical="center"/>
      <protection hidden="1"/>
    </xf>
    <xf numFmtId="0" fontId="4" fillId="7" borderId="33" xfId="11" applyFont="1" applyFill="1" applyBorder="1" applyAlignment="1" applyProtection="1">
      <alignment horizontal="center" vertical="center"/>
      <protection hidden="1"/>
    </xf>
    <xf numFmtId="0" fontId="4" fillId="7" borderId="5" xfId="11" applyFont="1" applyFill="1" applyBorder="1" applyAlignment="1" applyProtection="1">
      <alignment horizontal="center" vertical="center" wrapText="1"/>
      <protection hidden="1"/>
    </xf>
    <xf numFmtId="0" fontId="4" fillId="7" borderId="6" xfId="11" applyFont="1" applyFill="1" applyBorder="1" applyAlignment="1" applyProtection="1">
      <alignment horizontal="center" vertical="center" wrapText="1"/>
      <protection hidden="1"/>
    </xf>
    <xf numFmtId="0" fontId="4" fillId="4" borderId="4" xfId="11" applyFont="1" applyFill="1" applyBorder="1" applyAlignment="1" applyProtection="1">
      <alignment horizontal="center" vertical="center" wrapText="1"/>
      <protection hidden="1"/>
    </xf>
    <xf numFmtId="0" fontId="4" fillId="4" borderId="9" xfId="11" applyFont="1" applyFill="1" applyBorder="1" applyAlignment="1" applyProtection="1">
      <alignment horizontal="center" vertical="center" wrapText="1"/>
      <protection hidden="1"/>
    </xf>
    <xf numFmtId="0" fontId="4" fillId="0" borderId="0" xfId="11" applyFont="1" applyAlignment="1" applyProtection="1">
      <alignment horizontal="left"/>
      <protection hidden="1"/>
    </xf>
    <xf numFmtId="49" fontId="4" fillId="7" borderId="34" xfId="11" applyNumberFormat="1" applyFont="1" applyFill="1" applyBorder="1" applyAlignment="1" applyProtection="1">
      <alignment horizontal="center" vertical="center" wrapText="1"/>
      <protection hidden="1"/>
    </xf>
    <xf numFmtId="49" fontId="4" fillId="7" borderId="36" xfId="11" applyNumberFormat="1" applyFont="1" applyFill="1" applyBorder="1" applyAlignment="1" applyProtection="1">
      <alignment horizontal="center" vertical="center" wrapText="1"/>
      <protection hidden="1"/>
    </xf>
    <xf numFmtId="49" fontId="4" fillId="7" borderId="38" xfId="11" applyNumberFormat="1" applyFont="1" applyFill="1" applyBorder="1" applyAlignment="1" applyProtection="1">
      <alignment horizontal="center" vertical="center" wrapText="1"/>
      <protection hidden="1"/>
    </xf>
    <xf numFmtId="0" fontId="4" fillId="7" borderId="88" xfId="11" applyFont="1" applyFill="1" applyBorder="1" applyAlignment="1" applyProtection="1">
      <alignment horizontal="center" vertical="center" wrapText="1"/>
      <protection hidden="1"/>
    </xf>
    <xf numFmtId="0" fontId="4" fillId="7" borderId="95" xfId="11" applyFont="1" applyFill="1" applyBorder="1" applyAlignment="1" applyProtection="1">
      <alignment horizontal="center" vertical="center"/>
      <protection hidden="1"/>
    </xf>
    <xf numFmtId="0" fontId="4" fillId="7" borderId="57" xfId="11" applyFont="1" applyFill="1" applyBorder="1" applyAlignment="1" applyProtection="1">
      <alignment horizontal="center" vertical="center"/>
      <protection hidden="1"/>
    </xf>
    <xf numFmtId="0" fontId="4" fillId="7" borderId="96" xfId="11" applyFont="1" applyFill="1" applyBorder="1" applyAlignment="1" applyProtection="1">
      <alignment horizontal="center" vertical="center"/>
      <protection hidden="1"/>
    </xf>
    <xf numFmtId="0" fontId="4" fillId="13" borderId="24" xfId="11" applyFont="1" applyFill="1" applyBorder="1" applyAlignment="1" applyProtection="1">
      <alignment horizontal="center" vertical="center" wrapText="1"/>
      <protection hidden="1"/>
    </xf>
    <xf numFmtId="0" fontId="4" fillId="13" borderId="48" xfId="11" applyFont="1" applyFill="1" applyBorder="1" applyAlignment="1" applyProtection="1">
      <alignment horizontal="center" vertical="center" wrapText="1"/>
      <protection hidden="1"/>
    </xf>
    <xf numFmtId="0" fontId="4" fillId="13" borderId="22" xfId="11" applyFont="1" applyFill="1" applyBorder="1" applyAlignment="1" applyProtection="1">
      <alignment horizontal="center" vertical="center" wrapText="1"/>
      <protection hidden="1"/>
    </xf>
    <xf numFmtId="0" fontId="4" fillId="7" borderId="101" xfId="11" applyFont="1" applyFill="1" applyBorder="1" applyAlignment="1" applyProtection="1">
      <alignment horizontal="center" vertical="center" wrapText="1"/>
      <protection hidden="1"/>
    </xf>
    <xf numFmtId="0" fontId="4" fillId="7" borderId="102" xfId="11" applyFont="1" applyFill="1" applyBorder="1" applyAlignment="1" applyProtection="1">
      <alignment horizontal="center" vertical="center" wrapText="1"/>
      <protection hidden="1"/>
    </xf>
    <xf numFmtId="0" fontId="4" fillId="7" borderId="55" xfId="11" applyFont="1" applyFill="1" applyBorder="1" applyAlignment="1" applyProtection="1">
      <alignment horizontal="center" vertical="center" wrapText="1"/>
      <protection hidden="1"/>
    </xf>
    <xf numFmtId="0" fontId="4" fillId="7" borderId="85" xfId="11" applyFont="1" applyFill="1" applyBorder="1" applyAlignment="1" applyProtection="1">
      <alignment horizontal="center" vertical="center" wrapText="1"/>
      <protection hidden="1"/>
    </xf>
    <xf numFmtId="0" fontId="4" fillId="12" borderId="8" xfId="11" applyFont="1" applyFill="1" applyBorder="1" applyAlignment="1" applyProtection="1">
      <alignment horizontal="center" vertical="center" wrapText="1"/>
      <protection hidden="1"/>
    </xf>
    <xf numFmtId="0" fontId="4" fillId="12" borderId="49" xfId="11" applyFont="1" applyFill="1" applyBorder="1" applyAlignment="1" applyProtection="1">
      <alignment horizontal="center" vertical="center" wrapText="1"/>
      <protection hidden="1"/>
    </xf>
    <xf numFmtId="0" fontId="31" fillId="10" borderId="4" xfId="0" applyFont="1" applyFill="1" applyBorder="1" applyAlignment="1" applyProtection="1">
      <alignment horizontal="center" vertical="center" wrapText="1"/>
      <protection hidden="1"/>
    </xf>
    <xf numFmtId="0" fontId="31" fillId="10" borderId="43" xfId="0" applyFont="1" applyFill="1" applyBorder="1" applyAlignment="1" applyProtection="1">
      <alignment horizontal="center" vertical="center" wrapText="1"/>
      <protection hidden="1"/>
    </xf>
    <xf numFmtId="0" fontId="31" fillId="10" borderId="3" xfId="0" applyFont="1" applyFill="1" applyBorder="1" applyAlignment="1" applyProtection="1">
      <alignment horizontal="center" vertical="center" wrapText="1"/>
      <protection hidden="1"/>
    </xf>
    <xf numFmtId="0" fontId="31" fillId="10" borderId="4" xfId="0" quotePrefix="1" applyFont="1" applyFill="1" applyBorder="1" applyAlignment="1" applyProtection="1">
      <alignment horizontal="center" vertical="center" wrapText="1"/>
      <protection hidden="1"/>
    </xf>
    <xf numFmtId="0" fontId="31" fillId="10" borderId="43" xfId="0" quotePrefix="1" applyFont="1" applyFill="1" applyBorder="1" applyAlignment="1" applyProtection="1">
      <alignment horizontal="center" vertical="center" wrapText="1"/>
      <protection hidden="1"/>
    </xf>
    <xf numFmtId="0" fontId="31" fillId="10" borderId="3" xfId="0" quotePrefix="1" applyFont="1" applyFill="1" applyBorder="1" applyAlignment="1" applyProtection="1">
      <alignment horizontal="center" vertical="center" wrapText="1"/>
      <protection hidden="1"/>
    </xf>
    <xf numFmtId="0" fontId="4" fillId="13" borderId="8" xfId="11" applyFont="1" applyFill="1" applyBorder="1" applyAlignment="1" applyProtection="1">
      <alignment horizontal="center" vertical="center" wrapText="1"/>
      <protection hidden="1"/>
    </xf>
    <xf numFmtId="0" fontId="4" fillId="13" borderId="49" xfId="11" applyFont="1" applyFill="1" applyBorder="1" applyAlignment="1" applyProtection="1">
      <alignment horizontal="center" vertical="center" wrapText="1"/>
      <protection hidden="1"/>
    </xf>
    <xf numFmtId="0" fontId="4" fillId="13" borderId="11" xfId="11" applyFont="1" applyFill="1" applyBorder="1" applyAlignment="1" applyProtection="1">
      <alignment horizontal="center" vertical="center" wrapText="1"/>
      <protection hidden="1"/>
    </xf>
    <xf numFmtId="0" fontId="4" fillId="12" borderId="11" xfId="11" applyFont="1" applyFill="1" applyBorder="1" applyAlignment="1" applyProtection="1">
      <alignment horizontal="center" vertical="center" wrapText="1"/>
      <protection hidden="1"/>
    </xf>
    <xf numFmtId="0" fontId="31" fillId="10" borderId="1" xfId="0" applyFont="1" applyFill="1" applyBorder="1" applyAlignment="1" applyProtection="1">
      <alignment horizontal="center" vertical="center" wrapText="1"/>
      <protection hidden="1"/>
    </xf>
    <xf numFmtId="0" fontId="31" fillId="10" borderId="65" xfId="0" quotePrefix="1" applyFont="1" applyFill="1" applyBorder="1" applyAlignment="1" applyProtection="1">
      <alignment horizontal="center" vertical="center" wrapText="1"/>
      <protection hidden="1"/>
    </xf>
    <xf numFmtId="0" fontId="31" fillId="10" borderId="48" xfId="0" quotePrefix="1" applyFont="1" applyFill="1" applyBorder="1" applyAlignment="1" applyProtection="1">
      <alignment horizontal="center" vertical="center" wrapText="1"/>
      <protection hidden="1"/>
    </xf>
    <xf numFmtId="0" fontId="31" fillId="10" borderId="50" xfId="0" quotePrefix="1" applyFont="1" applyFill="1" applyBorder="1" applyAlignment="1" applyProtection="1">
      <alignment horizontal="center" vertical="center" wrapText="1"/>
      <protection hidden="1"/>
    </xf>
    <xf numFmtId="0" fontId="4" fillId="12" borderId="26" xfId="11" applyFont="1" applyFill="1" applyBorder="1" applyAlignment="1" applyProtection="1">
      <alignment horizontal="center" vertical="center" wrapText="1"/>
      <protection hidden="1"/>
    </xf>
    <xf numFmtId="0" fontId="4" fillId="12" borderId="97" xfId="11" applyFont="1" applyFill="1" applyBorder="1" applyAlignment="1" applyProtection="1">
      <alignment horizontal="center" vertical="center" wrapText="1"/>
      <protection hidden="1"/>
    </xf>
    <xf numFmtId="0" fontId="3" fillId="10" borderId="101" xfId="11" applyFont="1" applyFill="1" applyBorder="1" applyAlignment="1" applyProtection="1">
      <alignment horizontal="center" vertical="center" wrapText="1"/>
      <protection hidden="1"/>
    </xf>
    <xf numFmtId="0" fontId="4" fillId="10" borderId="55" xfId="11" applyFont="1" applyFill="1" applyBorder="1" applyAlignment="1" applyProtection="1">
      <alignment horizontal="center" vertical="center" wrapText="1"/>
      <protection hidden="1"/>
    </xf>
    <xf numFmtId="0" fontId="29" fillId="10" borderId="20" xfId="11" applyFont="1" applyFill="1" applyBorder="1" applyAlignment="1" applyProtection="1">
      <alignment horizontal="center" vertical="center" wrapText="1"/>
      <protection hidden="1"/>
    </xf>
    <xf numFmtId="0" fontId="29" fillId="10" borderId="52" xfId="11" applyFont="1" applyFill="1" applyBorder="1" applyAlignment="1" applyProtection="1">
      <alignment horizontal="center" vertical="center" wrapText="1"/>
      <protection hidden="1"/>
    </xf>
    <xf numFmtId="0" fontId="29" fillId="10" borderId="7" xfId="11" applyFont="1" applyFill="1" applyBorder="1" applyAlignment="1" applyProtection="1">
      <alignment horizontal="center" vertical="center" wrapText="1"/>
      <protection hidden="1"/>
    </xf>
    <xf numFmtId="0" fontId="29" fillId="10" borderId="83" xfId="11" applyFont="1" applyFill="1" applyBorder="1" applyAlignment="1" applyProtection="1">
      <alignment horizontal="center" vertical="center" wrapText="1"/>
      <protection hidden="1"/>
    </xf>
    <xf numFmtId="0" fontId="4" fillId="12" borderId="99" xfId="11" applyFont="1" applyFill="1" applyBorder="1" applyAlignment="1" applyProtection="1">
      <alignment horizontal="center" vertical="top" wrapText="1"/>
      <protection hidden="1"/>
    </xf>
    <xf numFmtId="0" fontId="4" fillId="12" borderId="0" xfId="11" applyFont="1" applyFill="1" applyBorder="1" applyAlignment="1" applyProtection="1">
      <alignment horizontal="center" vertical="top" wrapText="1"/>
      <protection hidden="1"/>
    </xf>
    <xf numFmtId="0" fontId="4" fillId="12" borderId="100" xfId="11" applyFont="1" applyFill="1" applyBorder="1" applyAlignment="1" applyProtection="1">
      <alignment horizontal="center" vertical="top" wrapText="1"/>
      <protection hidden="1"/>
    </xf>
    <xf numFmtId="0" fontId="31" fillId="10" borderId="65" xfId="0" applyFont="1" applyFill="1" applyBorder="1" applyAlignment="1" applyProtection="1">
      <alignment horizontal="center" vertical="center" wrapText="1"/>
      <protection hidden="1"/>
    </xf>
    <xf numFmtId="0" fontId="31" fillId="10" borderId="48" xfId="0" applyFont="1" applyFill="1" applyBorder="1" applyAlignment="1" applyProtection="1">
      <alignment horizontal="center" vertical="center" wrapText="1"/>
      <protection hidden="1"/>
    </xf>
    <xf numFmtId="0" fontId="31" fillId="10" borderId="50" xfId="0" applyFont="1" applyFill="1" applyBorder="1" applyAlignment="1" applyProtection="1">
      <alignment horizontal="center" vertical="center" wrapText="1"/>
      <protection hidden="1"/>
    </xf>
    <xf numFmtId="0" fontId="4" fillId="12" borderId="26" xfId="11" applyFont="1" applyFill="1" applyBorder="1" applyAlignment="1" applyProtection="1">
      <alignment horizontal="center" vertical="top" wrapText="1"/>
      <protection hidden="1"/>
    </xf>
    <xf numFmtId="0" fontId="4" fillId="12" borderId="97" xfId="11" applyFont="1" applyFill="1" applyBorder="1" applyAlignment="1" applyProtection="1">
      <alignment horizontal="center" vertical="top" wrapText="1"/>
      <protection hidden="1"/>
    </xf>
    <xf numFmtId="0" fontId="4" fillId="12" borderId="98" xfId="11" applyFont="1" applyFill="1" applyBorder="1" applyAlignment="1" applyProtection="1">
      <alignment horizontal="center" vertical="top" wrapText="1"/>
      <protection hidden="1"/>
    </xf>
    <xf numFmtId="0" fontId="39" fillId="0" borderId="0" xfId="0" applyFont="1" applyFill="1" applyBorder="1" applyAlignment="1" applyProtection="1">
      <alignment horizontal="left" wrapText="1"/>
      <protection hidden="1"/>
    </xf>
    <xf numFmtId="0" fontId="21" fillId="0" borderId="0" xfId="0" applyFont="1" applyAlignment="1">
      <alignment horizontal="left" wrapText="1"/>
    </xf>
    <xf numFmtId="0" fontId="31" fillId="0" borderId="0" xfId="0" applyFont="1" applyFill="1" applyBorder="1" applyAlignment="1" applyProtection="1">
      <alignment horizontal="left" vertical="top" wrapText="1"/>
      <protection hidden="1"/>
    </xf>
    <xf numFmtId="0" fontId="31" fillId="0" borderId="0" xfId="0" applyFont="1" applyFill="1" applyBorder="1" applyAlignment="1" applyProtection="1">
      <alignment horizontal="left" wrapText="1"/>
      <protection hidden="1"/>
    </xf>
  </cellXfs>
  <cellStyles count="23">
    <cellStyle name="2line" xfId="1"/>
    <cellStyle name="blue" xfId="2"/>
    <cellStyle name="Comma" xfId="3" builtinId="3"/>
    <cellStyle name="Comma 2" xfId="4"/>
    <cellStyle name="Comma 3" xfId="5"/>
    <cellStyle name="custom" xfId="6"/>
    <cellStyle name="Grey" xfId="7"/>
    <cellStyle name="Input [yellow]" xfId="8"/>
    <cellStyle name="no dec" xfId="9"/>
    <cellStyle name="Normal" xfId="0" builtinId="0"/>
    <cellStyle name="Normal - Style1" xfId="10"/>
    <cellStyle name="Normal 2" xfId="11"/>
    <cellStyle name="Normal 3" xfId="12"/>
    <cellStyle name="Normal 3 2" xfId="13"/>
    <cellStyle name="Normal 4" xfId="14"/>
    <cellStyle name="Normal_Revised - RBCSOC" xfId="15"/>
    <cellStyle name="Œ…‹æØ‚è [0.00]_laroux" xfId="16"/>
    <cellStyle name="Œ…‹æØ‚è_laroux" xfId="17"/>
    <cellStyle name="Percent [2]" xfId="18"/>
    <cellStyle name="Tusental (0)_pldt" xfId="19"/>
    <cellStyle name="Tusental_pldt" xfId="20"/>
    <cellStyle name="Valuta (0)_pldt" xfId="21"/>
    <cellStyle name="Valuta_pldt" xfId="2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127</xdr:col>
          <xdr:colOff>180975</xdr:colOff>
          <xdr:row>6</xdr:row>
          <xdr:rowOff>9525</xdr:rowOff>
        </xdr:from>
        <xdr:to>
          <xdr:col>128</xdr:col>
          <xdr:colOff>342900</xdr:colOff>
          <xdr:row>7</xdr:row>
          <xdr:rowOff>0</xdr:rowOff>
        </xdr:to>
        <xdr:sp macro="" textlink="">
          <xdr:nvSpPr>
            <xdr:cNvPr id="2050" name="CommandButton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125</xdr:col>
          <xdr:colOff>9525</xdr:colOff>
          <xdr:row>6</xdr:row>
          <xdr:rowOff>9525</xdr:rowOff>
        </xdr:from>
        <xdr:to>
          <xdr:col>127</xdr:col>
          <xdr:colOff>180975</xdr:colOff>
          <xdr:row>7</xdr:row>
          <xdr:rowOff>0</xdr:rowOff>
        </xdr:to>
        <xdr:sp macro="" textlink="">
          <xdr:nvSpPr>
            <xdr:cNvPr id="2051" name="CommandButton2"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O51"/>
  <sheetViews>
    <sheetView tabSelected="1" zoomScaleNormal="100" zoomScaleSheetLayoutView="100" workbookViewId="0">
      <pane xSplit="4" ySplit="9" topLeftCell="E10" activePane="bottomRight" state="frozen"/>
      <selection activeCell="E24" sqref="E24"/>
      <selection pane="topRight" activeCell="E24" sqref="E24"/>
      <selection pane="bottomLeft" activeCell="E24" sqref="E24"/>
      <selection pane="bottomRight" activeCell="E24" sqref="E24"/>
    </sheetView>
  </sheetViews>
  <sheetFormatPr defaultRowHeight="11.25" x14ac:dyDescent="0.2"/>
  <cols>
    <col min="1" max="1" width="20.7109375" style="42" customWidth="1"/>
    <col min="2" max="2" width="35.5703125" style="42" customWidth="1"/>
    <col min="3" max="3" width="7.5703125" style="42" customWidth="1"/>
    <col min="4" max="4" width="7" style="42" customWidth="1"/>
    <col min="5" max="13" width="17.7109375" style="42" customWidth="1"/>
    <col min="14" max="14" width="19" style="42" customWidth="1"/>
    <col min="15" max="15" width="9.140625" style="41" hidden="1" customWidth="1"/>
    <col min="16" max="16384" width="9.140625" style="42"/>
  </cols>
  <sheetData>
    <row r="1" spans="1:15" x14ac:dyDescent="0.2">
      <c r="A1" s="39" t="s">
        <v>191</v>
      </c>
      <c r="B1" s="40"/>
      <c r="C1" s="40"/>
      <c r="D1" s="40"/>
      <c r="E1" s="40"/>
      <c r="F1" s="40"/>
      <c r="G1" s="40"/>
      <c r="H1" s="40"/>
      <c r="I1" s="40"/>
      <c r="J1" s="40"/>
      <c r="K1" s="40"/>
      <c r="L1" s="40"/>
      <c r="M1" s="40"/>
      <c r="N1" s="40"/>
    </row>
    <row r="2" spans="1:15" ht="11.25" hidden="1" customHeight="1" x14ac:dyDescent="0.2">
      <c r="A2" s="39"/>
      <c r="B2" s="40"/>
      <c r="C2" s="40"/>
      <c r="D2" s="40"/>
      <c r="E2" s="40"/>
      <c r="F2" s="40"/>
      <c r="G2" s="40"/>
      <c r="H2" s="40"/>
      <c r="I2" s="40"/>
      <c r="J2" s="40"/>
      <c r="K2" s="40"/>
      <c r="L2" s="40"/>
      <c r="M2" s="40"/>
      <c r="N2" s="40"/>
    </row>
    <row r="3" spans="1:15" ht="11.25" hidden="1" customHeight="1" x14ac:dyDescent="0.2">
      <c r="A3" s="43"/>
      <c r="B3" s="40"/>
      <c r="C3" s="40"/>
      <c r="D3" s="40"/>
      <c r="E3" s="40"/>
      <c r="F3" s="40"/>
      <c r="G3" s="40"/>
      <c r="H3" s="40"/>
      <c r="I3" s="40"/>
      <c r="J3" s="40"/>
      <c r="K3" s="40"/>
      <c r="L3" s="40"/>
      <c r="M3" s="40"/>
      <c r="N3" s="40"/>
    </row>
    <row r="4" spans="1:15" ht="11.25" hidden="1" customHeight="1" x14ac:dyDescent="0.2">
      <c r="A4" s="40"/>
      <c r="B4" s="40"/>
      <c r="C4" s="40"/>
      <c r="D4" s="40"/>
      <c r="E4" s="40"/>
      <c r="F4" s="40"/>
      <c r="G4" s="40"/>
      <c r="H4" s="40"/>
      <c r="I4" s="40"/>
      <c r="J4" s="40"/>
      <c r="K4" s="40"/>
      <c r="L4" s="40"/>
      <c r="M4" s="40"/>
      <c r="N4" s="40"/>
    </row>
    <row r="5" spans="1:15" ht="12" thickBot="1" x14ac:dyDescent="0.25">
      <c r="A5" s="40"/>
      <c r="B5" s="40"/>
      <c r="C5" s="40"/>
      <c r="D5" s="40"/>
      <c r="E5" s="40"/>
      <c r="F5" s="40"/>
      <c r="G5" s="40"/>
      <c r="H5" s="40"/>
      <c r="I5" s="40"/>
      <c r="J5" s="40"/>
      <c r="K5" s="40"/>
      <c r="L5" s="40"/>
      <c r="M5" s="40"/>
      <c r="N5" s="40"/>
    </row>
    <row r="6" spans="1:15" ht="12" customHeight="1" thickTop="1" x14ac:dyDescent="0.2">
      <c r="A6" s="389" t="s">
        <v>195</v>
      </c>
      <c r="B6" s="390"/>
      <c r="C6" s="387" t="s">
        <v>29</v>
      </c>
      <c r="D6" s="385" t="s">
        <v>30</v>
      </c>
      <c r="E6" s="378" t="s">
        <v>25</v>
      </c>
      <c r="F6" s="379"/>
      <c r="G6" s="379"/>
      <c r="H6" s="379"/>
      <c r="I6" s="379"/>
      <c r="J6" s="379"/>
      <c r="K6" s="380"/>
      <c r="L6" s="378" t="s">
        <v>31</v>
      </c>
      <c r="M6" s="380"/>
      <c r="N6" s="375" t="s">
        <v>2</v>
      </c>
    </row>
    <row r="7" spans="1:15" x14ac:dyDescent="0.2">
      <c r="A7" s="393" t="s">
        <v>27</v>
      </c>
      <c r="B7" s="391" t="s">
        <v>28</v>
      </c>
      <c r="C7" s="388"/>
      <c r="D7" s="386"/>
      <c r="E7" s="381" t="s">
        <v>198</v>
      </c>
      <c r="F7" s="383" t="s">
        <v>199</v>
      </c>
      <c r="G7" s="383" t="s">
        <v>200</v>
      </c>
      <c r="H7" s="383" t="s">
        <v>201</v>
      </c>
      <c r="I7" s="383" t="s">
        <v>202</v>
      </c>
      <c r="J7" s="383" t="s">
        <v>203</v>
      </c>
      <c r="K7" s="373" t="s">
        <v>196</v>
      </c>
      <c r="L7" s="381" t="s">
        <v>197</v>
      </c>
      <c r="M7" s="373" t="s">
        <v>32</v>
      </c>
      <c r="N7" s="376"/>
    </row>
    <row r="8" spans="1:15" ht="24.75" customHeight="1" x14ac:dyDescent="0.2">
      <c r="A8" s="393"/>
      <c r="B8" s="391"/>
      <c r="C8" s="388"/>
      <c r="D8" s="386"/>
      <c r="E8" s="382"/>
      <c r="F8" s="384"/>
      <c r="G8" s="384"/>
      <c r="H8" s="384"/>
      <c r="I8" s="384"/>
      <c r="J8" s="384"/>
      <c r="K8" s="374"/>
      <c r="L8" s="382"/>
      <c r="M8" s="374"/>
      <c r="N8" s="377"/>
    </row>
    <row r="9" spans="1:15" ht="18" customHeight="1" thickBot="1" x14ac:dyDescent="0.25">
      <c r="A9" s="394"/>
      <c r="B9" s="392"/>
      <c r="C9" s="388"/>
      <c r="D9" s="386"/>
      <c r="E9" s="224" t="s">
        <v>33</v>
      </c>
      <c r="F9" s="225" t="s">
        <v>13</v>
      </c>
      <c r="G9" s="225" t="s">
        <v>12</v>
      </c>
      <c r="H9" s="225" t="s">
        <v>11</v>
      </c>
      <c r="I9" s="225" t="s">
        <v>10</v>
      </c>
      <c r="J9" s="225" t="s">
        <v>9</v>
      </c>
      <c r="K9" s="226" t="s">
        <v>4</v>
      </c>
      <c r="L9" s="224" t="s">
        <v>3</v>
      </c>
      <c r="M9" s="226" t="s">
        <v>192</v>
      </c>
      <c r="N9" s="227" t="s">
        <v>1</v>
      </c>
      <c r="O9" s="44" t="s">
        <v>132</v>
      </c>
    </row>
    <row r="10" spans="1:15" s="47" customFormat="1" ht="11.45" customHeight="1" x14ac:dyDescent="0.2">
      <c r="A10" s="395" t="s">
        <v>34</v>
      </c>
      <c r="B10" s="396"/>
      <c r="C10" s="228" t="s">
        <v>133</v>
      </c>
      <c r="D10" s="229" t="s">
        <v>181</v>
      </c>
      <c r="E10" s="77">
        <f t="shared" ref="E10:N10" si="0">SUM(E11:E12)</f>
        <v>0</v>
      </c>
      <c r="F10" s="77">
        <f t="shared" si="0"/>
        <v>0</v>
      </c>
      <c r="G10" s="77">
        <f t="shared" si="0"/>
        <v>0</v>
      </c>
      <c r="H10" s="77">
        <f t="shared" si="0"/>
        <v>0</v>
      </c>
      <c r="I10" s="77">
        <f t="shared" si="0"/>
        <v>0</v>
      </c>
      <c r="J10" s="77">
        <f t="shared" si="0"/>
        <v>0</v>
      </c>
      <c r="K10" s="77">
        <f t="shared" si="0"/>
        <v>0</v>
      </c>
      <c r="L10" s="77">
        <f t="shared" si="0"/>
        <v>0</v>
      </c>
      <c r="M10" s="77">
        <f t="shared" si="0"/>
        <v>0</v>
      </c>
      <c r="N10" s="79">
        <f t="shared" si="0"/>
        <v>0</v>
      </c>
      <c r="O10" s="44" t="s">
        <v>131</v>
      </c>
    </row>
    <row r="11" spans="1:15" s="47" customFormat="1" ht="11.45" customHeight="1" x14ac:dyDescent="0.2">
      <c r="A11" s="220" t="s">
        <v>141</v>
      </c>
      <c r="B11" s="221" t="s">
        <v>141</v>
      </c>
      <c r="C11" s="222" t="s">
        <v>141</v>
      </c>
      <c r="D11" s="223">
        <v>1</v>
      </c>
      <c r="E11" s="2"/>
      <c r="F11" s="2"/>
      <c r="G11" s="2"/>
      <c r="H11" s="2"/>
      <c r="I11" s="2"/>
      <c r="J11" s="2"/>
      <c r="K11" s="2"/>
      <c r="L11" s="2"/>
      <c r="M11" s="2"/>
      <c r="N11" s="21"/>
      <c r="O11" s="44"/>
    </row>
    <row r="12" spans="1:15" s="47" customFormat="1" ht="11.45" customHeight="1" x14ac:dyDescent="0.2">
      <c r="A12" s="94"/>
      <c r="B12" s="49"/>
      <c r="C12" s="50"/>
      <c r="D12" s="55" t="str">
        <f>CHAR(132)</f>
        <v>„</v>
      </c>
      <c r="E12" s="53"/>
      <c r="F12" s="53"/>
      <c r="G12" s="53"/>
      <c r="H12" s="53"/>
      <c r="I12" s="53"/>
      <c r="J12" s="53"/>
      <c r="K12" s="53"/>
      <c r="L12" s="53"/>
      <c r="M12" s="53"/>
      <c r="N12" s="85"/>
    </row>
    <row r="13" spans="1:15" s="47" customFormat="1" ht="11.45" customHeight="1" x14ac:dyDescent="0.2">
      <c r="A13" s="367" t="s">
        <v>221</v>
      </c>
      <c r="B13" s="368"/>
      <c r="C13" s="230" t="s">
        <v>134</v>
      </c>
      <c r="D13" s="231" t="s">
        <v>182</v>
      </c>
      <c r="E13" s="54">
        <f t="shared" ref="E13:N13" si="1">SUM(E14:E30)</f>
        <v>0</v>
      </c>
      <c r="F13" s="54">
        <f t="shared" si="1"/>
        <v>0</v>
      </c>
      <c r="G13" s="54">
        <f t="shared" si="1"/>
        <v>0</v>
      </c>
      <c r="H13" s="54">
        <f t="shared" si="1"/>
        <v>0</v>
      </c>
      <c r="I13" s="54">
        <f t="shared" si="1"/>
        <v>0</v>
      </c>
      <c r="J13" s="54">
        <f t="shared" si="1"/>
        <v>0</v>
      </c>
      <c r="K13" s="54">
        <f t="shared" si="1"/>
        <v>0</v>
      </c>
      <c r="L13" s="54">
        <f t="shared" si="1"/>
        <v>0</v>
      </c>
      <c r="M13" s="54">
        <f t="shared" si="1"/>
        <v>0</v>
      </c>
      <c r="N13" s="97">
        <f t="shared" si="1"/>
        <v>0</v>
      </c>
      <c r="O13" s="44"/>
    </row>
    <row r="14" spans="1:15" s="47" customFormat="1" ht="11.45" customHeight="1" x14ac:dyDescent="0.2">
      <c r="A14" s="94" t="s">
        <v>265</v>
      </c>
      <c r="B14" s="49" t="s">
        <v>266</v>
      </c>
      <c r="C14" s="50">
        <v>0</v>
      </c>
      <c r="D14" s="51">
        <v>1</v>
      </c>
      <c r="E14" s="2"/>
      <c r="F14" s="2"/>
      <c r="G14" s="2"/>
      <c r="H14" s="2"/>
      <c r="I14" s="2"/>
      <c r="J14" s="2"/>
      <c r="K14" s="2"/>
      <c r="L14" s="2"/>
      <c r="M14" s="2"/>
      <c r="N14" s="21"/>
      <c r="O14" s="44"/>
    </row>
    <row r="15" spans="1:15" s="47" customFormat="1" ht="11.45" customHeight="1" x14ac:dyDescent="0.2">
      <c r="A15" s="94" t="s">
        <v>267</v>
      </c>
      <c r="B15" s="49" t="s">
        <v>268</v>
      </c>
      <c r="C15" s="50">
        <v>13</v>
      </c>
      <c r="D15" s="51">
        <v>2</v>
      </c>
      <c r="E15" s="2"/>
      <c r="F15" s="2"/>
      <c r="G15" s="2"/>
      <c r="H15" s="2"/>
      <c r="I15" s="2"/>
      <c r="J15" s="2"/>
      <c r="K15" s="2"/>
      <c r="L15" s="2"/>
      <c r="M15" s="2"/>
      <c r="N15" s="21"/>
      <c r="O15" s="44"/>
    </row>
    <row r="16" spans="1:15" s="47" customFormat="1" ht="11.45" customHeight="1" x14ac:dyDescent="0.2">
      <c r="A16" s="94" t="s">
        <v>269</v>
      </c>
      <c r="B16" s="49" t="s">
        <v>270</v>
      </c>
      <c r="C16" s="50">
        <v>9</v>
      </c>
      <c r="D16" s="51">
        <v>3</v>
      </c>
      <c r="E16" s="2"/>
      <c r="F16" s="2"/>
      <c r="G16" s="2"/>
      <c r="H16" s="2"/>
      <c r="I16" s="2"/>
      <c r="J16" s="2"/>
      <c r="K16" s="2"/>
      <c r="L16" s="2"/>
      <c r="M16" s="2"/>
      <c r="N16" s="21"/>
      <c r="O16" s="44"/>
    </row>
    <row r="17" spans="1:15" s="47" customFormat="1" ht="11.45" customHeight="1" x14ac:dyDescent="0.2">
      <c r="A17" s="94" t="s">
        <v>271</v>
      </c>
      <c r="B17" s="49" t="s">
        <v>272</v>
      </c>
      <c r="C17" s="50">
        <v>14</v>
      </c>
      <c r="D17" s="51">
        <v>4</v>
      </c>
      <c r="E17" s="2"/>
      <c r="F17" s="2"/>
      <c r="G17" s="2"/>
      <c r="H17" s="2"/>
      <c r="I17" s="2"/>
      <c r="J17" s="2"/>
      <c r="K17" s="2"/>
      <c r="L17" s="2"/>
      <c r="M17" s="2"/>
      <c r="N17" s="21"/>
      <c r="O17" s="44"/>
    </row>
    <row r="18" spans="1:15" s="47" customFormat="1" ht="11.45" customHeight="1" x14ac:dyDescent="0.2">
      <c r="A18" s="94" t="s">
        <v>273</v>
      </c>
      <c r="B18" s="49" t="s">
        <v>274</v>
      </c>
      <c r="C18" s="50">
        <v>6</v>
      </c>
      <c r="D18" s="51">
        <v>5</v>
      </c>
      <c r="E18" s="2"/>
      <c r="F18" s="2"/>
      <c r="G18" s="2"/>
      <c r="H18" s="2"/>
      <c r="I18" s="2"/>
      <c r="J18" s="2"/>
      <c r="K18" s="2"/>
      <c r="L18" s="2"/>
      <c r="M18" s="2"/>
      <c r="N18" s="21"/>
      <c r="O18" s="44"/>
    </row>
    <row r="19" spans="1:15" s="47" customFormat="1" ht="11.45" customHeight="1" x14ac:dyDescent="0.2">
      <c r="A19" s="94" t="s">
        <v>275</v>
      </c>
      <c r="B19" s="49" t="s">
        <v>276</v>
      </c>
      <c r="C19" s="50">
        <v>1</v>
      </c>
      <c r="D19" s="51">
        <v>6</v>
      </c>
      <c r="E19" s="2"/>
      <c r="F19" s="2"/>
      <c r="G19" s="2"/>
      <c r="H19" s="2"/>
      <c r="I19" s="2"/>
      <c r="J19" s="2"/>
      <c r="K19" s="2"/>
      <c r="L19" s="2"/>
      <c r="M19" s="2"/>
      <c r="N19" s="21"/>
      <c r="O19" s="44"/>
    </row>
    <row r="20" spans="1:15" s="47" customFormat="1" ht="11.45" customHeight="1" x14ac:dyDescent="0.2">
      <c r="A20" s="94" t="s">
        <v>277</v>
      </c>
      <c r="B20" s="49" t="s">
        <v>278</v>
      </c>
      <c r="C20" s="50">
        <v>3</v>
      </c>
      <c r="D20" s="51">
        <v>7</v>
      </c>
      <c r="E20" s="2"/>
      <c r="F20" s="2"/>
      <c r="G20" s="2"/>
      <c r="H20" s="2"/>
      <c r="I20" s="2"/>
      <c r="J20" s="2"/>
      <c r="K20" s="2"/>
      <c r="L20" s="2"/>
      <c r="M20" s="2"/>
      <c r="N20" s="21"/>
      <c r="O20" s="44"/>
    </row>
    <row r="21" spans="1:15" s="47" customFormat="1" ht="11.45" customHeight="1" x14ac:dyDescent="0.2">
      <c r="A21" s="94" t="s">
        <v>279</v>
      </c>
      <c r="B21" s="49" t="s">
        <v>280</v>
      </c>
      <c r="C21" s="50">
        <v>12</v>
      </c>
      <c r="D21" s="51">
        <v>8</v>
      </c>
      <c r="E21" s="2"/>
      <c r="F21" s="2"/>
      <c r="G21" s="2"/>
      <c r="H21" s="2"/>
      <c r="I21" s="2"/>
      <c r="J21" s="2"/>
      <c r="K21" s="2"/>
      <c r="L21" s="2"/>
      <c r="M21" s="2"/>
      <c r="N21" s="21"/>
      <c r="O21" s="44"/>
    </row>
    <row r="22" spans="1:15" s="47" customFormat="1" ht="11.45" customHeight="1" x14ac:dyDescent="0.2">
      <c r="A22" s="94" t="s">
        <v>281</v>
      </c>
      <c r="B22" s="49" t="s">
        <v>282</v>
      </c>
      <c r="C22" s="50">
        <v>15</v>
      </c>
      <c r="D22" s="51">
        <v>9</v>
      </c>
      <c r="E22" s="2"/>
      <c r="F22" s="2"/>
      <c r="G22" s="2"/>
      <c r="H22" s="2"/>
      <c r="I22" s="2"/>
      <c r="J22" s="2"/>
      <c r="K22" s="2"/>
      <c r="L22" s="2"/>
      <c r="M22" s="2"/>
      <c r="N22" s="21"/>
      <c r="O22" s="44"/>
    </row>
    <row r="23" spans="1:15" s="47" customFormat="1" ht="11.45" customHeight="1" x14ac:dyDescent="0.2">
      <c r="A23" s="94" t="s">
        <v>283</v>
      </c>
      <c r="B23" s="49" t="s">
        <v>284</v>
      </c>
      <c r="C23" s="50">
        <v>7</v>
      </c>
      <c r="D23" s="51">
        <v>10</v>
      </c>
      <c r="E23" s="2"/>
      <c r="F23" s="2"/>
      <c r="G23" s="2"/>
      <c r="H23" s="2"/>
      <c r="I23" s="2"/>
      <c r="J23" s="2"/>
      <c r="K23" s="2"/>
      <c r="L23" s="2"/>
      <c r="M23" s="2"/>
      <c r="N23" s="21"/>
      <c r="O23" s="44"/>
    </row>
    <row r="24" spans="1:15" s="47" customFormat="1" ht="11.45" customHeight="1" x14ac:dyDescent="0.2">
      <c r="A24" s="94" t="s">
        <v>285</v>
      </c>
      <c r="B24" s="49" t="s">
        <v>286</v>
      </c>
      <c r="C24" s="50">
        <v>8</v>
      </c>
      <c r="D24" s="51">
        <v>11</v>
      </c>
      <c r="E24" s="2"/>
      <c r="F24" s="2"/>
      <c r="G24" s="2"/>
      <c r="H24" s="2"/>
      <c r="I24" s="2"/>
      <c r="J24" s="2"/>
      <c r="K24" s="2"/>
      <c r="L24" s="2"/>
      <c r="M24" s="2"/>
      <c r="N24" s="21"/>
      <c r="O24" s="44"/>
    </row>
    <row r="25" spans="1:15" s="47" customFormat="1" ht="11.45" customHeight="1" x14ac:dyDescent="0.2">
      <c r="A25" s="94" t="s">
        <v>287</v>
      </c>
      <c r="B25" s="49" t="s">
        <v>288</v>
      </c>
      <c r="C25" s="50">
        <v>4</v>
      </c>
      <c r="D25" s="51">
        <v>12</v>
      </c>
      <c r="E25" s="2"/>
      <c r="F25" s="2"/>
      <c r="G25" s="2"/>
      <c r="H25" s="2"/>
      <c r="I25" s="2"/>
      <c r="J25" s="2"/>
      <c r="K25" s="2"/>
      <c r="L25" s="2"/>
      <c r="M25" s="2"/>
      <c r="N25" s="21"/>
      <c r="O25" s="44"/>
    </row>
    <row r="26" spans="1:15" s="47" customFormat="1" ht="11.45" customHeight="1" x14ac:dyDescent="0.2">
      <c r="A26" s="94" t="s">
        <v>289</v>
      </c>
      <c r="B26" s="49" t="s">
        <v>290</v>
      </c>
      <c r="C26" s="50">
        <v>10</v>
      </c>
      <c r="D26" s="51">
        <v>13</v>
      </c>
      <c r="E26" s="2"/>
      <c r="F26" s="2"/>
      <c r="G26" s="2"/>
      <c r="H26" s="2"/>
      <c r="I26" s="2"/>
      <c r="J26" s="2"/>
      <c r="K26" s="2"/>
      <c r="L26" s="2"/>
      <c r="M26" s="2"/>
      <c r="N26" s="21"/>
      <c r="O26" s="44"/>
    </row>
    <row r="27" spans="1:15" s="47" customFormat="1" ht="11.45" customHeight="1" x14ac:dyDescent="0.2">
      <c r="A27" s="94" t="s">
        <v>291</v>
      </c>
      <c r="B27" s="49" t="s">
        <v>292</v>
      </c>
      <c r="C27" s="50">
        <v>2</v>
      </c>
      <c r="D27" s="51">
        <v>14</v>
      </c>
      <c r="E27" s="2"/>
      <c r="F27" s="2"/>
      <c r="G27" s="2"/>
      <c r="H27" s="2"/>
      <c r="I27" s="2"/>
      <c r="J27" s="2"/>
      <c r="K27" s="2"/>
      <c r="L27" s="2"/>
      <c r="M27" s="2"/>
      <c r="N27" s="21"/>
      <c r="O27" s="44"/>
    </row>
    <row r="28" spans="1:15" s="47" customFormat="1" ht="11.45" customHeight="1" x14ac:dyDescent="0.2">
      <c r="A28" s="94" t="s">
        <v>293</v>
      </c>
      <c r="B28" s="49" t="s">
        <v>294</v>
      </c>
      <c r="C28" s="50">
        <v>5</v>
      </c>
      <c r="D28" s="51">
        <v>15</v>
      </c>
      <c r="E28" s="2"/>
      <c r="F28" s="2"/>
      <c r="G28" s="2"/>
      <c r="H28" s="2"/>
      <c r="I28" s="2"/>
      <c r="J28" s="2"/>
      <c r="K28" s="2"/>
      <c r="L28" s="2"/>
      <c r="M28" s="2"/>
      <c r="N28" s="21"/>
      <c r="O28" s="44"/>
    </row>
    <row r="29" spans="1:15" s="47" customFormat="1" ht="11.45" customHeight="1" x14ac:dyDescent="0.2">
      <c r="A29" s="94" t="s">
        <v>295</v>
      </c>
      <c r="B29" s="49" t="s">
        <v>296</v>
      </c>
      <c r="C29" s="50">
        <v>11</v>
      </c>
      <c r="D29" s="51">
        <v>16</v>
      </c>
      <c r="E29" s="2"/>
      <c r="F29" s="2"/>
      <c r="G29" s="2"/>
      <c r="H29" s="2"/>
      <c r="I29" s="2"/>
      <c r="J29" s="2"/>
      <c r="K29" s="2"/>
      <c r="L29" s="2"/>
      <c r="M29" s="2"/>
      <c r="N29" s="21"/>
      <c r="O29" s="44"/>
    </row>
    <row r="30" spans="1:15" s="47" customFormat="1" ht="11.45" customHeight="1" x14ac:dyDescent="0.2">
      <c r="A30" s="94"/>
      <c r="B30" s="49"/>
      <c r="C30" s="50"/>
      <c r="D30" s="55" t="str">
        <f>CHAR(132)</f>
        <v>„</v>
      </c>
      <c r="E30" s="53"/>
      <c r="F30" s="53"/>
      <c r="G30" s="53"/>
      <c r="H30" s="53"/>
      <c r="I30" s="53"/>
      <c r="J30" s="53"/>
      <c r="K30" s="53"/>
      <c r="L30" s="53"/>
      <c r="M30" s="53"/>
      <c r="N30" s="85"/>
      <c r="O30" s="44"/>
    </row>
    <row r="31" spans="1:15" s="47" customFormat="1" ht="11.45" customHeight="1" x14ac:dyDescent="0.2">
      <c r="A31" s="367" t="s">
        <v>35</v>
      </c>
      <c r="B31" s="368"/>
      <c r="C31" s="230" t="s">
        <v>135</v>
      </c>
      <c r="D31" s="231" t="s">
        <v>183</v>
      </c>
      <c r="E31" s="54">
        <f t="shared" ref="E31:N31" si="2">SUM(E32:E33)</f>
        <v>0</v>
      </c>
      <c r="F31" s="54">
        <f t="shared" si="2"/>
        <v>0</v>
      </c>
      <c r="G31" s="54">
        <f t="shared" si="2"/>
        <v>0</v>
      </c>
      <c r="H31" s="54">
        <f t="shared" si="2"/>
        <v>0</v>
      </c>
      <c r="I31" s="54">
        <f t="shared" si="2"/>
        <v>0</v>
      </c>
      <c r="J31" s="54">
        <f t="shared" si="2"/>
        <v>0</v>
      </c>
      <c r="K31" s="54">
        <f t="shared" si="2"/>
        <v>0</v>
      </c>
      <c r="L31" s="54">
        <f t="shared" si="2"/>
        <v>0</v>
      </c>
      <c r="M31" s="54">
        <f t="shared" si="2"/>
        <v>0</v>
      </c>
      <c r="N31" s="97">
        <f t="shared" si="2"/>
        <v>0</v>
      </c>
      <c r="O31" s="44"/>
    </row>
    <row r="32" spans="1:15" s="47" customFormat="1" ht="11.45" customHeight="1" x14ac:dyDescent="0.2">
      <c r="A32" s="94" t="s">
        <v>141</v>
      </c>
      <c r="B32" s="49" t="s">
        <v>141</v>
      </c>
      <c r="C32" s="50" t="s">
        <v>141</v>
      </c>
      <c r="D32" s="51">
        <v>1</v>
      </c>
      <c r="E32" s="2"/>
      <c r="F32" s="2"/>
      <c r="G32" s="2"/>
      <c r="H32" s="2"/>
      <c r="I32" s="2"/>
      <c r="J32" s="2"/>
      <c r="K32" s="2"/>
      <c r="L32" s="2"/>
      <c r="M32" s="2"/>
      <c r="N32" s="21"/>
      <c r="O32" s="44"/>
    </row>
    <row r="33" spans="1:15" s="47" customFormat="1" ht="11.45" customHeight="1" x14ac:dyDescent="0.2">
      <c r="A33" s="95"/>
      <c r="B33" s="57"/>
      <c r="C33" s="50"/>
      <c r="D33" s="55" t="str">
        <f>CHAR(132)</f>
        <v>„</v>
      </c>
      <c r="E33" s="58"/>
      <c r="F33" s="58"/>
      <c r="G33" s="58"/>
      <c r="H33" s="58"/>
      <c r="I33" s="58"/>
      <c r="J33" s="58"/>
      <c r="K33" s="58"/>
      <c r="L33" s="58"/>
      <c r="M33" s="58"/>
      <c r="N33" s="85"/>
      <c r="O33" s="44"/>
    </row>
    <row r="34" spans="1:15" s="47" customFormat="1" ht="11.45" customHeight="1" x14ac:dyDescent="0.2">
      <c r="A34" s="367" t="s">
        <v>36</v>
      </c>
      <c r="B34" s="368"/>
      <c r="C34" s="230" t="s">
        <v>136</v>
      </c>
      <c r="D34" s="231" t="s">
        <v>184</v>
      </c>
      <c r="E34" s="54">
        <f t="shared" ref="E34:N34" si="3">SUM(E35:E36)</f>
        <v>0</v>
      </c>
      <c r="F34" s="54">
        <f t="shared" si="3"/>
        <v>0</v>
      </c>
      <c r="G34" s="54">
        <f t="shared" si="3"/>
        <v>0</v>
      </c>
      <c r="H34" s="54">
        <f t="shared" si="3"/>
        <v>0</v>
      </c>
      <c r="I34" s="54">
        <f t="shared" si="3"/>
        <v>0</v>
      </c>
      <c r="J34" s="54">
        <f t="shared" si="3"/>
        <v>0</v>
      </c>
      <c r="K34" s="54">
        <f t="shared" si="3"/>
        <v>0</v>
      </c>
      <c r="L34" s="54">
        <f t="shared" si="3"/>
        <v>0</v>
      </c>
      <c r="M34" s="54">
        <f t="shared" si="3"/>
        <v>0</v>
      </c>
      <c r="N34" s="97">
        <f t="shared" si="3"/>
        <v>0</v>
      </c>
      <c r="O34" s="44"/>
    </row>
    <row r="35" spans="1:15" s="47" customFormat="1" ht="11.45" customHeight="1" x14ac:dyDescent="0.2">
      <c r="A35" s="94" t="s">
        <v>141</v>
      </c>
      <c r="B35" s="49" t="s">
        <v>141</v>
      </c>
      <c r="C35" s="50" t="s">
        <v>141</v>
      </c>
      <c r="D35" s="51">
        <v>1</v>
      </c>
      <c r="E35" s="2"/>
      <c r="F35" s="2"/>
      <c r="G35" s="2"/>
      <c r="H35" s="2"/>
      <c r="I35" s="2"/>
      <c r="J35" s="2"/>
      <c r="K35" s="2"/>
      <c r="L35" s="2"/>
      <c r="M35" s="2"/>
      <c r="N35" s="21"/>
      <c r="O35" s="44"/>
    </row>
    <row r="36" spans="1:15" s="47" customFormat="1" ht="11.45" customHeight="1" x14ac:dyDescent="0.2">
      <c r="A36" s="95"/>
      <c r="B36" s="57"/>
      <c r="C36" s="50"/>
      <c r="D36" s="55" t="str">
        <f>CHAR(132)</f>
        <v>„</v>
      </c>
      <c r="E36" s="53"/>
      <c r="F36" s="53"/>
      <c r="G36" s="53"/>
      <c r="H36" s="53"/>
      <c r="I36" s="53"/>
      <c r="J36" s="53"/>
      <c r="K36" s="53"/>
      <c r="L36" s="53"/>
      <c r="M36" s="53"/>
      <c r="N36" s="85"/>
      <c r="O36" s="44"/>
    </row>
    <row r="37" spans="1:15" s="47" customFormat="1" ht="11.45" customHeight="1" x14ac:dyDescent="0.2">
      <c r="A37" s="369" t="s">
        <v>37</v>
      </c>
      <c r="B37" s="370"/>
      <c r="C37" s="371" t="s">
        <v>138</v>
      </c>
      <c r="D37" s="372"/>
      <c r="E37" s="58">
        <f t="shared" ref="E37:N37" si="4">SUM(E10,E13,E31,E34)</f>
        <v>0</v>
      </c>
      <c r="F37" s="58">
        <f t="shared" si="4"/>
        <v>0</v>
      </c>
      <c r="G37" s="58">
        <f t="shared" si="4"/>
        <v>0</v>
      </c>
      <c r="H37" s="58">
        <f t="shared" si="4"/>
        <v>0</v>
      </c>
      <c r="I37" s="58">
        <f t="shared" si="4"/>
        <v>0</v>
      </c>
      <c r="J37" s="58">
        <f t="shared" si="4"/>
        <v>0</v>
      </c>
      <c r="K37" s="58">
        <f t="shared" si="4"/>
        <v>0</v>
      </c>
      <c r="L37" s="58">
        <f t="shared" si="4"/>
        <v>0</v>
      </c>
      <c r="M37" s="58">
        <f t="shared" si="4"/>
        <v>0</v>
      </c>
      <c r="N37" s="97">
        <f t="shared" si="4"/>
        <v>0</v>
      </c>
      <c r="O37" s="44"/>
    </row>
    <row r="38" spans="1:15" s="47" customFormat="1" ht="11.45" customHeight="1" x14ac:dyDescent="0.2">
      <c r="A38" s="367" t="s">
        <v>38</v>
      </c>
      <c r="B38" s="368"/>
      <c r="C38" s="230" t="s">
        <v>137</v>
      </c>
      <c r="D38" s="231" t="s">
        <v>185</v>
      </c>
      <c r="E38" s="54">
        <f t="shared" ref="E38:N38" si="5">SUM(E39:E40)</f>
        <v>0</v>
      </c>
      <c r="F38" s="54">
        <f t="shared" si="5"/>
        <v>0</v>
      </c>
      <c r="G38" s="54">
        <f t="shared" si="5"/>
        <v>0</v>
      </c>
      <c r="H38" s="54">
        <f t="shared" si="5"/>
        <v>0</v>
      </c>
      <c r="I38" s="54">
        <f t="shared" si="5"/>
        <v>0</v>
      </c>
      <c r="J38" s="54">
        <f t="shared" si="5"/>
        <v>0</v>
      </c>
      <c r="K38" s="54">
        <f t="shared" si="5"/>
        <v>0</v>
      </c>
      <c r="L38" s="54">
        <f t="shared" si="5"/>
        <v>0</v>
      </c>
      <c r="M38" s="54">
        <f t="shared" si="5"/>
        <v>0</v>
      </c>
      <c r="N38" s="97">
        <f t="shared" si="5"/>
        <v>0</v>
      </c>
      <c r="O38" s="44"/>
    </row>
    <row r="39" spans="1:15" s="47" customFormat="1" ht="11.45" customHeight="1" x14ac:dyDescent="0.2">
      <c r="A39" s="94" t="s">
        <v>141</v>
      </c>
      <c r="B39" s="49" t="s">
        <v>141</v>
      </c>
      <c r="C39" s="50" t="s">
        <v>141</v>
      </c>
      <c r="D39" s="51">
        <v>1</v>
      </c>
      <c r="E39" s="2"/>
      <c r="F39" s="2"/>
      <c r="G39" s="2"/>
      <c r="H39" s="2"/>
      <c r="I39" s="2"/>
      <c r="J39" s="2"/>
      <c r="K39" s="2"/>
      <c r="L39" s="2"/>
      <c r="M39" s="2"/>
      <c r="N39" s="21"/>
      <c r="O39" s="44"/>
    </row>
    <row r="40" spans="1:15" s="47" customFormat="1" ht="11.45" customHeight="1" x14ac:dyDescent="0.2">
      <c r="A40" s="219"/>
      <c r="B40" s="49"/>
      <c r="C40" s="50"/>
      <c r="D40" s="55" t="str">
        <f>CHAR(132)</f>
        <v>„</v>
      </c>
      <c r="E40" s="53"/>
      <c r="F40" s="53"/>
      <c r="G40" s="53"/>
      <c r="H40" s="53"/>
      <c r="I40" s="53"/>
      <c r="J40" s="53"/>
      <c r="K40" s="53"/>
      <c r="L40" s="53"/>
      <c r="M40" s="53"/>
      <c r="N40" s="85"/>
      <c r="O40" s="44"/>
    </row>
    <row r="41" spans="1:15" s="47" customFormat="1" ht="11.45" customHeight="1" thickBot="1" x14ac:dyDescent="0.25">
      <c r="A41" s="363" t="s">
        <v>21</v>
      </c>
      <c r="B41" s="364"/>
      <c r="C41" s="365" t="s">
        <v>139</v>
      </c>
      <c r="D41" s="366"/>
      <c r="E41" s="61">
        <f t="shared" ref="E41:N41" si="6">SUM(E37,E38)</f>
        <v>0</v>
      </c>
      <c r="F41" s="61">
        <f t="shared" si="6"/>
        <v>0</v>
      </c>
      <c r="G41" s="61">
        <f t="shared" si="6"/>
        <v>0</v>
      </c>
      <c r="H41" s="61">
        <f t="shared" si="6"/>
        <v>0</v>
      </c>
      <c r="I41" s="61">
        <f t="shared" si="6"/>
        <v>0</v>
      </c>
      <c r="J41" s="61">
        <f t="shared" si="6"/>
        <v>0</v>
      </c>
      <c r="K41" s="61">
        <f t="shared" si="6"/>
        <v>0</v>
      </c>
      <c r="L41" s="61">
        <f t="shared" si="6"/>
        <v>0</v>
      </c>
      <c r="M41" s="61">
        <f t="shared" si="6"/>
        <v>0</v>
      </c>
      <c r="N41" s="99">
        <f t="shared" si="6"/>
        <v>0</v>
      </c>
      <c r="O41" s="44"/>
    </row>
    <row r="42" spans="1:15" s="47" customFormat="1" ht="12" thickTop="1" x14ac:dyDescent="0.2">
      <c r="A42" s="63" t="s">
        <v>186</v>
      </c>
      <c r="D42" s="63" t="s">
        <v>186</v>
      </c>
    </row>
    <row r="43" spans="1:15" s="47" customFormat="1" x14ac:dyDescent="0.2"/>
    <row r="44" spans="1:15" s="65" customFormat="1" ht="12.75" x14ac:dyDescent="0.2">
      <c r="A44" s="64" t="s">
        <v>217</v>
      </c>
    </row>
    <row r="45" spans="1:15" s="65" customFormat="1" ht="12.75" x14ac:dyDescent="0.2">
      <c r="A45" s="64" t="s">
        <v>205</v>
      </c>
    </row>
    <row r="46" spans="1:15" s="65" customFormat="1" ht="12.75" x14ac:dyDescent="0.2">
      <c r="A46" s="66" t="s">
        <v>204</v>
      </c>
    </row>
    <row r="47" spans="1:15" s="47" customFormat="1" ht="12.75" x14ac:dyDescent="0.2">
      <c r="A47" s="67"/>
    </row>
    <row r="48" spans="1:15" s="47" customFormat="1" ht="12.75" x14ac:dyDescent="0.2">
      <c r="A48" s="67"/>
    </row>
    <row r="49" spans="1:1" s="47" customFormat="1" ht="12.75" x14ac:dyDescent="0.2">
      <c r="A49" s="68"/>
    </row>
    <row r="50" spans="1:1" s="47" customFormat="1" ht="12.75" x14ac:dyDescent="0.2">
      <c r="A50" s="68"/>
    </row>
    <row r="51" spans="1:1" s="47" customFormat="1" x14ac:dyDescent="0.2"/>
  </sheetData>
  <sheetProtection algorithmName="SHA-512" hashValue="h8Mxf1yFnApmrqqdsmrxTHEMxW9dbjg6gvudS1YIwRyF8XEhELZ4PHT4LW6b/1GI2zyk7UmsUa0iwSxXj3hHgw==" saltValue="EaSlQdy0q1GagQwet7ca6Q==" spinCount="100000" sheet="1" objects="1" scenarios="1" selectLockedCells="1"/>
  <mergeCells count="26">
    <mergeCell ref="A31:B31"/>
    <mergeCell ref="A13:B13"/>
    <mergeCell ref="H7:H8"/>
    <mergeCell ref="D6:D9"/>
    <mergeCell ref="C6:C9"/>
    <mergeCell ref="A6:B6"/>
    <mergeCell ref="B7:B9"/>
    <mergeCell ref="A7:A9"/>
    <mergeCell ref="A10:B10"/>
    <mergeCell ref="G7:G8"/>
    <mergeCell ref="M7:M8"/>
    <mergeCell ref="N6:N8"/>
    <mergeCell ref="E6:K6"/>
    <mergeCell ref="L6:M6"/>
    <mergeCell ref="E7:E8"/>
    <mergeCell ref="F7:F8"/>
    <mergeCell ref="J7:J8"/>
    <mergeCell ref="K7:K8"/>
    <mergeCell ref="L7:L8"/>
    <mergeCell ref="I7:I8"/>
    <mergeCell ref="A41:B41"/>
    <mergeCell ref="C41:D41"/>
    <mergeCell ref="A34:B34"/>
    <mergeCell ref="A38:B38"/>
    <mergeCell ref="A37:B37"/>
    <mergeCell ref="C37:D37"/>
  </mergeCells>
  <phoneticPr fontId="0" type="noConversion"/>
  <dataValidations count="2">
    <dataValidation allowBlank="1" showInputMessage="1" showErrorMessage="1" sqref="D44 B45 O39 A39:C39 O34:O35 A34:C35 C14:C29 A11:C11 O9:O11"/>
    <dataValidation type="decimal" operator="greaterThanOrEqual" allowBlank="1" showInputMessage="1" showErrorMessage="1" error="Invalid Input." sqref="E39:N40 E34:N35 E32:N32 E14:N30 E11:N12">
      <formula1>0</formula1>
    </dataValidation>
  </dataValidations>
  <pageMargins left="0.25" right="0.25" top="1" bottom="0.5" header="0.5" footer="0.5"/>
  <pageSetup paperSize="9" scale="75" orientation="landscape" r:id="rId1"/>
  <headerFooter alignWithMargins="0">
    <oddHeader>&amp;C&amp;"Arial,Bold"&amp;8 NEW RB OF SAN LEONARDO(N.E.) INC  [ 04-040656 ]
 As of: September 30, 2017</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P44"/>
  <sheetViews>
    <sheetView zoomScaleNormal="100" zoomScaleSheetLayoutView="100" workbookViewId="0">
      <pane xSplit="4" ySplit="9" topLeftCell="E10" activePane="bottomRight" state="frozen"/>
      <selection activeCell="E24" sqref="E24"/>
      <selection pane="topRight" activeCell="E24" sqref="E24"/>
      <selection pane="bottomLeft" activeCell="E24" sqref="E24"/>
      <selection pane="bottomRight" activeCell="E24" sqref="E24"/>
    </sheetView>
  </sheetViews>
  <sheetFormatPr defaultRowHeight="11.25" x14ac:dyDescent="0.2"/>
  <cols>
    <col min="1" max="1" width="25.5703125" style="42" customWidth="1"/>
    <col min="2" max="2" width="35.5703125" style="42" customWidth="1"/>
    <col min="3" max="3" width="7.140625" style="42" customWidth="1"/>
    <col min="4" max="4" width="6.5703125" style="42" customWidth="1"/>
    <col min="5" max="15" width="17.7109375" style="42" customWidth="1"/>
    <col min="16" max="16" width="9.140625" style="41" hidden="1" customWidth="1"/>
    <col min="17" max="16384" width="9.140625" style="42"/>
  </cols>
  <sheetData>
    <row r="1" spans="1:16" x14ac:dyDescent="0.2">
      <c r="A1" s="39" t="s">
        <v>39</v>
      </c>
      <c r="B1" s="40"/>
      <c r="C1" s="40"/>
      <c r="D1" s="40"/>
      <c r="E1" s="40"/>
      <c r="F1" s="40"/>
      <c r="G1" s="40"/>
      <c r="H1" s="40"/>
      <c r="I1" s="40"/>
      <c r="J1" s="40"/>
      <c r="K1" s="40"/>
      <c r="L1" s="40"/>
      <c r="M1" s="40"/>
      <c r="N1" s="40"/>
      <c r="O1" s="40"/>
    </row>
    <row r="2" spans="1:16" hidden="1" x14ac:dyDescent="0.2">
      <c r="A2" s="39"/>
      <c r="B2" s="40"/>
      <c r="C2" s="40"/>
      <c r="D2" s="40"/>
      <c r="E2" s="40"/>
      <c r="F2" s="40"/>
      <c r="G2" s="40"/>
      <c r="H2" s="40"/>
      <c r="I2" s="40"/>
      <c r="J2" s="40"/>
      <c r="K2" s="40"/>
      <c r="L2" s="40"/>
      <c r="M2" s="40"/>
      <c r="N2" s="40"/>
      <c r="O2" s="40"/>
    </row>
    <row r="3" spans="1:16" hidden="1" x14ac:dyDescent="0.2">
      <c r="A3" s="43"/>
      <c r="B3" s="40"/>
      <c r="C3" s="40"/>
      <c r="D3" s="40"/>
      <c r="E3" s="40"/>
      <c r="F3" s="40"/>
      <c r="G3" s="40"/>
      <c r="H3" s="40"/>
      <c r="I3" s="40"/>
      <c r="J3" s="40"/>
      <c r="K3" s="40"/>
      <c r="L3" s="40"/>
      <c r="M3" s="40"/>
      <c r="N3" s="40"/>
      <c r="O3" s="40"/>
    </row>
    <row r="4" spans="1:16" hidden="1" x14ac:dyDescent="0.2">
      <c r="A4" s="40"/>
      <c r="B4" s="40"/>
      <c r="C4" s="40"/>
      <c r="D4" s="40"/>
      <c r="E4" s="40"/>
      <c r="F4" s="40"/>
      <c r="G4" s="40"/>
      <c r="H4" s="40"/>
      <c r="I4" s="40"/>
      <c r="J4" s="40"/>
      <c r="K4" s="40"/>
      <c r="L4" s="40"/>
      <c r="M4" s="40"/>
      <c r="N4" s="40"/>
      <c r="O4" s="40"/>
    </row>
    <row r="5" spans="1:16" ht="12" thickBot="1" x14ac:dyDescent="0.25">
      <c r="A5" s="40"/>
      <c r="B5" s="40"/>
      <c r="C5" s="40"/>
      <c r="D5" s="40"/>
      <c r="E5" s="40"/>
      <c r="F5" s="40"/>
      <c r="G5" s="40"/>
      <c r="H5" s="40"/>
      <c r="I5" s="40"/>
      <c r="J5" s="40"/>
      <c r="K5" s="40"/>
      <c r="L5" s="40"/>
      <c r="M5" s="40"/>
      <c r="N5" s="40"/>
      <c r="O5" s="40"/>
    </row>
    <row r="6" spans="1:16" ht="12" customHeight="1" thickTop="1" x14ac:dyDescent="0.2">
      <c r="A6" s="389" t="s">
        <v>194</v>
      </c>
      <c r="B6" s="390"/>
      <c r="C6" s="387" t="s">
        <v>29</v>
      </c>
      <c r="D6" s="398" t="s">
        <v>30</v>
      </c>
      <c r="E6" s="378" t="s">
        <v>40</v>
      </c>
      <c r="F6" s="379"/>
      <c r="G6" s="379"/>
      <c r="H6" s="380"/>
      <c r="I6" s="378" t="s">
        <v>46</v>
      </c>
      <c r="J6" s="379"/>
      <c r="K6" s="379"/>
      <c r="L6" s="379"/>
      <c r="M6" s="379"/>
      <c r="N6" s="379"/>
      <c r="O6" s="380"/>
    </row>
    <row r="7" spans="1:16" x14ac:dyDescent="0.2">
      <c r="A7" s="393" t="s">
        <v>27</v>
      </c>
      <c r="B7" s="391" t="s">
        <v>28</v>
      </c>
      <c r="C7" s="388"/>
      <c r="D7" s="399"/>
      <c r="E7" s="400" t="s">
        <v>41</v>
      </c>
      <c r="F7" s="401"/>
      <c r="G7" s="401"/>
      <c r="H7" s="402" t="s">
        <v>45</v>
      </c>
      <c r="I7" s="400" t="s">
        <v>47</v>
      </c>
      <c r="J7" s="401"/>
      <c r="K7" s="401"/>
      <c r="L7" s="401" t="s">
        <v>51</v>
      </c>
      <c r="M7" s="401" t="s">
        <v>52</v>
      </c>
      <c r="N7" s="401" t="s">
        <v>53</v>
      </c>
      <c r="O7" s="397" t="s">
        <v>54</v>
      </c>
    </row>
    <row r="8" spans="1:16" ht="34.5" customHeight="1" x14ac:dyDescent="0.2">
      <c r="A8" s="393"/>
      <c r="B8" s="391"/>
      <c r="C8" s="388"/>
      <c r="D8" s="399"/>
      <c r="E8" s="69" t="s">
        <v>42</v>
      </c>
      <c r="F8" s="70" t="s">
        <v>44</v>
      </c>
      <c r="G8" s="70" t="s">
        <v>43</v>
      </c>
      <c r="H8" s="402"/>
      <c r="I8" s="69" t="s">
        <v>48</v>
      </c>
      <c r="J8" s="70" t="s">
        <v>49</v>
      </c>
      <c r="K8" s="70" t="s">
        <v>50</v>
      </c>
      <c r="L8" s="401"/>
      <c r="M8" s="401"/>
      <c r="N8" s="401"/>
      <c r="O8" s="397"/>
    </row>
    <row r="9" spans="1:16" ht="17.25" customHeight="1" thickBot="1" x14ac:dyDescent="0.25">
      <c r="A9" s="394"/>
      <c r="B9" s="392"/>
      <c r="C9" s="388"/>
      <c r="D9" s="399"/>
      <c r="E9" s="71" t="s">
        <v>55</v>
      </c>
      <c r="F9" s="72" t="s">
        <v>193</v>
      </c>
      <c r="G9" s="72" t="s">
        <v>0</v>
      </c>
      <c r="H9" s="73" t="s">
        <v>56</v>
      </c>
      <c r="I9" s="71" t="s">
        <v>57</v>
      </c>
      <c r="J9" s="72" t="s">
        <v>58</v>
      </c>
      <c r="K9" s="72" t="s">
        <v>59</v>
      </c>
      <c r="L9" s="74" t="s">
        <v>60</v>
      </c>
      <c r="M9" s="74" t="s">
        <v>22</v>
      </c>
      <c r="N9" s="74" t="s">
        <v>61</v>
      </c>
      <c r="O9" s="75" t="s">
        <v>62</v>
      </c>
      <c r="P9" s="44" t="s">
        <v>132</v>
      </c>
    </row>
    <row r="10" spans="1:16" s="47" customFormat="1" ht="11.45" customHeight="1" x14ac:dyDescent="0.2">
      <c r="A10" s="395" t="s">
        <v>34</v>
      </c>
      <c r="B10" s="396"/>
      <c r="C10" s="228" t="s">
        <v>133</v>
      </c>
      <c r="D10" s="229" t="s">
        <v>181</v>
      </c>
      <c r="E10" s="76">
        <f t="shared" ref="E10:O10" si="0">SUM(E11:E12)</f>
        <v>0</v>
      </c>
      <c r="F10" s="77">
        <f t="shared" si="0"/>
        <v>0</v>
      </c>
      <c r="G10" s="77">
        <f t="shared" si="0"/>
        <v>0</v>
      </c>
      <c r="H10" s="77">
        <f t="shared" si="0"/>
        <v>0</v>
      </c>
      <c r="I10" s="77">
        <f t="shared" si="0"/>
        <v>0</v>
      </c>
      <c r="J10" s="77">
        <f t="shared" si="0"/>
        <v>0</v>
      </c>
      <c r="K10" s="77">
        <f t="shared" si="0"/>
        <v>0</v>
      </c>
      <c r="L10" s="77">
        <f t="shared" si="0"/>
        <v>0</v>
      </c>
      <c r="M10" s="77">
        <f t="shared" si="0"/>
        <v>0</v>
      </c>
      <c r="N10" s="78">
        <f t="shared" si="0"/>
        <v>0</v>
      </c>
      <c r="O10" s="79">
        <f t="shared" si="0"/>
        <v>0</v>
      </c>
      <c r="P10" s="44" t="s">
        <v>131</v>
      </c>
    </row>
    <row r="11" spans="1:16" s="47" customFormat="1" ht="11.45" customHeight="1" x14ac:dyDescent="0.2">
      <c r="A11" s="80" t="s">
        <v>141</v>
      </c>
      <c r="B11" s="81" t="s">
        <v>141</v>
      </c>
      <c r="C11" s="82" t="s">
        <v>141</v>
      </c>
      <c r="D11" s="83">
        <v>1</v>
      </c>
      <c r="E11" s="1"/>
      <c r="F11" s="2"/>
      <c r="G11" s="2"/>
      <c r="H11" s="2"/>
      <c r="I11" s="2"/>
      <c r="J11" s="2"/>
      <c r="K11" s="2"/>
      <c r="L11" s="2"/>
      <c r="M11" s="2"/>
      <c r="N11" s="3"/>
      <c r="O11" s="21"/>
      <c r="P11" s="44"/>
    </row>
    <row r="12" spans="1:16" s="47" customFormat="1" ht="11.45" customHeight="1" x14ac:dyDescent="0.2">
      <c r="A12" s="86"/>
      <c r="B12" s="49"/>
      <c r="C12" s="50"/>
      <c r="D12" s="55" t="str">
        <f>CHAR(132)</f>
        <v>„</v>
      </c>
      <c r="E12" s="52"/>
      <c r="F12" s="53"/>
      <c r="G12" s="53"/>
      <c r="H12" s="53"/>
      <c r="I12" s="53"/>
      <c r="J12" s="53"/>
      <c r="K12" s="53"/>
      <c r="L12" s="53"/>
      <c r="M12" s="53"/>
      <c r="N12" s="84"/>
      <c r="O12" s="85"/>
      <c r="P12" s="44"/>
    </row>
    <row r="13" spans="1:16" s="47" customFormat="1" ht="11.45" customHeight="1" x14ac:dyDescent="0.2">
      <c r="A13" s="403" t="s">
        <v>221</v>
      </c>
      <c r="B13" s="404"/>
      <c r="C13" s="232" t="s">
        <v>134</v>
      </c>
      <c r="D13" s="233" t="s">
        <v>182</v>
      </c>
      <c r="E13" s="45">
        <f t="shared" ref="E13:O13" si="1">SUM(E14:E30)</f>
        <v>0</v>
      </c>
      <c r="F13" s="45">
        <f t="shared" si="1"/>
        <v>0</v>
      </c>
      <c r="G13" s="45">
        <f t="shared" si="1"/>
        <v>0</v>
      </c>
      <c r="H13" s="45">
        <f t="shared" si="1"/>
        <v>0</v>
      </c>
      <c r="I13" s="45">
        <f t="shared" si="1"/>
        <v>0</v>
      </c>
      <c r="J13" s="45">
        <f t="shared" si="1"/>
        <v>0</v>
      </c>
      <c r="K13" s="45">
        <f t="shared" si="1"/>
        <v>0</v>
      </c>
      <c r="L13" s="45">
        <f t="shared" si="1"/>
        <v>0</v>
      </c>
      <c r="M13" s="45">
        <f t="shared" si="1"/>
        <v>0</v>
      </c>
      <c r="N13" s="45">
        <f t="shared" si="1"/>
        <v>0</v>
      </c>
      <c r="O13" s="45">
        <f t="shared" si="1"/>
        <v>0</v>
      </c>
      <c r="P13" s="44"/>
    </row>
    <row r="14" spans="1:16" s="47" customFormat="1" ht="11.45" customHeight="1" x14ac:dyDescent="0.2">
      <c r="A14" s="80" t="s">
        <v>265</v>
      </c>
      <c r="B14" s="81" t="s">
        <v>266</v>
      </c>
      <c r="C14" s="82">
        <v>0</v>
      </c>
      <c r="D14" s="83">
        <v>1</v>
      </c>
      <c r="E14" s="22"/>
      <c r="F14" s="23"/>
      <c r="G14" s="23"/>
      <c r="H14" s="23"/>
      <c r="I14" s="23"/>
      <c r="J14" s="23"/>
      <c r="K14" s="23"/>
      <c r="L14" s="23"/>
      <c r="M14" s="23"/>
      <c r="N14" s="24"/>
      <c r="O14" s="25"/>
      <c r="P14" s="44"/>
    </row>
    <row r="15" spans="1:16" s="47" customFormat="1" ht="11.45" customHeight="1" x14ac:dyDescent="0.2">
      <c r="A15" s="80" t="s">
        <v>267</v>
      </c>
      <c r="B15" s="81" t="s">
        <v>268</v>
      </c>
      <c r="C15" s="82">
        <v>13</v>
      </c>
      <c r="D15" s="83">
        <v>2</v>
      </c>
      <c r="E15" s="22"/>
      <c r="F15" s="23"/>
      <c r="G15" s="23"/>
      <c r="H15" s="23"/>
      <c r="I15" s="23"/>
      <c r="J15" s="23"/>
      <c r="K15" s="23"/>
      <c r="L15" s="23"/>
      <c r="M15" s="23"/>
      <c r="N15" s="24"/>
      <c r="O15" s="25"/>
      <c r="P15" s="44"/>
    </row>
    <row r="16" spans="1:16" s="47" customFormat="1" ht="11.45" customHeight="1" x14ac:dyDescent="0.2">
      <c r="A16" s="80" t="s">
        <v>269</v>
      </c>
      <c r="B16" s="81" t="s">
        <v>270</v>
      </c>
      <c r="C16" s="82">
        <v>9</v>
      </c>
      <c r="D16" s="83">
        <v>3</v>
      </c>
      <c r="E16" s="22"/>
      <c r="F16" s="23"/>
      <c r="G16" s="23"/>
      <c r="H16" s="23"/>
      <c r="I16" s="23"/>
      <c r="J16" s="23"/>
      <c r="K16" s="23"/>
      <c r="L16" s="23"/>
      <c r="M16" s="23"/>
      <c r="N16" s="24"/>
      <c r="O16" s="25"/>
      <c r="P16" s="44"/>
    </row>
    <row r="17" spans="1:16" s="47" customFormat="1" ht="11.45" customHeight="1" x14ac:dyDescent="0.2">
      <c r="A17" s="80" t="s">
        <v>271</v>
      </c>
      <c r="B17" s="81" t="s">
        <v>272</v>
      </c>
      <c r="C17" s="82">
        <v>14</v>
      </c>
      <c r="D17" s="83">
        <v>4</v>
      </c>
      <c r="E17" s="22"/>
      <c r="F17" s="23"/>
      <c r="G17" s="23"/>
      <c r="H17" s="23"/>
      <c r="I17" s="23"/>
      <c r="J17" s="23"/>
      <c r="K17" s="23"/>
      <c r="L17" s="23"/>
      <c r="M17" s="23"/>
      <c r="N17" s="24"/>
      <c r="O17" s="25"/>
      <c r="P17" s="44"/>
    </row>
    <row r="18" spans="1:16" s="47" customFormat="1" ht="11.45" customHeight="1" x14ac:dyDescent="0.2">
      <c r="A18" s="80" t="s">
        <v>273</v>
      </c>
      <c r="B18" s="81" t="s">
        <v>274</v>
      </c>
      <c r="C18" s="82">
        <v>6</v>
      </c>
      <c r="D18" s="83">
        <v>5</v>
      </c>
      <c r="E18" s="22"/>
      <c r="F18" s="23"/>
      <c r="G18" s="23"/>
      <c r="H18" s="23"/>
      <c r="I18" s="23"/>
      <c r="J18" s="23"/>
      <c r="K18" s="23"/>
      <c r="L18" s="23"/>
      <c r="M18" s="23"/>
      <c r="N18" s="24"/>
      <c r="O18" s="25"/>
      <c r="P18" s="44"/>
    </row>
    <row r="19" spans="1:16" s="47" customFormat="1" ht="11.45" customHeight="1" x14ac:dyDescent="0.2">
      <c r="A19" s="80" t="s">
        <v>275</v>
      </c>
      <c r="B19" s="81" t="s">
        <v>276</v>
      </c>
      <c r="C19" s="82">
        <v>1</v>
      </c>
      <c r="D19" s="83">
        <v>6</v>
      </c>
      <c r="E19" s="22"/>
      <c r="F19" s="23"/>
      <c r="G19" s="23"/>
      <c r="H19" s="23"/>
      <c r="I19" s="23"/>
      <c r="J19" s="23"/>
      <c r="K19" s="23"/>
      <c r="L19" s="23"/>
      <c r="M19" s="23"/>
      <c r="N19" s="24"/>
      <c r="O19" s="25"/>
      <c r="P19" s="44"/>
    </row>
    <row r="20" spans="1:16" s="47" customFormat="1" ht="11.45" customHeight="1" x14ac:dyDescent="0.2">
      <c r="A20" s="80" t="s">
        <v>277</v>
      </c>
      <c r="B20" s="81" t="s">
        <v>278</v>
      </c>
      <c r="C20" s="82">
        <v>3</v>
      </c>
      <c r="D20" s="83">
        <v>7</v>
      </c>
      <c r="E20" s="22"/>
      <c r="F20" s="23"/>
      <c r="G20" s="23"/>
      <c r="H20" s="23"/>
      <c r="I20" s="23"/>
      <c r="J20" s="23"/>
      <c r="K20" s="23"/>
      <c r="L20" s="23"/>
      <c r="M20" s="23"/>
      <c r="N20" s="24"/>
      <c r="O20" s="25"/>
      <c r="P20" s="44"/>
    </row>
    <row r="21" spans="1:16" s="47" customFormat="1" ht="11.45" customHeight="1" x14ac:dyDescent="0.2">
      <c r="A21" s="80" t="s">
        <v>279</v>
      </c>
      <c r="B21" s="81" t="s">
        <v>280</v>
      </c>
      <c r="C21" s="82">
        <v>12</v>
      </c>
      <c r="D21" s="83">
        <v>8</v>
      </c>
      <c r="E21" s="22"/>
      <c r="F21" s="23"/>
      <c r="G21" s="23"/>
      <c r="H21" s="23"/>
      <c r="I21" s="23"/>
      <c r="J21" s="23"/>
      <c r="K21" s="23"/>
      <c r="L21" s="23"/>
      <c r="M21" s="23"/>
      <c r="N21" s="24"/>
      <c r="O21" s="25"/>
      <c r="P21" s="44"/>
    </row>
    <row r="22" spans="1:16" s="47" customFormat="1" ht="11.45" customHeight="1" x14ac:dyDescent="0.2">
      <c r="A22" s="80" t="s">
        <v>281</v>
      </c>
      <c r="B22" s="81" t="s">
        <v>282</v>
      </c>
      <c r="C22" s="82">
        <v>15</v>
      </c>
      <c r="D22" s="83">
        <v>9</v>
      </c>
      <c r="E22" s="22"/>
      <c r="F22" s="23"/>
      <c r="G22" s="23"/>
      <c r="H22" s="23"/>
      <c r="I22" s="23"/>
      <c r="J22" s="23"/>
      <c r="K22" s="23"/>
      <c r="L22" s="23"/>
      <c r="M22" s="23"/>
      <c r="N22" s="24"/>
      <c r="O22" s="25"/>
      <c r="P22" s="44"/>
    </row>
    <row r="23" spans="1:16" s="47" customFormat="1" ht="11.45" customHeight="1" x14ac:dyDescent="0.2">
      <c r="A23" s="80" t="s">
        <v>283</v>
      </c>
      <c r="B23" s="81" t="s">
        <v>284</v>
      </c>
      <c r="C23" s="82">
        <v>7</v>
      </c>
      <c r="D23" s="83">
        <v>10</v>
      </c>
      <c r="E23" s="22"/>
      <c r="F23" s="23"/>
      <c r="G23" s="23"/>
      <c r="H23" s="23"/>
      <c r="I23" s="23"/>
      <c r="J23" s="23"/>
      <c r="K23" s="23"/>
      <c r="L23" s="23"/>
      <c r="M23" s="23"/>
      <c r="N23" s="24"/>
      <c r="O23" s="25"/>
      <c r="P23" s="44"/>
    </row>
    <row r="24" spans="1:16" s="47" customFormat="1" ht="11.45" customHeight="1" x14ac:dyDescent="0.2">
      <c r="A24" s="80" t="s">
        <v>285</v>
      </c>
      <c r="B24" s="81" t="s">
        <v>286</v>
      </c>
      <c r="C24" s="82">
        <v>8</v>
      </c>
      <c r="D24" s="83">
        <v>11</v>
      </c>
      <c r="E24" s="22"/>
      <c r="F24" s="23"/>
      <c r="G24" s="23"/>
      <c r="H24" s="23"/>
      <c r="I24" s="23"/>
      <c r="J24" s="23"/>
      <c r="K24" s="23"/>
      <c r="L24" s="23"/>
      <c r="M24" s="23"/>
      <c r="N24" s="24"/>
      <c r="O24" s="25"/>
      <c r="P24" s="44"/>
    </row>
    <row r="25" spans="1:16" s="47" customFormat="1" ht="11.45" customHeight="1" x14ac:dyDescent="0.2">
      <c r="A25" s="80" t="s">
        <v>287</v>
      </c>
      <c r="B25" s="81" t="s">
        <v>288</v>
      </c>
      <c r="C25" s="82">
        <v>4</v>
      </c>
      <c r="D25" s="83">
        <v>12</v>
      </c>
      <c r="E25" s="22"/>
      <c r="F25" s="23"/>
      <c r="G25" s="23"/>
      <c r="H25" s="23"/>
      <c r="I25" s="23"/>
      <c r="J25" s="23"/>
      <c r="K25" s="23"/>
      <c r="L25" s="23"/>
      <c r="M25" s="23"/>
      <c r="N25" s="24"/>
      <c r="O25" s="25"/>
      <c r="P25" s="44"/>
    </row>
    <row r="26" spans="1:16" s="47" customFormat="1" ht="11.45" customHeight="1" x14ac:dyDescent="0.2">
      <c r="A26" s="80" t="s">
        <v>289</v>
      </c>
      <c r="B26" s="81" t="s">
        <v>290</v>
      </c>
      <c r="C26" s="82">
        <v>10</v>
      </c>
      <c r="D26" s="83">
        <v>13</v>
      </c>
      <c r="E26" s="22"/>
      <c r="F26" s="23"/>
      <c r="G26" s="23"/>
      <c r="H26" s="23"/>
      <c r="I26" s="23"/>
      <c r="J26" s="23"/>
      <c r="K26" s="23"/>
      <c r="L26" s="23"/>
      <c r="M26" s="23"/>
      <c r="N26" s="24"/>
      <c r="O26" s="25"/>
      <c r="P26" s="44"/>
    </row>
    <row r="27" spans="1:16" s="47" customFormat="1" ht="11.45" customHeight="1" x14ac:dyDescent="0.2">
      <c r="A27" s="80" t="s">
        <v>291</v>
      </c>
      <c r="B27" s="81" t="s">
        <v>292</v>
      </c>
      <c r="C27" s="82">
        <v>2</v>
      </c>
      <c r="D27" s="83">
        <v>14</v>
      </c>
      <c r="E27" s="22"/>
      <c r="F27" s="23"/>
      <c r="G27" s="23"/>
      <c r="H27" s="23"/>
      <c r="I27" s="23"/>
      <c r="J27" s="23"/>
      <c r="K27" s="23"/>
      <c r="L27" s="23"/>
      <c r="M27" s="23"/>
      <c r="N27" s="24"/>
      <c r="O27" s="25"/>
      <c r="P27" s="44"/>
    </row>
    <row r="28" spans="1:16" s="47" customFormat="1" ht="11.45" customHeight="1" x14ac:dyDescent="0.2">
      <c r="A28" s="80" t="s">
        <v>293</v>
      </c>
      <c r="B28" s="81" t="s">
        <v>294</v>
      </c>
      <c r="C28" s="82">
        <v>5</v>
      </c>
      <c r="D28" s="83">
        <v>15</v>
      </c>
      <c r="E28" s="22"/>
      <c r="F28" s="23"/>
      <c r="G28" s="23"/>
      <c r="H28" s="23"/>
      <c r="I28" s="23"/>
      <c r="J28" s="23"/>
      <c r="K28" s="23"/>
      <c r="L28" s="23"/>
      <c r="M28" s="23"/>
      <c r="N28" s="24"/>
      <c r="O28" s="25"/>
      <c r="P28" s="44"/>
    </row>
    <row r="29" spans="1:16" s="47" customFormat="1" ht="11.45" customHeight="1" x14ac:dyDescent="0.2">
      <c r="A29" s="80" t="s">
        <v>295</v>
      </c>
      <c r="B29" s="81" t="s">
        <v>296</v>
      </c>
      <c r="C29" s="82">
        <v>11</v>
      </c>
      <c r="D29" s="83">
        <v>16</v>
      </c>
      <c r="E29" s="22"/>
      <c r="F29" s="23"/>
      <c r="G29" s="23"/>
      <c r="H29" s="23"/>
      <c r="I29" s="23"/>
      <c r="J29" s="23"/>
      <c r="K29" s="23"/>
      <c r="L29" s="23"/>
      <c r="M29" s="23"/>
      <c r="N29" s="24"/>
      <c r="O29" s="25"/>
      <c r="P29" s="44"/>
    </row>
    <row r="30" spans="1:16" s="47" customFormat="1" ht="11.45" customHeight="1" x14ac:dyDescent="0.2">
      <c r="A30" s="91"/>
      <c r="B30" s="92"/>
      <c r="C30" s="50"/>
      <c r="D30" s="55" t="str">
        <f>CHAR(132)</f>
        <v>„</v>
      </c>
      <c r="E30" s="87"/>
      <c r="F30" s="88"/>
      <c r="G30" s="88"/>
      <c r="H30" s="88"/>
      <c r="I30" s="88"/>
      <c r="J30" s="88"/>
      <c r="K30" s="88"/>
      <c r="L30" s="88"/>
      <c r="M30" s="88"/>
      <c r="N30" s="89"/>
      <c r="O30" s="90"/>
      <c r="P30" s="44"/>
    </row>
    <row r="31" spans="1:16" s="47" customFormat="1" ht="11.45" customHeight="1" x14ac:dyDescent="0.2">
      <c r="A31" s="403" t="s">
        <v>35</v>
      </c>
      <c r="B31" s="404"/>
      <c r="C31" s="232" t="s">
        <v>135</v>
      </c>
      <c r="D31" s="233" t="s">
        <v>183</v>
      </c>
      <c r="E31" s="45">
        <f t="shared" ref="E31:O31" si="2">SUM(E32:E33)</f>
        <v>0</v>
      </c>
      <c r="F31" s="46">
        <f t="shared" si="2"/>
        <v>0</v>
      </c>
      <c r="G31" s="46">
        <f t="shared" si="2"/>
        <v>0</v>
      </c>
      <c r="H31" s="46">
        <f t="shared" si="2"/>
        <v>0</v>
      </c>
      <c r="I31" s="46">
        <f t="shared" si="2"/>
        <v>0</v>
      </c>
      <c r="J31" s="46">
        <f t="shared" si="2"/>
        <v>0</v>
      </c>
      <c r="K31" s="46">
        <f t="shared" si="2"/>
        <v>0</v>
      </c>
      <c r="L31" s="46">
        <f t="shared" si="2"/>
        <v>0</v>
      </c>
      <c r="M31" s="46">
        <f t="shared" si="2"/>
        <v>0</v>
      </c>
      <c r="N31" s="18">
        <f t="shared" si="2"/>
        <v>0</v>
      </c>
      <c r="O31" s="93">
        <f t="shared" si="2"/>
        <v>0</v>
      </c>
      <c r="P31" s="44"/>
    </row>
    <row r="32" spans="1:16" s="47" customFormat="1" ht="11.45" customHeight="1" x14ac:dyDescent="0.2">
      <c r="A32" s="94" t="s">
        <v>141</v>
      </c>
      <c r="B32" s="49" t="s">
        <v>141</v>
      </c>
      <c r="C32" s="50" t="s">
        <v>141</v>
      </c>
      <c r="D32" s="51">
        <v>1</v>
      </c>
      <c r="E32" s="1"/>
      <c r="F32" s="2"/>
      <c r="G32" s="2"/>
      <c r="H32" s="2"/>
      <c r="I32" s="2"/>
      <c r="J32" s="2"/>
      <c r="K32" s="2"/>
      <c r="L32" s="2"/>
      <c r="M32" s="2"/>
      <c r="N32" s="3"/>
      <c r="O32" s="21"/>
      <c r="P32" s="44"/>
    </row>
    <row r="33" spans="1:16" s="47" customFormat="1" ht="11.45" customHeight="1" x14ac:dyDescent="0.2">
      <c r="A33" s="95"/>
      <c r="B33" s="57"/>
      <c r="C33" s="50"/>
      <c r="D33" s="55" t="str">
        <f>CHAR(132)</f>
        <v>„</v>
      </c>
      <c r="E33" s="52"/>
      <c r="F33" s="53"/>
      <c r="G33" s="53"/>
      <c r="H33" s="53"/>
      <c r="I33" s="53"/>
      <c r="J33" s="53"/>
      <c r="K33" s="53"/>
      <c r="L33" s="53"/>
      <c r="M33" s="53"/>
      <c r="N33" s="84"/>
      <c r="O33" s="85"/>
      <c r="P33" s="44"/>
    </row>
    <row r="34" spans="1:16" s="47" customFormat="1" ht="11.45" customHeight="1" x14ac:dyDescent="0.2">
      <c r="A34" s="403" t="s">
        <v>36</v>
      </c>
      <c r="B34" s="404"/>
      <c r="C34" s="232" t="s">
        <v>136</v>
      </c>
      <c r="D34" s="233" t="s">
        <v>184</v>
      </c>
      <c r="E34" s="59">
        <f t="shared" ref="E34:O34" si="3">SUM(E35:E36)</f>
        <v>0</v>
      </c>
      <c r="F34" s="54">
        <f t="shared" si="3"/>
        <v>0</v>
      </c>
      <c r="G34" s="54">
        <f t="shared" si="3"/>
        <v>0</v>
      </c>
      <c r="H34" s="54">
        <f t="shared" si="3"/>
        <v>0</v>
      </c>
      <c r="I34" s="54">
        <f t="shared" si="3"/>
        <v>0</v>
      </c>
      <c r="J34" s="54">
        <f t="shared" si="3"/>
        <v>0</v>
      </c>
      <c r="K34" s="54">
        <f t="shared" si="3"/>
        <v>0</v>
      </c>
      <c r="L34" s="54">
        <f t="shared" si="3"/>
        <v>0</v>
      </c>
      <c r="M34" s="54">
        <f t="shared" si="3"/>
        <v>0</v>
      </c>
      <c r="N34" s="96">
        <f t="shared" si="3"/>
        <v>0</v>
      </c>
      <c r="O34" s="97">
        <f t="shared" si="3"/>
        <v>0</v>
      </c>
      <c r="P34" s="44"/>
    </row>
    <row r="35" spans="1:16" s="47" customFormat="1" ht="11.45" customHeight="1" x14ac:dyDescent="0.2">
      <c r="A35" s="94" t="s">
        <v>141</v>
      </c>
      <c r="B35" s="49" t="s">
        <v>141</v>
      </c>
      <c r="C35" s="50" t="s">
        <v>141</v>
      </c>
      <c r="D35" s="51">
        <v>1</v>
      </c>
      <c r="E35" s="1"/>
      <c r="F35" s="2"/>
      <c r="G35" s="2"/>
      <c r="H35" s="2"/>
      <c r="I35" s="2"/>
      <c r="J35" s="2"/>
      <c r="K35" s="2"/>
      <c r="L35" s="2"/>
      <c r="M35" s="2"/>
      <c r="N35" s="3"/>
      <c r="O35" s="21"/>
      <c r="P35" s="44"/>
    </row>
    <row r="36" spans="1:16" s="47" customFormat="1" ht="11.45" customHeight="1" x14ac:dyDescent="0.2">
      <c r="A36" s="95"/>
      <c r="B36" s="57"/>
      <c r="C36" s="50"/>
      <c r="D36" s="55" t="str">
        <f>CHAR(132)</f>
        <v>„</v>
      </c>
      <c r="E36" s="52"/>
      <c r="F36" s="53"/>
      <c r="G36" s="53"/>
      <c r="H36" s="53"/>
      <c r="I36" s="53"/>
      <c r="J36" s="53"/>
      <c r="K36" s="53"/>
      <c r="L36" s="53"/>
      <c r="M36" s="53"/>
      <c r="N36" s="84"/>
      <c r="O36" s="85"/>
      <c r="P36" s="44"/>
    </row>
    <row r="37" spans="1:16" s="47" customFormat="1" ht="11.45" customHeight="1" x14ac:dyDescent="0.2">
      <c r="A37" s="369" t="s">
        <v>37</v>
      </c>
      <c r="B37" s="370"/>
      <c r="C37" s="371" t="s">
        <v>138</v>
      </c>
      <c r="D37" s="372"/>
      <c r="E37" s="59">
        <f t="shared" ref="E37:O37" si="4">SUM(E10,E13,E31,E34)</f>
        <v>0</v>
      </c>
      <c r="F37" s="54">
        <f t="shared" si="4"/>
        <v>0</v>
      </c>
      <c r="G37" s="54">
        <f t="shared" si="4"/>
        <v>0</v>
      </c>
      <c r="H37" s="54">
        <f t="shared" si="4"/>
        <v>0</v>
      </c>
      <c r="I37" s="54">
        <f t="shared" si="4"/>
        <v>0</v>
      </c>
      <c r="J37" s="54">
        <f t="shared" si="4"/>
        <v>0</v>
      </c>
      <c r="K37" s="54">
        <f t="shared" si="4"/>
        <v>0</v>
      </c>
      <c r="L37" s="54">
        <f t="shared" si="4"/>
        <v>0</v>
      </c>
      <c r="M37" s="54">
        <f t="shared" si="4"/>
        <v>0</v>
      </c>
      <c r="N37" s="96">
        <f t="shared" si="4"/>
        <v>0</v>
      </c>
      <c r="O37" s="97">
        <f t="shared" si="4"/>
        <v>0</v>
      </c>
      <c r="P37" s="44"/>
    </row>
    <row r="38" spans="1:16" s="47" customFormat="1" ht="11.45" customHeight="1" x14ac:dyDescent="0.2">
      <c r="A38" s="367" t="s">
        <v>38</v>
      </c>
      <c r="B38" s="368"/>
      <c r="C38" s="230" t="s">
        <v>137</v>
      </c>
      <c r="D38" s="231" t="s">
        <v>185</v>
      </c>
      <c r="E38" s="45">
        <f t="shared" ref="E38:O38" si="5">SUM(E39:E40)</f>
        <v>0</v>
      </c>
      <c r="F38" s="46">
        <f t="shared" si="5"/>
        <v>0</v>
      </c>
      <c r="G38" s="46">
        <f t="shared" si="5"/>
        <v>0</v>
      </c>
      <c r="H38" s="46">
        <f t="shared" si="5"/>
        <v>0</v>
      </c>
      <c r="I38" s="46">
        <f t="shared" si="5"/>
        <v>0</v>
      </c>
      <c r="J38" s="46">
        <f t="shared" si="5"/>
        <v>0</v>
      </c>
      <c r="K38" s="46">
        <f t="shared" si="5"/>
        <v>0</v>
      </c>
      <c r="L38" s="46">
        <f t="shared" si="5"/>
        <v>0</v>
      </c>
      <c r="M38" s="46">
        <f t="shared" si="5"/>
        <v>0</v>
      </c>
      <c r="N38" s="18">
        <f t="shared" si="5"/>
        <v>0</v>
      </c>
      <c r="O38" s="93">
        <f t="shared" si="5"/>
        <v>0</v>
      </c>
      <c r="P38" s="44"/>
    </row>
    <row r="39" spans="1:16" s="47" customFormat="1" ht="11.45" customHeight="1" x14ac:dyDescent="0.2">
      <c r="A39" s="80" t="s">
        <v>141</v>
      </c>
      <c r="B39" s="81" t="s">
        <v>141</v>
      </c>
      <c r="C39" s="82" t="s">
        <v>141</v>
      </c>
      <c r="D39" s="83">
        <v>1</v>
      </c>
      <c r="E39" s="1"/>
      <c r="F39" s="2"/>
      <c r="G39" s="2"/>
      <c r="H39" s="2"/>
      <c r="I39" s="2"/>
      <c r="J39" s="2"/>
      <c r="K39" s="2"/>
      <c r="L39" s="2"/>
      <c r="M39" s="2"/>
      <c r="N39" s="3"/>
      <c r="O39" s="21"/>
      <c r="P39" s="44"/>
    </row>
    <row r="40" spans="1:16" s="47" customFormat="1" ht="11.45" customHeight="1" x14ac:dyDescent="0.2">
      <c r="A40" s="49"/>
      <c r="B40" s="49"/>
      <c r="C40" s="50"/>
      <c r="D40" s="55" t="str">
        <f>CHAR(132)</f>
        <v>„</v>
      </c>
      <c r="E40" s="52"/>
      <c r="F40" s="53"/>
      <c r="G40" s="53"/>
      <c r="H40" s="53"/>
      <c r="I40" s="53"/>
      <c r="J40" s="53"/>
      <c r="K40" s="53"/>
      <c r="L40" s="53"/>
      <c r="M40" s="53"/>
      <c r="N40" s="84"/>
      <c r="O40" s="85"/>
      <c r="P40" s="44"/>
    </row>
    <row r="41" spans="1:16" s="47" customFormat="1" ht="11.45" customHeight="1" thickBot="1" x14ac:dyDescent="0.25">
      <c r="A41" s="363" t="s">
        <v>21</v>
      </c>
      <c r="B41" s="364"/>
      <c r="C41" s="365" t="s">
        <v>139</v>
      </c>
      <c r="D41" s="366"/>
      <c r="E41" s="98">
        <f>SUM(E37,E38)</f>
        <v>0</v>
      </c>
      <c r="F41" s="62">
        <f t="shared" ref="F41:O41" si="6">SUM(F37,F38)</f>
        <v>0</v>
      </c>
      <c r="G41" s="62">
        <f t="shared" si="6"/>
        <v>0</v>
      </c>
      <c r="H41" s="62">
        <f t="shared" si="6"/>
        <v>0</v>
      </c>
      <c r="I41" s="62">
        <f t="shared" si="6"/>
        <v>0</v>
      </c>
      <c r="J41" s="62">
        <f t="shared" si="6"/>
        <v>0</v>
      </c>
      <c r="K41" s="62">
        <f t="shared" si="6"/>
        <v>0</v>
      </c>
      <c r="L41" s="62">
        <f t="shared" si="6"/>
        <v>0</v>
      </c>
      <c r="M41" s="62">
        <f t="shared" si="6"/>
        <v>0</v>
      </c>
      <c r="N41" s="20">
        <f t="shared" si="6"/>
        <v>0</v>
      </c>
      <c r="O41" s="99">
        <f t="shared" si="6"/>
        <v>0</v>
      </c>
      <c r="P41" s="44"/>
    </row>
    <row r="42" spans="1:16" ht="12" thickTop="1" x14ac:dyDescent="0.2">
      <c r="A42" s="100" t="s">
        <v>186</v>
      </c>
      <c r="D42" s="100" t="s">
        <v>186</v>
      </c>
    </row>
    <row r="44" spans="1:16" ht="12.75" x14ac:dyDescent="0.2">
      <c r="A44" s="64" t="s">
        <v>218</v>
      </c>
    </row>
  </sheetData>
  <sheetProtection algorithmName="SHA-512" hashValue="CFFCvtVbgcoge/cthV2+svevpZw9kiDN8mSat0Gsoz1DLE2eDzHml1IO4IuaUK/k/u9pwkLQiCjnN+UXi55MjQ==" saltValue="hbjHPY3KIEqNvy01CEDpDA==" spinCount="100000" sheet="1" objects="1" scenarios="1" selectLockedCells="1"/>
  <mergeCells count="23">
    <mergeCell ref="A6:B6"/>
    <mergeCell ref="A41:B41"/>
    <mergeCell ref="A37:B37"/>
    <mergeCell ref="A38:B38"/>
    <mergeCell ref="A7:A9"/>
    <mergeCell ref="B7:B9"/>
    <mergeCell ref="A13:B13"/>
    <mergeCell ref="C41:D41"/>
    <mergeCell ref="C37:D37"/>
    <mergeCell ref="I7:K7"/>
    <mergeCell ref="A10:B10"/>
    <mergeCell ref="A34:B34"/>
    <mergeCell ref="A31:B31"/>
    <mergeCell ref="O7:O8"/>
    <mergeCell ref="C6:C9"/>
    <mergeCell ref="D6:D9"/>
    <mergeCell ref="I6:O6"/>
    <mergeCell ref="E7:G7"/>
    <mergeCell ref="M7:M8"/>
    <mergeCell ref="N7:N8"/>
    <mergeCell ref="E6:H6"/>
    <mergeCell ref="H7:H8"/>
    <mergeCell ref="L7:L8"/>
  </mergeCells>
  <phoneticPr fontId="0" type="noConversion"/>
  <dataValidations count="6">
    <dataValidation type="decimal" operator="greaterThanOrEqual" allowBlank="1" showInputMessage="1" showErrorMessage="1" error="Invalid input." sqref="E39:G40 E32:G36 E14:G30 E11:G12">
      <formula1>0</formula1>
    </dataValidation>
    <dataValidation type="decimal" operator="greaterThanOrEqual" allowBlank="1" showErrorMessage="1" error="Invalid input." sqref="I39:K40 M39:M40 I32:K36 M32:M36 M14:M30 I14:K30 M11:M12 I11:K12">
      <formula1>0</formula1>
    </dataValidation>
    <dataValidation type="decimal" allowBlank="1" showInputMessage="1" showErrorMessage="1" error="Invalid Input." sqref="N39:O40 N32:O36 N14:O30 N11:O12">
      <formula1>-999999999999999</formula1>
      <formula2>999999999999999</formula2>
    </dataValidation>
    <dataValidation type="decimal" operator="greaterThan" allowBlank="1" showErrorMessage="1" error="Invalid input." sqref="H39:H40 H32:H36 H14:H30 H11:H12">
      <formula1>-999999999999999000</formula1>
    </dataValidation>
    <dataValidation type="decimal" operator="greaterThanOrEqual" allowBlank="1" showErrorMessage="1" error="Invalid input." sqref="L39:L40 L32:L36 L14:L30 L11:L12">
      <formula1>-999999999999999000</formula1>
    </dataValidation>
    <dataValidation allowBlank="1" showInputMessage="1" showErrorMessage="1" sqref="A39:C39 A34:C36 C14:C29 A11:C11"/>
  </dataValidations>
  <pageMargins left="0.25" right="0.25" top="1" bottom="0.5" header="0.5" footer="0.5"/>
  <pageSetup paperSize="9" scale="75" orientation="landscape" r:id="rId1"/>
  <headerFooter alignWithMargins="0">
    <oddHeader>&amp;C&amp;"Arial,Bold"&amp;8 NEW RB OF SAN LEONARDO(N.E.) INC  [ 04-040656 ]
 As of: September 30, 2017</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sheetPr>
  <dimension ref="A1:P44"/>
  <sheetViews>
    <sheetView zoomScaleNormal="100" zoomScaleSheetLayoutView="100" workbookViewId="0">
      <pane xSplit="4" ySplit="9" topLeftCell="E10" activePane="bottomRight" state="frozen"/>
      <selection activeCell="I29" sqref="I29"/>
      <selection pane="topRight" activeCell="I29" sqref="I29"/>
      <selection pane="bottomLeft" activeCell="I29" sqref="I29"/>
      <selection pane="bottomRight" activeCell="E14" sqref="E14"/>
    </sheetView>
  </sheetViews>
  <sheetFormatPr defaultRowHeight="11.25" x14ac:dyDescent="0.2"/>
  <cols>
    <col min="1" max="2" width="25.5703125" style="42" customWidth="1"/>
    <col min="3" max="3" width="7.5703125" style="42" customWidth="1"/>
    <col min="4" max="4" width="6.5703125" style="42" customWidth="1"/>
    <col min="5" max="14" width="17.7109375" style="42" customWidth="1"/>
    <col min="15" max="15" width="17.42578125" style="42" customWidth="1"/>
    <col min="16" max="16" width="9.140625" style="41" hidden="1" customWidth="1"/>
    <col min="17" max="16384" width="9.140625" style="42"/>
  </cols>
  <sheetData>
    <row r="1" spans="1:16" x14ac:dyDescent="0.2">
      <c r="A1" s="39" t="s">
        <v>188</v>
      </c>
      <c r="B1" s="40"/>
      <c r="C1" s="40"/>
      <c r="D1" s="40"/>
      <c r="E1" s="40"/>
      <c r="F1" s="40"/>
      <c r="G1" s="40"/>
      <c r="H1" s="40"/>
      <c r="I1" s="40"/>
      <c r="J1" s="40"/>
      <c r="K1" s="40"/>
      <c r="L1" s="40"/>
      <c r="M1" s="40"/>
      <c r="N1" s="40"/>
      <c r="O1" s="40"/>
    </row>
    <row r="2" spans="1:16" ht="11.25" hidden="1" customHeight="1" x14ac:dyDescent="0.2">
      <c r="A2" s="39"/>
      <c r="B2" s="40"/>
      <c r="C2" s="40"/>
      <c r="D2" s="40"/>
      <c r="E2" s="40"/>
      <c r="F2" s="40"/>
      <c r="G2" s="40"/>
      <c r="H2" s="40"/>
      <c r="I2" s="40"/>
      <c r="J2" s="40"/>
      <c r="K2" s="40"/>
      <c r="L2" s="40"/>
      <c r="M2" s="40"/>
      <c r="N2" s="40"/>
      <c r="O2" s="40"/>
    </row>
    <row r="3" spans="1:16" ht="11.25" hidden="1" customHeight="1" x14ac:dyDescent="0.2">
      <c r="A3" s="43"/>
      <c r="B3" s="40"/>
      <c r="C3" s="40"/>
      <c r="D3" s="40"/>
      <c r="E3" s="40"/>
      <c r="F3" s="40"/>
      <c r="G3" s="40"/>
      <c r="H3" s="40"/>
      <c r="I3" s="40"/>
      <c r="J3" s="40"/>
      <c r="K3" s="40"/>
      <c r="L3" s="40"/>
      <c r="M3" s="40"/>
      <c r="N3" s="40"/>
      <c r="O3" s="40"/>
    </row>
    <row r="4" spans="1:16" ht="11.25" hidden="1" customHeight="1" x14ac:dyDescent="0.2">
      <c r="A4" s="40"/>
      <c r="B4" s="40"/>
      <c r="C4" s="40"/>
      <c r="D4" s="40"/>
      <c r="E4" s="40"/>
      <c r="F4" s="40"/>
      <c r="G4" s="40"/>
      <c r="H4" s="40"/>
      <c r="I4" s="40"/>
      <c r="J4" s="40"/>
      <c r="K4" s="40"/>
      <c r="L4" s="40"/>
      <c r="M4" s="40"/>
      <c r="N4" s="40"/>
      <c r="O4" s="40"/>
    </row>
    <row r="5" spans="1:16" ht="12" thickBot="1" x14ac:dyDescent="0.25">
      <c r="A5" s="40"/>
      <c r="B5" s="40"/>
      <c r="C5" s="40"/>
      <c r="D5" s="40"/>
      <c r="E5" s="40"/>
      <c r="F5" s="40"/>
      <c r="G5" s="40"/>
      <c r="H5" s="40"/>
      <c r="I5" s="40"/>
      <c r="J5" s="40"/>
      <c r="K5" s="40"/>
      <c r="L5" s="40"/>
      <c r="M5" s="40"/>
      <c r="N5" s="40"/>
      <c r="O5" s="40"/>
    </row>
    <row r="6" spans="1:16" ht="12" customHeight="1" thickTop="1" x14ac:dyDescent="0.2">
      <c r="A6" s="389" t="s">
        <v>194</v>
      </c>
      <c r="B6" s="390"/>
      <c r="C6" s="387" t="s">
        <v>29</v>
      </c>
      <c r="D6" s="385" t="s">
        <v>30</v>
      </c>
      <c r="E6" s="378" t="s">
        <v>63</v>
      </c>
      <c r="F6" s="379"/>
      <c r="G6" s="379"/>
      <c r="H6" s="379"/>
      <c r="I6" s="380"/>
      <c r="J6" s="405" t="s">
        <v>23</v>
      </c>
      <c r="K6" s="405" t="s">
        <v>190</v>
      </c>
      <c r="L6" s="378" t="s">
        <v>64</v>
      </c>
      <c r="M6" s="379"/>
      <c r="N6" s="379"/>
      <c r="O6" s="380"/>
    </row>
    <row r="7" spans="1:16" ht="26.25" customHeight="1" x14ac:dyDescent="0.2">
      <c r="A7" s="393" t="s">
        <v>27</v>
      </c>
      <c r="B7" s="391" t="s">
        <v>28</v>
      </c>
      <c r="C7" s="388"/>
      <c r="D7" s="386"/>
      <c r="E7" s="400" t="s">
        <v>19</v>
      </c>
      <c r="F7" s="400" t="s">
        <v>256</v>
      </c>
      <c r="G7" s="407" t="s">
        <v>255</v>
      </c>
      <c r="H7" s="408"/>
      <c r="I7" s="402" t="s">
        <v>14</v>
      </c>
      <c r="J7" s="406"/>
      <c r="K7" s="406"/>
      <c r="L7" s="400" t="s">
        <v>20</v>
      </c>
      <c r="M7" s="401"/>
      <c r="N7" s="401" t="s">
        <v>24</v>
      </c>
      <c r="O7" s="402"/>
    </row>
    <row r="8" spans="1:16" ht="22.5" x14ac:dyDescent="0.2">
      <c r="A8" s="393"/>
      <c r="B8" s="391"/>
      <c r="C8" s="388"/>
      <c r="D8" s="386"/>
      <c r="E8" s="400"/>
      <c r="F8" s="407"/>
      <c r="G8" s="361" t="s">
        <v>257</v>
      </c>
      <c r="H8" s="362" t="s">
        <v>258</v>
      </c>
      <c r="I8" s="402"/>
      <c r="J8" s="406"/>
      <c r="K8" s="406"/>
      <c r="L8" s="69" t="s">
        <v>18</v>
      </c>
      <c r="M8" s="70" t="s">
        <v>65</v>
      </c>
      <c r="N8" s="70" t="s">
        <v>18</v>
      </c>
      <c r="O8" s="101" t="s">
        <v>65</v>
      </c>
    </row>
    <row r="9" spans="1:16" ht="18" customHeight="1" thickBot="1" x14ac:dyDescent="0.25">
      <c r="A9" s="394"/>
      <c r="B9" s="392"/>
      <c r="C9" s="388"/>
      <c r="D9" s="386"/>
      <c r="E9" s="207" t="s">
        <v>8</v>
      </c>
      <c r="F9" s="74" t="s">
        <v>8</v>
      </c>
      <c r="G9" s="74" t="s">
        <v>8</v>
      </c>
      <c r="H9" s="74" t="s">
        <v>8</v>
      </c>
      <c r="I9" s="73" t="s">
        <v>8</v>
      </c>
      <c r="J9" s="208" t="s">
        <v>8</v>
      </c>
      <c r="K9" s="208" t="s">
        <v>8</v>
      </c>
      <c r="L9" s="71" t="s">
        <v>66</v>
      </c>
      <c r="M9" s="72" t="s">
        <v>67</v>
      </c>
      <c r="N9" s="72" t="s">
        <v>68</v>
      </c>
      <c r="O9" s="206" t="s">
        <v>69</v>
      </c>
      <c r="P9" s="44" t="s">
        <v>132</v>
      </c>
    </row>
    <row r="10" spans="1:16" s="47" customFormat="1" ht="11.45" customHeight="1" x14ac:dyDescent="0.2">
      <c r="A10" s="395" t="s">
        <v>34</v>
      </c>
      <c r="B10" s="396"/>
      <c r="C10" s="228" t="s">
        <v>133</v>
      </c>
      <c r="D10" s="234" t="s">
        <v>181</v>
      </c>
      <c r="E10" s="76">
        <f t="shared" ref="E10:O10" si="0">SUM(E11:E12)</f>
        <v>0</v>
      </c>
      <c r="F10" s="77">
        <f t="shared" si="0"/>
        <v>0</v>
      </c>
      <c r="G10" s="77">
        <f t="shared" si="0"/>
        <v>0</v>
      </c>
      <c r="H10" s="77">
        <f t="shared" si="0"/>
        <v>0</v>
      </c>
      <c r="I10" s="77">
        <f t="shared" si="0"/>
        <v>0</v>
      </c>
      <c r="J10" s="77">
        <f t="shared" si="0"/>
        <v>0</v>
      </c>
      <c r="K10" s="209">
        <f t="shared" si="0"/>
        <v>0</v>
      </c>
      <c r="L10" s="77">
        <f t="shared" si="0"/>
        <v>0</v>
      </c>
      <c r="M10" s="77">
        <f t="shared" si="0"/>
        <v>0</v>
      </c>
      <c r="N10" s="77">
        <f t="shared" si="0"/>
        <v>0</v>
      </c>
      <c r="O10" s="79">
        <f t="shared" si="0"/>
        <v>0</v>
      </c>
      <c r="P10" s="44" t="s">
        <v>131</v>
      </c>
    </row>
    <row r="11" spans="1:16" s="47" customFormat="1" ht="11.45" customHeight="1" x14ac:dyDescent="0.2">
      <c r="A11" s="94" t="s">
        <v>141</v>
      </c>
      <c r="B11" s="49" t="s">
        <v>141</v>
      </c>
      <c r="C11" s="50" t="s">
        <v>141</v>
      </c>
      <c r="D11" s="215">
        <v>1</v>
      </c>
      <c r="E11" s="213"/>
      <c r="F11" s="6"/>
      <c r="G11" s="6"/>
      <c r="H11" s="6"/>
      <c r="I11" s="54">
        <f>SUM(E11:H11)</f>
        <v>0</v>
      </c>
      <c r="J11" s="6"/>
      <c r="K11" s="58">
        <f>SUM(I11,-J11)</f>
        <v>0</v>
      </c>
      <c r="L11" s="6"/>
      <c r="M11" s="6"/>
      <c r="N11" s="6"/>
      <c r="O11" s="210"/>
      <c r="P11" s="44"/>
    </row>
    <row r="12" spans="1:16" s="47" customFormat="1" ht="11.45" customHeight="1" x14ac:dyDescent="0.2">
      <c r="A12" s="211"/>
      <c r="B12" s="49"/>
      <c r="C12" s="50"/>
      <c r="D12" s="216" t="str">
        <f>CHAR(132)</f>
        <v>„</v>
      </c>
      <c r="E12" s="214"/>
      <c r="F12" s="29"/>
      <c r="G12" s="29"/>
      <c r="H12" s="29"/>
      <c r="I12" s="54"/>
      <c r="J12" s="29"/>
      <c r="K12" s="58"/>
      <c r="L12" s="29"/>
      <c r="M12" s="29"/>
      <c r="N12" s="29"/>
      <c r="O12" s="212"/>
      <c r="P12" s="44"/>
    </row>
    <row r="13" spans="1:16" s="47" customFormat="1" ht="11.45" customHeight="1" x14ac:dyDescent="0.2">
      <c r="A13" s="367" t="s">
        <v>221</v>
      </c>
      <c r="B13" s="368"/>
      <c r="C13" s="230" t="s">
        <v>134</v>
      </c>
      <c r="D13" s="235" t="s">
        <v>182</v>
      </c>
      <c r="E13" s="45">
        <f t="shared" ref="E13:O13" si="1">SUM(E14:E30)</f>
        <v>0</v>
      </c>
      <c r="F13" s="45">
        <f t="shared" si="1"/>
        <v>0</v>
      </c>
      <c r="G13" s="45">
        <f t="shared" si="1"/>
        <v>0</v>
      </c>
      <c r="H13" s="45">
        <f t="shared" si="1"/>
        <v>0</v>
      </c>
      <c r="I13" s="54">
        <f t="shared" si="1"/>
        <v>0</v>
      </c>
      <c r="J13" s="45">
        <f t="shared" si="1"/>
        <v>0</v>
      </c>
      <c r="K13" s="103">
        <f t="shared" si="1"/>
        <v>0</v>
      </c>
      <c r="L13" s="45">
        <f t="shared" si="1"/>
        <v>0</v>
      </c>
      <c r="M13" s="45">
        <f t="shared" si="1"/>
        <v>0</v>
      </c>
      <c r="N13" s="54">
        <f t="shared" si="1"/>
        <v>0</v>
      </c>
      <c r="O13" s="97">
        <f t="shared" si="1"/>
        <v>0</v>
      </c>
      <c r="P13" s="44"/>
    </row>
    <row r="14" spans="1:16" s="47" customFormat="1" ht="11.45" customHeight="1" x14ac:dyDescent="0.2">
      <c r="A14" s="94" t="s">
        <v>265</v>
      </c>
      <c r="B14" s="49" t="s">
        <v>266</v>
      </c>
      <c r="C14" s="50">
        <v>0</v>
      </c>
      <c r="D14" s="215">
        <v>1</v>
      </c>
      <c r="E14" s="213"/>
      <c r="F14" s="6"/>
      <c r="G14" s="6"/>
      <c r="H14" s="6"/>
      <c r="I14" s="54">
        <f>SUM(E14:H14)</f>
        <v>0</v>
      </c>
      <c r="J14" s="6"/>
      <c r="K14" s="58">
        <f>SUM(I14,-J14)</f>
        <v>0</v>
      </c>
      <c r="L14" s="6"/>
      <c r="M14" s="6"/>
      <c r="N14" s="6"/>
      <c r="O14" s="210"/>
      <c r="P14" s="44"/>
    </row>
    <row r="15" spans="1:16" s="47" customFormat="1" ht="11.45" customHeight="1" x14ac:dyDescent="0.2">
      <c r="A15" s="94" t="s">
        <v>267</v>
      </c>
      <c r="B15" s="49" t="s">
        <v>268</v>
      </c>
      <c r="C15" s="50">
        <v>13</v>
      </c>
      <c r="D15" s="215">
        <v>2</v>
      </c>
      <c r="E15" s="213"/>
      <c r="F15" s="6"/>
      <c r="G15" s="6"/>
      <c r="H15" s="6"/>
      <c r="I15" s="54">
        <f>SUM(E15:H15)</f>
        <v>0</v>
      </c>
      <c r="J15" s="6"/>
      <c r="K15" s="58">
        <f>SUM(I15,-J15)</f>
        <v>0</v>
      </c>
      <c r="L15" s="6"/>
      <c r="M15" s="6"/>
      <c r="N15" s="6"/>
      <c r="O15" s="210"/>
      <c r="P15" s="44"/>
    </row>
    <row r="16" spans="1:16" s="47" customFormat="1" ht="11.45" customHeight="1" x14ac:dyDescent="0.2">
      <c r="A16" s="94" t="s">
        <v>269</v>
      </c>
      <c r="B16" s="49" t="s">
        <v>270</v>
      </c>
      <c r="C16" s="50">
        <v>9</v>
      </c>
      <c r="D16" s="215">
        <v>3</v>
      </c>
      <c r="E16" s="213"/>
      <c r="F16" s="6"/>
      <c r="G16" s="6"/>
      <c r="H16" s="6"/>
      <c r="I16" s="54">
        <f>SUM(E16:H16)</f>
        <v>0</v>
      </c>
      <c r="J16" s="6"/>
      <c r="K16" s="58">
        <f>SUM(I16,-J16)</f>
        <v>0</v>
      </c>
      <c r="L16" s="6"/>
      <c r="M16" s="6"/>
      <c r="N16" s="6"/>
      <c r="O16" s="210"/>
      <c r="P16" s="44"/>
    </row>
    <row r="17" spans="1:16" s="47" customFormat="1" ht="11.45" customHeight="1" x14ac:dyDescent="0.2">
      <c r="A17" s="94" t="s">
        <v>271</v>
      </c>
      <c r="B17" s="49" t="s">
        <v>272</v>
      </c>
      <c r="C17" s="50">
        <v>14</v>
      </c>
      <c r="D17" s="215">
        <v>4</v>
      </c>
      <c r="E17" s="213"/>
      <c r="F17" s="6"/>
      <c r="G17" s="6"/>
      <c r="H17" s="6"/>
      <c r="I17" s="54">
        <f>SUM(E17:H17)</f>
        <v>0</v>
      </c>
      <c r="J17" s="6"/>
      <c r="K17" s="58">
        <f>SUM(I17,-J17)</f>
        <v>0</v>
      </c>
      <c r="L17" s="6"/>
      <c r="M17" s="6"/>
      <c r="N17" s="6"/>
      <c r="O17" s="210"/>
      <c r="P17" s="44"/>
    </row>
    <row r="18" spans="1:16" s="47" customFormat="1" ht="11.45" customHeight="1" x14ac:dyDescent="0.2">
      <c r="A18" s="94" t="s">
        <v>273</v>
      </c>
      <c r="B18" s="49" t="s">
        <v>274</v>
      </c>
      <c r="C18" s="50">
        <v>6</v>
      </c>
      <c r="D18" s="215">
        <v>5</v>
      </c>
      <c r="E18" s="213"/>
      <c r="F18" s="6"/>
      <c r="G18" s="6"/>
      <c r="H18" s="6"/>
      <c r="I18" s="54">
        <f>SUM(E18:H18)</f>
        <v>0</v>
      </c>
      <c r="J18" s="6"/>
      <c r="K18" s="58">
        <f>SUM(I18,-J18)</f>
        <v>0</v>
      </c>
      <c r="L18" s="6"/>
      <c r="M18" s="6"/>
      <c r="N18" s="6"/>
      <c r="O18" s="210"/>
      <c r="P18" s="44"/>
    </row>
    <row r="19" spans="1:16" s="47" customFormat="1" ht="11.45" customHeight="1" x14ac:dyDescent="0.2">
      <c r="A19" s="94" t="s">
        <v>275</v>
      </c>
      <c r="B19" s="49" t="s">
        <v>276</v>
      </c>
      <c r="C19" s="50">
        <v>1</v>
      </c>
      <c r="D19" s="215">
        <v>6</v>
      </c>
      <c r="E19" s="213"/>
      <c r="F19" s="6"/>
      <c r="G19" s="6"/>
      <c r="H19" s="6"/>
      <c r="I19" s="54">
        <f>SUM(E19:H19)</f>
        <v>0</v>
      </c>
      <c r="J19" s="6"/>
      <c r="K19" s="58">
        <f>SUM(I19,-J19)</f>
        <v>0</v>
      </c>
      <c r="L19" s="6"/>
      <c r="M19" s="6"/>
      <c r="N19" s="6"/>
      <c r="O19" s="210"/>
      <c r="P19" s="44"/>
    </row>
    <row r="20" spans="1:16" s="47" customFormat="1" ht="11.45" customHeight="1" x14ac:dyDescent="0.2">
      <c r="A20" s="94" t="s">
        <v>277</v>
      </c>
      <c r="B20" s="49" t="s">
        <v>278</v>
      </c>
      <c r="C20" s="50">
        <v>3</v>
      </c>
      <c r="D20" s="215">
        <v>7</v>
      </c>
      <c r="E20" s="213"/>
      <c r="F20" s="6"/>
      <c r="G20" s="6"/>
      <c r="H20" s="6"/>
      <c r="I20" s="54">
        <f>SUM(E20:H20)</f>
        <v>0</v>
      </c>
      <c r="J20" s="6"/>
      <c r="K20" s="58">
        <f>SUM(I20,-J20)</f>
        <v>0</v>
      </c>
      <c r="L20" s="6"/>
      <c r="M20" s="6"/>
      <c r="N20" s="6"/>
      <c r="O20" s="210"/>
      <c r="P20" s="44"/>
    </row>
    <row r="21" spans="1:16" s="47" customFormat="1" ht="11.45" customHeight="1" x14ac:dyDescent="0.2">
      <c r="A21" s="94" t="s">
        <v>279</v>
      </c>
      <c r="B21" s="49" t="s">
        <v>280</v>
      </c>
      <c r="C21" s="50">
        <v>12</v>
      </c>
      <c r="D21" s="215">
        <v>8</v>
      </c>
      <c r="E21" s="213"/>
      <c r="F21" s="6"/>
      <c r="G21" s="6"/>
      <c r="H21" s="6"/>
      <c r="I21" s="54">
        <f>SUM(E21:H21)</f>
        <v>0</v>
      </c>
      <c r="J21" s="6"/>
      <c r="K21" s="58">
        <f>SUM(I21,-J21)</f>
        <v>0</v>
      </c>
      <c r="L21" s="6"/>
      <c r="M21" s="6"/>
      <c r="N21" s="6"/>
      <c r="O21" s="210"/>
      <c r="P21" s="44"/>
    </row>
    <row r="22" spans="1:16" s="47" customFormat="1" ht="11.45" customHeight="1" x14ac:dyDescent="0.2">
      <c r="A22" s="94" t="s">
        <v>281</v>
      </c>
      <c r="B22" s="49" t="s">
        <v>282</v>
      </c>
      <c r="C22" s="50">
        <v>15</v>
      </c>
      <c r="D22" s="215">
        <v>9</v>
      </c>
      <c r="E22" s="213"/>
      <c r="F22" s="6"/>
      <c r="G22" s="6"/>
      <c r="H22" s="6"/>
      <c r="I22" s="54">
        <f>SUM(E22:H22)</f>
        <v>0</v>
      </c>
      <c r="J22" s="6"/>
      <c r="K22" s="58">
        <f>SUM(I22,-J22)</f>
        <v>0</v>
      </c>
      <c r="L22" s="6"/>
      <c r="M22" s="6"/>
      <c r="N22" s="6"/>
      <c r="O22" s="210"/>
      <c r="P22" s="44"/>
    </row>
    <row r="23" spans="1:16" s="47" customFormat="1" ht="11.45" customHeight="1" x14ac:dyDescent="0.2">
      <c r="A23" s="94" t="s">
        <v>283</v>
      </c>
      <c r="B23" s="49" t="s">
        <v>284</v>
      </c>
      <c r="C23" s="50">
        <v>7</v>
      </c>
      <c r="D23" s="215">
        <v>10</v>
      </c>
      <c r="E23" s="213"/>
      <c r="F23" s="6"/>
      <c r="G23" s="6"/>
      <c r="H23" s="6"/>
      <c r="I23" s="54">
        <f>SUM(E23:H23)</f>
        <v>0</v>
      </c>
      <c r="J23" s="6"/>
      <c r="K23" s="58">
        <f>SUM(I23,-J23)</f>
        <v>0</v>
      </c>
      <c r="L23" s="6"/>
      <c r="M23" s="6"/>
      <c r="N23" s="6"/>
      <c r="O23" s="210"/>
      <c r="P23" s="44"/>
    </row>
    <row r="24" spans="1:16" s="47" customFormat="1" ht="11.45" customHeight="1" x14ac:dyDescent="0.2">
      <c r="A24" s="94" t="s">
        <v>285</v>
      </c>
      <c r="B24" s="49" t="s">
        <v>286</v>
      </c>
      <c r="C24" s="50">
        <v>8</v>
      </c>
      <c r="D24" s="215">
        <v>11</v>
      </c>
      <c r="E24" s="213"/>
      <c r="F24" s="6"/>
      <c r="G24" s="6"/>
      <c r="H24" s="6"/>
      <c r="I24" s="54">
        <f>SUM(E24:H24)</f>
        <v>0</v>
      </c>
      <c r="J24" s="6"/>
      <c r="K24" s="58">
        <f>SUM(I24,-J24)</f>
        <v>0</v>
      </c>
      <c r="L24" s="6"/>
      <c r="M24" s="6"/>
      <c r="N24" s="6"/>
      <c r="O24" s="210"/>
      <c r="P24" s="44"/>
    </row>
    <row r="25" spans="1:16" s="47" customFormat="1" ht="11.45" customHeight="1" x14ac:dyDescent="0.2">
      <c r="A25" s="94" t="s">
        <v>287</v>
      </c>
      <c r="B25" s="49" t="s">
        <v>288</v>
      </c>
      <c r="C25" s="50">
        <v>4</v>
      </c>
      <c r="D25" s="215">
        <v>12</v>
      </c>
      <c r="E25" s="213"/>
      <c r="F25" s="6"/>
      <c r="G25" s="6"/>
      <c r="H25" s="6"/>
      <c r="I25" s="54">
        <f>SUM(E25:H25)</f>
        <v>0</v>
      </c>
      <c r="J25" s="6"/>
      <c r="K25" s="58">
        <f>SUM(I25,-J25)</f>
        <v>0</v>
      </c>
      <c r="L25" s="6"/>
      <c r="M25" s="6"/>
      <c r="N25" s="6"/>
      <c r="O25" s="210"/>
      <c r="P25" s="44"/>
    </row>
    <row r="26" spans="1:16" s="47" customFormat="1" ht="11.45" customHeight="1" x14ac:dyDescent="0.2">
      <c r="A26" s="94" t="s">
        <v>289</v>
      </c>
      <c r="B26" s="49" t="s">
        <v>290</v>
      </c>
      <c r="C26" s="50">
        <v>10</v>
      </c>
      <c r="D26" s="215">
        <v>13</v>
      </c>
      <c r="E26" s="213"/>
      <c r="F26" s="6"/>
      <c r="G26" s="6"/>
      <c r="H26" s="6"/>
      <c r="I26" s="54">
        <f>SUM(E26:H26)</f>
        <v>0</v>
      </c>
      <c r="J26" s="6"/>
      <c r="K26" s="58">
        <f>SUM(I26,-J26)</f>
        <v>0</v>
      </c>
      <c r="L26" s="6"/>
      <c r="M26" s="6"/>
      <c r="N26" s="6"/>
      <c r="O26" s="210"/>
      <c r="P26" s="44"/>
    </row>
    <row r="27" spans="1:16" s="47" customFormat="1" ht="11.45" customHeight="1" x14ac:dyDescent="0.2">
      <c r="A27" s="94" t="s">
        <v>291</v>
      </c>
      <c r="B27" s="49" t="s">
        <v>292</v>
      </c>
      <c r="C27" s="50">
        <v>2</v>
      </c>
      <c r="D27" s="215">
        <v>14</v>
      </c>
      <c r="E27" s="213"/>
      <c r="F27" s="6"/>
      <c r="G27" s="6"/>
      <c r="H27" s="6"/>
      <c r="I27" s="54">
        <f>SUM(E27:H27)</f>
        <v>0</v>
      </c>
      <c r="J27" s="6"/>
      <c r="K27" s="58">
        <f>SUM(I27,-J27)</f>
        <v>0</v>
      </c>
      <c r="L27" s="6"/>
      <c r="M27" s="6"/>
      <c r="N27" s="6"/>
      <c r="O27" s="210"/>
      <c r="P27" s="44"/>
    </row>
    <row r="28" spans="1:16" s="47" customFormat="1" ht="11.45" customHeight="1" x14ac:dyDescent="0.2">
      <c r="A28" s="94" t="s">
        <v>293</v>
      </c>
      <c r="B28" s="49" t="s">
        <v>294</v>
      </c>
      <c r="C28" s="50">
        <v>5</v>
      </c>
      <c r="D28" s="215">
        <v>15</v>
      </c>
      <c r="E28" s="213"/>
      <c r="F28" s="6"/>
      <c r="G28" s="6"/>
      <c r="H28" s="6"/>
      <c r="I28" s="54">
        <f>SUM(E28:H28)</f>
        <v>0</v>
      </c>
      <c r="J28" s="6"/>
      <c r="K28" s="58">
        <f>SUM(I28,-J28)</f>
        <v>0</v>
      </c>
      <c r="L28" s="6"/>
      <c r="M28" s="6"/>
      <c r="N28" s="6"/>
      <c r="O28" s="210"/>
      <c r="P28" s="44"/>
    </row>
    <row r="29" spans="1:16" s="47" customFormat="1" ht="11.45" customHeight="1" x14ac:dyDescent="0.2">
      <c r="A29" s="94" t="s">
        <v>295</v>
      </c>
      <c r="B29" s="49" t="s">
        <v>296</v>
      </c>
      <c r="C29" s="50">
        <v>11</v>
      </c>
      <c r="D29" s="215">
        <v>16</v>
      </c>
      <c r="E29" s="213"/>
      <c r="F29" s="6"/>
      <c r="G29" s="6"/>
      <c r="H29" s="6"/>
      <c r="I29" s="54">
        <f>SUM(E29:H29)</f>
        <v>0</v>
      </c>
      <c r="J29" s="6"/>
      <c r="K29" s="58">
        <f>SUM(I29,-J29)</f>
        <v>0</v>
      </c>
      <c r="L29" s="6"/>
      <c r="M29" s="6"/>
      <c r="N29" s="6"/>
      <c r="O29" s="210"/>
      <c r="P29" s="44"/>
    </row>
    <row r="30" spans="1:16" s="47" customFormat="1" ht="11.45" customHeight="1" x14ac:dyDescent="0.2">
      <c r="A30" s="94"/>
      <c r="B30" s="49"/>
      <c r="C30" s="50"/>
      <c r="D30" s="216" t="str">
        <f>CHAR(132)</f>
        <v>„</v>
      </c>
      <c r="E30" s="214"/>
      <c r="F30" s="29"/>
      <c r="G30" s="29"/>
      <c r="H30" s="29"/>
      <c r="I30" s="54"/>
      <c r="J30" s="29"/>
      <c r="K30" s="58"/>
      <c r="L30" s="29"/>
      <c r="M30" s="29"/>
      <c r="N30" s="29"/>
      <c r="O30" s="212"/>
      <c r="P30" s="44"/>
    </row>
    <row r="31" spans="1:16" s="47" customFormat="1" ht="11.45" customHeight="1" x14ac:dyDescent="0.2">
      <c r="A31" s="367" t="s">
        <v>35</v>
      </c>
      <c r="B31" s="368"/>
      <c r="C31" s="230" t="s">
        <v>135</v>
      </c>
      <c r="D31" s="235" t="s">
        <v>183</v>
      </c>
      <c r="E31" s="45">
        <f t="shared" ref="E31:O31" si="2">SUM(E32:E33)</f>
        <v>0</v>
      </c>
      <c r="F31" s="45">
        <f t="shared" si="2"/>
        <v>0</v>
      </c>
      <c r="G31" s="45">
        <f t="shared" si="2"/>
        <v>0</v>
      </c>
      <c r="H31" s="45">
        <f t="shared" si="2"/>
        <v>0</v>
      </c>
      <c r="I31" s="54">
        <f t="shared" si="2"/>
        <v>0</v>
      </c>
      <c r="J31" s="45">
        <f t="shared" si="2"/>
        <v>0</v>
      </c>
      <c r="K31" s="103">
        <f t="shared" si="2"/>
        <v>0</v>
      </c>
      <c r="L31" s="45">
        <f t="shared" si="2"/>
        <v>0</v>
      </c>
      <c r="M31" s="45">
        <f t="shared" si="2"/>
        <v>0</v>
      </c>
      <c r="N31" s="54">
        <f t="shared" si="2"/>
        <v>0</v>
      </c>
      <c r="O31" s="97">
        <f t="shared" si="2"/>
        <v>0</v>
      </c>
      <c r="P31" s="44"/>
    </row>
    <row r="32" spans="1:16" s="47" customFormat="1" ht="11.45" customHeight="1" x14ac:dyDescent="0.2">
      <c r="A32" s="94" t="s">
        <v>141</v>
      </c>
      <c r="B32" s="49" t="s">
        <v>141</v>
      </c>
      <c r="C32" s="50" t="s">
        <v>141</v>
      </c>
      <c r="D32" s="215">
        <v>1</v>
      </c>
      <c r="E32" s="213"/>
      <c r="F32" s="6"/>
      <c r="G32" s="6"/>
      <c r="H32" s="6"/>
      <c r="I32" s="54">
        <f>SUM(E32:H32)</f>
        <v>0</v>
      </c>
      <c r="J32" s="6"/>
      <c r="K32" s="58">
        <f>SUM(I32,-J32)</f>
        <v>0</v>
      </c>
      <c r="L32" s="6"/>
      <c r="M32" s="6"/>
      <c r="N32" s="6"/>
      <c r="O32" s="210"/>
      <c r="P32" s="44"/>
    </row>
    <row r="33" spans="1:16" s="47" customFormat="1" ht="11.45" customHeight="1" x14ac:dyDescent="0.2">
      <c r="A33" s="95"/>
      <c r="B33" s="57"/>
      <c r="C33" s="50"/>
      <c r="D33" s="216" t="str">
        <f>CHAR(132)</f>
        <v>„</v>
      </c>
      <c r="E33" s="214"/>
      <c r="F33" s="29"/>
      <c r="G33" s="29"/>
      <c r="H33" s="29"/>
      <c r="I33" s="54"/>
      <c r="J33" s="29"/>
      <c r="K33" s="58"/>
      <c r="L33" s="29"/>
      <c r="M33" s="29"/>
      <c r="N33" s="29"/>
      <c r="O33" s="212"/>
      <c r="P33" s="44"/>
    </row>
    <row r="34" spans="1:16" s="47" customFormat="1" ht="11.45" customHeight="1" x14ac:dyDescent="0.2">
      <c r="A34" s="367" t="s">
        <v>36</v>
      </c>
      <c r="B34" s="368"/>
      <c r="C34" s="230" t="s">
        <v>136</v>
      </c>
      <c r="D34" s="235" t="s">
        <v>184</v>
      </c>
      <c r="E34" s="59">
        <f t="shared" ref="E34:O34" si="3">SUM(E35:E36)</f>
        <v>0</v>
      </c>
      <c r="F34" s="54">
        <f t="shared" si="3"/>
        <v>0</v>
      </c>
      <c r="G34" s="54">
        <f t="shared" si="3"/>
        <v>0</v>
      </c>
      <c r="H34" s="54">
        <f t="shared" si="3"/>
        <v>0</v>
      </c>
      <c r="I34" s="54">
        <f t="shared" si="3"/>
        <v>0</v>
      </c>
      <c r="J34" s="54">
        <f t="shared" si="3"/>
        <v>0</v>
      </c>
      <c r="K34" s="58">
        <f t="shared" si="3"/>
        <v>0</v>
      </c>
      <c r="L34" s="54">
        <f t="shared" si="3"/>
        <v>0</v>
      </c>
      <c r="M34" s="54">
        <f t="shared" si="3"/>
        <v>0</v>
      </c>
      <c r="N34" s="54">
        <f t="shared" si="3"/>
        <v>0</v>
      </c>
      <c r="O34" s="97">
        <f t="shared" si="3"/>
        <v>0</v>
      </c>
      <c r="P34" s="44"/>
    </row>
    <row r="35" spans="1:16" s="47" customFormat="1" ht="11.45" customHeight="1" x14ac:dyDescent="0.2">
      <c r="A35" s="94" t="s">
        <v>141</v>
      </c>
      <c r="B35" s="49" t="s">
        <v>141</v>
      </c>
      <c r="C35" s="50" t="s">
        <v>141</v>
      </c>
      <c r="D35" s="215">
        <v>1</v>
      </c>
      <c r="E35" s="22"/>
      <c r="F35" s="22"/>
      <c r="G35" s="22"/>
      <c r="H35" s="22"/>
      <c r="I35" s="205">
        <f>SUM(E35:H35)</f>
        <v>0</v>
      </c>
      <c r="J35" s="22"/>
      <c r="K35" s="205">
        <f>SUM(I35,-J35)</f>
        <v>0</v>
      </c>
      <c r="L35" s="22"/>
      <c r="M35" s="22"/>
      <c r="N35" s="2"/>
      <c r="O35" s="21"/>
      <c r="P35" s="44"/>
    </row>
    <row r="36" spans="1:16" s="47" customFormat="1" ht="11.45" customHeight="1" x14ac:dyDescent="0.2">
      <c r="A36" s="95"/>
      <c r="B36" s="57"/>
      <c r="C36" s="50"/>
      <c r="D36" s="216" t="str">
        <f>CHAR(132)</f>
        <v>„</v>
      </c>
      <c r="E36" s="87"/>
      <c r="F36" s="87"/>
      <c r="G36" s="87"/>
      <c r="H36" s="87"/>
      <c r="I36" s="204"/>
      <c r="J36" s="87"/>
      <c r="K36" s="204"/>
      <c r="L36" s="87"/>
      <c r="M36" s="87"/>
      <c r="N36" s="53"/>
      <c r="O36" s="85"/>
      <c r="P36" s="44"/>
    </row>
    <row r="37" spans="1:16" s="47" customFormat="1" ht="11.45" customHeight="1" x14ac:dyDescent="0.2">
      <c r="A37" s="369" t="s">
        <v>37</v>
      </c>
      <c r="B37" s="370"/>
      <c r="C37" s="371" t="s">
        <v>138</v>
      </c>
      <c r="D37" s="410"/>
      <c r="E37" s="45">
        <f t="shared" ref="E37:O37" si="4">SUM(E10,E13,E31,E34)</f>
        <v>0</v>
      </c>
      <c r="F37" s="45">
        <f t="shared" si="4"/>
        <v>0</v>
      </c>
      <c r="G37" s="45">
        <f t="shared" si="4"/>
        <v>0</v>
      </c>
      <c r="H37" s="45">
        <f t="shared" si="4"/>
        <v>0</v>
      </c>
      <c r="I37" s="45">
        <f t="shared" si="4"/>
        <v>0</v>
      </c>
      <c r="J37" s="45">
        <f t="shared" si="4"/>
        <v>0</v>
      </c>
      <c r="K37" s="103">
        <f t="shared" si="4"/>
        <v>0</v>
      </c>
      <c r="L37" s="45">
        <f t="shared" si="4"/>
        <v>0</v>
      </c>
      <c r="M37" s="45">
        <f t="shared" si="4"/>
        <v>0</v>
      </c>
      <c r="N37" s="54">
        <f t="shared" si="4"/>
        <v>0</v>
      </c>
      <c r="O37" s="97">
        <f t="shared" si="4"/>
        <v>0</v>
      </c>
      <c r="P37" s="44"/>
    </row>
    <row r="38" spans="1:16" s="47" customFormat="1" ht="11.45" customHeight="1" x14ac:dyDescent="0.2">
      <c r="A38" s="367" t="s">
        <v>38</v>
      </c>
      <c r="B38" s="368"/>
      <c r="C38" s="230" t="s">
        <v>137</v>
      </c>
      <c r="D38" s="235" t="s">
        <v>185</v>
      </c>
      <c r="E38" s="45">
        <f t="shared" ref="E38:O38" si="5">SUM(E39:E40)</f>
        <v>0</v>
      </c>
      <c r="F38" s="45">
        <f t="shared" si="5"/>
        <v>0</v>
      </c>
      <c r="G38" s="45">
        <f t="shared" si="5"/>
        <v>0</v>
      </c>
      <c r="H38" s="45">
        <f t="shared" si="5"/>
        <v>0</v>
      </c>
      <c r="I38" s="45">
        <f t="shared" si="5"/>
        <v>0</v>
      </c>
      <c r="J38" s="45">
        <f t="shared" si="5"/>
        <v>0</v>
      </c>
      <c r="K38" s="103">
        <f t="shared" si="5"/>
        <v>0</v>
      </c>
      <c r="L38" s="45">
        <f t="shared" si="5"/>
        <v>0</v>
      </c>
      <c r="M38" s="45">
        <f t="shared" si="5"/>
        <v>0</v>
      </c>
      <c r="N38" s="54">
        <f t="shared" si="5"/>
        <v>0</v>
      </c>
      <c r="O38" s="97">
        <f t="shared" si="5"/>
        <v>0</v>
      </c>
      <c r="P38" s="44"/>
    </row>
    <row r="39" spans="1:16" s="47" customFormat="1" ht="11.45" customHeight="1" x14ac:dyDescent="0.2">
      <c r="A39" s="94" t="s">
        <v>141</v>
      </c>
      <c r="B39" s="49" t="s">
        <v>141</v>
      </c>
      <c r="C39" s="50" t="s">
        <v>141</v>
      </c>
      <c r="D39" s="215">
        <v>1</v>
      </c>
      <c r="E39" s="213"/>
      <c r="F39" s="6"/>
      <c r="G39" s="6"/>
      <c r="H39" s="6"/>
      <c r="I39" s="54">
        <f>SUM(E39:H39)</f>
        <v>0</v>
      </c>
      <c r="J39" s="6"/>
      <c r="K39" s="58">
        <f>SUM(I39,-J39)</f>
        <v>0</v>
      </c>
      <c r="L39" s="6"/>
      <c r="M39" s="6"/>
      <c r="N39" s="6"/>
      <c r="O39" s="210"/>
      <c r="P39" s="44"/>
    </row>
    <row r="40" spans="1:16" s="47" customFormat="1" ht="11.45" customHeight="1" x14ac:dyDescent="0.2">
      <c r="A40" s="95"/>
      <c r="B40" s="57"/>
      <c r="C40" s="50"/>
      <c r="D40" s="216" t="str">
        <f>CHAR(132)</f>
        <v>„</v>
      </c>
      <c r="E40" s="105"/>
      <c r="F40" s="105"/>
      <c r="G40" s="105"/>
      <c r="H40" s="105"/>
      <c r="I40" s="45"/>
      <c r="J40" s="105"/>
      <c r="K40" s="103"/>
      <c r="L40" s="105"/>
      <c r="M40" s="105"/>
      <c r="N40" s="29"/>
      <c r="O40" s="212"/>
      <c r="P40" s="44"/>
    </row>
    <row r="41" spans="1:16" ht="11.45" customHeight="1" thickBot="1" x14ac:dyDescent="0.25">
      <c r="A41" s="363" t="s">
        <v>21</v>
      </c>
      <c r="B41" s="364"/>
      <c r="C41" s="365" t="s">
        <v>139</v>
      </c>
      <c r="D41" s="409"/>
      <c r="E41" s="98">
        <f>SUM(E37,E38)</f>
        <v>0</v>
      </c>
      <c r="F41" s="98">
        <f t="shared" ref="F41:O41" si="6">SUM(F37,F38)</f>
        <v>0</v>
      </c>
      <c r="G41" s="98">
        <f t="shared" si="6"/>
        <v>0</v>
      </c>
      <c r="H41" s="98">
        <f t="shared" si="6"/>
        <v>0</v>
      </c>
      <c r="I41" s="98">
        <f t="shared" si="6"/>
        <v>0</v>
      </c>
      <c r="J41" s="98">
        <f t="shared" si="6"/>
        <v>0</v>
      </c>
      <c r="K41" s="60">
        <f t="shared" si="6"/>
        <v>0</v>
      </c>
      <c r="L41" s="98">
        <f t="shared" si="6"/>
        <v>0</v>
      </c>
      <c r="M41" s="98">
        <f t="shared" si="6"/>
        <v>0</v>
      </c>
      <c r="N41" s="62">
        <f t="shared" si="6"/>
        <v>0</v>
      </c>
      <c r="O41" s="99">
        <f t="shared" si="6"/>
        <v>0</v>
      </c>
    </row>
    <row r="42" spans="1:16" ht="12" thickTop="1" x14ac:dyDescent="0.2">
      <c r="A42" s="100" t="s">
        <v>186</v>
      </c>
      <c r="D42" s="100" t="s">
        <v>186</v>
      </c>
    </row>
    <row r="44" spans="1:16" ht="12.75" x14ac:dyDescent="0.2">
      <c r="A44" s="64" t="s">
        <v>218</v>
      </c>
    </row>
  </sheetData>
  <sheetProtection algorithmName="SHA-512" hashValue="jOaNflyZuKCftDF6HeK0taHBB7eNFmwC50+AAMW0KrRk1pC5uf6wNvvVUJH43CpycsCke7/rJKHBERSvh8m6cg==" saltValue="jnb6qwZN3YAtCY1QXTfxiA==" spinCount="100000" sheet="1" objects="1" scenarios="1" selectLockedCells="1"/>
  <mergeCells count="24">
    <mergeCell ref="A41:B41"/>
    <mergeCell ref="C41:D41"/>
    <mergeCell ref="A37:B37"/>
    <mergeCell ref="C37:D37"/>
    <mergeCell ref="A13:B13"/>
    <mergeCell ref="A31:B31"/>
    <mergeCell ref="A38:B38"/>
    <mergeCell ref="D6:D9"/>
    <mergeCell ref="A6:B6"/>
    <mergeCell ref="B7:B9"/>
    <mergeCell ref="F7:F8"/>
    <mergeCell ref="G7:H7"/>
    <mergeCell ref="A7:A9"/>
    <mergeCell ref="C6:C9"/>
    <mergeCell ref="A10:B10"/>
    <mergeCell ref="A34:B34"/>
    <mergeCell ref="K6:K8"/>
    <mergeCell ref="L6:O6"/>
    <mergeCell ref="L7:M7"/>
    <mergeCell ref="I7:I8"/>
    <mergeCell ref="E6:I6"/>
    <mergeCell ref="J6:J8"/>
    <mergeCell ref="E7:E8"/>
    <mergeCell ref="N7:O7"/>
  </mergeCells>
  <phoneticPr fontId="0" type="noConversion"/>
  <dataValidations count="2">
    <dataValidation allowBlank="1" showInputMessage="1" showErrorMessage="1" sqref="D44 B45 A39:C39 A34:C34 C14:C29 A11:C11"/>
    <dataValidation type="decimal" operator="greaterThanOrEqual" allowBlank="1" showInputMessage="1" showErrorMessage="1" error="Invalid Input." sqref="E39:O40 J32:O36 E32:H36 I10:I36 E14:H30 J14:O30 E11:H12 J11:O12">
      <formula1>0</formula1>
    </dataValidation>
  </dataValidations>
  <pageMargins left="0.25" right="0.25" top="1" bottom="0.5" header="0.5" footer="0.5"/>
  <pageSetup paperSize="9" scale="75" orientation="landscape" r:id="rId1"/>
  <headerFooter alignWithMargins="0">
    <oddHeader>&amp;C&amp;"Arial,Bold"&amp;8 NEW RB OF SAN LEONARDO(N.E.) INC  [ 04-040656 ]
 As of: September 30, 2017</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AC44"/>
  <sheetViews>
    <sheetView zoomScaleNormal="100" zoomScaleSheetLayoutView="100" workbookViewId="0">
      <pane xSplit="4" ySplit="9" topLeftCell="E10" activePane="bottomRight" state="frozen"/>
      <selection activeCell="I29" sqref="I29"/>
      <selection pane="topRight" activeCell="I29" sqref="I29"/>
      <selection pane="bottomLeft" activeCell="I29" sqref="I29"/>
      <selection pane="bottomRight" activeCell="F11" sqref="F11"/>
    </sheetView>
  </sheetViews>
  <sheetFormatPr defaultRowHeight="11.25" x14ac:dyDescent="0.2"/>
  <cols>
    <col min="1" max="2" width="25.5703125" style="42" customWidth="1"/>
    <col min="3" max="3" width="7.140625" style="42" customWidth="1"/>
    <col min="4" max="4" width="6.5703125" style="42" customWidth="1"/>
    <col min="5" max="5" width="10.7109375" style="42" customWidth="1"/>
    <col min="6" max="6" width="25.7109375" style="42" customWidth="1"/>
    <col min="7" max="7" width="10.7109375" style="42" customWidth="1"/>
    <col min="8" max="8" width="25.7109375" style="42" customWidth="1"/>
    <col min="9" max="9" width="10.7109375" style="42" customWidth="1"/>
    <col min="10" max="10" width="25.7109375" style="42" customWidth="1"/>
    <col min="11" max="11" width="10.7109375" style="42" customWidth="1"/>
    <col min="12" max="12" width="25.7109375" style="42" customWidth="1"/>
    <col min="13" max="13" width="10.7109375" style="42" customWidth="1"/>
    <col min="14" max="14" width="25.7109375" style="42" customWidth="1"/>
    <col min="15" max="15" width="4.5703125" style="42" hidden="1" customWidth="1"/>
    <col min="16" max="16" width="25.7109375" style="42" customWidth="1"/>
    <col min="17" max="17" width="10.7109375" style="42" customWidth="1"/>
    <col min="18" max="18" width="25.7109375" style="42" customWidth="1"/>
    <col min="19" max="19" width="10.7109375" style="42" customWidth="1"/>
    <col min="20" max="20" width="25.7109375" style="42" customWidth="1"/>
    <col min="21" max="21" width="10.7109375" style="42" customWidth="1"/>
    <col min="22" max="22" width="25.7109375" style="42" customWidth="1"/>
    <col min="23" max="23" width="10.7109375" style="42" customWidth="1"/>
    <col min="24" max="24" width="25.7109375" style="42" customWidth="1"/>
    <col min="25" max="25" width="10.7109375" style="42" customWidth="1"/>
    <col min="26" max="26" width="25.7109375" style="42" customWidth="1"/>
    <col min="27" max="27" width="1.85546875" style="42" hidden="1" customWidth="1"/>
    <col min="28" max="28" width="25.7109375" style="42" customWidth="1"/>
    <col min="29" max="29" width="9.140625" style="41" hidden="1" customWidth="1"/>
    <col min="30" max="16384" width="9.140625" style="42"/>
  </cols>
  <sheetData>
    <row r="1" spans="1:29" x14ac:dyDescent="0.2">
      <c r="A1" s="39" t="s">
        <v>70</v>
      </c>
      <c r="B1" s="40"/>
      <c r="C1" s="40"/>
      <c r="D1" s="40"/>
      <c r="E1" s="40"/>
      <c r="F1" s="40"/>
      <c r="G1" s="40"/>
      <c r="H1" s="40"/>
      <c r="I1" s="40"/>
      <c r="J1" s="40"/>
      <c r="K1" s="40"/>
      <c r="L1" s="40"/>
      <c r="M1" s="40"/>
      <c r="N1" s="40"/>
      <c r="O1" s="40"/>
      <c r="P1" s="40"/>
      <c r="Q1" s="40"/>
      <c r="R1" s="40"/>
      <c r="S1" s="40"/>
      <c r="T1" s="40"/>
      <c r="U1" s="40"/>
      <c r="V1" s="40"/>
      <c r="W1" s="40"/>
      <c r="X1" s="40"/>
      <c r="Y1" s="40"/>
      <c r="Z1" s="40"/>
      <c r="AA1" s="40"/>
      <c r="AB1" s="40"/>
    </row>
    <row r="2" spans="1:29" hidden="1" x14ac:dyDescent="0.2">
      <c r="A2" s="39"/>
      <c r="B2" s="40"/>
      <c r="C2" s="40"/>
      <c r="D2" s="40"/>
      <c r="E2" s="40"/>
      <c r="F2" s="40"/>
      <c r="G2" s="40"/>
      <c r="H2" s="40"/>
      <c r="I2" s="40"/>
      <c r="J2" s="40"/>
      <c r="K2" s="40"/>
      <c r="L2" s="40"/>
      <c r="M2" s="40"/>
      <c r="N2" s="40"/>
      <c r="O2" s="40"/>
      <c r="P2" s="40"/>
      <c r="Q2" s="40"/>
      <c r="R2" s="40"/>
      <c r="S2" s="40"/>
      <c r="T2" s="40"/>
      <c r="U2" s="40"/>
      <c r="V2" s="40"/>
      <c r="W2" s="40"/>
      <c r="X2" s="40"/>
      <c r="Y2" s="40"/>
      <c r="Z2" s="40"/>
      <c r="AA2" s="40"/>
      <c r="AB2" s="40"/>
    </row>
    <row r="3" spans="1:29" hidden="1" x14ac:dyDescent="0.2">
      <c r="A3" s="43"/>
      <c r="B3" s="40"/>
      <c r="C3" s="40"/>
      <c r="D3" s="40"/>
      <c r="E3" s="40"/>
      <c r="F3" s="40"/>
      <c r="G3" s="40"/>
      <c r="H3" s="40"/>
      <c r="I3" s="40"/>
      <c r="J3" s="40"/>
      <c r="K3" s="40"/>
      <c r="L3" s="40"/>
      <c r="M3" s="40"/>
      <c r="N3" s="40"/>
      <c r="O3" s="40"/>
      <c r="P3" s="40"/>
      <c r="Q3" s="40"/>
      <c r="R3" s="40"/>
      <c r="S3" s="40"/>
      <c r="T3" s="40"/>
      <c r="U3" s="40"/>
      <c r="V3" s="40"/>
      <c r="W3" s="40"/>
      <c r="X3" s="40"/>
      <c r="Y3" s="40"/>
      <c r="Z3" s="40"/>
      <c r="AA3" s="40"/>
      <c r="AB3" s="40"/>
    </row>
    <row r="4" spans="1:29" hidden="1" x14ac:dyDescent="0.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row>
    <row r="5" spans="1:29" ht="12" thickBot="1" x14ac:dyDescent="0.25">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row>
    <row r="6" spans="1:29" ht="12" customHeight="1" x14ac:dyDescent="0.2">
      <c r="A6" s="422" t="s">
        <v>26</v>
      </c>
      <c r="B6" s="423"/>
      <c r="C6" s="424" t="s">
        <v>29</v>
      </c>
      <c r="D6" s="426" t="s">
        <v>30</v>
      </c>
      <c r="E6" s="431" t="s">
        <v>71</v>
      </c>
      <c r="F6" s="432"/>
      <c r="G6" s="432"/>
      <c r="H6" s="432"/>
      <c r="I6" s="432"/>
      <c r="J6" s="432"/>
      <c r="K6" s="432"/>
      <c r="L6" s="432"/>
      <c r="M6" s="432"/>
      <c r="N6" s="432"/>
      <c r="O6" s="433"/>
      <c r="P6" s="435"/>
      <c r="Q6" s="431" t="s">
        <v>79</v>
      </c>
      <c r="R6" s="432"/>
      <c r="S6" s="432"/>
      <c r="T6" s="432"/>
      <c r="U6" s="432"/>
      <c r="V6" s="432"/>
      <c r="W6" s="432"/>
      <c r="X6" s="432"/>
      <c r="Y6" s="432"/>
      <c r="Z6" s="432"/>
      <c r="AA6" s="433"/>
      <c r="AB6" s="434"/>
    </row>
    <row r="7" spans="1:29" x14ac:dyDescent="0.2">
      <c r="A7" s="428" t="s">
        <v>27</v>
      </c>
      <c r="B7" s="391" t="s">
        <v>28</v>
      </c>
      <c r="C7" s="388"/>
      <c r="D7" s="399"/>
      <c r="E7" s="400" t="s">
        <v>72</v>
      </c>
      <c r="F7" s="401"/>
      <c r="G7" s="401" t="s">
        <v>75</v>
      </c>
      <c r="H7" s="401"/>
      <c r="I7" s="401" t="s">
        <v>76</v>
      </c>
      <c r="J7" s="401"/>
      <c r="K7" s="401" t="s">
        <v>77</v>
      </c>
      <c r="L7" s="401"/>
      <c r="M7" s="401" t="s">
        <v>78</v>
      </c>
      <c r="N7" s="401"/>
      <c r="O7" s="15"/>
      <c r="P7" s="419" t="s">
        <v>14</v>
      </c>
      <c r="Q7" s="400" t="s">
        <v>72</v>
      </c>
      <c r="R7" s="401"/>
      <c r="S7" s="401" t="s">
        <v>75</v>
      </c>
      <c r="T7" s="401"/>
      <c r="U7" s="401" t="s">
        <v>76</v>
      </c>
      <c r="V7" s="401"/>
      <c r="W7" s="401" t="s">
        <v>77</v>
      </c>
      <c r="X7" s="401"/>
      <c r="Y7" s="401" t="s">
        <v>78</v>
      </c>
      <c r="Z7" s="401"/>
      <c r="AA7" s="15"/>
      <c r="AB7" s="436" t="s">
        <v>14</v>
      </c>
    </row>
    <row r="8" spans="1:29" x14ac:dyDescent="0.2">
      <c r="A8" s="428"/>
      <c r="B8" s="391"/>
      <c r="C8" s="388"/>
      <c r="D8" s="399"/>
      <c r="E8" s="412" t="s">
        <v>73</v>
      </c>
      <c r="F8" s="416" t="s">
        <v>74</v>
      </c>
      <c r="G8" s="416" t="s">
        <v>73</v>
      </c>
      <c r="H8" s="416" t="s">
        <v>74</v>
      </c>
      <c r="I8" s="416" t="s">
        <v>73</v>
      </c>
      <c r="J8" s="416" t="s">
        <v>74</v>
      </c>
      <c r="K8" s="416" t="s">
        <v>73</v>
      </c>
      <c r="L8" s="416" t="s">
        <v>74</v>
      </c>
      <c r="M8" s="416" t="s">
        <v>73</v>
      </c>
      <c r="N8" s="416" t="s">
        <v>74</v>
      </c>
      <c r="O8" s="16"/>
      <c r="P8" s="420"/>
      <c r="Q8" s="416" t="s">
        <v>73</v>
      </c>
      <c r="R8" s="416" t="s">
        <v>74</v>
      </c>
      <c r="S8" s="416" t="s">
        <v>73</v>
      </c>
      <c r="T8" s="416" t="s">
        <v>74</v>
      </c>
      <c r="U8" s="416" t="s">
        <v>73</v>
      </c>
      <c r="V8" s="416" t="s">
        <v>74</v>
      </c>
      <c r="W8" s="416" t="s">
        <v>73</v>
      </c>
      <c r="X8" s="416" t="s">
        <v>74</v>
      </c>
      <c r="Y8" s="416" t="s">
        <v>73</v>
      </c>
      <c r="Z8" s="416" t="s">
        <v>74</v>
      </c>
      <c r="AA8" s="16"/>
      <c r="AB8" s="437"/>
    </row>
    <row r="9" spans="1:29" ht="12" thickBot="1" x14ac:dyDescent="0.25">
      <c r="A9" s="429"/>
      <c r="B9" s="430"/>
      <c r="C9" s="425"/>
      <c r="D9" s="427"/>
      <c r="E9" s="413"/>
      <c r="F9" s="417"/>
      <c r="G9" s="417"/>
      <c r="H9" s="417"/>
      <c r="I9" s="417"/>
      <c r="J9" s="417"/>
      <c r="K9" s="417"/>
      <c r="L9" s="417"/>
      <c r="M9" s="417"/>
      <c r="N9" s="417"/>
      <c r="O9" s="33"/>
      <c r="P9" s="421"/>
      <c r="Q9" s="417"/>
      <c r="R9" s="417"/>
      <c r="S9" s="417"/>
      <c r="T9" s="417"/>
      <c r="U9" s="417"/>
      <c r="V9" s="417"/>
      <c r="W9" s="417"/>
      <c r="X9" s="417"/>
      <c r="Y9" s="417"/>
      <c r="Z9" s="417"/>
      <c r="AA9" s="33"/>
      <c r="AB9" s="438"/>
      <c r="AC9" s="44" t="s">
        <v>132</v>
      </c>
    </row>
    <row r="10" spans="1:29" s="47" customFormat="1" x14ac:dyDescent="0.2">
      <c r="A10" s="418" t="s">
        <v>34</v>
      </c>
      <c r="B10" s="404"/>
      <c r="C10" s="232" t="s">
        <v>133</v>
      </c>
      <c r="D10" s="233" t="s">
        <v>181</v>
      </c>
      <c r="E10" s="106">
        <f t="shared" ref="E10:N10" si="0">SUM(E11:E12)</f>
        <v>0</v>
      </c>
      <c r="F10" s="46">
        <f t="shared" si="0"/>
        <v>0</v>
      </c>
      <c r="G10" s="107">
        <f t="shared" si="0"/>
        <v>0</v>
      </c>
      <c r="H10" s="46">
        <f t="shared" si="0"/>
        <v>0</v>
      </c>
      <c r="I10" s="107">
        <f t="shared" si="0"/>
        <v>0</v>
      </c>
      <c r="J10" s="46">
        <f t="shared" si="0"/>
        <v>0</v>
      </c>
      <c r="K10" s="107">
        <f t="shared" si="0"/>
        <v>0</v>
      </c>
      <c r="L10" s="46">
        <f t="shared" si="0"/>
        <v>0</v>
      </c>
      <c r="M10" s="107">
        <f t="shared" si="0"/>
        <v>0</v>
      </c>
      <c r="N10" s="18">
        <f t="shared" si="0"/>
        <v>0</v>
      </c>
      <c r="O10" s="18"/>
      <c r="P10" s="108">
        <f>SUM(F10,H10,J10,L10,N10)</f>
        <v>0</v>
      </c>
      <c r="Q10" s="107">
        <f t="shared" ref="Q10:Z10" si="1">SUM(Q11:Q12)</f>
        <v>0</v>
      </c>
      <c r="R10" s="46">
        <f t="shared" si="1"/>
        <v>0</v>
      </c>
      <c r="S10" s="107">
        <f t="shared" si="1"/>
        <v>0</v>
      </c>
      <c r="T10" s="46">
        <f t="shared" si="1"/>
        <v>0</v>
      </c>
      <c r="U10" s="107">
        <f t="shared" si="1"/>
        <v>0</v>
      </c>
      <c r="V10" s="46">
        <f t="shared" si="1"/>
        <v>0</v>
      </c>
      <c r="W10" s="107">
        <f t="shared" si="1"/>
        <v>0</v>
      </c>
      <c r="X10" s="46">
        <f t="shared" si="1"/>
        <v>0</v>
      </c>
      <c r="Y10" s="191">
        <f t="shared" si="1"/>
        <v>0</v>
      </c>
      <c r="Z10" s="192">
        <f t="shared" si="1"/>
        <v>0</v>
      </c>
      <c r="AA10" s="32"/>
      <c r="AB10" s="46">
        <f>SUM(R10,T10,V10,X10,Z10)</f>
        <v>0</v>
      </c>
      <c r="AC10" s="44" t="s">
        <v>131</v>
      </c>
    </row>
    <row r="11" spans="1:29" s="47" customFormat="1" x14ac:dyDescent="0.2">
      <c r="A11" s="48" t="s">
        <v>141</v>
      </c>
      <c r="B11" s="49" t="s">
        <v>141</v>
      </c>
      <c r="C11" s="50" t="s">
        <v>141</v>
      </c>
      <c r="D11" s="51">
        <v>1</v>
      </c>
      <c r="E11" s="5"/>
      <c r="F11" s="6"/>
      <c r="G11" s="4"/>
      <c r="H11" s="6"/>
      <c r="I11" s="4"/>
      <c r="J11" s="6"/>
      <c r="K11" s="4"/>
      <c r="L11" s="6"/>
      <c r="M11" s="4"/>
      <c r="N11" s="7"/>
      <c r="O11" s="17"/>
      <c r="P11" s="108">
        <f>SUM(F11,H11,J11,L11,N11)</f>
        <v>0</v>
      </c>
      <c r="Q11" s="4"/>
      <c r="R11" s="6"/>
      <c r="S11" s="4"/>
      <c r="T11" s="6"/>
      <c r="U11" s="4"/>
      <c r="V11" s="6"/>
      <c r="W11" s="4"/>
      <c r="X11" s="6"/>
      <c r="Y11" s="188"/>
      <c r="Z11" s="189"/>
      <c r="AA11" s="28"/>
      <c r="AB11" s="54">
        <f>SUM(R11,T11,V11,X11,Z11)</f>
        <v>0</v>
      </c>
      <c r="AC11" s="44"/>
    </row>
    <row r="12" spans="1:29" s="47" customFormat="1" x14ac:dyDescent="0.2">
      <c r="A12" s="102"/>
      <c r="B12" s="49"/>
      <c r="C12" s="50"/>
      <c r="D12" s="55" t="str">
        <f>CHAR(132)</f>
        <v>„</v>
      </c>
      <c r="E12" s="109"/>
      <c r="F12" s="29"/>
      <c r="G12" s="110"/>
      <c r="H12" s="29"/>
      <c r="I12" s="110"/>
      <c r="J12" s="29"/>
      <c r="K12" s="110"/>
      <c r="L12" s="29"/>
      <c r="M12" s="110"/>
      <c r="N12" s="17"/>
      <c r="O12" s="17"/>
      <c r="P12" s="108"/>
      <c r="Q12" s="110"/>
      <c r="R12" s="29"/>
      <c r="S12" s="110"/>
      <c r="T12" s="29"/>
      <c r="U12" s="110"/>
      <c r="V12" s="29"/>
      <c r="W12" s="110"/>
      <c r="X12" s="29"/>
      <c r="Y12" s="190"/>
      <c r="Z12" s="53"/>
      <c r="AA12" s="29"/>
      <c r="AB12" s="54"/>
      <c r="AC12" s="44"/>
    </row>
    <row r="13" spans="1:29" s="47" customFormat="1" x14ac:dyDescent="0.2">
      <c r="A13" s="411" t="s">
        <v>221</v>
      </c>
      <c r="B13" s="368"/>
      <c r="C13" s="230" t="s">
        <v>134</v>
      </c>
      <c r="D13" s="231" t="s">
        <v>182</v>
      </c>
      <c r="E13" s="111">
        <f t="shared" ref="E13:N13" si="2">SUM(E14:E30)</f>
        <v>0</v>
      </c>
      <c r="F13" s="112">
        <f t="shared" si="2"/>
        <v>0</v>
      </c>
      <c r="G13" s="113">
        <f t="shared" si="2"/>
        <v>0</v>
      </c>
      <c r="H13" s="112">
        <f t="shared" si="2"/>
        <v>0</v>
      </c>
      <c r="I13" s="113">
        <f t="shared" si="2"/>
        <v>0</v>
      </c>
      <c r="J13" s="112">
        <f t="shared" si="2"/>
        <v>0</v>
      </c>
      <c r="K13" s="113">
        <f t="shared" si="2"/>
        <v>0</v>
      </c>
      <c r="L13" s="112">
        <f t="shared" si="2"/>
        <v>0</v>
      </c>
      <c r="M13" s="113">
        <f t="shared" si="2"/>
        <v>0</v>
      </c>
      <c r="N13" s="19">
        <f t="shared" si="2"/>
        <v>0</v>
      </c>
      <c r="O13" s="19"/>
      <c r="P13" s="108">
        <f>SUM(F13,H13,J13,L13,N13)</f>
        <v>0</v>
      </c>
      <c r="Q13" s="107">
        <f t="shared" ref="Q13:Z13" si="3">SUM(Q14:Q30)</f>
        <v>0</v>
      </c>
      <c r="R13" s="112">
        <f t="shared" si="3"/>
        <v>0</v>
      </c>
      <c r="S13" s="113">
        <f t="shared" si="3"/>
        <v>0</v>
      </c>
      <c r="T13" s="112">
        <f t="shared" si="3"/>
        <v>0</v>
      </c>
      <c r="U13" s="113">
        <f t="shared" si="3"/>
        <v>0</v>
      </c>
      <c r="V13" s="112">
        <f t="shared" si="3"/>
        <v>0</v>
      </c>
      <c r="W13" s="113">
        <f t="shared" si="3"/>
        <v>0</v>
      </c>
      <c r="X13" s="112">
        <f t="shared" si="3"/>
        <v>0</v>
      </c>
      <c r="Y13" s="193">
        <f t="shared" si="3"/>
        <v>0</v>
      </c>
      <c r="Z13" s="194">
        <f t="shared" si="3"/>
        <v>0</v>
      </c>
      <c r="AA13" s="30"/>
      <c r="AB13" s="114">
        <f>SUM(R13,T13,V13,X13,Z13)</f>
        <v>0</v>
      </c>
      <c r="AC13" s="44"/>
    </row>
    <row r="14" spans="1:29" s="47" customFormat="1" x14ac:dyDescent="0.2">
      <c r="A14" s="48" t="s">
        <v>265</v>
      </c>
      <c r="B14" s="49" t="s">
        <v>266</v>
      </c>
      <c r="C14" s="50">
        <v>0</v>
      </c>
      <c r="D14" s="51">
        <v>1</v>
      </c>
      <c r="E14" s="5"/>
      <c r="F14" s="6"/>
      <c r="G14" s="4"/>
      <c r="H14" s="6"/>
      <c r="I14" s="4"/>
      <c r="J14" s="6"/>
      <c r="K14" s="4"/>
      <c r="L14" s="6"/>
      <c r="M14" s="4"/>
      <c r="N14" s="7"/>
      <c r="O14" s="17"/>
      <c r="P14" s="108">
        <f>SUM(F14,H14,J14,L14,N14)</f>
        <v>0</v>
      </c>
      <c r="Q14" s="4"/>
      <c r="R14" s="6"/>
      <c r="S14" s="4"/>
      <c r="T14" s="6"/>
      <c r="U14" s="4"/>
      <c r="V14" s="6"/>
      <c r="W14" s="4"/>
      <c r="X14" s="6"/>
      <c r="Y14" s="188"/>
      <c r="Z14" s="189"/>
      <c r="AA14" s="28"/>
      <c r="AB14" s="54">
        <f>SUM(R14,T14,V14,X14,Z14)</f>
        <v>0</v>
      </c>
      <c r="AC14" s="44"/>
    </row>
    <row r="15" spans="1:29" s="47" customFormat="1" x14ac:dyDescent="0.2">
      <c r="A15" s="48" t="s">
        <v>267</v>
      </c>
      <c r="B15" s="49" t="s">
        <v>268</v>
      </c>
      <c r="C15" s="50">
        <v>13</v>
      </c>
      <c r="D15" s="51">
        <v>2</v>
      </c>
      <c r="E15" s="5"/>
      <c r="F15" s="6"/>
      <c r="G15" s="4"/>
      <c r="H15" s="6"/>
      <c r="I15" s="4"/>
      <c r="J15" s="6"/>
      <c r="K15" s="4"/>
      <c r="L15" s="6"/>
      <c r="M15" s="4"/>
      <c r="N15" s="7"/>
      <c r="O15" s="17"/>
      <c r="P15" s="108">
        <f>SUM(F15,H15,J15,L15,N15)</f>
        <v>0</v>
      </c>
      <c r="Q15" s="4"/>
      <c r="R15" s="6"/>
      <c r="S15" s="4"/>
      <c r="T15" s="6"/>
      <c r="U15" s="4"/>
      <c r="V15" s="6"/>
      <c r="W15" s="4"/>
      <c r="X15" s="6"/>
      <c r="Y15" s="188"/>
      <c r="Z15" s="189"/>
      <c r="AA15" s="28"/>
      <c r="AB15" s="54">
        <f>SUM(R15,T15,V15,X15,Z15)</f>
        <v>0</v>
      </c>
      <c r="AC15" s="44"/>
    </row>
    <row r="16" spans="1:29" s="47" customFormat="1" x14ac:dyDescent="0.2">
      <c r="A16" s="48" t="s">
        <v>269</v>
      </c>
      <c r="B16" s="49" t="s">
        <v>270</v>
      </c>
      <c r="C16" s="50">
        <v>9</v>
      </c>
      <c r="D16" s="51">
        <v>3</v>
      </c>
      <c r="E16" s="5"/>
      <c r="F16" s="6"/>
      <c r="G16" s="4"/>
      <c r="H16" s="6"/>
      <c r="I16" s="4"/>
      <c r="J16" s="6"/>
      <c r="K16" s="4"/>
      <c r="L16" s="6"/>
      <c r="M16" s="4"/>
      <c r="N16" s="7"/>
      <c r="O16" s="17"/>
      <c r="P16" s="108">
        <f>SUM(F16,H16,J16,L16,N16)</f>
        <v>0</v>
      </c>
      <c r="Q16" s="4"/>
      <c r="R16" s="6"/>
      <c r="S16" s="4"/>
      <c r="T16" s="6"/>
      <c r="U16" s="4"/>
      <c r="V16" s="6"/>
      <c r="W16" s="4"/>
      <c r="X16" s="6"/>
      <c r="Y16" s="188"/>
      <c r="Z16" s="189"/>
      <c r="AA16" s="28"/>
      <c r="AB16" s="54">
        <f>SUM(R16,T16,V16,X16,Z16)</f>
        <v>0</v>
      </c>
      <c r="AC16" s="44"/>
    </row>
    <row r="17" spans="1:29" s="47" customFormat="1" x14ac:dyDescent="0.2">
      <c r="A17" s="48" t="s">
        <v>271</v>
      </c>
      <c r="B17" s="49" t="s">
        <v>272</v>
      </c>
      <c r="C17" s="50">
        <v>14</v>
      </c>
      <c r="D17" s="51">
        <v>4</v>
      </c>
      <c r="E17" s="5"/>
      <c r="F17" s="6"/>
      <c r="G17" s="4"/>
      <c r="H17" s="6"/>
      <c r="I17" s="4"/>
      <c r="J17" s="6"/>
      <c r="K17" s="4"/>
      <c r="L17" s="6"/>
      <c r="M17" s="4"/>
      <c r="N17" s="7"/>
      <c r="O17" s="17"/>
      <c r="P17" s="108">
        <f>SUM(F17,H17,J17,L17,N17)</f>
        <v>0</v>
      </c>
      <c r="Q17" s="4"/>
      <c r="R17" s="6"/>
      <c r="S17" s="4"/>
      <c r="T17" s="6"/>
      <c r="U17" s="4"/>
      <c r="V17" s="6"/>
      <c r="W17" s="4"/>
      <c r="X17" s="6"/>
      <c r="Y17" s="188"/>
      <c r="Z17" s="189"/>
      <c r="AA17" s="28"/>
      <c r="AB17" s="54">
        <f>SUM(R17,T17,V17,X17,Z17)</f>
        <v>0</v>
      </c>
      <c r="AC17" s="44"/>
    </row>
    <row r="18" spans="1:29" s="47" customFormat="1" x14ac:dyDescent="0.2">
      <c r="A18" s="48" t="s">
        <v>273</v>
      </c>
      <c r="B18" s="49" t="s">
        <v>274</v>
      </c>
      <c r="C18" s="50">
        <v>6</v>
      </c>
      <c r="D18" s="51">
        <v>5</v>
      </c>
      <c r="E18" s="5"/>
      <c r="F18" s="6"/>
      <c r="G18" s="4"/>
      <c r="H18" s="6"/>
      <c r="I18" s="4"/>
      <c r="J18" s="6"/>
      <c r="K18" s="4"/>
      <c r="L18" s="6"/>
      <c r="M18" s="4"/>
      <c r="N18" s="7"/>
      <c r="O18" s="17"/>
      <c r="P18" s="108">
        <f>SUM(F18,H18,J18,L18,N18)</f>
        <v>0</v>
      </c>
      <c r="Q18" s="4"/>
      <c r="R18" s="6"/>
      <c r="S18" s="4"/>
      <c r="T18" s="6"/>
      <c r="U18" s="4"/>
      <c r="V18" s="6"/>
      <c r="W18" s="4"/>
      <c r="X18" s="6"/>
      <c r="Y18" s="188"/>
      <c r="Z18" s="189"/>
      <c r="AA18" s="28"/>
      <c r="AB18" s="54">
        <f>SUM(R18,T18,V18,X18,Z18)</f>
        <v>0</v>
      </c>
      <c r="AC18" s="44"/>
    </row>
    <row r="19" spans="1:29" s="47" customFormat="1" x14ac:dyDescent="0.2">
      <c r="A19" s="48" t="s">
        <v>275</v>
      </c>
      <c r="B19" s="49" t="s">
        <v>276</v>
      </c>
      <c r="C19" s="50">
        <v>1</v>
      </c>
      <c r="D19" s="51">
        <v>6</v>
      </c>
      <c r="E19" s="5"/>
      <c r="F19" s="6"/>
      <c r="G19" s="4"/>
      <c r="H19" s="6"/>
      <c r="I19" s="4"/>
      <c r="J19" s="6"/>
      <c r="K19" s="4"/>
      <c r="L19" s="6"/>
      <c r="M19" s="4"/>
      <c r="N19" s="7"/>
      <c r="O19" s="17"/>
      <c r="P19" s="108">
        <f>SUM(F19,H19,J19,L19,N19)</f>
        <v>0</v>
      </c>
      <c r="Q19" s="4"/>
      <c r="R19" s="6"/>
      <c r="S19" s="4"/>
      <c r="T19" s="6"/>
      <c r="U19" s="4"/>
      <c r="V19" s="6"/>
      <c r="W19" s="4"/>
      <c r="X19" s="6"/>
      <c r="Y19" s="188"/>
      <c r="Z19" s="189"/>
      <c r="AA19" s="28"/>
      <c r="AB19" s="54">
        <f>SUM(R19,T19,V19,X19,Z19)</f>
        <v>0</v>
      </c>
      <c r="AC19" s="44"/>
    </row>
    <row r="20" spans="1:29" s="47" customFormat="1" x14ac:dyDescent="0.2">
      <c r="A20" s="48" t="s">
        <v>277</v>
      </c>
      <c r="B20" s="49" t="s">
        <v>278</v>
      </c>
      <c r="C20" s="50">
        <v>3</v>
      </c>
      <c r="D20" s="51">
        <v>7</v>
      </c>
      <c r="E20" s="5"/>
      <c r="F20" s="6"/>
      <c r="G20" s="4"/>
      <c r="H20" s="6"/>
      <c r="I20" s="4"/>
      <c r="J20" s="6"/>
      <c r="K20" s="4"/>
      <c r="L20" s="6"/>
      <c r="M20" s="4"/>
      <c r="N20" s="7"/>
      <c r="O20" s="17"/>
      <c r="P20" s="108">
        <f>SUM(F20,H20,J20,L20,N20)</f>
        <v>0</v>
      </c>
      <c r="Q20" s="4"/>
      <c r="R20" s="6"/>
      <c r="S20" s="4"/>
      <c r="T20" s="6"/>
      <c r="U20" s="4"/>
      <c r="V20" s="6"/>
      <c r="W20" s="4"/>
      <c r="X20" s="6"/>
      <c r="Y20" s="188"/>
      <c r="Z20" s="189"/>
      <c r="AA20" s="28"/>
      <c r="AB20" s="54">
        <f>SUM(R20,T20,V20,X20,Z20)</f>
        <v>0</v>
      </c>
      <c r="AC20" s="44"/>
    </row>
    <row r="21" spans="1:29" s="47" customFormat="1" x14ac:dyDescent="0.2">
      <c r="A21" s="48" t="s">
        <v>279</v>
      </c>
      <c r="B21" s="49" t="s">
        <v>280</v>
      </c>
      <c r="C21" s="50">
        <v>12</v>
      </c>
      <c r="D21" s="51">
        <v>8</v>
      </c>
      <c r="E21" s="5"/>
      <c r="F21" s="6"/>
      <c r="G21" s="4"/>
      <c r="H21" s="6"/>
      <c r="I21" s="4"/>
      <c r="J21" s="6"/>
      <c r="K21" s="4"/>
      <c r="L21" s="6"/>
      <c r="M21" s="4"/>
      <c r="N21" s="7"/>
      <c r="O21" s="17"/>
      <c r="P21" s="108">
        <f>SUM(F21,H21,J21,L21,N21)</f>
        <v>0</v>
      </c>
      <c r="Q21" s="4"/>
      <c r="R21" s="6"/>
      <c r="S21" s="4"/>
      <c r="T21" s="6"/>
      <c r="U21" s="4"/>
      <c r="V21" s="6"/>
      <c r="W21" s="4"/>
      <c r="X21" s="6"/>
      <c r="Y21" s="188"/>
      <c r="Z21" s="189"/>
      <c r="AA21" s="28"/>
      <c r="AB21" s="54">
        <f>SUM(R21,T21,V21,X21,Z21)</f>
        <v>0</v>
      </c>
      <c r="AC21" s="44"/>
    </row>
    <row r="22" spans="1:29" s="47" customFormat="1" x14ac:dyDescent="0.2">
      <c r="A22" s="48" t="s">
        <v>281</v>
      </c>
      <c r="B22" s="49" t="s">
        <v>282</v>
      </c>
      <c r="C22" s="50">
        <v>15</v>
      </c>
      <c r="D22" s="51">
        <v>9</v>
      </c>
      <c r="E22" s="5"/>
      <c r="F22" s="6"/>
      <c r="G22" s="4"/>
      <c r="H22" s="6"/>
      <c r="I22" s="4"/>
      <c r="J22" s="6"/>
      <c r="K22" s="4"/>
      <c r="L22" s="6"/>
      <c r="M22" s="4"/>
      <c r="N22" s="7"/>
      <c r="O22" s="17"/>
      <c r="P22" s="108">
        <f>SUM(F22,H22,J22,L22,N22)</f>
        <v>0</v>
      </c>
      <c r="Q22" s="4"/>
      <c r="R22" s="6"/>
      <c r="S22" s="4"/>
      <c r="T22" s="6"/>
      <c r="U22" s="4"/>
      <c r="V22" s="6"/>
      <c r="W22" s="4"/>
      <c r="X22" s="6"/>
      <c r="Y22" s="188"/>
      <c r="Z22" s="189"/>
      <c r="AA22" s="28"/>
      <c r="AB22" s="54">
        <f>SUM(R22,T22,V22,X22,Z22)</f>
        <v>0</v>
      </c>
      <c r="AC22" s="44"/>
    </row>
    <row r="23" spans="1:29" s="47" customFormat="1" x14ac:dyDescent="0.2">
      <c r="A23" s="48" t="s">
        <v>283</v>
      </c>
      <c r="B23" s="49" t="s">
        <v>284</v>
      </c>
      <c r="C23" s="50">
        <v>7</v>
      </c>
      <c r="D23" s="51">
        <v>10</v>
      </c>
      <c r="E23" s="5"/>
      <c r="F23" s="6"/>
      <c r="G23" s="4"/>
      <c r="H23" s="6"/>
      <c r="I23" s="4"/>
      <c r="J23" s="6"/>
      <c r="K23" s="4"/>
      <c r="L23" s="6"/>
      <c r="M23" s="4"/>
      <c r="N23" s="7"/>
      <c r="O23" s="17"/>
      <c r="P23" s="108">
        <f>SUM(F23,H23,J23,L23,N23)</f>
        <v>0</v>
      </c>
      <c r="Q23" s="4"/>
      <c r="R23" s="6"/>
      <c r="S23" s="4"/>
      <c r="T23" s="6"/>
      <c r="U23" s="4"/>
      <c r="V23" s="6"/>
      <c r="W23" s="4"/>
      <c r="X23" s="6"/>
      <c r="Y23" s="188"/>
      <c r="Z23" s="189"/>
      <c r="AA23" s="28"/>
      <c r="AB23" s="54">
        <f>SUM(R23,T23,V23,X23,Z23)</f>
        <v>0</v>
      </c>
      <c r="AC23" s="44"/>
    </row>
    <row r="24" spans="1:29" s="47" customFormat="1" x14ac:dyDescent="0.2">
      <c r="A24" s="48" t="s">
        <v>285</v>
      </c>
      <c r="B24" s="49" t="s">
        <v>286</v>
      </c>
      <c r="C24" s="50">
        <v>8</v>
      </c>
      <c r="D24" s="51">
        <v>11</v>
      </c>
      <c r="E24" s="5"/>
      <c r="F24" s="6"/>
      <c r="G24" s="4"/>
      <c r="H24" s="6"/>
      <c r="I24" s="4"/>
      <c r="J24" s="6"/>
      <c r="K24" s="4"/>
      <c r="L24" s="6"/>
      <c r="M24" s="4"/>
      <c r="N24" s="7"/>
      <c r="O24" s="17"/>
      <c r="P24" s="108">
        <f>SUM(F24,H24,J24,L24,N24)</f>
        <v>0</v>
      </c>
      <c r="Q24" s="4"/>
      <c r="R24" s="6"/>
      <c r="S24" s="4"/>
      <c r="T24" s="6"/>
      <c r="U24" s="4"/>
      <c r="V24" s="6"/>
      <c r="W24" s="4"/>
      <c r="X24" s="6"/>
      <c r="Y24" s="188"/>
      <c r="Z24" s="189"/>
      <c r="AA24" s="28"/>
      <c r="AB24" s="54">
        <f>SUM(R24,T24,V24,X24,Z24)</f>
        <v>0</v>
      </c>
      <c r="AC24" s="44"/>
    </row>
    <row r="25" spans="1:29" s="47" customFormat="1" x14ac:dyDescent="0.2">
      <c r="A25" s="48" t="s">
        <v>287</v>
      </c>
      <c r="B25" s="49" t="s">
        <v>288</v>
      </c>
      <c r="C25" s="50">
        <v>4</v>
      </c>
      <c r="D25" s="51">
        <v>12</v>
      </c>
      <c r="E25" s="5"/>
      <c r="F25" s="6"/>
      <c r="G25" s="4"/>
      <c r="H25" s="6"/>
      <c r="I25" s="4"/>
      <c r="J25" s="6"/>
      <c r="K25" s="4"/>
      <c r="L25" s="6"/>
      <c r="M25" s="4"/>
      <c r="N25" s="7"/>
      <c r="O25" s="17"/>
      <c r="P25" s="108">
        <f>SUM(F25,H25,J25,L25,N25)</f>
        <v>0</v>
      </c>
      <c r="Q25" s="4"/>
      <c r="R25" s="6"/>
      <c r="S25" s="4"/>
      <c r="T25" s="6"/>
      <c r="U25" s="4"/>
      <c r="V25" s="6"/>
      <c r="W25" s="4"/>
      <c r="X25" s="6"/>
      <c r="Y25" s="188"/>
      <c r="Z25" s="189"/>
      <c r="AA25" s="28"/>
      <c r="AB25" s="54">
        <f>SUM(R25,T25,V25,X25,Z25)</f>
        <v>0</v>
      </c>
      <c r="AC25" s="44"/>
    </row>
    <row r="26" spans="1:29" s="47" customFormat="1" x14ac:dyDescent="0.2">
      <c r="A26" s="48" t="s">
        <v>289</v>
      </c>
      <c r="B26" s="49" t="s">
        <v>290</v>
      </c>
      <c r="C26" s="50">
        <v>10</v>
      </c>
      <c r="D26" s="51">
        <v>13</v>
      </c>
      <c r="E26" s="5"/>
      <c r="F26" s="6"/>
      <c r="G26" s="4"/>
      <c r="H26" s="6"/>
      <c r="I26" s="4"/>
      <c r="J26" s="6"/>
      <c r="K26" s="4"/>
      <c r="L26" s="6"/>
      <c r="M26" s="4"/>
      <c r="N26" s="7"/>
      <c r="O26" s="17"/>
      <c r="P26" s="108">
        <f>SUM(F26,H26,J26,L26,N26)</f>
        <v>0</v>
      </c>
      <c r="Q26" s="4"/>
      <c r="R26" s="6"/>
      <c r="S26" s="4"/>
      <c r="T26" s="6"/>
      <c r="U26" s="4"/>
      <c r="V26" s="6"/>
      <c r="W26" s="4"/>
      <c r="X26" s="6"/>
      <c r="Y26" s="188"/>
      <c r="Z26" s="189"/>
      <c r="AA26" s="28"/>
      <c r="AB26" s="54">
        <f>SUM(R26,T26,V26,X26,Z26)</f>
        <v>0</v>
      </c>
      <c r="AC26" s="44"/>
    </row>
    <row r="27" spans="1:29" s="47" customFormat="1" x14ac:dyDescent="0.2">
      <c r="A27" s="48" t="s">
        <v>291</v>
      </c>
      <c r="B27" s="49" t="s">
        <v>292</v>
      </c>
      <c r="C27" s="50">
        <v>2</v>
      </c>
      <c r="D27" s="51">
        <v>14</v>
      </c>
      <c r="E27" s="5"/>
      <c r="F27" s="6"/>
      <c r="G27" s="4"/>
      <c r="H27" s="6"/>
      <c r="I27" s="4"/>
      <c r="J27" s="6"/>
      <c r="K27" s="4"/>
      <c r="L27" s="6"/>
      <c r="M27" s="4"/>
      <c r="N27" s="7"/>
      <c r="O27" s="17"/>
      <c r="P27" s="108">
        <f>SUM(F27,H27,J27,L27,N27)</f>
        <v>0</v>
      </c>
      <c r="Q27" s="4"/>
      <c r="R27" s="6"/>
      <c r="S27" s="4"/>
      <c r="T27" s="6"/>
      <c r="U27" s="4"/>
      <c r="V27" s="6"/>
      <c r="W27" s="4"/>
      <c r="X27" s="6"/>
      <c r="Y27" s="188"/>
      <c r="Z27" s="189"/>
      <c r="AA27" s="28"/>
      <c r="AB27" s="54">
        <f>SUM(R27,T27,V27,X27,Z27)</f>
        <v>0</v>
      </c>
      <c r="AC27" s="44"/>
    </row>
    <row r="28" spans="1:29" s="47" customFormat="1" x14ac:dyDescent="0.2">
      <c r="A28" s="48" t="s">
        <v>293</v>
      </c>
      <c r="B28" s="49" t="s">
        <v>294</v>
      </c>
      <c r="C28" s="50">
        <v>5</v>
      </c>
      <c r="D28" s="51">
        <v>15</v>
      </c>
      <c r="E28" s="5"/>
      <c r="F28" s="6"/>
      <c r="G28" s="4"/>
      <c r="H28" s="6"/>
      <c r="I28" s="4"/>
      <c r="J28" s="6"/>
      <c r="K28" s="4"/>
      <c r="L28" s="6"/>
      <c r="M28" s="4"/>
      <c r="N28" s="7"/>
      <c r="O28" s="17"/>
      <c r="P28" s="108">
        <f>SUM(F28,H28,J28,L28,N28)</f>
        <v>0</v>
      </c>
      <c r="Q28" s="4"/>
      <c r="R28" s="6"/>
      <c r="S28" s="4"/>
      <c r="T28" s="6"/>
      <c r="U28" s="4"/>
      <c r="V28" s="6"/>
      <c r="W28" s="4"/>
      <c r="X28" s="6"/>
      <c r="Y28" s="188"/>
      <c r="Z28" s="189"/>
      <c r="AA28" s="28"/>
      <c r="AB28" s="54">
        <f>SUM(R28,T28,V28,X28,Z28)</f>
        <v>0</v>
      </c>
      <c r="AC28" s="44"/>
    </row>
    <row r="29" spans="1:29" s="47" customFormat="1" x14ac:dyDescent="0.2">
      <c r="A29" s="48" t="s">
        <v>295</v>
      </c>
      <c r="B29" s="49" t="s">
        <v>296</v>
      </c>
      <c r="C29" s="50">
        <v>11</v>
      </c>
      <c r="D29" s="51">
        <v>16</v>
      </c>
      <c r="E29" s="5"/>
      <c r="F29" s="6"/>
      <c r="G29" s="4"/>
      <c r="H29" s="6"/>
      <c r="I29" s="4"/>
      <c r="J29" s="6"/>
      <c r="K29" s="4"/>
      <c r="L29" s="6"/>
      <c r="M29" s="4"/>
      <c r="N29" s="7"/>
      <c r="O29" s="17"/>
      <c r="P29" s="108">
        <f>SUM(F29,H29,J29,L29,N29)</f>
        <v>0</v>
      </c>
      <c r="Q29" s="4"/>
      <c r="R29" s="6"/>
      <c r="S29" s="4"/>
      <c r="T29" s="6"/>
      <c r="U29" s="4"/>
      <c r="V29" s="6"/>
      <c r="W29" s="4"/>
      <c r="X29" s="6"/>
      <c r="Y29" s="188"/>
      <c r="Z29" s="189"/>
      <c r="AA29" s="28"/>
      <c r="AB29" s="54">
        <f>SUM(R29,T29,V29,X29,Z29)</f>
        <v>0</v>
      </c>
      <c r="AC29" s="44"/>
    </row>
    <row r="30" spans="1:29" s="47" customFormat="1" x14ac:dyDescent="0.2">
      <c r="A30" s="48"/>
      <c r="B30" s="49"/>
      <c r="C30" s="50"/>
      <c r="D30" s="55" t="str">
        <f>CHAR(132)</f>
        <v>„</v>
      </c>
      <c r="E30" s="109"/>
      <c r="F30" s="29"/>
      <c r="G30" s="110"/>
      <c r="H30" s="29"/>
      <c r="I30" s="110"/>
      <c r="J30" s="29"/>
      <c r="K30" s="110"/>
      <c r="L30" s="29"/>
      <c r="M30" s="110"/>
      <c r="N30" s="17"/>
      <c r="O30" s="17"/>
      <c r="P30" s="104"/>
      <c r="Q30" s="110"/>
      <c r="R30" s="29"/>
      <c r="S30" s="110"/>
      <c r="T30" s="29"/>
      <c r="U30" s="110"/>
      <c r="V30" s="29"/>
      <c r="W30" s="110"/>
      <c r="X30" s="29"/>
      <c r="Y30" s="190"/>
      <c r="Z30" s="53"/>
      <c r="AA30" s="29"/>
      <c r="AB30" s="54"/>
      <c r="AC30" s="44"/>
    </row>
    <row r="31" spans="1:29" s="47" customFormat="1" x14ac:dyDescent="0.2">
      <c r="A31" s="411" t="s">
        <v>35</v>
      </c>
      <c r="B31" s="368"/>
      <c r="C31" s="230" t="s">
        <v>135</v>
      </c>
      <c r="D31" s="231" t="s">
        <v>183</v>
      </c>
      <c r="E31" s="106">
        <f t="shared" ref="E31:N31" si="4">SUM(E32:E33)</f>
        <v>0</v>
      </c>
      <c r="F31" s="46">
        <f t="shared" si="4"/>
        <v>0</v>
      </c>
      <c r="G31" s="107">
        <f t="shared" si="4"/>
        <v>0</v>
      </c>
      <c r="H31" s="46">
        <f t="shared" si="4"/>
        <v>0</v>
      </c>
      <c r="I31" s="107">
        <f t="shared" si="4"/>
        <v>0</v>
      </c>
      <c r="J31" s="46">
        <f t="shared" si="4"/>
        <v>0</v>
      </c>
      <c r="K31" s="107">
        <f t="shared" si="4"/>
        <v>0</v>
      </c>
      <c r="L31" s="46">
        <f t="shared" si="4"/>
        <v>0</v>
      </c>
      <c r="M31" s="107">
        <f t="shared" si="4"/>
        <v>0</v>
      </c>
      <c r="N31" s="18">
        <f t="shared" si="4"/>
        <v>0</v>
      </c>
      <c r="O31" s="18"/>
      <c r="P31" s="108">
        <f>SUM(F31,H31,J31,L31,N31)</f>
        <v>0</v>
      </c>
      <c r="Q31" s="107">
        <f t="shared" ref="Q31:Z31" si="5">SUM(Q32:Q33)</f>
        <v>0</v>
      </c>
      <c r="R31" s="46">
        <f t="shared" si="5"/>
        <v>0</v>
      </c>
      <c r="S31" s="107">
        <f t="shared" si="5"/>
        <v>0</v>
      </c>
      <c r="T31" s="46">
        <f t="shared" si="5"/>
        <v>0</v>
      </c>
      <c r="U31" s="107">
        <f t="shared" si="5"/>
        <v>0</v>
      </c>
      <c r="V31" s="46">
        <f t="shared" si="5"/>
        <v>0</v>
      </c>
      <c r="W31" s="107">
        <f t="shared" si="5"/>
        <v>0</v>
      </c>
      <c r="X31" s="46">
        <f t="shared" si="5"/>
        <v>0</v>
      </c>
      <c r="Y31" s="195">
        <f t="shared" si="5"/>
        <v>0</v>
      </c>
      <c r="Z31" s="196">
        <f t="shared" si="5"/>
        <v>0</v>
      </c>
      <c r="AA31" s="27"/>
      <c r="AB31" s="54">
        <f>SUM(R31,T31,V31,X31,Z31)</f>
        <v>0</v>
      </c>
      <c r="AC31" s="44"/>
    </row>
    <row r="32" spans="1:29" s="47" customFormat="1" x14ac:dyDescent="0.2">
      <c r="A32" s="48" t="s">
        <v>141</v>
      </c>
      <c r="B32" s="49" t="s">
        <v>141</v>
      </c>
      <c r="C32" s="50" t="s">
        <v>141</v>
      </c>
      <c r="D32" s="51">
        <v>1</v>
      </c>
      <c r="E32" s="184"/>
      <c r="F32" s="185"/>
      <c r="G32" s="186"/>
      <c r="H32" s="185"/>
      <c r="I32" s="186"/>
      <c r="J32" s="185"/>
      <c r="K32" s="186"/>
      <c r="L32" s="185"/>
      <c r="M32" s="186"/>
      <c r="N32" s="187"/>
      <c r="O32" s="26"/>
      <c r="P32" s="108">
        <f>SUM(F32,H32,J32,L32,N32)</f>
        <v>0</v>
      </c>
      <c r="Q32" s="186"/>
      <c r="R32" s="185"/>
      <c r="S32" s="4"/>
      <c r="T32" s="6"/>
      <c r="U32" s="4"/>
      <c r="V32" s="6"/>
      <c r="W32" s="186"/>
      <c r="X32" s="185"/>
      <c r="Y32" s="188"/>
      <c r="Z32" s="189"/>
      <c r="AA32" s="28"/>
      <c r="AB32" s="54">
        <f>SUM(R32,T32,V32,X32,Z32)</f>
        <v>0</v>
      </c>
      <c r="AC32" s="44"/>
    </row>
    <row r="33" spans="1:29" s="47" customFormat="1" x14ac:dyDescent="0.2">
      <c r="A33" s="48"/>
      <c r="B33" s="49"/>
      <c r="C33" s="50"/>
      <c r="D33" s="115" t="str">
        <f>CHAR(132)</f>
        <v>„</v>
      </c>
      <c r="E33" s="116"/>
      <c r="F33" s="117"/>
      <c r="G33" s="118"/>
      <c r="H33" s="117"/>
      <c r="I33" s="118"/>
      <c r="J33" s="117"/>
      <c r="K33" s="118"/>
      <c r="L33" s="117"/>
      <c r="M33" s="118"/>
      <c r="N33" s="26"/>
      <c r="O33" s="26"/>
      <c r="P33" s="108"/>
      <c r="Q33" s="118"/>
      <c r="R33" s="117"/>
      <c r="S33" s="110"/>
      <c r="T33" s="29"/>
      <c r="U33" s="110"/>
      <c r="V33" s="29"/>
      <c r="W33" s="118"/>
      <c r="X33" s="29"/>
      <c r="Y33" s="190"/>
      <c r="Z33" s="53"/>
      <c r="AA33" s="29"/>
      <c r="AB33" s="54"/>
      <c r="AC33" s="44"/>
    </row>
    <row r="34" spans="1:29" s="47" customFormat="1" x14ac:dyDescent="0.2">
      <c r="A34" s="411" t="s">
        <v>36</v>
      </c>
      <c r="B34" s="368"/>
      <c r="C34" s="230" t="s">
        <v>136</v>
      </c>
      <c r="D34" s="231" t="s">
        <v>184</v>
      </c>
      <c r="E34" s="119">
        <f t="shared" ref="E34:AA34" si="6">SUM(E35:E36)</f>
        <v>0</v>
      </c>
      <c r="F34" s="59">
        <f t="shared" si="6"/>
        <v>0</v>
      </c>
      <c r="G34" s="119">
        <f t="shared" si="6"/>
        <v>0</v>
      </c>
      <c r="H34" s="59">
        <f t="shared" si="6"/>
        <v>0</v>
      </c>
      <c r="I34" s="119">
        <f t="shared" si="6"/>
        <v>0</v>
      </c>
      <c r="J34" s="59">
        <f t="shared" si="6"/>
        <v>0</v>
      </c>
      <c r="K34" s="119">
        <f t="shared" si="6"/>
        <v>0</v>
      </c>
      <c r="L34" s="59">
        <f t="shared" si="6"/>
        <v>0</v>
      </c>
      <c r="M34" s="119">
        <f t="shared" si="6"/>
        <v>0</v>
      </c>
      <c r="N34" s="59">
        <f t="shared" si="6"/>
        <v>0</v>
      </c>
      <c r="O34" s="119">
        <f t="shared" si="6"/>
        <v>0</v>
      </c>
      <c r="P34" s="104">
        <f t="shared" si="6"/>
        <v>0</v>
      </c>
      <c r="Q34" s="120">
        <f t="shared" si="6"/>
        <v>0</v>
      </c>
      <c r="R34" s="59">
        <f t="shared" si="6"/>
        <v>0</v>
      </c>
      <c r="S34" s="120">
        <f t="shared" si="6"/>
        <v>0</v>
      </c>
      <c r="T34" s="54">
        <f t="shared" si="6"/>
        <v>0</v>
      </c>
      <c r="U34" s="120">
        <f t="shared" si="6"/>
        <v>0</v>
      </c>
      <c r="V34" s="54">
        <f t="shared" si="6"/>
        <v>0</v>
      </c>
      <c r="W34" s="119">
        <f t="shared" si="6"/>
        <v>0</v>
      </c>
      <c r="X34" s="114">
        <f t="shared" si="6"/>
        <v>0</v>
      </c>
      <c r="Y34" s="195">
        <f t="shared" si="6"/>
        <v>0</v>
      </c>
      <c r="Z34" s="196">
        <f t="shared" si="6"/>
        <v>0</v>
      </c>
      <c r="AA34" s="120">
        <f t="shared" si="6"/>
        <v>0</v>
      </c>
      <c r="AB34" s="205">
        <f>SUM(R34,T34,V34,X34,Z34)</f>
        <v>0</v>
      </c>
      <c r="AC34" s="44"/>
    </row>
    <row r="35" spans="1:29" s="47" customFormat="1" x14ac:dyDescent="0.2">
      <c r="A35" s="48" t="s">
        <v>141</v>
      </c>
      <c r="B35" s="49" t="s">
        <v>141</v>
      </c>
      <c r="C35" s="50" t="s">
        <v>141</v>
      </c>
      <c r="D35" s="51">
        <v>1</v>
      </c>
      <c r="E35" s="199"/>
      <c r="F35" s="1"/>
      <c r="G35" s="199"/>
      <c r="H35" s="1"/>
      <c r="I35" s="199"/>
      <c r="J35" s="1"/>
      <c r="K35" s="199"/>
      <c r="L35" s="1"/>
      <c r="M35" s="199"/>
      <c r="N35" s="1"/>
      <c r="O35" s="200"/>
      <c r="P35" s="217">
        <f>SUM(F35,H35,J35,L35,N35)</f>
        <v>0</v>
      </c>
      <c r="Q35" s="202"/>
      <c r="R35" s="1"/>
      <c r="S35" s="218"/>
      <c r="T35" s="2"/>
      <c r="U35" s="218"/>
      <c r="V35" s="2"/>
      <c r="W35" s="199"/>
      <c r="X35" s="1"/>
      <c r="Y35" s="188"/>
      <c r="Z35" s="189"/>
      <c r="AA35" s="190"/>
      <c r="AB35" s="205">
        <f>SUM(R35,T35,V35,X35,Z35)</f>
        <v>0</v>
      </c>
      <c r="AC35" s="44"/>
    </row>
    <row r="36" spans="1:29" s="47" customFormat="1" x14ac:dyDescent="0.2">
      <c r="A36" s="48"/>
      <c r="B36" s="49"/>
      <c r="C36" s="50"/>
      <c r="D36" s="115" t="str">
        <f>CHAR(132)</f>
        <v>„</v>
      </c>
      <c r="E36" s="200"/>
      <c r="F36" s="52"/>
      <c r="G36" s="200"/>
      <c r="H36" s="52"/>
      <c r="I36" s="200"/>
      <c r="J36" s="52"/>
      <c r="K36" s="200"/>
      <c r="L36" s="52"/>
      <c r="M36" s="200"/>
      <c r="N36" s="52"/>
      <c r="O36" s="200"/>
      <c r="P36" s="201"/>
      <c r="Q36" s="203"/>
      <c r="R36" s="52"/>
      <c r="S36" s="190"/>
      <c r="T36" s="53"/>
      <c r="U36" s="190"/>
      <c r="V36" s="53"/>
      <c r="W36" s="200"/>
      <c r="X36" s="52"/>
      <c r="Y36" s="190"/>
      <c r="Z36" s="53"/>
      <c r="AA36" s="190"/>
      <c r="AB36" s="205"/>
      <c r="AC36" s="44"/>
    </row>
    <row r="37" spans="1:29" s="47" customFormat="1" x14ac:dyDescent="0.2">
      <c r="A37" s="415" t="s">
        <v>37</v>
      </c>
      <c r="B37" s="370"/>
      <c r="C37" s="371" t="s">
        <v>138</v>
      </c>
      <c r="D37" s="372"/>
      <c r="E37" s="119">
        <f t="shared" ref="E37:AA37" si="7">SUM(E10,E13,E31,E34)</f>
        <v>0</v>
      </c>
      <c r="F37" s="59">
        <f t="shared" si="7"/>
        <v>0</v>
      </c>
      <c r="G37" s="119">
        <f t="shared" si="7"/>
        <v>0</v>
      </c>
      <c r="H37" s="59">
        <f t="shared" si="7"/>
        <v>0</v>
      </c>
      <c r="I37" s="119">
        <f t="shared" si="7"/>
        <v>0</v>
      </c>
      <c r="J37" s="59">
        <f t="shared" si="7"/>
        <v>0</v>
      </c>
      <c r="K37" s="119">
        <f t="shared" si="7"/>
        <v>0</v>
      </c>
      <c r="L37" s="59">
        <f t="shared" si="7"/>
        <v>0</v>
      </c>
      <c r="M37" s="119">
        <f t="shared" si="7"/>
        <v>0</v>
      </c>
      <c r="N37" s="59">
        <f t="shared" si="7"/>
        <v>0</v>
      </c>
      <c r="O37" s="119">
        <f t="shared" si="7"/>
        <v>0</v>
      </c>
      <c r="P37" s="108">
        <f t="shared" si="7"/>
        <v>0</v>
      </c>
      <c r="Q37" s="107">
        <f t="shared" si="7"/>
        <v>0</v>
      </c>
      <c r="R37" s="59">
        <f t="shared" si="7"/>
        <v>0</v>
      </c>
      <c r="S37" s="119">
        <f t="shared" si="7"/>
        <v>0</v>
      </c>
      <c r="T37" s="59">
        <f t="shared" si="7"/>
        <v>0</v>
      </c>
      <c r="U37" s="119">
        <f t="shared" si="7"/>
        <v>0</v>
      </c>
      <c r="V37" s="46">
        <f t="shared" si="7"/>
        <v>0</v>
      </c>
      <c r="W37" s="119">
        <f t="shared" si="7"/>
        <v>0</v>
      </c>
      <c r="X37" s="114">
        <f t="shared" si="7"/>
        <v>0</v>
      </c>
      <c r="Y37" s="195">
        <f t="shared" si="7"/>
        <v>0</v>
      </c>
      <c r="Z37" s="196">
        <f t="shared" si="7"/>
        <v>0</v>
      </c>
      <c r="AA37" s="120">
        <f t="shared" si="7"/>
        <v>0</v>
      </c>
      <c r="AB37" s="54">
        <f>SUM(R37,T37,V37,X37,Z37)</f>
        <v>0</v>
      </c>
      <c r="AC37" s="44"/>
    </row>
    <row r="38" spans="1:29" s="47" customFormat="1" x14ac:dyDescent="0.2">
      <c r="A38" s="411" t="s">
        <v>38</v>
      </c>
      <c r="B38" s="368"/>
      <c r="C38" s="230" t="s">
        <v>137</v>
      </c>
      <c r="D38" s="231" t="s">
        <v>185</v>
      </c>
      <c r="E38" s="106">
        <f t="shared" ref="E38:AA38" si="8">SUM(E39:E40)</f>
        <v>0</v>
      </c>
      <c r="F38" s="45">
        <f t="shared" si="8"/>
        <v>0</v>
      </c>
      <c r="G38" s="106">
        <f t="shared" si="8"/>
        <v>0</v>
      </c>
      <c r="H38" s="45">
        <f t="shared" si="8"/>
        <v>0</v>
      </c>
      <c r="I38" s="106">
        <f t="shared" si="8"/>
        <v>0</v>
      </c>
      <c r="J38" s="45">
        <f t="shared" si="8"/>
        <v>0</v>
      </c>
      <c r="K38" s="106">
        <f t="shared" si="8"/>
        <v>0</v>
      </c>
      <c r="L38" s="45">
        <f t="shared" si="8"/>
        <v>0</v>
      </c>
      <c r="M38" s="106">
        <f t="shared" si="8"/>
        <v>0</v>
      </c>
      <c r="N38" s="45">
        <f t="shared" si="8"/>
        <v>0</v>
      </c>
      <c r="O38" s="106">
        <f t="shared" si="8"/>
        <v>0</v>
      </c>
      <c r="P38" s="108">
        <f t="shared" si="8"/>
        <v>0</v>
      </c>
      <c r="Q38" s="107">
        <f t="shared" si="8"/>
        <v>0</v>
      </c>
      <c r="R38" s="45">
        <f t="shared" si="8"/>
        <v>0</v>
      </c>
      <c r="S38" s="106">
        <f t="shared" si="8"/>
        <v>0</v>
      </c>
      <c r="T38" s="45">
        <f t="shared" si="8"/>
        <v>0</v>
      </c>
      <c r="U38" s="106">
        <f t="shared" si="8"/>
        <v>0</v>
      </c>
      <c r="V38" s="46">
        <f t="shared" si="8"/>
        <v>0</v>
      </c>
      <c r="W38" s="106">
        <f t="shared" si="8"/>
        <v>0</v>
      </c>
      <c r="X38" s="114">
        <f t="shared" si="8"/>
        <v>0</v>
      </c>
      <c r="Y38" s="195">
        <f t="shared" si="8"/>
        <v>0</v>
      </c>
      <c r="Z38" s="196">
        <f t="shared" si="8"/>
        <v>0</v>
      </c>
      <c r="AA38" s="120">
        <f t="shared" si="8"/>
        <v>0</v>
      </c>
      <c r="AB38" s="54">
        <f>SUM(R38,T38,V38,X38,Z38)</f>
        <v>0</v>
      </c>
      <c r="AC38" s="44"/>
    </row>
    <row r="39" spans="1:29" s="47" customFormat="1" x14ac:dyDescent="0.2">
      <c r="A39" s="48" t="s">
        <v>141</v>
      </c>
      <c r="B39" s="49" t="s">
        <v>141</v>
      </c>
      <c r="C39" s="50" t="s">
        <v>141</v>
      </c>
      <c r="D39" s="51">
        <v>1</v>
      </c>
      <c r="E39" s="5"/>
      <c r="F39" s="6"/>
      <c r="G39" s="4"/>
      <c r="H39" s="6"/>
      <c r="I39" s="4"/>
      <c r="J39" s="6"/>
      <c r="K39" s="4"/>
      <c r="L39" s="6"/>
      <c r="M39" s="4"/>
      <c r="N39" s="7"/>
      <c r="O39" s="17"/>
      <c r="P39" s="108">
        <f>SUM(F39,H39,J39,L39,N39)</f>
        <v>0</v>
      </c>
      <c r="Q39" s="110"/>
      <c r="R39" s="29"/>
      <c r="S39" s="110"/>
      <c r="T39" s="29"/>
      <c r="U39" s="110"/>
      <c r="V39" s="29"/>
      <c r="W39" s="110"/>
      <c r="X39" s="29"/>
      <c r="Y39" s="188"/>
      <c r="Z39" s="189"/>
      <c r="AA39" s="28"/>
      <c r="AB39" s="54">
        <f>SUM(R39,T39,V39,X39,Z39)</f>
        <v>0</v>
      </c>
      <c r="AC39" s="44"/>
    </row>
    <row r="40" spans="1:29" s="47" customFormat="1" x14ac:dyDescent="0.2">
      <c r="A40" s="56"/>
      <c r="B40" s="57"/>
      <c r="C40" s="50"/>
      <c r="D40" s="55" t="str">
        <f>CHAR(132)</f>
        <v>„</v>
      </c>
      <c r="E40" s="109"/>
      <c r="F40" s="29"/>
      <c r="G40" s="110"/>
      <c r="H40" s="29"/>
      <c r="I40" s="110"/>
      <c r="J40" s="29"/>
      <c r="K40" s="110"/>
      <c r="L40" s="29"/>
      <c r="M40" s="110"/>
      <c r="N40" s="17"/>
      <c r="O40" s="17"/>
      <c r="P40" s="104"/>
      <c r="Q40" s="110"/>
      <c r="R40" s="29"/>
      <c r="S40" s="110"/>
      <c r="T40" s="29"/>
      <c r="U40" s="110"/>
      <c r="V40" s="29"/>
      <c r="W40" s="110"/>
      <c r="X40" s="29"/>
      <c r="Y40" s="190"/>
      <c r="Z40" s="53"/>
      <c r="AA40" s="29"/>
      <c r="AB40" s="54"/>
      <c r="AC40" s="44"/>
    </row>
    <row r="41" spans="1:29" s="47" customFormat="1" ht="12" thickBot="1" x14ac:dyDescent="0.25">
      <c r="A41" s="414" t="s">
        <v>21</v>
      </c>
      <c r="B41" s="364"/>
      <c r="C41" s="365" t="s">
        <v>139</v>
      </c>
      <c r="D41" s="366"/>
      <c r="E41" s="121">
        <f>SUM(E37,E38)</f>
        <v>0</v>
      </c>
      <c r="F41" s="62">
        <f t="shared" ref="F41:Z41" si="9">SUM(F37,F38)</f>
        <v>0</v>
      </c>
      <c r="G41" s="122">
        <f t="shared" si="9"/>
        <v>0</v>
      </c>
      <c r="H41" s="62">
        <f t="shared" si="9"/>
        <v>0</v>
      </c>
      <c r="I41" s="122">
        <f t="shared" si="9"/>
        <v>0</v>
      </c>
      <c r="J41" s="62">
        <f t="shared" si="9"/>
        <v>0</v>
      </c>
      <c r="K41" s="122">
        <f t="shared" si="9"/>
        <v>0</v>
      </c>
      <c r="L41" s="62">
        <f t="shared" si="9"/>
        <v>0</v>
      </c>
      <c r="M41" s="122">
        <f t="shared" si="9"/>
        <v>0</v>
      </c>
      <c r="N41" s="20">
        <f t="shared" si="9"/>
        <v>0</v>
      </c>
      <c r="O41" s="20"/>
      <c r="P41" s="123">
        <f>SUM(F41,H41,J41,L41,N41)</f>
        <v>0</v>
      </c>
      <c r="Q41" s="122">
        <f t="shared" si="9"/>
        <v>0</v>
      </c>
      <c r="R41" s="62">
        <f t="shared" si="9"/>
        <v>0</v>
      </c>
      <c r="S41" s="122">
        <f t="shared" si="9"/>
        <v>0</v>
      </c>
      <c r="T41" s="62">
        <f t="shared" si="9"/>
        <v>0</v>
      </c>
      <c r="U41" s="122">
        <f t="shared" si="9"/>
        <v>0</v>
      </c>
      <c r="V41" s="62">
        <f t="shared" si="9"/>
        <v>0</v>
      </c>
      <c r="W41" s="122">
        <f t="shared" si="9"/>
        <v>0</v>
      </c>
      <c r="X41" s="62">
        <f t="shared" si="9"/>
        <v>0</v>
      </c>
      <c r="Y41" s="197">
        <f t="shared" si="9"/>
        <v>0</v>
      </c>
      <c r="Z41" s="198">
        <f t="shared" si="9"/>
        <v>0</v>
      </c>
      <c r="AA41" s="31"/>
      <c r="AB41" s="62">
        <f>SUM(R41,T41,V41,X41,Z41)</f>
        <v>0</v>
      </c>
      <c r="AC41" s="44"/>
    </row>
    <row r="42" spans="1:29" ht="12" thickTop="1" x14ac:dyDescent="0.2">
      <c r="A42" s="100" t="s">
        <v>186</v>
      </c>
      <c r="D42" s="100" t="s">
        <v>186</v>
      </c>
      <c r="Q42" s="124"/>
    </row>
    <row r="44" spans="1:29" x14ac:dyDescent="0.2">
      <c r="A44" s="64" t="s">
        <v>219</v>
      </c>
    </row>
  </sheetData>
  <sheetProtection algorithmName="SHA-512" hashValue="kEoadTk185QirBaqe7o8UYoOB0sRMjEk3LqeAWx4hbiLgGbkPR+U9QpPeLRubG3MEB20p5rlNAClOzR7/6ovcA==" saltValue="2JE71DrMEXBC5Wtyo8B+9w==" spinCount="100000" sheet="1" objects="1" scenarios="1" selectLockedCells="1"/>
  <mergeCells count="48">
    <mergeCell ref="Q6:AB6"/>
    <mergeCell ref="M7:N7"/>
    <mergeCell ref="K7:L7"/>
    <mergeCell ref="E6:P6"/>
    <mergeCell ref="AB7:AB9"/>
    <mergeCell ref="E7:F7"/>
    <mergeCell ref="I7:J7"/>
    <mergeCell ref="G7:H7"/>
    <mergeCell ref="V8:V9"/>
    <mergeCell ref="Y8:Y9"/>
    <mergeCell ref="A6:B6"/>
    <mergeCell ref="C6:C9"/>
    <mergeCell ref="D6:D9"/>
    <mergeCell ref="A7:A9"/>
    <mergeCell ref="B7:B9"/>
    <mergeCell ref="U7:V7"/>
    <mergeCell ref="U8:U9"/>
    <mergeCell ref="R8:R9"/>
    <mergeCell ref="Q8:Q9"/>
    <mergeCell ref="S7:T7"/>
    <mergeCell ref="Y7:Z7"/>
    <mergeCell ref="X8:X9"/>
    <mergeCell ref="W8:W9"/>
    <mergeCell ref="W7:X7"/>
    <mergeCell ref="Z8:Z9"/>
    <mergeCell ref="I8:I9"/>
    <mergeCell ref="Q7:R7"/>
    <mergeCell ref="J8:J9"/>
    <mergeCell ref="P7:P9"/>
    <mergeCell ref="N8:N9"/>
    <mergeCell ref="T8:T9"/>
    <mergeCell ref="A10:B10"/>
    <mergeCell ref="F8:F9"/>
    <mergeCell ref="G8:G9"/>
    <mergeCell ref="H8:H9"/>
    <mergeCell ref="A13:B13"/>
    <mergeCell ref="S8:S9"/>
    <mergeCell ref="K8:K9"/>
    <mergeCell ref="M8:M9"/>
    <mergeCell ref="L8:L9"/>
    <mergeCell ref="A31:B31"/>
    <mergeCell ref="E8:E9"/>
    <mergeCell ref="A34:B34"/>
    <mergeCell ref="C37:D37"/>
    <mergeCell ref="C41:D41"/>
    <mergeCell ref="A41:B41"/>
    <mergeCell ref="A37:B37"/>
    <mergeCell ref="A38:B38"/>
  </mergeCells>
  <phoneticPr fontId="0" type="noConversion"/>
  <dataValidations count="5">
    <dataValidation allowBlank="1" showInputMessage="1" showErrorMessage="1" errorTitle="Add/Rev" error="Possible values: 'A','R',{Blank}" sqref="D42"/>
    <dataValidation type="decimal" allowBlank="1" showInputMessage="1" showErrorMessage="1" error="Invalid Input." sqref="O40:P40 O39 AA39:AA40 P30 AA32:AA33 O32:O33 O14:O30 O12:P12 AA14:AA30 O11 AA11:AA12">
      <formula1>-999999999999.99</formula1>
      <formula2>999999999999.99</formula2>
    </dataValidation>
    <dataValidation type="decimal" operator="greaterThanOrEqual" allowBlank="1" showInputMessage="1" showErrorMessage="1" error="Invalid Input." sqref="E40:N40 F39:N39 Q39:Z40 E32:N33 Q32:Z33 Q14:Z30 E12:N12 E14:N30 F11:N11 Q11:Z12">
      <formula1>0</formula1>
    </dataValidation>
    <dataValidation allowBlank="1" showInputMessage="1" showErrorMessage="1" sqref="A39:C39 A34:C35 C14:C29 A11:C11"/>
    <dataValidation type="decimal" operator="greaterThanOrEqual" allowBlank="1" showInputMessage="1" showErrorMessage="1" error="Invalid input." sqref="E36:AB36 E39 E34:W34 Y34:AA34 E35:O35 Q35:AA35 E11">
      <formula1>0</formula1>
    </dataValidation>
  </dataValidations>
  <pageMargins left="0.25" right="0.25" top="1" bottom="0.5" header="0.5" footer="0.5"/>
  <pageSetup paperSize="9" scale="75" orientation="landscape" r:id="rId1"/>
  <headerFooter alignWithMargins="0">
    <oddHeader>&amp;C&amp;"Arial,Bold"&amp;8 NEW RB OF SAN LEONARDO(N.E.) INC  [ 04-040656 ]
 As of: September 30, 2017</oddHeader>
  </headerFooter>
  <colBreaks count="1" manualBreakCount="1">
    <brk id="24" max="33"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sheetPr>
  <dimension ref="A1:Z88"/>
  <sheetViews>
    <sheetView zoomScaleNormal="100" zoomScaleSheetLayoutView="100" workbookViewId="0">
      <pane xSplit="7" ySplit="9" topLeftCell="N10" activePane="bottomRight" state="frozen"/>
      <selection activeCell="I29" sqref="I29"/>
      <selection pane="topRight" activeCell="I29" sqref="I29"/>
      <selection pane="bottomLeft" activeCell="I29" sqref="I29"/>
      <selection pane="bottomRight" activeCell="I14" sqref="I14"/>
    </sheetView>
  </sheetViews>
  <sheetFormatPr defaultRowHeight="11.25" x14ac:dyDescent="0.2"/>
  <cols>
    <col min="1" max="4" width="2.7109375" style="42" customWidth="1"/>
    <col min="5" max="5" width="30.7109375" style="42" customWidth="1"/>
    <col min="6" max="6" width="32" style="42" hidden="1" customWidth="1"/>
    <col min="7" max="7" width="18.7109375" style="179" customWidth="1"/>
    <col min="8" max="8" width="16.5703125" style="176" hidden="1" customWidth="1"/>
    <col min="9" max="10" width="15.7109375" style="42" customWidth="1"/>
    <col min="11" max="11" width="15.7109375" style="177" customWidth="1"/>
    <col min="12" max="13" width="15.7109375" style="42" customWidth="1"/>
    <col min="14" max="14" width="15.7109375" style="177" customWidth="1"/>
    <col min="15" max="16" width="15.7109375" style="42" customWidth="1"/>
    <col min="17" max="17" width="15.7109375" style="177" customWidth="1"/>
    <col min="18" max="19" width="15.7109375" style="42" customWidth="1"/>
    <col min="20" max="20" width="15.7109375" style="177" customWidth="1"/>
    <col min="21" max="25" width="15.7109375" style="42" customWidth="1"/>
    <col min="26" max="26" width="20.140625" style="42" customWidth="1"/>
    <col min="27" max="16384" width="9.140625" style="42"/>
  </cols>
  <sheetData>
    <row r="1" spans="1:26" x14ac:dyDescent="0.2">
      <c r="A1" s="456" t="s">
        <v>80</v>
      </c>
      <c r="B1" s="456"/>
      <c r="C1" s="456"/>
      <c r="D1" s="456"/>
      <c r="E1" s="456"/>
      <c r="F1" s="456"/>
      <c r="G1" s="456"/>
      <c r="H1" s="456"/>
      <c r="I1" s="456"/>
      <c r="J1" s="456"/>
      <c r="K1" s="456"/>
      <c r="L1" s="456"/>
      <c r="M1" s="456"/>
      <c r="N1" s="456"/>
      <c r="O1" s="456"/>
      <c r="P1" s="456"/>
      <c r="Q1" s="456"/>
      <c r="R1" s="456"/>
      <c r="S1" s="456"/>
      <c r="T1" s="456"/>
      <c r="U1" s="456"/>
      <c r="V1" s="456"/>
      <c r="W1" s="456"/>
      <c r="X1" s="456"/>
      <c r="Y1" s="456"/>
      <c r="Z1" s="456"/>
    </row>
    <row r="2" spans="1:26" hidden="1" x14ac:dyDescent="0.2">
      <c r="A2" s="125"/>
      <c r="B2" s="125"/>
      <c r="C2" s="125"/>
      <c r="D2" s="125"/>
      <c r="E2" s="125"/>
      <c r="F2" s="125"/>
      <c r="G2" s="126"/>
      <c r="H2" s="127"/>
      <c r="I2" s="125"/>
      <c r="J2" s="125"/>
      <c r="K2" s="125"/>
      <c r="L2" s="125"/>
      <c r="M2" s="125"/>
      <c r="N2" s="125"/>
      <c r="O2" s="125"/>
      <c r="P2" s="125"/>
      <c r="Q2" s="125"/>
      <c r="R2" s="125"/>
      <c r="S2" s="125"/>
      <c r="T2" s="125"/>
      <c r="U2" s="125"/>
      <c r="V2" s="125"/>
      <c r="W2" s="125"/>
      <c r="X2" s="125"/>
      <c r="Y2" s="125"/>
      <c r="Z2" s="125"/>
    </row>
    <row r="3" spans="1:26" hidden="1" x14ac:dyDescent="0.2">
      <c r="A3" s="125"/>
      <c r="B3" s="125"/>
      <c r="C3" s="125"/>
      <c r="D3" s="125"/>
      <c r="E3" s="125"/>
      <c r="F3" s="125"/>
      <c r="G3" s="126"/>
      <c r="H3" s="127"/>
      <c r="I3" s="125"/>
      <c r="J3" s="125"/>
      <c r="K3" s="125"/>
      <c r="L3" s="125"/>
      <c r="M3" s="125"/>
      <c r="N3" s="125"/>
      <c r="O3" s="125"/>
      <c r="P3" s="125"/>
      <c r="Q3" s="125"/>
      <c r="R3" s="125"/>
      <c r="S3" s="125"/>
      <c r="T3" s="125"/>
      <c r="U3" s="125"/>
      <c r="V3" s="125"/>
      <c r="W3" s="125"/>
      <c r="X3" s="125"/>
      <c r="Y3" s="125"/>
      <c r="Z3" s="125"/>
    </row>
    <row r="4" spans="1:26" ht="12" thickBot="1" x14ac:dyDescent="0.25">
      <c r="A4" s="125"/>
      <c r="B4" s="125"/>
      <c r="C4" s="125"/>
      <c r="D4" s="125"/>
      <c r="E4" s="125"/>
      <c r="F4" s="125"/>
      <c r="G4" s="126"/>
      <c r="H4" s="127"/>
      <c r="I4" s="125"/>
      <c r="J4" s="125"/>
      <c r="K4" s="125"/>
      <c r="L4" s="125"/>
      <c r="M4" s="125"/>
      <c r="N4" s="125"/>
      <c r="O4" s="125"/>
      <c r="P4" s="125"/>
      <c r="Q4" s="125"/>
      <c r="R4" s="125"/>
      <c r="S4" s="125"/>
      <c r="T4" s="125"/>
      <c r="U4" s="125"/>
      <c r="V4" s="125"/>
      <c r="W4" s="125"/>
      <c r="X4" s="125"/>
      <c r="Y4" s="125"/>
      <c r="Z4" s="125"/>
    </row>
    <row r="5" spans="1:26" ht="12" hidden="1" thickBot="1" x14ac:dyDescent="0.25">
      <c r="A5" s="125"/>
      <c r="B5" s="125"/>
      <c r="C5" s="125"/>
      <c r="D5" s="125"/>
      <c r="E5" s="125"/>
      <c r="F5" s="125"/>
      <c r="G5" s="126"/>
      <c r="H5" s="127"/>
      <c r="I5" s="125"/>
      <c r="J5" s="125"/>
      <c r="K5" s="125"/>
      <c r="L5" s="125"/>
      <c r="M5" s="125"/>
      <c r="N5" s="125"/>
      <c r="O5" s="125"/>
      <c r="P5" s="125"/>
      <c r="Q5" s="125"/>
      <c r="R5" s="125"/>
      <c r="S5" s="125"/>
      <c r="T5" s="125"/>
      <c r="U5" s="125"/>
      <c r="V5" s="125"/>
      <c r="W5" s="125"/>
      <c r="X5" s="125"/>
      <c r="Y5" s="125"/>
      <c r="Z5" s="125"/>
    </row>
    <row r="6" spans="1:26" ht="12" hidden="1" thickBot="1" x14ac:dyDescent="0.25">
      <c r="A6" s="125"/>
      <c r="B6" s="125"/>
      <c r="C6" s="125"/>
      <c r="D6" s="125"/>
      <c r="E6" s="125"/>
      <c r="F6" s="125"/>
      <c r="G6" s="126"/>
      <c r="H6" s="127"/>
      <c r="I6" s="125"/>
      <c r="J6" s="125"/>
      <c r="K6" s="125"/>
      <c r="L6" s="125"/>
      <c r="M6" s="125"/>
      <c r="N6" s="125"/>
      <c r="O6" s="125"/>
      <c r="P6" s="125"/>
      <c r="Q6" s="125"/>
      <c r="R6" s="125"/>
      <c r="S6" s="125"/>
      <c r="T6" s="125"/>
      <c r="U6" s="125"/>
      <c r="V6" s="125"/>
      <c r="W6" s="125"/>
      <c r="X6" s="125"/>
      <c r="Y6" s="125"/>
      <c r="Z6" s="125"/>
    </row>
    <row r="7" spans="1:26" s="130" customFormat="1" ht="12" thickTop="1" x14ac:dyDescent="0.25">
      <c r="A7" s="449" t="s">
        <v>81</v>
      </c>
      <c r="B7" s="450"/>
      <c r="C7" s="450"/>
      <c r="D7" s="450"/>
      <c r="E7" s="451"/>
      <c r="F7" s="128"/>
      <c r="G7" s="457" t="s">
        <v>15</v>
      </c>
      <c r="H7" s="129"/>
      <c r="I7" s="389" t="s">
        <v>83</v>
      </c>
      <c r="J7" s="452"/>
      <c r="K7" s="452"/>
      <c r="L7" s="452"/>
      <c r="M7" s="452"/>
      <c r="N7" s="452"/>
      <c r="O7" s="452"/>
      <c r="P7" s="390"/>
      <c r="Q7" s="389" t="s">
        <v>91</v>
      </c>
      <c r="R7" s="452"/>
      <c r="S7" s="453"/>
      <c r="T7" s="389" t="s">
        <v>95</v>
      </c>
      <c r="U7" s="452"/>
      <c r="V7" s="452"/>
      <c r="W7" s="452"/>
      <c r="X7" s="453"/>
      <c r="Y7" s="453"/>
      <c r="Z7" s="387" t="s">
        <v>21</v>
      </c>
    </row>
    <row r="8" spans="1:26" s="130" customFormat="1" x14ac:dyDescent="0.25">
      <c r="A8" s="441" t="s">
        <v>82</v>
      </c>
      <c r="B8" s="442"/>
      <c r="C8" s="442"/>
      <c r="D8" s="442"/>
      <c r="E8" s="443"/>
      <c r="F8" s="131"/>
      <c r="G8" s="458"/>
      <c r="H8" s="132"/>
      <c r="I8" s="400" t="s">
        <v>34</v>
      </c>
      <c r="J8" s="401" t="s">
        <v>84</v>
      </c>
      <c r="K8" s="401" t="s">
        <v>85</v>
      </c>
      <c r="L8" s="401" t="s">
        <v>86</v>
      </c>
      <c r="M8" s="401" t="s">
        <v>87</v>
      </c>
      <c r="N8" s="401" t="s">
        <v>88</v>
      </c>
      <c r="O8" s="401" t="s">
        <v>89</v>
      </c>
      <c r="P8" s="402" t="s">
        <v>90</v>
      </c>
      <c r="Q8" s="400" t="s">
        <v>92</v>
      </c>
      <c r="R8" s="401" t="s">
        <v>93</v>
      </c>
      <c r="S8" s="454" t="s">
        <v>94</v>
      </c>
      <c r="T8" s="400" t="s">
        <v>96</v>
      </c>
      <c r="U8" s="401" t="s">
        <v>97</v>
      </c>
      <c r="V8" s="401" t="s">
        <v>98</v>
      </c>
      <c r="W8" s="401" t="s">
        <v>99</v>
      </c>
      <c r="X8" s="402" t="s">
        <v>100</v>
      </c>
      <c r="Y8" s="402" t="s">
        <v>189</v>
      </c>
      <c r="Z8" s="388"/>
    </row>
    <row r="9" spans="1:26" s="130" customFormat="1" ht="12" customHeight="1" thickBot="1" x14ac:dyDescent="0.3">
      <c r="A9" s="444"/>
      <c r="B9" s="445"/>
      <c r="C9" s="445"/>
      <c r="D9" s="445"/>
      <c r="E9" s="446"/>
      <c r="F9" s="133"/>
      <c r="G9" s="459"/>
      <c r="H9" s="134"/>
      <c r="I9" s="447"/>
      <c r="J9" s="439"/>
      <c r="K9" s="439"/>
      <c r="L9" s="439"/>
      <c r="M9" s="439"/>
      <c r="N9" s="439"/>
      <c r="O9" s="439"/>
      <c r="P9" s="448"/>
      <c r="Q9" s="447"/>
      <c r="R9" s="439"/>
      <c r="S9" s="455"/>
      <c r="T9" s="447"/>
      <c r="U9" s="439"/>
      <c r="V9" s="439"/>
      <c r="W9" s="439"/>
      <c r="X9" s="448"/>
      <c r="Y9" s="448"/>
      <c r="Z9" s="460"/>
    </row>
    <row r="10" spans="1:26" s="142" customFormat="1" ht="11.45" customHeight="1" thickTop="1" x14ac:dyDescent="0.25">
      <c r="A10" s="135" t="s">
        <v>101</v>
      </c>
      <c r="B10" s="136" t="s">
        <v>102</v>
      </c>
      <c r="C10" s="137"/>
      <c r="D10" s="137"/>
      <c r="E10" s="138"/>
      <c r="F10" s="137"/>
      <c r="G10" s="139" t="s">
        <v>7</v>
      </c>
      <c r="H10" s="140"/>
      <c r="I10" s="8"/>
      <c r="J10" s="8"/>
      <c r="K10" s="8"/>
      <c r="L10" s="8"/>
      <c r="M10" s="8"/>
      <c r="N10" s="8"/>
      <c r="O10" s="8"/>
      <c r="P10" s="8"/>
      <c r="Q10" s="8"/>
      <c r="R10" s="8"/>
      <c r="S10" s="8"/>
      <c r="T10" s="8"/>
      <c r="U10" s="8"/>
      <c r="V10" s="8"/>
      <c r="W10" s="8"/>
      <c r="X10" s="9"/>
      <c r="Y10" s="9"/>
      <c r="Z10" s="141">
        <f>SUM(I10:Y10)</f>
        <v>0</v>
      </c>
    </row>
    <row r="11" spans="1:26" s="154" customFormat="1" ht="11.45" customHeight="1" x14ac:dyDescent="0.25">
      <c r="A11" s="143"/>
      <c r="B11" s="144" t="s">
        <v>103</v>
      </c>
      <c r="C11" s="145" t="s">
        <v>23</v>
      </c>
      <c r="D11" s="146"/>
      <c r="E11" s="147"/>
      <c r="F11" s="148"/>
      <c r="G11" s="149" t="s">
        <v>6</v>
      </c>
      <c r="H11" s="150"/>
      <c r="I11" s="10"/>
      <c r="J11" s="10"/>
      <c r="K11" s="10"/>
      <c r="L11" s="10"/>
      <c r="M11" s="10"/>
      <c r="N11" s="10"/>
      <c r="O11" s="10"/>
      <c r="P11" s="10"/>
      <c r="Q11" s="10"/>
      <c r="R11" s="10"/>
      <c r="S11" s="10"/>
      <c r="T11" s="10"/>
      <c r="U11" s="10"/>
      <c r="V11" s="10"/>
      <c r="W11" s="10"/>
      <c r="X11" s="11"/>
      <c r="Y11" s="11"/>
      <c r="Z11" s="153">
        <f>SUM(I11:Y11)</f>
        <v>0</v>
      </c>
    </row>
    <row r="12" spans="1:26" s="154" customFormat="1" ht="11.45" customHeight="1" x14ac:dyDescent="0.25">
      <c r="A12" s="143" t="s">
        <v>16</v>
      </c>
      <c r="B12" s="155" t="s">
        <v>104</v>
      </c>
      <c r="C12" s="155"/>
      <c r="D12" s="155"/>
      <c r="E12" s="156"/>
      <c r="F12" s="155"/>
      <c r="G12" s="157" t="s">
        <v>5</v>
      </c>
      <c r="H12" s="158"/>
      <c r="I12" s="159">
        <f>SUM(I10,-I11)</f>
        <v>0</v>
      </c>
      <c r="J12" s="159">
        <f>SUM(J10,-J11)</f>
        <v>0</v>
      </c>
      <c r="K12" s="159">
        <f t="shared" ref="K12:Y12" si="0">SUM(K10,-K11)</f>
        <v>0</v>
      </c>
      <c r="L12" s="159">
        <f t="shared" si="0"/>
        <v>0</v>
      </c>
      <c r="M12" s="159">
        <f t="shared" si="0"/>
        <v>0</v>
      </c>
      <c r="N12" s="159">
        <f t="shared" si="0"/>
        <v>0</v>
      </c>
      <c r="O12" s="159">
        <f t="shared" si="0"/>
        <v>0</v>
      </c>
      <c r="P12" s="159">
        <f t="shared" si="0"/>
        <v>0</v>
      </c>
      <c r="Q12" s="159">
        <f t="shared" si="0"/>
        <v>0</v>
      </c>
      <c r="R12" s="159">
        <f t="shared" si="0"/>
        <v>0</v>
      </c>
      <c r="S12" s="159">
        <f>SUM(S10,-S11)</f>
        <v>0</v>
      </c>
      <c r="T12" s="159">
        <f t="shared" si="0"/>
        <v>0</v>
      </c>
      <c r="U12" s="159">
        <f t="shared" si="0"/>
        <v>0</v>
      </c>
      <c r="V12" s="159">
        <f t="shared" si="0"/>
        <v>0</v>
      </c>
      <c r="W12" s="159">
        <f t="shared" si="0"/>
        <v>0</v>
      </c>
      <c r="X12" s="159">
        <f t="shared" si="0"/>
        <v>0</v>
      </c>
      <c r="Y12" s="159">
        <f t="shared" si="0"/>
        <v>0</v>
      </c>
      <c r="Z12" s="153">
        <f>SUM(I12:Y12)</f>
        <v>0</v>
      </c>
    </row>
    <row r="13" spans="1:26" s="154" customFormat="1" ht="11.45" customHeight="1" x14ac:dyDescent="0.25">
      <c r="A13" s="143" t="s">
        <v>17</v>
      </c>
      <c r="B13" s="155" t="s">
        <v>42</v>
      </c>
      <c r="C13" s="160"/>
      <c r="D13" s="155"/>
      <c r="E13" s="156"/>
      <c r="F13" s="155"/>
      <c r="G13" s="161"/>
      <c r="H13" s="158"/>
      <c r="I13" s="159"/>
      <c r="J13" s="159"/>
      <c r="K13" s="159"/>
      <c r="L13" s="159"/>
      <c r="M13" s="159"/>
      <c r="N13" s="159"/>
      <c r="O13" s="159"/>
      <c r="P13" s="159"/>
      <c r="Q13" s="159"/>
      <c r="R13" s="159"/>
      <c r="S13" s="159"/>
      <c r="T13" s="159"/>
      <c r="U13" s="159"/>
      <c r="V13" s="159"/>
      <c r="W13" s="159"/>
      <c r="X13" s="159"/>
      <c r="Y13" s="159"/>
      <c r="Z13" s="153"/>
    </row>
    <row r="14" spans="1:26" s="154" customFormat="1" ht="11.45" customHeight="1" x14ac:dyDescent="0.25">
      <c r="A14" s="162"/>
      <c r="B14" s="155" t="s">
        <v>105</v>
      </c>
      <c r="C14" s="155" t="s">
        <v>106</v>
      </c>
      <c r="D14" s="155"/>
      <c r="E14" s="156"/>
      <c r="F14" s="155"/>
      <c r="G14" s="161" t="s">
        <v>122</v>
      </c>
      <c r="H14" s="158"/>
      <c r="I14" s="10"/>
      <c r="J14" s="10"/>
      <c r="K14" s="10"/>
      <c r="L14" s="10"/>
      <c r="M14" s="10"/>
      <c r="N14" s="10"/>
      <c r="O14" s="10"/>
      <c r="P14" s="10"/>
      <c r="Q14" s="10"/>
      <c r="R14" s="10"/>
      <c r="S14" s="10"/>
      <c r="T14" s="10"/>
      <c r="U14" s="10"/>
      <c r="V14" s="10"/>
      <c r="W14" s="10"/>
      <c r="X14" s="11"/>
      <c r="Y14" s="11"/>
      <c r="Z14" s="153">
        <f t="shared" ref="Z14:Z19" si="1">SUM(I14:Y14)</f>
        <v>0</v>
      </c>
    </row>
    <row r="15" spans="1:26" s="154" customFormat="1" ht="11.45" customHeight="1" x14ac:dyDescent="0.25">
      <c r="A15" s="162"/>
      <c r="B15" s="155" t="s">
        <v>107</v>
      </c>
      <c r="C15" s="144" t="s">
        <v>108</v>
      </c>
      <c r="D15" s="155"/>
      <c r="E15" s="156"/>
      <c r="F15" s="155"/>
      <c r="G15" s="157" t="s">
        <v>123</v>
      </c>
      <c r="H15" s="158"/>
      <c r="I15" s="10"/>
      <c r="J15" s="10"/>
      <c r="K15" s="10"/>
      <c r="L15" s="10"/>
      <c r="M15" s="10"/>
      <c r="N15" s="10"/>
      <c r="O15" s="10"/>
      <c r="P15" s="10"/>
      <c r="Q15" s="10"/>
      <c r="R15" s="10"/>
      <c r="S15" s="10"/>
      <c r="T15" s="10"/>
      <c r="U15" s="10"/>
      <c r="V15" s="10"/>
      <c r="W15" s="10"/>
      <c r="X15" s="11"/>
      <c r="Y15" s="11"/>
      <c r="Z15" s="153">
        <f t="shared" si="1"/>
        <v>0</v>
      </c>
    </row>
    <row r="16" spans="1:26" s="154" customFormat="1" ht="11.45" customHeight="1" x14ac:dyDescent="0.25">
      <c r="A16" s="162"/>
      <c r="B16" s="155" t="s">
        <v>109</v>
      </c>
      <c r="C16" s="144" t="s">
        <v>110</v>
      </c>
      <c r="D16" s="160"/>
      <c r="E16" s="156"/>
      <c r="F16" s="155"/>
      <c r="G16" s="157" t="s">
        <v>124</v>
      </c>
      <c r="H16" s="158"/>
      <c r="I16" s="10"/>
      <c r="J16" s="10"/>
      <c r="K16" s="10"/>
      <c r="L16" s="10"/>
      <c r="M16" s="10"/>
      <c r="N16" s="10"/>
      <c r="O16" s="10"/>
      <c r="P16" s="10"/>
      <c r="Q16" s="10"/>
      <c r="R16" s="10"/>
      <c r="S16" s="10"/>
      <c r="T16" s="10"/>
      <c r="U16" s="10"/>
      <c r="V16" s="10"/>
      <c r="W16" s="10"/>
      <c r="X16" s="11"/>
      <c r="Y16" s="11"/>
      <c r="Z16" s="153">
        <f t="shared" si="1"/>
        <v>0</v>
      </c>
    </row>
    <row r="17" spans="1:26" s="154" customFormat="1" ht="11.45" customHeight="1" x14ac:dyDescent="0.25">
      <c r="A17" s="162"/>
      <c r="B17" s="155" t="s">
        <v>111</v>
      </c>
      <c r="C17" s="144" t="s">
        <v>112</v>
      </c>
      <c r="D17" s="155"/>
      <c r="E17" s="156"/>
      <c r="F17" s="155"/>
      <c r="G17" s="157" t="s">
        <v>125</v>
      </c>
      <c r="H17" s="158"/>
      <c r="I17" s="10"/>
      <c r="J17" s="10"/>
      <c r="K17" s="10"/>
      <c r="L17" s="10"/>
      <c r="M17" s="10"/>
      <c r="N17" s="10"/>
      <c r="O17" s="10"/>
      <c r="P17" s="10"/>
      <c r="Q17" s="10"/>
      <c r="R17" s="10"/>
      <c r="S17" s="10"/>
      <c r="T17" s="10"/>
      <c r="U17" s="10"/>
      <c r="V17" s="10"/>
      <c r="W17" s="10"/>
      <c r="X17" s="11"/>
      <c r="Y17" s="11"/>
      <c r="Z17" s="153">
        <f t="shared" si="1"/>
        <v>0</v>
      </c>
    </row>
    <row r="18" spans="1:26" s="154" customFormat="1" ht="11.45" customHeight="1" x14ac:dyDescent="0.25">
      <c r="A18" s="162"/>
      <c r="B18" s="155" t="s">
        <v>113</v>
      </c>
      <c r="C18" s="155" t="s">
        <v>78</v>
      </c>
      <c r="D18" s="155"/>
      <c r="E18" s="156"/>
      <c r="F18" s="155"/>
      <c r="G18" s="157" t="s">
        <v>126</v>
      </c>
      <c r="H18" s="158"/>
      <c r="I18" s="12"/>
      <c r="J18" s="12"/>
      <c r="K18" s="12"/>
      <c r="L18" s="12"/>
      <c r="M18" s="12"/>
      <c r="N18" s="12"/>
      <c r="O18" s="12"/>
      <c r="P18" s="12"/>
      <c r="Q18" s="12"/>
      <c r="R18" s="12"/>
      <c r="S18" s="12"/>
      <c r="T18" s="12"/>
      <c r="U18" s="12"/>
      <c r="V18" s="12"/>
      <c r="W18" s="12"/>
      <c r="X18" s="13"/>
      <c r="Y18" s="13"/>
      <c r="Z18" s="153">
        <f t="shared" si="1"/>
        <v>0</v>
      </c>
    </row>
    <row r="19" spans="1:26" s="154" customFormat="1" ht="11.45" customHeight="1" x14ac:dyDescent="0.25">
      <c r="A19" s="143" t="s">
        <v>114</v>
      </c>
      <c r="B19" s="155" t="s">
        <v>115</v>
      </c>
      <c r="C19" s="144"/>
      <c r="D19" s="155"/>
      <c r="E19" s="156"/>
      <c r="F19" s="155"/>
      <c r="G19" s="157" t="s">
        <v>55</v>
      </c>
      <c r="H19" s="158"/>
      <c r="I19" s="159">
        <f>SUM(I14:I18)</f>
        <v>0</v>
      </c>
      <c r="J19" s="159">
        <f t="shared" ref="J19:Y19" si="2">SUM(J14:J18)</f>
        <v>0</v>
      </c>
      <c r="K19" s="159">
        <f t="shared" si="2"/>
        <v>0</v>
      </c>
      <c r="L19" s="159">
        <f t="shared" si="2"/>
        <v>0</v>
      </c>
      <c r="M19" s="159">
        <f t="shared" si="2"/>
        <v>0</v>
      </c>
      <c r="N19" s="159">
        <f t="shared" si="2"/>
        <v>0</v>
      </c>
      <c r="O19" s="159">
        <f t="shared" si="2"/>
        <v>0</v>
      </c>
      <c r="P19" s="159">
        <f t="shared" si="2"/>
        <v>0</v>
      </c>
      <c r="Q19" s="159">
        <f t="shared" si="2"/>
        <v>0</v>
      </c>
      <c r="R19" s="159">
        <f t="shared" si="2"/>
        <v>0</v>
      </c>
      <c r="S19" s="159">
        <f>SUM(S14:S18)</f>
        <v>0</v>
      </c>
      <c r="T19" s="159">
        <f t="shared" si="2"/>
        <v>0</v>
      </c>
      <c r="U19" s="159">
        <f t="shared" si="2"/>
        <v>0</v>
      </c>
      <c r="V19" s="159">
        <f t="shared" si="2"/>
        <v>0</v>
      </c>
      <c r="W19" s="159">
        <f t="shared" si="2"/>
        <v>0</v>
      </c>
      <c r="X19" s="159">
        <f t="shared" si="2"/>
        <v>0</v>
      </c>
      <c r="Y19" s="159">
        <f t="shared" si="2"/>
        <v>0</v>
      </c>
      <c r="Z19" s="164">
        <f t="shared" si="1"/>
        <v>0</v>
      </c>
    </row>
    <row r="20" spans="1:26" s="154" customFormat="1" ht="11.45" customHeight="1" x14ac:dyDescent="0.25">
      <c r="A20" s="143" t="s">
        <v>116</v>
      </c>
      <c r="B20" s="155" t="s">
        <v>117</v>
      </c>
      <c r="C20" s="144"/>
      <c r="D20" s="160"/>
      <c r="E20" s="156"/>
      <c r="F20" s="155"/>
      <c r="G20" s="157"/>
      <c r="H20" s="158"/>
      <c r="I20" s="151"/>
      <c r="J20" s="151"/>
      <c r="K20" s="163"/>
      <c r="L20" s="151"/>
      <c r="M20" s="151"/>
      <c r="N20" s="163"/>
      <c r="O20" s="151"/>
      <c r="P20" s="151"/>
      <c r="Q20" s="163"/>
      <c r="R20" s="151"/>
      <c r="S20" s="151"/>
      <c r="T20" s="163"/>
      <c r="U20" s="151"/>
      <c r="V20" s="151"/>
      <c r="W20" s="151"/>
      <c r="X20" s="152"/>
      <c r="Y20" s="152"/>
      <c r="Z20" s="153"/>
    </row>
    <row r="21" spans="1:26" s="154" customFormat="1" ht="11.45" customHeight="1" x14ac:dyDescent="0.25">
      <c r="A21" s="162"/>
      <c r="B21" s="155" t="s">
        <v>118</v>
      </c>
      <c r="C21" s="144" t="s">
        <v>119</v>
      </c>
      <c r="D21" s="155"/>
      <c r="E21" s="156"/>
      <c r="F21" s="155"/>
      <c r="G21" s="157" t="s">
        <v>127</v>
      </c>
      <c r="H21" s="158"/>
      <c r="I21" s="165" t="str">
        <f>IF(I19&lt;&gt;0,I10/I19,"")</f>
        <v/>
      </c>
      <c r="J21" s="165" t="str">
        <f>IF(J19&lt;&gt;0,J10/J19,"")</f>
        <v/>
      </c>
      <c r="K21" s="165" t="str">
        <f t="shared" ref="K21:Z21" si="3">IF(K19&lt;&gt;0,K10/K19,"")</f>
        <v/>
      </c>
      <c r="L21" s="165" t="str">
        <f t="shared" si="3"/>
        <v/>
      </c>
      <c r="M21" s="165" t="str">
        <f t="shared" si="3"/>
        <v/>
      </c>
      <c r="N21" s="165" t="str">
        <f t="shared" si="3"/>
        <v/>
      </c>
      <c r="O21" s="165" t="str">
        <f t="shared" si="3"/>
        <v/>
      </c>
      <c r="P21" s="165" t="str">
        <f t="shared" si="3"/>
        <v/>
      </c>
      <c r="Q21" s="165" t="str">
        <f t="shared" si="3"/>
        <v/>
      </c>
      <c r="R21" s="165" t="str">
        <f t="shared" si="3"/>
        <v/>
      </c>
      <c r="S21" s="165" t="str">
        <f>IF(S19&lt;&gt;0,S10/S19,"")</f>
        <v/>
      </c>
      <c r="T21" s="165" t="str">
        <f t="shared" si="3"/>
        <v/>
      </c>
      <c r="U21" s="165" t="str">
        <f t="shared" si="3"/>
        <v/>
      </c>
      <c r="V21" s="165" t="str">
        <f t="shared" si="3"/>
        <v/>
      </c>
      <c r="W21" s="165" t="str">
        <f t="shared" si="3"/>
        <v/>
      </c>
      <c r="X21" s="165" t="str">
        <f t="shared" si="3"/>
        <v/>
      </c>
      <c r="Y21" s="165" t="str">
        <f t="shared" si="3"/>
        <v/>
      </c>
      <c r="Z21" s="166" t="str">
        <f t="shared" si="3"/>
        <v/>
      </c>
    </row>
    <row r="22" spans="1:26" s="154" customFormat="1" ht="11.45" customHeight="1" thickBot="1" x14ac:dyDescent="0.3">
      <c r="A22" s="167"/>
      <c r="B22" s="168" t="s">
        <v>121</v>
      </c>
      <c r="C22" s="169" t="s">
        <v>120</v>
      </c>
      <c r="D22" s="168"/>
      <c r="E22" s="170"/>
      <c r="F22" s="168"/>
      <c r="G22" s="171" t="s">
        <v>128</v>
      </c>
      <c r="H22" s="172"/>
      <c r="I22" s="173" t="str">
        <f>IF(I19&lt;&gt;0,I12/I19,"")</f>
        <v/>
      </c>
      <c r="J22" s="173" t="str">
        <f>IF(J19&lt;&gt;0,J12/J19,"")</f>
        <v/>
      </c>
      <c r="K22" s="173" t="str">
        <f t="shared" ref="K22:Z22" si="4">IF(K19&lt;&gt;0,K12/K19,"")</f>
        <v/>
      </c>
      <c r="L22" s="173" t="str">
        <f t="shared" si="4"/>
        <v/>
      </c>
      <c r="M22" s="173" t="str">
        <f t="shared" si="4"/>
        <v/>
      </c>
      <c r="N22" s="173" t="str">
        <f t="shared" si="4"/>
        <v/>
      </c>
      <c r="O22" s="173" t="str">
        <f t="shared" si="4"/>
        <v/>
      </c>
      <c r="P22" s="173" t="str">
        <f t="shared" si="4"/>
        <v/>
      </c>
      <c r="Q22" s="173" t="str">
        <f t="shared" si="4"/>
        <v/>
      </c>
      <c r="R22" s="173" t="str">
        <f t="shared" si="4"/>
        <v/>
      </c>
      <c r="S22" s="173" t="str">
        <f>IF(S19&lt;&gt;0,S12/S19,"")</f>
        <v/>
      </c>
      <c r="T22" s="173" t="str">
        <f t="shared" si="4"/>
        <v/>
      </c>
      <c r="U22" s="173" t="str">
        <f t="shared" si="4"/>
        <v/>
      </c>
      <c r="V22" s="173" t="str">
        <f t="shared" si="4"/>
        <v/>
      </c>
      <c r="W22" s="173" t="str">
        <f t="shared" si="4"/>
        <v/>
      </c>
      <c r="X22" s="173" t="str">
        <f t="shared" si="4"/>
        <v/>
      </c>
      <c r="Y22" s="173" t="str">
        <f t="shared" si="4"/>
        <v/>
      </c>
      <c r="Z22" s="174" t="str">
        <f t="shared" si="4"/>
        <v/>
      </c>
    </row>
    <row r="23" spans="1:26" ht="12" thickTop="1" x14ac:dyDescent="0.2">
      <c r="A23" s="100" t="s">
        <v>186</v>
      </c>
      <c r="E23" s="100" t="s">
        <v>186</v>
      </c>
      <c r="G23" s="175" t="s">
        <v>186</v>
      </c>
    </row>
    <row r="25" spans="1:26" ht="11.25" customHeight="1" x14ac:dyDescent="0.2">
      <c r="A25" s="178" t="s">
        <v>206</v>
      </c>
      <c r="B25" s="178"/>
      <c r="C25" s="178"/>
    </row>
    <row r="26" spans="1:26" x14ac:dyDescent="0.2">
      <c r="A26" s="178"/>
      <c r="B26" s="180" t="s">
        <v>207</v>
      </c>
      <c r="C26" s="178" t="s">
        <v>208</v>
      </c>
    </row>
    <row r="27" spans="1:26" ht="11.25" customHeight="1" x14ac:dyDescent="0.2">
      <c r="A27" s="178"/>
      <c r="B27" s="180" t="s">
        <v>209</v>
      </c>
      <c r="C27" s="178" t="s">
        <v>210</v>
      </c>
      <c r="G27" s="42"/>
      <c r="H27" s="42"/>
      <c r="K27" s="42"/>
      <c r="N27" s="42"/>
      <c r="Q27" s="42"/>
      <c r="T27" s="42"/>
    </row>
    <row r="28" spans="1:26" x14ac:dyDescent="0.2">
      <c r="A28" s="178"/>
      <c r="B28" s="180" t="s">
        <v>211</v>
      </c>
      <c r="C28" s="178" t="s">
        <v>212</v>
      </c>
    </row>
    <row r="29" spans="1:26" x14ac:dyDescent="0.2">
      <c r="A29" s="178"/>
      <c r="B29" s="180" t="s">
        <v>213</v>
      </c>
      <c r="C29" s="178" t="s">
        <v>214</v>
      </c>
    </row>
    <row r="30" spans="1:26" x14ac:dyDescent="0.2">
      <c r="A30" s="178"/>
      <c r="B30" s="180" t="s">
        <v>215</v>
      </c>
      <c r="C30" s="178" t="s">
        <v>216</v>
      </c>
    </row>
    <row r="86" spans="2:20" ht="22.5" customHeight="1" x14ac:dyDescent="0.2">
      <c r="C86" s="440"/>
      <c r="D86" s="440"/>
      <c r="E86" s="440"/>
      <c r="G86" s="42"/>
      <c r="H86" s="42"/>
      <c r="K86" s="42"/>
      <c r="N86" s="42"/>
      <c r="Q86" s="42"/>
      <c r="T86" s="42"/>
    </row>
    <row r="87" spans="2:20" ht="23.25" customHeight="1" x14ac:dyDescent="0.2">
      <c r="C87" s="440"/>
      <c r="D87" s="440"/>
      <c r="E87" s="440"/>
      <c r="G87" s="42"/>
      <c r="H87" s="42"/>
      <c r="K87" s="42"/>
      <c r="N87" s="42"/>
      <c r="Q87" s="42"/>
      <c r="T87" s="42"/>
    </row>
    <row r="88" spans="2:20" ht="22.5" customHeight="1" x14ac:dyDescent="0.2">
      <c r="B88" s="440"/>
      <c r="C88" s="440"/>
      <c r="D88" s="440"/>
      <c r="E88" s="440"/>
      <c r="G88" s="42"/>
      <c r="H88" s="42"/>
      <c r="K88" s="42"/>
      <c r="N88" s="42"/>
      <c r="Q88" s="42"/>
      <c r="T88" s="42"/>
    </row>
  </sheetData>
  <sheetProtection algorithmName="SHA-512" hashValue="42cFrdY+wAwjmWrvzBH4g4clEEOtQ/nW84K6IzByRJiZnx2tgzgbJZKIJHtFQcKrwl9CsRz9lQPPEnpzd0ZHFw==" saltValue="ZGC5+SELU67x2qmZ6Knhaw==" spinCount="100000" sheet="1" objects="1" scenarios="1" selectLockedCells="1"/>
  <mergeCells count="28">
    <mergeCell ref="S8:S9"/>
    <mergeCell ref="X8:X9"/>
    <mergeCell ref="Y8:Y9"/>
    <mergeCell ref="A1:Z1"/>
    <mergeCell ref="G7:G9"/>
    <mergeCell ref="Q7:S7"/>
    <mergeCell ref="R8:R9"/>
    <mergeCell ref="Z7:Z9"/>
    <mergeCell ref="O8:O9"/>
    <mergeCell ref="P8:P9"/>
    <mergeCell ref="A7:E7"/>
    <mergeCell ref="C86:E86"/>
    <mergeCell ref="T7:Y7"/>
    <mergeCell ref="T8:T9"/>
    <mergeCell ref="Q8:Q9"/>
    <mergeCell ref="I7:P7"/>
    <mergeCell ref="W8:W9"/>
    <mergeCell ref="V8:V9"/>
    <mergeCell ref="U8:U9"/>
    <mergeCell ref="K8:K9"/>
    <mergeCell ref="N8:N9"/>
    <mergeCell ref="C87:E87"/>
    <mergeCell ref="B88:E88"/>
    <mergeCell ref="A8:E9"/>
    <mergeCell ref="I8:I9"/>
    <mergeCell ref="J8:J9"/>
    <mergeCell ref="L8:L9"/>
    <mergeCell ref="M8:M9"/>
  </mergeCells>
  <phoneticPr fontId="0" type="noConversion"/>
  <dataValidations count="1">
    <dataValidation type="decimal" operator="greaterThanOrEqual" allowBlank="1" showInputMessage="1" showErrorMessage="1" error="Invalid input." sqref="I14:Y18 I10:Y11">
      <formula1>0</formula1>
    </dataValidation>
  </dataValidations>
  <pageMargins left="0.18" right="0.14000000000000001" top="0.55000000000000004" bottom="0.21" header="0.31" footer="0.21"/>
  <pageSetup paperSize="5" scale="84" orientation="landscape" horizontalDpi="4294967294" verticalDpi="300" r:id="rId1"/>
  <headerFooter alignWithMargins="0">
    <oddHeader>&amp;RPage &amp;P of &amp;N&amp;C&amp;"Arial,Bold"&amp;8 NEW RB OF SAN LEONARDO(N.E.) INC  [ 04-040656 ]
 As of: September 30, 2017</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H29"/>
  <sheetViews>
    <sheetView showGridLines="0" zoomScaleNormal="100" zoomScaleSheetLayoutView="100" workbookViewId="0">
      <pane xSplit="4" ySplit="9" topLeftCell="E10" activePane="bottomRight" state="frozen"/>
      <selection activeCell="I29" sqref="I29"/>
      <selection pane="topRight" activeCell="I29" sqref="I29"/>
      <selection pane="bottomLeft" activeCell="I29" sqref="I29"/>
      <selection pane="bottomRight" activeCell="E14" sqref="E14"/>
    </sheetView>
  </sheetViews>
  <sheetFormatPr defaultRowHeight="11.25" x14ac:dyDescent="0.2"/>
  <cols>
    <col min="1" max="2" width="25.5703125" style="42" customWidth="1"/>
    <col min="3" max="3" width="7.85546875" style="42" customWidth="1"/>
    <col min="4" max="4" width="6.5703125" style="42" customWidth="1"/>
    <col min="5" max="5" width="40.5703125" style="42" customWidth="1"/>
    <col min="6" max="6" width="17.5703125" style="42" customWidth="1"/>
    <col min="7" max="7" width="40.5703125" style="42" customWidth="1"/>
    <col min="8" max="8" width="9.140625" style="42" hidden="1" customWidth="1"/>
    <col min="9" max="16384" width="9.140625" style="42"/>
  </cols>
  <sheetData>
    <row r="1" spans="1:8" x14ac:dyDescent="0.2">
      <c r="A1" s="39" t="s">
        <v>187</v>
      </c>
      <c r="B1" s="40"/>
      <c r="C1" s="40"/>
      <c r="D1" s="40"/>
      <c r="E1" s="40"/>
      <c r="F1" s="40"/>
      <c r="G1" s="40"/>
    </row>
    <row r="2" spans="1:8" hidden="1" x14ac:dyDescent="0.2">
      <c r="A2" s="39"/>
      <c r="B2" s="40"/>
      <c r="C2" s="40"/>
      <c r="D2" s="40"/>
      <c r="E2" s="40"/>
      <c r="F2" s="40"/>
      <c r="G2" s="40"/>
    </row>
    <row r="3" spans="1:8" hidden="1" x14ac:dyDescent="0.2">
      <c r="A3" s="43"/>
      <c r="B3" s="40"/>
      <c r="C3" s="40"/>
      <c r="D3" s="40"/>
      <c r="E3" s="40"/>
      <c r="F3" s="40"/>
      <c r="G3" s="40"/>
    </row>
    <row r="4" spans="1:8" hidden="1" x14ac:dyDescent="0.2">
      <c r="A4" s="40"/>
      <c r="B4" s="40"/>
      <c r="C4" s="40"/>
      <c r="D4" s="40"/>
      <c r="E4" s="40"/>
      <c r="F4" s="40"/>
      <c r="G4" s="40"/>
    </row>
    <row r="5" spans="1:8" ht="12" thickBot="1" x14ac:dyDescent="0.25">
      <c r="A5" s="40"/>
      <c r="B5" s="40"/>
      <c r="C5" s="40"/>
      <c r="D5" s="40"/>
      <c r="E5" s="40"/>
      <c r="F5" s="40"/>
      <c r="G5" s="40"/>
    </row>
    <row r="6" spans="1:8" ht="16.5" customHeight="1" thickTop="1" x14ac:dyDescent="0.2">
      <c r="A6" s="389" t="s">
        <v>194</v>
      </c>
      <c r="B6" s="390"/>
      <c r="C6" s="387" t="s">
        <v>29</v>
      </c>
      <c r="D6" s="385" t="s">
        <v>30</v>
      </c>
      <c r="E6" s="375" t="s">
        <v>129</v>
      </c>
      <c r="F6" s="375" t="s">
        <v>74</v>
      </c>
      <c r="G6" s="375" t="s">
        <v>130</v>
      </c>
    </row>
    <row r="7" spans="1:8" ht="11.25" customHeight="1" x14ac:dyDescent="0.2">
      <c r="A7" s="393" t="s">
        <v>27</v>
      </c>
      <c r="B7" s="391" t="s">
        <v>28</v>
      </c>
      <c r="C7" s="388"/>
      <c r="D7" s="386"/>
      <c r="E7" s="376"/>
      <c r="F7" s="376"/>
      <c r="G7" s="376"/>
    </row>
    <row r="8" spans="1:8" x14ac:dyDescent="0.2">
      <c r="A8" s="393"/>
      <c r="B8" s="391"/>
      <c r="C8" s="388"/>
      <c r="D8" s="386"/>
      <c r="E8" s="376"/>
      <c r="F8" s="376"/>
      <c r="G8" s="376"/>
    </row>
    <row r="9" spans="1:8" ht="6" customHeight="1" thickBot="1" x14ac:dyDescent="0.25">
      <c r="A9" s="394"/>
      <c r="B9" s="392"/>
      <c r="C9" s="388"/>
      <c r="D9" s="386"/>
      <c r="E9" s="376"/>
      <c r="F9" s="376"/>
      <c r="G9" s="376"/>
      <c r="H9" s="42" t="s">
        <v>132</v>
      </c>
    </row>
    <row r="10" spans="1:8" s="47" customFormat="1" ht="11.45" customHeight="1" x14ac:dyDescent="0.2">
      <c r="A10" s="395" t="s">
        <v>34</v>
      </c>
      <c r="B10" s="396"/>
      <c r="C10" s="228" t="s">
        <v>133</v>
      </c>
      <c r="D10" s="229" t="s">
        <v>181</v>
      </c>
      <c r="E10" s="238"/>
      <c r="F10" s="77">
        <f>SUM(F11:F12)</f>
        <v>0</v>
      </c>
      <c r="G10" s="239"/>
      <c r="H10" s="47" t="s">
        <v>131</v>
      </c>
    </row>
    <row r="11" spans="1:8" s="47" customFormat="1" ht="11.45" customHeight="1" x14ac:dyDescent="0.2">
      <c r="A11" s="94" t="s">
        <v>141</v>
      </c>
      <c r="B11" s="49" t="s">
        <v>141</v>
      </c>
      <c r="C11" s="50" t="s">
        <v>141</v>
      </c>
      <c r="D11" s="51">
        <v>1</v>
      </c>
      <c r="E11" s="14"/>
      <c r="F11" s="2"/>
      <c r="G11" s="240"/>
    </row>
    <row r="12" spans="1:8" s="47" customFormat="1" ht="11.45" customHeight="1" x14ac:dyDescent="0.2">
      <c r="A12" s="211"/>
      <c r="B12" s="49"/>
      <c r="C12" s="50"/>
      <c r="D12" s="55" t="str">
        <f>CHAR(132)</f>
        <v>„</v>
      </c>
      <c r="E12" s="182"/>
      <c r="F12" s="53"/>
      <c r="G12" s="241"/>
    </row>
    <row r="13" spans="1:8" s="47" customFormat="1" ht="11.45" customHeight="1" x14ac:dyDescent="0.2">
      <c r="A13" s="367" t="s">
        <v>221</v>
      </c>
      <c r="B13" s="368"/>
      <c r="C13" s="230" t="s">
        <v>134</v>
      </c>
      <c r="D13" s="231" t="s">
        <v>182</v>
      </c>
      <c r="E13" s="181"/>
      <c r="F13" s="46">
        <f>SUM(F14:F15)</f>
        <v>0</v>
      </c>
      <c r="G13" s="242"/>
    </row>
    <row r="14" spans="1:8" s="47" customFormat="1" ht="11.45" customHeight="1" x14ac:dyDescent="0.2">
      <c r="A14" s="94" t="s">
        <v>141</v>
      </c>
      <c r="B14" s="49" t="s">
        <v>141</v>
      </c>
      <c r="C14" s="50" t="s">
        <v>141</v>
      </c>
      <c r="D14" s="51">
        <v>1</v>
      </c>
      <c r="E14" s="14"/>
      <c r="F14" s="2"/>
      <c r="G14" s="240"/>
    </row>
    <row r="15" spans="1:8" s="47" customFormat="1" ht="11.45" customHeight="1" x14ac:dyDescent="0.2">
      <c r="A15" s="94"/>
      <c r="B15" s="49"/>
      <c r="C15" s="50"/>
      <c r="D15" s="55" t="str">
        <f>CHAR(132)</f>
        <v>„</v>
      </c>
      <c r="E15" s="182"/>
      <c r="F15" s="53"/>
      <c r="G15" s="241"/>
    </row>
    <row r="16" spans="1:8" s="47" customFormat="1" ht="11.45" customHeight="1" x14ac:dyDescent="0.2">
      <c r="A16" s="367" t="s">
        <v>35</v>
      </c>
      <c r="B16" s="368"/>
      <c r="C16" s="230" t="s">
        <v>135</v>
      </c>
      <c r="D16" s="231" t="s">
        <v>183</v>
      </c>
      <c r="E16" s="181"/>
      <c r="F16" s="46">
        <f>SUM(F17:F18)</f>
        <v>0</v>
      </c>
      <c r="G16" s="242"/>
    </row>
    <row r="17" spans="1:7" s="47" customFormat="1" ht="11.45" customHeight="1" x14ac:dyDescent="0.2">
      <c r="A17" s="94" t="s">
        <v>141</v>
      </c>
      <c r="B17" s="49" t="s">
        <v>141</v>
      </c>
      <c r="C17" s="50" t="s">
        <v>141</v>
      </c>
      <c r="D17" s="51">
        <v>1</v>
      </c>
      <c r="E17" s="14"/>
      <c r="F17" s="2"/>
      <c r="G17" s="240"/>
    </row>
    <row r="18" spans="1:7" s="47" customFormat="1" ht="11.45" customHeight="1" x14ac:dyDescent="0.2">
      <c r="A18" s="243"/>
      <c r="B18" s="236"/>
      <c r="C18" s="82"/>
      <c r="D18" s="237" t="str">
        <f>CHAR(132)</f>
        <v>„</v>
      </c>
      <c r="E18" s="182"/>
      <c r="F18" s="53"/>
      <c r="G18" s="241"/>
    </row>
    <row r="19" spans="1:7" s="47" customFormat="1" ht="11.45" customHeight="1" x14ac:dyDescent="0.2">
      <c r="A19" s="367" t="s">
        <v>36</v>
      </c>
      <c r="B19" s="368"/>
      <c r="C19" s="230" t="s">
        <v>136</v>
      </c>
      <c r="D19" s="231" t="s">
        <v>184</v>
      </c>
      <c r="E19" s="182"/>
      <c r="F19" s="54">
        <f>SUM(F20:F21)</f>
        <v>0</v>
      </c>
      <c r="G19" s="241"/>
    </row>
    <row r="20" spans="1:7" s="47" customFormat="1" ht="11.45" customHeight="1" x14ac:dyDescent="0.2">
      <c r="A20" s="220" t="s">
        <v>141</v>
      </c>
      <c r="B20" s="221" t="s">
        <v>141</v>
      </c>
      <c r="C20" s="222" t="s">
        <v>141</v>
      </c>
      <c r="D20" s="223">
        <v>1</v>
      </c>
      <c r="E20" s="14"/>
      <c r="F20" s="2"/>
      <c r="G20" s="240"/>
    </row>
    <row r="21" spans="1:7" s="47" customFormat="1" ht="11.45" customHeight="1" x14ac:dyDescent="0.2">
      <c r="A21" s="95"/>
      <c r="B21" s="57"/>
      <c r="C21" s="50"/>
      <c r="D21" s="55" t="str">
        <f>CHAR(132)</f>
        <v>„</v>
      </c>
      <c r="E21" s="182"/>
      <c r="F21" s="53"/>
      <c r="G21" s="241"/>
    </row>
    <row r="22" spans="1:7" s="47" customFormat="1" ht="11.45" customHeight="1" x14ac:dyDescent="0.2">
      <c r="A22" s="369" t="s">
        <v>37</v>
      </c>
      <c r="B22" s="370"/>
      <c r="C22" s="371" t="s">
        <v>138</v>
      </c>
      <c r="D22" s="372"/>
      <c r="E22" s="182"/>
      <c r="F22" s="58">
        <f>SUM(F10,F13,F16,F19)</f>
        <v>0</v>
      </c>
      <c r="G22" s="241"/>
    </row>
    <row r="23" spans="1:7" s="47" customFormat="1" ht="11.45" customHeight="1" x14ac:dyDescent="0.2">
      <c r="A23" s="367" t="s">
        <v>38</v>
      </c>
      <c r="B23" s="368"/>
      <c r="C23" s="230" t="s">
        <v>137</v>
      </c>
      <c r="D23" s="231" t="s">
        <v>185</v>
      </c>
      <c r="E23" s="181"/>
      <c r="F23" s="46">
        <f>SUM(F24:F25)</f>
        <v>0</v>
      </c>
      <c r="G23" s="242"/>
    </row>
    <row r="24" spans="1:7" s="47" customFormat="1" ht="11.45" customHeight="1" x14ac:dyDescent="0.2">
      <c r="A24" s="94" t="s">
        <v>141</v>
      </c>
      <c r="B24" s="49" t="s">
        <v>141</v>
      </c>
      <c r="C24" s="50" t="s">
        <v>141</v>
      </c>
      <c r="D24" s="51">
        <v>1</v>
      </c>
      <c r="E24" s="14"/>
      <c r="F24" s="2"/>
      <c r="G24" s="240"/>
    </row>
    <row r="25" spans="1:7" s="47" customFormat="1" ht="11.45" customHeight="1" x14ac:dyDescent="0.2">
      <c r="A25" s="95"/>
      <c r="B25" s="57"/>
      <c r="C25" s="50"/>
      <c r="D25" s="55" t="str">
        <f>CHAR(132)</f>
        <v>„</v>
      </c>
      <c r="E25" s="182"/>
      <c r="F25" s="53"/>
      <c r="G25" s="241"/>
    </row>
    <row r="26" spans="1:7" s="47" customFormat="1" ht="11.45" customHeight="1" thickBot="1" x14ac:dyDescent="0.25">
      <c r="A26" s="363" t="s">
        <v>21</v>
      </c>
      <c r="B26" s="364"/>
      <c r="C26" s="365" t="s">
        <v>139</v>
      </c>
      <c r="D26" s="366"/>
      <c r="E26" s="183"/>
      <c r="F26" s="61">
        <f>SUM(F22:F23)</f>
        <v>0</v>
      </c>
      <c r="G26" s="244"/>
    </row>
    <row r="27" spans="1:7" ht="12" thickTop="1" x14ac:dyDescent="0.2">
      <c r="A27" s="100" t="s">
        <v>186</v>
      </c>
      <c r="D27" s="100" t="s">
        <v>186</v>
      </c>
    </row>
    <row r="29" spans="1:7" x14ac:dyDescent="0.2">
      <c r="A29" s="64" t="s">
        <v>220</v>
      </c>
    </row>
  </sheetData>
  <sheetProtection algorithmName="SHA-512" hashValue="S1piuayFyrMgS0GziRnaTBoxDgwark6rE3o16ow2Jv26kSlr1K32OkbqsTgZ5aq+CC/s+3MGjKJrQe2Z3B2SZQ==" saltValue="myT7JsrK5Xb4yiz2+SfqJw==" spinCount="100000" sheet="1" objects="1" scenarios="1" selectLockedCells="1"/>
  <mergeCells count="17">
    <mergeCell ref="C26:D26"/>
    <mergeCell ref="A26:B26"/>
    <mergeCell ref="A7:A9"/>
    <mergeCell ref="A10:B10"/>
    <mergeCell ref="A19:B19"/>
    <mergeCell ref="A23:B23"/>
    <mergeCell ref="A22:B22"/>
    <mergeCell ref="A13:B13"/>
    <mergeCell ref="A16:B16"/>
    <mergeCell ref="D6:D9"/>
    <mergeCell ref="F6:F9"/>
    <mergeCell ref="G6:G9"/>
    <mergeCell ref="C22:D22"/>
    <mergeCell ref="C6:C9"/>
    <mergeCell ref="E6:E9"/>
    <mergeCell ref="A6:B6"/>
    <mergeCell ref="B7:B9"/>
  </mergeCells>
  <phoneticPr fontId="0" type="noConversion"/>
  <dataValidations count="2">
    <dataValidation allowBlank="1" showInputMessage="1" showErrorMessage="1" sqref="D29 B30 A19:C19 A24:C24 A11:C11 C14"/>
    <dataValidation type="decimal" operator="greaterThanOrEqual" allowBlank="1" showInputMessage="1" showErrorMessage="1" error="Invalid input." sqref="F24:F25 F17:F21 F11:F12 F14:F15">
      <formula1>0</formula1>
    </dataValidation>
  </dataValidations>
  <printOptions horizontalCentered="1"/>
  <pageMargins left="0.25" right="0.25" top="1" bottom="0.5" header="0.5" footer="0.5"/>
  <pageSetup paperSize="9" scale="75" orientation="landscape" r:id="rId1"/>
  <headerFooter alignWithMargins="0">
    <oddHeader>&amp;C&amp;"Arial,Bold"&amp;8 NEW RB OF SAN LEONARDO(N.E.) INC  [ 04-040656 ]
 As of: September 30, 2017</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P47"/>
  <sheetViews>
    <sheetView zoomScaleNormal="100" workbookViewId="0">
      <pane xSplit="4" ySplit="9" topLeftCell="O10" activePane="bottomRight" state="frozen"/>
      <selection pane="topRight" activeCell="E1" sqref="E1"/>
      <selection pane="bottomLeft" activeCell="A10" sqref="A10"/>
      <selection pane="bottomRight" activeCell="O11" sqref="O11"/>
    </sheetView>
  </sheetViews>
  <sheetFormatPr defaultRowHeight="15" x14ac:dyDescent="0.25"/>
  <cols>
    <col min="2" max="2" width="18.42578125" customWidth="1"/>
    <col min="5" max="5" width="15.7109375" customWidth="1"/>
    <col min="6" max="6" width="25.7109375" customWidth="1"/>
    <col min="7" max="7" width="15.7109375" customWidth="1"/>
    <col min="8" max="8" width="25.7109375" customWidth="1"/>
    <col min="9" max="9" width="15.7109375" customWidth="1"/>
    <col min="10" max="10" width="25.7109375" customWidth="1"/>
    <col min="11" max="11" width="15.7109375" customWidth="1"/>
    <col min="12" max="12" width="25.7109375" customWidth="1"/>
    <col min="13" max="13" width="15.7109375" customWidth="1"/>
    <col min="14" max="14" width="25.7109375" customWidth="1"/>
    <col min="15" max="15" width="7.140625" bestFit="1" customWidth="1"/>
    <col min="16" max="16" width="7.5703125" bestFit="1" customWidth="1"/>
    <col min="17" max="17" width="6.42578125" bestFit="1" customWidth="1"/>
    <col min="18" max="18" width="7.140625" bestFit="1" customWidth="1"/>
    <col min="19" max="19" width="7.5703125" bestFit="1" customWidth="1"/>
    <col min="20" max="20" width="6.42578125" bestFit="1" customWidth="1"/>
    <col min="21" max="21" width="7.140625" bestFit="1" customWidth="1"/>
    <col min="22" max="22" width="7.5703125" bestFit="1" customWidth="1"/>
    <col min="23" max="23" width="6.42578125" bestFit="1" customWidth="1"/>
    <col min="24" max="24" width="7.140625" bestFit="1" customWidth="1"/>
    <col min="25" max="25" width="7.5703125" bestFit="1" customWidth="1"/>
    <col min="26" max="26" width="6.42578125" bestFit="1" customWidth="1"/>
    <col min="27" max="27" width="7.140625" bestFit="1" customWidth="1"/>
    <col min="28" max="28" width="7.5703125" bestFit="1" customWidth="1"/>
    <col min="29" max="29" width="6.42578125" bestFit="1" customWidth="1"/>
    <col min="30" max="30" width="7.140625" bestFit="1" customWidth="1"/>
    <col min="31" max="31" width="7.5703125" bestFit="1" customWidth="1"/>
    <col min="32" max="32" width="6.42578125" bestFit="1" customWidth="1"/>
    <col min="33" max="33" width="7.140625" bestFit="1" customWidth="1"/>
    <col min="34" max="34" width="7.5703125" bestFit="1" customWidth="1"/>
    <col min="35" max="35" width="6.42578125" bestFit="1" customWidth="1"/>
    <col min="36" max="36" width="7.140625" bestFit="1" customWidth="1"/>
    <col min="37" max="37" width="7.5703125" bestFit="1" customWidth="1"/>
    <col min="38" max="38" width="6.42578125" bestFit="1" customWidth="1"/>
    <col min="39" max="39" width="7.140625" bestFit="1" customWidth="1"/>
    <col min="40" max="40" width="7.5703125" bestFit="1" customWidth="1"/>
    <col min="41" max="41" width="6.42578125" bestFit="1" customWidth="1"/>
    <col min="42" max="42" width="7.140625" bestFit="1" customWidth="1"/>
    <col min="43" max="43" width="7.5703125" bestFit="1" customWidth="1"/>
    <col min="44" max="44" width="6.42578125" bestFit="1" customWidth="1"/>
    <col min="45" max="45" width="7.140625" bestFit="1" customWidth="1"/>
    <col min="46" max="46" width="7.5703125" bestFit="1" customWidth="1"/>
    <col min="47" max="47" width="6.42578125" bestFit="1" customWidth="1"/>
    <col min="48" max="48" width="7.140625" bestFit="1" customWidth="1"/>
    <col min="49" max="49" width="7.5703125" bestFit="1" customWidth="1"/>
    <col min="50" max="50" width="6.42578125" bestFit="1" customWidth="1"/>
    <col min="51" max="51" width="7.140625" bestFit="1" customWidth="1"/>
    <col min="52" max="52" width="7.5703125" bestFit="1" customWidth="1"/>
    <col min="53" max="53" width="6.42578125" bestFit="1" customWidth="1"/>
    <col min="54" max="54" width="7.140625" bestFit="1" customWidth="1"/>
    <col min="55" max="55" width="7.5703125" bestFit="1" customWidth="1"/>
    <col min="56" max="56" width="6.42578125" bestFit="1" customWidth="1"/>
    <col min="57" max="57" width="7.140625" bestFit="1" customWidth="1"/>
    <col min="58" max="58" width="7.5703125" bestFit="1" customWidth="1"/>
    <col min="59" max="59" width="6.42578125" bestFit="1" customWidth="1"/>
    <col min="60" max="60" width="7.140625" bestFit="1" customWidth="1"/>
    <col min="61" max="61" width="7.5703125" bestFit="1" customWidth="1"/>
    <col min="62" max="62" width="6.42578125" bestFit="1" customWidth="1"/>
    <col min="63" max="63" width="7.140625" bestFit="1" customWidth="1"/>
    <col min="64" max="64" width="7.5703125" bestFit="1" customWidth="1"/>
    <col min="65" max="65" width="6.42578125" bestFit="1" customWidth="1"/>
    <col min="66" max="66" width="7.140625" bestFit="1" customWidth="1"/>
    <col min="67" max="67" width="7.5703125" bestFit="1" customWidth="1"/>
    <col min="68" max="68" width="6.42578125" bestFit="1" customWidth="1"/>
    <col min="69" max="69" width="7.140625" bestFit="1" customWidth="1"/>
    <col min="70" max="70" width="7.5703125" bestFit="1" customWidth="1"/>
    <col min="71" max="71" width="6.42578125" bestFit="1" customWidth="1"/>
    <col min="72" max="72" width="7.140625" bestFit="1" customWidth="1"/>
    <col min="73" max="73" width="7.5703125" bestFit="1" customWidth="1"/>
    <col min="74" max="74" width="6.42578125" bestFit="1" customWidth="1"/>
    <col min="75" max="75" width="7.140625" bestFit="1" customWidth="1"/>
    <col min="76" max="76" width="7.5703125" bestFit="1" customWidth="1"/>
    <col min="77" max="77" width="6.42578125" bestFit="1" customWidth="1"/>
    <col min="78" max="78" width="7.140625" bestFit="1" customWidth="1"/>
    <col min="79" max="79" width="7.5703125" bestFit="1" customWidth="1"/>
    <col min="80" max="80" width="6.42578125" bestFit="1" customWidth="1"/>
    <col min="81" max="81" width="7.140625" bestFit="1" customWidth="1"/>
    <col min="82" max="82" width="7.5703125" bestFit="1" customWidth="1"/>
    <col min="83" max="83" width="6.42578125" bestFit="1" customWidth="1"/>
    <col min="84" max="84" width="7.140625" bestFit="1" customWidth="1"/>
    <col min="85" max="85" width="7.5703125" bestFit="1" customWidth="1"/>
    <col min="86" max="86" width="6.42578125" bestFit="1" customWidth="1"/>
    <col min="93" max="93" width="7.140625" bestFit="1" customWidth="1"/>
    <col min="94" max="94" width="7.5703125" bestFit="1" customWidth="1"/>
    <col min="95" max="95" width="6.42578125" bestFit="1" customWidth="1"/>
    <col min="96" max="96" width="7.140625" bestFit="1" customWidth="1"/>
    <col min="97" max="97" width="7.5703125" bestFit="1" customWidth="1"/>
    <col min="98" max="98" width="6.42578125" bestFit="1" customWidth="1"/>
    <col min="99" max="99" width="7.140625" bestFit="1" customWidth="1"/>
    <col min="100" max="100" width="7.5703125" bestFit="1" customWidth="1"/>
    <col min="101" max="101" width="6.42578125" bestFit="1" customWidth="1"/>
    <col min="102" max="102" width="7.140625" bestFit="1" customWidth="1"/>
    <col min="103" max="103" width="7.5703125" bestFit="1" customWidth="1"/>
    <col min="104" max="104" width="6.42578125" bestFit="1" customWidth="1"/>
    <col min="105" max="105" width="7.140625" bestFit="1" customWidth="1"/>
    <col min="106" max="106" width="7.5703125" bestFit="1" customWidth="1"/>
    <col min="107" max="107" width="6.42578125" bestFit="1" customWidth="1"/>
    <col min="108" max="108" width="7.140625" bestFit="1" customWidth="1"/>
    <col min="109" max="109" width="7.5703125" bestFit="1" customWidth="1"/>
    <col min="110" max="110" width="6.42578125" bestFit="1" customWidth="1"/>
    <col min="111" max="111" width="7.140625" bestFit="1" customWidth="1"/>
    <col min="112" max="112" width="7.5703125" bestFit="1" customWidth="1"/>
    <col min="113" max="113" width="6.42578125" bestFit="1" customWidth="1"/>
    <col min="114" max="114" width="7.140625" bestFit="1" customWidth="1"/>
    <col min="115" max="115" width="7.5703125" bestFit="1" customWidth="1"/>
    <col min="116" max="116" width="6.42578125" bestFit="1" customWidth="1"/>
    <col min="117" max="117" width="7.140625" bestFit="1" customWidth="1"/>
    <col min="118" max="118" width="7.5703125" bestFit="1" customWidth="1"/>
    <col min="119" max="119" width="6.42578125" bestFit="1" customWidth="1"/>
    <col min="120" max="120" width="12.28515625" bestFit="1" customWidth="1"/>
    <col min="121" max="121" width="7.5703125" bestFit="1" customWidth="1"/>
    <col min="122" max="122" width="11.140625" bestFit="1" customWidth="1"/>
    <col min="123" max="123" width="12.28515625" bestFit="1" customWidth="1"/>
    <col min="124" max="124" width="7.5703125" bestFit="1" customWidth="1"/>
    <col min="125" max="125" width="11.140625" bestFit="1" customWidth="1"/>
    <col min="126" max="126" width="7.140625" bestFit="1" customWidth="1"/>
    <col min="127" max="127" width="7.5703125" bestFit="1" customWidth="1"/>
    <col min="128" max="128" width="6.7109375" bestFit="1" customWidth="1"/>
    <col min="141" max="155" width="9.140625" hidden="1" customWidth="1"/>
    <col min="156" max="156" width="6.7109375" hidden="1" customWidth="1"/>
  </cols>
  <sheetData>
    <row r="1" spans="1:250" x14ac:dyDescent="0.25">
      <c r="A1" s="39" t="s">
        <v>222</v>
      </c>
      <c r="B1" s="40"/>
      <c r="C1" s="40"/>
      <c r="D1" s="40"/>
    </row>
    <row r="2" spans="1:250" hidden="1" x14ac:dyDescent="0.25">
      <c r="A2" s="39"/>
      <c r="B2" s="40"/>
      <c r="C2" s="40"/>
      <c r="D2" s="40"/>
    </row>
    <row r="3" spans="1:250" hidden="1" x14ac:dyDescent="0.25">
      <c r="A3" s="43"/>
      <c r="B3" s="40"/>
      <c r="C3" s="40"/>
      <c r="D3" s="40"/>
    </row>
    <row r="4" spans="1:250" hidden="1" x14ac:dyDescent="0.25">
      <c r="A4" s="40"/>
      <c r="B4" s="40"/>
      <c r="C4" s="40"/>
      <c r="D4" s="40"/>
    </row>
    <row r="5" spans="1:250" ht="15.75" thickBot="1" x14ac:dyDescent="0.3">
      <c r="A5" s="40"/>
      <c r="B5" s="40"/>
      <c r="C5" s="40"/>
      <c r="D5" s="40"/>
    </row>
    <row r="6" spans="1:250" s="270" customFormat="1" ht="15.75" thickBot="1" x14ac:dyDescent="0.3">
      <c r="A6" s="422" t="s">
        <v>26</v>
      </c>
      <c r="B6" s="423"/>
      <c r="C6" s="424" t="s">
        <v>29</v>
      </c>
      <c r="D6" s="426" t="s">
        <v>30</v>
      </c>
      <c r="E6" s="461" t="s">
        <v>237</v>
      </c>
      <c r="F6" s="462"/>
      <c r="G6" s="462"/>
      <c r="H6" s="462"/>
      <c r="I6" s="462"/>
      <c r="J6" s="462"/>
      <c r="K6" s="462"/>
      <c r="L6" s="462"/>
      <c r="M6" s="462"/>
      <c r="N6" s="462"/>
      <c r="O6" s="462"/>
      <c r="P6" s="462"/>
      <c r="Q6" s="462"/>
      <c r="R6" s="462"/>
      <c r="S6" s="462"/>
      <c r="T6" s="462"/>
      <c r="U6" s="462"/>
      <c r="V6" s="462"/>
      <c r="W6" s="462"/>
      <c r="X6" s="462"/>
      <c r="Y6" s="462"/>
      <c r="Z6" s="462"/>
      <c r="AA6" s="462"/>
      <c r="AB6" s="462"/>
      <c r="AC6" s="462"/>
      <c r="AD6" s="462"/>
      <c r="AE6" s="462"/>
      <c r="AF6" s="462"/>
      <c r="AG6" s="462"/>
      <c r="AH6" s="462"/>
      <c r="AI6" s="462"/>
      <c r="AJ6" s="462"/>
      <c r="AK6" s="462"/>
      <c r="AL6" s="462"/>
      <c r="AM6" s="462"/>
      <c r="AN6" s="462"/>
      <c r="AO6" s="462"/>
      <c r="AP6" s="462"/>
      <c r="AQ6" s="462"/>
      <c r="AR6" s="462"/>
      <c r="AS6" s="462"/>
      <c r="AT6" s="462"/>
      <c r="AU6" s="462"/>
      <c r="AV6" s="462"/>
      <c r="AW6" s="462"/>
      <c r="AX6" s="462"/>
      <c r="AY6" s="462"/>
      <c r="AZ6" s="462"/>
      <c r="BA6" s="462"/>
      <c r="BB6" s="462"/>
      <c r="BC6" s="462"/>
      <c r="BD6" s="462"/>
      <c r="BE6" s="462"/>
      <c r="BF6" s="462"/>
      <c r="BG6" s="462"/>
      <c r="BH6" s="462"/>
      <c r="BI6" s="462"/>
      <c r="BJ6" s="462"/>
      <c r="BK6" s="462"/>
      <c r="BL6" s="462"/>
      <c r="BM6" s="462"/>
      <c r="BN6" s="462"/>
      <c r="BO6" s="462"/>
      <c r="BP6" s="462"/>
      <c r="BQ6" s="462"/>
      <c r="BR6" s="462"/>
      <c r="BS6" s="462"/>
      <c r="BT6" s="462"/>
      <c r="BU6" s="462"/>
      <c r="BV6" s="462"/>
      <c r="BW6" s="462"/>
      <c r="BX6" s="462"/>
      <c r="BY6" s="462"/>
      <c r="BZ6" s="462"/>
      <c r="CA6" s="462"/>
      <c r="CB6" s="462"/>
      <c r="CC6" s="462"/>
      <c r="CD6" s="462"/>
      <c r="CE6" s="462"/>
      <c r="CF6" s="462"/>
      <c r="CG6" s="462"/>
      <c r="CH6" s="462"/>
      <c r="CI6" s="462"/>
      <c r="CJ6" s="462"/>
      <c r="CK6" s="462"/>
      <c r="CL6" s="462"/>
      <c r="CM6" s="462"/>
      <c r="CN6" s="462"/>
      <c r="CO6" s="462"/>
      <c r="CP6" s="462"/>
      <c r="CQ6" s="462"/>
      <c r="CR6" s="462"/>
      <c r="CS6" s="462"/>
      <c r="CT6" s="462"/>
      <c r="CU6" s="462"/>
      <c r="CV6" s="462"/>
      <c r="CW6" s="462"/>
      <c r="CX6" s="462"/>
      <c r="CY6" s="462"/>
      <c r="CZ6" s="462"/>
      <c r="DA6" s="462"/>
      <c r="DB6" s="462"/>
      <c r="DC6" s="462"/>
      <c r="DD6" s="462"/>
      <c r="DE6" s="462"/>
      <c r="DF6" s="462"/>
      <c r="DG6" s="462"/>
      <c r="DH6" s="462"/>
      <c r="DI6" s="462"/>
      <c r="DJ6" s="462"/>
      <c r="DK6" s="462"/>
      <c r="DL6" s="462"/>
      <c r="DM6" s="462"/>
      <c r="DN6" s="462"/>
      <c r="DO6" s="463"/>
      <c r="DP6" s="461"/>
      <c r="DQ6" s="462"/>
      <c r="DR6" s="462"/>
      <c r="DS6" s="462"/>
      <c r="DT6" s="462"/>
      <c r="DU6" s="462"/>
      <c r="DV6" s="462" t="s">
        <v>243</v>
      </c>
      <c r="DW6" s="462"/>
      <c r="DX6" s="462"/>
      <c r="DY6" s="462"/>
      <c r="DZ6" s="462"/>
      <c r="EA6" s="462"/>
      <c r="EB6" s="462"/>
      <c r="EC6" s="462"/>
      <c r="ED6" s="462"/>
      <c r="EE6" s="462"/>
      <c r="EF6" s="462"/>
      <c r="EG6" s="462"/>
      <c r="EH6" s="462"/>
      <c r="EI6" s="462"/>
      <c r="EJ6" s="463"/>
      <c r="EK6" s="340"/>
      <c r="EL6" s="461"/>
      <c r="EM6" s="462"/>
      <c r="EN6" s="462"/>
      <c r="EO6" s="462"/>
      <c r="EP6" s="462"/>
      <c r="EQ6" s="462"/>
      <c r="ER6" s="462"/>
      <c r="ES6" s="462"/>
      <c r="ET6" s="462"/>
      <c r="EU6" s="462"/>
      <c r="EV6" s="462"/>
      <c r="EW6" s="462"/>
      <c r="EX6" s="462"/>
      <c r="EY6" s="462"/>
      <c r="EZ6" s="463"/>
      <c r="FA6" s="271"/>
      <c r="FB6" s="271"/>
      <c r="FC6" s="271"/>
      <c r="FD6" s="271"/>
      <c r="FE6" s="271"/>
      <c r="FF6" s="271"/>
      <c r="FG6" s="271"/>
      <c r="FH6" s="271"/>
      <c r="FI6" s="271"/>
      <c r="FJ6" s="271"/>
      <c r="FK6" s="271"/>
      <c r="FL6" s="271"/>
      <c r="FM6" s="271"/>
      <c r="FN6" s="271"/>
      <c r="FO6" s="271"/>
      <c r="FP6" s="271"/>
      <c r="FQ6" s="271"/>
      <c r="FR6" s="271"/>
      <c r="FS6" s="271"/>
      <c r="FT6" s="271"/>
      <c r="FU6" s="271"/>
      <c r="FV6" s="271"/>
      <c r="FW6" s="271"/>
      <c r="FX6" s="271"/>
      <c r="FY6" s="271"/>
      <c r="FZ6" s="271"/>
      <c r="GA6" s="271"/>
      <c r="GB6" s="271"/>
      <c r="GC6" s="271"/>
      <c r="GD6" s="271"/>
      <c r="GE6" s="271"/>
      <c r="GF6" s="271"/>
      <c r="GG6" s="271"/>
      <c r="GH6" s="271"/>
      <c r="GI6" s="271"/>
      <c r="GJ6" s="271"/>
      <c r="GK6" s="271"/>
      <c r="GL6" s="271"/>
      <c r="GM6" s="271"/>
      <c r="GN6" s="271"/>
      <c r="GO6" s="271"/>
      <c r="GP6" s="271"/>
      <c r="GQ6" s="271"/>
      <c r="GR6" s="271"/>
      <c r="GS6" s="271"/>
      <c r="GT6" s="271"/>
      <c r="GU6" s="271"/>
      <c r="GV6" s="271"/>
      <c r="GW6" s="271"/>
      <c r="GX6" s="271"/>
      <c r="GY6" s="271"/>
      <c r="GZ6" s="271"/>
      <c r="HA6" s="271"/>
      <c r="HB6" s="271"/>
      <c r="HC6" s="271"/>
      <c r="HD6" s="271"/>
      <c r="HE6" s="271"/>
      <c r="HF6" s="271"/>
      <c r="HG6" s="271"/>
      <c r="HH6" s="271"/>
      <c r="HI6" s="271"/>
      <c r="HJ6" s="271"/>
      <c r="HK6" s="271"/>
      <c r="HL6" s="271"/>
      <c r="HM6" s="271"/>
      <c r="HN6" s="271"/>
      <c r="HO6" s="271"/>
      <c r="HP6" s="271"/>
      <c r="HQ6" s="271"/>
      <c r="HR6" s="271"/>
      <c r="HS6" s="271"/>
      <c r="HT6" s="271"/>
      <c r="HU6" s="271"/>
      <c r="HV6" s="271"/>
      <c r="HW6" s="271"/>
      <c r="HX6" s="271"/>
      <c r="HY6" s="271"/>
      <c r="HZ6" s="271"/>
      <c r="IA6" s="271"/>
    </row>
    <row r="7" spans="1:250" ht="22.5" customHeight="1" thickBot="1" x14ac:dyDescent="0.3">
      <c r="A7" s="467" t="s">
        <v>27</v>
      </c>
      <c r="B7" s="392" t="s">
        <v>28</v>
      </c>
      <c r="C7" s="388"/>
      <c r="D7" s="399"/>
      <c r="E7" s="471" t="s">
        <v>248</v>
      </c>
      <c r="F7" s="472"/>
      <c r="G7" s="472"/>
      <c r="H7" s="472"/>
      <c r="I7" s="472"/>
      <c r="J7" s="472"/>
      <c r="K7" s="472"/>
      <c r="L7" s="472"/>
      <c r="M7" s="472"/>
      <c r="N7" s="472"/>
      <c r="O7" s="464" t="s">
        <v>230</v>
      </c>
      <c r="P7" s="465"/>
      <c r="Q7" s="465"/>
      <c r="R7" s="465"/>
      <c r="S7" s="465"/>
      <c r="T7" s="465"/>
      <c r="U7" s="465"/>
      <c r="V7" s="465"/>
      <c r="W7" s="465"/>
      <c r="X7" s="465"/>
      <c r="Y7" s="465"/>
      <c r="Z7" s="465"/>
      <c r="AA7" s="465"/>
      <c r="AB7" s="465"/>
      <c r="AC7" s="466"/>
      <c r="AD7" s="471" t="s">
        <v>231</v>
      </c>
      <c r="AE7" s="472"/>
      <c r="AF7" s="472"/>
      <c r="AG7" s="472"/>
      <c r="AH7" s="472"/>
      <c r="AI7" s="472"/>
      <c r="AJ7" s="472"/>
      <c r="AK7" s="472"/>
      <c r="AL7" s="472"/>
      <c r="AM7" s="472"/>
      <c r="AN7" s="472"/>
      <c r="AO7" s="472"/>
      <c r="AP7" s="472"/>
      <c r="AQ7" s="472"/>
      <c r="AR7" s="482"/>
      <c r="AS7" s="479" t="s">
        <v>232</v>
      </c>
      <c r="AT7" s="480"/>
      <c r="AU7" s="480"/>
      <c r="AV7" s="480"/>
      <c r="AW7" s="480"/>
      <c r="AX7" s="480"/>
      <c r="AY7" s="480"/>
      <c r="AZ7" s="480"/>
      <c r="BA7" s="480"/>
      <c r="BB7" s="480"/>
      <c r="BC7" s="480"/>
      <c r="BD7" s="480"/>
      <c r="BE7" s="480"/>
      <c r="BF7" s="480"/>
      <c r="BG7" s="481"/>
      <c r="BH7" s="471" t="s">
        <v>236</v>
      </c>
      <c r="BI7" s="472"/>
      <c r="BJ7" s="472"/>
      <c r="BK7" s="472"/>
      <c r="BL7" s="472"/>
      <c r="BM7" s="472"/>
      <c r="BN7" s="472"/>
      <c r="BO7" s="472"/>
      <c r="BP7" s="472"/>
      <c r="BQ7" s="472"/>
      <c r="BR7" s="472"/>
      <c r="BS7" s="472"/>
      <c r="BT7" s="472"/>
      <c r="BU7" s="472"/>
      <c r="BV7" s="482"/>
      <c r="BW7" s="479" t="s">
        <v>233</v>
      </c>
      <c r="BX7" s="480"/>
      <c r="BY7" s="480"/>
      <c r="BZ7" s="480"/>
      <c r="CA7" s="480"/>
      <c r="CB7" s="480"/>
      <c r="CC7" s="480"/>
      <c r="CD7" s="480"/>
      <c r="CE7" s="480"/>
      <c r="CF7" s="480"/>
      <c r="CG7" s="480"/>
      <c r="CH7" s="480"/>
      <c r="CI7" s="480"/>
      <c r="CJ7" s="480"/>
      <c r="CK7" s="481"/>
      <c r="CL7" s="471" t="s">
        <v>234</v>
      </c>
      <c r="CM7" s="472"/>
      <c r="CN7" s="472"/>
      <c r="CO7" s="472"/>
      <c r="CP7" s="472"/>
      <c r="CQ7" s="472"/>
      <c r="CR7" s="472"/>
      <c r="CS7" s="472"/>
      <c r="CT7" s="472"/>
      <c r="CU7" s="472"/>
      <c r="CV7" s="472"/>
      <c r="CW7" s="472"/>
      <c r="CX7" s="472"/>
      <c r="CY7" s="472"/>
      <c r="CZ7" s="482"/>
      <c r="DA7" s="479" t="s">
        <v>235</v>
      </c>
      <c r="DB7" s="480"/>
      <c r="DC7" s="480"/>
      <c r="DD7" s="480"/>
      <c r="DE7" s="480"/>
      <c r="DF7" s="480"/>
      <c r="DG7" s="480"/>
      <c r="DH7" s="480"/>
      <c r="DI7" s="480"/>
      <c r="DJ7" s="480"/>
      <c r="DK7" s="480"/>
      <c r="DL7" s="480"/>
      <c r="DM7" s="480"/>
      <c r="DN7" s="480"/>
      <c r="DO7" s="481"/>
      <c r="DP7" s="487" t="s">
        <v>223</v>
      </c>
      <c r="DQ7" s="488"/>
      <c r="DR7" s="488"/>
      <c r="DS7" s="487" t="s">
        <v>249</v>
      </c>
      <c r="DT7" s="488"/>
      <c r="DU7" s="488"/>
      <c r="DV7" s="501" t="s">
        <v>260</v>
      </c>
      <c r="DW7" s="502"/>
      <c r="DX7" s="502"/>
      <c r="DY7" s="502"/>
      <c r="DZ7" s="502"/>
      <c r="EA7" s="502"/>
      <c r="EB7" s="502"/>
      <c r="EC7" s="502"/>
      <c r="ED7" s="502"/>
      <c r="EE7" s="502"/>
      <c r="EF7" s="502"/>
      <c r="EG7" s="502"/>
      <c r="EH7" s="502"/>
      <c r="EI7" s="502"/>
      <c r="EJ7" s="503"/>
      <c r="EK7" s="40" t="s">
        <v>253</v>
      </c>
      <c r="EL7" s="495" t="s">
        <v>260</v>
      </c>
      <c r="EM7" s="496"/>
      <c r="EN7" s="496"/>
      <c r="EO7" s="496"/>
      <c r="EP7" s="496"/>
      <c r="EQ7" s="496"/>
      <c r="ER7" s="496"/>
      <c r="ES7" s="496"/>
      <c r="ET7" s="496"/>
      <c r="EU7" s="496"/>
      <c r="EV7" s="496"/>
      <c r="EW7" s="496"/>
      <c r="EX7" s="496"/>
      <c r="EY7" s="496"/>
      <c r="EZ7" s="497"/>
      <c r="FA7" s="269"/>
      <c r="FB7" s="269"/>
      <c r="FC7" s="269"/>
      <c r="FD7" s="269"/>
      <c r="FE7" s="269"/>
      <c r="FF7" s="269"/>
      <c r="FG7" s="269"/>
      <c r="FH7" s="269"/>
      <c r="FI7" s="269"/>
      <c r="FJ7" s="269"/>
      <c r="FK7" s="269"/>
      <c r="FL7" s="269"/>
      <c r="FM7" s="269"/>
      <c r="FN7" s="269"/>
      <c r="FO7" s="269"/>
      <c r="FP7" s="269"/>
      <c r="FQ7" s="269"/>
      <c r="FR7" s="269"/>
      <c r="FS7" s="269"/>
      <c r="FT7" s="269"/>
      <c r="FU7" s="269"/>
      <c r="FV7" s="269"/>
      <c r="FW7" s="269"/>
      <c r="FX7" s="269"/>
      <c r="FY7" s="269"/>
      <c r="FZ7" s="269"/>
      <c r="GA7" s="269"/>
      <c r="GB7" s="269"/>
      <c r="GC7" s="269"/>
      <c r="GD7" s="269"/>
      <c r="GE7" s="269"/>
      <c r="GF7" s="269"/>
      <c r="GG7" s="269"/>
      <c r="GH7" s="269"/>
      <c r="GI7" s="269"/>
      <c r="GJ7" s="269"/>
      <c r="GK7" s="269"/>
      <c r="GL7" s="269"/>
      <c r="GM7" s="269"/>
      <c r="GN7" s="269"/>
      <c r="GO7" s="269"/>
      <c r="GP7" s="269"/>
      <c r="GQ7" s="269"/>
      <c r="GR7" s="269"/>
      <c r="GS7" s="269"/>
      <c r="GT7" s="269"/>
      <c r="GU7" s="269"/>
      <c r="GV7" s="269"/>
      <c r="GW7" s="269"/>
      <c r="GX7" s="269"/>
      <c r="GY7" s="269"/>
      <c r="GZ7" s="269"/>
      <c r="HA7" s="269"/>
      <c r="HB7" s="269"/>
      <c r="HC7" s="269"/>
      <c r="HD7" s="269"/>
      <c r="HE7" s="269"/>
      <c r="HF7" s="269"/>
      <c r="HG7" s="269"/>
      <c r="HH7" s="269"/>
      <c r="HI7" s="269"/>
      <c r="HJ7" s="269"/>
      <c r="HK7" s="269"/>
      <c r="HL7" s="269"/>
      <c r="HM7" s="269"/>
      <c r="HN7" s="269"/>
      <c r="HO7" s="269"/>
      <c r="HP7" s="269"/>
      <c r="HQ7" s="269"/>
      <c r="HR7" s="269"/>
      <c r="HS7" s="269"/>
      <c r="HT7" s="269"/>
      <c r="HU7" s="269"/>
      <c r="HV7" s="269"/>
      <c r="HW7" s="269"/>
      <c r="HX7" s="269"/>
      <c r="HY7" s="269"/>
      <c r="HZ7" s="269"/>
      <c r="IA7" s="269"/>
      <c r="IB7" s="269"/>
      <c r="IC7" s="269"/>
      <c r="ID7" s="269"/>
      <c r="IE7" s="269"/>
      <c r="IF7" s="269"/>
      <c r="IG7" s="269"/>
      <c r="IH7" s="269"/>
      <c r="II7" s="269"/>
      <c r="IJ7" s="269"/>
      <c r="IK7" s="269"/>
      <c r="IL7" s="269"/>
      <c r="IM7" s="269"/>
      <c r="IN7" s="269"/>
      <c r="IO7" s="269"/>
      <c r="IP7" s="269"/>
    </row>
    <row r="8" spans="1:250" ht="15" customHeight="1" x14ac:dyDescent="0.25">
      <c r="A8" s="468"/>
      <c r="B8" s="386"/>
      <c r="C8" s="388"/>
      <c r="D8" s="399"/>
      <c r="E8" s="483" t="s">
        <v>226</v>
      </c>
      <c r="F8" s="475"/>
      <c r="G8" s="473" t="s">
        <v>238</v>
      </c>
      <c r="H8" s="474"/>
      <c r="I8" s="473" t="s">
        <v>227</v>
      </c>
      <c r="J8" s="474"/>
      <c r="K8" s="476" t="s">
        <v>228</v>
      </c>
      <c r="L8" s="474"/>
      <c r="M8" s="476" t="s">
        <v>239</v>
      </c>
      <c r="N8" s="474"/>
      <c r="O8" s="473" t="s">
        <v>226</v>
      </c>
      <c r="P8" s="474"/>
      <c r="Q8" s="475"/>
      <c r="R8" s="473" t="s">
        <v>238</v>
      </c>
      <c r="S8" s="474"/>
      <c r="T8" s="475"/>
      <c r="U8" s="473" t="s">
        <v>227</v>
      </c>
      <c r="V8" s="474"/>
      <c r="W8" s="475"/>
      <c r="X8" s="476" t="s">
        <v>228</v>
      </c>
      <c r="Y8" s="477"/>
      <c r="Z8" s="478"/>
      <c r="AA8" s="476" t="s">
        <v>239</v>
      </c>
      <c r="AB8" s="477"/>
      <c r="AC8" s="478"/>
      <c r="AD8" s="473" t="s">
        <v>226</v>
      </c>
      <c r="AE8" s="474"/>
      <c r="AF8" s="475"/>
      <c r="AG8" s="473" t="s">
        <v>238</v>
      </c>
      <c r="AH8" s="474"/>
      <c r="AI8" s="475"/>
      <c r="AJ8" s="473" t="s">
        <v>227</v>
      </c>
      <c r="AK8" s="474"/>
      <c r="AL8" s="475"/>
      <c r="AM8" s="476" t="s">
        <v>228</v>
      </c>
      <c r="AN8" s="477"/>
      <c r="AO8" s="478"/>
      <c r="AP8" s="476" t="s">
        <v>239</v>
      </c>
      <c r="AQ8" s="477"/>
      <c r="AR8" s="478"/>
      <c r="AS8" s="473" t="s">
        <v>226</v>
      </c>
      <c r="AT8" s="474"/>
      <c r="AU8" s="475"/>
      <c r="AV8" s="473" t="s">
        <v>238</v>
      </c>
      <c r="AW8" s="474"/>
      <c r="AX8" s="475"/>
      <c r="AY8" s="473" t="s">
        <v>227</v>
      </c>
      <c r="AZ8" s="474"/>
      <c r="BA8" s="475"/>
      <c r="BB8" s="476" t="s">
        <v>228</v>
      </c>
      <c r="BC8" s="477"/>
      <c r="BD8" s="478"/>
      <c r="BE8" s="476" t="s">
        <v>239</v>
      </c>
      <c r="BF8" s="477"/>
      <c r="BG8" s="478"/>
      <c r="BH8" s="473" t="s">
        <v>226</v>
      </c>
      <c r="BI8" s="474"/>
      <c r="BJ8" s="475"/>
      <c r="BK8" s="473" t="s">
        <v>238</v>
      </c>
      <c r="BL8" s="474"/>
      <c r="BM8" s="475"/>
      <c r="BN8" s="473" t="s">
        <v>227</v>
      </c>
      <c r="BO8" s="474"/>
      <c r="BP8" s="475"/>
      <c r="BQ8" s="476" t="s">
        <v>228</v>
      </c>
      <c r="BR8" s="477"/>
      <c r="BS8" s="478"/>
      <c r="BT8" s="476" t="s">
        <v>239</v>
      </c>
      <c r="BU8" s="477"/>
      <c r="BV8" s="478"/>
      <c r="BW8" s="473" t="s">
        <v>226</v>
      </c>
      <c r="BX8" s="474"/>
      <c r="BY8" s="475"/>
      <c r="BZ8" s="473" t="s">
        <v>238</v>
      </c>
      <c r="CA8" s="474"/>
      <c r="CB8" s="475"/>
      <c r="CC8" s="473" t="s">
        <v>227</v>
      </c>
      <c r="CD8" s="474"/>
      <c r="CE8" s="475"/>
      <c r="CF8" s="476" t="s">
        <v>228</v>
      </c>
      <c r="CG8" s="477"/>
      <c r="CH8" s="478"/>
      <c r="CI8" s="476" t="s">
        <v>239</v>
      </c>
      <c r="CJ8" s="477"/>
      <c r="CK8" s="478"/>
      <c r="CL8" s="473" t="s">
        <v>226</v>
      </c>
      <c r="CM8" s="474"/>
      <c r="CN8" s="475"/>
      <c r="CO8" s="473" t="s">
        <v>238</v>
      </c>
      <c r="CP8" s="474"/>
      <c r="CQ8" s="475"/>
      <c r="CR8" s="473" t="s">
        <v>227</v>
      </c>
      <c r="CS8" s="474"/>
      <c r="CT8" s="475"/>
      <c r="CU8" s="476" t="s">
        <v>228</v>
      </c>
      <c r="CV8" s="477"/>
      <c r="CW8" s="478"/>
      <c r="CX8" s="476" t="s">
        <v>239</v>
      </c>
      <c r="CY8" s="477"/>
      <c r="CZ8" s="478"/>
      <c r="DA8" s="473" t="s">
        <v>226</v>
      </c>
      <c r="DB8" s="474"/>
      <c r="DC8" s="475"/>
      <c r="DD8" s="473" t="s">
        <v>238</v>
      </c>
      <c r="DE8" s="474"/>
      <c r="DF8" s="475"/>
      <c r="DG8" s="473" t="s">
        <v>227</v>
      </c>
      <c r="DH8" s="474"/>
      <c r="DI8" s="475"/>
      <c r="DJ8" s="476" t="s">
        <v>228</v>
      </c>
      <c r="DK8" s="477"/>
      <c r="DL8" s="478"/>
      <c r="DM8" s="476" t="s">
        <v>239</v>
      </c>
      <c r="DN8" s="477"/>
      <c r="DO8" s="478"/>
      <c r="DP8" s="489" t="s">
        <v>240</v>
      </c>
      <c r="DQ8" s="491" t="s">
        <v>241</v>
      </c>
      <c r="DR8" s="493" t="s">
        <v>244</v>
      </c>
      <c r="DS8" s="489" t="s">
        <v>240</v>
      </c>
      <c r="DT8" s="491" t="s">
        <v>241</v>
      </c>
      <c r="DU8" s="493" t="s">
        <v>244</v>
      </c>
      <c r="DV8" s="498" t="s">
        <v>250</v>
      </c>
      <c r="DW8" s="499"/>
      <c r="DX8" s="500"/>
      <c r="DY8" s="498" t="s">
        <v>238</v>
      </c>
      <c r="DZ8" s="499"/>
      <c r="EA8" s="500"/>
      <c r="EB8" s="498" t="s">
        <v>227</v>
      </c>
      <c r="EC8" s="499"/>
      <c r="ED8" s="500"/>
      <c r="EE8" s="484" t="s">
        <v>228</v>
      </c>
      <c r="EF8" s="485"/>
      <c r="EG8" s="486"/>
      <c r="EH8" s="484" t="s">
        <v>239</v>
      </c>
      <c r="EI8" s="485"/>
      <c r="EJ8" s="486"/>
      <c r="EK8" s="346"/>
      <c r="EL8" s="498" t="s">
        <v>226</v>
      </c>
      <c r="EM8" s="499"/>
      <c r="EN8" s="500"/>
      <c r="EO8" s="498" t="s">
        <v>238</v>
      </c>
      <c r="EP8" s="499"/>
      <c r="EQ8" s="500"/>
      <c r="ER8" s="498" t="s">
        <v>227</v>
      </c>
      <c r="ES8" s="499"/>
      <c r="ET8" s="500"/>
      <c r="EU8" s="484" t="s">
        <v>228</v>
      </c>
      <c r="EV8" s="485"/>
      <c r="EW8" s="486"/>
      <c r="EX8" s="484" t="s">
        <v>239</v>
      </c>
      <c r="EY8" s="485"/>
      <c r="EZ8" s="486"/>
    </row>
    <row r="9" spans="1:250" ht="24.75" thickBot="1" x14ac:dyDescent="0.3">
      <c r="A9" s="469"/>
      <c r="B9" s="470"/>
      <c r="C9" s="425"/>
      <c r="D9" s="427"/>
      <c r="E9" s="292" t="s">
        <v>225</v>
      </c>
      <c r="F9" s="246" t="s">
        <v>74</v>
      </c>
      <c r="G9" s="246" t="s">
        <v>225</v>
      </c>
      <c r="H9" s="246" t="s">
        <v>74</v>
      </c>
      <c r="I9" s="246" t="s">
        <v>225</v>
      </c>
      <c r="J9" s="246" t="s">
        <v>74</v>
      </c>
      <c r="K9" s="246" t="s">
        <v>225</v>
      </c>
      <c r="L9" s="246" t="s">
        <v>74</v>
      </c>
      <c r="M9" s="246" t="s">
        <v>225</v>
      </c>
      <c r="N9" s="246" t="s">
        <v>74</v>
      </c>
      <c r="O9" s="245" t="s">
        <v>240</v>
      </c>
      <c r="P9" s="246" t="s">
        <v>241</v>
      </c>
      <c r="Q9" s="246" t="s">
        <v>224</v>
      </c>
      <c r="R9" s="245" t="s">
        <v>240</v>
      </c>
      <c r="S9" s="246" t="s">
        <v>241</v>
      </c>
      <c r="T9" s="246" t="s">
        <v>224</v>
      </c>
      <c r="U9" s="245" t="s">
        <v>240</v>
      </c>
      <c r="V9" s="246" t="s">
        <v>241</v>
      </c>
      <c r="W9" s="246" t="s">
        <v>224</v>
      </c>
      <c r="X9" s="245" t="s">
        <v>240</v>
      </c>
      <c r="Y9" s="246" t="s">
        <v>241</v>
      </c>
      <c r="Z9" s="246" t="s">
        <v>224</v>
      </c>
      <c r="AA9" s="245" t="s">
        <v>240</v>
      </c>
      <c r="AB9" s="246" t="s">
        <v>241</v>
      </c>
      <c r="AC9" s="246" t="s">
        <v>224</v>
      </c>
      <c r="AD9" s="245" t="s">
        <v>240</v>
      </c>
      <c r="AE9" s="246" t="s">
        <v>241</v>
      </c>
      <c r="AF9" s="246" t="s">
        <v>224</v>
      </c>
      <c r="AG9" s="245" t="s">
        <v>240</v>
      </c>
      <c r="AH9" s="246" t="s">
        <v>241</v>
      </c>
      <c r="AI9" s="246" t="s">
        <v>224</v>
      </c>
      <c r="AJ9" s="245" t="s">
        <v>240</v>
      </c>
      <c r="AK9" s="246" t="s">
        <v>241</v>
      </c>
      <c r="AL9" s="246" t="s">
        <v>224</v>
      </c>
      <c r="AM9" s="245" t="s">
        <v>240</v>
      </c>
      <c r="AN9" s="246" t="s">
        <v>241</v>
      </c>
      <c r="AO9" s="246" t="s">
        <v>224</v>
      </c>
      <c r="AP9" s="245" t="s">
        <v>240</v>
      </c>
      <c r="AQ9" s="246" t="s">
        <v>241</v>
      </c>
      <c r="AR9" s="246" t="s">
        <v>224</v>
      </c>
      <c r="AS9" s="245" t="s">
        <v>240</v>
      </c>
      <c r="AT9" s="246" t="s">
        <v>241</v>
      </c>
      <c r="AU9" s="246" t="s">
        <v>224</v>
      </c>
      <c r="AV9" s="245" t="s">
        <v>240</v>
      </c>
      <c r="AW9" s="246" t="s">
        <v>241</v>
      </c>
      <c r="AX9" s="246" t="s">
        <v>224</v>
      </c>
      <c r="AY9" s="245" t="s">
        <v>240</v>
      </c>
      <c r="AZ9" s="246" t="s">
        <v>241</v>
      </c>
      <c r="BA9" s="246" t="s">
        <v>224</v>
      </c>
      <c r="BB9" s="245" t="s">
        <v>240</v>
      </c>
      <c r="BC9" s="246" t="s">
        <v>241</v>
      </c>
      <c r="BD9" s="246" t="s">
        <v>224</v>
      </c>
      <c r="BE9" s="245" t="s">
        <v>240</v>
      </c>
      <c r="BF9" s="246" t="s">
        <v>241</v>
      </c>
      <c r="BG9" s="246" t="s">
        <v>224</v>
      </c>
      <c r="BH9" s="245" t="s">
        <v>240</v>
      </c>
      <c r="BI9" s="246" t="s">
        <v>241</v>
      </c>
      <c r="BJ9" s="246" t="s">
        <v>224</v>
      </c>
      <c r="BK9" s="245" t="s">
        <v>240</v>
      </c>
      <c r="BL9" s="246" t="s">
        <v>241</v>
      </c>
      <c r="BM9" s="246" t="s">
        <v>224</v>
      </c>
      <c r="BN9" s="245" t="s">
        <v>240</v>
      </c>
      <c r="BO9" s="246" t="s">
        <v>241</v>
      </c>
      <c r="BP9" s="246" t="s">
        <v>224</v>
      </c>
      <c r="BQ9" s="245" t="s">
        <v>240</v>
      </c>
      <c r="BR9" s="246" t="s">
        <v>241</v>
      </c>
      <c r="BS9" s="246" t="s">
        <v>224</v>
      </c>
      <c r="BT9" s="245" t="s">
        <v>240</v>
      </c>
      <c r="BU9" s="246" t="s">
        <v>241</v>
      </c>
      <c r="BV9" s="246" t="s">
        <v>224</v>
      </c>
      <c r="BW9" s="245" t="s">
        <v>240</v>
      </c>
      <c r="BX9" s="246" t="s">
        <v>241</v>
      </c>
      <c r="BY9" s="246" t="s">
        <v>224</v>
      </c>
      <c r="BZ9" s="245" t="s">
        <v>240</v>
      </c>
      <c r="CA9" s="246" t="s">
        <v>241</v>
      </c>
      <c r="CB9" s="246" t="s">
        <v>224</v>
      </c>
      <c r="CC9" s="245" t="s">
        <v>240</v>
      </c>
      <c r="CD9" s="246" t="s">
        <v>241</v>
      </c>
      <c r="CE9" s="246" t="s">
        <v>224</v>
      </c>
      <c r="CF9" s="245" t="s">
        <v>240</v>
      </c>
      <c r="CG9" s="246" t="s">
        <v>241</v>
      </c>
      <c r="CH9" s="246" t="s">
        <v>224</v>
      </c>
      <c r="CI9" s="245" t="s">
        <v>240</v>
      </c>
      <c r="CJ9" s="246" t="s">
        <v>241</v>
      </c>
      <c r="CK9" s="246" t="s">
        <v>224</v>
      </c>
      <c r="CL9" s="245" t="s">
        <v>240</v>
      </c>
      <c r="CM9" s="246" t="s">
        <v>241</v>
      </c>
      <c r="CN9" s="246" t="s">
        <v>224</v>
      </c>
      <c r="CO9" s="245" t="s">
        <v>240</v>
      </c>
      <c r="CP9" s="246" t="s">
        <v>241</v>
      </c>
      <c r="CQ9" s="246" t="s">
        <v>224</v>
      </c>
      <c r="CR9" s="245" t="s">
        <v>240</v>
      </c>
      <c r="CS9" s="246" t="s">
        <v>241</v>
      </c>
      <c r="CT9" s="246" t="s">
        <v>224</v>
      </c>
      <c r="CU9" s="245" t="s">
        <v>240</v>
      </c>
      <c r="CV9" s="246" t="s">
        <v>241</v>
      </c>
      <c r="CW9" s="246" t="s">
        <v>224</v>
      </c>
      <c r="CX9" s="245" t="s">
        <v>240</v>
      </c>
      <c r="CY9" s="246" t="s">
        <v>241</v>
      </c>
      <c r="CZ9" s="246" t="s">
        <v>224</v>
      </c>
      <c r="DA9" s="245" t="s">
        <v>240</v>
      </c>
      <c r="DB9" s="246" t="s">
        <v>241</v>
      </c>
      <c r="DC9" s="246" t="s">
        <v>224</v>
      </c>
      <c r="DD9" s="245" t="s">
        <v>240</v>
      </c>
      <c r="DE9" s="246" t="s">
        <v>241</v>
      </c>
      <c r="DF9" s="246" t="s">
        <v>224</v>
      </c>
      <c r="DG9" s="245" t="s">
        <v>240</v>
      </c>
      <c r="DH9" s="246" t="s">
        <v>241</v>
      </c>
      <c r="DI9" s="246" t="s">
        <v>224</v>
      </c>
      <c r="DJ9" s="245" t="s">
        <v>240</v>
      </c>
      <c r="DK9" s="246" t="s">
        <v>241</v>
      </c>
      <c r="DL9" s="246" t="s">
        <v>224</v>
      </c>
      <c r="DM9" s="245" t="s">
        <v>240</v>
      </c>
      <c r="DN9" s="246" t="s">
        <v>241</v>
      </c>
      <c r="DO9" s="246" t="s">
        <v>224</v>
      </c>
      <c r="DP9" s="490"/>
      <c r="DQ9" s="492"/>
      <c r="DR9" s="494"/>
      <c r="DS9" s="490"/>
      <c r="DT9" s="492"/>
      <c r="DU9" s="494"/>
      <c r="DV9" s="290" t="s">
        <v>252</v>
      </c>
      <c r="DW9" s="246" t="s">
        <v>251</v>
      </c>
      <c r="DX9" s="278" t="s">
        <v>242</v>
      </c>
      <c r="DY9" s="290" t="s">
        <v>240</v>
      </c>
      <c r="DZ9" s="246" t="s">
        <v>241</v>
      </c>
      <c r="EA9" s="278" t="s">
        <v>242</v>
      </c>
      <c r="EB9" s="290" t="s">
        <v>240</v>
      </c>
      <c r="EC9" s="246" t="s">
        <v>241</v>
      </c>
      <c r="ED9" s="278" t="s">
        <v>242</v>
      </c>
      <c r="EE9" s="290" t="s">
        <v>240</v>
      </c>
      <c r="EF9" s="246" t="s">
        <v>241</v>
      </c>
      <c r="EG9" s="278" t="s">
        <v>242</v>
      </c>
      <c r="EH9" s="290" t="s">
        <v>240</v>
      </c>
      <c r="EI9" s="246" t="s">
        <v>241</v>
      </c>
      <c r="EJ9" s="278" t="s">
        <v>242</v>
      </c>
      <c r="EK9" s="347" t="s">
        <v>132</v>
      </c>
      <c r="EL9" s="290" t="s">
        <v>240</v>
      </c>
      <c r="EM9" s="246" t="s">
        <v>241</v>
      </c>
      <c r="EN9" s="278" t="s">
        <v>242</v>
      </c>
      <c r="EO9" s="290" t="s">
        <v>240</v>
      </c>
      <c r="EP9" s="246" t="s">
        <v>241</v>
      </c>
      <c r="EQ9" s="278" t="s">
        <v>242</v>
      </c>
      <c r="ER9" s="290" t="s">
        <v>240</v>
      </c>
      <c r="ES9" s="246" t="s">
        <v>241</v>
      </c>
      <c r="ET9" s="278" t="s">
        <v>242</v>
      </c>
      <c r="EU9" s="290" t="s">
        <v>240</v>
      </c>
      <c r="EV9" s="246" t="s">
        <v>241</v>
      </c>
      <c r="EW9" s="278" t="s">
        <v>242</v>
      </c>
      <c r="EX9" s="290" t="s">
        <v>240</v>
      </c>
      <c r="EY9" s="246" t="s">
        <v>241</v>
      </c>
      <c r="EZ9" s="278" t="s">
        <v>242</v>
      </c>
    </row>
    <row r="10" spans="1:250" x14ac:dyDescent="0.25">
      <c r="A10" s="395" t="s">
        <v>34</v>
      </c>
      <c r="B10" s="396"/>
      <c r="C10" s="232" t="s">
        <v>133</v>
      </c>
      <c r="D10" s="233" t="s">
        <v>181</v>
      </c>
      <c r="E10" s="265">
        <f t="shared" ref="E10:N10" si="0">SUM(E11:E12)</f>
        <v>0</v>
      </c>
      <c r="F10" s="263">
        <f t="shared" si="0"/>
        <v>0</v>
      </c>
      <c r="G10" s="265">
        <f t="shared" si="0"/>
        <v>0</v>
      </c>
      <c r="H10" s="263">
        <f t="shared" si="0"/>
        <v>0</v>
      </c>
      <c r="I10" s="265">
        <f t="shared" si="0"/>
        <v>0</v>
      </c>
      <c r="J10" s="263">
        <f t="shared" si="0"/>
        <v>0</v>
      </c>
      <c r="K10" s="265">
        <f t="shared" si="0"/>
        <v>0</v>
      </c>
      <c r="L10" s="263">
        <f t="shared" si="0"/>
        <v>0</v>
      </c>
      <c r="M10" s="265">
        <f t="shared" si="0"/>
        <v>0</v>
      </c>
      <c r="N10" s="263">
        <f t="shared" si="0"/>
        <v>0</v>
      </c>
      <c r="O10" s="247">
        <f>SUM(O11:O12)</f>
        <v>0</v>
      </c>
      <c r="P10" s="248">
        <f>SUM(P11:P12)</f>
        <v>0</v>
      </c>
      <c r="Q10" s="260"/>
      <c r="R10" s="247">
        <f>SUM(R11:R12)</f>
        <v>0</v>
      </c>
      <c r="S10" s="248">
        <f>SUM(S11:S12)</f>
        <v>0</v>
      </c>
      <c r="T10" s="260"/>
      <c r="U10" s="247">
        <f>SUM(U11:U12)</f>
        <v>0</v>
      </c>
      <c r="V10" s="248">
        <f>SUM(V11:V12)</f>
        <v>0</v>
      </c>
      <c r="W10" s="260"/>
      <c r="X10" s="247">
        <f>SUM(X11:X12)</f>
        <v>0</v>
      </c>
      <c r="Y10" s="248">
        <f>SUM(Y11:Y12)</f>
        <v>0</v>
      </c>
      <c r="Z10" s="260"/>
      <c r="AA10" s="247">
        <f>SUM(AA11:AA12)</f>
        <v>0</v>
      </c>
      <c r="AB10" s="248">
        <f>SUM(AB11:AB12)</f>
        <v>0</v>
      </c>
      <c r="AC10" s="260"/>
      <c r="AD10" s="247">
        <f>SUM(AD11:AD12)</f>
        <v>0</v>
      </c>
      <c r="AE10" s="248">
        <f>SUM(AE11:AE12)</f>
        <v>0</v>
      </c>
      <c r="AF10" s="260"/>
      <c r="AG10" s="247">
        <f>SUM(AG11:AG12)</f>
        <v>0</v>
      </c>
      <c r="AH10" s="248">
        <f>SUM(AH11:AH12)</f>
        <v>0</v>
      </c>
      <c r="AI10" s="260"/>
      <c r="AJ10" s="247">
        <f>SUM(AJ11:AJ12)</f>
        <v>0</v>
      </c>
      <c r="AK10" s="248">
        <f>SUM(AK11:AK12)</f>
        <v>0</v>
      </c>
      <c r="AL10" s="260"/>
      <c r="AM10" s="247">
        <f>SUM(AM11:AM12)</f>
        <v>0</v>
      </c>
      <c r="AN10" s="248">
        <f>SUM(AN11:AN12)</f>
        <v>0</v>
      </c>
      <c r="AO10" s="260"/>
      <c r="AP10" s="247">
        <f>SUM(AP11:AP12)</f>
        <v>0</v>
      </c>
      <c r="AQ10" s="248">
        <f>SUM(AQ11:AQ12)</f>
        <v>0</v>
      </c>
      <c r="AR10" s="260"/>
      <c r="AS10" s="247">
        <f>SUM(AS11:AS12)</f>
        <v>0</v>
      </c>
      <c r="AT10" s="248">
        <f>SUM(AT11:AT12)</f>
        <v>0</v>
      </c>
      <c r="AU10" s="260"/>
      <c r="AV10" s="247">
        <f>SUM(AV11:AV12)</f>
        <v>0</v>
      </c>
      <c r="AW10" s="248">
        <f>SUM(AW11:AW12)</f>
        <v>0</v>
      </c>
      <c r="AX10" s="260"/>
      <c r="AY10" s="247">
        <f>SUM(AY11:AY12)</f>
        <v>0</v>
      </c>
      <c r="AZ10" s="248">
        <f>SUM(AZ11:AZ12)</f>
        <v>0</v>
      </c>
      <c r="BA10" s="260"/>
      <c r="BB10" s="247">
        <f>SUM(BB11:BB12)</f>
        <v>0</v>
      </c>
      <c r="BC10" s="248">
        <f>SUM(BC11:BC12)</f>
        <v>0</v>
      </c>
      <c r="BD10" s="260"/>
      <c r="BE10" s="247">
        <f>SUM(BE11:BE12)</f>
        <v>0</v>
      </c>
      <c r="BF10" s="248">
        <f>SUM(BF11:BF12)</f>
        <v>0</v>
      </c>
      <c r="BG10" s="260"/>
      <c r="BH10" s="247">
        <f>SUM(BH11:BH12)</f>
        <v>0</v>
      </c>
      <c r="BI10" s="248">
        <f>SUM(BI11:BI12)</f>
        <v>0</v>
      </c>
      <c r="BJ10" s="260"/>
      <c r="BK10" s="247">
        <f>SUM(BK11:BK12)</f>
        <v>0</v>
      </c>
      <c r="BL10" s="248">
        <f>SUM(BL11:BL12)</f>
        <v>0</v>
      </c>
      <c r="BM10" s="260"/>
      <c r="BN10" s="247">
        <f>SUM(BN11:BN12)</f>
        <v>0</v>
      </c>
      <c r="BO10" s="248">
        <f>SUM(BO11:BO12)</f>
        <v>0</v>
      </c>
      <c r="BP10" s="260"/>
      <c r="BQ10" s="247">
        <f>SUM(BQ11:BQ12)</f>
        <v>0</v>
      </c>
      <c r="BR10" s="248">
        <f>SUM(BR11:BR12)</f>
        <v>0</v>
      </c>
      <c r="BS10" s="260"/>
      <c r="BT10" s="247">
        <f>SUM(BT11:BT12)</f>
        <v>0</v>
      </c>
      <c r="BU10" s="248">
        <f>SUM(BU11:BU12)</f>
        <v>0</v>
      </c>
      <c r="BV10" s="260"/>
      <c r="BW10" s="247">
        <f>SUM(BW11:BW12)</f>
        <v>0</v>
      </c>
      <c r="BX10" s="248">
        <f>SUM(BX11:BX12)</f>
        <v>0</v>
      </c>
      <c r="BY10" s="260"/>
      <c r="BZ10" s="247">
        <f>SUM(BZ11:BZ12)</f>
        <v>0</v>
      </c>
      <c r="CA10" s="248">
        <f>SUM(CA11:CA12)</f>
        <v>0</v>
      </c>
      <c r="CB10" s="260"/>
      <c r="CC10" s="247">
        <f>SUM(CC11:CC12)</f>
        <v>0</v>
      </c>
      <c r="CD10" s="248">
        <f>SUM(CD11:CD12)</f>
        <v>0</v>
      </c>
      <c r="CE10" s="260"/>
      <c r="CF10" s="247">
        <f>SUM(CF11:CF12)</f>
        <v>0</v>
      </c>
      <c r="CG10" s="248">
        <f>SUM(CG11:CG12)</f>
        <v>0</v>
      </c>
      <c r="CH10" s="260"/>
      <c r="CI10" s="247">
        <f>SUM(CI11:CI12)</f>
        <v>0</v>
      </c>
      <c r="CJ10" s="248">
        <f>SUM(CJ11:CJ12)</f>
        <v>0</v>
      </c>
      <c r="CK10" s="260"/>
      <c r="CL10" s="247">
        <f>SUM(CL11:CL12)</f>
        <v>0</v>
      </c>
      <c r="CM10" s="248">
        <f>SUM(CM11:CM12)</f>
        <v>0</v>
      </c>
      <c r="CN10" s="260"/>
      <c r="CO10" s="247">
        <f>SUM(CO11:CO12)</f>
        <v>0</v>
      </c>
      <c r="CP10" s="248">
        <f>SUM(CP11:CP12)</f>
        <v>0</v>
      </c>
      <c r="CQ10" s="260"/>
      <c r="CR10" s="247">
        <f>SUM(CR11:CR12)</f>
        <v>0</v>
      </c>
      <c r="CS10" s="248">
        <f>SUM(CS11:CS12)</f>
        <v>0</v>
      </c>
      <c r="CT10" s="260"/>
      <c r="CU10" s="247">
        <f>SUM(CU11:CU12)</f>
        <v>0</v>
      </c>
      <c r="CV10" s="248">
        <f>SUM(CV11:CV12)</f>
        <v>0</v>
      </c>
      <c r="CW10" s="260"/>
      <c r="CX10" s="247">
        <f>SUM(CX11:CX12)</f>
        <v>0</v>
      </c>
      <c r="CY10" s="248">
        <f>SUM(CY11:CY12)</f>
        <v>0</v>
      </c>
      <c r="CZ10" s="260"/>
      <c r="DA10" s="247">
        <f>SUM(DA11:DA12)</f>
        <v>0</v>
      </c>
      <c r="DB10" s="248">
        <f>SUM(DB11:DB12)</f>
        <v>0</v>
      </c>
      <c r="DC10" s="260"/>
      <c r="DD10" s="247">
        <f>SUM(DD11:DD12)</f>
        <v>0</v>
      </c>
      <c r="DE10" s="248">
        <f>SUM(DE11:DE12)</f>
        <v>0</v>
      </c>
      <c r="DF10" s="260"/>
      <c r="DG10" s="247">
        <f>SUM(DG11:DG12)</f>
        <v>0</v>
      </c>
      <c r="DH10" s="248">
        <f>SUM(DH11:DH12)</f>
        <v>0</v>
      </c>
      <c r="DI10" s="260"/>
      <c r="DJ10" s="247">
        <f>SUM(DJ11:DJ12)</f>
        <v>0</v>
      </c>
      <c r="DK10" s="248">
        <f>SUM(DK11:DK12)</f>
        <v>0</v>
      </c>
      <c r="DL10" s="260"/>
      <c r="DM10" s="247">
        <f>SUM(DM11:DM12)</f>
        <v>0</v>
      </c>
      <c r="DN10" s="248">
        <f>SUM(DN11:DN12)</f>
        <v>0</v>
      </c>
      <c r="DO10" s="260"/>
      <c r="DP10" s="247">
        <f>SUM(DP11:DP12)</f>
        <v>0</v>
      </c>
      <c r="DQ10" s="248">
        <f>SUM(DQ11:DQ12)</f>
        <v>0</v>
      </c>
      <c r="DR10" s="260"/>
      <c r="DS10" s="317">
        <f>SUM(DS11:DS12)</f>
        <v>0</v>
      </c>
      <c r="DT10" s="318">
        <f>SUM(DT11:DT12)</f>
        <v>0</v>
      </c>
      <c r="DU10" s="260"/>
      <c r="DV10" s="247">
        <f>SUM(DV11:DV12)</f>
        <v>0</v>
      </c>
      <c r="DW10" s="248">
        <f>SUM(DW11:DW12)</f>
        <v>0</v>
      </c>
      <c r="DX10" s="260"/>
      <c r="DY10" s="247">
        <f>SUM(DY11:DY12)</f>
        <v>0</v>
      </c>
      <c r="DZ10" s="248">
        <f>SUM(DZ11:DZ12)</f>
        <v>0</v>
      </c>
      <c r="EA10" s="260"/>
      <c r="EB10" s="247">
        <f>SUM(EB11:EB12)</f>
        <v>0</v>
      </c>
      <c r="EC10" s="248">
        <f>SUM(EC11:EC12)</f>
        <v>0</v>
      </c>
      <c r="ED10" s="260"/>
      <c r="EE10" s="247">
        <f>SUM(EE11:EE12)</f>
        <v>0</v>
      </c>
      <c r="EF10" s="248">
        <f>SUM(EF11:EF12)</f>
        <v>0</v>
      </c>
      <c r="EG10" s="260"/>
      <c r="EH10" s="282">
        <f>SUM(EH11:EH12)</f>
        <v>0</v>
      </c>
      <c r="EI10" s="248">
        <f>SUM(EI11:EI12)</f>
        <v>0</v>
      </c>
      <c r="EJ10" s="279"/>
      <c r="EK10" s="348" t="s">
        <v>131</v>
      </c>
      <c r="EL10" s="350">
        <f>SUM(EL11:EL12)</f>
        <v>0</v>
      </c>
      <c r="EM10" s="248">
        <f>SUM(EM11:EM12)</f>
        <v>0</v>
      </c>
      <c r="EN10" s="260"/>
      <c r="EO10" s="247">
        <f>SUM(EO11:EO12)</f>
        <v>0</v>
      </c>
      <c r="EP10" s="248">
        <f>SUM(EP11:EP12)</f>
        <v>0</v>
      </c>
      <c r="EQ10" s="260"/>
      <c r="ER10" s="247">
        <f>SUM(ER11:ER12)</f>
        <v>0</v>
      </c>
      <c r="ES10" s="248">
        <f>SUM(ES11:ES12)</f>
        <v>0</v>
      </c>
      <c r="ET10" s="260"/>
      <c r="EU10" s="247">
        <f>SUM(EU11:EU12)</f>
        <v>0</v>
      </c>
      <c r="EV10" s="248">
        <f>SUM(EV11:EV12)</f>
        <v>0</v>
      </c>
      <c r="EW10" s="260"/>
      <c r="EX10" s="282">
        <f>SUM(EX11:EX12)</f>
        <v>0</v>
      </c>
      <c r="EY10" s="248">
        <f>SUM(EY11:EY12)</f>
        <v>0</v>
      </c>
      <c r="EZ10" s="279"/>
    </row>
    <row r="11" spans="1:250" x14ac:dyDescent="0.25">
      <c r="A11" s="94" t="s">
        <v>141</v>
      </c>
      <c r="B11" s="49" t="s">
        <v>141</v>
      </c>
      <c r="C11" s="50" t="s">
        <v>141</v>
      </c>
      <c r="D11" s="51">
        <v>1</v>
      </c>
      <c r="E11" s="265">
        <f>O11+AD11+AS11+BH11+BW11+CL11+DA11</f>
        <v>0</v>
      </c>
      <c r="F11" s="263">
        <f>P11+AE11+AT11+BI11+BX11+CM11+DB11</f>
        <v>0</v>
      </c>
      <c r="G11" s="265">
        <f>R11+AG11+AV11+BK11+BZ11+CO11+DD11</f>
        <v>0</v>
      </c>
      <c r="H11" s="263">
        <f>S11+AH11+AW11+BL11+CA11+CP11+DE11</f>
        <v>0</v>
      </c>
      <c r="I11" s="265">
        <f>U11+AJ11+AY11+BN11+CC11+CR11+DG11</f>
        <v>0</v>
      </c>
      <c r="J11" s="263">
        <f>V11+AK11+AZ11+BO11+CD11+CS11+DH11</f>
        <v>0</v>
      </c>
      <c r="K11" s="265">
        <f>X11+AM11+BB11+BQ11+CF11+CU11+DJ11</f>
        <v>0</v>
      </c>
      <c r="L11" s="263">
        <f>Y11+AN11+BC11+BR11+CG11+CV11+DK11</f>
        <v>0</v>
      </c>
      <c r="M11" s="265">
        <f>AA11+AP11+BE11+BT11+CI11+CX11+DM11</f>
        <v>0</v>
      </c>
      <c r="N11" s="263">
        <f>AB11+AQ11+BF11+BU11+CJ11+CY11+DN11</f>
        <v>0</v>
      </c>
      <c r="O11" s="249"/>
      <c r="P11" s="250"/>
      <c r="Q11" s="339"/>
      <c r="R11" s="249"/>
      <c r="S11" s="250"/>
      <c r="T11" s="339"/>
      <c r="U11" s="249"/>
      <c r="V11" s="250"/>
      <c r="W11" s="339"/>
      <c r="X11" s="249"/>
      <c r="Y11" s="250"/>
      <c r="Z11" s="339"/>
      <c r="AA11" s="249"/>
      <c r="AB11" s="250"/>
      <c r="AC11" s="339"/>
      <c r="AD11" s="249"/>
      <c r="AE11" s="250"/>
      <c r="AF11" s="339"/>
      <c r="AG11" s="249"/>
      <c r="AH11" s="250"/>
      <c r="AI11" s="339"/>
      <c r="AJ11" s="249"/>
      <c r="AK11" s="250"/>
      <c r="AL11" s="339"/>
      <c r="AM11" s="249"/>
      <c r="AN11" s="250"/>
      <c r="AO11" s="339"/>
      <c r="AP11" s="249"/>
      <c r="AQ11" s="250"/>
      <c r="AR11" s="339"/>
      <c r="AS11" s="249"/>
      <c r="AT11" s="250"/>
      <c r="AU11" s="339"/>
      <c r="AV11" s="249"/>
      <c r="AW11" s="250"/>
      <c r="AX11" s="339"/>
      <c r="AY11" s="249"/>
      <c r="AZ11" s="250"/>
      <c r="BA11" s="339"/>
      <c r="BB11" s="249"/>
      <c r="BC11" s="250"/>
      <c r="BD11" s="339"/>
      <c r="BE11" s="249"/>
      <c r="BF11" s="250"/>
      <c r="BG11" s="339"/>
      <c r="BH11" s="249"/>
      <c r="BI11" s="250"/>
      <c r="BJ11" s="339"/>
      <c r="BK11" s="249"/>
      <c r="BL11" s="250"/>
      <c r="BM11" s="339"/>
      <c r="BN11" s="249"/>
      <c r="BO11" s="250"/>
      <c r="BP11" s="339"/>
      <c r="BQ11" s="249"/>
      <c r="BR11" s="250"/>
      <c r="BS11" s="339"/>
      <c r="BT11" s="249"/>
      <c r="BU11" s="250"/>
      <c r="BV11" s="339"/>
      <c r="BW11" s="249"/>
      <c r="BX11" s="250"/>
      <c r="BY11" s="339"/>
      <c r="BZ11" s="249"/>
      <c r="CA11" s="250"/>
      <c r="CB11" s="339"/>
      <c r="CC11" s="249"/>
      <c r="CD11" s="250"/>
      <c r="CE11" s="339"/>
      <c r="CF11" s="249"/>
      <c r="CG11" s="250"/>
      <c r="CH11" s="339"/>
      <c r="CI11" s="249"/>
      <c r="CJ11" s="250"/>
      <c r="CK11" s="339"/>
      <c r="CL11" s="249"/>
      <c r="CM11" s="250"/>
      <c r="CN11" s="339"/>
      <c r="CO11" s="249"/>
      <c r="CP11" s="250"/>
      <c r="CQ11" s="339"/>
      <c r="CR11" s="249"/>
      <c r="CS11" s="250"/>
      <c r="CT11" s="339"/>
      <c r="CU11" s="249"/>
      <c r="CV11" s="250"/>
      <c r="CW11" s="339"/>
      <c r="CX11" s="249"/>
      <c r="CY11" s="250"/>
      <c r="CZ11" s="339"/>
      <c r="DA11" s="249"/>
      <c r="DB11" s="250"/>
      <c r="DC11" s="339"/>
      <c r="DD11" s="249"/>
      <c r="DE11" s="250"/>
      <c r="DF11" s="339"/>
      <c r="DG11" s="249"/>
      <c r="DH11" s="250"/>
      <c r="DI11" s="339"/>
      <c r="DJ11" s="249"/>
      <c r="DK11" s="250"/>
      <c r="DL11" s="339"/>
      <c r="DM11" s="249"/>
      <c r="DN11" s="250"/>
      <c r="DO11" s="339"/>
      <c r="DP11" s="249"/>
      <c r="DQ11" s="250"/>
      <c r="DR11" s="339"/>
      <c r="DS11" s="316"/>
      <c r="DT11" s="319"/>
      <c r="DU11" s="339"/>
      <c r="DV11" s="249"/>
      <c r="DW11" s="250"/>
      <c r="DX11" s="339"/>
      <c r="DY11" s="249"/>
      <c r="DZ11" s="250"/>
      <c r="EA11" s="339"/>
      <c r="EB11" s="249"/>
      <c r="EC11" s="250"/>
      <c r="ED11" s="339"/>
      <c r="EE11" s="249"/>
      <c r="EF11" s="250"/>
      <c r="EG11" s="339"/>
      <c r="EH11" s="283"/>
      <c r="EI11" s="250"/>
      <c r="EJ11" s="341"/>
      <c r="EK11" s="348"/>
      <c r="EL11" s="351"/>
      <c r="EM11" s="250"/>
      <c r="EN11" s="339"/>
      <c r="EO11" s="249"/>
      <c r="EP11" s="250"/>
      <c r="EQ11" s="339"/>
      <c r="ER11" s="249"/>
      <c r="ES11" s="250"/>
      <c r="ET11" s="339"/>
      <c r="EU11" s="249"/>
      <c r="EV11" s="250"/>
      <c r="EW11" s="339"/>
      <c r="EX11" s="283"/>
      <c r="EY11" s="250"/>
      <c r="EZ11" s="341"/>
    </row>
    <row r="12" spans="1:250" x14ac:dyDescent="0.25">
      <c r="A12" s="342"/>
      <c r="B12" s="295"/>
      <c r="C12" s="296"/>
      <c r="D12" s="297" t="str">
        <f>CHAR(132)</f>
        <v>„</v>
      </c>
      <c r="E12" s="298">
        <f>O12+AD12+AS12+BH12+BW12+CL12+DA12</f>
        <v>0</v>
      </c>
      <c r="F12" s="299">
        <f>P12+AE12+AT12+BI12+BX12+CM12+DB12</f>
        <v>0</v>
      </c>
      <c r="G12" s="298">
        <f>R12+AG12+AV12+BK12+BZ12+CO12+DD12</f>
        <v>0</v>
      </c>
      <c r="H12" s="299">
        <f>S12+AH12+AW12+BL12+CA12+CP12+DE12</f>
        <v>0</v>
      </c>
      <c r="I12" s="298">
        <f>U12+AJ12+AY12+BN12+CC12+CR12+DG12</f>
        <v>0</v>
      </c>
      <c r="J12" s="299">
        <f>V12+AK12+AZ12+BO12+CD12+CS12+DH12</f>
        <v>0</v>
      </c>
      <c r="K12" s="298">
        <f>X12+AM12+BB12+BQ12+CF12+CU12+DJ12</f>
        <v>0</v>
      </c>
      <c r="L12" s="299">
        <f>Y12+AN12+BC12+BR12+CG12+CV12+DK12</f>
        <v>0</v>
      </c>
      <c r="M12" s="298">
        <f>AA12+AP12+BE12+BT12+CI12+CX12+DM12</f>
        <v>0</v>
      </c>
      <c r="N12" s="299">
        <f>AB12+AQ12+BF12+BU12+CJ12+CY12+DN12</f>
        <v>0</v>
      </c>
      <c r="O12" s="300"/>
      <c r="P12" s="301"/>
      <c r="Q12" s="301"/>
      <c r="R12" s="300"/>
      <c r="S12" s="301"/>
      <c r="T12" s="301"/>
      <c r="U12" s="300"/>
      <c r="V12" s="301"/>
      <c r="W12" s="301"/>
      <c r="X12" s="300"/>
      <c r="Y12" s="301"/>
      <c r="Z12" s="301"/>
      <c r="AA12" s="300"/>
      <c r="AB12" s="301"/>
      <c r="AC12" s="301"/>
      <c r="AD12" s="300"/>
      <c r="AE12" s="301"/>
      <c r="AF12" s="301"/>
      <c r="AG12" s="300"/>
      <c r="AH12" s="301"/>
      <c r="AI12" s="301"/>
      <c r="AJ12" s="300"/>
      <c r="AK12" s="301"/>
      <c r="AL12" s="301"/>
      <c r="AM12" s="300"/>
      <c r="AN12" s="301"/>
      <c r="AO12" s="301"/>
      <c r="AP12" s="300"/>
      <c r="AQ12" s="301"/>
      <c r="AR12" s="301"/>
      <c r="AS12" s="300"/>
      <c r="AT12" s="301"/>
      <c r="AU12" s="301"/>
      <c r="AV12" s="300"/>
      <c r="AW12" s="301"/>
      <c r="AX12" s="301"/>
      <c r="AY12" s="300"/>
      <c r="AZ12" s="301"/>
      <c r="BA12" s="301"/>
      <c r="BB12" s="300"/>
      <c r="BC12" s="301"/>
      <c r="BD12" s="301"/>
      <c r="BE12" s="300"/>
      <c r="BF12" s="301"/>
      <c r="BG12" s="301"/>
      <c r="BH12" s="300"/>
      <c r="BI12" s="301"/>
      <c r="BJ12" s="301"/>
      <c r="BK12" s="300"/>
      <c r="BL12" s="301"/>
      <c r="BM12" s="301"/>
      <c r="BN12" s="300"/>
      <c r="BO12" s="301"/>
      <c r="BP12" s="301"/>
      <c r="BQ12" s="300"/>
      <c r="BR12" s="301"/>
      <c r="BS12" s="301"/>
      <c r="BT12" s="300"/>
      <c r="BU12" s="301"/>
      <c r="BV12" s="301"/>
      <c r="BW12" s="300"/>
      <c r="BX12" s="301"/>
      <c r="BY12" s="301"/>
      <c r="BZ12" s="300"/>
      <c r="CA12" s="301"/>
      <c r="CB12" s="301"/>
      <c r="CC12" s="300"/>
      <c r="CD12" s="301"/>
      <c r="CE12" s="301"/>
      <c r="CF12" s="300"/>
      <c r="CG12" s="301"/>
      <c r="CH12" s="301"/>
      <c r="CI12" s="300"/>
      <c r="CJ12" s="301"/>
      <c r="CK12" s="301"/>
      <c r="CL12" s="300"/>
      <c r="CM12" s="301"/>
      <c r="CN12" s="301"/>
      <c r="CO12" s="300"/>
      <c r="CP12" s="301"/>
      <c r="CQ12" s="301"/>
      <c r="CR12" s="300"/>
      <c r="CS12" s="301"/>
      <c r="CT12" s="301"/>
      <c r="CU12" s="300"/>
      <c r="CV12" s="301"/>
      <c r="CW12" s="301"/>
      <c r="CX12" s="300"/>
      <c r="CY12" s="301"/>
      <c r="CZ12" s="301"/>
      <c r="DA12" s="300"/>
      <c r="DB12" s="301"/>
      <c r="DC12" s="301"/>
      <c r="DD12" s="300"/>
      <c r="DE12" s="301"/>
      <c r="DF12" s="301"/>
      <c r="DG12" s="300"/>
      <c r="DH12" s="301"/>
      <c r="DI12" s="301"/>
      <c r="DJ12" s="300"/>
      <c r="DK12" s="301"/>
      <c r="DL12" s="301"/>
      <c r="DM12" s="300"/>
      <c r="DN12" s="301"/>
      <c r="DO12" s="301"/>
      <c r="DP12" s="300"/>
      <c r="DQ12" s="301"/>
      <c r="DR12" s="301"/>
      <c r="DS12" s="320"/>
      <c r="DT12" s="321"/>
      <c r="DU12" s="301"/>
      <c r="DV12" s="300"/>
      <c r="DW12" s="301"/>
      <c r="DX12" s="301"/>
      <c r="DY12" s="300"/>
      <c r="DZ12" s="301"/>
      <c r="EA12" s="301"/>
      <c r="EB12" s="300"/>
      <c r="EC12" s="301"/>
      <c r="ED12" s="301"/>
      <c r="EE12" s="300"/>
      <c r="EF12" s="301"/>
      <c r="EG12" s="301"/>
      <c r="EH12" s="302"/>
      <c r="EI12" s="301"/>
      <c r="EJ12" s="303"/>
      <c r="EK12" s="348"/>
      <c r="EL12" s="352"/>
      <c r="EM12" s="252"/>
      <c r="EN12" s="301"/>
      <c r="EO12" s="251"/>
      <c r="EP12" s="252"/>
      <c r="EQ12" s="301"/>
      <c r="ER12" s="251"/>
      <c r="ES12" s="252"/>
      <c r="ET12" s="301"/>
      <c r="EU12" s="251"/>
      <c r="EV12" s="252"/>
      <c r="EW12" s="301"/>
      <c r="EX12" s="284"/>
      <c r="EY12" s="252"/>
      <c r="EZ12" s="303"/>
    </row>
    <row r="13" spans="1:250" x14ac:dyDescent="0.25">
      <c r="A13" s="367" t="s">
        <v>221</v>
      </c>
      <c r="B13" s="368"/>
      <c r="C13" s="230" t="s">
        <v>134</v>
      </c>
      <c r="D13" s="231" t="s">
        <v>182</v>
      </c>
      <c r="E13" s="265">
        <f t="shared" ref="E13:P13" si="1">SUM(E14:E30)</f>
        <v>0</v>
      </c>
      <c r="F13" s="263">
        <f t="shared" si="1"/>
        <v>0</v>
      </c>
      <c r="G13" s="265">
        <f t="shared" si="1"/>
        <v>0</v>
      </c>
      <c r="H13" s="263">
        <f t="shared" si="1"/>
        <v>0</v>
      </c>
      <c r="I13" s="265">
        <f t="shared" si="1"/>
        <v>0</v>
      </c>
      <c r="J13" s="263">
        <f t="shared" si="1"/>
        <v>0</v>
      </c>
      <c r="K13" s="265">
        <f t="shared" si="1"/>
        <v>0</v>
      </c>
      <c r="L13" s="263">
        <f t="shared" si="1"/>
        <v>0</v>
      </c>
      <c r="M13" s="265">
        <f t="shared" si="1"/>
        <v>0</v>
      </c>
      <c r="N13" s="263">
        <f t="shared" si="1"/>
        <v>0</v>
      </c>
      <c r="O13" s="253">
        <f t="shared" si="1"/>
        <v>0</v>
      </c>
      <c r="P13" s="248">
        <f t="shared" si="1"/>
        <v>0</v>
      </c>
      <c r="Q13" s="260"/>
      <c r="R13" s="253">
        <f>SUM(R14:R30)</f>
        <v>0</v>
      </c>
      <c r="S13" s="248">
        <f>SUM(S14:S30)</f>
        <v>0</v>
      </c>
      <c r="T13" s="260"/>
      <c r="U13" s="253">
        <f>SUM(U14:U30)</f>
        <v>0</v>
      </c>
      <c r="V13" s="248">
        <f>SUM(V14:V30)</f>
        <v>0</v>
      </c>
      <c r="W13" s="260"/>
      <c r="X13" s="253">
        <f>SUM(X14:X30)</f>
        <v>0</v>
      </c>
      <c r="Y13" s="248">
        <f>SUM(Y14:Y30)</f>
        <v>0</v>
      </c>
      <c r="Z13" s="260"/>
      <c r="AA13" s="253">
        <f>SUM(AA14:AA30)</f>
        <v>0</v>
      </c>
      <c r="AB13" s="248">
        <f>SUM(AB14:AB30)</f>
        <v>0</v>
      </c>
      <c r="AC13" s="260"/>
      <c r="AD13" s="253">
        <f>SUM(AD14:AD30)</f>
        <v>0</v>
      </c>
      <c r="AE13" s="248">
        <f>SUM(AE14:AE30)</f>
        <v>0</v>
      </c>
      <c r="AF13" s="260"/>
      <c r="AG13" s="253">
        <f>SUM(AG14:AG30)</f>
        <v>0</v>
      </c>
      <c r="AH13" s="248">
        <f>SUM(AH14:AH30)</f>
        <v>0</v>
      </c>
      <c r="AI13" s="260"/>
      <c r="AJ13" s="253">
        <f>SUM(AJ14:AJ30)</f>
        <v>0</v>
      </c>
      <c r="AK13" s="248">
        <f>SUM(AK14:AK30)</f>
        <v>0</v>
      </c>
      <c r="AL13" s="260"/>
      <c r="AM13" s="253">
        <f>SUM(AM14:AM30)</f>
        <v>0</v>
      </c>
      <c r="AN13" s="248">
        <f>SUM(AN14:AN30)</f>
        <v>0</v>
      </c>
      <c r="AO13" s="260"/>
      <c r="AP13" s="253">
        <f>SUM(AP14:AP30)</f>
        <v>0</v>
      </c>
      <c r="AQ13" s="248">
        <f>SUM(AQ14:AQ30)</f>
        <v>0</v>
      </c>
      <c r="AR13" s="260"/>
      <c r="AS13" s="253">
        <f>SUM(AS14:AS30)</f>
        <v>0</v>
      </c>
      <c r="AT13" s="248">
        <f>SUM(AT14:AT30)</f>
        <v>0</v>
      </c>
      <c r="AU13" s="260"/>
      <c r="AV13" s="253">
        <f>SUM(AV14:AV30)</f>
        <v>0</v>
      </c>
      <c r="AW13" s="248">
        <f>SUM(AW14:AW30)</f>
        <v>0</v>
      </c>
      <c r="AX13" s="260"/>
      <c r="AY13" s="253">
        <f>SUM(AY14:AY30)</f>
        <v>0</v>
      </c>
      <c r="AZ13" s="248">
        <f>SUM(AZ14:AZ30)</f>
        <v>0</v>
      </c>
      <c r="BA13" s="260"/>
      <c r="BB13" s="253">
        <f>SUM(BB14:BB30)</f>
        <v>0</v>
      </c>
      <c r="BC13" s="248">
        <f>SUM(BC14:BC30)</f>
        <v>0</v>
      </c>
      <c r="BD13" s="260"/>
      <c r="BE13" s="253">
        <f>SUM(BE14:BE30)</f>
        <v>0</v>
      </c>
      <c r="BF13" s="248">
        <f>SUM(BF14:BF30)</f>
        <v>0</v>
      </c>
      <c r="BG13" s="260"/>
      <c r="BH13" s="253">
        <f>SUM(BH14:BH30)</f>
        <v>0</v>
      </c>
      <c r="BI13" s="248">
        <f>SUM(BI14:BI30)</f>
        <v>0</v>
      </c>
      <c r="BJ13" s="260"/>
      <c r="BK13" s="253">
        <f>SUM(BK14:BK30)</f>
        <v>0</v>
      </c>
      <c r="BL13" s="248">
        <f>SUM(BL14:BL30)</f>
        <v>0</v>
      </c>
      <c r="BM13" s="260"/>
      <c r="BN13" s="253">
        <f>SUM(BN14:BN30)</f>
        <v>0</v>
      </c>
      <c r="BO13" s="248">
        <f>SUM(BO14:BO30)</f>
        <v>0</v>
      </c>
      <c r="BP13" s="260"/>
      <c r="BQ13" s="253">
        <f>SUM(BQ14:BQ30)</f>
        <v>0</v>
      </c>
      <c r="BR13" s="248">
        <f>SUM(BR14:BR30)</f>
        <v>0</v>
      </c>
      <c r="BS13" s="260"/>
      <c r="BT13" s="253">
        <f>SUM(BT14:BT30)</f>
        <v>0</v>
      </c>
      <c r="BU13" s="248">
        <f>SUM(BU14:BU30)</f>
        <v>0</v>
      </c>
      <c r="BV13" s="260"/>
      <c r="BW13" s="253">
        <f>SUM(BW14:BW30)</f>
        <v>0</v>
      </c>
      <c r="BX13" s="248">
        <f>SUM(BX14:BX30)</f>
        <v>0</v>
      </c>
      <c r="BY13" s="260"/>
      <c r="BZ13" s="253">
        <f>SUM(BZ14:BZ30)</f>
        <v>0</v>
      </c>
      <c r="CA13" s="248">
        <f>SUM(CA14:CA30)</f>
        <v>0</v>
      </c>
      <c r="CB13" s="260"/>
      <c r="CC13" s="253">
        <f>SUM(CC14:CC30)</f>
        <v>0</v>
      </c>
      <c r="CD13" s="248">
        <f>SUM(CD14:CD30)</f>
        <v>0</v>
      </c>
      <c r="CE13" s="260"/>
      <c r="CF13" s="253">
        <f>SUM(CF14:CF30)</f>
        <v>0</v>
      </c>
      <c r="CG13" s="248">
        <f>SUM(CG14:CG30)</f>
        <v>0</v>
      </c>
      <c r="CH13" s="260"/>
      <c r="CI13" s="253">
        <f>SUM(CI14:CI30)</f>
        <v>0</v>
      </c>
      <c r="CJ13" s="248">
        <f>SUM(CJ14:CJ30)</f>
        <v>0</v>
      </c>
      <c r="CK13" s="260"/>
      <c r="CL13" s="253">
        <f>SUM(CL14:CL30)</f>
        <v>0</v>
      </c>
      <c r="CM13" s="248">
        <f>SUM(CM14:CM30)</f>
        <v>0</v>
      </c>
      <c r="CN13" s="260"/>
      <c r="CO13" s="253">
        <f>SUM(CO14:CO30)</f>
        <v>0</v>
      </c>
      <c r="CP13" s="248">
        <f>SUM(CP14:CP30)</f>
        <v>0</v>
      </c>
      <c r="CQ13" s="260"/>
      <c r="CR13" s="253">
        <f>SUM(CR14:CR30)</f>
        <v>0</v>
      </c>
      <c r="CS13" s="248">
        <f>SUM(CS14:CS30)</f>
        <v>0</v>
      </c>
      <c r="CT13" s="260"/>
      <c r="CU13" s="253">
        <f>SUM(CU14:CU30)</f>
        <v>0</v>
      </c>
      <c r="CV13" s="248">
        <f>SUM(CV14:CV30)</f>
        <v>0</v>
      </c>
      <c r="CW13" s="260"/>
      <c r="CX13" s="253">
        <f>SUM(CX14:CX30)</f>
        <v>0</v>
      </c>
      <c r="CY13" s="248">
        <f>SUM(CY14:CY30)</f>
        <v>0</v>
      </c>
      <c r="CZ13" s="260"/>
      <c r="DA13" s="253">
        <f>SUM(DA14:DA30)</f>
        <v>0</v>
      </c>
      <c r="DB13" s="248">
        <f>SUM(DB14:DB30)</f>
        <v>0</v>
      </c>
      <c r="DC13" s="260"/>
      <c r="DD13" s="253">
        <f>SUM(DD14:DD30)</f>
        <v>0</v>
      </c>
      <c r="DE13" s="248">
        <f>SUM(DE14:DE30)</f>
        <v>0</v>
      </c>
      <c r="DF13" s="260"/>
      <c r="DG13" s="253">
        <f>SUM(DG14:DG30)</f>
        <v>0</v>
      </c>
      <c r="DH13" s="248">
        <f>SUM(DH14:DH30)</f>
        <v>0</v>
      </c>
      <c r="DI13" s="260"/>
      <c r="DJ13" s="253">
        <f>SUM(DJ14:DJ30)</f>
        <v>0</v>
      </c>
      <c r="DK13" s="248">
        <f>SUM(DK14:DK30)</f>
        <v>0</v>
      </c>
      <c r="DL13" s="260"/>
      <c r="DM13" s="253">
        <f>SUM(DM14:DM30)</f>
        <v>0</v>
      </c>
      <c r="DN13" s="248">
        <f>SUM(DN14:DN30)</f>
        <v>0</v>
      </c>
      <c r="DO13" s="260"/>
      <c r="DP13" s="253">
        <f>SUM(DP14:DP30)</f>
        <v>0</v>
      </c>
      <c r="DQ13" s="248">
        <f>SUM(DQ14:DQ30)</f>
        <v>0</v>
      </c>
      <c r="DR13" s="260"/>
      <c r="DS13" s="322">
        <f>SUM(DS14:DS30)</f>
        <v>0</v>
      </c>
      <c r="DT13" s="318">
        <f>SUM(DT14:DT30)</f>
        <v>0</v>
      </c>
      <c r="DU13" s="260"/>
      <c r="DV13" s="277">
        <f>SUM(DV14:DV30)</f>
        <v>0</v>
      </c>
      <c r="DW13" s="276">
        <f>SUM(DW14:DW30)</f>
        <v>0</v>
      </c>
      <c r="DX13" s="260"/>
      <c r="DY13" s="277">
        <f>SUM(DY14:DY30)</f>
        <v>0</v>
      </c>
      <c r="DZ13" s="276">
        <f>SUM(DZ14:DZ30)</f>
        <v>0</v>
      </c>
      <c r="EA13" s="260"/>
      <c r="EB13" s="277">
        <f>SUM(EB14:EB30)</f>
        <v>0</v>
      </c>
      <c r="EC13" s="276">
        <f>SUM(EC14:EC30)</f>
        <v>0</v>
      </c>
      <c r="ED13" s="260"/>
      <c r="EE13" s="277">
        <f>SUM(EE14:EE30)</f>
        <v>0</v>
      </c>
      <c r="EF13" s="276">
        <f>SUM(EF14:EF30)</f>
        <v>0</v>
      </c>
      <c r="EG13" s="260"/>
      <c r="EH13" s="285">
        <f>SUM(EH14:EH30)</f>
        <v>0</v>
      </c>
      <c r="EI13" s="248">
        <f>SUM(EI14:EI30)</f>
        <v>0</v>
      </c>
      <c r="EJ13" s="279"/>
      <c r="EK13" s="348"/>
      <c r="EL13" s="353">
        <f>SUM(EL14:EL30)</f>
        <v>0</v>
      </c>
      <c r="EM13" s="276">
        <f>SUM(EM14:EM30)</f>
        <v>0</v>
      </c>
      <c r="EN13" s="260"/>
      <c r="EO13" s="277">
        <f>SUM(EO14:EO30)</f>
        <v>0</v>
      </c>
      <c r="EP13" s="276">
        <f>SUM(EP14:EP30)</f>
        <v>0</v>
      </c>
      <c r="EQ13" s="260"/>
      <c r="ER13" s="277">
        <f>SUM(ER14:ER30)</f>
        <v>0</v>
      </c>
      <c r="ES13" s="276">
        <f>SUM(ES14:ES30)</f>
        <v>0</v>
      </c>
      <c r="ET13" s="260"/>
      <c r="EU13" s="277">
        <f>SUM(EU14:EU30)</f>
        <v>0</v>
      </c>
      <c r="EV13" s="276">
        <f>SUM(EV14:EV30)</f>
        <v>0</v>
      </c>
      <c r="EW13" s="260"/>
      <c r="EX13" s="285">
        <f>SUM(EX14:EX30)</f>
        <v>0</v>
      </c>
      <c r="EY13" s="248">
        <f>SUM(EY14:EY30)</f>
        <v>0</v>
      </c>
      <c r="EZ13" s="279"/>
    </row>
    <row r="14" spans="1:250" x14ac:dyDescent="0.25">
      <c r="A14" s="94" t="s">
        <v>265</v>
      </c>
      <c r="B14" s="49" t="s">
        <v>266</v>
      </c>
      <c r="C14" s="50">
        <v>0</v>
      </c>
      <c r="D14" s="51">
        <v>1</v>
      </c>
      <c r="E14" s="265">
        <f>O14+AD14+AS14+BH14+BW14+CL14+DA14</f>
        <v>0</v>
      </c>
      <c r="F14" s="263">
        <f>P14+AE14+AT14+BI14+BX14+CM14+DB14</f>
        <v>0</v>
      </c>
      <c r="G14" s="265">
        <f>R14+AG14+AV14+BK14+BZ14+CO14+DD14</f>
        <v>0</v>
      </c>
      <c r="H14" s="263">
        <f>S14+AH14+AW14+BL14+CA14+CP14+DE14</f>
        <v>0</v>
      </c>
      <c r="I14" s="265">
        <f>U14+AJ14+AY14+BN14+CC14+CR14+DG14</f>
        <v>0</v>
      </c>
      <c r="J14" s="263">
        <f>V14+AK14+AZ14+BO14+CD14+CS14+DH14</f>
        <v>0</v>
      </c>
      <c r="K14" s="265">
        <f>X14+AM14+BB14+BQ14+CF14+CU14+DJ14</f>
        <v>0</v>
      </c>
      <c r="L14" s="263">
        <f>Y14+AN14+BC14+BR14+CG14+CV14+DK14</f>
        <v>0</v>
      </c>
      <c r="M14" s="265">
        <f>AA14+AP14+BE14+BT14+CI14+CX14+DM14</f>
        <v>0</v>
      </c>
      <c r="N14" s="263">
        <f>AB14+AQ14+BF14+BU14+CJ14+CY14+DN14</f>
        <v>0</v>
      </c>
      <c r="O14" s="249"/>
      <c r="P14" s="250"/>
      <c r="Q14" s="339"/>
      <c r="R14" s="249"/>
      <c r="S14" s="250"/>
      <c r="T14" s="339"/>
      <c r="U14" s="249"/>
      <c r="V14" s="250"/>
      <c r="W14" s="339"/>
      <c r="X14" s="249"/>
      <c r="Y14" s="250"/>
      <c r="Z14" s="339"/>
      <c r="AA14" s="249"/>
      <c r="AB14" s="250"/>
      <c r="AC14" s="339"/>
      <c r="AD14" s="249"/>
      <c r="AE14" s="250"/>
      <c r="AF14" s="339"/>
      <c r="AG14" s="249"/>
      <c r="AH14" s="250"/>
      <c r="AI14" s="339"/>
      <c r="AJ14" s="249"/>
      <c r="AK14" s="250"/>
      <c r="AL14" s="339"/>
      <c r="AM14" s="249"/>
      <c r="AN14" s="250"/>
      <c r="AO14" s="339"/>
      <c r="AP14" s="249"/>
      <c r="AQ14" s="250"/>
      <c r="AR14" s="339"/>
      <c r="AS14" s="249"/>
      <c r="AT14" s="250"/>
      <c r="AU14" s="339"/>
      <c r="AV14" s="249"/>
      <c r="AW14" s="250"/>
      <c r="AX14" s="339"/>
      <c r="AY14" s="249"/>
      <c r="AZ14" s="250"/>
      <c r="BA14" s="339"/>
      <c r="BB14" s="249"/>
      <c r="BC14" s="250"/>
      <c r="BD14" s="339"/>
      <c r="BE14" s="249"/>
      <c r="BF14" s="250"/>
      <c r="BG14" s="339"/>
      <c r="BH14" s="249"/>
      <c r="BI14" s="250"/>
      <c r="BJ14" s="339"/>
      <c r="BK14" s="249"/>
      <c r="BL14" s="250"/>
      <c r="BM14" s="339"/>
      <c r="BN14" s="249"/>
      <c r="BO14" s="250"/>
      <c r="BP14" s="339"/>
      <c r="BQ14" s="249"/>
      <c r="BR14" s="250"/>
      <c r="BS14" s="339"/>
      <c r="BT14" s="249"/>
      <c r="BU14" s="250"/>
      <c r="BV14" s="339"/>
      <c r="BW14" s="249"/>
      <c r="BX14" s="250"/>
      <c r="BY14" s="339"/>
      <c r="BZ14" s="249"/>
      <c r="CA14" s="250"/>
      <c r="CB14" s="339"/>
      <c r="CC14" s="249"/>
      <c r="CD14" s="250"/>
      <c r="CE14" s="339"/>
      <c r="CF14" s="249"/>
      <c r="CG14" s="250"/>
      <c r="CH14" s="339"/>
      <c r="CI14" s="249"/>
      <c r="CJ14" s="250"/>
      <c r="CK14" s="339"/>
      <c r="CL14" s="249"/>
      <c r="CM14" s="250"/>
      <c r="CN14" s="339"/>
      <c r="CO14" s="249"/>
      <c r="CP14" s="250"/>
      <c r="CQ14" s="339"/>
      <c r="CR14" s="249"/>
      <c r="CS14" s="250"/>
      <c r="CT14" s="339"/>
      <c r="CU14" s="249"/>
      <c r="CV14" s="250"/>
      <c r="CW14" s="339"/>
      <c r="CX14" s="249"/>
      <c r="CY14" s="250"/>
      <c r="CZ14" s="339"/>
      <c r="DA14" s="249"/>
      <c r="DB14" s="250"/>
      <c r="DC14" s="339"/>
      <c r="DD14" s="249"/>
      <c r="DE14" s="250"/>
      <c r="DF14" s="339"/>
      <c r="DG14" s="249"/>
      <c r="DH14" s="250"/>
      <c r="DI14" s="339"/>
      <c r="DJ14" s="249"/>
      <c r="DK14" s="250"/>
      <c r="DL14" s="339"/>
      <c r="DM14" s="249"/>
      <c r="DN14" s="250"/>
      <c r="DO14" s="339"/>
      <c r="DP14" s="249"/>
      <c r="DQ14" s="250"/>
      <c r="DR14" s="339"/>
      <c r="DS14" s="316"/>
      <c r="DT14" s="319"/>
      <c r="DU14" s="339"/>
      <c r="DV14" s="249"/>
      <c r="DW14" s="250"/>
      <c r="DX14" s="339"/>
      <c r="DY14" s="249"/>
      <c r="DZ14" s="250"/>
      <c r="EA14" s="339"/>
      <c r="EB14" s="249"/>
      <c r="EC14" s="250"/>
      <c r="ED14" s="339"/>
      <c r="EE14" s="249"/>
      <c r="EF14" s="250"/>
      <c r="EG14" s="339"/>
      <c r="EH14" s="283"/>
      <c r="EI14" s="250"/>
      <c r="EJ14" s="341"/>
      <c r="EK14" s="348"/>
      <c r="EL14" s="351"/>
      <c r="EM14" s="250"/>
      <c r="EN14" s="339"/>
      <c r="EO14" s="249"/>
      <c r="EP14" s="250"/>
      <c r="EQ14" s="339"/>
      <c r="ER14" s="249"/>
      <c r="ES14" s="250"/>
      <c r="ET14" s="339"/>
      <c r="EU14" s="249"/>
      <c r="EV14" s="250"/>
      <c r="EW14" s="339"/>
      <c r="EX14" s="283"/>
      <c r="EY14" s="250"/>
      <c r="EZ14" s="341"/>
    </row>
    <row r="15" spans="1:250" x14ac:dyDescent="0.25">
      <c r="A15" s="94" t="s">
        <v>267</v>
      </c>
      <c r="B15" s="49" t="s">
        <v>268</v>
      </c>
      <c r="C15" s="50">
        <v>13</v>
      </c>
      <c r="D15" s="51">
        <v>2</v>
      </c>
      <c r="E15" s="265">
        <f>O15+AD15+AS15+BH15+BW15+CL15+DA15</f>
        <v>0</v>
      </c>
      <c r="F15" s="263">
        <f>P15+AE15+AT15+BI15+BX15+CM15+DB15</f>
        <v>0</v>
      </c>
      <c r="G15" s="265">
        <f>R15+AG15+AV15+BK15+BZ15+CO15+DD15</f>
        <v>0</v>
      </c>
      <c r="H15" s="263">
        <f>S15+AH15+AW15+BL15+CA15+CP15+DE15</f>
        <v>0</v>
      </c>
      <c r="I15" s="265">
        <f>U15+AJ15+AY15+BN15+CC15+CR15+DG15</f>
        <v>0</v>
      </c>
      <c r="J15" s="263">
        <f>V15+AK15+AZ15+BO15+CD15+CS15+DH15</f>
        <v>0</v>
      </c>
      <c r="K15" s="265">
        <f>X15+AM15+BB15+BQ15+CF15+CU15+DJ15</f>
        <v>0</v>
      </c>
      <c r="L15" s="263">
        <f>Y15+AN15+BC15+BR15+CG15+CV15+DK15</f>
        <v>0</v>
      </c>
      <c r="M15" s="265">
        <f>AA15+AP15+BE15+BT15+CI15+CX15+DM15</f>
        <v>0</v>
      </c>
      <c r="N15" s="263">
        <f>AB15+AQ15+BF15+BU15+CJ15+CY15+DN15</f>
        <v>0</v>
      </c>
      <c r="O15" s="249"/>
      <c r="P15" s="250"/>
      <c r="Q15" s="339"/>
      <c r="R15" s="249"/>
      <c r="S15" s="250"/>
      <c r="T15" s="339"/>
      <c r="U15" s="249"/>
      <c r="V15" s="250"/>
      <c r="W15" s="339"/>
      <c r="X15" s="249"/>
      <c r="Y15" s="250"/>
      <c r="Z15" s="339"/>
      <c r="AA15" s="249"/>
      <c r="AB15" s="250"/>
      <c r="AC15" s="339"/>
      <c r="AD15" s="249"/>
      <c r="AE15" s="250"/>
      <c r="AF15" s="339"/>
      <c r="AG15" s="249"/>
      <c r="AH15" s="250"/>
      <c r="AI15" s="339"/>
      <c r="AJ15" s="249"/>
      <c r="AK15" s="250"/>
      <c r="AL15" s="339"/>
      <c r="AM15" s="249"/>
      <c r="AN15" s="250"/>
      <c r="AO15" s="339"/>
      <c r="AP15" s="249"/>
      <c r="AQ15" s="250"/>
      <c r="AR15" s="339"/>
      <c r="AS15" s="249"/>
      <c r="AT15" s="250"/>
      <c r="AU15" s="339"/>
      <c r="AV15" s="249"/>
      <c r="AW15" s="250"/>
      <c r="AX15" s="339"/>
      <c r="AY15" s="249"/>
      <c r="AZ15" s="250"/>
      <c r="BA15" s="339"/>
      <c r="BB15" s="249"/>
      <c r="BC15" s="250"/>
      <c r="BD15" s="339"/>
      <c r="BE15" s="249"/>
      <c r="BF15" s="250"/>
      <c r="BG15" s="339"/>
      <c r="BH15" s="249"/>
      <c r="BI15" s="250"/>
      <c r="BJ15" s="339"/>
      <c r="BK15" s="249"/>
      <c r="BL15" s="250"/>
      <c r="BM15" s="339"/>
      <c r="BN15" s="249"/>
      <c r="BO15" s="250"/>
      <c r="BP15" s="339"/>
      <c r="BQ15" s="249"/>
      <c r="BR15" s="250"/>
      <c r="BS15" s="339"/>
      <c r="BT15" s="249"/>
      <c r="BU15" s="250"/>
      <c r="BV15" s="339"/>
      <c r="BW15" s="249"/>
      <c r="BX15" s="250"/>
      <c r="BY15" s="339"/>
      <c r="BZ15" s="249"/>
      <c r="CA15" s="250"/>
      <c r="CB15" s="339"/>
      <c r="CC15" s="249"/>
      <c r="CD15" s="250"/>
      <c r="CE15" s="339"/>
      <c r="CF15" s="249"/>
      <c r="CG15" s="250"/>
      <c r="CH15" s="339"/>
      <c r="CI15" s="249"/>
      <c r="CJ15" s="250"/>
      <c r="CK15" s="339"/>
      <c r="CL15" s="249"/>
      <c r="CM15" s="250"/>
      <c r="CN15" s="339"/>
      <c r="CO15" s="249"/>
      <c r="CP15" s="250"/>
      <c r="CQ15" s="339"/>
      <c r="CR15" s="249"/>
      <c r="CS15" s="250"/>
      <c r="CT15" s="339"/>
      <c r="CU15" s="249"/>
      <c r="CV15" s="250"/>
      <c r="CW15" s="339"/>
      <c r="CX15" s="249"/>
      <c r="CY15" s="250"/>
      <c r="CZ15" s="339"/>
      <c r="DA15" s="249"/>
      <c r="DB15" s="250"/>
      <c r="DC15" s="339"/>
      <c r="DD15" s="249"/>
      <c r="DE15" s="250"/>
      <c r="DF15" s="339"/>
      <c r="DG15" s="249"/>
      <c r="DH15" s="250"/>
      <c r="DI15" s="339"/>
      <c r="DJ15" s="249"/>
      <c r="DK15" s="250"/>
      <c r="DL15" s="339"/>
      <c r="DM15" s="249"/>
      <c r="DN15" s="250"/>
      <c r="DO15" s="339"/>
      <c r="DP15" s="249"/>
      <c r="DQ15" s="250"/>
      <c r="DR15" s="339"/>
      <c r="DS15" s="316"/>
      <c r="DT15" s="319"/>
      <c r="DU15" s="339"/>
      <c r="DV15" s="249"/>
      <c r="DW15" s="250"/>
      <c r="DX15" s="339"/>
      <c r="DY15" s="249"/>
      <c r="DZ15" s="250"/>
      <c r="EA15" s="339"/>
      <c r="EB15" s="249"/>
      <c r="EC15" s="250"/>
      <c r="ED15" s="339"/>
      <c r="EE15" s="249"/>
      <c r="EF15" s="250"/>
      <c r="EG15" s="339"/>
      <c r="EH15" s="283"/>
      <c r="EI15" s="250"/>
      <c r="EJ15" s="341"/>
      <c r="EK15" s="348"/>
      <c r="EL15" s="351"/>
      <c r="EM15" s="250"/>
      <c r="EN15" s="339"/>
      <c r="EO15" s="249"/>
      <c r="EP15" s="250"/>
      <c r="EQ15" s="339"/>
      <c r="ER15" s="249"/>
      <c r="ES15" s="250"/>
      <c r="ET15" s="339"/>
      <c r="EU15" s="249"/>
      <c r="EV15" s="250"/>
      <c r="EW15" s="339"/>
      <c r="EX15" s="283"/>
      <c r="EY15" s="250"/>
      <c r="EZ15" s="341"/>
    </row>
    <row r="16" spans="1:250" x14ac:dyDescent="0.25">
      <c r="A16" s="94" t="s">
        <v>269</v>
      </c>
      <c r="B16" s="49" t="s">
        <v>270</v>
      </c>
      <c r="C16" s="50">
        <v>9</v>
      </c>
      <c r="D16" s="51">
        <v>3</v>
      </c>
      <c r="E16" s="265">
        <f>O16+AD16+AS16+BH16+BW16+CL16+DA16</f>
        <v>0</v>
      </c>
      <c r="F16" s="263">
        <f>P16+AE16+AT16+BI16+BX16+CM16+DB16</f>
        <v>0</v>
      </c>
      <c r="G16" s="265">
        <f>R16+AG16+AV16+BK16+BZ16+CO16+DD16</f>
        <v>0</v>
      </c>
      <c r="H16" s="263">
        <f>S16+AH16+AW16+BL16+CA16+CP16+DE16</f>
        <v>0</v>
      </c>
      <c r="I16" s="265">
        <f>U16+AJ16+AY16+BN16+CC16+CR16+DG16</f>
        <v>0</v>
      </c>
      <c r="J16" s="263">
        <f>V16+AK16+AZ16+BO16+CD16+CS16+DH16</f>
        <v>0</v>
      </c>
      <c r="K16" s="265">
        <f>X16+AM16+BB16+BQ16+CF16+CU16+DJ16</f>
        <v>0</v>
      </c>
      <c r="L16" s="263">
        <f>Y16+AN16+BC16+BR16+CG16+CV16+DK16</f>
        <v>0</v>
      </c>
      <c r="M16" s="265">
        <f>AA16+AP16+BE16+BT16+CI16+CX16+DM16</f>
        <v>0</v>
      </c>
      <c r="N16" s="263">
        <f>AB16+AQ16+BF16+BU16+CJ16+CY16+DN16</f>
        <v>0</v>
      </c>
      <c r="O16" s="249"/>
      <c r="P16" s="250"/>
      <c r="Q16" s="339"/>
      <c r="R16" s="249"/>
      <c r="S16" s="250"/>
      <c r="T16" s="339"/>
      <c r="U16" s="249"/>
      <c r="V16" s="250"/>
      <c r="W16" s="339"/>
      <c r="X16" s="249"/>
      <c r="Y16" s="250"/>
      <c r="Z16" s="339"/>
      <c r="AA16" s="249"/>
      <c r="AB16" s="250"/>
      <c r="AC16" s="339"/>
      <c r="AD16" s="249"/>
      <c r="AE16" s="250"/>
      <c r="AF16" s="339"/>
      <c r="AG16" s="249"/>
      <c r="AH16" s="250"/>
      <c r="AI16" s="339"/>
      <c r="AJ16" s="249"/>
      <c r="AK16" s="250"/>
      <c r="AL16" s="339"/>
      <c r="AM16" s="249"/>
      <c r="AN16" s="250"/>
      <c r="AO16" s="339"/>
      <c r="AP16" s="249"/>
      <c r="AQ16" s="250"/>
      <c r="AR16" s="339"/>
      <c r="AS16" s="249"/>
      <c r="AT16" s="250"/>
      <c r="AU16" s="339"/>
      <c r="AV16" s="249"/>
      <c r="AW16" s="250"/>
      <c r="AX16" s="339"/>
      <c r="AY16" s="249"/>
      <c r="AZ16" s="250"/>
      <c r="BA16" s="339"/>
      <c r="BB16" s="249"/>
      <c r="BC16" s="250"/>
      <c r="BD16" s="339"/>
      <c r="BE16" s="249"/>
      <c r="BF16" s="250"/>
      <c r="BG16" s="339"/>
      <c r="BH16" s="249"/>
      <c r="BI16" s="250"/>
      <c r="BJ16" s="339"/>
      <c r="BK16" s="249"/>
      <c r="BL16" s="250"/>
      <c r="BM16" s="339"/>
      <c r="BN16" s="249"/>
      <c r="BO16" s="250"/>
      <c r="BP16" s="339"/>
      <c r="BQ16" s="249"/>
      <c r="BR16" s="250"/>
      <c r="BS16" s="339"/>
      <c r="BT16" s="249"/>
      <c r="BU16" s="250"/>
      <c r="BV16" s="339"/>
      <c r="BW16" s="249"/>
      <c r="BX16" s="250"/>
      <c r="BY16" s="339"/>
      <c r="BZ16" s="249"/>
      <c r="CA16" s="250"/>
      <c r="CB16" s="339"/>
      <c r="CC16" s="249"/>
      <c r="CD16" s="250"/>
      <c r="CE16" s="339"/>
      <c r="CF16" s="249"/>
      <c r="CG16" s="250"/>
      <c r="CH16" s="339"/>
      <c r="CI16" s="249"/>
      <c r="CJ16" s="250"/>
      <c r="CK16" s="339"/>
      <c r="CL16" s="249"/>
      <c r="CM16" s="250"/>
      <c r="CN16" s="339"/>
      <c r="CO16" s="249"/>
      <c r="CP16" s="250"/>
      <c r="CQ16" s="339"/>
      <c r="CR16" s="249"/>
      <c r="CS16" s="250"/>
      <c r="CT16" s="339"/>
      <c r="CU16" s="249"/>
      <c r="CV16" s="250"/>
      <c r="CW16" s="339"/>
      <c r="CX16" s="249"/>
      <c r="CY16" s="250"/>
      <c r="CZ16" s="339"/>
      <c r="DA16" s="249"/>
      <c r="DB16" s="250"/>
      <c r="DC16" s="339"/>
      <c r="DD16" s="249"/>
      <c r="DE16" s="250"/>
      <c r="DF16" s="339"/>
      <c r="DG16" s="249"/>
      <c r="DH16" s="250"/>
      <c r="DI16" s="339"/>
      <c r="DJ16" s="249"/>
      <c r="DK16" s="250"/>
      <c r="DL16" s="339"/>
      <c r="DM16" s="249"/>
      <c r="DN16" s="250"/>
      <c r="DO16" s="339"/>
      <c r="DP16" s="249"/>
      <c r="DQ16" s="250"/>
      <c r="DR16" s="339"/>
      <c r="DS16" s="316"/>
      <c r="DT16" s="319"/>
      <c r="DU16" s="339"/>
      <c r="DV16" s="249"/>
      <c r="DW16" s="250"/>
      <c r="DX16" s="339"/>
      <c r="DY16" s="249"/>
      <c r="DZ16" s="250"/>
      <c r="EA16" s="339"/>
      <c r="EB16" s="249"/>
      <c r="EC16" s="250"/>
      <c r="ED16" s="339"/>
      <c r="EE16" s="249"/>
      <c r="EF16" s="250"/>
      <c r="EG16" s="339"/>
      <c r="EH16" s="283"/>
      <c r="EI16" s="250"/>
      <c r="EJ16" s="341"/>
      <c r="EK16" s="348"/>
      <c r="EL16" s="351"/>
      <c r="EM16" s="250"/>
      <c r="EN16" s="339"/>
      <c r="EO16" s="249"/>
      <c r="EP16" s="250"/>
      <c r="EQ16" s="339"/>
      <c r="ER16" s="249"/>
      <c r="ES16" s="250"/>
      <c r="ET16" s="339"/>
      <c r="EU16" s="249"/>
      <c r="EV16" s="250"/>
      <c r="EW16" s="339"/>
      <c r="EX16" s="283"/>
      <c r="EY16" s="250"/>
      <c r="EZ16" s="341"/>
    </row>
    <row r="17" spans="1:156" x14ac:dyDescent="0.25">
      <c r="A17" s="94" t="s">
        <v>271</v>
      </c>
      <c r="B17" s="49" t="s">
        <v>272</v>
      </c>
      <c r="C17" s="50">
        <v>14</v>
      </c>
      <c r="D17" s="51">
        <v>4</v>
      </c>
      <c r="E17" s="265">
        <f>O17+AD17+AS17+BH17+BW17+CL17+DA17</f>
        <v>0</v>
      </c>
      <c r="F17" s="263">
        <f>P17+AE17+AT17+BI17+BX17+CM17+DB17</f>
        <v>0</v>
      </c>
      <c r="G17" s="265">
        <f>R17+AG17+AV17+BK17+BZ17+CO17+DD17</f>
        <v>0</v>
      </c>
      <c r="H17" s="263">
        <f>S17+AH17+AW17+BL17+CA17+CP17+DE17</f>
        <v>0</v>
      </c>
      <c r="I17" s="265">
        <f>U17+AJ17+AY17+BN17+CC17+CR17+DG17</f>
        <v>0</v>
      </c>
      <c r="J17" s="263">
        <f>V17+AK17+AZ17+BO17+CD17+CS17+DH17</f>
        <v>0</v>
      </c>
      <c r="K17" s="265">
        <f>X17+AM17+BB17+BQ17+CF17+CU17+DJ17</f>
        <v>0</v>
      </c>
      <c r="L17" s="263">
        <f>Y17+AN17+BC17+BR17+CG17+CV17+DK17</f>
        <v>0</v>
      </c>
      <c r="M17" s="265">
        <f>AA17+AP17+BE17+BT17+CI17+CX17+DM17</f>
        <v>0</v>
      </c>
      <c r="N17" s="263">
        <f>AB17+AQ17+BF17+BU17+CJ17+CY17+DN17</f>
        <v>0</v>
      </c>
      <c r="O17" s="249"/>
      <c r="P17" s="250"/>
      <c r="Q17" s="339"/>
      <c r="R17" s="249"/>
      <c r="S17" s="250"/>
      <c r="T17" s="339"/>
      <c r="U17" s="249"/>
      <c r="V17" s="250"/>
      <c r="W17" s="339"/>
      <c r="X17" s="249"/>
      <c r="Y17" s="250"/>
      <c r="Z17" s="339"/>
      <c r="AA17" s="249"/>
      <c r="AB17" s="250"/>
      <c r="AC17" s="339"/>
      <c r="AD17" s="249"/>
      <c r="AE17" s="250"/>
      <c r="AF17" s="339"/>
      <c r="AG17" s="249"/>
      <c r="AH17" s="250"/>
      <c r="AI17" s="339"/>
      <c r="AJ17" s="249"/>
      <c r="AK17" s="250"/>
      <c r="AL17" s="339"/>
      <c r="AM17" s="249"/>
      <c r="AN17" s="250"/>
      <c r="AO17" s="339"/>
      <c r="AP17" s="249"/>
      <c r="AQ17" s="250"/>
      <c r="AR17" s="339"/>
      <c r="AS17" s="249"/>
      <c r="AT17" s="250"/>
      <c r="AU17" s="339"/>
      <c r="AV17" s="249"/>
      <c r="AW17" s="250"/>
      <c r="AX17" s="339"/>
      <c r="AY17" s="249"/>
      <c r="AZ17" s="250"/>
      <c r="BA17" s="339"/>
      <c r="BB17" s="249"/>
      <c r="BC17" s="250"/>
      <c r="BD17" s="339"/>
      <c r="BE17" s="249"/>
      <c r="BF17" s="250"/>
      <c r="BG17" s="339"/>
      <c r="BH17" s="249"/>
      <c r="BI17" s="250"/>
      <c r="BJ17" s="339"/>
      <c r="BK17" s="249"/>
      <c r="BL17" s="250"/>
      <c r="BM17" s="339"/>
      <c r="BN17" s="249"/>
      <c r="BO17" s="250"/>
      <c r="BP17" s="339"/>
      <c r="BQ17" s="249"/>
      <c r="BR17" s="250"/>
      <c r="BS17" s="339"/>
      <c r="BT17" s="249"/>
      <c r="BU17" s="250"/>
      <c r="BV17" s="339"/>
      <c r="BW17" s="249"/>
      <c r="BX17" s="250"/>
      <c r="BY17" s="339"/>
      <c r="BZ17" s="249"/>
      <c r="CA17" s="250"/>
      <c r="CB17" s="339"/>
      <c r="CC17" s="249"/>
      <c r="CD17" s="250"/>
      <c r="CE17" s="339"/>
      <c r="CF17" s="249"/>
      <c r="CG17" s="250"/>
      <c r="CH17" s="339"/>
      <c r="CI17" s="249"/>
      <c r="CJ17" s="250"/>
      <c r="CK17" s="339"/>
      <c r="CL17" s="249"/>
      <c r="CM17" s="250"/>
      <c r="CN17" s="339"/>
      <c r="CO17" s="249"/>
      <c r="CP17" s="250"/>
      <c r="CQ17" s="339"/>
      <c r="CR17" s="249"/>
      <c r="CS17" s="250"/>
      <c r="CT17" s="339"/>
      <c r="CU17" s="249"/>
      <c r="CV17" s="250"/>
      <c r="CW17" s="339"/>
      <c r="CX17" s="249"/>
      <c r="CY17" s="250"/>
      <c r="CZ17" s="339"/>
      <c r="DA17" s="249"/>
      <c r="DB17" s="250"/>
      <c r="DC17" s="339"/>
      <c r="DD17" s="249"/>
      <c r="DE17" s="250"/>
      <c r="DF17" s="339"/>
      <c r="DG17" s="249"/>
      <c r="DH17" s="250"/>
      <c r="DI17" s="339"/>
      <c r="DJ17" s="249"/>
      <c r="DK17" s="250"/>
      <c r="DL17" s="339"/>
      <c r="DM17" s="249"/>
      <c r="DN17" s="250"/>
      <c r="DO17" s="339"/>
      <c r="DP17" s="249"/>
      <c r="DQ17" s="250"/>
      <c r="DR17" s="339"/>
      <c r="DS17" s="316"/>
      <c r="DT17" s="319"/>
      <c r="DU17" s="339"/>
      <c r="DV17" s="249"/>
      <c r="DW17" s="250"/>
      <c r="DX17" s="339"/>
      <c r="DY17" s="249"/>
      <c r="DZ17" s="250"/>
      <c r="EA17" s="339"/>
      <c r="EB17" s="249"/>
      <c r="EC17" s="250"/>
      <c r="ED17" s="339"/>
      <c r="EE17" s="249"/>
      <c r="EF17" s="250"/>
      <c r="EG17" s="339"/>
      <c r="EH17" s="283"/>
      <c r="EI17" s="250"/>
      <c r="EJ17" s="341"/>
      <c r="EK17" s="348"/>
      <c r="EL17" s="351"/>
      <c r="EM17" s="250"/>
      <c r="EN17" s="339"/>
      <c r="EO17" s="249"/>
      <c r="EP17" s="250"/>
      <c r="EQ17" s="339"/>
      <c r="ER17" s="249"/>
      <c r="ES17" s="250"/>
      <c r="ET17" s="339"/>
      <c r="EU17" s="249"/>
      <c r="EV17" s="250"/>
      <c r="EW17" s="339"/>
      <c r="EX17" s="283"/>
      <c r="EY17" s="250"/>
      <c r="EZ17" s="341"/>
    </row>
    <row r="18" spans="1:156" x14ac:dyDescent="0.25">
      <c r="A18" s="94" t="s">
        <v>273</v>
      </c>
      <c r="B18" s="49" t="s">
        <v>274</v>
      </c>
      <c r="C18" s="50">
        <v>6</v>
      </c>
      <c r="D18" s="51">
        <v>5</v>
      </c>
      <c r="E18" s="265">
        <f>O18+AD18+AS18+BH18+BW18+CL18+DA18</f>
        <v>0</v>
      </c>
      <c r="F18" s="263">
        <f>P18+AE18+AT18+BI18+BX18+CM18+DB18</f>
        <v>0</v>
      </c>
      <c r="G18" s="265">
        <f>R18+AG18+AV18+BK18+BZ18+CO18+DD18</f>
        <v>0</v>
      </c>
      <c r="H18" s="263">
        <f>S18+AH18+AW18+BL18+CA18+CP18+DE18</f>
        <v>0</v>
      </c>
      <c r="I18" s="265">
        <f>U18+AJ18+AY18+BN18+CC18+CR18+DG18</f>
        <v>0</v>
      </c>
      <c r="J18" s="263">
        <f>V18+AK18+AZ18+BO18+CD18+CS18+DH18</f>
        <v>0</v>
      </c>
      <c r="K18" s="265">
        <f>X18+AM18+BB18+BQ18+CF18+CU18+DJ18</f>
        <v>0</v>
      </c>
      <c r="L18" s="263">
        <f>Y18+AN18+BC18+BR18+CG18+CV18+DK18</f>
        <v>0</v>
      </c>
      <c r="M18" s="265">
        <f>AA18+AP18+BE18+BT18+CI18+CX18+DM18</f>
        <v>0</v>
      </c>
      <c r="N18" s="263">
        <f>AB18+AQ18+BF18+BU18+CJ18+CY18+DN18</f>
        <v>0</v>
      </c>
      <c r="O18" s="249"/>
      <c r="P18" s="250"/>
      <c r="Q18" s="339"/>
      <c r="R18" s="249"/>
      <c r="S18" s="250"/>
      <c r="T18" s="339"/>
      <c r="U18" s="249"/>
      <c r="V18" s="250"/>
      <c r="W18" s="339"/>
      <c r="X18" s="249"/>
      <c r="Y18" s="250"/>
      <c r="Z18" s="339"/>
      <c r="AA18" s="249"/>
      <c r="AB18" s="250"/>
      <c r="AC18" s="339"/>
      <c r="AD18" s="249"/>
      <c r="AE18" s="250"/>
      <c r="AF18" s="339"/>
      <c r="AG18" s="249"/>
      <c r="AH18" s="250"/>
      <c r="AI18" s="339"/>
      <c r="AJ18" s="249"/>
      <c r="AK18" s="250"/>
      <c r="AL18" s="339"/>
      <c r="AM18" s="249"/>
      <c r="AN18" s="250"/>
      <c r="AO18" s="339"/>
      <c r="AP18" s="249"/>
      <c r="AQ18" s="250"/>
      <c r="AR18" s="339"/>
      <c r="AS18" s="249"/>
      <c r="AT18" s="250"/>
      <c r="AU18" s="339"/>
      <c r="AV18" s="249"/>
      <c r="AW18" s="250"/>
      <c r="AX18" s="339"/>
      <c r="AY18" s="249"/>
      <c r="AZ18" s="250"/>
      <c r="BA18" s="339"/>
      <c r="BB18" s="249"/>
      <c r="BC18" s="250"/>
      <c r="BD18" s="339"/>
      <c r="BE18" s="249"/>
      <c r="BF18" s="250"/>
      <c r="BG18" s="339"/>
      <c r="BH18" s="249"/>
      <c r="BI18" s="250"/>
      <c r="BJ18" s="339"/>
      <c r="BK18" s="249"/>
      <c r="BL18" s="250"/>
      <c r="BM18" s="339"/>
      <c r="BN18" s="249"/>
      <c r="BO18" s="250"/>
      <c r="BP18" s="339"/>
      <c r="BQ18" s="249"/>
      <c r="BR18" s="250"/>
      <c r="BS18" s="339"/>
      <c r="BT18" s="249"/>
      <c r="BU18" s="250"/>
      <c r="BV18" s="339"/>
      <c r="BW18" s="249"/>
      <c r="BX18" s="250"/>
      <c r="BY18" s="339"/>
      <c r="BZ18" s="249"/>
      <c r="CA18" s="250"/>
      <c r="CB18" s="339"/>
      <c r="CC18" s="249"/>
      <c r="CD18" s="250"/>
      <c r="CE18" s="339"/>
      <c r="CF18" s="249"/>
      <c r="CG18" s="250"/>
      <c r="CH18" s="339"/>
      <c r="CI18" s="249"/>
      <c r="CJ18" s="250"/>
      <c r="CK18" s="339"/>
      <c r="CL18" s="249"/>
      <c r="CM18" s="250"/>
      <c r="CN18" s="339"/>
      <c r="CO18" s="249"/>
      <c r="CP18" s="250"/>
      <c r="CQ18" s="339"/>
      <c r="CR18" s="249"/>
      <c r="CS18" s="250"/>
      <c r="CT18" s="339"/>
      <c r="CU18" s="249"/>
      <c r="CV18" s="250"/>
      <c r="CW18" s="339"/>
      <c r="CX18" s="249"/>
      <c r="CY18" s="250"/>
      <c r="CZ18" s="339"/>
      <c r="DA18" s="249"/>
      <c r="DB18" s="250"/>
      <c r="DC18" s="339"/>
      <c r="DD18" s="249"/>
      <c r="DE18" s="250"/>
      <c r="DF18" s="339"/>
      <c r="DG18" s="249"/>
      <c r="DH18" s="250"/>
      <c r="DI18" s="339"/>
      <c r="DJ18" s="249"/>
      <c r="DK18" s="250"/>
      <c r="DL18" s="339"/>
      <c r="DM18" s="249"/>
      <c r="DN18" s="250"/>
      <c r="DO18" s="339"/>
      <c r="DP18" s="249"/>
      <c r="DQ18" s="250"/>
      <c r="DR18" s="339"/>
      <c r="DS18" s="316"/>
      <c r="DT18" s="319"/>
      <c r="DU18" s="339"/>
      <c r="DV18" s="249"/>
      <c r="DW18" s="250"/>
      <c r="DX18" s="339"/>
      <c r="DY18" s="249"/>
      <c r="DZ18" s="250"/>
      <c r="EA18" s="339"/>
      <c r="EB18" s="249"/>
      <c r="EC18" s="250"/>
      <c r="ED18" s="339"/>
      <c r="EE18" s="249"/>
      <c r="EF18" s="250"/>
      <c r="EG18" s="339"/>
      <c r="EH18" s="283"/>
      <c r="EI18" s="250"/>
      <c r="EJ18" s="341"/>
      <c r="EK18" s="348"/>
      <c r="EL18" s="351"/>
      <c r="EM18" s="250"/>
      <c r="EN18" s="339"/>
      <c r="EO18" s="249"/>
      <c r="EP18" s="250"/>
      <c r="EQ18" s="339"/>
      <c r="ER18" s="249"/>
      <c r="ES18" s="250"/>
      <c r="ET18" s="339"/>
      <c r="EU18" s="249"/>
      <c r="EV18" s="250"/>
      <c r="EW18" s="339"/>
      <c r="EX18" s="283"/>
      <c r="EY18" s="250"/>
      <c r="EZ18" s="341"/>
    </row>
    <row r="19" spans="1:156" x14ac:dyDescent="0.25">
      <c r="A19" s="94" t="s">
        <v>275</v>
      </c>
      <c r="B19" s="49" t="s">
        <v>276</v>
      </c>
      <c r="C19" s="50">
        <v>1</v>
      </c>
      <c r="D19" s="51">
        <v>6</v>
      </c>
      <c r="E19" s="265">
        <f>O19+AD19+AS19+BH19+BW19+CL19+DA19</f>
        <v>0</v>
      </c>
      <c r="F19" s="263">
        <f>P19+AE19+AT19+BI19+BX19+CM19+DB19</f>
        <v>0</v>
      </c>
      <c r="G19" s="265">
        <f>R19+AG19+AV19+BK19+BZ19+CO19+DD19</f>
        <v>0</v>
      </c>
      <c r="H19" s="263">
        <f>S19+AH19+AW19+BL19+CA19+CP19+DE19</f>
        <v>0</v>
      </c>
      <c r="I19" s="265">
        <f>U19+AJ19+AY19+BN19+CC19+CR19+DG19</f>
        <v>0</v>
      </c>
      <c r="J19" s="263">
        <f>V19+AK19+AZ19+BO19+CD19+CS19+DH19</f>
        <v>0</v>
      </c>
      <c r="K19" s="265">
        <f>X19+AM19+BB19+BQ19+CF19+CU19+DJ19</f>
        <v>0</v>
      </c>
      <c r="L19" s="263">
        <f>Y19+AN19+BC19+BR19+CG19+CV19+DK19</f>
        <v>0</v>
      </c>
      <c r="M19" s="265">
        <f>AA19+AP19+BE19+BT19+CI19+CX19+DM19</f>
        <v>0</v>
      </c>
      <c r="N19" s="263">
        <f>AB19+AQ19+BF19+BU19+CJ19+CY19+DN19</f>
        <v>0</v>
      </c>
      <c r="O19" s="249"/>
      <c r="P19" s="250"/>
      <c r="Q19" s="339"/>
      <c r="R19" s="249"/>
      <c r="S19" s="250"/>
      <c r="T19" s="339"/>
      <c r="U19" s="249"/>
      <c r="V19" s="250"/>
      <c r="W19" s="339"/>
      <c r="X19" s="249"/>
      <c r="Y19" s="250"/>
      <c r="Z19" s="339"/>
      <c r="AA19" s="249"/>
      <c r="AB19" s="250"/>
      <c r="AC19" s="339"/>
      <c r="AD19" s="249"/>
      <c r="AE19" s="250"/>
      <c r="AF19" s="339"/>
      <c r="AG19" s="249"/>
      <c r="AH19" s="250"/>
      <c r="AI19" s="339"/>
      <c r="AJ19" s="249"/>
      <c r="AK19" s="250"/>
      <c r="AL19" s="339"/>
      <c r="AM19" s="249"/>
      <c r="AN19" s="250"/>
      <c r="AO19" s="339"/>
      <c r="AP19" s="249"/>
      <c r="AQ19" s="250"/>
      <c r="AR19" s="339"/>
      <c r="AS19" s="249"/>
      <c r="AT19" s="250"/>
      <c r="AU19" s="339"/>
      <c r="AV19" s="249"/>
      <c r="AW19" s="250"/>
      <c r="AX19" s="339"/>
      <c r="AY19" s="249"/>
      <c r="AZ19" s="250"/>
      <c r="BA19" s="339"/>
      <c r="BB19" s="249"/>
      <c r="BC19" s="250"/>
      <c r="BD19" s="339"/>
      <c r="BE19" s="249"/>
      <c r="BF19" s="250"/>
      <c r="BG19" s="339"/>
      <c r="BH19" s="249"/>
      <c r="BI19" s="250"/>
      <c r="BJ19" s="339"/>
      <c r="BK19" s="249"/>
      <c r="BL19" s="250"/>
      <c r="BM19" s="339"/>
      <c r="BN19" s="249"/>
      <c r="BO19" s="250"/>
      <c r="BP19" s="339"/>
      <c r="BQ19" s="249"/>
      <c r="BR19" s="250"/>
      <c r="BS19" s="339"/>
      <c r="BT19" s="249"/>
      <c r="BU19" s="250"/>
      <c r="BV19" s="339"/>
      <c r="BW19" s="249"/>
      <c r="BX19" s="250"/>
      <c r="BY19" s="339"/>
      <c r="BZ19" s="249"/>
      <c r="CA19" s="250"/>
      <c r="CB19" s="339"/>
      <c r="CC19" s="249"/>
      <c r="CD19" s="250"/>
      <c r="CE19" s="339"/>
      <c r="CF19" s="249"/>
      <c r="CG19" s="250"/>
      <c r="CH19" s="339"/>
      <c r="CI19" s="249"/>
      <c r="CJ19" s="250"/>
      <c r="CK19" s="339"/>
      <c r="CL19" s="249"/>
      <c r="CM19" s="250"/>
      <c r="CN19" s="339"/>
      <c r="CO19" s="249"/>
      <c r="CP19" s="250"/>
      <c r="CQ19" s="339"/>
      <c r="CR19" s="249"/>
      <c r="CS19" s="250"/>
      <c r="CT19" s="339"/>
      <c r="CU19" s="249"/>
      <c r="CV19" s="250"/>
      <c r="CW19" s="339"/>
      <c r="CX19" s="249"/>
      <c r="CY19" s="250"/>
      <c r="CZ19" s="339"/>
      <c r="DA19" s="249"/>
      <c r="DB19" s="250"/>
      <c r="DC19" s="339"/>
      <c r="DD19" s="249"/>
      <c r="DE19" s="250"/>
      <c r="DF19" s="339"/>
      <c r="DG19" s="249"/>
      <c r="DH19" s="250"/>
      <c r="DI19" s="339"/>
      <c r="DJ19" s="249"/>
      <c r="DK19" s="250"/>
      <c r="DL19" s="339"/>
      <c r="DM19" s="249"/>
      <c r="DN19" s="250"/>
      <c r="DO19" s="339"/>
      <c r="DP19" s="249"/>
      <c r="DQ19" s="250"/>
      <c r="DR19" s="339"/>
      <c r="DS19" s="316"/>
      <c r="DT19" s="319"/>
      <c r="DU19" s="339"/>
      <c r="DV19" s="249"/>
      <c r="DW19" s="250"/>
      <c r="DX19" s="339"/>
      <c r="DY19" s="249"/>
      <c r="DZ19" s="250"/>
      <c r="EA19" s="339"/>
      <c r="EB19" s="249"/>
      <c r="EC19" s="250"/>
      <c r="ED19" s="339"/>
      <c r="EE19" s="249"/>
      <c r="EF19" s="250"/>
      <c r="EG19" s="339"/>
      <c r="EH19" s="283"/>
      <c r="EI19" s="250"/>
      <c r="EJ19" s="341"/>
      <c r="EK19" s="348"/>
      <c r="EL19" s="351"/>
      <c r="EM19" s="250"/>
      <c r="EN19" s="339"/>
      <c r="EO19" s="249"/>
      <c r="EP19" s="250"/>
      <c r="EQ19" s="339"/>
      <c r="ER19" s="249"/>
      <c r="ES19" s="250"/>
      <c r="ET19" s="339"/>
      <c r="EU19" s="249"/>
      <c r="EV19" s="250"/>
      <c r="EW19" s="339"/>
      <c r="EX19" s="283"/>
      <c r="EY19" s="250"/>
      <c r="EZ19" s="341"/>
    </row>
    <row r="20" spans="1:156" x14ac:dyDescent="0.25">
      <c r="A20" s="94" t="s">
        <v>277</v>
      </c>
      <c r="B20" s="49" t="s">
        <v>278</v>
      </c>
      <c r="C20" s="50">
        <v>3</v>
      </c>
      <c r="D20" s="51">
        <v>7</v>
      </c>
      <c r="E20" s="265">
        <f>O20+AD20+AS20+BH20+BW20+CL20+DA20</f>
        <v>0</v>
      </c>
      <c r="F20" s="263">
        <f>P20+AE20+AT20+BI20+BX20+CM20+DB20</f>
        <v>0</v>
      </c>
      <c r="G20" s="265">
        <f>R20+AG20+AV20+BK20+BZ20+CO20+DD20</f>
        <v>0</v>
      </c>
      <c r="H20" s="263">
        <f>S20+AH20+AW20+BL20+CA20+CP20+DE20</f>
        <v>0</v>
      </c>
      <c r="I20" s="265">
        <f>U20+AJ20+AY20+BN20+CC20+CR20+DG20</f>
        <v>0</v>
      </c>
      <c r="J20" s="263">
        <f>V20+AK20+AZ20+BO20+CD20+CS20+DH20</f>
        <v>0</v>
      </c>
      <c r="K20" s="265">
        <f>X20+AM20+BB20+BQ20+CF20+CU20+DJ20</f>
        <v>0</v>
      </c>
      <c r="L20" s="263">
        <f>Y20+AN20+BC20+BR20+CG20+CV20+DK20</f>
        <v>0</v>
      </c>
      <c r="M20" s="265">
        <f>AA20+AP20+BE20+BT20+CI20+CX20+DM20</f>
        <v>0</v>
      </c>
      <c r="N20" s="263">
        <f>AB20+AQ20+BF20+BU20+CJ20+CY20+DN20</f>
        <v>0</v>
      </c>
      <c r="O20" s="249"/>
      <c r="P20" s="250"/>
      <c r="Q20" s="339"/>
      <c r="R20" s="249"/>
      <c r="S20" s="250"/>
      <c r="T20" s="339"/>
      <c r="U20" s="249"/>
      <c r="V20" s="250"/>
      <c r="W20" s="339"/>
      <c r="X20" s="249"/>
      <c r="Y20" s="250"/>
      <c r="Z20" s="339"/>
      <c r="AA20" s="249"/>
      <c r="AB20" s="250"/>
      <c r="AC20" s="339"/>
      <c r="AD20" s="249"/>
      <c r="AE20" s="250"/>
      <c r="AF20" s="339"/>
      <c r="AG20" s="249"/>
      <c r="AH20" s="250"/>
      <c r="AI20" s="339"/>
      <c r="AJ20" s="249"/>
      <c r="AK20" s="250"/>
      <c r="AL20" s="339"/>
      <c r="AM20" s="249"/>
      <c r="AN20" s="250"/>
      <c r="AO20" s="339"/>
      <c r="AP20" s="249"/>
      <c r="AQ20" s="250"/>
      <c r="AR20" s="339"/>
      <c r="AS20" s="249"/>
      <c r="AT20" s="250"/>
      <c r="AU20" s="339"/>
      <c r="AV20" s="249"/>
      <c r="AW20" s="250"/>
      <c r="AX20" s="339"/>
      <c r="AY20" s="249"/>
      <c r="AZ20" s="250"/>
      <c r="BA20" s="339"/>
      <c r="BB20" s="249"/>
      <c r="BC20" s="250"/>
      <c r="BD20" s="339"/>
      <c r="BE20" s="249"/>
      <c r="BF20" s="250"/>
      <c r="BG20" s="339"/>
      <c r="BH20" s="249"/>
      <c r="BI20" s="250"/>
      <c r="BJ20" s="339"/>
      <c r="BK20" s="249"/>
      <c r="BL20" s="250"/>
      <c r="BM20" s="339"/>
      <c r="BN20" s="249"/>
      <c r="BO20" s="250"/>
      <c r="BP20" s="339"/>
      <c r="BQ20" s="249"/>
      <c r="BR20" s="250"/>
      <c r="BS20" s="339"/>
      <c r="BT20" s="249"/>
      <c r="BU20" s="250"/>
      <c r="BV20" s="339"/>
      <c r="BW20" s="249"/>
      <c r="BX20" s="250"/>
      <c r="BY20" s="339"/>
      <c r="BZ20" s="249"/>
      <c r="CA20" s="250"/>
      <c r="CB20" s="339"/>
      <c r="CC20" s="249"/>
      <c r="CD20" s="250"/>
      <c r="CE20" s="339"/>
      <c r="CF20" s="249"/>
      <c r="CG20" s="250"/>
      <c r="CH20" s="339"/>
      <c r="CI20" s="249"/>
      <c r="CJ20" s="250"/>
      <c r="CK20" s="339"/>
      <c r="CL20" s="249"/>
      <c r="CM20" s="250"/>
      <c r="CN20" s="339"/>
      <c r="CO20" s="249"/>
      <c r="CP20" s="250"/>
      <c r="CQ20" s="339"/>
      <c r="CR20" s="249"/>
      <c r="CS20" s="250"/>
      <c r="CT20" s="339"/>
      <c r="CU20" s="249"/>
      <c r="CV20" s="250"/>
      <c r="CW20" s="339"/>
      <c r="CX20" s="249"/>
      <c r="CY20" s="250"/>
      <c r="CZ20" s="339"/>
      <c r="DA20" s="249"/>
      <c r="DB20" s="250"/>
      <c r="DC20" s="339"/>
      <c r="DD20" s="249"/>
      <c r="DE20" s="250"/>
      <c r="DF20" s="339"/>
      <c r="DG20" s="249"/>
      <c r="DH20" s="250"/>
      <c r="DI20" s="339"/>
      <c r="DJ20" s="249"/>
      <c r="DK20" s="250"/>
      <c r="DL20" s="339"/>
      <c r="DM20" s="249"/>
      <c r="DN20" s="250"/>
      <c r="DO20" s="339"/>
      <c r="DP20" s="249"/>
      <c r="DQ20" s="250"/>
      <c r="DR20" s="339"/>
      <c r="DS20" s="316"/>
      <c r="DT20" s="319"/>
      <c r="DU20" s="339"/>
      <c r="DV20" s="249"/>
      <c r="DW20" s="250"/>
      <c r="DX20" s="339"/>
      <c r="DY20" s="249"/>
      <c r="DZ20" s="250"/>
      <c r="EA20" s="339"/>
      <c r="EB20" s="249"/>
      <c r="EC20" s="250"/>
      <c r="ED20" s="339"/>
      <c r="EE20" s="249"/>
      <c r="EF20" s="250"/>
      <c r="EG20" s="339"/>
      <c r="EH20" s="283"/>
      <c r="EI20" s="250"/>
      <c r="EJ20" s="341"/>
      <c r="EK20" s="348"/>
      <c r="EL20" s="351"/>
      <c r="EM20" s="250"/>
      <c r="EN20" s="339"/>
      <c r="EO20" s="249"/>
      <c r="EP20" s="250"/>
      <c r="EQ20" s="339"/>
      <c r="ER20" s="249"/>
      <c r="ES20" s="250"/>
      <c r="ET20" s="339"/>
      <c r="EU20" s="249"/>
      <c r="EV20" s="250"/>
      <c r="EW20" s="339"/>
      <c r="EX20" s="283"/>
      <c r="EY20" s="250"/>
      <c r="EZ20" s="341"/>
    </row>
    <row r="21" spans="1:156" x14ac:dyDescent="0.25">
      <c r="A21" s="94" t="s">
        <v>279</v>
      </c>
      <c r="B21" s="49" t="s">
        <v>280</v>
      </c>
      <c r="C21" s="50">
        <v>12</v>
      </c>
      <c r="D21" s="51">
        <v>8</v>
      </c>
      <c r="E21" s="265">
        <f>O21+AD21+AS21+BH21+BW21+CL21+DA21</f>
        <v>0</v>
      </c>
      <c r="F21" s="263">
        <f>P21+AE21+AT21+BI21+BX21+CM21+DB21</f>
        <v>0</v>
      </c>
      <c r="G21" s="265">
        <f>R21+AG21+AV21+BK21+BZ21+CO21+DD21</f>
        <v>0</v>
      </c>
      <c r="H21" s="263">
        <f>S21+AH21+AW21+BL21+CA21+CP21+DE21</f>
        <v>0</v>
      </c>
      <c r="I21" s="265">
        <f>U21+AJ21+AY21+BN21+CC21+CR21+DG21</f>
        <v>0</v>
      </c>
      <c r="J21" s="263">
        <f>V21+AK21+AZ21+BO21+CD21+CS21+DH21</f>
        <v>0</v>
      </c>
      <c r="K21" s="265">
        <f>X21+AM21+BB21+BQ21+CF21+CU21+DJ21</f>
        <v>0</v>
      </c>
      <c r="L21" s="263">
        <f>Y21+AN21+BC21+BR21+CG21+CV21+DK21</f>
        <v>0</v>
      </c>
      <c r="M21" s="265">
        <f>AA21+AP21+BE21+BT21+CI21+CX21+DM21</f>
        <v>0</v>
      </c>
      <c r="N21" s="263">
        <f>AB21+AQ21+BF21+BU21+CJ21+CY21+DN21</f>
        <v>0</v>
      </c>
      <c r="O21" s="249"/>
      <c r="P21" s="250"/>
      <c r="Q21" s="339"/>
      <c r="R21" s="249"/>
      <c r="S21" s="250"/>
      <c r="T21" s="339"/>
      <c r="U21" s="249"/>
      <c r="V21" s="250"/>
      <c r="W21" s="339"/>
      <c r="X21" s="249"/>
      <c r="Y21" s="250"/>
      <c r="Z21" s="339"/>
      <c r="AA21" s="249"/>
      <c r="AB21" s="250"/>
      <c r="AC21" s="339"/>
      <c r="AD21" s="249"/>
      <c r="AE21" s="250"/>
      <c r="AF21" s="339"/>
      <c r="AG21" s="249"/>
      <c r="AH21" s="250"/>
      <c r="AI21" s="339"/>
      <c r="AJ21" s="249"/>
      <c r="AK21" s="250"/>
      <c r="AL21" s="339"/>
      <c r="AM21" s="249"/>
      <c r="AN21" s="250"/>
      <c r="AO21" s="339"/>
      <c r="AP21" s="249"/>
      <c r="AQ21" s="250"/>
      <c r="AR21" s="339"/>
      <c r="AS21" s="249"/>
      <c r="AT21" s="250"/>
      <c r="AU21" s="339"/>
      <c r="AV21" s="249"/>
      <c r="AW21" s="250"/>
      <c r="AX21" s="339"/>
      <c r="AY21" s="249"/>
      <c r="AZ21" s="250"/>
      <c r="BA21" s="339"/>
      <c r="BB21" s="249"/>
      <c r="BC21" s="250"/>
      <c r="BD21" s="339"/>
      <c r="BE21" s="249"/>
      <c r="BF21" s="250"/>
      <c r="BG21" s="339"/>
      <c r="BH21" s="249"/>
      <c r="BI21" s="250"/>
      <c r="BJ21" s="339"/>
      <c r="BK21" s="249"/>
      <c r="BL21" s="250"/>
      <c r="BM21" s="339"/>
      <c r="BN21" s="249"/>
      <c r="BO21" s="250"/>
      <c r="BP21" s="339"/>
      <c r="BQ21" s="249"/>
      <c r="BR21" s="250"/>
      <c r="BS21" s="339"/>
      <c r="BT21" s="249"/>
      <c r="BU21" s="250"/>
      <c r="BV21" s="339"/>
      <c r="BW21" s="249"/>
      <c r="BX21" s="250"/>
      <c r="BY21" s="339"/>
      <c r="BZ21" s="249"/>
      <c r="CA21" s="250"/>
      <c r="CB21" s="339"/>
      <c r="CC21" s="249"/>
      <c r="CD21" s="250"/>
      <c r="CE21" s="339"/>
      <c r="CF21" s="249"/>
      <c r="CG21" s="250"/>
      <c r="CH21" s="339"/>
      <c r="CI21" s="249"/>
      <c r="CJ21" s="250"/>
      <c r="CK21" s="339"/>
      <c r="CL21" s="249"/>
      <c r="CM21" s="250"/>
      <c r="CN21" s="339"/>
      <c r="CO21" s="249"/>
      <c r="CP21" s="250"/>
      <c r="CQ21" s="339"/>
      <c r="CR21" s="249"/>
      <c r="CS21" s="250"/>
      <c r="CT21" s="339"/>
      <c r="CU21" s="249"/>
      <c r="CV21" s="250"/>
      <c r="CW21" s="339"/>
      <c r="CX21" s="249"/>
      <c r="CY21" s="250"/>
      <c r="CZ21" s="339"/>
      <c r="DA21" s="249"/>
      <c r="DB21" s="250"/>
      <c r="DC21" s="339"/>
      <c r="DD21" s="249"/>
      <c r="DE21" s="250"/>
      <c r="DF21" s="339"/>
      <c r="DG21" s="249"/>
      <c r="DH21" s="250"/>
      <c r="DI21" s="339"/>
      <c r="DJ21" s="249"/>
      <c r="DK21" s="250"/>
      <c r="DL21" s="339"/>
      <c r="DM21" s="249"/>
      <c r="DN21" s="250"/>
      <c r="DO21" s="339"/>
      <c r="DP21" s="249"/>
      <c r="DQ21" s="250"/>
      <c r="DR21" s="339"/>
      <c r="DS21" s="316"/>
      <c r="DT21" s="319"/>
      <c r="DU21" s="339"/>
      <c r="DV21" s="249"/>
      <c r="DW21" s="250"/>
      <c r="DX21" s="339"/>
      <c r="DY21" s="249"/>
      <c r="DZ21" s="250"/>
      <c r="EA21" s="339"/>
      <c r="EB21" s="249"/>
      <c r="EC21" s="250"/>
      <c r="ED21" s="339"/>
      <c r="EE21" s="249"/>
      <c r="EF21" s="250"/>
      <c r="EG21" s="339"/>
      <c r="EH21" s="283"/>
      <c r="EI21" s="250"/>
      <c r="EJ21" s="341"/>
      <c r="EK21" s="348"/>
      <c r="EL21" s="351"/>
      <c r="EM21" s="250"/>
      <c r="EN21" s="339"/>
      <c r="EO21" s="249"/>
      <c r="EP21" s="250"/>
      <c r="EQ21" s="339"/>
      <c r="ER21" s="249"/>
      <c r="ES21" s="250"/>
      <c r="ET21" s="339"/>
      <c r="EU21" s="249"/>
      <c r="EV21" s="250"/>
      <c r="EW21" s="339"/>
      <c r="EX21" s="283"/>
      <c r="EY21" s="250"/>
      <c r="EZ21" s="341"/>
    </row>
    <row r="22" spans="1:156" x14ac:dyDescent="0.25">
      <c r="A22" s="94" t="s">
        <v>281</v>
      </c>
      <c r="B22" s="49" t="s">
        <v>282</v>
      </c>
      <c r="C22" s="50">
        <v>15</v>
      </c>
      <c r="D22" s="51">
        <v>9</v>
      </c>
      <c r="E22" s="265">
        <f>O22+AD22+AS22+BH22+BW22+CL22+DA22</f>
        <v>0</v>
      </c>
      <c r="F22" s="263">
        <f>P22+AE22+AT22+BI22+BX22+CM22+DB22</f>
        <v>0</v>
      </c>
      <c r="G22" s="265">
        <f>R22+AG22+AV22+BK22+BZ22+CO22+DD22</f>
        <v>0</v>
      </c>
      <c r="H22" s="263">
        <f>S22+AH22+AW22+BL22+CA22+CP22+DE22</f>
        <v>0</v>
      </c>
      <c r="I22" s="265">
        <f>U22+AJ22+AY22+BN22+CC22+CR22+DG22</f>
        <v>0</v>
      </c>
      <c r="J22" s="263">
        <f>V22+AK22+AZ22+BO22+CD22+CS22+DH22</f>
        <v>0</v>
      </c>
      <c r="K22" s="265">
        <f>X22+AM22+BB22+BQ22+CF22+CU22+DJ22</f>
        <v>0</v>
      </c>
      <c r="L22" s="263">
        <f>Y22+AN22+BC22+BR22+CG22+CV22+DK22</f>
        <v>0</v>
      </c>
      <c r="M22" s="265">
        <f>AA22+AP22+BE22+BT22+CI22+CX22+DM22</f>
        <v>0</v>
      </c>
      <c r="N22" s="263">
        <f>AB22+AQ22+BF22+BU22+CJ22+CY22+DN22</f>
        <v>0</v>
      </c>
      <c r="O22" s="249"/>
      <c r="P22" s="250"/>
      <c r="Q22" s="339"/>
      <c r="R22" s="249"/>
      <c r="S22" s="250"/>
      <c r="T22" s="339"/>
      <c r="U22" s="249"/>
      <c r="V22" s="250"/>
      <c r="W22" s="339"/>
      <c r="X22" s="249"/>
      <c r="Y22" s="250"/>
      <c r="Z22" s="339"/>
      <c r="AA22" s="249"/>
      <c r="AB22" s="250"/>
      <c r="AC22" s="339"/>
      <c r="AD22" s="249"/>
      <c r="AE22" s="250"/>
      <c r="AF22" s="339"/>
      <c r="AG22" s="249"/>
      <c r="AH22" s="250"/>
      <c r="AI22" s="339"/>
      <c r="AJ22" s="249"/>
      <c r="AK22" s="250"/>
      <c r="AL22" s="339"/>
      <c r="AM22" s="249"/>
      <c r="AN22" s="250"/>
      <c r="AO22" s="339"/>
      <c r="AP22" s="249"/>
      <c r="AQ22" s="250"/>
      <c r="AR22" s="339"/>
      <c r="AS22" s="249"/>
      <c r="AT22" s="250"/>
      <c r="AU22" s="339"/>
      <c r="AV22" s="249"/>
      <c r="AW22" s="250"/>
      <c r="AX22" s="339"/>
      <c r="AY22" s="249"/>
      <c r="AZ22" s="250"/>
      <c r="BA22" s="339"/>
      <c r="BB22" s="249"/>
      <c r="BC22" s="250"/>
      <c r="BD22" s="339"/>
      <c r="BE22" s="249"/>
      <c r="BF22" s="250"/>
      <c r="BG22" s="339"/>
      <c r="BH22" s="249"/>
      <c r="BI22" s="250"/>
      <c r="BJ22" s="339"/>
      <c r="BK22" s="249"/>
      <c r="BL22" s="250"/>
      <c r="BM22" s="339"/>
      <c r="BN22" s="249"/>
      <c r="BO22" s="250"/>
      <c r="BP22" s="339"/>
      <c r="BQ22" s="249"/>
      <c r="BR22" s="250"/>
      <c r="BS22" s="339"/>
      <c r="BT22" s="249"/>
      <c r="BU22" s="250"/>
      <c r="BV22" s="339"/>
      <c r="BW22" s="249"/>
      <c r="BX22" s="250"/>
      <c r="BY22" s="339"/>
      <c r="BZ22" s="249"/>
      <c r="CA22" s="250"/>
      <c r="CB22" s="339"/>
      <c r="CC22" s="249"/>
      <c r="CD22" s="250"/>
      <c r="CE22" s="339"/>
      <c r="CF22" s="249"/>
      <c r="CG22" s="250"/>
      <c r="CH22" s="339"/>
      <c r="CI22" s="249"/>
      <c r="CJ22" s="250"/>
      <c r="CK22" s="339"/>
      <c r="CL22" s="249"/>
      <c r="CM22" s="250"/>
      <c r="CN22" s="339"/>
      <c r="CO22" s="249"/>
      <c r="CP22" s="250"/>
      <c r="CQ22" s="339"/>
      <c r="CR22" s="249"/>
      <c r="CS22" s="250"/>
      <c r="CT22" s="339"/>
      <c r="CU22" s="249"/>
      <c r="CV22" s="250"/>
      <c r="CW22" s="339"/>
      <c r="CX22" s="249"/>
      <c r="CY22" s="250"/>
      <c r="CZ22" s="339"/>
      <c r="DA22" s="249"/>
      <c r="DB22" s="250"/>
      <c r="DC22" s="339"/>
      <c r="DD22" s="249"/>
      <c r="DE22" s="250"/>
      <c r="DF22" s="339"/>
      <c r="DG22" s="249"/>
      <c r="DH22" s="250"/>
      <c r="DI22" s="339"/>
      <c r="DJ22" s="249"/>
      <c r="DK22" s="250"/>
      <c r="DL22" s="339"/>
      <c r="DM22" s="249"/>
      <c r="DN22" s="250"/>
      <c r="DO22" s="339"/>
      <c r="DP22" s="249"/>
      <c r="DQ22" s="250"/>
      <c r="DR22" s="339"/>
      <c r="DS22" s="316"/>
      <c r="DT22" s="319"/>
      <c r="DU22" s="339"/>
      <c r="DV22" s="249"/>
      <c r="DW22" s="250"/>
      <c r="DX22" s="339"/>
      <c r="DY22" s="249"/>
      <c r="DZ22" s="250"/>
      <c r="EA22" s="339"/>
      <c r="EB22" s="249"/>
      <c r="EC22" s="250"/>
      <c r="ED22" s="339"/>
      <c r="EE22" s="249"/>
      <c r="EF22" s="250"/>
      <c r="EG22" s="339"/>
      <c r="EH22" s="283"/>
      <c r="EI22" s="250"/>
      <c r="EJ22" s="341"/>
      <c r="EK22" s="348"/>
      <c r="EL22" s="351"/>
      <c r="EM22" s="250"/>
      <c r="EN22" s="339"/>
      <c r="EO22" s="249"/>
      <c r="EP22" s="250"/>
      <c r="EQ22" s="339"/>
      <c r="ER22" s="249"/>
      <c r="ES22" s="250"/>
      <c r="ET22" s="339"/>
      <c r="EU22" s="249"/>
      <c r="EV22" s="250"/>
      <c r="EW22" s="339"/>
      <c r="EX22" s="283"/>
      <c r="EY22" s="250"/>
      <c r="EZ22" s="341"/>
    </row>
    <row r="23" spans="1:156" x14ac:dyDescent="0.25">
      <c r="A23" s="94" t="s">
        <v>283</v>
      </c>
      <c r="B23" s="49" t="s">
        <v>284</v>
      </c>
      <c r="C23" s="50">
        <v>7</v>
      </c>
      <c r="D23" s="51">
        <v>10</v>
      </c>
      <c r="E23" s="265">
        <f>O23+AD23+AS23+BH23+BW23+CL23+DA23</f>
        <v>0</v>
      </c>
      <c r="F23" s="263">
        <f>P23+AE23+AT23+BI23+BX23+CM23+DB23</f>
        <v>0</v>
      </c>
      <c r="G23" s="265">
        <f>R23+AG23+AV23+BK23+BZ23+CO23+DD23</f>
        <v>0</v>
      </c>
      <c r="H23" s="263">
        <f>S23+AH23+AW23+BL23+CA23+CP23+DE23</f>
        <v>0</v>
      </c>
      <c r="I23" s="265">
        <f>U23+AJ23+AY23+BN23+CC23+CR23+DG23</f>
        <v>0</v>
      </c>
      <c r="J23" s="263">
        <f>V23+AK23+AZ23+BO23+CD23+CS23+DH23</f>
        <v>0</v>
      </c>
      <c r="K23" s="265">
        <f>X23+AM23+BB23+BQ23+CF23+CU23+DJ23</f>
        <v>0</v>
      </c>
      <c r="L23" s="263">
        <f>Y23+AN23+BC23+BR23+CG23+CV23+DK23</f>
        <v>0</v>
      </c>
      <c r="M23" s="265">
        <f>AA23+AP23+BE23+BT23+CI23+CX23+DM23</f>
        <v>0</v>
      </c>
      <c r="N23" s="263">
        <f>AB23+AQ23+BF23+BU23+CJ23+CY23+DN23</f>
        <v>0</v>
      </c>
      <c r="O23" s="249"/>
      <c r="P23" s="250"/>
      <c r="Q23" s="339"/>
      <c r="R23" s="249"/>
      <c r="S23" s="250"/>
      <c r="T23" s="339"/>
      <c r="U23" s="249"/>
      <c r="V23" s="250"/>
      <c r="W23" s="339"/>
      <c r="X23" s="249"/>
      <c r="Y23" s="250"/>
      <c r="Z23" s="339"/>
      <c r="AA23" s="249"/>
      <c r="AB23" s="250"/>
      <c r="AC23" s="339"/>
      <c r="AD23" s="249"/>
      <c r="AE23" s="250"/>
      <c r="AF23" s="339"/>
      <c r="AG23" s="249"/>
      <c r="AH23" s="250"/>
      <c r="AI23" s="339"/>
      <c r="AJ23" s="249"/>
      <c r="AK23" s="250"/>
      <c r="AL23" s="339"/>
      <c r="AM23" s="249"/>
      <c r="AN23" s="250"/>
      <c r="AO23" s="339"/>
      <c r="AP23" s="249"/>
      <c r="AQ23" s="250"/>
      <c r="AR23" s="339"/>
      <c r="AS23" s="249"/>
      <c r="AT23" s="250"/>
      <c r="AU23" s="339"/>
      <c r="AV23" s="249"/>
      <c r="AW23" s="250"/>
      <c r="AX23" s="339"/>
      <c r="AY23" s="249"/>
      <c r="AZ23" s="250"/>
      <c r="BA23" s="339"/>
      <c r="BB23" s="249"/>
      <c r="BC23" s="250"/>
      <c r="BD23" s="339"/>
      <c r="BE23" s="249"/>
      <c r="BF23" s="250"/>
      <c r="BG23" s="339"/>
      <c r="BH23" s="249"/>
      <c r="BI23" s="250"/>
      <c r="BJ23" s="339"/>
      <c r="BK23" s="249"/>
      <c r="BL23" s="250"/>
      <c r="BM23" s="339"/>
      <c r="BN23" s="249"/>
      <c r="BO23" s="250"/>
      <c r="BP23" s="339"/>
      <c r="BQ23" s="249"/>
      <c r="BR23" s="250"/>
      <c r="BS23" s="339"/>
      <c r="BT23" s="249"/>
      <c r="BU23" s="250"/>
      <c r="BV23" s="339"/>
      <c r="BW23" s="249"/>
      <c r="BX23" s="250"/>
      <c r="BY23" s="339"/>
      <c r="BZ23" s="249"/>
      <c r="CA23" s="250"/>
      <c r="CB23" s="339"/>
      <c r="CC23" s="249"/>
      <c r="CD23" s="250"/>
      <c r="CE23" s="339"/>
      <c r="CF23" s="249"/>
      <c r="CG23" s="250"/>
      <c r="CH23" s="339"/>
      <c r="CI23" s="249"/>
      <c r="CJ23" s="250"/>
      <c r="CK23" s="339"/>
      <c r="CL23" s="249"/>
      <c r="CM23" s="250"/>
      <c r="CN23" s="339"/>
      <c r="CO23" s="249"/>
      <c r="CP23" s="250"/>
      <c r="CQ23" s="339"/>
      <c r="CR23" s="249"/>
      <c r="CS23" s="250"/>
      <c r="CT23" s="339"/>
      <c r="CU23" s="249"/>
      <c r="CV23" s="250"/>
      <c r="CW23" s="339"/>
      <c r="CX23" s="249"/>
      <c r="CY23" s="250"/>
      <c r="CZ23" s="339"/>
      <c r="DA23" s="249"/>
      <c r="DB23" s="250"/>
      <c r="DC23" s="339"/>
      <c r="DD23" s="249"/>
      <c r="DE23" s="250"/>
      <c r="DF23" s="339"/>
      <c r="DG23" s="249"/>
      <c r="DH23" s="250"/>
      <c r="DI23" s="339"/>
      <c r="DJ23" s="249"/>
      <c r="DK23" s="250"/>
      <c r="DL23" s="339"/>
      <c r="DM23" s="249"/>
      <c r="DN23" s="250"/>
      <c r="DO23" s="339"/>
      <c r="DP23" s="249"/>
      <c r="DQ23" s="250"/>
      <c r="DR23" s="339"/>
      <c r="DS23" s="316"/>
      <c r="DT23" s="319"/>
      <c r="DU23" s="339"/>
      <c r="DV23" s="249"/>
      <c r="DW23" s="250"/>
      <c r="DX23" s="339"/>
      <c r="DY23" s="249"/>
      <c r="DZ23" s="250"/>
      <c r="EA23" s="339"/>
      <c r="EB23" s="249"/>
      <c r="EC23" s="250"/>
      <c r="ED23" s="339"/>
      <c r="EE23" s="249"/>
      <c r="EF23" s="250"/>
      <c r="EG23" s="339"/>
      <c r="EH23" s="283"/>
      <c r="EI23" s="250"/>
      <c r="EJ23" s="341"/>
      <c r="EK23" s="348"/>
      <c r="EL23" s="351"/>
      <c r="EM23" s="250"/>
      <c r="EN23" s="339"/>
      <c r="EO23" s="249"/>
      <c r="EP23" s="250"/>
      <c r="EQ23" s="339"/>
      <c r="ER23" s="249"/>
      <c r="ES23" s="250"/>
      <c r="ET23" s="339"/>
      <c r="EU23" s="249"/>
      <c r="EV23" s="250"/>
      <c r="EW23" s="339"/>
      <c r="EX23" s="283"/>
      <c r="EY23" s="250"/>
      <c r="EZ23" s="341"/>
    </row>
    <row r="24" spans="1:156" x14ac:dyDescent="0.25">
      <c r="A24" s="94" t="s">
        <v>285</v>
      </c>
      <c r="B24" s="49" t="s">
        <v>286</v>
      </c>
      <c r="C24" s="50">
        <v>8</v>
      </c>
      <c r="D24" s="51">
        <v>11</v>
      </c>
      <c r="E24" s="265">
        <f>O24+AD24+AS24+BH24+BW24+CL24+DA24</f>
        <v>0</v>
      </c>
      <c r="F24" s="263">
        <f>P24+AE24+AT24+BI24+BX24+CM24+DB24</f>
        <v>0</v>
      </c>
      <c r="G24" s="265">
        <f>R24+AG24+AV24+BK24+BZ24+CO24+DD24</f>
        <v>0</v>
      </c>
      <c r="H24" s="263">
        <f>S24+AH24+AW24+BL24+CA24+CP24+DE24</f>
        <v>0</v>
      </c>
      <c r="I24" s="265">
        <f>U24+AJ24+AY24+BN24+CC24+CR24+DG24</f>
        <v>0</v>
      </c>
      <c r="J24" s="263">
        <f>V24+AK24+AZ24+BO24+CD24+CS24+DH24</f>
        <v>0</v>
      </c>
      <c r="K24" s="265">
        <f>X24+AM24+BB24+BQ24+CF24+CU24+DJ24</f>
        <v>0</v>
      </c>
      <c r="L24" s="263">
        <f>Y24+AN24+BC24+BR24+CG24+CV24+DK24</f>
        <v>0</v>
      </c>
      <c r="M24" s="265">
        <f>AA24+AP24+BE24+BT24+CI24+CX24+DM24</f>
        <v>0</v>
      </c>
      <c r="N24" s="263">
        <f>AB24+AQ24+BF24+BU24+CJ24+CY24+DN24</f>
        <v>0</v>
      </c>
      <c r="O24" s="249"/>
      <c r="P24" s="250"/>
      <c r="Q24" s="339"/>
      <c r="R24" s="249"/>
      <c r="S24" s="250"/>
      <c r="T24" s="339"/>
      <c r="U24" s="249"/>
      <c r="V24" s="250"/>
      <c r="W24" s="339"/>
      <c r="X24" s="249"/>
      <c r="Y24" s="250"/>
      <c r="Z24" s="339"/>
      <c r="AA24" s="249"/>
      <c r="AB24" s="250"/>
      <c r="AC24" s="339"/>
      <c r="AD24" s="249"/>
      <c r="AE24" s="250"/>
      <c r="AF24" s="339"/>
      <c r="AG24" s="249"/>
      <c r="AH24" s="250"/>
      <c r="AI24" s="339"/>
      <c r="AJ24" s="249"/>
      <c r="AK24" s="250"/>
      <c r="AL24" s="339"/>
      <c r="AM24" s="249"/>
      <c r="AN24" s="250"/>
      <c r="AO24" s="339"/>
      <c r="AP24" s="249"/>
      <c r="AQ24" s="250"/>
      <c r="AR24" s="339"/>
      <c r="AS24" s="249"/>
      <c r="AT24" s="250"/>
      <c r="AU24" s="339"/>
      <c r="AV24" s="249"/>
      <c r="AW24" s="250"/>
      <c r="AX24" s="339"/>
      <c r="AY24" s="249"/>
      <c r="AZ24" s="250"/>
      <c r="BA24" s="339"/>
      <c r="BB24" s="249"/>
      <c r="BC24" s="250"/>
      <c r="BD24" s="339"/>
      <c r="BE24" s="249"/>
      <c r="BF24" s="250"/>
      <c r="BG24" s="339"/>
      <c r="BH24" s="249"/>
      <c r="BI24" s="250"/>
      <c r="BJ24" s="339"/>
      <c r="BK24" s="249"/>
      <c r="BL24" s="250"/>
      <c r="BM24" s="339"/>
      <c r="BN24" s="249"/>
      <c r="BO24" s="250"/>
      <c r="BP24" s="339"/>
      <c r="BQ24" s="249"/>
      <c r="BR24" s="250"/>
      <c r="BS24" s="339"/>
      <c r="BT24" s="249"/>
      <c r="BU24" s="250"/>
      <c r="BV24" s="339"/>
      <c r="BW24" s="249"/>
      <c r="BX24" s="250"/>
      <c r="BY24" s="339"/>
      <c r="BZ24" s="249"/>
      <c r="CA24" s="250"/>
      <c r="CB24" s="339"/>
      <c r="CC24" s="249"/>
      <c r="CD24" s="250"/>
      <c r="CE24" s="339"/>
      <c r="CF24" s="249"/>
      <c r="CG24" s="250"/>
      <c r="CH24" s="339"/>
      <c r="CI24" s="249"/>
      <c r="CJ24" s="250"/>
      <c r="CK24" s="339"/>
      <c r="CL24" s="249"/>
      <c r="CM24" s="250"/>
      <c r="CN24" s="339"/>
      <c r="CO24" s="249"/>
      <c r="CP24" s="250"/>
      <c r="CQ24" s="339"/>
      <c r="CR24" s="249"/>
      <c r="CS24" s="250"/>
      <c r="CT24" s="339"/>
      <c r="CU24" s="249"/>
      <c r="CV24" s="250"/>
      <c r="CW24" s="339"/>
      <c r="CX24" s="249"/>
      <c r="CY24" s="250"/>
      <c r="CZ24" s="339"/>
      <c r="DA24" s="249"/>
      <c r="DB24" s="250"/>
      <c r="DC24" s="339"/>
      <c r="DD24" s="249"/>
      <c r="DE24" s="250"/>
      <c r="DF24" s="339"/>
      <c r="DG24" s="249"/>
      <c r="DH24" s="250"/>
      <c r="DI24" s="339"/>
      <c r="DJ24" s="249"/>
      <c r="DK24" s="250"/>
      <c r="DL24" s="339"/>
      <c r="DM24" s="249"/>
      <c r="DN24" s="250"/>
      <c r="DO24" s="339"/>
      <c r="DP24" s="249"/>
      <c r="DQ24" s="250"/>
      <c r="DR24" s="339"/>
      <c r="DS24" s="316"/>
      <c r="DT24" s="319"/>
      <c r="DU24" s="339"/>
      <c r="DV24" s="249"/>
      <c r="DW24" s="250"/>
      <c r="DX24" s="339"/>
      <c r="DY24" s="249"/>
      <c r="DZ24" s="250"/>
      <c r="EA24" s="339"/>
      <c r="EB24" s="249"/>
      <c r="EC24" s="250"/>
      <c r="ED24" s="339"/>
      <c r="EE24" s="249"/>
      <c r="EF24" s="250"/>
      <c r="EG24" s="339"/>
      <c r="EH24" s="283"/>
      <c r="EI24" s="250"/>
      <c r="EJ24" s="341"/>
      <c r="EK24" s="348"/>
      <c r="EL24" s="351"/>
      <c r="EM24" s="250"/>
      <c r="EN24" s="339"/>
      <c r="EO24" s="249"/>
      <c r="EP24" s="250"/>
      <c r="EQ24" s="339"/>
      <c r="ER24" s="249"/>
      <c r="ES24" s="250"/>
      <c r="ET24" s="339"/>
      <c r="EU24" s="249"/>
      <c r="EV24" s="250"/>
      <c r="EW24" s="339"/>
      <c r="EX24" s="283"/>
      <c r="EY24" s="250"/>
      <c r="EZ24" s="341"/>
    </row>
    <row r="25" spans="1:156" x14ac:dyDescent="0.25">
      <c r="A25" s="94" t="s">
        <v>287</v>
      </c>
      <c r="B25" s="49" t="s">
        <v>288</v>
      </c>
      <c r="C25" s="50">
        <v>4</v>
      </c>
      <c r="D25" s="51">
        <v>12</v>
      </c>
      <c r="E25" s="265">
        <f>O25+AD25+AS25+BH25+BW25+CL25+DA25</f>
        <v>0</v>
      </c>
      <c r="F25" s="263">
        <f>P25+AE25+AT25+BI25+BX25+CM25+DB25</f>
        <v>0</v>
      </c>
      <c r="G25" s="265">
        <f>R25+AG25+AV25+BK25+BZ25+CO25+DD25</f>
        <v>0</v>
      </c>
      <c r="H25" s="263">
        <f>S25+AH25+AW25+BL25+CA25+CP25+DE25</f>
        <v>0</v>
      </c>
      <c r="I25" s="265">
        <f>U25+AJ25+AY25+BN25+CC25+CR25+DG25</f>
        <v>0</v>
      </c>
      <c r="J25" s="263">
        <f>V25+AK25+AZ25+BO25+CD25+CS25+DH25</f>
        <v>0</v>
      </c>
      <c r="K25" s="265">
        <f>X25+AM25+BB25+BQ25+CF25+CU25+DJ25</f>
        <v>0</v>
      </c>
      <c r="L25" s="263">
        <f>Y25+AN25+BC25+BR25+CG25+CV25+DK25</f>
        <v>0</v>
      </c>
      <c r="M25" s="265">
        <f>AA25+AP25+BE25+BT25+CI25+CX25+DM25</f>
        <v>0</v>
      </c>
      <c r="N25" s="263">
        <f>AB25+AQ25+BF25+BU25+CJ25+CY25+DN25</f>
        <v>0</v>
      </c>
      <c r="O25" s="249"/>
      <c r="P25" s="250"/>
      <c r="Q25" s="339"/>
      <c r="R25" s="249"/>
      <c r="S25" s="250"/>
      <c r="T25" s="339"/>
      <c r="U25" s="249"/>
      <c r="V25" s="250"/>
      <c r="W25" s="339"/>
      <c r="X25" s="249"/>
      <c r="Y25" s="250"/>
      <c r="Z25" s="339"/>
      <c r="AA25" s="249"/>
      <c r="AB25" s="250"/>
      <c r="AC25" s="339"/>
      <c r="AD25" s="249"/>
      <c r="AE25" s="250"/>
      <c r="AF25" s="339"/>
      <c r="AG25" s="249"/>
      <c r="AH25" s="250"/>
      <c r="AI25" s="339"/>
      <c r="AJ25" s="249"/>
      <c r="AK25" s="250"/>
      <c r="AL25" s="339"/>
      <c r="AM25" s="249"/>
      <c r="AN25" s="250"/>
      <c r="AO25" s="339"/>
      <c r="AP25" s="249"/>
      <c r="AQ25" s="250"/>
      <c r="AR25" s="339"/>
      <c r="AS25" s="249"/>
      <c r="AT25" s="250"/>
      <c r="AU25" s="339"/>
      <c r="AV25" s="249"/>
      <c r="AW25" s="250"/>
      <c r="AX25" s="339"/>
      <c r="AY25" s="249"/>
      <c r="AZ25" s="250"/>
      <c r="BA25" s="339"/>
      <c r="BB25" s="249"/>
      <c r="BC25" s="250"/>
      <c r="BD25" s="339"/>
      <c r="BE25" s="249"/>
      <c r="BF25" s="250"/>
      <c r="BG25" s="339"/>
      <c r="BH25" s="249"/>
      <c r="BI25" s="250"/>
      <c r="BJ25" s="339"/>
      <c r="BK25" s="249"/>
      <c r="BL25" s="250"/>
      <c r="BM25" s="339"/>
      <c r="BN25" s="249"/>
      <c r="BO25" s="250"/>
      <c r="BP25" s="339"/>
      <c r="BQ25" s="249"/>
      <c r="BR25" s="250"/>
      <c r="BS25" s="339"/>
      <c r="BT25" s="249"/>
      <c r="BU25" s="250"/>
      <c r="BV25" s="339"/>
      <c r="BW25" s="249"/>
      <c r="BX25" s="250"/>
      <c r="BY25" s="339"/>
      <c r="BZ25" s="249"/>
      <c r="CA25" s="250"/>
      <c r="CB25" s="339"/>
      <c r="CC25" s="249"/>
      <c r="CD25" s="250"/>
      <c r="CE25" s="339"/>
      <c r="CF25" s="249"/>
      <c r="CG25" s="250"/>
      <c r="CH25" s="339"/>
      <c r="CI25" s="249"/>
      <c r="CJ25" s="250"/>
      <c r="CK25" s="339"/>
      <c r="CL25" s="249"/>
      <c r="CM25" s="250"/>
      <c r="CN25" s="339"/>
      <c r="CO25" s="249"/>
      <c r="CP25" s="250"/>
      <c r="CQ25" s="339"/>
      <c r="CR25" s="249"/>
      <c r="CS25" s="250"/>
      <c r="CT25" s="339"/>
      <c r="CU25" s="249"/>
      <c r="CV25" s="250"/>
      <c r="CW25" s="339"/>
      <c r="CX25" s="249"/>
      <c r="CY25" s="250"/>
      <c r="CZ25" s="339"/>
      <c r="DA25" s="249"/>
      <c r="DB25" s="250"/>
      <c r="DC25" s="339"/>
      <c r="DD25" s="249"/>
      <c r="DE25" s="250"/>
      <c r="DF25" s="339"/>
      <c r="DG25" s="249"/>
      <c r="DH25" s="250"/>
      <c r="DI25" s="339"/>
      <c r="DJ25" s="249"/>
      <c r="DK25" s="250"/>
      <c r="DL25" s="339"/>
      <c r="DM25" s="249"/>
      <c r="DN25" s="250"/>
      <c r="DO25" s="339"/>
      <c r="DP25" s="249"/>
      <c r="DQ25" s="250"/>
      <c r="DR25" s="339"/>
      <c r="DS25" s="316"/>
      <c r="DT25" s="319"/>
      <c r="DU25" s="339"/>
      <c r="DV25" s="249"/>
      <c r="DW25" s="250"/>
      <c r="DX25" s="339"/>
      <c r="DY25" s="249"/>
      <c r="DZ25" s="250"/>
      <c r="EA25" s="339"/>
      <c r="EB25" s="249"/>
      <c r="EC25" s="250"/>
      <c r="ED25" s="339"/>
      <c r="EE25" s="249"/>
      <c r="EF25" s="250"/>
      <c r="EG25" s="339"/>
      <c r="EH25" s="283"/>
      <c r="EI25" s="250"/>
      <c r="EJ25" s="341"/>
      <c r="EK25" s="348"/>
      <c r="EL25" s="351"/>
      <c r="EM25" s="250"/>
      <c r="EN25" s="339"/>
      <c r="EO25" s="249"/>
      <c r="EP25" s="250"/>
      <c r="EQ25" s="339"/>
      <c r="ER25" s="249"/>
      <c r="ES25" s="250"/>
      <c r="ET25" s="339"/>
      <c r="EU25" s="249"/>
      <c r="EV25" s="250"/>
      <c r="EW25" s="339"/>
      <c r="EX25" s="283"/>
      <c r="EY25" s="250"/>
      <c r="EZ25" s="341"/>
    </row>
    <row r="26" spans="1:156" x14ac:dyDescent="0.25">
      <c r="A26" s="94" t="s">
        <v>289</v>
      </c>
      <c r="B26" s="49" t="s">
        <v>290</v>
      </c>
      <c r="C26" s="50">
        <v>10</v>
      </c>
      <c r="D26" s="51">
        <v>13</v>
      </c>
      <c r="E26" s="265">
        <f>O26+AD26+AS26+BH26+BW26+CL26+DA26</f>
        <v>0</v>
      </c>
      <c r="F26" s="263">
        <f>P26+AE26+AT26+BI26+BX26+CM26+DB26</f>
        <v>0</v>
      </c>
      <c r="G26" s="265">
        <f>R26+AG26+AV26+BK26+BZ26+CO26+DD26</f>
        <v>0</v>
      </c>
      <c r="H26" s="263">
        <f>S26+AH26+AW26+BL26+CA26+CP26+DE26</f>
        <v>0</v>
      </c>
      <c r="I26" s="265">
        <f>U26+AJ26+AY26+BN26+CC26+CR26+DG26</f>
        <v>0</v>
      </c>
      <c r="J26" s="263">
        <f>V26+AK26+AZ26+BO26+CD26+CS26+DH26</f>
        <v>0</v>
      </c>
      <c r="K26" s="265">
        <f>X26+AM26+BB26+BQ26+CF26+CU26+DJ26</f>
        <v>0</v>
      </c>
      <c r="L26" s="263">
        <f>Y26+AN26+BC26+BR26+CG26+CV26+DK26</f>
        <v>0</v>
      </c>
      <c r="M26" s="265">
        <f>AA26+AP26+BE26+BT26+CI26+CX26+DM26</f>
        <v>0</v>
      </c>
      <c r="N26" s="263">
        <f>AB26+AQ26+BF26+BU26+CJ26+CY26+DN26</f>
        <v>0</v>
      </c>
      <c r="O26" s="249"/>
      <c r="P26" s="250"/>
      <c r="Q26" s="339"/>
      <c r="R26" s="249"/>
      <c r="S26" s="250"/>
      <c r="T26" s="339"/>
      <c r="U26" s="249"/>
      <c r="V26" s="250"/>
      <c r="W26" s="339"/>
      <c r="X26" s="249"/>
      <c r="Y26" s="250"/>
      <c r="Z26" s="339"/>
      <c r="AA26" s="249"/>
      <c r="AB26" s="250"/>
      <c r="AC26" s="339"/>
      <c r="AD26" s="249"/>
      <c r="AE26" s="250"/>
      <c r="AF26" s="339"/>
      <c r="AG26" s="249"/>
      <c r="AH26" s="250"/>
      <c r="AI26" s="339"/>
      <c r="AJ26" s="249"/>
      <c r="AK26" s="250"/>
      <c r="AL26" s="339"/>
      <c r="AM26" s="249"/>
      <c r="AN26" s="250"/>
      <c r="AO26" s="339"/>
      <c r="AP26" s="249"/>
      <c r="AQ26" s="250"/>
      <c r="AR26" s="339"/>
      <c r="AS26" s="249"/>
      <c r="AT26" s="250"/>
      <c r="AU26" s="339"/>
      <c r="AV26" s="249"/>
      <c r="AW26" s="250"/>
      <c r="AX26" s="339"/>
      <c r="AY26" s="249"/>
      <c r="AZ26" s="250"/>
      <c r="BA26" s="339"/>
      <c r="BB26" s="249"/>
      <c r="BC26" s="250"/>
      <c r="BD26" s="339"/>
      <c r="BE26" s="249"/>
      <c r="BF26" s="250"/>
      <c r="BG26" s="339"/>
      <c r="BH26" s="249"/>
      <c r="BI26" s="250"/>
      <c r="BJ26" s="339"/>
      <c r="BK26" s="249"/>
      <c r="BL26" s="250"/>
      <c r="BM26" s="339"/>
      <c r="BN26" s="249"/>
      <c r="BO26" s="250"/>
      <c r="BP26" s="339"/>
      <c r="BQ26" s="249"/>
      <c r="BR26" s="250"/>
      <c r="BS26" s="339"/>
      <c r="BT26" s="249"/>
      <c r="BU26" s="250"/>
      <c r="BV26" s="339"/>
      <c r="BW26" s="249"/>
      <c r="BX26" s="250"/>
      <c r="BY26" s="339"/>
      <c r="BZ26" s="249"/>
      <c r="CA26" s="250"/>
      <c r="CB26" s="339"/>
      <c r="CC26" s="249"/>
      <c r="CD26" s="250"/>
      <c r="CE26" s="339"/>
      <c r="CF26" s="249"/>
      <c r="CG26" s="250"/>
      <c r="CH26" s="339"/>
      <c r="CI26" s="249"/>
      <c r="CJ26" s="250"/>
      <c r="CK26" s="339"/>
      <c r="CL26" s="249"/>
      <c r="CM26" s="250"/>
      <c r="CN26" s="339"/>
      <c r="CO26" s="249"/>
      <c r="CP26" s="250"/>
      <c r="CQ26" s="339"/>
      <c r="CR26" s="249"/>
      <c r="CS26" s="250"/>
      <c r="CT26" s="339"/>
      <c r="CU26" s="249"/>
      <c r="CV26" s="250"/>
      <c r="CW26" s="339"/>
      <c r="CX26" s="249"/>
      <c r="CY26" s="250"/>
      <c r="CZ26" s="339"/>
      <c r="DA26" s="249"/>
      <c r="DB26" s="250"/>
      <c r="DC26" s="339"/>
      <c r="DD26" s="249"/>
      <c r="DE26" s="250"/>
      <c r="DF26" s="339"/>
      <c r="DG26" s="249"/>
      <c r="DH26" s="250"/>
      <c r="DI26" s="339"/>
      <c r="DJ26" s="249"/>
      <c r="DK26" s="250"/>
      <c r="DL26" s="339"/>
      <c r="DM26" s="249"/>
      <c r="DN26" s="250"/>
      <c r="DO26" s="339"/>
      <c r="DP26" s="249"/>
      <c r="DQ26" s="250"/>
      <c r="DR26" s="339"/>
      <c r="DS26" s="316"/>
      <c r="DT26" s="319"/>
      <c r="DU26" s="339"/>
      <c r="DV26" s="249"/>
      <c r="DW26" s="250"/>
      <c r="DX26" s="339"/>
      <c r="DY26" s="249"/>
      <c r="DZ26" s="250"/>
      <c r="EA26" s="339"/>
      <c r="EB26" s="249"/>
      <c r="EC26" s="250"/>
      <c r="ED26" s="339"/>
      <c r="EE26" s="249"/>
      <c r="EF26" s="250"/>
      <c r="EG26" s="339"/>
      <c r="EH26" s="283"/>
      <c r="EI26" s="250"/>
      <c r="EJ26" s="341"/>
      <c r="EK26" s="348"/>
      <c r="EL26" s="351"/>
      <c r="EM26" s="250"/>
      <c r="EN26" s="339"/>
      <c r="EO26" s="249"/>
      <c r="EP26" s="250"/>
      <c r="EQ26" s="339"/>
      <c r="ER26" s="249"/>
      <c r="ES26" s="250"/>
      <c r="ET26" s="339"/>
      <c r="EU26" s="249"/>
      <c r="EV26" s="250"/>
      <c r="EW26" s="339"/>
      <c r="EX26" s="283"/>
      <c r="EY26" s="250"/>
      <c r="EZ26" s="341"/>
    </row>
    <row r="27" spans="1:156" x14ac:dyDescent="0.25">
      <c r="A27" s="94" t="s">
        <v>291</v>
      </c>
      <c r="B27" s="49" t="s">
        <v>292</v>
      </c>
      <c r="C27" s="50">
        <v>2</v>
      </c>
      <c r="D27" s="51">
        <v>14</v>
      </c>
      <c r="E27" s="265">
        <f>O27+AD27+AS27+BH27+BW27+CL27+DA27</f>
        <v>0</v>
      </c>
      <c r="F27" s="263">
        <f>P27+AE27+AT27+BI27+BX27+CM27+DB27</f>
        <v>0</v>
      </c>
      <c r="G27" s="265">
        <f>R27+AG27+AV27+BK27+BZ27+CO27+DD27</f>
        <v>0</v>
      </c>
      <c r="H27" s="263">
        <f>S27+AH27+AW27+BL27+CA27+CP27+DE27</f>
        <v>0</v>
      </c>
      <c r="I27" s="265">
        <f>U27+AJ27+AY27+BN27+CC27+CR27+DG27</f>
        <v>0</v>
      </c>
      <c r="J27" s="263">
        <f>V27+AK27+AZ27+BO27+CD27+CS27+DH27</f>
        <v>0</v>
      </c>
      <c r="K27" s="265">
        <f>X27+AM27+BB27+BQ27+CF27+CU27+DJ27</f>
        <v>0</v>
      </c>
      <c r="L27" s="263">
        <f>Y27+AN27+BC27+BR27+CG27+CV27+DK27</f>
        <v>0</v>
      </c>
      <c r="M27" s="265">
        <f>AA27+AP27+BE27+BT27+CI27+CX27+DM27</f>
        <v>0</v>
      </c>
      <c r="N27" s="263">
        <f>AB27+AQ27+BF27+BU27+CJ27+CY27+DN27</f>
        <v>0</v>
      </c>
      <c r="O27" s="249"/>
      <c r="P27" s="250"/>
      <c r="Q27" s="339"/>
      <c r="R27" s="249"/>
      <c r="S27" s="250"/>
      <c r="T27" s="339"/>
      <c r="U27" s="249"/>
      <c r="V27" s="250"/>
      <c r="W27" s="339"/>
      <c r="X27" s="249"/>
      <c r="Y27" s="250"/>
      <c r="Z27" s="339"/>
      <c r="AA27" s="249"/>
      <c r="AB27" s="250"/>
      <c r="AC27" s="339"/>
      <c r="AD27" s="249"/>
      <c r="AE27" s="250"/>
      <c r="AF27" s="339"/>
      <c r="AG27" s="249"/>
      <c r="AH27" s="250"/>
      <c r="AI27" s="339"/>
      <c r="AJ27" s="249"/>
      <c r="AK27" s="250"/>
      <c r="AL27" s="339"/>
      <c r="AM27" s="249"/>
      <c r="AN27" s="250"/>
      <c r="AO27" s="339"/>
      <c r="AP27" s="249"/>
      <c r="AQ27" s="250"/>
      <c r="AR27" s="339"/>
      <c r="AS27" s="249"/>
      <c r="AT27" s="250"/>
      <c r="AU27" s="339"/>
      <c r="AV27" s="249"/>
      <c r="AW27" s="250"/>
      <c r="AX27" s="339"/>
      <c r="AY27" s="249"/>
      <c r="AZ27" s="250"/>
      <c r="BA27" s="339"/>
      <c r="BB27" s="249"/>
      <c r="BC27" s="250"/>
      <c r="BD27" s="339"/>
      <c r="BE27" s="249"/>
      <c r="BF27" s="250"/>
      <c r="BG27" s="339"/>
      <c r="BH27" s="249"/>
      <c r="BI27" s="250"/>
      <c r="BJ27" s="339"/>
      <c r="BK27" s="249"/>
      <c r="BL27" s="250"/>
      <c r="BM27" s="339"/>
      <c r="BN27" s="249"/>
      <c r="BO27" s="250"/>
      <c r="BP27" s="339"/>
      <c r="BQ27" s="249"/>
      <c r="BR27" s="250"/>
      <c r="BS27" s="339"/>
      <c r="BT27" s="249"/>
      <c r="BU27" s="250"/>
      <c r="BV27" s="339"/>
      <c r="BW27" s="249"/>
      <c r="BX27" s="250"/>
      <c r="BY27" s="339"/>
      <c r="BZ27" s="249"/>
      <c r="CA27" s="250"/>
      <c r="CB27" s="339"/>
      <c r="CC27" s="249"/>
      <c r="CD27" s="250"/>
      <c r="CE27" s="339"/>
      <c r="CF27" s="249"/>
      <c r="CG27" s="250"/>
      <c r="CH27" s="339"/>
      <c r="CI27" s="249"/>
      <c r="CJ27" s="250"/>
      <c r="CK27" s="339"/>
      <c r="CL27" s="249"/>
      <c r="CM27" s="250"/>
      <c r="CN27" s="339"/>
      <c r="CO27" s="249"/>
      <c r="CP27" s="250"/>
      <c r="CQ27" s="339"/>
      <c r="CR27" s="249"/>
      <c r="CS27" s="250"/>
      <c r="CT27" s="339"/>
      <c r="CU27" s="249"/>
      <c r="CV27" s="250"/>
      <c r="CW27" s="339"/>
      <c r="CX27" s="249"/>
      <c r="CY27" s="250"/>
      <c r="CZ27" s="339"/>
      <c r="DA27" s="249"/>
      <c r="DB27" s="250"/>
      <c r="DC27" s="339"/>
      <c r="DD27" s="249"/>
      <c r="DE27" s="250"/>
      <c r="DF27" s="339"/>
      <c r="DG27" s="249"/>
      <c r="DH27" s="250"/>
      <c r="DI27" s="339"/>
      <c r="DJ27" s="249"/>
      <c r="DK27" s="250"/>
      <c r="DL27" s="339"/>
      <c r="DM27" s="249"/>
      <c r="DN27" s="250"/>
      <c r="DO27" s="339"/>
      <c r="DP27" s="249"/>
      <c r="DQ27" s="250"/>
      <c r="DR27" s="339"/>
      <c r="DS27" s="316"/>
      <c r="DT27" s="319"/>
      <c r="DU27" s="339"/>
      <c r="DV27" s="249"/>
      <c r="DW27" s="250"/>
      <c r="DX27" s="339"/>
      <c r="DY27" s="249"/>
      <c r="DZ27" s="250"/>
      <c r="EA27" s="339"/>
      <c r="EB27" s="249"/>
      <c r="EC27" s="250"/>
      <c r="ED27" s="339"/>
      <c r="EE27" s="249"/>
      <c r="EF27" s="250"/>
      <c r="EG27" s="339"/>
      <c r="EH27" s="283"/>
      <c r="EI27" s="250"/>
      <c r="EJ27" s="341"/>
      <c r="EK27" s="348"/>
      <c r="EL27" s="351"/>
      <c r="EM27" s="250"/>
      <c r="EN27" s="339"/>
      <c r="EO27" s="249"/>
      <c r="EP27" s="250"/>
      <c r="EQ27" s="339"/>
      <c r="ER27" s="249"/>
      <c r="ES27" s="250"/>
      <c r="ET27" s="339"/>
      <c r="EU27" s="249"/>
      <c r="EV27" s="250"/>
      <c r="EW27" s="339"/>
      <c r="EX27" s="283"/>
      <c r="EY27" s="250"/>
      <c r="EZ27" s="341"/>
    </row>
    <row r="28" spans="1:156" x14ac:dyDescent="0.25">
      <c r="A28" s="94" t="s">
        <v>293</v>
      </c>
      <c r="B28" s="49" t="s">
        <v>294</v>
      </c>
      <c r="C28" s="50">
        <v>5</v>
      </c>
      <c r="D28" s="51">
        <v>15</v>
      </c>
      <c r="E28" s="265">
        <f>O28+AD28+AS28+BH28+BW28+CL28+DA28</f>
        <v>0</v>
      </c>
      <c r="F28" s="263">
        <f>P28+AE28+AT28+BI28+BX28+CM28+DB28</f>
        <v>0</v>
      </c>
      <c r="G28" s="265">
        <f>R28+AG28+AV28+BK28+BZ28+CO28+DD28</f>
        <v>0</v>
      </c>
      <c r="H28" s="263">
        <f>S28+AH28+AW28+BL28+CA28+CP28+DE28</f>
        <v>0</v>
      </c>
      <c r="I28" s="265">
        <f>U28+AJ28+AY28+BN28+CC28+CR28+DG28</f>
        <v>0</v>
      </c>
      <c r="J28" s="263">
        <f>V28+AK28+AZ28+BO28+CD28+CS28+DH28</f>
        <v>0</v>
      </c>
      <c r="K28" s="265">
        <f>X28+AM28+BB28+BQ28+CF28+CU28+DJ28</f>
        <v>0</v>
      </c>
      <c r="L28" s="263">
        <f>Y28+AN28+BC28+BR28+CG28+CV28+DK28</f>
        <v>0</v>
      </c>
      <c r="M28" s="265">
        <f>AA28+AP28+BE28+BT28+CI28+CX28+DM28</f>
        <v>0</v>
      </c>
      <c r="N28" s="263">
        <f>AB28+AQ28+BF28+BU28+CJ28+CY28+DN28</f>
        <v>0</v>
      </c>
      <c r="O28" s="249"/>
      <c r="P28" s="250"/>
      <c r="Q28" s="339"/>
      <c r="R28" s="249"/>
      <c r="S28" s="250"/>
      <c r="T28" s="339"/>
      <c r="U28" s="249"/>
      <c r="V28" s="250"/>
      <c r="W28" s="339"/>
      <c r="X28" s="249"/>
      <c r="Y28" s="250"/>
      <c r="Z28" s="339"/>
      <c r="AA28" s="249"/>
      <c r="AB28" s="250"/>
      <c r="AC28" s="339"/>
      <c r="AD28" s="249"/>
      <c r="AE28" s="250"/>
      <c r="AF28" s="339"/>
      <c r="AG28" s="249"/>
      <c r="AH28" s="250"/>
      <c r="AI28" s="339"/>
      <c r="AJ28" s="249"/>
      <c r="AK28" s="250"/>
      <c r="AL28" s="339"/>
      <c r="AM28" s="249"/>
      <c r="AN28" s="250"/>
      <c r="AO28" s="339"/>
      <c r="AP28" s="249"/>
      <c r="AQ28" s="250"/>
      <c r="AR28" s="339"/>
      <c r="AS28" s="249"/>
      <c r="AT28" s="250"/>
      <c r="AU28" s="339"/>
      <c r="AV28" s="249"/>
      <c r="AW28" s="250"/>
      <c r="AX28" s="339"/>
      <c r="AY28" s="249"/>
      <c r="AZ28" s="250"/>
      <c r="BA28" s="339"/>
      <c r="BB28" s="249"/>
      <c r="BC28" s="250"/>
      <c r="BD28" s="339"/>
      <c r="BE28" s="249"/>
      <c r="BF28" s="250"/>
      <c r="BG28" s="339"/>
      <c r="BH28" s="249"/>
      <c r="BI28" s="250"/>
      <c r="BJ28" s="339"/>
      <c r="BK28" s="249"/>
      <c r="BL28" s="250"/>
      <c r="BM28" s="339"/>
      <c r="BN28" s="249"/>
      <c r="BO28" s="250"/>
      <c r="BP28" s="339"/>
      <c r="BQ28" s="249"/>
      <c r="BR28" s="250"/>
      <c r="BS28" s="339"/>
      <c r="BT28" s="249"/>
      <c r="BU28" s="250"/>
      <c r="BV28" s="339"/>
      <c r="BW28" s="249"/>
      <c r="BX28" s="250"/>
      <c r="BY28" s="339"/>
      <c r="BZ28" s="249"/>
      <c r="CA28" s="250"/>
      <c r="CB28" s="339"/>
      <c r="CC28" s="249"/>
      <c r="CD28" s="250"/>
      <c r="CE28" s="339"/>
      <c r="CF28" s="249"/>
      <c r="CG28" s="250"/>
      <c r="CH28" s="339"/>
      <c r="CI28" s="249"/>
      <c r="CJ28" s="250"/>
      <c r="CK28" s="339"/>
      <c r="CL28" s="249"/>
      <c r="CM28" s="250"/>
      <c r="CN28" s="339"/>
      <c r="CO28" s="249"/>
      <c r="CP28" s="250"/>
      <c r="CQ28" s="339"/>
      <c r="CR28" s="249"/>
      <c r="CS28" s="250"/>
      <c r="CT28" s="339"/>
      <c r="CU28" s="249"/>
      <c r="CV28" s="250"/>
      <c r="CW28" s="339"/>
      <c r="CX28" s="249"/>
      <c r="CY28" s="250"/>
      <c r="CZ28" s="339"/>
      <c r="DA28" s="249"/>
      <c r="DB28" s="250"/>
      <c r="DC28" s="339"/>
      <c r="DD28" s="249"/>
      <c r="DE28" s="250"/>
      <c r="DF28" s="339"/>
      <c r="DG28" s="249"/>
      <c r="DH28" s="250"/>
      <c r="DI28" s="339"/>
      <c r="DJ28" s="249"/>
      <c r="DK28" s="250"/>
      <c r="DL28" s="339"/>
      <c r="DM28" s="249"/>
      <c r="DN28" s="250"/>
      <c r="DO28" s="339"/>
      <c r="DP28" s="249"/>
      <c r="DQ28" s="250"/>
      <c r="DR28" s="339"/>
      <c r="DS28" s="316"/>
      <c r="DT28" s="319"/>
      <c r="DU28" s="339"/>
      <c r="DV28" s="249"/>
      <c r="DW28" s="250"/>
      <c r="DX28" s="339"/>
      <c r="DY28" s="249"/>
      <c r="DZ28" s="250"/>
      <c r="EA28" s="339"/>
      <c r="EB28" s="249"/>
      <c r="EC28" s="250"/>
      <c r="ED28" s="339"/>
      <c r="EE28" s="249"/>
      <c r="EF28" s="250"/>
      <c r="EG28" s="339"/>
      <c r="EH28" s="283"/>
      <c r="EI28" s="250"/>
      <c r="EJ28" s="341"/>
      <c r="EK28" s="348"/>
      <c r="EL28" s="351"/>
      <c r="EM28" s="250"/>
      <c r="EN28" s="339"/>
      <c r="EO28" s="249"/>
      <c r="EP28" s="250"/>
      <c r="EQ28" s="339"/>
      <c r="ER28" s="249"/>
      <c r="ES28" s="250"/>
      <c r="ET28" s="339"/>
      <c r="EU28" s="249"/>
      <c r="EV28" s="250"/>
      <c r="EW28" s="339"/>
      <c r="EX28" s="283"/>
      <c r="EY28" s="250"/>
      <c r="EZ28" s="341"/>
    </row>
    <row r="29" spans="1:156" x14ac:dyDescent="0.25">
      <c r="A29" s="94" t="s">
        <v>295</v>
      </c>
      <c r="B29" s="49" t="s">
        <v>296</v>
      </c>
      <c r="C29" s="50">
        <v>11</v>
      </c>
      <c r="D29" s="51">
        <v>16</v>
      </c>
      <c r="E29" s="265">
        <f>O29+AD29+AS29+BH29+BW29+CL29+DA29</f>
        <v>0</v>
      </c>
      <c r="F29" s="263">
        <f>P29+AE29+AT29+BI29+BX29+CM29+DB29</f>
        <v>0</v>
      </c>
      <c r="G29" s="265">
        <f>R29+AG29+AV29+BK29+BZ29+CO29+DD29</f>
        <v>0</v>
      </c>
      <c r="H29" s="263">
        <f>S29+AH29+AW29+BL29+CA29+CP29+DE29</f>
        <v>0</v>
      </c>
      <c r="I29" s="265">
        <f>U29+AJ29+AY29+BN29+CC29+CR29+DG29</f>
        <v>0</v>
      </c>
      <c r="J29" s="263">
        <f>V29+AK29+AZ29+BO29+CD29+CS29+DH29</f>
        <v>0</v>
      </c>
      <c r="K29" s="265">
        <f>X29+AM29+BB29+BQ29+CF29+CU29+DJ29</f>
        <v>0</v>
      </c>
      <c r="L29" s="263">
        <f>Y29+AN29+BC29+BR29+CG29+CV29+DK29</f>
        <v>0</v>
      </c>
      <c r="M29" s="265">
        <f>AA29+AP29+BE29+BT29+CI29+CX29+DM29</f>
        <v>0</v>
      </c>
      <c r="N29" s="263">
        <f>AB29+AQ29+BF29+BU29+CJ29+CY29+DN29</f>
        <v>0</v>
      </c>
      <c r="O29" s="249"/>
      <c r="P29" s="250"/>
      <c r="Q29" s="339"/>
      <c r="R29" s="249"/>
      <c r="S29" s="250"/>
      <c r="T29" s="339"/>
      <c r="U29" s="249"/>
      <c r="V29" s="250"/>
      <c r="W29" s="339"/>
      <c r="X29" s="249"/>
      <c r="Y29" s="250"/>
      <c r="Z29" s="339"/>
      <c r="AA29" s="249"/>
      <c r="AB29" s="250"/>
      <c r="AC29" s="339"/>
      <c r="AD29" s="249"/>
      <c r="AE29" s="250"/>
      <c r="AF29" s="339"/>
      <c r="AG29" s="249"/>
      <c r="AH29" s="250"/>
      <c r="AI29" s="339"/>
      <c r="AJ29" s="249"/>
      <c r="AK29" s="250"/>
      <c r="AL29" s="339"/>
      <c r="AM29" s="249"/>
      <c r="AN29" s="250"/>
      <c r="AO29" s="339"/>
      <c r="AP29" s="249"/>
      <c r="AQ29" s="250"/>
      <c r="AR29" s="339"/>
      <c r="AS29" s="249"/>
      <c r="AT29" s="250"/>
      <c r="AU29" s="339"/>
      <c r="AV29" s="249"/>
      <c r="AW29" s="250"/>
      <c r="AX29" s="339"/>
      <c r="AY29" s="249"/>
      <c r="AZ29" s="250"/>
      <c r="BA29" s="339"/>
      <c r="BB29" s="249"/>
      <c r="BC29" s="250"/>
      <c r="BD29" s="339"/>
      <c r="BE29" s="249"/>
      <c r="BF29" s="250"/>
      <c r="BG29" s="339"/>
      <c r="BH29" s="249"/>
      <c r="BI29" s="250"/>
      <c r="BJ29" s="339"/>
      <c r="BK29" s="249"/>
      <c r="BL29" s="250"/>
      <c r="BM29" s="339"/>
      <c r="BN29" s="249"/>
      <c r="BO29" s="250"/>
      <c r="BP29" s="339"/>
      <c r="BQ29" s="249"/>
      <c r="BR29" s="250"/>
      <c r="BS29" s="339"/>
      <c r="BT29" s="249"/>
      <c r="BU29" s="250"/>
      <c r="BV29" s="339"/>
      <c r="BW29" s="249"/>
      <c r="BX29" s="250"/>
      <c r="BY29" s="339"/>
      <c r="BZ29" s="249"/>
      <c r="CA29" s="250"/>
      <c r="CB29" s="339"/>
      <c r="CC29" s="249"/>
      <c r="CD29" s="250"/>
      <c r="CE29" s="339"/>
      <c r="CF29" s="249"/>
      <c r="CG29" s="250"/>
      <c r="CH29" s="339"/>
      <c r="CI29" s="249"/>
      <c r="CJ29" s="250"/>
      <c r="CK29" s="339"/>
      <c r="CL29" s="249"/>
      <c r="CM29" s="250"/>
      <c r="CN29" s="339"/>
      <c r="CO29" s="249"/>
      <c r="CP29" s="250"/>
      <c r="CQ29" s="339"/>
      <c r="CR29" s="249"/>
      <c r="CS29" s="250"/>
      <c r="CT29" s="339"/>
      <c r="CU29" s="249"/>
      <c r="CV29" s="250"/>
      <c r="CW29" s="339"/>
      <c r="CX29" s="249"/>
      <c r="CY29" s="250"/>
      <c r="CZ29" s="339"/>
      <c r="DA29" s="249"/>
      <c r="DB29" s="250"/>
      <c r="DC29" s="339"/>
      <c r="DD29" s="249"/>
      <c r="DE29" s="250"/>
      <c r="DF29" s="339"/>
      <c r="DG29" s="249"/>
      <c r="DH29" s="250"/>
      <c r="DI29" s="339"/>
      <c r="DJ29" s="249"/>
      <c r="DK29" s="250"/>
      <c r="DL29" s="339"/>
      <c r="DM29" s="249"/>
      <c r="DN29" s="250"/>
      <c r="DO29" s="339"/>
      <c r="DP29" s="249"/>
      <c r="DQ29" s="250"/>
      <c r="DR29" s="339"/>
      <c r="DS29" s="316"/>
      <c r="DT29" s="319"/>
      <c r="DU29" s="339"/>
      <c r="DV29" s="249"/>
      <c r="DW29" s="250"/>
      <c r="DX29" s="339"/>
      <c r="DY29" s="249"/>
      <c r="DZ29" s="250"/>
      <c r="EA29" s="339"/>
      <c r="EB29" s="249"/>
      <c r="EC29" s="250"/>
      <c r="ED29" s="339"/>
      <c r="EE29" s="249"/>
      <c r="EF29" s="250"/>
      <c r="EG29" s="339"/>
      <c r="EH29" s="283"/>
      <c r="EI29" s="250"/>
      <c r="EJ29" s="341"/>
      <c r="EK29" s="348"/>
      <c r="EL29" s="351"/>
      <c r="EM29" s="250"/>
      <c r="EN29" s="339"/>
      <c r="EO29" s="249"/>
      <c r="EP29" s="250"/>
      <c r="EQ29" s="339"/>
      <c r="ER29" s="249"/>
      <c r="ES29" s="250"/>
      <c r="ET29" s="339"/>
      <c r="EU29" s="249"/>
      <c r="EV29" s="250"/>
      <c r="EW29" s="339"/>
      <c r="EX29" s="283"/>
      <c r="EY29" s="250"/>
      <c r="EZ29" s="341"/>
    </row>
    <row r="30" spans="1:156" x14ac:dyDescent="0.25">
      <c r="A30" s="343"/>
      <c r="B30" s="295"/>
      <c r="C30" s="296"/>
      <c r="D30" s="297" t="str">
        <f>CHAR(132)</f>
        <v>„</v>
      </c>
      <c r="E30" s="298">
        <f>O30+AD30+AS30+BH30+BW30+CL30+DA30</f>
        <v>0</v>
      </c>
      <c r="F30" s="299">
        <f>P30+AE30+AT30+BI30+BX30+CM30+DB30</f>
        <v>0</v>
      </c>
      <c r="G30" s="298">
        <f>R30+AG30+AV30+BK30+BZ30+CO30+DD30</f>
        <v>0</v>
      </c>
      <c r="H30" s="299">
        <f>S30+AH30+AW30+BL30+CA30+CP30+DE30</f>
        <v>0</v>
      </c>
      <c r="I30" s="298">
        <f>U30+AJ30+AY30+BN30+CC30+CR30+DG30</f>
        <v>0</v>
      </c>
      <c r="J30" s="299">
        <f>V30+AK30+AZ30+BO30+CD30+CS30+DH30</f>
        <v>0</v>
      </c>
      <c r="K30" s="298">
        <f>X30+AM30+BB30+BQ30+CF30+CU30+DJ30</f>
        <v>0</v>
      </c>
      <c r="L30" s="299">
        <f>Y30+AN30+BC30+BR30+CG30+CV30+DK30</f>
        <v>0</v>
      </c>
      <c r="M30" s="298">
        <f>AA30+AP30+BE30+BT30+CI30+CX30+DM30</f>
        <v>0</v>
      </c>
      <c r="N30" s="299">
        <f>AB30+AQ30+BF30+BU30+CJ30+CY30+DN30</f>
        <v>0</v>
      </c>
      <c r="O30" s="300"/>
      <c r="P30" s="301"/>
      <c r="Q30" s="301"/>
      <c r="R30" s="300"/>
      <c r="S30" s="301"/>
      <c r="T30" s="301"/>
      <c r="U30" s="300"/>
      <c r="V30" s="301"/>
      <c r="W30" s="301"/>
      <c r="X30" s="300"/>
      <c r="Y30" s="301"/>
      <c r="Z30" s="301"/>
      <c r="AA30" s="300"/>
      <c r="AB30" s="301"/>
      <c r="AC30" s="301"/>
      <c r="AD30" s="300"/>
      <c r="AE30" s="301"/>
      <c r="AF30" s="301"/>
      <c r="AG30" s="300"/>
      <c r="AH30" s="301"/>
      <c r="AI30" s="301"/>
      <c r="AJ30" s="300"/>
      <c r="AK30" s="301"/>
      <c r="AL30" s="301"/>
      <c r="AM30" s="300"/>
      <c r="AN30" s="301"/>
      <c r="AO30" s="301"/>
      <c r="AP30" s="300"/>
      <c r="AQ30" s="301"/>
      <c r="AR30" s="301"/>
      <c r="AS30" s="300"/>
      <c r="AT30" s="301"/>
      <c r="AU30" s="301"/>
      <c r="AV30" s="300"/>
      <c r="AW30" s="301"/>
      <c r="AX30" s="301"/>
      <c r="AY30" s="300"/>
      <c r="AZ30" s="301"/>
      <c r="BA30" s="301"/>
      <c r="BB30" s="300"/>
      <c r="BC30" s="301"/>
      <c r="BD30" s="301"/>
      <c r="BE30" s="300"/>
      <c r="BF30" s="301"/>
      <c r="BG30" s="301"/>
      <c r="BH30" s="300"/>
      <c r="BI30" s="301"/>
      <c r="BJ30" s="301"/>
      <c r="BK30" s="300"/>
      <c r="BL30" s="301"/>
      <c r="BM30" s="301"/>
      <c r="BN30" s="300"/>
      <c r="BO30" s="301"/>
      <c r="BP30" s="301"/>
      <c r="BQ30" s="300"/>
      <c r="BR30" s="301"/>
      <c r="BS30" s="301"/>
      <c r="BT30" s="300"/>
      <c r="BU30" s="301"/>
      <c r="BV30" s="301"/>
      <c r="BW30" s="300"/>
      <c r="BX30" s="301"/>
      <c r="BY30" s="301"/>
      <c r="BZ30" s="300"/>
      <c r="CA30" s="301"/>
      <c r="CB30" s="301"/>
      <c r="CC30" s="300"/>
      <c r="CD30" s="301"/>
      <c r="CE30" s="301"/>
      <c r="CF30" s="300"/>
      <c r="CG30" s="301"/>
      <c r="CH30" s="301"/>
      <c r="CI30" s="300"/>
      <c r="CJ30" s="301"/>
      <c r="CK30" s="301"/>
      <c r="CL30" s="300"/>
      <c r="CM30" s="301"/>
      <c r="CN30" s="301"/>
      <c r="CO30" s="300"/>
      <c r="CP30" s="301"/>
      <c r="CQ30" s="301"/>
      <c r="CR30" s="300"/>
      <c r="CS30" s="301"/>
      <c r="CT30" s="301"/>
      <c r="CU30" s="300"/>
      <c r="CV30" s="301"/>
      <c r="CW30" s="301"/>
      <c r="CX30" s="300"/>
      <c r="CY30" s="301"/>
      <c r="CZ30" s="301"/>
      <c r="DA30" s="300"/>
      <c r="DB30" s="301"/>
      <c r="DC30" s="301"/>
      <c r="DD30" s="300"/>
      <c r="DE30" s="301"/>
      <c r="DF30" s="301"/>
      <c r="DG30" s="300"/>
      <c r="DH30" s="301"/>
      <c r="DI30" s="301"/>
      <c r="DJ30" s="300"/>
      <c r="DK30" s="301"/>
      <c r="DL30" s="301"/>
      <c r="DM30" s="300"/>
      <c r="DN30" s="301"/>
      <c r="DO30" s="301"/>
      <c r="DP30" s="300"/>
      <c r="DQ30" s="301"/>
      <c r="DR30" s="301"/>
      <c r="DS30" s="320"/>
      <c r="DT30" s="321"/>
      <c r="DU30" s="301"/>
      <c r="DV30" s="300"/>
      <c r="DW30" s="301"/>
      <c r="DX30" s="301"/>
      <c r="DY30" s="300"/>
      <c r="DZ30" s="301"/>
      <c r="EA30" s="301"/>
      <c r="EB30" s="300"/>
      <c r="EC30" s="301"/>
      <c r="ED30" s="301"/>
      <c r="EE30" s="300"/>
      <c r="EF30" s="301"/>
      <c r="EG30" s="301"/>
      <c r="EH30" s="302"/>
      <c r="EI30" s="301"/>
      <c r="EJ30" s="303"/>
      <c r="EK30" s="348"/>
      <c r="EL30" s="352"/>
      <c r="EM30" s="252"/>
      <c r="EN30" s="301"/>
      <c r="EO30" s="251"/>
      <c r="EP30" s="252"/>
      <c r="EQ30" s="301"/>
      <c r="ER30" s="251"/>
      <c r="ES30" s="252"/>
      <c r="ET30" s="301"/>
      <c r="EU30" s="251"/>
      <c r="EV30" s="252"/>
      <c r="EW30" s="301"/>
      <c r="EX30" s="284"/>
      <c r="EY30" s="252"/>
      <c r="EZ30" s="303"/>
    </row>
    <row r="31" spans="1:156" x14ac:dyDescent="0.25">
      <c r="A31" s="367" t="s">
        <v>35</v>
      </c>
      <c r="B31" s="368"/>
      <c r="C31" s="230" t="s">
        <v>135</v>
      </c>
      <c r="D31" s="231" t="s">
        <v>183</v>
      </c>
      <c r="E31" s="265">
        <f t="shared" ref="E31:P31" si="2">SUM(E32:E33)</f>
        <v>0</v>
      </c>
      <c r="F31" s="263">
        <f t="shared" si="2"/>
        <v>0</v>
      </c>
      <c r="G31" s="265">
        <f t="shared" si="2"/>
        <v>0</v>
      </c>
      <c r="H31" s="263">
        <f t="shared" si="2"/>
        <v>0</v>
      </c>
      <c r="I31" s="265">
        <f t="shared" si="2"/>
        <v>0</v>
      </c>
      <c r="J31" s="263">
        <f t="shared" si="2"/>
        <v>0</v>
      </c>
      <c r="K31" s="265">
        <f t="shared" si="2"/>
        <v>0</v>
      </c>
      <c r="L31" s="263">
        <f t="shared" si="2"/>
        <v>0</v>
      </c>
      <c r="M31" s="265">
        <f t="shared" si="2"/>
        <v>0</v>
      </c>
      <c r="N31" s="263">
        <f t="shared" si="2"/>
        <v>0</v>
      </c>
      <c r="O31" s="247">
        <f t="shared" si="2"/>
        <v>0</v>
      </c>
      <c r="P31" s="248">
        <f t="shared" si="2"/>
        <v>0</v>
      </c>
      <c r="Q31" s="260"/>
      <c r="R31" s="247">
        <f>SUM(R32:R33)</f>
        <v>0</v>
      </c>
      <c r="S31" s="248">
        <f>SUM(S32:S33)</f>
        <v>0</v>
      </c>
      <c r="T31" s="260"/>
      <c r="U31" s="247">
        <f>SUM(U32:U33)</f>
        <v>0</v>
      </c>
      <c r="V31" s="248">
        <f>SUM(V32:V33)</f>
        <v>0</v>
      </c>
      <c r="W31" s="260"/>
      <c r="X31" s="247">
        <f>SUM(X32:X33)</f>
        <v>0</v>
      </c>
      <c r="Y31" s="248">
        <f>SUM(Y32:Y33)</f>
        <v>0</v>
      </c>
      <c r="Z31" s="260"/>
      <c r="AA31" s="247">
        <f>SUM(AA32:AA33)</f>
        <v>0</v>
      </c>
      <c r="AB31" s="248">
        <f>SUM(AB32:AB33)</f>
        <v>0</v>
      </c>
      <c r="AC31" s="260"/>
      <c r="AD31" s="247">
        <f>SUM(AD32:AD33)</f>
        <v>0</v>
      </c>
      <c r="AE31" s="248">
        <f>SUM(AE32:AE33)</f>
        <v>0</v>
      </c>
      <c r="AF31" s="260"/>
      <c r="AG31" s="247">
        <f>SUM(AG32:AG33)</f>
        <v>0</v>
      </c>
      <c r="AH31" s="248">
        <f>SUM(AH32:AH33)</f>
        <v>0</v>
      </c>
      <c r="AI31" s="260"/>
      <c r="AJ31" s="247">
        <f>SUM(AJ32:AJ33)</f>
        <v>0</v>
      </c>
      <c r="AK31" s="248">
        <f>SUM(AK32:AK33)</f>
        <v>0</v>
      </c>
      <c r="AL31" s="260"/>
      <c r="AM31" s="247">
        <f>SUM(AM32:AM33)</f>
        <v>0</v>
      </c>
      <c r="AN31" s="248">
        <f>SUM(AN32:AN33)</f>
        <v>0</v>
      </c>
      <c r="AO31" s="260"/>
      <c r="AP31" s="247">
        <f>SUM(AP32:AP33)</f>
        <v>0</v>
      </c>
      <c r="AQ31" s="248">
        <f>SUM(AQ32:AQ33)</f>
        <v>0</v>
      </c>
      <c r="AR31" s="260"/>
      <c r="AS31" s="247">
        <f>SUM(AS32:AS33)</f>
        <v>0</v>
      </c>
      <c r="AT31" s="248">
        <f>SUM(AT32:AT33)</f>
        <v>0</v>
      </c>
      <c r="AU31" s="260"/>
      <c r="AV31" s="247">
        <f>SUM(AV32:AV33)</f>
        <v>0</v>
      </c>
      <c r="AW31" s="248">
        <f>SUM(AW32:AW33)</f>
        <v>0</v>
      </c>
      <c r="AX31" s="260"/>
      <c r="AY31" s="247">
        <f>SUM(AY32:AY33)</f>
        <v>0</v>
      </c>
      <c r="AZ31" s="248">
        <f>SUM(AZ32:AZ33)</f>
        <v>0</v>
      </c>
      <c r="BA31" s="260"/>
      <c r="BB31" s="247">
        <f>SUM(BB32:BB33)</f>
        <v>0</v>
      </c>
      <c r="BC31" s="248">
        <f>SUM(BC32:BC33)</f>
        <v>0</v>
      </c>
      <c r="BD31" s="260"/>
      <c r="BE31" s="247">
        <f>SUM(BE32:BE33)</f>
        <v>0</v>
      </c>
      <c r="BF31" s="248">
        <f>SUM(BF32:BF33)</f>
        <v>0</v>
      </c>
      <c r="BG31" s="260"/>
      <c r="BH31" s="247">
        <f>SUM(BH32:BH33)</f>
        <v>0</v>
      </c>
      <c r="BI31" s="248">
        <f>SUM(BI32:BI33)</f>
        <v>0</v>
      </c>
      <c r="BJ31" s="260"/>
      <c r="BK31" s="247">
        <f>SUM(BK32:BK33)</f>
        <v>0</v>
      </c>
      <c r="BL31" s="248">
        <f>SUM(BL32:BL33)</f>
        <v>0</v>
      </c>
      <c r="BM31" s="260"/>
      <c r="BN31" s="247">
        <f>SUM(BN32:BN33)</f>
        <v>0</v>
      </c>
      <c r="BO31" s="248">
        <f>SUM(BO32:BO33)</f>
        <v>0</v>
      </c>
      <c r="BP31" s="260"/>
      <c r="BQ31" s="247">
        <f>SUM(BQ32:BQ33)</f>
        <v>0</v>
      </c>
      <c r="BR31" s="248">
        <f>SUM(BR32:BR33)</f>
        <v>0</v>
      </c>
      <c r="BS31" s="260"/>
      <c r="BT31" s="247">
        <f>SUM(BT32:BT33)</f>
        <v>0</v>
      </c>
      <c r="BU31" s="248">
        <f>SUM(BU32:BU33)</f>
        <v>0</v>
      </c>
      <c r="BV31" s="260"/>
      <c r="BW31" s="247">
        <f>SUM(BW32:BW33)</f>
        <v>0</v>
      </c>
      <c r="BX31" s="248">
        <f>SUM(BX32:BX33)</f>
        <v>0</v>
      </c>
      <c r="BY31" s="260"/>
      <c r="BZ31" s="247">
        <f>SUM(BZ32:BZ33)</f>
        <v>0</v>
      </c>
      <c r="CA31" s="248">
        <f>SUM(CA32:CA33)</f>
        <v>0</v>
      </c>
      <c r="CB31" s="260"/>
      <c r="CC31" s="247">
        <f>SUM(CC32:CC33)</f>
        <v>0</v>
      </c>
      <c r="CD31" s="248">
        <f>SUM(CD32:CD33)</f>
        <v>0</v>
      </c>
      <c r="CE31" s="260"/>
      <c r="CF31" s="247">
        <f>SUM(CF32:CF33)</f>
        <v>0</v>
      </c>
      <c r="CG31" s="248">
        <f>SUM(CG32:CG33)</f>
        <v>0</v>
      </c>
      <c r="CH31" s="260"/>
      <c r="CI31" s="247">
        <f>SUM(CI32:CI33)</f>
        <v>0</v>
      </c>
      <c r="CJ31" s="248">
        <f>SUM(CJ32:CJ33)</f>
        <v>0</v>
      </c>
      <c r="CK31" s="260"/>
      <c r="CL31" s="247">
        <f>SUM(CL32:CL33)</f>
        <v>0</v>
      </c>
      <c r="CM31" s="248">
        <f>SUM(CM32:CM33)</f>
        <v>0</v>
      </c>
      <c r="CN31" s="260"/>
      <c r="CO31" s="247">
        <f>SUM(CO32:CO33)</f>
        <v>0</v>
      </c>
      <c r="CP31" s="248">
        <f>SUM(CP32:CP33)</f>
        <v>0</v>
      </c>
      <c r="CQ31" s="260"/>
      <c r="CR31" s="247">
        <f>SUM(CR32:CR33)</f>
        <v>0</v>
      </c>
      <c r="CS31" s="248">
        <f>SUM(CS32:CS33)</f>
        <v>0</v>
      </c>
      <c r="CT31" s="260"/>
      <c r="CU31" s="247">
        <f>SUM(CU32:CU33)</f>
        <v>0</v>
      </c>
      <c r="CV31" s="248">
        <f>SUM(CV32:CV33)</f>
        <v>0</v>
      </c>
      <c r="CW31" s="260"/>
      <c r="CX31" s="247">
        <f>SUM(CX32:CX33)</f>
        <v>0</v>
      </c>
      <c r="CY31" s="248">
        <f>SUM(CY32:CY33)</f>
        <v>0</v>
      </c>
      <c r="CZ31" s="260"/>
      <c r="DA31" s="247">
        <f>SUM(DA32:DA33)</f>
        <v>0</v>
      </c>
      <c r="DB31" s="248">
        <f>SUM(DB32:DB33)</f>
        <v>0</v>
      </c>
      <c r="DC31" s="260"/>
      <c r="DD31" s="247">
        <f>SUM(DD32:DD33)</f>
        <v>0</v>
      </c>
      <c r="DE31" s="248">
        <f>SUM(DE32:DE33)</f>
        <v>0</v>
      </c>
      <c r="DF31" s="260"/>
      <c r="DG31" s="247">
        <f>SUM(DG32:DG33)</f>
        <v>0</v>
      </c>
      <c r="DH31" s="248">
        <f>SUM(DH32:DH33)</f>
        <v>0</v>
      </c>
      <c r="DI31" s="260"/>
      <c r="DJ31" s="247">
        <f>SUM(DJ32:DJ33)</f>
        <v>0</v>
      </c>
      <c r="DK31" s="248">
        <f>SUM(DK32:DK33)</f>
        <v>0</v>
      </c>
      <c r="DL31" s="260"/>
      <c r="DM31" s="247">
        <f>SUM(DM32:DM33)</f>
        <v>0</v>
      </c>
      <c r="DN31" s="248">
        <f>SUM(DN32:DN33)</f>
        <v>0</v>
      </c>
      <c r="DO31" s="260"/>
      <c r="DP31" s="247">
        <f>SUM(DP32:DP33)</f>
        <v>0</v>
      </c>
      <c r="DQ31" s="248">
        <f>SUM(DQ32:DQ33)</f>
        <v>0</v>
      </c>
      <c r="DR31" s="260"/>
      <c r="DS31" s="317">
        <f>SUM(DS32:DS33)</f>
        <v>0</v>
      </c>
      <c r="DT31" s="318">
        <f>SUM(DT32:DT33)</f>
        <v>0</v>
      </c>
      <c r="DU31" s="260"/>
      <c r="DV31" s="274">
        <f>SUM(DV32:DV33)</f>
        <v>0</v>
      </c>
      <c r="DW31" s="276">
        <f>SUM(DW32:DW33)</f>
        <v>0</v>
      </c>
      <c r="DX31" s="260"/>
      <c r="DY31" s="274">
        <f>SUM(DY32:DY33)</f>
        <v>0</v>
      </c>
      <c r="DZ31" s="276">
        <f>SUM(DZ32:DZ33)</f>
        <v>0</v>
      </c>
      <c r="EA31" s="260"/>
      <c r="EB31" s="274">
        <f>SUM(EB32:EB33)</f>
        <v>0</v>
      </c>
      <c r="EC31" s="276">
        <f>SUM(EC32:EC33)</f>
        <v>0</v>
      </c>
      <c r="ED31" s="260"/>
      <c r="EE31" s="274">
        <f>SUM(EE32:EE33)</f>
        <v>0</v>
      </c>
      <c r="EF31" s="276">
        <f>SUM(EF32:EF33)</f>
        <v>0</v>
      </c>
      <c r="EG31" s="260"/>
      <c r="EH31" s="282">
        <f>SUM(EH32:EH33)</f>
        <v>0</v>
      </c>
      <c r="EI31" s="248">
        <f>SUM(EI32:EI33)</f>
        <v>0</v>
      </c>
      <c r="EJ31" s="279"/>
      <c r="EK31" s="348"/>
      <c r="EL31" s="354">
        <f>SUM(EL32:EL33)</f>
        <v>0</v>
      </c>
      <c r="EM31" s="276">
        <f>SUM(EM32:EM33)</f>
        <v>0</v>
      </c>
      <c r="EN31" s="260"/>
      <c r="EO31" s="274">
        <f>SUM(EO32:EO33)</f>
        <v>0</v>
      </c>
      <c r="EP31" s="276">
        <f>SUM(EP32:EP33)</f>
        <v>0</v>
      </c>
      <c r="EQ31" s="260"/>
      <c r="ER31" s="274">
        <f>SUM(ER32:ER33)</f>
        <v>0</v>
      </c>
      <c r="ES31" s="276">
        <f>SUM(ES32:ES33)</f>
        <v>0</v>
      </c>
      <c r="ET31" s="260"/>
      <c r="EU31" s="274">
        <f>SUM(EU32:EU33)</f>
        <v>0</v>
      </c>
      <c r="EV31" s="276">
        <f>SUM(EV32:EV33)</f>
        <v>0</v>
      </c>
      <c r="EW31" s="260"/>
      <c r="EX31" s="282">
        <f>SUM(EX32:EX33)</f>
        <v>0</v>
      </c>
      <c r="EY31" s="248">
        <f>SUM(EY32:EY33)</f>
        <v>0</v>
      </c>
      <c r="EZ31" s="279"/>
    </row>
    <row r="32" spans="1:156" x14ac:dyDescent="0.25">
      <c r="A32" s="94" t="s">
        <v>141</v>
      </c>
      <c r="B32" s="49" t="s">
        <v>141</v>
      </c>
      <c r="C32" s="50" t="s">
        <v>141</v>
      </c>
      <c r="D32" s="51">
        <v>1</v>
      </c>
      <c r="E32" s="265">
        <f>O32+AD32+AS32+BH32+BW32+CL32+DA32</f>
        <v>0</v>
      </c>
      <c r="F32" s="263">
        <f>P32+AE32+AT32+BI32+BX32+CM32+DB32</f>
        <v>0</v>
      </c>
      <c r="G32" s="265">
        <f>R32+AG32+AV32+BK32+BZ32+CO32+DD32</f>
        <v>0</v>
      </c>
      <c r="H32" s="263">
        <f>S32+AH32+AW32+BL32+CA32+CP32+DE32</f>
        <v>0</v>
      </c>
      <c r="I32" s="265">
        <f>U32+AJ32+AY32+BN32+CC32+CR32+DG32</f>
        <v>0</v>
      </c>
      <c r="J32" s="263">
        <f>V32+AK32+AZ32+BO32+CD32+CS32+DH32</f>
        <v>0</v>
      </c>
      <c r="K32" s="265">
        <f>X32+AM32+BB32+BQ32+CF32+CU32+DJ32</f>
        <v>0</v>
      </c>
      <c r="L32" s="263">
        <f>Y32+AN32+BC32+BR32+CG32+CV32+DK32</f>
        <v>0</v>
      </c>
      <c r="M32" s="265">
        <f>AA32+AP32+BE32+BT32+CI32+CX32+DM32</f>
        <v>0</v>
      </c>
      <c r="N32" s="263">
        <f>AB32+AQ32+BF32+BU32+CJ32+CY32+DN32</f>
        <v>0</v>
      </c>
      <c r="O32" s="254"/>
      <c r="P32" s="250"/>
      <c r="Q32" s="339"/>
      <c r="R32" s="254"/>
      <c r="S32" s="250"/>
      <c r="T32" s="339"/>
      <c r="U32" s="254"/>
      <c r="V32" s="250"/>
      <c r="W32" s="339"/>
      <c r="X32" s="254"/>
      <c r="Y32" s="250"/>
      <c r="Z32" s="339"/>
      <c r="AA32" s="254"/>
      <c r="AB32" s="250"/>
      <c r="AC32" s="339"/>
      <c r="AD32" s="254"/>
      <c r="AE32" s="250"/>
      <c r="AF32" s="339"/>
      <c r="AG32" s="254"/>
      <c r="AH32" s="250"/>
      <c r="AI32" s="339"/>
      <c r="AJ32" s="254"/>
      <c r="AK32" s="250"/>
      <c r="AL32" s="339"/>
      <c r="AM32" s="254"/>
      <c r="AN32" s="250"/>
      <c r="AO32" s="339"/>
      <c r="AP32" s="254"/>
      <c r="AQ32" s="250"/>
      <c r="AR32" s="339"/>
      <c r="AS32" s="254"/>
      <c r="AT32" s="250"/>
      <c r="AU32" s="339"/>
      <c r="AV32" s="254"/>
      <c r="AW32" s="250"/>
      <c r="AX32" s="339"/>
      <c r="AY32" s="254"/>
      <c r="AZ32" s="250"/>
      <c r="BA32" s="339"/>
      <c r="BB32" s="254"/>
      <c r="BC32" s="250"/>
      <c r="BD32" s="339"/>
      <c r="BE32" s="254"/>
      <c r="BF32" s="250"/>
      <c r="BG32" s="339"/>
      <c r="BH32" s="254"/>
      <c r="BI32" s="250"/>
      <c r="BJ32" s="339"/>
      <c r="BK32" s="254"/>
      <c r="BL32" s="250"/>
      <c r="BM32" s="339"/>
      <c r="BN32" s="254"/>
      <c r="BO32" s="250"/>
      <c r="BP32" s="339"/>
      <c r="BQ32" s="254"/>
      <c r="BR32" s="250"/>
      <c r="BS32" s="339"/>
      <c r="BT32" s="254"/>
      <c r="BU32" s="250"/>
      <c r="BV32" s="339"/>
      <c r="BW32" s="254"/>
      <c r="BX32" s="250"/>
      <c r="BY32" s="339"/>
      <c r="BZ32" s="254"/>
      <c r="CA32" s="250"/>
      <c r="CB32" s="339"/>
      <c r="CC32" s="254"/>
      <c r="CD32" s="250"/>
      <c r="CE32" s="339"/>
      <c r="CF32" s="254"/>
      <c r="CG32" s="250"/>
      <c r="CH32" s="339"/>
      <c r="CI32" s="254"/>
      <c r="CJ32" s="250"/>
      <c r="CK32" s="339"/>
      <c r="CL32" s="254"/>
      <c r="CM32" s="250"/>
      <c r="CN32" s="339"/>
      <c r="CO32" s="254"/>
      <c r="CP32" s="250"/>
      <c r="CQ32" s="339"/>
      <c r="CR32" s="254"/>
      <c r="CS32" s="250"/>
      <c r="CT32" s="339"/>
      <c r="CU32" s="254"/>
      <c r="CV32" s="250"/>
      <c r="CW32" s="339"/>
      <c r="CX32" s="254"/>
      <c r="CY32" s="250"/>
      <c r="CZ32" s="339"/>
      <c r="DA32" s="254"/>
      <c r="DB32" s="250"/>
      <c r="DC32" s="339"/>
      <c r="DD32" s="254"/>
      <c r="DE32" s="250"/>
      <c r="DF32" s="339"/>
      <c r="DG32" s="254"/>
      <c r="DH32" s="250"/>
      <c r="DI32" s="339"/>
      <c r="DJ32" s="254"/>
      <c r="DK32" s="250"/>
      <c r="DL32" s="339"/>
      <c r="DM32" s="254"/>
      <c r="DN32" s="250"/>
      <c r="DO32" s="339"/>
      <c r="DP32" s="254"/>
      <c r="DQ32" s="250"/>
      <c r="DR32" s="339"/>
      <c r="DS32" s="323"/>
      <c r="DT32" s="319"/>
      <c r="DU32" s="339"/>
      <c r="DV32" s="249"/>
      <c r="DW32" s="250"/>
      <c r="DX32" s="339"/>
      <c r="DY32" s="249"/>
      <c r="DZ32" s="250"/>
      <c r="EA32" s="339"/>
      <c r="EB32" s="249"/>
      <c r="EC32" s="250"/>
      <c r="ED32" s="339"/>
      <c r="EE32" s="249"/>
      <c r="EF32" s="250"/>
      <c r="EG32" s="339"/>
      <c r="EH32" s="286"/>
      <c r="EI32" s="250"/>
      <c r="EJ32" s="341"/>
      <c r="EK32" s="348"/>
      <c r="EL32" s="351"/>
      <c r="EM32" s="250"/>
      <c r="EN32" s="339"/>
      <c r="EO32" s="249"/>
      <c r="EP32" s="250"/>
      <c r="EQ32" s="339"/>
      <c r="ER32" s="249"/>
      <c r="ES32" s="250"/>
      <c r="ET32" s="339"/>
      <c r="EU32" s="249"/>
      <c r="EV32" s="250"/>
      <c r="EW32" s="339"/>
      <c r="EX32" s="286"/>
      <c r="EY32" s="250"/>
      <c r="EZ32" s="341"/>
    </row>
    <row r="33" spans="1:156" x14ac:dyDescent="0.25">
      <c r="A33" s="343"/>
      <c r="B33" s="295"/>
      <c r="C33" s="296"/>
      <c r="D33" s="297" t="str">
        <f>CHAR(132)</f>
        <v>„</v>
      </c>
      <c r="E33" s="298">
        <f>O33+AD33+AS33+BH33+BW33+CL33+DA33</f>
        <v>0</v>
      </c>
      <c r="F33" s="299">
        <f>P33+AE33+AT33+BI33+BX33+CM33+DB33</f>
        <v>0</v>
      </c>
      <c r="G33" s="298">
        <f>R33+AG33+AV33+BK33+BZ33+CO33+DD33</f>
        <v>0</v>
      </c>
      <c r="H33" s="299">
        <f>S33+AH33+AW33+BL33+CA33+CP33+DE33</f>
        <v>0</v>
      </c>
      <c r="I33" s="298">
        <f>U33+AJ33+AY33+BN33+CC33+CR33+DG33</f>
        <v>0</v>
      </c>
      <c r="J33" s="299">
        <f>V33+AK33+AZ33+BO33+CD33+CS33+DH33</f>
        <v>0</v>
      </c>
      <c r="K33" s="298">
        <f>X33+AM33+BB33+BQ33+CF33+CU33+DJ33</f>
        <v>0</v>
      </c>
      <c r="L33" s="299">
        <f>Y33+AN33+BC33+BR33+CG33+CV33+DK33</f>
        <v>0</v>
      </c>
      <c r="M33" s="298">
        <f>AA33+AP33+BE33+BT33+CI33+CX33+DM33</f>
        <v>0</v>
      </c>
      <c r="N33" s="299">
        <f>AB33+AQ33+BF33+BU33+CJ33+CY33+DN33</f>
        <v>0</v>
      </c>
      <c r="O33" s="304"/>
      <c r="P33" s="301"/>
      <c r="Q33" s="301"/>
      <c r="R33" s="304"/>
      <c r="S33" s="301"/>
      <c r="T33" s="301"/>
      <c r="U33" s="304"/>
      <c r="V33" s="301"/>
      <c r="W33" s="301"/>
      <c r="X33" s="304"/>
      <c r="Y33" s="301"/>
      <c r="Z33" s="301"/>
      <c r="AA33" s="304"/>
      <c r="AB33" s="301"/>
      <c r="AC33" s="301"/>
      <c r="AD33" s="304"/>
      <c r="AE33" s="301"/>
      <c r="AF33" s="301"/>
      <c r="AG33" s="304"/>
      <c r="AH33" s="301"/>
      <c r="AI33" s="301"/>
      <c r="AJ33" s="304"/>
      <c r="AK33" s="301"/>
      <c r="AL33" s="301"/>
      <c r="AM33" s="304"/>
      <c r="AN33" s="301"/>
      <c r="AO33" s="301"/>
      <c r="AP33" s="304"/>
      <c r="AQ33" s="301"/>
      <c r="AR33" s="301"/>
      <c r="AS33" s="304"/>
      <c r="AT33" s="301"/>
      <c r="AU33" s="301"/>
      <c r="AV33" s="304"/>
      <c r="AW33" s="301"/>
      <c r="AX33" s="301"/>
      <c r="AY33" s="304"/>
      <c r="AZ33" s="301"/>
      <c r="BA33" s="301"/>
      <c r="BB33" s="304"/>
      <c r="BC33" s="301"/>
      <c r="BD33" s="301"/>
      <c r="BE33" s="304"/>
      <c r="BF33" s="301"/>
      <c r="BG33" s="301"/>
      <c r="BH33" s="304"/>
      <c r="BI33" s="301"/>
      <c r="BJ33" s="301"/>
      <c r="BK33" s="304"/>
      <c r="BL33" s="301"/>
      <c r="BM33" s="301"/>
      <c r="BN33" s="304"/>
      <c r="BO33" s="301"/>
      <c r="BP33" s="301"/>
      <c r="BQ33" s="304"/>
      <c r="BR33" s="301"/>
      <c r="BS33" s="301"/>
      <c r="BT33" s="304"/>
      <c r="BU33" s="301"/>
      <c r="BV33" s="301"/>
      <c r="BW33" s="304"/>
      <c r="BX33" s="301"/>
      <c r="BY33" s="301"/>
      <c r="BZ33" s="304"/>
      <c r="CA33" s="301"/>
      <c r="CB33" s="301"/>
      <c r="CC33" s="304"/>
      <c r="CD33" s="301"/>
      <c r="CE33" s="301"/>
      <c r="CF33" s="304"/>
      <c r="CG33" s="301"/>
      <c r="CH33" s="301"/>
      <c r="CI33" s="304"/>
      <c r="CJ33" s="301"/>
      <c r="CK33" s="301"/>
      <c r="CL33" s="304"/>
      <c r="CM33" s="301"/>
      <c r="CN33" s="301"/>
      <c r="CO33" s="304"/>
      <c r="CP33" s="301"/>
      <c r="CQ33" s="301"/>
      <c r="CR33" s="304"/>
      <c r="CS33" s="301"/>
      <c r="CT33" s="301"/>
      <c r="CU33" s="304"/>
      <c r="CV33" s="301"/>
      <c r="CW33" s="301"/>
      <c r="CX33" s="304"/>
      <c r="CY33" s="301"/>
      <c r="CZ33" s="301"/>
      <c r="DA33" s="304"/>
      <c r="DB33" s="301"/>
      <c r="DC33" s="301"/>
      <c r="DD33" s="304"/>
      <c r="DE33" s="301"/>
      <c r="DF33" s="301"/>
      <c r="DG33" s="304"/>
      <c r="DH33" s="301"/>
      <c r="DI33" s="301"/>
      <c r="DJ33" s="304"/>
      <c r="DK33" s="301"/>
      <c r="DL33" s="301"/>
      <c r="DM33" s="304"/>
      <c r="DN33" s="301"/>
      <c r="DO33" s="301"/>
      <c r="DP33" s="304"/>
      <c r="DQ33" s="301"/>
      <c r="DR33" s="301"/>
      <c r="DS33" s="324"/>
      <c r="DT33" s="321"/>
      <c r="DU33" s="301"/>
      <c r="DV33" s="300"/>
      <c r="DW33" s="301"/>
      <c r="DX33" s="301"/>
      <c r="DY33" s="300"/>
      <c r="DZ33" s="301"/>
      <c r="EA33" s="301"/>
      <c r="EB33" s="300"/>
      <c r="EC33" s="301"/>
      <c r="ED33" s="301"/>
      <c r="EE33" s="300"/>
      <c r="EF33" s="301"/>
      <c r="EG33" s="301"/>
      <c r="EH33" s="305"/>
      <c r="EI33" s="301"/>
      <c r="EJ33" s="303"/>
      <c r="EK33" s="348"/>
      <c r="EL33" s="352"/>
      <c r="EM33" s="252"/>
      <c r="EN33" s="301"/>
      <c r="EO33" s="251"/>
      <c r="EP33" s="252"/>
      <c r="EQ33" s="301"/>
      <c r="ER33" s="251"/>
      <c r="ES33" s="252"/>
      <c r="ET33" s="301"/>
      <c r="EU33" s="251"/>
      <c r="EV33" s="252"/>
      <c r="EW33" s="301"/>
      <c r="EX33" s="287"/>
      <c r="EY33" s="252"/>
      <c r="EZ33" s="303"/>
    </row>
    <row r="34" spans="1:156" x14ac:dyDescent="0.25">
      <c r="A34" s="367" t="s">
        <v>36</v>
      </c>
      <c r="B34" s="368"/>
      <c r="C34" s="230" t="s">
        <v>136</v>
      </c>
      <c r="D34" s="231" t="s">
        <v>184</v>
      </c>
      <c r="E34" s="265">
        <f t="shared" ref="E34:P34" si="3">SUM(E35:E36)</f>
        <v>0</v>
      </c>
      <c r="F34" s="263">
        <f t="shared" si="3"/>
        <v>0</v>
      </c>
      <c r="G34" s="265">
        <f t="shared" si="3"/>
        <v>0</v>
      </c>
      <c r="H34" s="263">
        <f t="shared" si="3"/>
        <v>0</v>
      </c>
      <c r="I34" s="265">
        <f t="shared" si="3"/>
        <v>0</v>
      </c>
      <c r="J34" s="263">
        <f t="shared" si="3"/>
        <v>0</v>
      </c>
      <c r="K34" s="265">
        <f t="shared" si="3"/>
        <v>0</v>
      </c>
      <c r="L34" s="263">
        <f t="shared" si="3"/>
        <v>0</v>
      </c>
      <c r="M34" s="265">
        <f t="shared" si="3"/>
        <v>0</v>
      </c>
      <c r="N34" s="263">
        <f t="shared" si="3"/>
        <v>0</v>
      </c>
      <c r="O34" s="255">
        <f t="shared" si="3"/>
        <v>0</v>
      </c>
      <c r="P34" s="248">
        <f t="shared" si="3"/>
        <v>0</v>
      </c>
      <c r="Q34" s="260"/>
      <c r="R34" s="255">
        <f>SUM(R35:R36)</f>
        <v>0</v>
      </c>
      <c r="S34" s="248">
        <f>SUM(S35:S36)</f>
        <v>0</v>
      </c>
      <c r="T34" s="260"/>
      <c r="U34" s="255">
        <f>SUM(U35:U36)</f>
        <v>0</v>
      </c>
      <c r="V34" s="248">
        <f>SUM(V35:V36)</f>
        <v>0</v>
      </c>
      <c r="W34" s="260"/>
      <c r="X34" s="255">
        <f>SUM(X35:X36)</f>
        <v>0</v>
      </c>
      <c r="Y34" s="248">
        <f>SUM(Y35:Y36)</f>
        <v>0</v>
      </c>
      <c r="Z34" s="260"/>
      <c r="AA34" s="255">
        <f>SUM(AA35:AA36)</f>
        <v>0</v>
      </c>
      <c r="AB34" s="248">
        <f>SUM(AB35:AB36)</f>
        <v>0</v>
      </c>
      <c r="AC34" s="260"/>
      <c r="AD34" s="255">
        <f>SUM(AD35:AD36)</f>
        <v>0</v>
      </c>
      <c r="AE34" s="248">
        <f>SUM(AE35:AE36)</f>
        <v>0</v>
      </c>
      <c r="AF34" s="260"/>
      <c r="AG34" s="255">
        <f>SUM(AG35:AG36)</f>
        <v>0</v>
      </c>
      <c r="AH34" s="248">
        <f>SUM(AH35:AH36)</f>
        <v>0</v>
      </c>
      <c r="AI34" s="260"/>
      <c r="AJ34" s="255">
        <f>SUM(AJ35:AJ36)</f>
        <v>0</v>
      </c>
      <c r="AK34" s="248">
        <f>SUM(AK35:AK36)</f>
        <v>0</v>
      </c>
      <c r="AL34" s="260"/>
      <c r="AM34" s="255">
        <f>SUM(AM35:AM36)</f>
        <v>0</v>
      </c>
      <c r="AN34" s="248">
        <f>SUM(AN35:AN36)</f>
        <v>0</v>
      </c>
      <c r="AO34" s="260"/>
      <c r="AP34" s="255">
        <f>SUM(AP35:AP36)</f>
        <v>0</v>
      </c>
      <c r="AQ34" s="248">
        <f>SUM(AQ35:AQ36)</f>
        <v>0</v>
      </c>
      <c r="AR34" s="260"/>
      <c r="AS34" s="255">
        <f>SUM(AS35:AS36)</f>
        <v>0</v>
      </c>
      <c r="AT34" s="248">
        <f>SUM(AT35:AT36)</f>
        <v>0</v>
      </c>
      <c r="AU34" s="260"/>
      <c r="AV34" s="255">
        <f>SUM(AV35:AV36)</f>
        <v>0</v>
      </c>
      <c r="AW34" s="248">
        <f>SUM(AW35:AW36)</f>
        <v>0</v>
      </c>
      <c r="AX34" s="260"/>
      <c r="AY34" s="255">
        <f>SUM(AY35:AY36)</f>
        <v>0</v>
      </c>
      <c r="AZ34" s="248">
        <f>SUM(AZ35:AZ36)</f>
        <v>0</v>
      </c>
      <c r="BA34" s="260"/>
      <c r="BB34" s="255">
        <f>SUM(BB35:BB36)</f>
        <v>0</v>
      </c>
      <c r="BC34" s="248">
        <f>SUM(BC35:BC36)</f>
        <v>0</v>
      </c>
      <c r="BD34" s="260"/>
      <c r="BE34" s="255">
        <f>SUM(BE35:BE36)</f>
        <v>0</v>
      </c>
      <c r="BF34" s="248">
        <f>SUM(BF35:BF36)</f>
        <v>0</v>
      </c>
      <c r="BG34" s="260"/>
      <c r="BH34" s="255">
        <f>SUM(BH35:BH36)</f>
        <v>0</v>
      </c>
      <c r="BI34" s="248">
        <f>SUM(BI35:BI36)</f>
        <v>0</v>
      </c>
      <c r="BJ34" s="260"/>
      <c r="BK34" s="255">
        <f>SUM(BK35:BK36)</f>
        <v>0</v>
      </c>
      <c r="BL34" s="248">
        <f>SUM(BL35:BL36)</f>
        <v>0</v>
      </c>
      <c r="BM34" s="260"/>
      <c r="BN34" s="255">
        <f>SUM(BN35:BN36)</f>
        <v>0</v>
      </c>
      <c r="BO34" s="248">
        <f>SUM(BO35:BO36)</f>
        <v>0</v>
      </c>
      <c r="BP34" s="260"/>
      <c r="BQ34" s="255">
        <f>SUM(BQ35:BQ36)</f>
        <v>0</v>
      </c>
      <c r="BR34" s="248">
        <f>SUM(BR35:BR36)</f>
        <v>0</v>
      </c>
      <c r="BS34" s="260"/>
      <c r="BT34" s="255">
        <f>SUM(BT35:BT36)</f>
        <v>0</v>
      </c>
      <c r="BU34" s="248">
        <f>SUM(BU35:BU36)</f>
        <v>0</v>
      </c>
      <c r="BV34" s="260"/>
      <c r="BW34" s="255">
        <f>SUM(BW35:BW36)</f>
        <v>0</v>
      </c>
      <c r="BX34" s="248">
        <f>SUM(BX35:BX36)</f>
        <v>0</v>
      </c>
      <c r="BY34" s="260"/>
      <c r="BZ34" s="255">
        <f>SUM(BZ35:BZ36)</f>
        <v>0</v>
      </c>
      <c r="CA34" s="248">
        <f>SUM(CA35:CA36)</f>
        <v>0</v>
      </c>
      <c r="CB34" s="260"/>
      <c r="CC34" s="255">
        <f>SUM(CC35:CC36)</f>
        <v>0</v>
      </c>
      <c r="CD34" s="248">
        <f>SUM(CD35:CD36)</f>
        <v>0</v>
      </c>
      <c r="CE34" s="260"/>
      <c r="CF34" s="255">
        <f>SUM(CF35:CF36)</f>
        <v>0</v>
      </c>
      <c r="CG34" s="248">
        <f>SUM(CG35:CG36)</f>
        <v>0</v>
      </c>
      <c r="CH34" s="260"/>
      <c r="CI34" s="255">
        <f>SUM(CI35:CI36)</f>
        <v>0</v>
      </c>
      <c r="CJ34" s="248">
        <f>SUM(CJ35:CJ36)</f>
        <v>0</v>
      </c>
      <c r="CK34" s="260"/>
      <c r="CL34" s="255">
        <f>SUM(CL35:CL36)</f>
        <v>0</v>
      </c>
      <c r="CM34" s="248">
        <f>SUM(CM35:CM36)</f>
        <v>0</v>
      </c>
      <c r="CN34" s="260"/>
      <c r="CO34" s="255">
        <f>SUM(CO35:CO36)</f>
        <v>0</v>
      </c>
      <c r="CP34" s="248">
        <f>SUM(CP35:CP36)</f>
        <v>0</v>
      </c>
      <c r="CQ34" s="260"/>
      <c r="CR34" s="255">
        <f>SUM(CR35:CR36)</f>
        <v>0</v>
      </c>
      <c r="CS34" s="248">
        <f>SUM(CS35:CS36)</f>
        <v>0</v>
      </c>
      <c r="CT34" s="260"/>
      <c r="CU34" s="255">
        <f>SUM(CU35:CU36)</f>
        <v>0</v>
      </c>
      <c r="CV34" s="248">
        <f>SUM(CV35:CV36)</f>
        <v>0</v>
      </c>
      <c r="CW34" s="260"/>
      <c r="CX34" s="255">
        <f>SUM(CX35:CX36)</f>
        <v>0</v>
      </c>
      <c r="CY34" s="248">
        <f>SUM(CY35:CY36)</f>
        <v>0</v>
      </c>
      <c r="CZ34" s="260"/>
      <c r="DA34" s="255">
        <f>SUM(DA35:DA36)</f>
        <v>0</v>
      </c>
      <c r="DB34" s="248">
        <f>SUM(DB35:DB36)</f>
        <v>0</v>
      </c>
      <c r="DC34" s="260"/>
      <c r="DD34" s="255">
        <f>SUM(DD35:DD36)</f>
        <v>0</v>
      </c>
      <c r="DE34" s="248">
        <f>SUM(DE35:DE36)</f>
        <v>0</v>
      </c>
      <c r="DF34" s="260"/>
      <c r="DG34" s="255">
        <f>SUM(DG35:DG36)</f>
        <v>0</v>
      </c>
      <c r="DH34" s="248">
        <f>SUM(DH35:DH36)</f>
        <v>0</v>
      </c>
      <c r="DI34" s="260"/>
      <c r="DJ34" s="255">
        <f>SUM(DJ35:DJ36)</f>
        <v>0</v>
      </c>
      <c r="DK34" s="248">
        <f>SUM(DK35:DK36)</f>
        <v>0</v>
      </c>
      <c r="DL34" s="260"/>
      <c r="DM34" s="255">
        <f>SUM(DM35:DM36)</f>
        <v>0</v>
      </c>
      <c r="DN34" s="248">
        <f>SUM(DN35:DN36)</f>
        <v>0</v>
      </c>
      <c r="DO34" s="260"/>
      <c r="DP34" s="255">
        <f>SUM(DP35:DP36)</f>
        <v>0</v>
      </c>
      <c r="DQ34" s="248">
        <f>SUM(DQ35:DQ36)</f>
        <v>0</v>
      </c>
      <c r="DR34" s="260"/>
      <c r="DS34" s="325">
        <f>SUM(DS35:DS36)</f>
        <v>0</v>
      </c>
      <c r="DT34" s="318">
        <f>SUM(DT35:DT36)</f>
        <v>0</v>
      </c>
      <c r="DU34" s="260"/>
      <c r="DV34" s="274">
        <f>SUM(DV35:DV36)</f>
        <v>0</v>
      </c>
      <c r="DW34" s="276">
        <f>SUM(DW35:DW36)</f>
        <v>0</v>
      </c>
      <c r="DX34" s="260"/>
      <c r="DY34" s="274">
        <f>SUM(DY35:DY36)</f>
        <v>0</v>
      </c>
      <c r="DZ34" s="276">
        <f>SUM(DZ35:DZ36)</f>
        <v>0</v>
      </c>
      <c r="EA34" s="260"/>
      <c r="EB34" s="274">
        <f>SUM(EB35:EB36)</f>
        <v>0</v>
      </c>
      <c r="EC34" s="276">
        <f>SUM(EC35:EC36)</f>
        <v>0</v>
      </c>
      <c r="ED34" s="260"/>
      <c r="EE34" s="274">
        <f>SUM(EE35:EE36)</f>
        <v>0</v>
      </c>
      <c r="EF34" s="276">
        <f>SUM(EF35:EF36)</f>
        <v>0</v>
      </c>
      <c r="EG34" s="260"/>
      <c r="EH34" s="255">
        <f>SUM(EH35:EH36)</f>
        <v>0</v>
      </c>
      <c r="EI34" s="248">
        <f>SUM(EI35:EI36)</f>
        <v>0</v>
      </c>
      <c r="EJ34" s="279"/>
      <c r="EK34" s="348"/>
      <c r="EL34" s="354">
        <f>SUM(EL35:EL36)</f>
        <v>0</v>
      </c>
      <c r="EM34" s="276">
        <f>SUM(EM35:EM36)</f>
        <v>0</v>
      </c>
      <c r="EN34" s="260"/>
      <c r="EO34" s="274">
        <f>SUM(EO35:EO36)</f>
        <v>0</v>
      </c>
      <c r="EP34" s="276">
        <f>SUM(EP35:EP36)</f>
        <v>0</v>
      </c>
      <c r="EQ34" s="260"/>
      <c r="ER34" s="274">
        <f>SUM(ER35:ER36)</f>
        <v>0</v>
      </c>
      <c r="ES34" s="276">
        <f>SUM(ES35:ES36)</f>
        <v>0</v>
      </c>
      <c r="ET34" s="260"/>
      <c r="EU34" s="274">
        <f>SUM(EU35:EU36)</f>
        <v>0</v>
      </c>
      <c r="EV34" s="276">
        <f>SUM(EV35:EV36)</f>
        <v>0</v>
      </c>
      <c r="EW34" s="260"/>
      <c r="EX34" s="255">
        <f>SUM(EX35:EX36)</f>
        <v>0</v>
      </c>
      <c r="EY34" s="248">
        <f>SUM(EY35:EY36)</f>
        <v>0</v>
      </c>
      <c r="EZ34" s="279"/>
    </row>
    <row r="35" spans="1:156" x14ac:dyDescent="0.25">
      <c r="A35" s="94" t="s">
        <v>141</v>
      </c>
      <c r="B35" s="49" t="s">
        <v>141</v>
      </c>
      <c r="C35" s="50" t="s">
        <v>141</v>
      </c>
      <c r="D35" s="51">
        <v>1</v>
      </c>
      <c r="E35" s="265">
        <f>O35+AD35+AS35+BH35+BW35+CL35+DA35</f>
        <v>0</v>
      </c>
      <c r="F35" s="263">
        <f>P35+AE35+AT35+BI35+BX35+CM35+DB35</f>
        <v>0</v>
      </c>
      <c r="G35" s="265">
        <f>R35+AG35+AV35+BK35+BZ35+CO35+DD35</f>
        <v>0</v>
      </c>
      <c r="H35" s="263">
        <f>S35+AH35+AW35+BL35+CA35+CP35+DE35</f>
        <v>0</v>
      </c>
      <c r="I35" s="265">
        <f>U35+AJ35+AY35+BN35+CC35+CR35+DG35</f>
        <v>0</v>
      </c>
      <c r="J35" s="263">
        <f>V35+AK35+AZ35+BO35+CD35+CS35+DH35</f>
        <v>0</v>
      </c>
      <c r="K35" s="265">
        <f>X35+AM35+BB35+BQ35+CF35+CU35+DJ35</f>
        <v>0</v>
      </c>
      <c r="L35" s="263">
        <f>Y35+AN35+BC35+BR35+CG35+CV35+DK35</f>
        <v>0</v>
      </c>
      <c r="M35" s="265">
        <f>AA35+AP35+BE35+BT35+CI35+CX35+DM35</f>
        <v>0</v>
      </c>
      <c r="N35" s="263">
        <f>AB35+AQ35+BF35+BU35+CJ35+CY35+DN35</f>
        <v>0</v>
      </c>
      <c r="O35" s="199"/>
      <c r="P35" s="250"/>
      <c r="Q35" s="339"/>
      <c r="R35" s="199"/>
      <c r="S35" s="250"/>
      <c r="T35" s="339"/>
      <c r="U35" s="199"/>
      <c r="V35" s="250"/>
      <c r="W35" s="339"/>
      <c r="X35" s="199"/>
      <c r="Y35" s="250"/>
      <c r="Z35" s="339"/>
      <c r="AA35" s="199"/>
      <c r="AB35" s="250"/>
      <c r="AC35" s="339"/>
      <c r="AD35" s="199"/>
      <c r="AE35" s="250"/>
      <c r="AF35" s="339"/>
      <c r="AG35" s="199"/>
      <c r="AH35" s="250"/>
      <c r="AI35" s="339"/>
      <c r="AJ35" s="199"/>
      <c r="AK35" s="250"/>
      <c r="AL35" s="339"/>
      <c r="AM35" s="199"/>
      <c r="AN35" s="250"/>
      <c r="AO35" s="339"/>
      <c r="AP35" s="199"/>
      <c r="AQ35" s="250"/>
      <c r="AR35" s="339"/>
      <c r="AS35" s="199"/>
      <c r="AT35" s="250"/>
      <c r="AU35" s="339"/>
      <c r="AV35" s="199"/>
      <c r="AW35" s="250"/>
      <c r="AX35" s="339"/>
      <c r="AY35" s="199"/>
      <c r="AZ35" s="250"/>
      <c r="BA35" s="339"/>
      <c r="BB35" s="199"/>
      <c r="BC35" s="250"/>
      <c r="BD35" s="339"/>
      <c r="BE35" s="199"/>
      <c r="BF35" s="250"/>
      <c r="BG35" s="339"/>
      <c r="BH35" s="199"/>
      <c r="BI35" s="250"/>
      <c r="BJ35" s="339"/>
      <c r="BK35" s="199"/>
      <c r="BL35" s="250"/>
      <c r="BM35" s="339"/>
      <c r="BN35" s="199"/>
      <c r="BO35" s="250"/>
      <c r="BP35" s="339"/>
      <c r="BQ35" s="199"/>
      <c r="BR35" s="250"/>
      <c r="BS35" s="339"/>
      <c r="BT35" s="199"/>
      <c r="BU35" s="250"/>
      <c r="BV35" s="339"/>
      <c r="BW35" s="199"/>
      <c r="BX35" s="250"/>
      <c r="BY35" s="339"/>
      <c r="BZ35" s="199"/>
      <c r="CA35" s="250"/>
      <c r="CB35" s="339"/>
      <c r="CC35" s="199"/>
      <c r="CD35" s="250"/>
      <c r="CE35" s="339"/>
      <c r="CF35" s="199"/>
      <c r="CG35" s="250"/>
      <c r="CH35" s="339"/>
      <c r="CI35" s="199"/>
      <c r="CJ35" s="250"/>
      <c r="CK35" s="339"/>
      <c r="CL35" s="199"/>
      <c r="CM35" s="250"/>
      <c r="CN35" s="339"/>
      <c r="CO35" s="199"/>
      <c r="CP35" s="250"/>
      <c r="CQ35" s="339"/>
      <c r="CR35" s="199"/>
      <c r="CS35" s="250"/>
      <c r="CT35" s="339"/>
      <c r="CU35" s="199"/>
      <c r="CV35" s="250"/>
      <c r="CW35" s="339"/>
      <c r="CX35" s="199"/>
      <c r="CY35" s="250"/>
      <c r="CZ35" s="339"/>
      <c r="DA35" s="199"/>
      <c r="DB35" s="250"/>
      <c r="DC35" s="339"/>
      <c r="DD35" s="199"/>
      <c r="DE35" s="250"/>
      <c r="DF35" s="339"/>
      <c r="DG35" s="199"/>
      <c r="DH35" s="250"/>
      <c r="DI35" s="339"/>
      <c r="DJ35" s="199"/>
      <c r="DK35" s="250"/>
      <c r="DL35" s="339"/>
      <c r="DM35" s="199"/>
      <c r="DN35" s="250"/>
      <c r="DO35" s="339"/>
      <c r="DP35" s="199"/>
      <c r="DQ35" s="250"/>
      <c r="DR35" s="339"/>
      <c r="DS35" s="326"/>
      <c r="DT35" s="319"/>
      <c r="DU35" s="339"/>
      <c r="DV35" s="218"/>
      <c r="DW35" s="250"/>
      <c r="DX35" s="339"/>
      <c r="DY35" s="218"/>
      <c r="DZ35" s="250"/>
      <c r="EA35" s="339"/>
      <c r="EB35" s="218"/>
      <c r="EC35" s="250"/>
      <c r="ED35" s="339"/>
      <c r="EE35" s="218"/>
      <c r="EF35" s="250"/>
      <c r="EG35" s="339"/>
      <c r="EH35" s="199"/>
      <c r="EI35" s="250"/>
      <c r="EJ35" s="341"/>
      <c r="EK35" s="348"/>
      <c r="EL35" s="355"/>
      <c r="EM35" s="250"/>
      <c r="EN35" s="339"/>
      <c r="EO35" s="218"/>
      <c r="EP35" s="250"/>
      <c r="EQ35" s="339"/>
      <c r="ER35" s="218"/>
      <c r="ES35" s="250"/>
      <c r="ET35" s="339"/>
      <c r="EU35" s="218"/>
      <c r="EV35" s="250"/>
      <c r="EW35" s="339"/>
      <c r="EX35" s="199"/>
      <c r="EY35" s="250"/>
      <c r="EZ35" s="341"/>
    </row>
    <row r="36" spans="1:156" x14ac:dyDescent="0.25">
      <c r="A36" s="343"/>
      <c r="B36" s="295"/>
      <c r="C36" s="296"/>
      <c r="D36" s="297" t="str">
        <f>CHAR(132)</f>
        <v>„</v>
      </c>
      <c r="E36" s="298">
        <f>O36+AD36+AS36+BH36+BW36+CL36+DA36</f>
        <v>0</v>
      </c>
      <c r="F36" s="299">
        <f>P36+AE36+AT36+BI36+BX36+CM36+DB36</f>
        <v>0</v>
      </c>
      <c r="G36" s="298">
        <f>R36+AG36+AV36+BK36+BZ36+CO36+DD36</f>
        <v>0</v>
      </c>
      <c r="H36" s="299">
        <f>S36+AH36+AW36+BL36+CA36+CP36+DE36</f>
        <v>0</v>
      </c>
      <c r="I36" s="298">
        <f>U36+AJ36+AY36+BN36+CC36+CR36+DG36</f>
        <v>0</v>
      </c>
      <c r="J36" s="299">
        <f>V36+AK36+AZ36+BO36+CD36+CS36+DH36</f>
        <v>0</v>
      </c>
      <c r="K36" s="298">
        <f>X36+AM36+BB36+BQ36+CF36+CU36+DJ36</f>
        <v>0</v>
      </c>
      <c r="L36" s="299">
        <f>Y36+AN36+BC36+BR36+CG36+CV36+DK36</f>
        <v>0</v>
      </c>
      <c r="M36" s="298">
        <f>AA36+AP36+BE36+BT36+CI36+CX36+DM36</f>
        <v>0</v>
      </c>
      <c r="N36" s="299">
        <f>AB36+AQ36+BF36+BU36+CJ36+CY36+DN36</f>
        <v>0</v>
      </c>
      <c r="O36" s="302"/>
      <c r="P36" s="301"/>
      <c r="Q36" s="301"/>
      <c r="R36" s="302"/>
      <c r="S36" s="301"/>
      <c r="T36" s="301"/>
      <c r="U36" s="302"/>
      <c r="V36" s="301"/>
      <c r="W36" s="301"/>
      <c r="X36" s="302"/>
      <c r="Y36" s="301"/>
      <c r="Z36" s="301"/>
      <c r="AA36" s="302"/>
      <c r="AB36" s="301"/>
      <c r="AC36" s="301"/>
      <c r="AD36" s="302"/>
      <c r="AE36" s="301"/>
      <c r="AF36" s="301"/>
      <c r="AG36" s="302"/>
      <c r="AH36" s="301"/>
      <c r="AI36" s="301"/>
      <c r="AJ36" s="302"/>
      <c r="AK36" s="301"/>
      <c r="AL36" s="301"/>
      <c r="AM36" s="302"/>
      <c r="AN36" s="301"/>
      <c r="AO36" s="301"/>
      <c r="AP36" s="302"/>
      <c r="AQ36" s="301"/>
      <c r="AR36" s="301"/>
      <c r="AS36" s="302"/>
      <c r="AT36" s="301"/>
      <c r="AU36" s="301"/>
      <c r="AV36" s="302"/>
      <c r="AW36" s="301"/>
      <c r="AX36" s="301"/>
      <c r="AY36" s="302"/>
      <c r="AZ36" s="301"/>
      <c r="BA36" s="301"/>
      <c r="BB36" s="302"/>
      <c r="BC36" s="301"/>
      <c r="BD36" s="301"/>
      <c r="BE36" s="302"/>
      <c r="BF36" s="301"/>
      <c r="BG36" s="301"/>
      <c r="BH36" s="302"/>
      <c r="BI36" s="301"/>
      <c r="BJ36" s="301"/>
      <c r="BK36" s="302"/>
      <c r="BL36" s="301"/>
      <c r="BM36" s="301"/>
      <c r="BN36" s="302"/>
      <c r="BO36" s="301"/>
      <c r="BP36" s="301"/>
      <c r="BQ36" s="302"/>
      <c r="BR36" s="301"/>
      <c r="BS36" s="301"/>
      <c r="BT36" s="302"/>
      <c r="BU36" s="301"/>
      <c r="BV36" s="301"/>
      <c r="BW36" s="302"/>
      <c r="BX36" s="301"/>
      <c r="BY36" s="301"/>
      <c r="BZ36" s="302"/>
      <c r="CA36" s="301"/>
      <c r="CB36" s="301"/>
      <c r="CC36" s="302"/>
      <c r="CD36" s="301"/>
      <c r="CE36" s="301"/>
      <c r="CF36" s="302"/>
      <c r="CG36" s="301"/>
      <c r="CH36" s="301"/>
      <c r="CI36" s="302"/>
      <c r="CJ36" s="301"/>
      <c r="CK36" s="301"/>
      <c r="CL36" s="302"/>
      <c r="CM36" s="301"/>
      <c r="CN36" s="301"/>
      <c r="CO36" s="302"/>
      <c r="CP36" s="301"/>
      <c r="CQ36" s="301"/>
      <c r="CR36" s="302"/>
      <c r="CS36" s="301"/>
      <c r="CT36" s="301"/>
      <c r="CU36" s="302"/>
      <c r="CV36" s="301"/>
      <c r="CW36" s="301"/>
      <c r="CX36" s="302"/>
      <c r="CY36" s="301"/>
      <c r="CZ36" s="301"/>
      <c r="DA36" s="302"/>
      <c r="DB36" s="301"/>
      <c r="DC36" s="301"/>
      <c r="DD36" s="302"/>
      <c r="DE36" s="301"/>
      <c r="DF36" s="301"/>
      <c r="DG36" s="302"/>
      <c r="DH36" s="301"/>
      <c r="DI36" s="301"/>
      <c r="DJ36" s="302"/>
      <c r="DK36" s="301"/>
      <c r="DL36" s="301"/>
      <c r="DM36" s="302"/>
      <c r="DN36" s="301"/>
      <c r="DO36" s="301"/>
      <c r="DP36" s="302"/>
      <c r="DQ36" s="301"/>
      <c r="DR36" s="301"/>
      <c r="DS36" s="327"/>
      <c r="DT36" s="321"/>
      <c r="DU36" s="301"/>
      <c r="DV36" s="300"/>
      <c r="DW36" s="301"/>
      <c r="DX36" s="301"/>
      <c r="DY36" s="300"/>
      <c r="DZ36" s="301"/>
      <c r="EA36" s="301"/>
      <c r="EB36" s="300"/>
      <c r="EC36" s="301"/>
      <c r="ED36" s="301"/>
      <c r="EE36" s="300"/>
      <c r="EF36" s="301"/>
      <c r="EG36" s="301"/>
      <c r="EH36" s="302"/>
      <c r="EI36" s="301"/>
      <c r="EJ36" s="303"/>
      <c r="EK36" s="348"/>
      <c r="EL36" s="356"/>
      <c r="EM36" s="252"/>
      <c r="EN36" s="301"/>
      <c r="EO36" s="190"/>
      <c r="EP36" s="252"/>
      <c r="EQ36" s="301"/>
      <c r="ER36" s="190"/>
      <c r="ES36" s="252"/>
      <c r="ET36" s="301"/>
      <c r="EU36" s="190"/>
      <c r="EV36" s="252"/>
      <c r="EW36" s="301"/>
      <c r="EX36" s="200"/>
      <c r="EY36" s="252"/>
      <c r="EZ36" s="303"/>
    </row>
    <row r="37" spans="1:156" x14ac:dyDescent="0.25">
      <c r="A37" s="369" t="s">
        <v>37</v>
      </c>
      <c r="B37" s="370"/>
      <c r="C37" s="371" t="s">
        <v>138</v>
      </c>
      <c r="D37" s="372"/>
      <c r="E37" s="265">
        <f t="shared" ref="E37:P37" si="4">SUM(E10,E13,E31,E34)</f>
        <v>0</v>
      </c>
      <c r="F37" s="263">
        <f t="shared" si="4"/>
        <v>0</v>
      </c>
      <c r="G37" s="265">
        <f t="shared" si="4"/>
        <v>0</v>
      </c>
      <c r="H37" s="263">
        <f t="shared" si="4"/>
        <v>0</v>
      </c>
      <c r="I37" s="265">
        <f t="shared" si="4"/>
        <v>0</v>
      </c>
      <c r="J37" s="263">
        <f t="shared" si="4"/>
        <v>0</v>
      </c>
      <c r="K37" s="265">
        <f t="shared" si="4"/>
        <v>0</v>
      </c>
      <c r="L37" s="263">
        <f t="shared" si="4"/>
        <v>0</v>
      </c>
      <c r="M37" s="265">
        <f t="shared" si="4"/>
        <v>0</v>
      </c>
      <c r="N37" s="263">
        <f t="shared" si="4"/>
        <v>0</v>
      </c>
      <c r="O37" s="255">
        <f t="shared" si="4"/>
        <v>0</v>
      </c>
      <c r="P37" s="256">
        <f t="shared" si="4"/>
        <v>0</v>
      </c>
      <c r="Q37" s="260"/>
      <c r="R37" s="255">
        <f>SUM(R10,R13,R31,R34)</f>
        <v>0</v>
      </c>
      <c r="S37" s="256">
        <f>SUM(S10,S13,S31,S34)</f>
        <v>0</v>
      </c>
      <c r="T37" s="260"/>
      <c r="U37" s="255">
        <f>SUM(U10,U13,U31,U34)</f>
        <v>0</v>
      </c>
      <c r="V37" s="256">
        <f>SUM(V10,V13,V31,V34)</f>
        <v>0</v>
      </c>
      <c r="W37" s="260"/>
      <c r="X37" s="255">
        <f>SUM(X10,X13,X31,X34)</f>
        <v>0</v>
      </c>
      <c r="Y37" s="256">
        <f>SUM(Y10,Y13,Y31,Y34)</f>
        <v>0</v>
      </c>
      <c r="Z37" s="260"/>
      <c r="AA37" s="255">
        <f>SUM(AA10,AA13,AA31,AA34)</f>
        <v>0</v>
      </c>
      <c r="AB37" s="256">
        <f>SUM(AB10,AB13,AB31,AB34)</f>
        <v>0</v>
      </c>
      <c r="AC37" s="260"/>
      <c r="AD37" s="255">
        <f>SUM(AD10,AD13,AD31,AD34)</f>
        <v>0</v>
      </c>
      <c r="AE37" s="256">
        <f>SUM(AE10,AE13,AE31,AE34)</f>
        <v>0</v>
      </c>
      <c r="AF37" s="260"/>
      <c r="AG37" s="255">
        <f>SUM(AG10,AG13,AG31,AG34)</f>
        <v>0</v>
      </c>
      <c r="AH37" s="256">
        <f>SUM(AH10,AH13,AH31,AH34)</f>
        <v>0</v>
      </c>
      <c r="AI37" s="260"/>
      <c r="AJ37" s="255">
        <f>SUM(AJ10,AJ13,AJ31,AJ34)</f>
        <v>0</v>
      </c>
      <c r="AK37" s="256">
        <f>SUM(AK10,AK13,AK31,AK34)</f>
        <v>0</v>
      </c>
      <c r="AL37" s="260"/>
      <c r="AM37" s="255">
        <f>SUM(AM10,AM13,AM31,AM34)</f>
        <v>0</v>
      </c>
      <c r="AN37" s="256">
        <f>SUM(AN10,AN13,AN31,AN34)</f>
        <v>0</v>
      </c>
      <c r="AO37" s="260"/>
      <c r="AP37" s="255">
        <f>SUM(AP10,AP13,AP31,AP34)</f>
        <v>0</v>
      </c>
      <c r="AQ37" s="256">
        <f>SUM(AQ10,AQ13,AQ31,AQ34)</f>
        <v>0</v>
      </c>
      <c r="AR37" s="260"/>
      <c r="AS37" s="255">
        <f>SUM(AS10,AS13,AS31,AS34)</f>
        <v>0</v>
      </c>
      <c r="AT37" s="256">
        <f>SUM(AT10,AT13,AT31,AT34)</f>
        <v>0</v>
      </c>
      <c r="AU37" s="260"/>
      <c r="AV37" s="255">
        <f>SUM(AV10,AV13,AV31,AV34)</f>
        <v>0</v>
      </c>
      <c r="AW37" s="256">
        <f>SUM(AW10,AW13,AW31,AW34)</f>
        <v>0</v>
      </c>
      <c r="AX37" s="260"/>
      <c r="AY37" s="255">
        <f>SUM(AY10,AY13,AY31,AY34)</f>
        <v>0</v>
      </c>
      <c r="AZ37" s="256">
        <f>SUM(AZ10,AZ13,AZ31,AZ34)</f>
        <v>0</v>
      </c>
      <c r="BA37" s="260"/>
      <c r="BB37" s="255">
        <f>SUM(BB10,BB13,BB31,BB34)</f>
        <v>0</v>
      </c>
      <c r="BC37" s="256">
        <f>SUM(BC10,BC13,BC31,BC34)</f>
        <v>0</v>
      </c>
      <c r="BD37" s="260"/>
      <c r="BE37" s="255">
        <f>SUM(BE10,BE13,BE31,BE34)</f>
        <v>0</v>
      </c>
      <c r="BF37" s="256">
        <f>SUM(BF10,BF13,BF31,BF34)</f>
        <v>0</v>
      </c>
      <c r="BG37" s="260"/>
      <c r="BH37" s="255">
        <f>SUM(BH10,BH13,BH31,BH34)</f>
        <v>0</v>
      </c>
      <c r="BI37" s="256">
        <f>SUM(BI10,BI13,BI31,BI34)</f>
        <v>0</v>
      </c>
      <c r="BJ37" s="260"/>
      <c r="BK37" s="255">
        <f>SUM(BK10,BK13,BK31,BK34)</f>
        <v>0</v>
      </c>
      <c r="BL37" s="256">
        <f>SUM(BL10,BL13,BL31,BL34)</f>
        <v>0</v>
      </c>
      <c r="BM37" s="260"/>
      <c r="BN37" s="255">
        <f>SUM(BN10,BN13,BN31,BN34)</f>
        <v>0</v>
      </c>
      <c r="BO37" s="256">
        <f>SUM(BO10,BO13,BO31,BO34)</f>
        <v>0</v>
      </c>
      <c r="BP37" s="260"/>
      <c r="BQ37" s="255">
        <f>SUM(BQ10,BQ13,BQ31,BQ34)</f>
        <v>0</v>
      </c>
      <c r="BR37" s="256">
        <f>SUM(BR10,BR13,BR31,BR34)</f>
        <v>0</v>
      </c>
      <c r="BS37" s="260"/>
      <c r="BT37" s="255">
        <f>SUM(BT10,BT13,BT31,BT34)</f>
        <v>0</v>
      </c>
      <c r="BU37" s="256">
        <f>SUM(BU10,BU13,BU31,BU34)</f>
        <v>0</v>
      </c>
      <c r="BV37" s="260"/>
      <c r="BW37" s="255">
        <f>SUM(BW10,BW13,BW31,BW34)</f>
        <v>0</v>
      </c>
      <c r="BX37" s="256">
        <f>SUM(BX10,BX13,BX31,BX34)</f>
        <v>0</v>
      </c>
      <c r="BY37" s="260"/>
      <c r="BZ37" s="255">
        <f>SUM(BZ10,BZ13,BZ31,BZ34)</f>
        <v>0</v>
      </c>
      <c r="CA37" s="256">
        <f>SUM(CA10,CA13,CA31,CA34)</f>
        <v>0</v>
      </c>
      <c r="CB37" s="260"/>
      <c r="CC37" s="255">
        <f>SUM(CC10,CC13,CC31,CC34)</f>
        <v>0</v>
      </c>
      <c r="CD37" s="256">
        <f>SUM(CD10,CD13,CD31,CD34)</f>
        <v>0</v>
      </c>
      <c r="CE37" s="260"/>
      <c r="CF37" s="255">
        <f>SUM(CF10,CF13,CF31,CF34)</f>
        <v>0</v>
      </c>
      <c r="CG37" s="256">
        <f>SUM(CG10,CG13,CG31,CG34)</f>
        <v>0</v>
      </c>
      <c r="CH37" s="260"/>
      <c r="CI37" s="255">
        <f>SUM(CI10,CI13,CI31,CI34)</f>
        <v>0</v>
      </c>
      <c r="CJ37" s="256">
        <f>SUM(CJ10,CJ13,CJ31,CJ34)</f>
        <v>0</v>
      </c>
      <c r="CK37" s="260"/>
      <c r="CL37" s="255">
        <f>SUM(CL10,CL13,CL31,CL34)</f>
        <v>0</v>
      </c>
      <c r="CM37" s="256">
        <f>SUM(CM10,CM13,CM31,CM34)</f>
        <v>0</v>
      </c>
      <c r="CN37" s="260"/>
      <c r="CO37" s="255">
        <f>SUM(CO10,CO13,CO31,CO34)</f>
        <v>0</v>
      </c>
      <c r="CP37" s="256">
        <f>SUM(CP10,CP13,CP31,CP34)</f>
        <v>0</v>
      </c>
      <c r="CQ37" s="260"/>
      <c r="CR37" s="255">
        <f>SUM(CR10,CR13,CR31,CR34)</f>
        <v>0</v>
      </c>
      <c r="CS37" s="256">
        <f>SUM(CS10,CS13,CS31,CS34)</f>
        <v>0</v>
      </c>
      <c r="CT37" s="260"/>
      <c r="CU37" s="255">
        <f>SUM(CU10,CU13,CU31,CU34)</f>
        <v>0</v>
      </c>
      <c r="CV37" s="256">
        <f>SUM(CV10,CV13,CV31,CV34)</f>
        <v>0</v>
      </c>
      <c r="CW37" s="260"/>
      <c r="CX37" s="255">
        <f>SUM(CX10,CX13,CX31,CX34)</f>
        <v>0</v>
      </c>
      <c r="CY37" s="256">
        <f>SUM(CY10,CY13,CY31,CY34)</f>
        <v>0</v>
      </c>
      <c r="CZ37" s="260"/>
      <c r="DA37" s="255">
        <f>SUM(DA10,DA13,DA31,DA34)</f>
        <v>0</v>
      </c>
      <c r="DB37" s="256">
        <f>SUM(DB10,DB13,DB31,DB34)</f>
        <v>0</v>
      </c>
      <c r="DC37" s="260"/>
      <c r="DD37" s="255">
        <f>SUM(DD10,DD13,DD31,DD34)</f>
        <v>0</v>
      </c>
      <c r="DE37" s="256">
        <f>SUM(DE10,DE13,DE31,DE34)</f>
        <v>0</v>
      </c>
      <c r="DF37" s="260"/>
      <c r="DG37" s="255">
        <f>SUM(DG10,DG13,DG31,DG34)</f>
        <v>0</v>
      </c>
      <c r="DH37" s="256">
        <f>SUM(DH10,DH13,DH31,DH34)</f>
        <v>0</v>
      </c>
      <c r="DI37" s="260"/>
      <c r="DJ37" s="255">
        <f>SUM(DJ10,DJ13,DJ31,DJ34)</f>
        <v>0</v>
      </c>
      <c r="DK37" s="256">
        <f>SUM(DK10,DK13,DK31,DK34)</f>
        <v>0</v>
      </c>
      <c r="DL37" s="260"/>
      <c r="DM37" s="255">
        <f>SUM(DM10,DM13,DM31,DM34)</f>
        <v>0</v>
      </c>
      <c r="DN37" s="256">
        <f>SUM(DN10,DN13,DN31,DN34)</f>
        <v>0</v>
      </c>
      <c r="DO37" s="260"/>
      <c r="DP37" s="255">
        <f>SUM(DP10,DP13,DP31,DP34)</f>
        <v>0</v>
      </c>
      <c r="DQ37" s="256">
        <f>SUM(DQ10,DQ13,DQ31,DQ34)</f>
        <v>0</v>
      </c>
      <c r="DR37" s="260"/>
      <c r="DS37" s="325">
        <f>SUM(DS10,DS13,DS31,DS34)</f>
        <v>0</v>
      </c>
      <c r="DT37" s="328">
        <f>SUM(DT10,DT13,DT31,DT34)</f>
        <v>0</v>
      </c>
      <c r="DU37" s="260"/>
      <c r="DV37" s="274">
        <f>SUM(DV10,DV13,DV31,DV34)</f>
        <v>0</v>
      </c>
      <c r="DW37" s="276">
        <f>SUM(DW10,DW13,DW31,DW34)</f>
        <v>0</v>
      </c>
      <c r="DX37" s="260"/>
      <c r="DY37" s="274">
        <f>SUM(DY10,DY13,DY31,DY34)</f>
        <v>0</v>
      </c>
      <c r="DZ37" s="276">
        <f>SUM(DZ10,DZ13,DZ31,DZ34)</f>
        <v>0</v>
      </c>
      <c r="EA37" s="260"/>
      <c r="EB37" s="274">
        <f>SUM(EB10,EB13,EB31,EB34)</f>
        <v>0</v>
      </c>
      <c r="EC37" s="276">
        <f>SUM(EC10,EC13,EC31,EC34)</f>
        <v>0</v>
      </c>
      <c r="ED37" s="260"/>
      <c r="EE37" s="274">
        <f>SUM(EE10,EE13,EE31,EE34)</f>
        <v>0</v>
      </c>
      <c r="EF37" s="276">
        <f>SUM(EF10,EF13,EF31,EF34)</f>
        <v>0</v>
      </c>
      <c r="EG37" s="260"/>
      <c r="EH37" s="255">
        <f>SUM(EH10,EH13,EH31,EH34)</f>
        <v>0</v>
      </c>
      <c r="EI37" s="256">
        <f>SUM(EI10,EI13,EI31,EI34)</f>
        <v>0</v>
      </c>
      <c r="EJ37" s="279"/>
      <c r="EK37" s="348"/>
      <c r="EL37" s="354">
        <f>SUM(EL10,EL13,EL31,EL34)</f>
        <v>0</v>
      </c>
      <c r="EM37" s="276">
        <f>SUM(EM10,EM13,EM31,EM34)</f>
        <v>0</v>
      </c>
      <c r="EN37" s="260"/>
      <c r="EO37" s="274">
        <f>SUM(EO10,EO13,EO31,EO34)</f>
        <v>0</v>
      </c>
      <c r="EP37" s="276">
        <f>SUM(EP10,EP13,EP31,EP34)</f>
        <v>0</v>
      </c>
      <c r="EQ37" s="260"/>
      <c r="ER37" s="274">
        <f>SUM(ER10,ER13,ER31,ER34)</f>
        <v>0</v>
      </c>
      <c r="ES37" s="276">
        <f>SUM(ES10,ES13,ES31,ES34)</f>
        <v>0</v>
      </c>
      <c r="ET37" s="260"/>
      <c r="EU37" s="274">
        <f>SUM(EU10,EU13,EU31,EU34)</f>
        <v>0</v>
      </c>
      <c r="EV37" s="276">
        <f>SUM(EV10,EV13,EV31,EV34)</f>
        <v>0</v>
      </c>
      <c r="EW37" s="260"/>
      <c r="EX37" s="255">
        <f>SUM(EX10,EX13,EX31,EX34)</f>
        <v>0</v>
      </c>
      <c r="EY37" s="256">
        <f>SUM(EY10,EY13,EY31,EY34)</f>
        <v>0</v>
      </c>
      <c r="EZ37" s="279"/>
    </row>
    <row r="38" spans="1:156" x14ac:dyDescent="0.25">
      <c r="A38" s="367" t="s">
        <v>38</v>
      </c>
      <c r="B38" s="368"/>
      <c r="C38" s="230" t="s">
        <v>137</v>
      </c>
      <c r="D38" s="231" t="s">
        <v>185</v>
      </c>
      <c r="E38" s="306"/>
      <c r="F38" s="306"/>
      <c r="G38" s="306"/>
      <c r="H38" s="306"/>
      <c r="I38" s="306"/>
      <c r="J38" s="306"/>
      <c r="K38" s="306"/>
      <c r="L38" s="306"/>
      <c r="M38" s="306"/>
      <c r="N38" s="306"/>
      <c r="O38" s="266">
        <f>SUM(O39:O40)</f>
        <v>0</v>
      </c>
      <c r="P38" s="267">
        <f>SUM(P39:P40)</f>
        <v>0</v>
      </c>
      <c r="Q38" s="268"/>
      <c r="R38" s="266">
        <f>SUM(R39:R40)</f>
        <v>0</v>
      </c>
      <c r="S38" s="267">
        <f>SUM(S39:S40)</f>
        <v>0</v>
      </c>
      <c r="T38" s="268"/>
      <c r="U38" s="266">
        <f>SUM(U39:U40)</f>
        <v>0</v>
      </c>
      <c r="V38" s="267">
        <f>SUM(V39:V40)</f>
        <v>0</v>
      </c>
      <c r="W38" s="268"/>
      <c r="X38" s="266">
        <f>SUM(X39:X40)</f>
        <v>0</v>
      </c>
      <c r="Y38" s="267">
        <f>SUM(Y39:Y40)</f>
        <v>0</v>
      </c>
      <c r="Z38" s="268"/>
      <c r="AA38" s="266">
        <f>SUM(AA39:AA40)</f>
        <v>0</v>
      </c>
      <c r="AB38" s="267">
        <f>SUM(AB39:AB40)</f>
        <v>0</v>
      </c>
      <c r="AC38" s="268"/>
      <c r="AD38" s="266">
        <f>SUM(AD39:AD40)</f>
        <v>0</v>
      </c>
      <c r="AE38" s="267">
        <f>SUM(AE39:AE40)</f>
        <v>0</v>
      </c>
      <c r="AF38" s="268"/>
      <c r="AG38" s="266">
        <f>SUM(AG39:AG40)</f>
        <v>0</v>
      </c>
      <c r="AH38" s="267">
        <f>SUM(AH39:AH40)</f>
        <v>0</v>
      </c>
      <c r="AI38" s="268"/>
      <c r="AJ38" s="266">
        <f>SUM(AJ39:AJ40)</f>
        <v>0</v>
      </c>
      <c r="AK38" s="267">
        <f>SUM(AK39:AK40)</f>
        <v>0</v>
      </c>
      <c r="AL38" s="268"/>
      <c r="AM38" s="266">
        <f>SUM(AM39:AM40)</f>
        <v>0</v>
      </c>
      <c r="AN38" s="267">
        <f>SUM(AN39:AN40)</f>
        <v>0</v>
      </c>
      <c r="AO38" s="268"/>
      <c r="AP38" s="266">
        <f>SUM(AP39:AP40)</f>
        <v>0</v>
      </c>
      <c r="AQ38" s="267">
        <f>SUM(AQ39:AQ40)</f>
        <v>0</v>
      </c>
      <c r="AR38" s="268"/>
      <c r="AS38" s="266">
        <f>SUM(AS39:AS40)</f>
        <v>0</v>
      </c>
      <c r="AT38" s="267">
        <f>SUM(AT39:AT40)</f>
        <v>0</v>
      </c>
      <c r="AU38" s="268"/>
      <c r="AV38" s="266">
        <f>SUM(AV39:AV40)</f>
        <v>0</v>
      </c>
      <c r="AW38" s="267">
        <f>SUM(AW39:AW40)</f>
        <v>0</v>
      </c>
      <c r="AX38" s="268"/>
      <c r="AY38" s="266">
        <f>SUM(AY39:AY40)</f>
        <v>0</v>
      </c>
      <c r="AZ38" s="267">
        <f>SUM(AZ39:AZ40)</f>
        <v>0</v>
      </c>
      <c r="BA38" s="268"/>
      <c r="BB38" s="266">
        <f>SUM(BB39:BB40)</f>
        <v>0</v>
      </c>
      <c r="BC38" s="267">
        <f>SUM(BC39:BC40)</f>
        <v>0</v>
      </c>
      <c r="BD38" s="268"/>
      <c r="BE38" s="266">
        <f>SUM(BE39:BE40)</f>
        <v>0</v>
      </c>
      <c r="BF38" s="267">
        <f>SUM(BF39:BF40)</f>
        <v>0</v>
      </c>
      <c r="BG38" s="268"/>
      <c r="BH38" s="266">
        <f>SUM(BH39:BH40)</f>
        <v>0</v>
      </c>
      <c r="BI38" s="267">
        <f>SUM(BI39:BI40)</f>
        <v>0</v>
      </c>
      <c r="BJ38" s="268"/>
      <c r="BK38" s="266">
        <f>SUM(BK39:BK40)</f>
        <v>0</v>
      </c>
      <c r="BL38" s="267">
        <f>SUM(BL39:BL40)</f>
        <v>0</v>
      </c>
      <c r="BM38" s="268"/>
      <c r="BN38" s="266">
        <f>SUM(BN39:BN40)</f>
        <v>0</v>
      </c>
      <c r="BO38" s="267">
        <f>SUM(BO39:BO40)</f>
        <v>0</v>
      </c>
      <c r="BP38" s="268"/>
      <c r="BQ38" s="266">
        <f>SUM(BQ39:BQ40)</f>
        <v>0</v>
      </c>
      <c r="BR38" s="267">
        <f>SUM(BR39:BR40)</f>
        <v>0</v>
      </c>
      <c r="BS38" s="268"/>
      <c r="BT38" s="266">
        <f>SUM(BT39:BT40)</f>
        <v>0</v>
      </c>
      <c r="BU38" s="267">
        <f>SUM(BU39:BU40)</f>
        <v>0</v>
      </c>
      <c r="BV38" s="268"/>
      <c r="BW38" s="266">
        <f>SUM(BW39:BW40)</f>
        <v>0</v>
      </c>
      <c r="BX38" s="267">
        <f>SUM(BX39:BX40)</f>
        <v>0</v>
      </c>
      <c r="BY38" s="268"/>
      <c r="BZ38" s="266">
        <f>SUM(BZ39:BZ40)</f>
        <v>0</v>
      </c>
      <c r="CA38" s="267">
        <f>SUM(CA39:CA40)</f>
        <v>0</v>
      </c>
      <c r="CB38" s="268"/>
      <c r="CC38" s="266">
        <f>SUM(CC39:CC40)</f>
        <v>0</v>
      </c>
      <c r="CD38" s="267">
        <f>SUM(CD39:CD40)</f>
        <v>0</v>
      </c>
      <c r="CE38" s="268"/>
      <c r="CF38" s="266">
        <f>SUM(CF39:CF40)</f>
        <v>0</v>
      </c>
      <c r="CG38" s="267">
        <f>SUM(CG39:CG40)</f>
        <v>0</v>
      </c>
      <c r="CH38" s="268"/>
      <c r="CI38" s="266">
        <f>SUM(CI39:CI40)</f>
        <v>0</v>
      </c>
      <c r="CJ38" s="267">
        <f>SUM(CJ39:CJ40)</f>
        <v>0</v>
      </c>
      <c r="CK38" s="268"/>
      <c r="CL38" s="266">
        <f>SUM(CL39:CL40)</f>
        <v>0</v>
      </c>
      <c r="CM38" s="267">
        <f>SUM(CM39:CM40)</f>
        <v>0</v>
      </c>
      <c r="CN38" s="268"/>
      <c r="CO38" s="266">
        <f>SUM(CO39:CO40)</f>
        <v>0</v>
      </c>
      <c r="CP38" s="267">
        <f>SUM(CP39:CP40)</f>
        <v>0</v>
      </c>
      <c r="CQ38" s="268"/>
      <c r="CR38" s="266">
        <f>SUM(CR39:CR40)</f>
        <v>0</v>
      </c>
      <c r="CS38" s="267">
        <f>SUM(CS39:CS40)</f>
        <v>0</v>
      </c>
      <c r="CT38" s="268"/>
      <c r="CU38" s="266">
        <f>SUM(CU39:CU40)</f>
        <v>0</v>
      </c>
      <c r="CV38" s="267">
        <f>SUM(CV39:CV40)</f>
        <v>0</v>
      </c>
      <c r="CW38" s="268"/>
      <c r="CX38" s="266">
        <f>SUM(CX39:CX40)</f>
        <v>0</v>
      </c>
      <c r="CY38" s="267">
        <f>SUM(CY39:CY40)</f>
        <v>0</v>
      </c>
      <c r="CZ38" s="268"/>
      <c r="DA38" s="266">
        <f>SUM(DA39:DA40)</f>
        <v>0</v>
      </c>
      <c r="DB38" s="267">
        <f>SUM(DB39:DB40)</f>
        <v>0</v>
      </c>
      <c r="DC38" s="268"/>
      <c r="DD38" s="266">
        <f>SUM(DD39:DD40)</f>
        <v>0</v>
      </c>
      <c r="DE38" s="267">
        <f>SUM(DE39:DE40)</f>
        <v>0</v>
      </c>
      <c r="DF38" s="268"/>
      <c r="DG38" s="266">
        <f>SUM(DG39:DG40)</f>
        <v>0</v>
      </c>
      <c r="DH38" s="267">
        <f>SUM(DH39:DH40)</f>
        <v>0</v>
      </c>
      <c r="DI38" s="268"/>
      <c r="DJ38" s="266">
        <f>SUM(DJ39:DJ40)</f>
        <v>0</v>
      </c>
      <c r="DK38" s="267">
        <f>SUM(DK39:DK40)</f>
        <v>0</v>
      </c>
      <c r="DL38" s="268"/>
      <c r="DM38" s="266">
        <f>SUM(DM39:DM40)</f>
        <v>0</v>
      </c>
      <c r="DN38" s="267">
        <f>SUM(DN39:DN40)</f>
        <v>0</v>
      </c>
      <c r="DO38" s="268"/>
      <c r="DP38" s="266">
        <f>SUM(DP39:DP40)</f>
        <v>0</v>
      </c>
      <c r="DQ38" s="267">
        <f>SUM(DQ39:DQ40)</f>
        <v>0</v>
      </c>
      <c r="DR38" s="268"/>
      <c r="DS38" s="329">
        <f>SUM(DS39:DS40)</f>
        <v>0</v>
      </c>
      <c r="DT38" s="330">
        <f>SUM(DT39:DT40)</f>
        <v>0</v>
      </c>
      <c r="DU38" s="331"/>
      <c r="DV38" s="275">
        <f>SUM(DV39:DV40)</f>
        <v>0</v>
      </c>
      <c r="DW38" s="268">
        <f>SUM(DW39:DW40)</f>
        <v>0</v>
      </c>
      <c r="DX38" s="268"/>
      <c r="DY38" s="275">
        <f>SUM(DY39:DY40)</f>
        <v>0</v>
      </c>
      <c r="DZ38" s="268">
        <f>SUM(DZ39:DZ40)</f>
        <v>0</v>
      </c>
      <c r="EA38" s="268"/>
      <c r="EB38" s="275">
        <f>SUM(EB39:EB40)</f>
        <v>0</v>
      </c>
      <c r="EC38" s="268">
        <f>SUM(EC39:EC40)</f>
        <v>0</v>
      </c>
      <c r="ED38" s="268"/>
      <c r="EE38" s="275">
        <f>SUM(EE39:EE40)</f>
        <v>0</v>
      </c>
      <c r="EF38" s="268">
        <f>SUM(EF39:EF40)</f>
        <v>0</v>
      </c>
      <c r="EG38" s="268"/>
      <c r="EH38" s="266">
        <f>SUM(EH39:EH40)</f>
        <v>0</v>
      </c>
      <c r="EI38" s="267">
        <f>SUM(EI39:EI40)</f>
        <v>0</v>
      </c>
      <c r="EJ38" s="280"/>
      <c r="EK38" s="348"/>
      <c r="EL38" s="357">
        <f>SUM(EL39:EL40)</f>
        <v>0</v>
      </c>
      <c r="EM38" s="268">
        <f>SUM(EM39:EM40)</f>
        <v>0</v>
      </c>
      <c r="EN38" s="268"/>
      <c r="EO38" s="275">
        <f>SUM(EO39:EO40)</f>
        <v>0</v>
      </c>
      <c r="EP38" s="268">
        <f>SUM(EP39:EP40)</f>
        <v>0</v>
      </c>
      <c r="EQ38" s="268"/>
      <c r="ER38" s="275">
        <f>SUM(ER39:ER40)</f>
        <v>0</v>
      </c>
      <c r="ES38" s="268">
        <f>SUM(ES39:ES40)</f>
        <v>0</v>
      </c>
      <c r="ET38" s="268"/>
      <c r="EU38" s="275">
        <f>SUM(EU39:EU40)</f>
        <v>0</v>
      </c>
      <c r="EV38" s="268">
        <f>SUM(EV39:EV40)</f>
        <v>0</v>
      </c>
      <c r="EW38" s="268"/>
      <c r="EX38" s="266">
        <f>SUM(EX39:EX40)</f>
        <v>0</v>
      </c>
      <c r="EY38" s="267">
        <f>SUM(EY39:EY40)</f>
        <v>0</v>
      </c>
      <c r="EZ38" s="280"/>
    </row>
    <row r="39" spans="1:156" x14ac:dyDescent="0.25">
      <c r="A39" s="344" t="s">
        <v>141</v>
      </c>
      <c r="B39" s="313" t="s">
        <v>141</v>
      </c>
      <c r="C39" s="314" t="s">
        <v>141</v>
      </c>
      <c r="D39" s="293">
        <v>1</v>
      </c>
      <c r="E39" s="306"/>
      <c r="F39" s="306"/>
      <c r="G39" s="306"/>
      <c r="H39" s="306"/>
      <c r="I39" s="306"/>
      <c r="J39" s="306"/>
      <c r="K39" s="306"/>
      <c r="L39" s="306"/>
      <c r="M39" s="306"/>
      <c r="N39" s="306"/>
      <c r="O39" s="307"/>
      <c r="P39" s="308"/>
      <c r="Q39" s="308"/>
      <c r="R39" s="307"/>
      <c r="S39" s="308"/>
      <c r="T39" s="308"/>
      <c r="U39" s="307"/>
      <c r="V39" s="308"/>
      <c r="W39" s="308"/>
      <c r="X39" s="307"/>
      <c r="Y39" s="308"/>
      <c r="Z39" s="308"/>
      <c r="AA39" s="307"/>
      <c r="AB39" s="308"/>
      <c r="AC39" s="308"/>
      <c r="AD39" s="307"/>
      <c r="AE39" s="308"/>
      <c r="AF39" s="308"/>
      <c r="AG39" s="307"/>
      <c r="AH39" s="308"/>
      <c r="AI39" s="308"/>
      <c r="AJ39" s="307"/>
      <c r="AK39" s="308"/>
      <c r="AL39" s="308"/>
      <c r="AM39" s="307"/>
      <c r="AN39" s="308"/>
      <c r="AO39" s="308"/>
      <c r="AP39" s="307"/>
      <c r="AQ39" s="308"/>
      <c r="AR39" s="308"/>
      <c r="AS39" s="307"/>
      <c r="AT39" s="308"/>
      <c r="AU39" s="308"/>
      <c r="AV39" s="307"/>
      <c r="AW39" s="308"/>
      <c r="AX39" s="308"/>
      <c r="AY39" s="307"/>
      <c r="AZ39" s="308"/>
      <c r="BA39" s="308"/>
      <c r="BB39" s="307"/>
      <c r="BC39" s="308"/>
      <c r="BD39" s="308"/>
      <c r="BE39" s="307"/>
      <c r="BF39" s="308"/>
      <c r="BG39" s="308"/>
      <c r="BH39" s="307"/>
      <c r="BI39" s="308"/>
      <c r="BJ39" s="308"/>
      <c r="BK39" s="307"/>
      <c r="BL39" s="308"/>
      <c r="BM39" s="308"/>
      <c r="BN39" s="307"/>
      <c r="BO39" s="308"/>
      <c r="BP39" s="308"/>
      <c r="BQ39" s="307"/>
      <c r="BR39" s="308"/>
      <c r="BS39" s="308"/>
      <c r="BT39" s="307"/>
      <c r="BU39" s="308"/>
      <c r="BV39" s="308"/>
      <c r="BW39" s="307"/>
      <c r="BX39" s="308"/>
      <c r="BY39" s="308"/>
      <c r="BZ39" s="307"/>
      <c r="CA39" s="308"/>
      <c r="CB39" s="308"/>
      <c r="CC39" s="307"/>
      <c r="CD39" s="308"/>
      <c r="CE39" s="308"/>
      <c r="CF39" s="307"/>
      <c r="CG39" s="308"/>
      <c r="CH39" s="308"/>
      <c r="CI39" s="307"/>
      <c r="CJ39" s="308"/>
      <c r="CK39" s="308"/>
      <c r="CL39" s="307"/>
      <c r="CM39" s="308"/>
      <c r="CN39" s="308"/>
      <c r="CO39" s="307"/>
      <c r="CP39" s="308"/>
      <c r="CQ39" s="308"/>
      <c r="CR39" s="307"/>
      <c r="CS39" s="308"/>
      <c r="CT39" s="308"/>
      <c r="CU39" s="307"/>
      <c r="CV39" s="308"/>
      <c r="CW39" s="308"/>
      <c r="CX39" s="307"/>
      <c r="CY39" s="308"/>
      <c r="CZ39" s="308"/>
      <c r="DA39" s="307"/>
      <c r="DB39" s="308"/>
      <c r="DC39" s="308"/>
      <c r="DD39" s="307"/>
      <c r="DE39" s="308"/>
      <c r="DF39" s="308"/>
      <c r="DG39" s="307"/>
      <c r="DH39" s="308"/>
      <c r="DI39" s="308"/>
      <c r="DJ39" s="307"/>
      <c r="DK39" s="308"/>
      <c r="DL39" s="308"/>
      <c r="DM39" s="307"/>
      <c r="DN39" s="308"/>
      <c r="DO39" s="308"/>
      <c r="DP39" s="307"/>
      <c r="DQ39" s="308"/>
      <c r="DR39" s="308"/>
      <c r="DS39" s="332"/>
      <c r="DT39" s="333"/>
      <c r="DU39" s="333"/>
      <c r="DV39" s="307"/>
      <c r="DW39" s="308"/>
      <c r="DX39" s="308"/>
      <c r="DY39" s="307"/>
      <c r="DZ39" s="308"/>
      <c r="EA39" s="308"/>
      <c r="EB39" s="307"/>
      <c r="EC39" s="308"/>
      <c r="ED39" s="308"/>
      <c r="EE39" s="307"/>
      <c r="EF39" s="308"/>
      <c r="EG39" s="308"/>
      <c r="EH39" s="309"/>
      <c r="EI39" s="308"/>
      <c r="EJ39" s="310"/>
      <c r="EK39" s="348"/>
      <c r="EL39" s="358"/>
      <c r="EM39" s="258"/>
      <c r="EN39" s="258"/>
      <c r="EO39" s="257"/>
      <c r="EP39" s="258"/>
      <c r="EQ39" s="258"/>
      <c r="ER39" s="257"/>
      <c r="ES39" s="258"/>
      <c r="ET39" s="258"/>
      <c r="EU39" s="257"/>
      <c r="EV39" s="258"/>
      <c r="EW39" s="258"/>
      <c r="EX39" s="288"/>
      <c r="EY39" s="258"/>
      <c r="EZ39" s="281"/>
    </row>
    <row r="40" spans="1:156" x14ac:dyDescent="0.25">
      <c r="A40" s="345"/>
      <c r="B40" s="315"/>
      <c r="C40" s="314"/>
      <c r="D40" s="293" t="str">
        <f>CHAR(132)</f>
        <v>„</v>
      </c>
      <c r="E40" s="306"/>
      <c r="F40" s="306"/>
      <c r="G40" s="306"/>
      <c r="H40" s="306"/>
      <c r="I40" s="306"/>
      <c r="J40" s="306"/>
      <c r="K40" s="306"/>
      <c r="L40" s="306"/>
      <c r="M40" s="306"/>
      <c r="N40" s="306"/>
      <c r="O40" s="275"/>
      <c r="P40" s="268"/>
      <c r="Q40" s="268"/>
      <c r="R40" s="275"/>
      <c r="S40" s="268"/>
      <c r="T40" s="268"/>
      <c r="U40" s="275"/>
      <c r="V40" s="268"/>
      <c r="W40" s="268"/>
      <c r="X40" s="275"/>
      <c r="Y40" s="268"/>
      <c r="Z40" s="268"/>
      <c r="AA40" s="275"/>
      <c r="AB40" s="268"/>
      <c r="AC40" s="268"/>
      <c r="AD40" s="275"/>
      <c r="AE40" s="268"/>
      <c r="AF40" s="268"/>
      <c r="AG40" s="275"/>
      <c r="AH40" s="268"/>
      <c r="AI40" s="268"/>
      <c r="AJ40" s="275"/>
      <c r="AK40" s="268"/>
      <c r="AL40" s="268"/>
      <c r="AM40" s="275"/>
      <c r="AN40" s="268"/>
      <c r="AO40" s="268"/>
      <c r="AP40" s="275"/>
      <c r="AQ40" s="268"/>
      <c r="AR40" s="268"/>
      <c r="AS40" s="275"/>
      <c r="AT40" s="268"/>
      <c r="AU40" s="268"/>
      <c r="AV40" s="275"/>
      <c r="AW40" s="268"/>
      <c r="AX40" s="268"/>
      <c r="AY40" s="275"/>
      <c r="AZ40" s="268"/>
      <c r="BA40" s="268"/>
      <c r="BB40" s="275"/>
      <c r="BC40" s="268"/>
      <c r="BD40" s="268"/>
      <c r="BE40" s="275"/>
      <c r="BF40" s="268"/>
      <c r="BG40" s="268"/>
      <c r="BH40" s="275"/>
      <c r="BI40" s="268"/>
      <c r="BJ40" s="268"/>
      <c r="BK40" s="275"/>
      <c r="BL40" s="268"/>
      <c r="BM40" s="268"/>
      <c r="BN40" s="275"/>
      <c r="BO40" s="268"/>
      <c r="BP40" s="268"/>
      <c r="BQ40" s="275"/>
      <c r="BR40" s="268"/>
      <c r="BS40" s="268"/>
      <c r="BT40" s="275"/>
      <c r="BU40" s="268"/>
      <c r="BV40" s="268"/>
      <c r="BW40" s="275"/>
      <c r="BX40" s="268"/>
      <c r="BY40" s="268"/>
      <c r="BZ40" s="275"/>
      <c r="CA40" s="268"/>
      <c r="CB40" s="268"/>
      <c r="CC40" s="275"/>
      <c r="CD40" s="268"/>
      <c r="CE40" s="268"/>
      <c r="CF40" s="275"/>
      <c r="CG40" s="268"/>
      <c r="CH40" s="268"/>
      <c r="CI40" s="275"/>
      <c r="CJ40" s="268"/>
      <c r="CK40" s="268"/>
      <c r="CL40" s="275"/>
      <c r="CM40" s="268"/>
      <c r="CN40" s="268"/>
      <c r="CO40" s="275"/>
      <c r="CP40" s="268"/>
      <c r="CQ40" s="268"/>
      <c r="CR40" s="275"/>
      <c r="CS40" s="268"/>
      <c r="CT40" s="268"/>
      <c r="CU40" s="275"/>
      <c r="CV40" s="268"/>
      <c r="CW40" s="268"/>
      <c r="CX40" s="275"/>
      <c r="CY40" s="268"/>
      <c r="CZ40" s="268"/>
      <c r="DA40" s="275"/>
      <c r="DB40" s="268"/>
      <c r="DC40" s="268"/>
      <c r="DD40" s="275"/>
      <c r="DE40" s="268"/>
      <c r="DF40" s="268"/>
      <c r="DG40" s="275"/>
      <c r="DH40" s="268"/>
      <c r="DI40" s="268"/>
      <c r="DJ40" s="275"/>
      <c r="DK40" s="268"/>
      <c r="DL40" s="268"/>
      <c r="DM40" s="275"/>
      <c r="DN40" s="268"/>
      <c r="DO40" s="268"/>
      <c r="DP40" s="275"/>
      <c r="DQ40" s="268"/>
      <c r="DR40" s="311"/>
      <c r="DS40" s="334"/>
      <c r="DT40" s="335"/>
      <c r="DU40" s="335"/>
      <c r="DV40" s="275"/>
      <c r="DW40" s="268"/>
      <c r="DX40" s="268"/>
      <c r="DY40" s="275"/>
      <c r="DZ40" s="268"/>
      <c r="EA40" s="268"/>
      <c r="EB40" s="275"/>
      <c r="EC40" s="268"/>
      <c r="ED40" s="268"/>
      <c r="EE40" s="275"/>
      <c r="EF40" s="268"/>
      <c r="EG40" s="268"/>
      <c r="EH40" s="312"/>
      <c r="EI40" s="268"/>
      <c r="EJ40" s="280"/>
      <c r="EK40" s="348"/>
      <c r="EL40" s="359"/>
      <c r="EM40" s="260"/>
      <c r="EN40" s="260"/>
      <c r="EO40" s="259"/>
      <c r="EP40" s="260"/>
      <c r="EQ40" s="260"/>
      <c r="ER40" s="259"/>
      <c r="ES40" s="260"/>
      <c r="ET40" s="260"/>
      <c r="EU40" s="259"/>
      <c r="EV40" s="260"/>
      <c r="EW40" s="260"/>
      <c r="EX40" s="289"/>
      <c r="EY40" s="260"/>
      <c r="EZ40" s="279"/>
    </row>
    <row r="41" spans="1:156" ht="15.75" thickBot="1" x14ac:dyDescent="0.3">
      <c r="A41" s="363" t="s">
        <v>21</v>
      </c>
      <c r="B41" s="364"/>
      <c r="C41" s="365" t="s">
        <v>139</v>
      </c>
      <c r="D41" s="366"/>
      <c r="E41" s="265">
        <f t="shared" ref="E41:P41" si="5">SUM(E37,E38)</f>
        <v>0</v>
      </c>
      <c r="F41" s="264">
        <f t="shared" si="5"/>
        <v>0</v>
      </c>
      <c r="G41" s="265">
        <f t="shared" si="5"/>
        <v>0</v>
      </c>
      <c r="H41" s="264">
        <f t="shared" si="5"/>
        <v>0</v>
      </c>
      <c r="I41" s="265">
        <f t="shared" si="5"/>
        <v>0</v>
      </c>
      <c r="J41" s="264">
        <f t="shared" si="5"/>
        <v>0</v>
      </c>
      <c r="K41" s="265">
        <f t="shared" si="5"/>
        <v>0</v>
      </c>
      <c r="L41" s="264">
        <f t="shared" si="5"/>
        <v>0</v>
      </c>
      <c r="M41" s="265">
        <f t="shared" si="5"/>
        <v>0</v>
      </c>
      <c r="N41" s="264">
        <f t="shared" si="5"/>
        <v>0</v>
      </c>
      <c r="O41" s="261">
        <f t="shared" si="5"/>
        <v>0</v>
      </c>
      <c r="P41" s="262">
        <f t="shared" si="5"/>
        <v>0</v>
      </c>
      <c r="Q41" s="272"/>
      <c r="R41" s="261">
        <f>SUM(R37,R38)</f>
        <v>0</v>
      </c>
      <c r="S41" s="262">
        <f>SUM(S37,S38)</f>
        <v>0</v>
      </c>
      <c r="T41" s="272"/>
      <c r="U41" s="261">
        <f>SUM(U37,U38)</f>
        <v>0</v>
      </c>
      <c r="V41" s="262">
        <f>SUM(V37,V38)</f>
        <v>0</v>
      </c>
      <c r="W41" s="272"/>
      <c r="X41" s="261">
        <f>SUM(X37,X38)</f>
        <v>0</v>
      </c>
      <c r="Y41" s="262">
        <f>SUM(Y37,Y38)</f>
        <v>0</v>
      </c>
      <c r="Z41" s="272"/>
      <c r="AA41" s="261">
        <f>SUM(AA37,AA38)</f>
        <v>0</v>
      </c>
      <c r="AB41" s="262">
        <f>SUM(AB37,AB38)</f>
        <v>0</v>
      </c>
      <c r="AC41" s="272"/>
      <c r="AD41" s="261">
        <f>SUM(AD37,AD38)</f>
        <v>0</v>
      </c>
      <c r="AE41" s="262">
        <f>SUM(AE37,AE38)</f>
        <v>0</v>
      </c>
      <c r="AF41" s="272"/>
      <c r="AG41" s="261">
        <f>SUM(AG37,AG38)</f>
        <v>0</v>
      </c>
      <c r="AH41" s="262">
        <f>SUM(AH37,AH38)</f>
        <v>0</v>
      </c>
      <c r="AI41" s="272"/>
      <c r="AJ41" s="261">
        <f>SUM(AJ37,AJ38)</f>
        <v>0</v>
      </c>
      <c r="AK41" s="262">
        <f>SUM(AK37,AK38)</f>
        <v>0</v>
      </c>
      <c r="AL41" s="272"/>
      <c r="AM41" s="261">
        <f>SUM(AM37,AM38)</f>
        <v>0</v>
      </c>
      <c r="AN41" s="262">
        <f>SUM(AN37,AN38)</f>
        <v>0</v>
      </c>
      <c r="AO41" s="272"/>
      <c r="AP41" s="261">
        <f>SUM(AP37,AP38)</f>
        <v>0</v>
      </c>
      <c r="AQ41" s="262">
        <f>SUM(AQ37,AQ38)</f>
        <v>0</v>
      </c>
      <c r="AR41" s="272"/>
      <c r="AS41" s="261">
        <f>SUM(AS37,AS38)</f>
        <v>0</v>
      </c>
      <c r="AT41" s="262">
        <f>SUM(AT37,AT38)</f>
        <v>0</v>
      </c>
      <c r="AU41" s="272"/>
      <c r="AV41" s="261">
        <f>SUM(AV37,AV38)</f>
        <v>0</v>
      </c>
      <c r="AW41" s="262">
        <f>SUM(AW37,AW38)</f>
        <v>0</v>
      </c>
      <c r="AX41" s="272"/>
      <c r="AY41" s="261">
        <f>SUM(AY37,AY38)</f>
        <v>0</v>
      </c>
      <c r="AZ41" s="262">
        <f>SUM(AZ37,AZ38)</f>
        <v>0</v>
      </c>
      <c r="BA41" s="272"/>
      <c r="BB41" s="261">
        <f>SUM(BB37,BB38)</f>
        <v>0</v>
      </c>
      <c r="BC41" s="262">
        <f>SUM(BC37,BC38)</f>
        <v>0</v>
      </c>
      <c r="BD41" s="272"/>
      <c r="BE41" s="261">
        <f>SUM(BE37,BE38)</f>
        <v>0</v>
      </c>
      <c r="BF41" s="262">
        <f>SUM(BF37,BF38)</f>
        <v>0</v>
      </c>
      <c r="BG41" s="272"/>
      <c r="BH41" s="261">
        <f>SUM(BH37,BH38)</f>
        <v>0</v>
      </c>
      <c r="BI41" s="262">
        <f>SUM(BI37,BI38)</f>
        <v>0</v>
      </c>
      <c r="BJ41" s="272"/>
      <c r="BK41" s="261">
        <f>SUM(BK37,BK38)</f>
        <v>0</v>
      </c>
      <c r="BL41" s="262">
        <f>SUM(BL37,BL38)</f>
        <v>0</v>
      </c>
      <c r="BM41" s="272"/>
      <c r="BN41" s="261">
        <f>SUM(BN37,BN38)</f>
        <v>0</v>
      </c>
      <c r="BO41" s="262">
        <f>SUM(BO37,BO38)</f>
        <v>0</v>
      </c>
      <c r="BP41" s="272"/>
      <c r="BQ41" s="261">
        <f>SUM(BQ37,BQ38)</f>
        <v>0</v>
      </c>
      <c r="BR41" s="262">
        <f>SUM(BR37,BR38)</f>
        <v>0</v>
      </c>
      <c r="BS41" s="272"/>
      <c r="BT41" s="261">
        <f>SUM(BT37,BT38)</f>
        <v>0</v>
      </c>
      <c r="BU41" s="262">
        <f>SUM(BU37,BU38)</f>
        <v>0</v>
      </c>
      <c r="BV41" s="272"/>
      <c r="BW41" s="261">
        <f>SUM(BW37,BW38)</f>
        <v>0</v>
      </c>
      <c r="BX41" s="262">
        <f>SUM(BX37,BX38)</f>
        <v>0</v>
      </c>
      <c r="BY41" s="272"/>
      <c r="BZ41" s="261">
        <f>SUM(BZ37,BZ38)</f>
        <v>0</v>
      </c>
      <c r="CA41" s="262">
        <f>SUM(CA37,CA38)</f>
        <v>0</v>
      </c>
      <c r="CB41" s="272"/>
      <c r="CC41" s="261">
        <f>SUM(CC37,CC38)</f>
        <v>0</v>
      </c>
      <c r="CD41" s="262">
        <f>SUM(CD37,CD38)</f>
        <v>0</v>
      </c>
      <c r="CE41" s="272"/>
      <c r="CF41" s="261">
        <f>SUM(CF37,CF38)</f>
        <v>0</v>
      </c>
      <c r="CG41" s="262">
        <f>SUM(CG37,CG38)</f>
        <v>0</v>
      </c>
      <c r="CH41" s="272"/>
      <c r="CI41" s="261">
        <f>SUM(CI37,CI38)</f>
        <v>0</v>
      </c>
      <c r="CJ41" s="262">
        <f>SUM(CJ37,CJ38)</f>
        <v>0</v>
      </c>
      <c r="CK41" s="272"/>
      <c r="CL41" s="261">
        <f>SUM(CL37,CL38)</f>
        <v>0</v>
      </c>
      <c r="CM41" s="262">
        <f>SUM(CM37,CM38)</f>
        <v>0</v>
      </c>
      <c r="CN41" s="272"/>
      <c r="CO41" s="261">
        <f>SUM(CO37,CO38)</f>
        <v>0</v>
      </c>
      <c r="CP41" s="262">
        <f>SUM(CP37,CP38)</f>
        <v>0</v>
      </c>
      <c r="CQ41" s="272"/>
      <c r="CR41" s="261">
        <f>SUM(CR37,CR38)</f>
        <v>0</v>
      </c>
      <c r="CS41" s="262">
        <f>SUM(CS37,CS38)</f>
        <v>0</v>
      </c>
      <c r="CT41" s="272"/>
      <c r="CU41" s="261">
        <f>SUM(CU37,CU38)</f>
        <v>0</v>
      </c>
      <c r="CV41" s="262">
        <f>SUM(CV37,CV38)</f>
        <v>0</v>
      </c>
      <c r="CW41" s="272"/>
      <c r="CX41" s="261">
        <f>SUM(CX37,CX38)</f>
        <v>0</v>
      </c>
      <c r="CY41" s="262">
        <f>SUM(CY37,CY38)</f>
        <v>0</v>
      </c>
      <c r="CZ41" s="272"/>
      <c r="DA41" s="261">
        <f>SUM(DA37,DA38)</f>
        <v>0</v>
      </c>
      <c r="DB41" s="262">
        <f>SUM(DB37,DB38)</f>
        <v>0</v>
      </c>
      <c r="DC41" s="272"/>
      <c r="DD41" s="261">
        <f>SUM(DD37,DD38)</f>
        <v>0</v>
      </c>
      <c r="DE41" s="262">
        <f>SUM(DE37,DE38)</f>
        <v>0</v>
      </c>
      <c r="DF41" s="272"/>
      <c r="DG41" s="261">
        <f>SUM(DG37,DG38)</f>
        <v>0</v>
      </c>
      <c r="DH41" s="262">
        <f>SUM(DH37,DH38)</f>
        <v>0</v>
      </c>
      <c r="DI41" s="272"/>
      <c r="DJ41" s="261">
        <f>SUM(DJ37,DJ38)</f>
        <v>0</v>
      </c>
      <c r="DK41" s="262">
        <f>SUM(DK37,DK38)</f>
        <v>0</v>
      </c>
      <c r="DL41" s="272"/>
      <c r="DM41" s="261">
        <f>SUM(DM37,DM38)</f>
        <v>0</v>
      </c>
      <c r="DN41" s="262">
        <f>SUM(DN37,DN38)</f>
        <v>0</v>
      </c>
      <c r="DO41" s="272"/>
      <c r="DP41" s="261">
        <f>SUM(DP37,DP38)</f>
        <v>0</v>
      </c>
      <c r="DQ41" s="262">
        <f>SUM(DQ37,DQ38)</f>
        <v>0</v>
      </c>
      <c r="DR41" s="272"/>
      <c r="DS41" s="336">
        <f>SUM(DS37,DS38)</f>
        <v>0</v>
      </c>
      <c r="DT41" s="337">
        <f>SUM(DT37,DT38)</f>
        <v>0</v>
      </c>
      <c r="DU41" s="338"/>
      <c r="DV41" s="261">
        <f>SUM(DV37,DV38)</f>
        <v>0</v>
      </c>
      <c r="DW41" s="262">
        <f>SUM(DW37,DW38)</f>
        <v>0</v>
      </c>
      <c r="DX41" s="272"/>
      <c r="DY41" s="261">
        <f>SUM(DY37,DY38)</f>
        <v>0</v>
      </c>
      <c r="DZ41" s="262">
        <f>SUM(DZ37,DZ38)</f>
        <v>0</v>
      </c>
      <c r="EA41" s="272"/>
      <c r="EB41" s="261">
        <f>SUM(EB37,EB38)</f>
        <v>0</v>
      </c>
      <c r="EC41" s="262">
        <f>SUM(EC37,EC38)</f>
        <v>0</v>
      </c>
      <c r="ED41" s="272"/>
      <c r="EE41" s="261">
        <f>SUM(EE37,EE38)</f>
        <v>0</v>
      </c>
      <c r="EF41" s="262">
        <f>SUM(EF37,EF38)</f>
        <v>0</v>
      </c>
      <c r="EG41" s="272"/>
      <c r="EH41" s="291">
        <f>SUM(EH37,EH38)</f>
        <v>0</v>
      </c>
      <c r="EI41" s="262">
        <f>SUM(EI37,EI38)</f>
        <v>0</v>
      </c>
      <c r="EJ41" s="273"/>
      <c r="EK41" s="349"/>
      <c r="EL41" s="360">
        <f>SUM(EL37,EL38)</f>
        <v>0</v>
      </c>
      <c r="EM41" s="262">
        <f>SUM(EM37,EM38)</f>
        <v>0</v>
      </c>
      <c r="EN41" s="272"/>
      <c r="EO41" s="261">
        <f>SUM(EO37,EO38)</f>
        <v>0</v>
      </c>
      <c r="EP41" s="262">
        <f>SUM(EP37,EP38)</f>
        <v>0</v>
      </c>
      <c r="EQ41" s="272"/>
      <c r="ER41" s="261">
        <f>SUM(ER37,ER38)</f>
        <v>0</v>
      </c>
      <c r="ES41" s="262">
        <f>SUM(ES37,ES38)</f>
        <v>0</v>
      </c>
      <c r="ET41" s="272"/>
      <c r="EU41" s="261">
        <f>SUM(EU37,EU38)</f>
        <v>0</v>
      </c>
      <c r="EV41" s="262">
        <f>SUM(EV37,EV38)</f>
        <v>0</v>
      </c>
      <c r="EW41" s="272"/>
      <c r="EX41" s="291">
        <f>SUM(EX37,EX38)</f>
        <v>0</v>
      </c>
      <c r="EY41" s="262">
        <f>SUM(EY37,EY38)</f>
        <v>0</v>
      </c>
      <c r="EZ41" s="273"/>
    </row>
    <row r="42" spans="1:156" ht="15.75" thickTop="1" x14ac:dyDescent="0.25">
      <c r="D42" s="294" t="s">
        <v>186</v>
      </c>
    </row>
    <row r="44" spans="1:156" ht="30.75" customHeight="1" x14ac:dyDescent="0.25">
      <c r="A44" s="504" t="s">
        <v>245</v>
      </c>
      <c r="B44" s="504"/>
      <c r="C44" s="504"/>
      <c r="D44" s="504"/>
    </row>
    <row r="45" spans="1:156" ht="28.5" customHeight="1" x14ac:dyDescent="0.25">
      <c r="A45" s="505" t="s">
        <v>246</v>
      </c>
      <c r="B45" s="505"/>
      <c r="C45" s="505"/>
      <c r="D45" s="505"/>
    </row>
    <row r="46" spans="1:156" ht="45" customHeight="1" x14ac:dyDescent="0.25">
      <c r="A46" s="506" t="s">
        <v>247</v>
      </c>
      <c r="B46" s="506"/>
      <c r="C46" s="506"/>
      <c r="D46" s="506"/>
    </row>
    <row r="47" spans="1:156" ht="35.25" customHeight="1" x14ac:dyDescent="0.25">
      <c r="A47" s="507" t="s">
        <v>259</v>
      </c>
      <c r="B47" s="507"/>
      <c r="C47" s="507"/>
      <c r="D47" s="507"/>
    </row>
  </sheetData>
  <sheetProtection algorithmName="SHA-512" hashValue="M+8UkwBqh8f0eX+FXRs5ra6YK9vumgI3OPVYgCVry6dakI2mYzKf1F2ze7gNFFLxclPEA88w43MMSsS9OxRAow==" saltValue="OGVuBFjnp1UV1geBEYLuSw==" spinCount="100000" sheet="1" objects="1" scenarios="1" selectLockedCells="1"/>
  <mergeCells count="91">
    <mergeCell ref="A44:D44"/>
    <mergeCell ref="A45:D45"/>
    <mergeCell ref="A46:D46"/>
    <mergeCell ref="A47:D47"/>
    <mergeCell ref="DP6:DR6"/>
    <mergeCell ref="R8:T8"/>
    <mergeCell ref="U8:W8"/>
    <mergeCell ref="X8:Z8"/>
    <mergeCell ref="AA8:AC8"/>
    <mergeCell ref="AD7:AR7"/>
    <mergeCell ref="DS6:DU6"/>
    <mergeCell ref="DU8:DU9"/>
    <mergeCell ref="CL7:CZ7"/>
    <mergeCell ref="DA7:DO7"/>
    <mergeCell ref="O8:Q8"/>
    <mergeCell ref="DV6:EJ6"/>
    <mergeCell ref="DV7:EJ7"/>
    <mergeCell ref="DV8:DX8"/>
    <mergeCell ref="DY8:EA8"/>
    <mergeCell ref="EB8:ED8"/>
    <mergeCell ref="EL7:EZ7"/>
    <mergeCell ref="EL8:EN8"/>
    <mergeCell ref="EO8:EQ8"/>
    <mergeCell ref="ER8:ET8"/>
    <mergeCell ref="EU8:EW8"/>
    <mergeCell ref="EX8:EZ8"/>
    <mergeCell ref="EE8:EG8"/>
    <mergeCell ref="EH8:EJ8"/>
    <mergeCell ref="DP7:DR7"/>
    <mergeCell ref="DS7:DU7"/>
    <mergeCell ref="DP8:DP9"/>
    <mergeCell ref="DQ8:DQ9"/>
    <mergeCell ref="DR8:DR9"/>
    <mergeCell ref="DS8:DS9"/>
    <mergeCell ref="DT8:DT9"/>
    <mergeCell ref="AG8:AI8"/>
    <mergeCell ref="AS7:BG7"/>
    <mergeCell ref="BH7:BV7"/>
    <mergeCell ref="BW7:CK7"/>
    <mergeCell ref="E8:F8"/>
    <mergeCell ref="G8:H8"/>
    <mergeCell ref="I8:J8"/>
    <mergeCell ref="K8:L8"/>
    <mergeCell ref="M8:N8"/>
    <mergeCell ref="AD8:AF8"/>
    <mergeCell ref="AJ8:AL8"/>
    <mergeCell ref="CI8:CK8"/>
    <mergeCell ref="CL8:CN8"/>
    <mergeCell ref="AM8:AO8"/>
    <mergeCell ref="AP8:AR8"/>
    <mergeCell ref="AS8:AU8"/>
    <mergeCell ref="AV8:AX8"/>
    <mergeCell ref="AY8:BA8"/>
    <mergeCell ref="BB8:BD8"/>
    <mergeCell ref="CU8:CW8"/>
    <mergeCell ref="CX8:CZ8"/>
    <mergeCell ref="CO8:CQ8"/>
    <mergeCell ref="BH8:BJ8"/>
    <mergeCell ref="BK8:BM8"/>
    <mergeCell ref="BN8:BP8"/>
    <mergeCell ref="BQ8:BS8"/>
    <mergeCell ref="BT8:BV8"/>
    <mergeCell ref="CC8:CE8"/>
    <mergeCell ref="CF8:CH8"/>
    <mergeCell ref="DA8:DC8"/>
    <mergeCell ref="DD8:DF8"/>
    <mergeCell ref="DG8:DI8"/>
    <mergeCell ref="E6:DO6"/>
    <mergeCell ref="DJ8:DL8"/>
    <mergeCell ref="DM8:DO8"/>
    <mergeCell ref="BE8:BG8"/>
    <mergeCell ref="BW8:BY8"/>
    <mergeCell ref="BZ8:CB8"/>
    <mergeCell ref="CR8:CT8"/>
    <mergeCell ref="A41:B41"/>
    <mergeCell ref="C41:D41"/>
    <mergeCell ref="A13:B13"/>
    <mergeCell ref="A31:B31"/>
    <mergeCell ref="A34:B34"/>
    <mergeCell ref="A37:B37"/>
    <mergeCell ref="C37:D37"/>
    <mergeCell ref="EL6:EZ6"/>
    <mergeCell ref="O7:AC7"/>
    <mergeCell ref="A38:B38"/>
    <mergeCell ref="A6:B6"/>
    <mergeCell ref="C6:C9"/>
    <mergeCell ref="D6:D9"/>
    <mergeCell ref="A7:A9"/>
    <mergeCell ref="B7:B9"/>
    <mergeCell ref="A10:B10"/>
    <mergeCell ref="E7:N7"/>
  </mergeCells>
  <dataValidations count="5">
    <dataValidation type="decimal" operator="greaterThanOrEqual" allowBlank="1" showInputMessage="1" showErrorMessage="1" error="Invalid Input." sqref="BG37:BG38 DS30 ET34 ET31 ER30 EW41 EW37:EW38 ER12 ER33 ET10 EQ34 EQ31 EO30 EQ10 ET41 EO12 EO33 ET37:ET38 EQ13 EW34 EW31 EW10 EU30 EZ41 EZ37:EZ38 EU12 EU33 EW13 EN34 EN31 EL30 EN10 EQ41 EL12 EL33 EQ37:EQ38 EN13 EJ34 EJ31 EJ10 EH30 EN41 EN37:EN38 EH12 EH33 EJ13 EL39:EZ40 ED34 ED31 ED10 EB30 EG41 EG37:EG38 EB12 EB33 ED13 EA34 EA31 DY30 EA10 ED41 DY12 DY33 ED37:ED38 EA13 EG34 EG31 EG10 EE30 EJ41 EJ37:EJ38 EE12 EE33 EG13 DX34 DX31 DV30 DX10 EA41 DV12 DV33 EA37:EA38 DX13 DU34 DU31 DU10 ET13 DX41 DX37:DX38 DS12 DS33 DU13 DR34 DO34 DM30 DU37:DU38 DP30 DO31 DM12 DO10 DM33 DR37:DR38 DR41 DO13 DP12 DP33 DR31 DR10 DU41 DR13 AL34 AJ33 Q37:Q38 Q34 W37:W38 Z34 Q41 T34 T41 T37:T38 W41 Z37:Z38 Z41 W34 AC41 DC37:DC38 CZ37:CZ38 DF34 DI37:DI38 DL34 DC41 DF37:DF38 DF41 DC34 DI41 DL37:DL38 DL41 DI34 DO41 CZ34 CN37:CN38 CK37:CK38 CQ34 CT37:CT38 CW34 CN41 CQ37:CQ38 CQ41 CN34 CT41 CW37:CW38 CW41 CT34 CZ41 CK34 BY37:BY38 BV37:BV38 CB34 CE37:CE38 CH34 BY41 CB37:CB38 CB41 BY34 CE41 CH37:CH38 CH41 CE34 CK41 BV34 BG34 BJ37:BJ38 BM34 BP37:BP38 BS34 BJ41 BM37:BM38 BM41 BJ34 BP41 BS37:BS38 BS41 BP34 BV41 BA37:BA38 BG41 BD34 BD41 AU37:AU38 BA41 AX34 AX41 AR37:AR38 AU41 AR34 BD37:BD38 BA34 AX37:AX38 AU34 AC37:AC38 AC34 AF37:AF38 AI34 AL37:AL38 AO34 AF41 AI37:AI38 AI41 AF34 AL41 AO37:AO38 AO41 AL31 AR41 O39:EJ40 AO31 AL10 AI31 AF31 AC31 AM30 AJ30 AG30 AD30 AA30 AP30 AS30 AV30 AY30 BB30 AR31 AU31 AX31 BA31 BD31 BS31 BP31 BM31 BJ31 BG31 BQ30 BN30 BK30 BH30 BE30 CH31 CE31 CB31 BY31 BV31 CF30 CC30 BZ30 BW30 BT30 CW31 CT31 CQ31 CN31 CK31 CU30 CR30 CO30 CL30 CI30 DL31 DI31 DF31 DC31 CZ31 DJ30 DG30 DD30 DA30 CX30 Z31 W31 Q31 T31 EX30 X30 U30 R30 AM12 O30 O12 R12 X12 AO10 EX12 EX33 AO13 T10 T13 O33 R33 Q10 Q13 U12 W10 W13 U33 X33 Z10 Z13 CX12 DD12 DJ12 CX33 CZ10 CZ13 DA12 DC10 DC13 DA33 DD33 DF10 DF13 DG12 DI10 DI13 DG33 DJ33 DL10 DL13 CI12 CO12 CU12 CI33 CK10 CK13 CL12 CN10 CN13 CL33 CO33 CQ10 CQ13 CR12 CT10 CT13 CR33 CU33 CW10 CW13 BT12 BZ12 CF12 BT33 BV10 BV13 BW12 BY10 BY13 BW33 BZ33 CB10 CB13 CC12 CE10 CE13 CC33 CF33 CH10 CH13 BE12 BK12 BQ12 BE33 BG10 BG13 BH12 BJ10 BJ13 BH33 BK33 BM10 BM13 BN12 BP10 BP13 BN33 BQ33 BS10 BS13 BB12 BD10 BD13 BB33 BA10 BA13 AY12 AV12 AX10 AX13 AV33 AU10 AU13 AS12 AP12 AR10 AR13 AP33 AY33 AS33 AA12 AG12 AM33 AA33 AC10 AC13 AD12 AF10 AF13 AD33 AG33 AI10 AI13 AJ12 AL13 DO37:DO38 EZ34 EZ31 EZ10 EZ13">
      <formula1>0</formula1>
    </dataValidation>
    <dataValidation type="decimal" operator="greaterThanOrEqual" allowBlank="1" showInputMessage="1" showErrorMessage="1" error="Invalid input." sqref="BN34 ER36 EO36 EU36 EL36 EH34 EB34 DY34 EE34 DV34 DS34 DM34 DP34 AM34 O36 R34 U34 X34 DD34 DA34 CX34 DJ34 DG34 CO34 CL34 CI34 CU34 CR34 BZ34 BW34 BT34 CF34 CC34 BK34 BH34 BE34 BQ34 BB34 AY34 AV34 AS34 AP34 AA34 AD34 AG34 AJ34 O34 R36 U36 X36 AA36 AD36 AG36 AJ36 AM36 AP36 AS36 AV36 AY36 BB36 BE36 BH36 BK36 BN36 BQ36 BT36 BW36 BZ36 CC36 CF36 CI36 CL36 CO36 CR36 CU36 CX36 DA36 DD36 DG36 DJ36 DM36 DP36 DS36 DV36 DY36 EB36 EE36 EH36 EL34 EO34 ER34 EU34 EX34 EX36">
      <formula1>0</formula1>
    </dataValidation>
    <dataValidation type="decimal" operator="greaterThanOrEqual" allowBlank="1" showInputMessage="1" showErrorMessage="1" sqref="P32:Q33 DW35:DX36 EV11:EW12 EV35:EW36 EV14:EW30 ES14:ET30 ES32:ET33 ES11:ET12 EP11:EQ12 EP35:EQ36 EY32:EZ33 EY11:EZ12 EY35:EZ36 EP14:EQ30 EP32:EQ33 EM35:EN36 EM14:EN30 EM32:EN33 EM11:EN12 EI14:EJ30 EV32:EW33 EF32:EG33 EF11:EG12 EF35:EG36 EC35:ED36 EC14:ED30 EC32:ED33 EC11:ED12 DZ11:EA12 DZ35:EA36 EI32:EJ33 EI11:EJ12 EI35:EJ36 DZ14:EA30 DZ32:EA33 DW11:DX12 DW14:DX30 DW32:DX33 DT14:DU30 ES35:ET36 EF14:EG30 DQ14:DR30 DQ32:DR33 DT32:DU33 DT35:DU36 DQ35:DR36 DN35:DO36 DT11:DU12 DQ11:DR12 S32:T33 V32:W33 Y32:Z33 AB32:AC33 DB32:DC33 DE32:DF33 DH32:DI33 DK32:DL33 DN32:DO33 CM32:CN33 CP32:CQ33 CS32:CT33 CV32:CW33 CY32:CZ33 BX32:BY33 CA32:CB33 CD32:CE33 CG32:CH33 CJ32:CK33 BI32:BJ33 BL32:BM33 BO32:BP33 BR32:BS33 BU32:BV33 BF32:BG33 BC32:BD33 AZ32:BA33 AW32:AX33 AT32:AU33 AE32:AF33 AH32:AI33 AK32:AL33 AN32:AO33 AQ32:AR33 AQ11:AR12 AN11:AO12 AK11:AL12 AH11:AI12 AE11:AF12 AT14:AU30 AW14:AX30 AZ14:BA30 BC14:BD30 BF14:BG30 BU11:BV12 BR11:BS12 BO11:BP12 BL11:BM12 BI11:BJ12 CJ11:CK12 CG11:CH12 CD11:CE12 CA11:CB12 BX14:BY30 CY11:CZ12 CV11:CW12 CS11:CT12 CP11:CQ12 CM14:CN30 DN11:DO12 DK11:DL12 DH11:DI12 DE11:DF12 DB14:DC30 AB11:AC12 Y11:Z12 V11:W12 S14:T30 P14:Q30 BI14:BJ30 P11:Q12 S11:T12 AE14:AF30 V14:W30 P35:Q36 Y14:Z30 V35:W36 AB14:AC30 Y35:Z36 S35:T36 DB11:DC12 DE14:DF30 DB35:DC36 DH14:DI30 DE35:DF36 DK14:DL30 DH35:DI36 DN14:DO30 DK35:DL36 CY35:CZ36 CM11:CN12 CP14:CQ30 CM35:CN36 CS14:CT30 CP35:CQ36 CV14:CW30 CS35:CT36 CY14:CZ30 CV35:CW36 CJ35:CK36 BX11:BY12 CA14:CB30 BX35:BY36 CD14:CE30 CA35:CB36 CG14:CH30 CD35:CE36 CJ14:CK30 CG35:CH36 BU35:BV36 BF35:BG36 BL14:BM30 BI35:BJ36 BO14:BP30 BL35:BM36 BR14:BS30 BO35:BP36 BU14:BV30 BR35:BS36 BF11:BG12 BC35:BD36 BC11:BD12 AZ35:BA36 AZ11:BA12 AW35:AX36 AW11:AX12 AT35:AU36 AT11:AU12 AQ35:AR36 AB35:AC36 AH14:AI30 AE35:AF36 AK14:AL30 AH35:AI36 AN14:AO30 AK35:AL36 AQ14:AR30 AN35:AO36 EY14:EZ30">
      <formula1>0</formula1>
    </dataValidation>
    <dataValidation allowBlank="1" showInputMessage="1" showErrorMessage="1" sqref="A39:C39 A34:A35 C34:C35 B35 A11:C11 C14:C29"/>
    <dataValidation type="whole" operator="greaterThanOrEqual" allowBlank="1" showInputMessage="1" showErrorMessage="1" error="Invalid Input." sqref="O11 O14:O29 O32 O35 R11 R14:R29 R32 R35 U11 U14:U29 U32 U35 X11 X14:X29 X32 X35 AA11 AA14:AA29 AA32 AA35 AD11 AD14:AD29 AD32 AD35 AG11 AG14:AG29 AG32 AG35 AJ11 AJ14:AJ29 AJ32 AJ35 AM11 AM14:AM29 AM32 AM35 AP11 AP14:AP29 AP32 AP35 AS11 AS14:AS29 AS32 AS35 AV11 AV14:AV29 AV32 AV35 AY11 AY14:AY29 AY32 AY35 BB11 BB14:BB29 BB32 BB35 BE11 BE14:BE29 BE32 BE35 BH11 BH14:BH29 BH32 BH35 BK11 BK14:BK29 BK32 BK35 BN11 BN14:BN29 BN32 BN35 BQ11 BQ14:BQ29 BQ32 BQ35 BT11 BT14:BT29 BT32 BT35 BW11 BW14:BW29 BW32 BW35 BZ11 BZ14:BZ29 BZ32 BZ35 CC11 CC14:CC29 CC32 CC35 CF11 CF14:CF29 CF32 CF35 CI11 CI14:CI29 CI32 CI35 CL11 CL14:CL29 CL32 CL35 CO11 CO14:CO29 CO32 CO35 CR11 CR14:CR29 CR32 CR35 CU11 CU14:CU29 CU32 CU35 CX11 CX14:CX29 CX32 CX35 DA11 DA14:DA29 DA32 DA35 DD11 DD14:DD29 DD32 DD35 DG11 DG14:DG29 DG32 DG35 DJ11 DJ14:DJ29 DJ32 DJ35 DM11 DM14:DM29 DM32 DM35 DP11 DP14:DP29 DP32 DP35 DS11 DS14:DS29 DS32 DS35 DV11 DV14:DV29 DV32 DV35 DY11 DY14:DY29 DY32 DY35 EB11 EB14:EB29 EB32 EB35 EE11 EE14:EE29 EE32 EE35 EH11 EH14:EH29 EH32 EH35 EL11 EL14:EL29 EL32 EL35 EO11 EO14:EO29 EO32 EO35 ER11 ER14:ER29 ER32 ER35 EU11 EU14:EU29 EU32 EU35 EX11 EX14:EX29 EX32 EX35">
      <formula1>0</formula1>
    </dataValidation>
  </dataValidations>
  <pageMargins left="0.7" right="0.7" top="0.75" bottom="0.75" header="0.3" footer="0.3"/>
  <pageSetup paperSize="9" scale="93" orientation="landscape" r:id="rId1"/>
  <headerFooter>
    <oddHeader>&amp;C&amp;"Arial,Bold"&amp;8 NEW RB OF SAN LEONARDO(N.E.) INC  [ 04-040656 ]
 As of: September 30, 2017</oddHeader>
  </headerFooter>
  <drawing r:id="rId2"/>
  <legacyDrawing r:id="rId3"/>
  <controls>
    <mc:AlternateContent xmlns:mc="http://schemas.openxmlformats.org/markup-compatibility/2006">
      <mc:Choice Requires="x14">
        <control shapeId="2051" r:id="rId4" name="CommandButton2">
          <controlPr defaultSize="0" print="0" autoLine="0" r:id="rId5">
            <anchor moveWithCells="1">
              <from>
                <xdr:col>125</xdr:col>
                <xdr:colOff>9525</xdr:colOff>
                <xdr:row>6</xdr:row>
                <xdr:rowOff>9525</xdr:rowOff>
              </from>
              <to>
                <xdr:col>127</xdr:col>
                <xdr:colOff>180975</xdr:colOff>
                <xdr:row>7</xdr:row>
                <xdr:rowOff>0</xdr:rowOff>
              </to>
            </anchor>
          </controlPr>
        </control>
      </mc:Choice>
      <mc:Fallback>
        <control shapeId="2051" r:id="rId4" name="CommandButton2"/>
      </mc:Fallback>
    </mc:AlternateContent>
    <mc:AlternateContent xmlns:mc="http://schemas.openxmlformats.org/markup-compatibility/2006">
      <mc:Choice Requires="x14">
        <control shapeId="2050" r:id="rId6" name="CommandButton1">
          <controlPr defaultSize="0" print="0" autoLine="0" r:id="rId7">
            <anchor moveWithCells="1">
              <from>
                <xdr:col>127</xdr:col>
                <xdr:colOff>180975</xdr:colOff>
                <xdr:row>6</xdr:row>
                <xdr:rowOff>9525</xdr:rowOff>
              </from>
              <to>
                <xdr:col>128</xdr:col>
                <xdr:colOff>342900</xdr:colOff>
                <xdr:row>7</xdr:row>
                <xdr:rowOff>0</xdr:rowOff>
              </to>
            </anchor>
          </controlPr>
        </control>
      </mc:Choice>
      <mc:Fallback>
        <control shapeId="2050" r:id="rId6"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88"/>
  <sheetViews>
    <sheetView showGridLines="0" showRowColHeaders="0" topLeftCell="B1" workbookViewId="0"/>
  </sheetViews>
  <sheetFormatPr defaultColWidth="6.7109375" defaultRowHeight="12.75" x14ac:dyDescent="0.2"/>
  <cols>
    <col min="1" max="1" width="43.28515625" style="38" hidden="1" customWidth="1"/>
    <col min="2" max="16384" width="6.7109375" style="36"/>
  </cols>
  <sheetData>
    <row r="1" spans="1:2" x14ac:dyDescent="0.2">
      <c r="A1" s="34" t="s">
        <v>261</v>
      </c>
      <c r="B1" s="35" t="s">
        <v>141</v>
      </c>
    </row>
    <row r="2" spans="1:2" x14ac:dyDescent="0.2">
      <c r="A2" s="34" t="s">
        <v>262</v>
      </c>
      <c r="B2" s="35" t="s">
        <v>141</v>
      </c>
    </row>
    <row r="3" spans="1:2" x14ac:dyDescent="0.2">
      <c r="A3" s="34" t="s">
        <v>263</v>
      </c>
      <c r="B3" s="35" t="s">
        <v>141</v>
      </c>
    </row>
    <row r="4" spans="1:2" x14ac:dyDescent="0.2">
      <c r="A4" s="34" t="s">
        <v>229</v>
      </c>
      <c r="B4" s="35" t="s">
        <v>141</v>
      </c>
    </row>
    <row r="5" spans="1:2" x14ac:dyDescent="0.2">
      <c r="A5" s="34">
        <v>8</v>
      </c>
      <c r="B5" s="35" t="s">
        <v>141</v>
      </c>
    </row>
    <row r="6" spans="1:2" x14ac:dyDescent="0.2">
      <c r="A6" s="34" t="s">
        <v>264</v>
      </c>
      <c r="B6" s="36" t="s">
        <v>141</v>
      </c>
    </row>
    <row r="7" spans="1:2" x14ac:dyDescent="0.2">
      <c r="A7" s="37">
        <v>20170930</v>
      </c>
      <c r="B7" s="36" t="s">
        <v>141</v>
      </c>
    </row>
    <row r="8" spans="1:2" x14ac:dyDescent="0.2">
      <c r="A8" s="38" t="s">
        <v>180</v>
      </c>
    </row>
    <row r="9" spans="1:2" x14ac:dyDescent="0.2">
      <c r="A9" s="38" t="s">
        <v>254</v>
      </c>
    </row>
    <row r="50" spans="1:1" x14ac:dyDescent="0.2">
      <c r="A50" s="38" t="s">
        <v>142</v>
      </c>
    </row>
    <row r="51" spans="1:1" x14ac:dyDescent="0.2">
      <c r="A51" s="38" t="s">
        <v>140</v>
      </c>
    </row>
    <row r="52" spans="1:1" x14ac:dyDescent="0.2">
      <c r="A52" s="38" t="s">
        <v>143</v>
      </c>
    </row>
    <row r="53" spans="1:1" x14ac:dyDescent="0.2">
      <c r="A53" s="38" t="s">
        <v>144</v>
      </c>
    </row>
    <row r="54" spans="1:1" x14ac:dyDescent="0.2">
      <c r="A54" s="38" t="s">
        <v>145</v>
      </c>
    </row>
    <row r="55" spans="1:1" x14ac:dyDescent="0.2">
      <c r="A55" s="38" t="s">
        <v>146</v>
      </c>
    </row>
    <row r="56" spans="1:1" x14ac:dyDescent="0.2">
      <c r="A56" s="38" t="s">
        <v>147</v>
      </c>
    </row>
    <row r="57" spans="1:1" x14ac:dyDescent="0.2">
      <c r="A57" s="38" t="s">
        <v>148</v>
      </c>
    </row>
    <row r="58" spans="1:1" x14ac:dyDescent="0.2">
      <c r="A58" s="38" t="s">
        <v>149</v>
      </c>
    </row>
    <row r="59" spans="1:1" x14ac:dyDescent="0.2">
      <c r="A59" s="38" t="s">
        <v>150</v>
      </c>
    </row>
    <row r="60" spans="1:1" x14ac:dyDescent="0.2">
      <c r="A60" s="38" t="s">
        <v>151</v>
      </c>
    </row>
    <row r="61" spans="1:1" x14ac:dyDescent="0.2">
      <c r="A61" s="38" t="s">
        <v>152</v>
      </c>
    </row>
    <row r="62" spans="1:1" x14ac:dyDescent="0.2">
      <c r="A62" s="38" t="s">
        <v>153</v>
      </c>
    </row>
    <row r="63" spans="1:1" x14ac:dyDescent="0.2">
      <c r="A63" s="38" t="s">
        <v>154</v>
      </c>
    </row>
    <row r="64" spans="1:1" x14ac:dyDescent="0.2">
      <c r="A64" s="38" t="s">
        <v>155</v>
      </c>
    </row>
    <row r="65" spans="1:1" x14ac:dyDescent="0.2">
      <c r="A65" s="38" t="s">
        <v>156</v>
      </c>
    </row>
    <row r="66" spans="1:1" x14ac:dyDescent="0.2">
      <c r="A66" s="38" t="s">
        <v>157</v>
      </c>
    </row>
    <row r="67" spans="1:1" x14ac:dyDescent="0.2">
      <c r="A67" s="38" t="s">
        <v>158</v>
      </c>
    </row>
    <row r="68" spans="1:1" x14ac:dyDescent="0.2">
      <c r="A68" s="38" t="s">
        <v>159</v>
      </c>
    </row>
    <row r="69" spans="1:1" x14ac:dyDescent="0.2">
      <c r="A69" s="38" t="s">
        <v>160</v>
      </c>
    </row>
    <row r="70" spans="1:1" x14ac:dyDescent="0.2">
      <c r="A70" s="38" t="s">
        <v>161</v>
      </c>
    </row>
    <row r="71" spans="1:1" x14ac:dyDescent="0.2">
      <c r="A71" s="38" t="s">
        <v>162</v>
      </c>
    </row>
    <row r="72" spans="1:1" x14ac:dyDescent="0.2">
      <c r="A72" s="38" t="s">
        <v>163</v>
      </c>
    </row>
    <row r="73" spans="1:1" x14ac:dyDescent="0.2">
      <c r="A73" s="38" t="s">
        <v>164</v>
      </c>
    </row>
    <row r="74" spans="1:1" x14ac:dyDescent="0.2">
      <c r="A74" s="38" t="s">
        <v>165</v>
      </c>
    </row>
    <row r="75" spans="1:1" x14ac:dyDescent="0.2">
      <c r="A75" s="38" t="s">
        <v>166</v>
      </c>
    </row>
    <row r="76" spans="1:1" x14ac:dyDescent="0.2">
      <c r="A76" s="38" t="s">
        <v>167</v>
      </c>
    </row>
    <row r="77" spans="1:1" x14ac:dyDescent="0.2">
      <c r="A77" s="38" t="s">
        <v>168</v>
      </c>
    </row>
    <row r="78" spans="1:1" x14ac:dyDescent="0.2">
      <c r="A78" s="38" t="s">
        <v>169</v>
      </c>
    </row>
    <row r="79" spans="1:1" x14ac:dyDescent="0.2">
      <c r="A79" s="38" t="s">
        <v>170</v>
      </c>
    </row>
    <row r="80" spans="1:1" x14ac:dyDescent="0.2">
      <c r="A80" s="38" t="s">
        <v>171</v>
      </c>
    </row>
    <row r="81" spans="1:1" x14ac:dyDescent="0.2">
      <c r="A81" s="38" t="s">
        <v>172</v>
      </c>
    </row>
    <row r="82" spans="1:1" x14ac:dyDescent="0.2">
      <c r="A82" s="38" t="s">
        <v>173</v>
      </c>
    </row>
    <row r="83" spans="1:1" x14ac:dyDescent="0.2">
      <c r="A83" s="38" t="s">
        <v>174</v>
      </c>
    </row>
    <row r="84" spans="1:1" x14ac:dyDescent="0.2">
      <c r="A84" s="38" t="s">
        <v>175</v>
      </c>
    </row>
    <row r="85" spans="1:1" x14ac:dyDescent="0.2">
      <c r="A85" s="38" t="s">
        <v>176</v>
      </c>
    </row>
    <row r="86" spans="1:1" x14ac:dyDescent="0.2">
      <c r="A86" s="38" t="s">
        <v>177</v>
      </c>
    </row>
    <row r="87" spans="1:1" x14ac:dyDescent="0.2">
      <c r="A87" s="38" t="s">
        <v>178</v>
      </c>
    </row>
    <row r="88" spans="1:1" x14ac:dyDescent="0.2">
      <c r="A88" s="38" t="s">
        <v>179</v>
      </c>
    </row>
  </sheetData>
  <sheetProtection algorithmName="SHA-512" hashValue="WolYe36D7DXCLP3hJ9LPOP5HdmlMBn4wK3YPXCNEurhTdp08WeuvCLcTZzhbOKS+UMTW0mujpHAnGZxXFPDv2A==" saltValue="mxDk8KMuI3MN4s7ToZEn5A==" spinCount="100000" sheet="1" objects="1" scenarios="1" selectLockedCells="1"/>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BS</vt:lpstr>
      <vt:lpstr>LES</vt:lpstr>
      <vt:lpstr>AL</vt:lpstr>
      <vt:lpstr>DL</vt:lpstr>
      <vt:lpstr>LDR</vt:lpstr>
      <vt:lpstr>REC</vt:lpstr>
      <vt:lpstr>IR</vt:lpstr>
      <vt:lpstr>Bank</vt:lpstr>
      <vt:lpstr>AL!Print_Area</vt:lpstr>
      <vt:lpstr>BS!Print_Area</vt:lpstr>
      <vt:lpstr>DL!Print_Area</vt:lpstr>
      <vt:lpstr>LDR!Print_Area</vt:lpstr>
      <vt:lpstr>LES!Print_Area</vt:lpstr>
      <vt:lpstr>REC!Print_Area</vt:lpstr>
      <vt:lpstr>AL!Print_Titles</vt:lpstr>
      <vt:lpstr>BS!Print_Titles</vt:lpstr>
      <vt:lpstr>DL!Print_Titles</vt:lpstr>
      <vt:lpstr>IR!Print_Titles</vt:lpstr>
      <vt:lpstr>LDR!Print_Titles</vt:lpstr>
      <vt:lpstr>LES!Print_Titles</vt:lpstr>
      <vt:lpstr>REC!Print_Titles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Aldrin</dc:creator>
  <cp:lastModifiedBy>Aldrin</cp:lastModifiedBy>
  <cp:lastPrinted>2014-09-10T23:00:48Z</cp:lastPrinted>
  <dcterms:created xsi:type="dcterms:W3CDTF">2008-06-06T05:56:32Z</dcterms:created>
  <dcterms:modified xsi:type="dcterms:W3CDTF">2017-10-12T16:38:47Z</dcterms:modified>
</cp:coreProperties>
</file>