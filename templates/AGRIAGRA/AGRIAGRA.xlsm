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1X2hBAWCTXzZ4o9kGngtOQUL8Fsb/hs66JsuDOeLIPK1VbtIHYXf4Xrqw1h0qKuI6XZiJ8yb4TfjAK5GhjPfQA==" workbookSaltValue="iYHSx4mC68tyMcBciF+eew==" workbookSpinCount="100000" lockStructure="1"/>
  <bookViews>
    <workbookView xWindow="870" yWindow="-165" windowWidth="13755" windowHeight="4680" tabRatio="565" firstSheet="1" activeTab="1"/>
  </bookViews>
  <sheets>
    <sheet name="Bank" sheetId="17" state="hidden" r:id="rId1"/>
    <sheet name="Main Report A" sheetId="1" r:id="rId2"/>
    <sheet name="Main Report B" sheetId="16" r:id="rId3"/>
    <sheet name="A" sheetId="3" r:id="rId4"/>
    <sheet name="B" sheetId="4" r:id="rId5"/>
    <sheet name="C" sheetId="5" r:id="rId6"/>
    <sheet name="C-1" sheetId="6" r:id="rId7"/>
    <sheet name="C-2" sheetId="7" r:id="rId8"/>
    <sheet name="C-3" sheetId="8" r:id="rId9"/>
    <sheet name="C-4" sheetId="9" r:id="rId10"/>
    <sheet name="D" sheetId="10" r:id="rId11"/>
    <sheet name="D-1" sheetId="11" r:id="rId12"/>
    <sheet name="E" sheetId="14" r:id="rId13"/>
  </sheets>
  <definedNames>
    <definedName name="_xlnm.Print_Area" localSheetId="3">A!$A$1:$N$46</definedName>
    <definedName name="_xlnm.Print_Area" localSheetId="4">B!$A$1:$N$43</definedName>
    <definedName name="_xlnm.Print_Area" localSheetId="5">'C'!$A$1:$K$38</definedName>
    <definedName name="_xlnm.Print_Area" localSheetId="6">'C-1'!$A$1:$R$29</definedName>
    <definedName name="_xlnm.Print_Area" localSheetId="7">'C-2'!$A$1:$P$25</definedName>
    <definedName name="_xlnm.Print_Area" localSheetId="8">'C-3'!$A$1:$P$20</definedName>
    <definedName name="_xlnm.Print_Area" localSheetId="9">'C-4'!$A$1:$P$51</definedName>
    <definedName name="_xlnm.Print_Area" localSheetId="10">D!$A$1:$P$30</definedName>
    <definedName name="_xlnm.Print_Area" localSheetId="11">'D-1'!$A$1:$I$24</definedName>
    <definedName name="_xlnm.Print_Area" localSheetId="12">E!$A$1:$K$64</definedName>
    <definedName name="_xlnm.Print_Area" localSheetId="1">'Main Report A'!$A$1:$K$113</definedName>
    <definedName name="_xlnm.Print_Area" localSheetId="2">'Main Report B'!$A$1:$K$36</definedName>
    <definedName name="_xlnm.Print_Titles" localSheetId="3">A!$2:$8</definedName>
    <definedName name="_xlnm.Print_Titles" localSheetId="4">B!$2:$11</definedName>
    <definedName name="_xlnm.Print_Titles" localSheetId="9">'C-4'!$2:$5</definedName>
    <definedName name="_xlnm.Print_Titles" localSheetId="10">D!$A:$C,D!$2:$4</definedName>
    <definedName name="_xlnm.Print_Titles" localSheetId="12">E!$1:$9</definedName>
    <definedName name="_xlnm.Print_Titles" localSheetId="1">'Main Report A'!$1:$8</definedName>
    <definedName name="_xlnm.Print_Titles" localSheetId="2">'Main Report B'!$1:$5</definedName>
  </definedNames>
  <calcPr calcId="162913" fullCalcOnLoad="1"/>
</workbook>
</file>

<file path=xl/calcChain.xml><?xml version="1.0" encoding="utf-8"?>
<calcChain xmlns="http://schemas.openxmlformats.org/spreadsheetml/2006/main">
  <c r="J56" i="14" l="1"/>
  <c r="I18" i="1"/>
  <c r="I99" i="1"/>
  <c r="I56" i="14"/>
  <c r="J36" i="14"/>
  <c r="H22" i="14"/>
  <c r="I36" i="14"/>
  <c r="M32" i="3"/>
  <c r="M28" i="3"/>
  <c r="M26" i="3"/>
  <c r="P12" i="7"/>
  <c r="P10" i="7" s="1"/>
  <c r="P19" i="7" s="1"/>
  <c r="O12" i="7"/>
  <c r="P12" i="8"/>
  <c r="L12" i="8"/>
  <c r="P22" i="9"/>
  <c r="P20" i="9" s="1"/>
  <c r="L22" i="9"/>
  <c r="P12" i="9"/>
  <c r="L12" i="9"/>
  <c r="H42" i="14"/>
  <c r="H40" i="14" s="1"/>
  <c r="I16" i="14"/>
  <c r="I14" i="14"/>
  <c r="P32" i="9"/>
  <c r="L32" i="9"/>
  <c r="J18" i="1"/>
  <c r="K18" i="1" s="1"/>
  <c r="J22" i="1"/>
  <c r="J30" i="1"/>
  <c r="J43" i="1"/>
  <c r="J48" i="1"/>
  <c r="J57" i="1"/>
  <c r="J62" i="1"/>
  <c r="J68" i="1"/>
  <c r="J91" i="1"/>
  <c r="J84" i="1"/>
  <c r="J97" i="1"/>
  <c r="I91" i="1"/>
  <c r="I84" i="1"/>
  <c r="I22" i="1"/>
  <c r="I43" i="1" s="1"/>
  <c r="I30" i="1"/>
  <c r="I48" i="1"/>
  <c r="I57" i="1"/>
  <c r="I68" i="1" s="1"/>
  <c r="K68" i="1" s="1"/>
  <c r="I62" i="1"/>
  <c r="I21" i="16"/>
  <c r="I27" i="16" s="1"/>
  <c r="K32" i="14"/>
  <c r="J40" i="14"/>
  <c r="J54" i="14"/>
  <c r="J16" i="14"/>
  <c r="I40" i="14"/>
  <c r="I54" i="14"/>
  <c r="J21" i="16"/>
  <c r="H44" i="14" s="1"/>
  <c r="K44" i="14" s="1"/>
  <c r="K52" i="14"/>
  <c r="J20" i="14"/>
  <c r="J34" i="14" s="1"/>
  <c r="J14" i="14"/>
  <c r="I20" i="14"/>
  <c r="I26" i="14"/>
  <c r="I30" i="14" s="1"/>
  <c r="K48" i="14"/>
  <c r="K28" i="14"/>
  <c r="K22" i="14"/>
  <c r="P33" i="9"/>
  <c r="L33" i="9"/>
  <c r="P23" i="9"/>
  <c r="L23" i="9"/>
  <c r="P13" i="9"/>
  <c r="L13" i="9"/>
  <c r="P13" i="8"/>
  <c r="L13" i="8"/>
  <c r="L8" i="8"/>
  <c r="P8" i="8"/>
  <c r="N9" i="6"/>
  <c r="N8" i="6"/>
  <c r="I17" i="16"/>
  <c r="J17" i="16"/>
  <c r="K48" i="1"/>
  <c r="K50" i="1"/>
  <c r="K52" i="1"/>
  <c r="K30" i="16"/>
  <c r="P11" i="8"/>
  <c r="L31" i="9"/>
  <c r="L30" i="9" s="1"/>
  <c r="L43" i="9" s="1"/>
  <c r="P11" i="7"/>
  <c r="O11" i="7"/>
  <c r="O10" i="7" s="1"/>
  <c r="O19" i="7" s="1"/>
  <c r="K10" i="7"/>
  <c r="J10" i="7"/>
  <c r="I10" i="7"/>
  <c r="P15" i="7"/>
  <c r="P17" i="7"/>
  <c r="P13" i="7"/>
  <c r="O15" i="7"/>
  <c r="O17" i="7"/>
  <c r="O13" i="7"/>
  <c r="N19" i="7"/>
  <c r="M19" i="7"/>
  <c r="L19" i="7"/>
  <c r="K19" i="7"/>
  <c r="J19" i="7"/>
  <c r="L11" i="8"/>
  <c r="I17" i="11"/>
  <c r="I10" i="11"/>
  <c r="L16" i="10"/>
  <c r="L24" i="10" s="1"/>
  <c r="M16" i="10"/>
  <c r="N12" i="10"/>
  <c r="N14" i="10"/>
  <c r="N16" i="10"/>
  <c r="N24" i="10" s="1"/>
  <c r="O16" i="10"/>
  <c r="K12" i="10"/>
  <c r="P12" i="10"/>
  <c r="P16" i="10" s="1"/>
  <c r="K14" i="10"/>
  <c r="P14" i="10"/>
  <c r="J16" i="10"/>
  <c r="I16" i="10"/>
  <c r="I24" i="10" s="1"/>
  <c r="H16" i="10"/>
  <c r="J21" i="4"/>
  <c r="I21" i="4"/>
  <c r="M25" i="4"/>
  <c r="M34" i="4" s="1"/>
  <c r="M26" i="4"/>
  <c r="M27" i="4"/>
  <c r="M28" i="4"/>
  <c r="M29" i="4"/>
  <c r="M30" i="4"/>
  <c r="M31" i="4"/>
  <c r="M32" i="4"/>
  <c r="I34" i="4"/>
  <c r="J34" i="4"/>
  <c r="K34" i="4"/>
  <c r="L34" i="4"/>
  <c r="K25" i="16"/>
  <c r="K24" i="16"/>
  <c r="K23" i="16"/>
  <c r="K19" i="16"/>
  <c r="K17" i="16" s="1"/>
  <c r="K18" i="16"/>
  <c r="K82" i="1"/>
  <c r="K81" i="1"/>
  <c r="K80" i="1"/>
  <c r="K79" i="1"/>
  <c r="K78" i="1"/>
  <c r="K77" i="1"/>
  <c r="K76" i="1"/>
  <c r="K75" i="1"/>
  <c r="K74" i="1"/>
  <c r="K73" i="1"/>
  <c r="K21" i="16"/>
  <c r="M24" i="10"/>
  <c r="O24" i="10"/>
  <c r="K18" i="10"/>
  <c r="N18" i="10"/>
  <c r="K20" i="10"/>
  <c r="P20" i="10" s="1"/>
  <c r="N20" i="10"/>
  <c r="K22" i="10"/>
  <c r="N22" i="10"/>
  <c r="P22" i="10"/>
  <c r="J24" i="10"/>
  <c r="L21" i="9"/>
  <c r="P21" i="9"/>
  <c r="L24" i="9"/>
  <c r="P24" i="9"/>
  <c r="I20" i="9"/>
  <c r="J20" i="9"/>
  <c r="J43" i="9" s="1"/>
  <c r="K20" i="9"/>
  <c r="M20" i="9"/>
  <c r="N20" i="9"/>
  <c r="O20" i="9"/>
  <c r="O43" i="9" s="1"/>
  <c r="L11" i="9"/>
  <c r="P11" i="9"/>
  <c r="L14" i="9"/>
  <c r="P14" i="9"/>
  <c r="P10" i="9" s="1"/>
  <c r="I10" i="9"/>
  <c r="J10" i="9"/>
  <c r="K10" i="9"/>
  <c r="M10" i="9"/>
  <c r="N10" i="9"/>
  <c r="O10" i="9"/>
  <c r="P31" i="9"/>
  <c r="P34" i="9"/>
  <c r="P30" i="9" s="1"/>
  <c r="P41" i="9"/>
  <c r="L34" i="9"/>
  <c r="I30" i="9"/>
  <c r="I43" i="9"/>
  <c r="J30" i="9"/>
  <c r="K30" i="9"/>
  <c r="K43" i="9" s="1"/>
  <c r="M30" i="9"/>
  <c r="N30" i="9"/>
  <c r="N43" i="9"/>
  <c r="O30" i="9"/>
  <c r="L41" i="9"/>
  <c r="M43" i="9"/>
  <c r="I10" i="8"/>
  <c r="J10" i="8"/>
  <c r="K10" i="8"/>
  <c r="M10" i="8"/>
  <c r="N10" i="8"/>
  <c r="O10" i="8"/>
  <c r="K10" i="6"/>
  <c r="K21" i="6" s="1"/>
  <c r="L10" i="6"/>
  <c r="M10" i="6"/>
  <c r="O10" i="6"/>
  <c r="P10" i="6"/>
  <c r="Q10" i="6"/>
  <c r="N11" i="6"/>
  <c r="R11" i="6"/>
  <c r="N13" i="6"/>
  <c r="R13" i="6"/>
  <c r="K16" i="6"/>
  <c r="L16" i="6"/>
  <c r="N16" i="6"/>
  <c r="M16" i="6"/>
  <c r="O16" i="6"/>
  <c r="P16" i="6"/>
  <c r="P21" i="6" s="1"/>
  <c r="Q16" i="6"/>
  <c r="N17" i="6"/>
  <c r="R17" i="6"/>
  <c r="N19" i="6"/>
  <c r="R19" i="6"/>
  <c r="L21" i="6"/>
  <c r="M21" i="6"/>
  <c r="O21" i="6"/>
  <c r="Q21" i="6"/>
  <c r="K11" i="5"/>
  <c r="K30" i="5" s="1"/>
  <c r="K13" i="5"/>
  <c r="K15" i="5"/>
  <c r="K17" i="5"/>
  <c r="K26" i="5"/>
  <c r="K20" i="5"/>
  <c r="K22" i="5"/>
  <c r="K24" i="5"/>
  <c r="I28" i="5"/>
  <c r="I30" i="5" s="1"/>
  <c r="J28" i="5"/>
  <c r="J30" i="5" s="1"/>
  <c r="I21" i="3"/>
  <c r="J21" i="3"/>
  <c r="M27" i="3"/>
  <c r="M35" i="3" s="1"/>
  <c r="M29" i="3"/>
  <c r="M30" i="3"/>
  <c r="M31" i="3"/>
  <c r="M33" i="3"/>
  <c r="I35" i="3"/>
  <c r="J35" i="3"/>
  <c r="K35" i="3"/>
  <c r="L35" i="3"/>
  <c r="K83" i="1"/>
  <c r="K96" i="1"/>
  <c r="P18" i="10"/>
  <c r="P10" i="8"/>
  <c r="L10" i="8"/>
  <c r="H24" i="10"/>
  <c r="K28" i="5"/>
  <c r="L20" i="9"/>
  <c r="L10" i="9"/>
  <c r="R10" i="6"/>
  <c r="I19" i="7"/>
  <c r="I34" i="14"/>
  <c r="K16" i="10"/>
  <c r="K24" i="10"/>
  <c r="I46" i="14"/>
  <c r="I50" i="14"/>
  <c r="K84" i="1"/>
  <c r="I97" i="1"/>
  <c r="I101" i="1" s="1"/>
  <c r="J46" i="14"/>
  <c r="J50" i="14"/>
  <c r="J101" i="1" l="1"/>
  <c r="K101" i="1" s="1"/>
  <c r="J70" i="1"/>
  <c r="J103" i="1" s="1"/>
  <c r="K99" i="1"/>
  <c r="J99" i="1"/>
  <c r="K27" i="16"/>
  <c r="K40" i="14"/>
  <c r="H54" i="14"/>
  <c r="K54" i="14" s="1"/>
  <c r="P24" i="10"/>
  <c r="I70" i="1"/>
  <c r="K43" i="1"/>
  <c r="P43" i="9"/>
  <c r="K97" i="1"/>
  <c r="J26" i="14"/>
  <c r="J30" i="14" s="1"/>
  <c r="J27" i="16"/>
  <c r="H24" i="14"/>
  <c r="K42" i="14"/>
  <c r="R16" i="6"/>
  <c r="R21" i="6" s="1"/>
  <c r="N10" i="6"/>
  <c r="N21" i="6" s="1"/>
  <c r="H20" i="14" l="1"/>
  <c r="K24" i="14"/>
  <c r="K70" i="1"/>
  <c r="I103" i="1"/>
  <c r="K103" i="1" s="1"/>
  <c r="I12" i="16" l="1"/>
  <c r="J13" i="16"/>
  <c r="H10" i="14"/>
  <c r="H34" i="14"/>
  <c r="K34" i="14" s="1"/>
  <c r="K20" i="14"/>
  <c r="H14" i="14" l="1"/>
  <c r="H16" i="14"/>
  <c r="H56" i="14"/>
  <c r="K10" i="14"/>
  <c r="H36" i="14"/>
  <c r="K13" i="16"/>
  <c r="J14" i="16"/>
  <c r="J29" i="16" s="1"/>
  <c r="J31" i="16" s="1"/>
  <c r="I14" i="16"/>
  <c r="I29" i="16" s="1"/>
  <c r="I31" i="16" s="1"/>
  <c r="K12" i="16"/>
  <c r="K14" i="16" s="1"/>
  <c r="K29" i="16" s="1"/>
  <c r="K31" i="16" s="1"/>
  <c r="K36" i="14" l="1"/>
  <c r="K56" i="14"/>
  <c r="K16" i="14"/>
  <c r="H46" i="14"/>
  <c r="K14" i="14"/>
  <c r="H26" i="14"/>
  <c r="H50" i="14" l="1"/>
  <c r="K50" i="14" s="1"/>
  <c r="K46" i="14"/>
  <c r="K26" i="14"/>
  <c r="H30" i="14"/>
  <c r="K30" i="14" s="1"/>
</calcChain>
</file>

<file path=xl/sharedStrings.xml><?xml version="1.0" encoding="utf-8"?>
<sst xmlns="http://schemas.openxmlformats.org/spreadsheetml/2006/main" count="1698" uniqueCount="1312">
  <si>
    <t>Other Agricultural Credit Loans (Schedule B)</t>
  </si>
  <si>
    <t xml:space="preserve">c.1. </t>
  </si>
  <si>
    <t xml:space="preserve">e.    </t>
  </si>
  <si>
    <t xml:space="preserve">f.  </t>
  </si>
  <si>
    <t xml:space="preserve">j.    </t>
  </si>
  <si>
    <t xml:space="preserve">k.     </t>
  </si>
  <si>
    <t xml:space="preserve"> l.  </t>
  </si>
  <si>
    <t xml:space="preserve"> REPORT ON THE UTILIZATION OF</t>
  </si>
  <si>
    <t xml:space="preserve">Bills Payable  </t>
  </si>
  <si>
    <t xml:space="preserve">a.1  </t>
  </si>
  <si>
    <t xml:space="preserve">a.2  </t>
  </si>
  <si>
    <t xml:space="preserve">a.3  </t>
  </si>
  <si>
    <t xml:space="preserve">a.4  </t>
  </si>
  <si>
    <t>Emergency advances from the PDIC</t>
  </si>
  <si>
    <t xml:space="preserve">Total Capital Accounts </t>
  </si>
  <si>
    <t>Other Assets</t>
  </si>
  <si>
    <t xml:space="preserve">Other allowable alternative compliance  (Schedule C) </t>
  </si>
  <si>
    <t>GENERATED FOR OTHER AGRICULTURAL CREDIT</t>
  </si>
  <si>
    <t>4/</t>
  </si>
  <si>
    <t>For local branches of foreign banks</t>
  </si>
  <si>
    <t>T o t a l  Qualified Agrarian Reform Loans</t>
  </si>
  <si>
    <t xml:space="preserve">B. </t>
  </si>
  <si>
    <t>Qualified Agrarian Reform Loans</t>
  </si>
  <si>
    <t>Agricultural production</t>
  </si>
  <si>
    <t xml:space="preserve"> Total Qualified Agrarian Reform Loans        </t>
  </si>
  <si>
    <t>T o t a l  Qualified Other Agricultural Credit Loans</t>
  </si>
  <si>
    <t>Qualified Other Agricultural Credit Loans</t>
  </si>
  <si>
    <t xml:space="preserve"> Total Qualified Agricultural Credit Loans    </t>
  </si>
  <si>
    <t xml:space="preserve">Loans and Other Receivables  </t>
  </si>
  <si>
    <t xml:space="preserve">T o t a l Eligible Loans and Other Receivables </t>
  </si>
  <si>
    <t>Investment in SDAs  (Schedule C-3)</t>
  </si>
  <si>
    <t>T o t a l Eligible Debt Securities</t>
  </si>
  <si>
    <t>DETAILS OF FUNDS GENERATED VIA</t>
  </si>
  <si>
    <t>Minimum Amount Required to be Allocated for:</t>
  </si>
  <si>
    <t>Compliance with Prescribed Allocation for Agrarian Reform Credit</t>
  </si>
  <si>
    <t>Amount of Compliance</t>
  </si>
  <si>
    <t>Excess/(Deficiency)</t>
  </si>
  <si>
    <t>Excess Compliance of a Bank/Banks Used by Another Bank/Other Banks</t>
  </si>
  <si>
    <t>Total Compliance with the Agrarian Reform Credit</t>
  </si>
  <si>
    <t>Total Compliance with the Other Agricultural Credit</t>
  </si>
  <si>
    <t>Percentage of Compliance with the Other Agricultural Credit</t>
  </si>
  <si>
    <t>Face Value</t>
  </si>
  <si>
    <t>Acquisition Cost</t>
  </si>
  <si>
    <t>Account Code</t>
  </si>
  <si>
    <t>215000000000122000</t>
  </si>
  <si>
    <t>215000000000123000</t>
  </si>
  <si>
    <t>215000000000121000</t>
  </si>
  <si>
    <t>215000000000130000</t>
  </si>
  <si>
    <t>220100001500100000</t>
  </si>
  <si>
    <t>220100001505100000</t>
  </si>
  <si>
    <t>220100001510100000</t>
  </si>
  <si>
    <t>220100001515100000</t>
  </si>
  <si>
    <t>220100001595100000</t>
  </si>
  <si>
    <t>220100002500100000</t>
  </si>
  <si>
    <t>220100002505100000</t>
  </si>
  <si>
    <t>295201500000000000</t>
  </si>
  <si>
    <t>220250000000000000</t>
  </si>
  <si>
    <t>220100000000000000</t>
  </si>
  <si>
    <t>230850000000000000</t>
  </si>
  <si>
    <t>315050000000000000</t>
  </si>
  <si>
    <t>315051000000000000</t>
  </si>
  <si>
    <t>315052000000000000</t>
  </si>
  <si>
    <t>315053000000000000</t>
  </si>
  <si>
    <t>315059000000000000</t>
  </si>
  <si>
    <t>320000000000000000</t>
  </si>
  <si>
    <t>320050000000000000</t>
  </si>
  <si>
    <t>320100000000000000</t>
  </si>
  <si>
    <t>320150000000000000</t>
  </si>
  <si>
    <t>320900000000000000</t>
  </si>
  <si>
    <t>195500500000000000</t>
  </si>
  <si>
    <t>155050000000000000</t>
  </si>
  <si>
    <t>Percentage of Compliance with the Agrarian Reform Credit</t>
  </si>
  <si>
    <t xml:space="preserve">D.  </t>
  </si>
  <si>
    <t>Compliance with Prescribed Allocation for Other Agricultural Credit</t>
  </si>
  <si>
    <t>Real and Other Properties Acquired</t>
  </si>
  <si>
    <t>195451500000000000</t>
  </si>
  <si>
    <t>195452000000000000</t>
  </si>
  <si>
    <t>195452500000000000</t>
  </si>
  <si>
    <t>195501000000000000</t>
  </si>
  <si>
    <t>195502000000000000</t>
  </si>
  <si>
    <t>195502500000000000</t>
  </si>
  <si>
    <t>195551000000000000</t>
  </si>
  <si>
    <t>Sequence Number</t>
  </si>
  <si>
    <t>Certificates of assignment/participation with recourse with banks</t>
  </si>
  <si>
    <t>Securities lending and borrowing agreements with banks</t>
  </si>
  <si>
    <t>Special financing programs, other than for specific on-lending to the agriculture and agrarian reform sector, including Time Certificates of Deposit - Special Financing</t>
  </si>
  <si>
    <t>155250000000000000</t>
  </si>
  <si>
    <t>Gains/Losses on Fair Value Adjustments of Hedging Instruments</t>
  </si>
  <si>
    <t>Equity investment in subsidiaries, associates and joint ventures</t>
  </si>
  <si>
    <t>Debt and equity securities acquired in settlement of loans</t>
  </si>
  <si>
    <t>295150000000000000</t>
  </si>
  <si>
    <t>295201000000000000</t>
  </si>
  <si>
    <t>220150500000000000</t>
  </si>
  <si>
    <t>395000000000000000</t>
  </si>
  <si>
    <t>300000000000000000</t>
  </si>
  <si>
    <t>Details of Bond Issuance</t>
  </si>
  <si>
    <t>220100003500100000</t>
  </si>
  <si>
    <t>220100004000100000</t>
  </si>
  <si>
    <t>220100004500100000</t>
  </si>
  <si>
    <t>122000000000000000</t>
  </si>
  <si>
    <t>FI Name</t>
  </si>
  <si>
    <t>Name of Debt Security</t>
  </si>
  <si>
    <t>005000000000000000</t>
  </si>
  <si>
    <t>085050000000000000</t>
  </si>
  <si>
    <t>085100000000000000</t>
  </si>
  <si>
    <t>085050500000000000</t>
  </si>
  <si>
    <t>085051000000000000</t>
  </si>
  <si>
    <t>085051500000000000</t>
  </si>
  <si>
    <t>085052000000000000</t>
  </si>
  <si>
    <t>065050000000000000</t>
  </si>
  <si>
    <t>095050000000000000</t>
  </si>
  <si>
    <t>065050500000000000</t>
  </si>
  <si>
    <t>065051000000000000</t>
  </si>
  <si>
    <t>150150000000000000</t>
  </si>
  <si>
    <t>_c</t>
  </si>
  <si>
    <t>ISIN</t>
  </si>
  <si>
    <t>Accredited Rural Financial Institution Borrower</t>
  </si>
  <si>
    <t>Borrower</t>
  </si>
  <si>
    <t>295201500500000000</t>
  </si>
  <si>
    <t>295202000000000000</t>
  </si>
  <si>
    <t>m.</t>
  </si>
  <si>
    <t>0</t>
  </si>
  <si>
    <t>Special on-lending programs, to the agriculture and agrarian reform sector, such as Special Deposit Accounts (SDA)</t>
  </si>
  <si>
    <t>Revised, December 2011</t>
  </si>
  <si>
    <t>Borrowings from Wholesale Lending Facility (Schedule D-1)</t>
  </si>
  <si>
    <t>Borrowings from Rediscounting Facility (Schedule D-1)</t>
  </si>
  <si>
    <t>Bank which granted the wholesale lending/rediscounting facility</t>
  </si>
  <si>
    <t xml:space="preserve">Deposit Liabilities  </t>
  </si>
  <si>
    <t>215000000000000000</t>
  </si>
  <si>
    <t>Number of columns depend on the number of subsidiary banks.</t>
  </si>
  <si>
    <t>Accreditation Reference Number</t>
  </si>
  <si>
    <t>Amount of compliance which shall be reported under Schedule C.</t>
  </si>
  <si>
    <t>Net Carrying Amount</t>
  </si>
  <si>
    <t>Other Agri Loans Funded by Proceeds of Wholesale Lending (Schedule D)</t>
  </si>
  <si>
    <t>Other Agri Loans Rediscounted with UBs/KBs (Schedule D)</t>
  </si>
  <si>
    <t>Agra Loans Funded by Proceeds of Wholesale Lending (Schedule D)</t>
  </si>
  <si>
    <t>Agra Loans Rediscounted with UBs/KBs (Schedule D)</t>
  </si>
  <si>
    <t>Agrarian Reform</t>
  </si>
  <si>
    <t xml:space="preserve">1/ </t>
  </si>
  <si>
    <t xml:space="preserve">1/        </t>
  </si>
  <si>
    <t xml:space="preserve">2/    </t>
  </si>
  <si>
    <t>D.  Excess Agrarian Reform Credit Eligible for Agricultural Credit</t>
  </si>
  <si>
    <t>Excess/(Deficiency) (C+D)</t>
  </si>
  <si>
    <t>Proceeds Received from Funds Generated</t>
  </si>
  <si>
    <t>1/</t>
  </si>
  <si>
    <t>This amount shall be deducted from the bank's reported compliance with agri agra.</t>
  </si>
  <si>
    <t>2/</t>
  </si>
  <si>
    <t>This amount should tally with the proceeds received from funds generated.</t>
  </si>
  <si>
    <t>_b</t>
  </si>
  <si>
    <t>095050000000000001</t>
  </si>
  <si>
    <t>095050000000000003</t>
  </si>
  <si>
    <t>095050000000000002</t>
  </si>
  <si>
    <t>095050000000110003</t>
  </si>
  <si>
    <t>095050000000110001</t>
  </si>
  <si>
    <t>095050000000110002</t>
  </si>
  <si>
    <t>095050000000120003</t>
  </si>
  <si>
    <t>095050500500120003</t>
  </si>
  <si>
    <t>095050501000120003</t>
  </si>
  <si>
    <t>095051000000120003</t>
  </si>
  <si>
    <t>095050000000100003</t>
  </si>
  <si>
    <t>BANKWAYS INC. (A RURAL BANK)</t>
  </si>
  <si>
    <t>RURAL BANK OF STO DOMINGO (NUEVA ECIJA) INC</t>
  </si>
  <si>
    <t>095050000000200003</t>
  </si>
  <si>
    <t>095050000000230003</t>
  </si>
  <si>
    <t>095050000000210003</t>
  </si>
  <si>
    <t>005050000000110001</t>
  </si>
  <si>
    <t>065100500500110001</t>
  </si>
  <si>
    <t>065101000500110001</t>
  </si>
  <si>
    <t>065101001010110001</t>
  </si>
  <si>
    <t>065101001005110001</t>
  </si>
  <si>
    <t>095050000000110011</t>
  </si>
  <si>
    <t>095050000000110111</t>
  </si>
  <si>
    <t>095050000000110211</t>
  </si>
  <si>
    <t>095050000000110311</t>
  </si>
  <si>
    <t>095050000000110411</t>
  </si>
  <si>
    <t>095050000000110511</t>
  </si>
  <si>
    <t>Efficient and effective merchandising of agricultural and fishery commodities stored and/or processed by the facilities aforecited in domestic and foreign commerce</t>
  </si>
  <si>
    <t>Construction, acquisition and repair of facilities for production, processing, storage and marketing and such other facilities in support of agriculture and fisheries</t>
  </si>
  <si>
    <t>Acquisition of lands authorized under the Agrarian Reform Code of the Philippines and its amendments</t>
  </si>
  <si>
    <t>095050000000110611</t>
  </si>
  <si>
    <t>095050000000110711</t>
  </si>
  <si>
    <t>095050000000110911</t>
  </si>
  <si>
    <t>005050000000110002</t>
  </si>
  <si>
    <t>065100500500110002</t>
  </si>
  <si>
    <t>065101000500110002</t>
  </si>
  <si>
    <t>065101001010110002</t>
  </si>
  <si>
    <t>065101001005110002</t>
  </si>
  <si>
    <t>095050000000110112</t>
  </si>
  <si>
    <t>095050000000110212</t>
  </si>
  <si>
    <t>095050000000110312</t>
  </si>
  <si>
    <t>095050000000110412</t>
  </si>
  <si>
    <t>095050000000110512</t>
  </si>
  <si>
    <t>095050000000110612</t>
  </si>
  <si>
    <t>095050000000110712</t>
  </si>
  <si>
    <t>095050000000110912</t>
  </si>
  <si>
    <t>095050000000110012</t>
  </si>
  <si>
    <t>095051000500120003</t>
  </si>
  <si>
    <t>095051001000120003</t>
  </si>
  <si>
    <t>005051001000120003</t>
  </si>
  <si>
    <t>095050500595120003</t>
  </si>
  <si>
    <t>095050500505120003</t>
  </si>
  <si>
    <t>095050501010120003</t>
  </si>
  <si>
    <t>095050501015120003</t>
  </si>
  <si>
    <t>095051001005120003</t>
  </si>
  <si>
    <t>095051001010120003</t>
  </si>
  <si>
    <t>095051001015120003</t>
  </si>
  <si>
    <t>095051001020120003</t>
  </si>
  <si>
    <t>065101001005110003</t>
  </si>
  <si>
    <t>065100500500110003</t>
  </si>
  <si>
    <t>065101000500110003</t>
  </si>
  <si>
    <t>065101001010110003</t>
  </si>
  <si>
    <t>065100500506110003</t>
  </si>
  <si>
    <t>065100500507110003</t>
  </si>
  <si>
    <t>065101001005120003</t>
  </si>
  <si>
    <t>065100500500120003</t>
  </si>
  <si>
    <t>065101000500120003</t>
  </si>
  <si>
    <t>065101001010120003</t>
  </si>
  <si>
    <t>065100000000100003</t>
  </si>
  <si>
    <t xml:space="preserve">Net Carrying Amount </t>
  </si>
  <si>
    <t>Loans Rediscounted with UBs/KBs (Schedule D)</t>
  </si>
  <si>
    <t>095050000000100001</t>
  </si>
  <si>
    <t>095050000000120001</t>
  </si>
  <si>
    <t>095050000000210001</t>
  </si>
  <si>
    <t>095050000000220001</t>
  </si>
  <si>
    <t>095050000000200001</t>
  </si>
  <si>
    <t>095050000000300001</t>
  </si>
  <si>
    <t>095050000000100002</t>
  </si>
  <si>
    <t>095050000000120002</t>
  </si>
  <si>
    <t>095050000000210002</t>
  </si>
  <si>
    <t>095050000000220002</t>
  </si>
  <si>
    <t>095050000000230002</t>
  </si>
  <si>
    <t>095050000000200002</t>
  </si>
  <si>
    <t>095050000000300002</t>
  </si>
  <si>
    <t>Excess utilization/compliance of 10% agra portion may be added to and considered as utilization of the 15% other agricultural credit loans.</t>
  </si>
  <si>
    <t xml:space="preserve">2/ </t>
  </si>
  <si>
    <t xml:space="preserve">3/  </t>
  </si>
  <si>
    <r>
      <t xml:space="preserve">Investment in SDA </t>
    </r>
    <r>
      <rPr>
        <b/>
        <vertAlign val="superscript"/>
        <sz val="9"/>
        <rFont val="Calibri"/>
        <family val="2"/>
      </rPr>
      <t>1/</t>
    </r>
  </si>
  <si>
    <r>
      <t xml:space="preserve"> Amount </t>
    </r>
    <r>
      <rPr>
        <b/>
        <vertAlign val="superscript"/>
        <sz val="9"/>
        <rFont val="Calibri"/>
        <family val="2"/>
      </rPr>
      <t>2/</t>
    </r>
  </si>
  <si>
    <t>Total</t>
  </si>
  <si>
    <t xml:space="preserve">
Total</t>
  </si>
  <si>
    <r>
      <t>4/</t>
    </r>
    <r>
      <rPr>
        <sz val="10"/>
        <rFont val="Arial"/>
        <family val="2"/>
      </rPr>
      <t/>
    </r>
  </si>
  <si>
    <t xml:space="preserve">3/    </t>
  </si>
  <si>
    <t>220100002515140000</t>
  </si>
  <si>
    <t>220100002520140000</t>
  </si>
  <si>
    <t>220100002595140000</t>
  </si>
  <si>
    <t>220100002000000000</t>
  </si>
  <si>
    <t xml:space="preserve"> REPORT ON THE UTILIZATION OF LOANABLE FUNDS GENERATED WHICH WERE SET ASIDE</t>
  </si>
  <si>
    <t>220100002510040000</t>
  </si>
  <si>
    <t>3/</t>
  </si>
  <si>
    <t>Eligible Debt Securities</t>
  </si>
  <si>
    <t>Eligible Equity Securities</t>
  </si>
  <si>
    <t>A. Total Wholesale Loans Granted</t>
  </si>
  <si>
    <t>Details of Utilization of Proceeds Received from Funds Generated</t>
  </si>
  <si>
    <t>c</t>
  </si>
  <si>
    <t>Other Asset Accounts refer to funds which have been received but not yet utilized for on-lending to the agri agra sector.</t>
  </si>
  <si>
    <t>095050000000230001</t>
  </si>
  <si>
    <t>Excess/Deficiency in Agrarian Reform Credit</t>
  </si>
  <si>
    <t>095050000000240001</t>
  </si>
  <si>
    <t>095050000000240002</t>
  </si>
  <si>
    <t>Excess/Deficiency in Agricultural Credit</t>
  </si>
  <si>
    <t>Excess compliance with 10% agra credit which has been utilized as compliance with the 15% agricultural credit.  Amounts reported should always be positive.</t>
  </si>
  <si>
    <t>AGRI BUSINESS RURAL BANK INC</t>
  </si>
  <si>
    <t>AGRICOM R B (STA MARIA, BUL) INC</t>
  </si>
  <si>
    <t>ALIAGA FARMERS RB(NE)INC</t>
  </si>
  <si>
    <t>ALLIED BANKING CORP</t>
  </si>
  <si>
    <t>ALLIED SAVINGS BANK</t>
  </si>
  <si>
    <t>AMA BANK (A RURAL BANK)</t>
  </si>
  <si>
    <t>ANZ BANKING GROUP LTD</t>
  </si>
  <si>
    <t>ASIA UNITED BANK CORPORATION</t>
  </si>
  <si>
    <t>ASIATRUST DEV BANK</t>
  </si>
  <si>
    <t>ASPAC RURAL BANK INC</t>
  </si>
  <si>
    <t>BACLARAN RB INC</t>
  </si>
  <si>
    <t>BAGONG BANGKO RURAL NG MALABANG INC</t>
  </si>
  <si>
    <t>BALANGA RURAL BANK, INC.</t>
  </si>
  <si>
    <t>BALIUAG RB INC</t>
  </si>
  <si>
    <t>BANCO BAKUN INC (A RURAL BANK)</t>
  </si>
  <si>
    <t>BANCO BATANGAN INC(A RB)</t>
  </si>
  <si>
    <t>BANCO DINGRAS (COM. RB DINGRAS INC)</t>
  </si>
  <si>
    <t>BANCO FILIPINO SMB</t>
  </si>
  <si>
    <t>BANCO MAKILING, A RURAL BANK</t>
  </si>
  <si>
    <t>BANCO MAXIMO INC (A RURAL BANK)</t>
  </si>
  <si>
    <t>BANCO NG MASA (A MF-ORIENTED RB)</t>
  </si>
  <si>
    <t>BANCO RURAL DE GEN. TINIO INC</t>
  </si>
  <si>
    <t>BANCO RURAL DE ISLA CORDOVA INC</t>
  </si>
  <si>
    <t>BANCO SAN JUAN INC</t>
  </si>
  <si>
    <r>
      <t xml:space="preserve">Accredited Rural Financial Institutions </t>
    </r>
    <r>
      <rPr>
        <vertAlign val="superscript"/>
        <sz val="9"/>
        <rFont val="Calibri"/>
        <family val="2"/>
      </rPr>
      <t>2/</t>
    </r>
  </si>
  <si>
    <t>BANGKO CARRASCAL INC (A RB)</t>
  </si>
  <si>
    <t>BANGKO KABAYAN (A RURAL BANK) INC</t>
  </si>
  <si>
    <t>BANGKO MABUHAY(RURAL BANK OF TANZA)</t>
  </si>
  <si>
    <t>BANGKO NUESTRA SRA DEL PILAR INC RB</t>
  </si>
  <si>
    <t>BANGKO PANGASINAN-A RB INC</t>
  </si>
  <si>
    <t>BANGKO PASIG(RURAL BANK)</t>
  </si>
  <si>
    <t>BANGKO RURAL NG MAGARAO(CAM SUR)INC</t>
  </si>
  <si>
    <t>BANGKO RURAL NG PASACAO INC</t>
  </si>
  <si>
    <t>BANGKO RURAL NG TAGOLOAN</t>
  </si>
  <si>
    <t>BANGKOK BANK PUBLIC CO LTD</t>
  </si>
  <si>
    <t>BANK OF AMERICA N.A.</t>
  </si>
  <si>
    <t>BANK OF CALAPE</t>
  </si>
  <si>
    <t>BANK OF CHINA LIMITED-MANILA BRANCH</t>
  </si>
  <si>
    <t>BANK OF COMMERCE</t>
  </si>
  <si>
    <t>BANK OF FLORIDA INC (A RB)</t>
  </si>
  <si>
    <t>BANK OF MAKATI (A RURAL BANK) INC</t>
  </si>
  <si>
    <t>BANK OF THE PHIL ISLANDS</t>
  </si>
  <si>
    <t>BANK ONE SAVINGS AND TRUST CORP.</t>
  </si>
  <si>
    <t>BANNAWAG RB INC</t>
  </si>
  <si>
    <t>BATAAN COOPERATIVE BANK</t>
  </si>
  <si>
    <t>BATAAN DEVELOPMENT BANK</t>
  </si>
  <si>
    <t>BATAAN SLA</t>
  </si>
  <si>
    <t>BATANGAS RB FOR COOP INC</t>
  </si>
  <si>
    <t>BDO ELITE SAVINGS BANK INC</t>
  </si>
  <si>
    <t>BDO PRIVATE BANK, INC.</t>
  </si>
  <si>
    <t>BENGUET CENTER BANK INC A RB</t>
  </si>
  <si>
    <t>BHF RURAL BANK INC</t>
  </si>
  <si>
    <t>BINAN RURAL BANK INC</t>
  </si>
  <si>
    <t>BINANGONAN RB INC</t>
  </si>
  <si>
    <t>BOLBOK RB INC</t>
  </si>
  <si>
    <t>BPI DIRECT SAVINGS BANK</t>
  </si>
  <si>
    <t>BPI FAMILY SAVINGS BANK</t>
  </si>
  <si>
    <t>BUILDERS' RURAL BANK</t>
  </si>
  <si>
    <t>BUKIDNON BANK INC (RB KALILANGAN)</t>
  </si>
  <si>
    <t>BUSINESS &amp; CONSUMERS BANK A DB</t>
  </si>
  <si>
    <t>BUTUAN CITY RB INC</t>
  </si>
  <si>
    <t>CABANATUAN CITY RB INC</t>
  </si>
  <si>
    <t>CAGSAWA RURAL BANK INC</t>
  </si>
  <si>
    <t>CAMILING RB INC</t>
  </si>
  <si>
    <t>CANTILAN BANK INC (A RURAL BANK)</t>
  </si>
  <si>
    <t>CAPIZ SETTLERS COOPERATIVE RB INC</t>
  </si>
  <si>
    <t>CARD BANK INC (A MF RB)</t>
  </si>
  <si>
    <t>CAVITE RURAL BANKING CORP</t>
  </si>
  <si>
    <t>CEBUANA LHUILLIER RB INC</t>
  </si>
  <si>
    <t>CENTRAL EQUITY RURAL BANK INC</t>
  </si>
  <si>
    <t>CENTRAL VISAYAS RB INC</t>
  </si>
  <si>
    <t>CENTURY RB INC (RB OF BABAK INC)</t>
  </si>
  <si>
    <t>CHINA BANK SAVINGS INC</t>
  </si>
  <si>
    <t>CHINA BANKING CORP</t>
  </si>
  <si>
    <t>CHINATRUST(PHILS) CBC</t>
  </si>
  <si>
    <t>CITIBANK SAVINGS INC</t>
  </si>
  <si>
    <t>CITIBANK, N.A.</t>
  </si>
  <si>
    <t>CITIZEN'S RB(CABIAO) INC</t>
  </si>
  <si>
    <t>CITY SAVINGS BANK</t>
  </si>
  <si>
    <t xml:space="preserve">1. </t>
  </si>
  <si>
    <t>095050501005120003</t>
  </si>
  <si>
    <t>CITYSTATE SAVINGS BANK INC</t>
  </si>
  <si>
    <t>CLASSIC RURAL BANK INC</t>
  </si>
  <si>
    <t>COMMTY RB OF CATMON INC</t>
  </si>
  <si>
    <t>COMMTY RB OF CLARIN INC</t>
  </si>
  <si>
    <t>COMMTY RB OF DAPITAN CITY</t>
  </si>
  <si>
    <t>COMMTY RB OF MAGALLON INC</t>
  </si>
  <si>
    <t>COMMTY RB OF MAGSAYSAY INC</t>
  </si>
  <si>
    <t>COMMTY RB OF MEDELLIN INC</t>
  </si>
  <si>
    <t>COMMTY RB OF NAAWAN INC</t>
  </si>
  <si>
    <t>COMMTY RB OF ROMBLON INC</t>
  </si>
  <si>
    <t>COMMTY RB OF SAN FELIPE INC</t>
  </si>
  <si>
    <t>COMMTY RB OF SAN GABRIEL INC</t>
  </si>
  <si>
    <t>COMMUNITY BANK (RB OF ALFONSO)</t>
  </si>
  <si>
    <t>COOP BANK OF AGUSAN DEL SUR</t>
  </si>
  <si>
    <t>COOP BANK OF AURORA</t>
  </si>
  <si>
    <t>COOP BANK OF BENGUET</t>
  </si>
  <si>
    <t>COOP BANK OF CAGAYAN(COOP RB CAG)</t>
  </si>
  <si>
    <t>COOP BANK OF CAMARINES NORTE</t>
  </si>
  <si>
    <t>COOP BANK OF CAVITE</t>
  </si>
  <si>
    <t>RURAL BANK OF RONDA</t>
  </si>
  <si>
    <t>COOP BANK OF COTABATO</t>
  </si>
  <si>
    <t>COOP BANK OF LA UNION</t>
  </si>
  <si>
    <t>COOP BANK OF LEYTE-LEYTE COOP RB</t>
  </si>
  <si>
    <t>_a</t>
  </si>
  <si>
    <t/>
  </si>
  <si>
    <t>COOP BANK OF MISAMIS ORIENTAL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</si>
  <si>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</si>
  <si>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</si>
  <si>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</si>
  <si>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</si>
  <si>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</si>
  <si>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</si>
  <si>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BNK OF ILOCOS NORTE-COOP RB IN</t>
  </si>
  <si>
    <t>COOP RB OF BUKIDNON INC</t>
  </si>
  <si>
    <t>COOP RB OF BULACAN INC</t>
  </si>
  <si>
    <t>COOP RB OF DAVAO DEL SUR INC</t>
  </si>
  <si>
    <t>COOP RB OF ZAMBOANGA DEL NORTE</t>
  </si>
  <si>
    <t>COOPERATIVE BANK OF CEBU</t>
  </si>
  <si>
    <t>COOPERATIVE BANK OF ILOILO</t>
  </si>
  <si>
    <t>COOPERATIVE BANK OF NUEVA VIZCAYA</t>
  </si>
  <si>
    <t>COOPERATIVE BANK OF PAMPANGA INC</t>
  </si>
  <si>
    <t>COOPERATIVE BANK OF TARLAC INC</t>
  </si>
  <si>
    <t>CORDILLERA BANK (A RURAL BANK) INC.</t>
  </si>
  <si>
    <t>CORDILLERA SAVINGS BANK INC</t>
  </si>
  <si>
    <t>COUNTRY RB OF TAGUIG INC</t>
  </si>
  <si>
    <t>COUNTRYSIDE RB OF PALAUIG(ZAMBALES)</t>
  </si>
  <si>
    <t>CROWN BANK, INC (A RB)</t>
  </si>
  <si>
    <t>CUYAPO RB INC</t>
  </si>
  <si>
    <t>AGRICULTURAL BANK OF THE PHIL INC</t>
  </si>
  <si>
    <t>BANCO DE CALAMBA, INC. (A RURAL BANK)</t>
  </si>
  <si>
    <t>CARITAS BANCO NG MASA INC (A MFRB)</t>
  </si>
  <si>
    <t>CAVITE UNITED RURAL BANK CORPORATION</t>
  </si>
  <si>
    <t>CONSOLIDATED COOPERATIVE BANK</t>
  </si>
  <si>
    <t>COOP BANK OF AGUSAN NORTE-BUTUAN CITY</t>
  </si>
  <si>
    <t>COOPERATIVE RURAL BANK OF BOHOL</t>
  </si>
  <si>
    <t>COUNTRY BUILDERS BANK INC (A RB)</t>
  </si>
  <si>
    <t>COUNTRYSIDE COOP RB OF BATANGAS</t>
  </si>
  <si>
    <t>SG BANK A RURAL BANK INC</t>
  </si>
  <si>
    <t>DE LA O RURAL BANK INC</t>
  </si>
  <si>
    <t>DELMONT BANK INC(RB SJDM INC)</t>
  </si>
  <si>
    <t>DEUTSCHE BANK AG</t>
  </si>
  <si>
    <t>DEVELOPMENT BANK OF THE PHIL</t>
  </si>
  <si>
    <t>DIAMOND RURAL BANK INC</t>
  </si>
  <si>
    <t>DUMAGUETE CITY DEV BANK</t>
  </si>
  <si>
    <t>DUMAGUETE RB INC</t>
  </si>
  <si>
    <t>DUNGGANON BANK INC (A MF TB)</t>
  </si>
  <si>
    <t>EAST COAST RB INC (RB HAGONOY)</t>
  </si>
  <si>
    <t>EAST WEST BANKING CORP</t>
  </si>
  <si>
    <t>EASTERN RIZAL RB INC (JALA-JALA RB)</t>
  </si>
  <si>
    <t>EIB SAVINGS BANK INC</t>
  </si>
  <si>
    <t>EMERALD RURAL BANK INC</t>
  </si>
  <si>
    <t>EMPIRE RURAL BANK INC</t>
  </si>
  <si>
    <t>ENTERPRISE CAPITAL BANK (RB TAGUIG)</t>
  </si>
  <si>
    <t>ENTREPRENUER RB INC</t>
  </si>
  <si>
    <t>EQUICOM SAVINGS BANK INC</t>
  </si>
  <si>
    <t>EXPORT AND INDUSTRY BANK INC</t>
  </si>
  <si>
    <t>EXPRESS SAVINGS BANK INC</t>
  </si>
  <si>
    <t>FARM BANK(A RB)-FARMERS' BANK CAPIZ</t>
  </si>
  <si>
    <t>FARMERS RB INC</t>
  </si>
  <si>
    <t>FARMERS SAVINGS &amp; LOAN BANK INC</t>
  </si>
  <si>
    <t>FIL-AGRO RURAL BANK INC</t>
  </si>
  <si>
    <t>FILIDIAN RURAL BANK INC</t>
  </si>
  <si>
    <t>FILIPINO SAVERS BANK INC (A RB)</t>
  </si>
  <si>
    <t>FINMAN RURAL BANK</t>
  </si>
  <si>
    <t>FIRST AGRO-INDUSTRIAL RB INC</t>
  </si>
  <si>
    <t>FIRST COMMUNITY BANK INC (RB)</t>
  </si>
  <si>
    <t>FIRST CONSOLIDATED BANK INC (A PDB)</t>
  </si>
  <si>
    <t>FIRST ISABELA COOP BANK</t>
  </si>
  <si>
    <t>FIRST MIDLAND RURAL BANK INC</t>
  </si>
  <si>
    <t>FIRST MINDORO MICROFINANCE RB INC</t>
  </si>
  <si>
    <t>FIRST NAGA BANK (A RURAL BANK)</t>
  </si>
  <si>
    <t>FIRST PROVINCIAL BANK INC (A RB)</t>
  </si>
  <si>
    <t>FIRST STATE RURAL BANK INC</t>
  </si>
  <si>
    <t>FIRST UNITED FARMERS RB INC</t>
  </si>
  <si>
    <t>FRONTIER RURAL BANK INC</t>
  </si>
  <si>
    <t>GATEWAY RURAL BANK INC</t>
  </si>
  <si>
    <t>GMA RB OF CAVITE INC</t>
  </si>
  <si>
    <t>GOLDEN RB OF THE PHILS</t>
  </si>
  <si>
    <t>GRAND-AGRI RURAL BANK</t>
  </si>
  <si>
    <t>GREEN BANK (RURAL GREENBANK CARAGA)</t>
  </si>
  <si>
    <t>GROWERS RURAL BANK (GRB) INC</t>
  </si>
  <si>
    <t>GUAGUA RURAL BANK INC</t>
  </si>
  <si>
    <t>GUAGUA SAVERS BANK(A RB) INC</t>
  </si>
  <si>
    <t>HIGHLAND RB(RB KAPANGAN INC)</t>
  </si>
  <si>
    <t>HIYAS BANKING CORPORATION (A TB)</t>
  </si>
  <si>
    <t>HONGKONG &amp; SHANGHAI BANKING CORP</t>
  </si>
  <si>
    <t>HSBC SAVINGS BANK(PHILS) INC</t>
  </si>
  <si>
    <t>IBALON RURAL BANK INC</t>
  </si>
  <si>
    <t>ILOCANDIA COMMUNITY BANK</t>
  </si>
  <si>
    <t>ILOCOS SUR COOPERATIVE BANK</t>
  </si>
  <si>
    <t>ILOILO CITY DEVELOPMENT BANK</t>
  </si>
  <si>
    <t>IMUS RURAL BANK INC</t>
  </si>
  <si>
    <t>INSULAR RURAL BANK</t>
  </si>
  <si>
    <t>INTER-ASIA DEVELOPMENT BANK</t>
  </si>
  <si>
    <t>INTERNATIONALE NEDERLANDEN GROEP BK</t>
  </si>
  <si>
    <t>ISLA BANK(A THRIFT BANK) INC</t>
  </si>
  <si>
    <t>JANIUAY RURAL BANK INC</t>
  </si>
  <si>
    <t>JP MORGAN CHASE BANK NATIONAL ASSN.</t>
  </si>
  <si>
    <t>KALUYAGAN RURAL BANK INC</t>
  </si>
  <si>
    <t>KEY RURAL BANK INC</t>
  </si>
  <si>
    <t>KOREA EXCHANGE BANK</t>
  </si>
  <si>
    <t>LA CONSOLACION RURAL BANK</t>
  </si>
  <si>
    <t>LAGAWE HIGHLANDS RB INC</t>
  </si>
  <si>
    <t>LAND BANK OF THE  PHILIPPINES</t>
  </si>
  <si>
    <t>LAPU-LAPU RB INC</t>
  </si>
  <si>
    <t>LBC DEVELOPMENT BANK</t>
  </si>
  <si>
    <t>LEGAZPI SAVINGS BANK INC</t>
  </si>
  <si>
    <t>LEMERY SAVINGS &amp; LOAN BANK, INC.</t>
  </si>
  <si>
    <t>LIBERTY SAVINGS BANK INC</t>
  </si>
  <si>
    <t>LIFE BANK-RB OF MAASIN (ILOILO)</t>
  </si>
  <si>
    <t>LIFE SAVINGS BANK INC</t>
  </si>
  <si>
    <t>LIMCOMA RURAL BANK INC</t>
  </si>
  <si>
    <t>LIPA BANK INC (A RB)</t>
  </si>
  <si>
    <t>LUDB BANK INC (A RB)</t>
  </si>
  <si>
    <t>LUZON DEVELOPMENT BANK</t>
  </si>
  <si>
    <t>MACTAN RURAL BANK INC</t>
  </si>
  <si>
    <t>CONSOLIDATED REPORT ON UTILIZATION OF</t>
  </si>
  <si>
    <t>$$1</t>
  </si>
  <si>
    <t>$$2</t>
  </si>
  <si>
    <t>$$3</t>
  </si>
  <si>
    <t>MAHARLIKA RURAL BANK INC</t>
  </si>
  <si>
    <t>MALARAYAT RB INC</t>
  </si>
  <si>
    <t>MALASIQUI PROGRESSIVE SLB, INC</t>
  </si>
  <si>
    <t>MALAYAN BANK SAVINGS &amp; MORT BANK</t>
  </si>
  <si>
    <t>MALAYBALAY RB INC</t>
  </si>
  <si>
    <t>MALLIG PLAINS RURAL BANK INC</t>
  </si>
  <si>
    <t>MAMBAJAO COMMUNITY RURAL BAN INC</t>
  </si>
  <si>
    <t>MASAGANA RURAL BANK (NE)</t>
  </si>
  <si>
    <t>MASANTOL RURAL BANK INC</t>
  </si>
  <si>
    <t>MASUWERTE RB OF BACOOR INC</t>
  </si>
  <si>
    <t>MAYBANK PHILIPPINES INC</t>
  </si>
  <si>
    <t>MEGA INT'L COMM'L BANK CO LTD</t>
  </si>
  <si>
    <t>MEGA RURAL BANK INC</t>
  </si>
  <si>
    <t>MERCHANTS SAVINGS &amp; LOAN ASSN INC</t>
  </si>
  <si>
    <t>METRO CEBU PUBLIC SAVINGS BANK</t>
  </si>
  <si>
    <t>METRO SOUTH COOP BANK</t>
  </si>
  <si>
    <t>METROPOLITAN BANK &amp; TCO</t>
  </si>
  <si>
    <t>MICROFINANCE MAXIMUM SB (MAXBANK)</t>
  </si>
  <si>
    <t>MILLENNIUM BANK INC-A RB</t>
  </si>
  <si>
    <t>MISAMIS OCCIDENTAL COOP BANK</t>
  </si>
  <si>
    <t>MIZUHO CORPORATE BANK LTD-MANILA BR</t>
  </si>
  <si>
    <t>MONEY MALL RB INC</t>
  </si>
  <si>
    <t>MUNICIPAL RB OF LIBMANAN INC</t>
  </si>
  <si>
    <t>MUNICIPAL RB OF NABUA INC</t>
  </si>
  <si>
    <t>MVSM BANK (A RURAL BANK SINCE 1953)</t>
  </si>
  <si>
    <t>EAST WEST RURAL BANK INC</t>
  </si>
  <si>
    <t>NATIONAL TEACHERS &amp; EMP. COOP BANK</t>
  </si>
  <si>
    <t>NEGROS COOPERATIVE BANK</t>
  </si>
  <si>
    <t>NEW RB OF AGONCILLO INC</t>
  </si>
  <si>
    <t>NEW RB OF BINALBAGAN INC</t>
  </si>
  <si>
    <t>NEW RB OF SAN LEONARDO(N.E.) INC</t>
  </si>
  <si>
    <t>NEW RB OF VICTORIAS INC</t>
  </si>
  <si>
    <t>NORTH PACIFIC BANKING CORP (A RB)</t>
  </si>
  <si>
    <t>NORTHPOINT DEV'T BANK INC</t>
  </si>
  <si>
    <t>OCC. MINDORO COOP BANK</t>
  </si>
  <si>
    <t>OCCIDENTAL MINDORO RURAL BANK INC</t>
  </si>
  <si>
    <t>ONE NETWORK RB INC</t>
  </si>
  <si>
    <t>OPTIMUM DEVELOPMENT BANK</t>
  </si>
  <si>
    <t>OR. TAMARAW RB OF NAUJAN</t>
  </si>
  <si>
    <t>ORMON BANK (RB OF MULANAY INC)</t>
  </si>
  <si>
    <t>PACIFIC ACE SAVINGS BANK</t>
  </si>
  <si>
    <t>PAMPANGA DEVELOPMENT BANK</t>
  </si>
  <si>
    <t>PANGASINAN BANK (A RB) INC</t>
  </si>
  <si>
    <t>PANGUIL BAY RURAL BANK INC</t>
  </si>
  <si>
    <t>PARTNER RURAL BANK (COTABATO) INC</t>
  </si>
  <si>
    <t>PENAFRANCIA RB OF CALABANGA INC</t>
  </si>
  <si>
    <t>PEOPLE'S RB(GEN SANTOS CITY) INC</t>
  </si>
  <si>
    <t>PHIL BANK OF COMMUNICATIONS</t>
  </si>
  <si>
    <t>PHIL NATIONAL BANK</t>
  </si>
  <si>
    <t>PHIL POSTAL SAVINGS BANK</t>
  </si>
  <si>
    <t>PHIL SAVINGS BANK</t>
  </si>
  <si>
    <t>PHIL TRUST COMPANY</t>
  </si>
  <si>
    <r>
      <t xml:space="preserve">Other Agri Loans Funded by Proceeds of Bond Issues (Schedule D) </t>
    </r>
    <r>
      <rPr>
        <vertAlign val="superscript"/>
        <sz val="9"/>
        <rFont val="Calibri"/>
        <family val="2"/>
      </rPr>
      <t>1/</t>
    </r>
  </si>
  <si>
    <r>
      <t xml:space="preserve">Other Agri Loans Funded by Proceeds of SDAs (Schedule D)  </t>
    </r>
    <r>
      <rPr>
        <vertAlign val="superscript"/>
        <sz val="9"/>
        <rFont val="Calibri"/>
        <family val="2"/>
      </rPr>
      <t>2/</t>
    </r>
  </si>
  <si>
    <r>
      <t xml:space="preserve">Loans Funded by Proceeds of Bond Issues (Schedule D) </t>
    </r>
    <r>
      <rPr>
        <vertAlign val="superscript"/>
        <sz val="9"/>
        <rFont val="Calibri"/>
        <family val="2"/>
      </rPr>
      <t>1/</t>
    </r>
  </si>
  <si>
    <r>
      <t xml:space="preserve">Loans Funded by Proceeds of SDAs (Schedule D)  </t>
    </r>
    <r>
      <rPr>
        <vertAlign val="superscript"/>
        <sz val="9"/>
        <rFont val="Calibri"/>
        <family val="2"/>
      </rPr>
      <t>2/</t>
    </r>
  </si>
  <si>
    <r>
      <t xml:space="preserve">Amount   </t>
    </r>
    <r>
      <rPr>
        <b/>
        <vertAlign val="superscript"/>
        <sz val="9"/>
        <rFont val="Calibri"/>
        <family val="2"/>
      </rPr>
      <t>1/</t>
    </r>
  </si>
  <si>
    <r>
      <t xml:space="preserve">Investments in DBP/LBP Bonds </t>
    </r>
    <r>
      <rPr>
        <vertAlign val="superscript"/>
        <sz val="9"/>
        <rFont val="Calibri"/>
        <family val="2"/>
      </rPr>
      <t>2/</t>
    </r>
  </si>
  <si>
    <r>
      <t xml:space="preserve">Investments in other Debt Securities </t>
    </r>
    <r>
      <rPr>
        <vertAlign val="superscript"/>
        <sz val="9"/>
        <rFont val="Calibri"/>
        <family val="2"/>
      </rPr>
      <t>3/</t>
    </r>
  </si>
  <si>
    <t>BANCO COOPERATIVA DE ZAMBOANGA</t>
  </si>
  <si>
    <t>Net of unamortized premium or discount.  Amounts classified according to original maturity.</t>
  </si>
  <si>
    <t>PHILIPPINE VETERANS BANK</t>
  </si>
  <si>
    <t>PLANBANK-RB OF CANLUBANG PLANTERS</t>
  </si>
  <si>
    <t>PLANTERS DEVELOPMENT BANK</t>
  </si>
  <si>
    <t>PRES JOSE P LAUREL RB INC</t>
  </si>
  <si>
    <t>PROGRESSIVE BANK INC(PROG.A RB INC)</t>
  </si>
  <si>
    <t>PROVIDENCE RURAL BANK INC</t>
  </si>
  <si>
    <t>PROVIDENT RB OF STA. CRUZ, INC.</t>
  </si>
  <si>
    <t>QUEEN CITY DEVELOPMENT BANK</t>
  </si>
  <si>
    <t>QUEZON CAPITAL RB INC</t>
  </si>
  <si>
    <t>QUEZON TRADERS RB OF CANDELARIA INC</t>
  </si>
  <si>
    <t>RACSO'S BANK INC (A RURAL BANK)</t>
  </si>
  <si>
    <t>RANG-AY BANK (A RURAL BANK) INC</t>
  </si>
  <si>
    <t>RB OF ABUCAY INC</t>
  </si>
  <si>
    <t>RB OF AGNO INC</t>
  </si>
  <si>
    <t>RB OF AGOO INC</t>
  </si>
  <si>
    <t>RB OF ALABAT INC</t>
  </si>
  <si>
    <t>RB OF ALABEL INC</t>
  </si>
  <si>
    <t>RB OF ALAMINOS (LAGUNA) INC</t>
  </si>
  <si>
    <t>RB OF ALAMINOS (PANGASINAN) INC</t>
  </si>
  <si>
    <t>RB OF ALICIA INC</t>
  </si>
  <si>
    <t>RB OF ALIMODIAN INC</t>
  </si>
  <si>
    <t>RB OF ALITAGTAG INC</t>
  </si>
  <si>
    <t>RB OF ALTAVAS INC</t>
  </si>
  <si>
    <t>RB OF AMADEO(CAVITE)INC</t>
  </si>
  <si>
    <t>RB OF AMLAN INC</t>
  </si>
  <si>
    <t>RB OF ANDA INC</t>
  </si>
  <si>
    <t>RB OF ANGADANAN INC</t>
  </si>
  <si>
    <t>RB OF ANGAT INC</t>
  </si>
  <si>
    <t>RB OF ANGELES INC</t>
  </si>
  <si>
    <t>RB OF ANGONO INC</t>
  </si>
  <si>
    <t>RB OF ANILAO INC</t>
  </si>
  <si>
    <t>RB OF ANTIPOLO INC</t>
  </si>
  <si>
    <t>RB OF APALIT INC</t>
  </si>
  <si>
    <t>RB OF ARITAO INC</t>
  </si>
  <si>
    <t>RB OF ATIMONAN INC</t>
  </si>
  <si>
    <t>RB OF BACNOTAN INC</t>
  </si>
  <si>
    <t>RB OF BACO INC</t>
  </si>
  <si>
    <t>RB OF BACOLOD CITY INC</t>
  </si>
  <si>
    <t>RB OF BACONG (NEGROS ORIENTAL)</t>
  </si>
  <si>
    <t>RB OF BADIANGAN INC</t>
  </si>
  <si>
    <t>RB OF BAGABAG INC</t>
  </si>
  <si>
    <t>RB OF BAGAC INC</t>
  </si>
  <si>
    <t>RB OF BAGUIO INC</t>
  </si>
  <si>
    <t>RB OF BALER INC</t>
  </si>
  <si>
    <t>RB OF BALETE INC</t>
  </si>
  <si>
    <t>RB OF BALINGASAG INC</t>
  </si>
  <si>
    <t>RB OF BALUNGAO INC</t>
  </si>
  <si>
    <t>RB OF BAMBANG INC</t>
  </si>
  <si>
    <t>RB OF BANAYOYO INC</t>
  </si>
  <si>
    <t>RB OF BANGA INC</t>
  </si>
  <si>
    <t>RB OF BANGAR INC</t>
  </si>
  <si>
    <t>RB OF BANSUD INC</t>
  </si>
  <si>
    <t>RB OF BARILI INC</t>
  </si>
  <si>
    <t>RB OF BAROTAC NUEVO INC</t>
  </si>
  <si>
    <t>RB OF BAROTAC VIEJO INC</t>
  </si>
  <si>
    <t>RB OF BASAY INC</t>
  </si>
  <si>
    <t>RB OF BASEY INC</t>
  </si>
  <si>
    <t>RB OF BATAC INC</t>
  </si>
  <si>
    <t>RB OF BATO INC</t>
  </si>
  <si>
    <t>RB OF BAUANG INC</t>
  </si>
  <si>
    <t>RB OF BAY INC</t>
  </si>
  <si>
    <t>RB OF BAYAMBANG INC</t>
  </si>
  <si>
    <t>RB OF BAYAWAN INC</t>
  </si>
  <si>
    <t>RB OF BAYOMBONG INC</t>
  </si>
  <si>
    <t>RB OF BENITO SOLIVEN</t>
  </si>
  <si>
    <t>RB OF BINGAWAN INC</t>
  </si>
  <si>
    <t>RB OF BOGO INC</t>
  </si>
  <si>
    <t>RB OF BOLINAO INC</t>
  </si>
  <si>
    <t>RB OF BONIFACIO INC</t>
  </si>
  <si>
    <t>RB OF BONTOC INC</t>
  </si>
  <si>
    <t>RB OF BORONGAN INC</t>
  </si>
  <si>
    <t>RB OF BROOKES POINT INC</t>
  </si>
  <si>
    <t>RB OF BUCAY INC</t>
  </si>
  <si>
    <t>RB OF BUENAVISTA INC</t>
  </si>
  <si>
    <t>RB OF BUGASONG INC</t>
  </si>
  <si>
    <t>RB OF BUGUIAS INC</t>
  </si>
  <si>
    <t>RB OF BURAUEN INC</t>
  </si>
  <si>
    <t>RB OF BUSTOS INC</t>
  </si>
  <si>
    <t>RB OF CABA INC</t>
  </si>
  <si>
    <t>RB OF CABADBARAN INC</t>
  </si>
  <si>
    <t>RB OF CABANGAN INC</t>
  </si>
  <si>
    <t>RB OF CABATUAN (ILOILO) INC</t>
  </si>
  <si>
    <t>RB OF CABUGAO INC</t>
  </si>
  <si>
    <t>RB OF CADIZ INC</t>
  </si>
  <si>
    <t>RB OF CAINTA INC</t>
  </si>
  <si>
    <t>RB OF CALACA INC</t>
  </si>
  <si>
    <t>RB OF CALAMBA INC</t>
  </si>
  <si>
    <t>RB OF CALASIAO INC</t>
  </si>
  <si>
    <t>RB OF CALAUAN INC</t>
  </si>
  <si>
    <t>RB OF CALBAYOG CITY INC</t>
  </si>
  <si>
    <t>RB OF CALINOG INC</t>
  </si>
  <si>
    <t>RB OF CALOOCAN INC</t>
  </si>
  <si>
    <t>RB OF CALUBIAN INC</t>
  </si>
  <si>
    <t>RB OF CAMALIG INC</t>
  </si>
  <si>
    <t>RB OF CANDELARIA (QUEZON) INC</t>
  </si>
  <si>
    <t>RB OF CANDELARIA (ZAMBALES) INC</t>
  </si>
  <si>
    <t>RB OF CAPALONGA INC</t>
  </si>
  <si>
    <t>RB OF CARDONA INC</t>
  </si>
  <si>
    <t>RB OF CASIGURAN INC</t>
  </si>
  <si>
    <t>RB OF CATUBIG INC</t>
  </si>
  <si>
    <t>RB OF CAUAYAN (ISABELA) INC</t>
  </si>
  <si>
    <t>RB OF CAVINTI INC</t>
  </si>
  <si>
    <t>RB OF CEBU SOUTH INC</t>
  </si>
  <si>
    <t>RB OF CENTRAL PANGASINAN INC</t>
  </si>
  <si>
    <t>RB OF CLAVERIA INC</t>
  </si>
  <si>
    <t>RB OF COMPOSTELA(COMVAL) INC</t>
  </si>
  <si>
    <t>RB OF COTABATO INC</t>
  </si>
  <si>
    <t>RB OF CUARTERO INC</t>
  </si>
  <si>
    <t>RB OF CUENCA INC</t>
  </si>
  <si>
    <t>RB OF CUYO INC</t>
  </si>
  <si>
    <t>RB OF DAO INC</t>
  </si>
  <si>
    <t>RB OF DASMARINAS INC</t>
  </si>
  <si>
    <t>RB OF DATU PAGLAS INC</t>
  </si>
  <si>
    <t>RB OF DIGOS INC</t>
  </si>
  <si>
    <t>RB OF DIPOLOG INC</t>
  </si>
  <si>
    <t>RB OF DOLORES (QUEZON) INC</t>
  </si>
  <si>
    <t>RB OF DONA R TRINIDAD INC</t>
  </si>
  <si>
    <t>RB OF DONSOL INC</t>
  </si>
  <si>
    <t>RB OF DULAG INC</t>
  </si>
  <si>
    <t>RB OF DUMANGAS INC</t>
  </si>
  <si>
    <t>RB OF DUPAX INC</t>
  </si>
  <si>
    <t>RB OF EL SALVADOR INC</t>
  </si>
  <si>
    <t>RB OF ESCALANTE INC</t>
  </si>
  <si>
    <t>RB OF GAINZA INC</t>
  </si>
  <si>
    <t>RB OF GALIMUYOD INC</t>
  </si>
  <si>
    <t>RB OF GANDARA INC</t>
  </si>
  <si>
    <t>RB OF GARCIA-HERNANDEZ INC</t>
  </si>
  <si>
    <t>RB OF GATTARAN INC</t>
  </si>
  <si>
    <t>RB OF GENERAL LUNA INC</t>
  </si>
  <si>
    <t>RB OF GENERAL TRIAS INC</t>
  </si>
  <si>
    <t>RB OF GIGAQUIT INC</t>
  </si>
  <si>
    <t>RB OF GINGOOG INC</t>
  </si>
  <si>
    <t>RB OF GITAGUM INC</t>
  </si>
  <si>
    <t>RB OF GLORIA INC</t>
  </si>
  <si>
    <t>RB OF GOA INC</t>
  </si>
  <si>
    <t>RB OF GUIHULNGAN INC</t>
  </si>
  <si>
    <t>RB OF GUINOBATAN INC</t>
  </si>
  <si>
    <t>RB OF GUIUAN INC</t>
  </si>
  <si>
    <t>RB OF HAGONOY INC</t>
  </si>
  <si>
    <t>RB OF HERMOSA INC</t>
  </si>
  <si>
    <t>RB OF HILONGOS INC</t>
  </si>
  <si>
    <t>RB OF HINDANG INC</t>
  </si>
  <si>
    <t>RB OF HINUNDAYAN INC</t>
  </si>
  <si>
    <t>RB OF IBAJAY INC</t>
  </si>
  <si>
    <t>RB OF ILIGAN CITY INC</t>
  </si>
  <si>
    <t>RB OF ILOG INC</t>
  </si>
  <si>
    <t>RB OF ILOILO CITY INC</t>
  </si>
  <si>
    <t>RB OF INFANTA INC</t>
  </si>
  <si>
    <t>RB OF INITAO INC</t>
  </si>
  <si>
    <t>RB OF IROSIN INC</t>
  </si>
  <si>
    <t>RB OF ITOGON INC</t>
  </si>
  <si>
    <t>RB OF JAEN INC</t>
  </si>
  <si>
    <t>RB OF JAMINDAN INC</t>
  </si>
  <si>
    <t>RB OF JAVIER INC</t>
  </si>
  <si>
    <t>RB OF JIMENEZ INC</t>
  </si>
  <si>
    <t>RB OF JORDAN INC</t>
  </si>
  <si>
    <t>RB OF JOSE PANGANIBAN INC</t>
  </si>
  <si>
    <t>RB OF KABASALAN INC</t>
  </si>
  <si>
    <t>RB OF KAPALONG INC</t>
  </si>
  <si>
    <t>RB OF KAROMATAN INC</t>
  </si>
  <si>
    <t>RB OF KAWIT INC</t>
  </si>
  <si>
    <t>RB OF KIAMBA INC</t>
  </si>
  <si>
    <t>RB OF KIBAWE INC</t>
  </si>
  <si>
    <t>RB OF KINOGITAN INC</t>
  </si>
  <si>
    <t>RB OF KOLAMBUGAN INC</t>
  </si>
  <si>
    <t>RB OF LA PAZ (TARLAC) INC</t>
  </si>
  <si>
    <t>RB OF LA TRINIDAD INC</t>
  </si>
  <si>
    <t>RB OF LABASON INC</t>
  </si>
  <si>
    <t>RB OF LABRADOR INC</t>
  </si>
  <si>
    <t>RB OF LANUZA INC</t>
  </si>
  <si>
    <t>RB OF LARENA INC</t>
  </si>
  <si>
    <t>RB OF LEBAK INC</t>
  </si>
  <si>
    <t>RB OF LEGANES INC</t>
  </si>
  <si>
    <t>RB OF LEMERY (BATANGAS) INC</t>
  </si>
  <si>
    <t>RB OF LILOY INC</t>
  </si>
  <si>
    <t>RB OF LIMAY INC</t>
  </si>
  <si>
    <t>RB OF LIPA CITY INC</t>
  </si>
  <si>
    <t>RB OF LOBO INC</t>
  </si>
  <si>
    <t>RB OF LOON INC</t>
  </si>
  <si>
    <t>RB OF LOPEZ JAENA INC</t>
  </si>
  <si>
    <t>RB OF LORETO INC</t>
  </si>
  <si>
    <t>RB OF LUBAO INC</t>
  </si>
  <si>
    <t>RB OF LUCBAN INC</t>
  </si>
  <si>
    <t>RB OF LUISIANA INC</t>
  </si>
  <si>
    <t>RB OF LUMBAN INC</t>
  </si>
  <si>
    <t>RB OF LUNA (ISABELA) INC</t>
  </si>
  <si>
    <t>RB OF LUNA (K-APAYAO)INC</t>
  </si>
  <si>
    <t>RB OF LUNA (LA UNION) INC</t>
  </si>
  <si>
    <t>RB OF LUPAO INC</t>
  </si>
  <si>
    <t>RB OF M'LANG INC</t>
  </si>
  <si>
    <t>UTILIZATION OF THE 15% LOANABLE FUNDS</t>
  </si>
  <si>
    <t>RB OF MA-AO INC</t>
  </si>
  <si>
    <t>RB OF MABALACAT INC</t>
  </si>
  <si>
    <t>Parent bank with majority-owned subsidiary bank/s shall accomplish this schedule when reporting compliance on a group-wide basis.  The consolidated 
form shall be supported by the individual reports of the bank and its subsidiary bank/s duly signed by each bank's authorized signatory.</t>
  </si>
  <si>
    <t>RB OF MABINI (BATANGAS) INC</t>
  </si>
  <si>
    <t>RB OF MABITAC INC</t>
  </si>
  <si>
    <t>RB OF MADDELA INC</t>
  </si>
  <si>
    <t>BANK OF ORMOC, INC. (A RURAL BANK)</t>
  </si>
  <si>
    <t xml:space="preserve">COMSAVINGS BANK                    </t>
  </si>
  <si>
    <t>LIBERTY BANK (A RURAL BANK) INC</t>
  </si>
  <si>
    <t xml:space="preserve">MARITIME SAVINGS BANK CORPORATION  </t>
  </si>
  <si>
    <t>PEOPLES BANK OF CARAGA, INC. (A RURAL BANK)</t>
  </si>
  <si>
    <t xml:space="preserve">PROGRESS SAVINGS AND LOAN BANK INC </t>
  </si>
  <si>
    <t xml:space="preserve">RB OF TALUGTUG (NE) INC            </t>
  </si>
  <si>
    <t xml:space="preserve">RURAL BANK OF LINGAYEN INC         </t>
  </si>
  <si>
    <t>SECURITY BANK SAVINGS CORPORATION</t>
  </si>
  <si>
    <t xml:space="preserve">VALIANT BANK INC (A RURAL BANK)    </t>
  </si>
  <si>
    <t>xx</t>
  </si>
  <si>
    <t>x</t>
  </si>
  <si>
    <t>ENTERPRISE BANK INC (A THRIFT BANK)</t>
  </si>
  <si>
    <t>RB OF MADRIDEJOS INC</t>
  </si>
  <si>
    <t>1ST MACRO BANK INC (A RURAL BANK)</t>
  </si>
  <si>
    <t>ADVANTAGE BANK CORP (A MF RB)</t>
  </si>
  <si>
    <t>ADVANTAGE BANK CORP. (A MICROFINANCE-ORIENTED RURAL BANK)</t>
  </si>
  <si>
    <t>AL-AMANAH ISLAMIC INV BNK OF THE PH</t>
  </si>
  <si>
    <t>ANILAO BANK (RB ANILAO (ILOILO) INC</t>
  </si>
  <si>
    <t>ASIAN CONSUMERS BANK (A RB) INC</t>
  </si>
  <si>
    <t>AURORABANK (A MF-ORIENTED RB) INC</t>
  </si>
  <si>
    <t>BANCO ALABANG INC (A RURAL BANK)</t>
  </si>
  <si>
    <t>BANCO CARMONA INC A RURAL BANK</t>
  </si>
  <si>
    <t>BANCO DE AREVALO INC (A RURAL BANK)</t>
  </si>
  <si>
    <t>BANCO DE MINDORO INC (A RURAL BANK)</t>
  </si>
  <si>
    <t>BANCO DIPOLOG INC A RURAL BANK</t>
  </si>
  <si>
    <t>BANCO SUAL (A RURAL BANK) INC</t>
  </si>
  <si>
    <t>Applicable to SDAs issued by BSP-accredited banks for the exclusive purpose of on-lending  to the agriculture, fisheries and agrarian reform sector.</t>
  </si>
  <si>
    <t>Applicable to DBP and LBP bond issues for the exclusive purpose of on-lending to the agriculture, fisheries and agrarian reform sector.</t>
  </si>
  <si>
    <t>Applicable to DBP and LBP bond issues for the exclusive purpose of on-lending to the agriculture,  fisheries and agrarian reform sector.</t>
  </si>
  <si>
    <t>Applicable to SDAs created for the exclusive purpose of on-lending to the agriculture, fisheries  and agrarian reform sector.</t>
  </si>
  <si>
    <t>Applicable to SDAs created for the exclusive purpose of on-lending to the agriculture, fisheries and agrarian reform sector.</t>
  </si>
  <si>
    <t>Rediscounting facility granted by UBs/KBs covering eligible agricultural, fisheries and agrarian reform credits.</t>
  </si>
  <si>
    <t>Limited to construction/upgrading of infrastructure that will benefit the agriculture, fisheries and agrarian reform sector.</t>
  </si>
  <si>
    <t>1.  Agrarian Reform (10% x Item A)</t>
  </si>
  <si>
    <t>2.  Other Agricultural Credit  (15% x Item A)</t>
  </si>
  <si>
    <t>BANGKO BUENA CONSOLIDATED INC(A RB)</t>
  </si>
  <si>
    <t>BANGKO BUENA CONSOLIDATED INC.</t>
  </si>
  <si>
    <t>BANGKO MAGSAYSAY (ISABELA) INC-A RB</t>
  </si>
  <si>
    <t>BANGKO RURAL NG SAN TEODORO, INC</t>
  </si>
  <si>
    <t>BANKO ZAMBALENO (BZI) INC</t>
  </si>
  <si>
    <t>BAYBANK INC (A RURAL BANK)</t>
  </si>
  <si>
    <t>BDO UNIBANK INC</t>
  </si>
  <si>
    <t>BPI GLOBE BANKO INC A SAVINGS BANK</t>
  </si>
  <si>
    <t>BRIDGEWAY RURAL BANKING CORPORATION</t>
  </si>
  <si>
    <t>CAPITOL CITY BANK INC A RURAL BANK</t>
  </si>
  <si>
    <t>CARD SME BANK INC A THRIFT BANK</t>
  </si>
  <si>
    <t>CENTURY SAVINGS BANK CORPORATION</t>
  </si>
  <si>
    <t>COMMON WEALTH RB INC</t>
  </si>
  <si>
    <t>CSFIRST BANK INC - A RURAL BANK</t>
  </si>
  <si>
    <t>D' ASIAN HILLS BANK INC (A RB)</t>
  </si>
  <si>
    <t>FAR EASTERN BANK (A RURAL BANK) INC</t>
  </si>
  <si>
    <t>FIRST INTEGRITY BNK INC (RB BAILEN)</t>
  </si>
  <si>
    <t>FIRST TAGUM RURAL BANK INC</t>
  </si>
  <si>
    <t>GM BANK OF LUZON INC (A RURAL BANK)</t>
  </si>
  <si>
    <t>INNOVATIVE BANK INC (A RURAL BANK)</t>
  </si>
  <si>
    <t>KATIPUNAN BANK INC "A RURAL BANK"</t>
  </si>
  <si>
    <t>KORONADAL RURAL BANK INC</t>
  </si>
  <si>
    <t>LAGUNA PRESTIGE BANKING CORP (A RB)</t>
  </si>
  <si>
    <t>LAGUNA PRESTIGE BANKING CORPORATION, (A RURAL BANK)</t>
  </si>
  <si>
    <t>MISAMIS BANK INC A RURAL BANK</t>
  </si>
  <si>
    <t>MT CARMEL RURAL BANK INC</t>
  </si>
  <si>
    <t>NEW COVENANT BANK INC(A RURAL BANK)</t>
  </si>
  <si>
    <t>NEW RURAL BANK OF TAGKAWAYAN INC</t>
  </si>
  <si>
    <t>ONE NETWORK BANK INC (A RB)</t>
  </si>
  <si>
    <t>OPPORTUNITY KAUSWAGAN BANK(A MF TB)</t>
  </si>
  <si>
    <t>OWN BANK THE RB OF CAVITE CITY INC</t>
  </si>
  <si>
    <t>OWN BANK, THE RURAL BANK OF CAVITE CITY, INC.</t>
  </si>
  <si>
    <t>PENBANK INC (A PDB)</t>
  </si>
  <si>
    <t>PHIL RESOURCES SB CORP (PR SB)</t>
  </si>
  <si>
    <t>PHILIPPINE BUSINESS BANK INC A SB</t>
  </si>
  <si>
    <t>PHILIPPINE SME BANK INC A RB</t>
  </si>
  <si>
    <t>PRIDE STAR DEVELOPMENT BANK INC</t>
  </si>
  <si>
    <t>PRODUCERS SAVINGS BANK CORPORATION</t>
  </si>
  <si>
    <t>PROGRESSIVE RURAL BANK INC</t>
  </si>
  <si>
    <t>QUEZON COCONUT BANK INC (A TB)</t>
  </si>
  <si>
    <t>RB OF MANDAUE INC</t>
  </si>
  <si>
    <t>RBG IMPERIAL BANK INC(A RURAL BANK)</t>
  </si>
  <si>
    <t>RBT BANK INC A RURAL BANK</t>
  </si>
  <si>
    <t>RNG COASTAL BANK INC(A RURAL BANK)</t>
  </si>
  <si>
    <t>ROBINSONS BANK CORPORATION</t>
  </si>
  <si>
    <t>RURAL BANK OF INDANG (CAVITE) INC</t>
  </si>
  <si>
    <t>RURAL BANK OF INDANG (CAVITE), INC.</t>
  </si>
  <si>
    <t>RURAL BANK OF LOBOC INC</t>
  </si>
  <si>
    <t>SAMPAGUITA SAVINGS BANK INC</t>
  </si>
  <si>
    <t>SILANGAN SAVINGS &amp; LOAN BANK INC</t>
  </si>
  <si>
    <t>SUN SAVINGS BANK INC</t>
  </si>
  <si>
    <t>VILLAGE BANK INC (A THRIFT BANK)</t>
  </si>
  <si>
    <t>RB OF MAGDALENA INC</t>
  </si>
  <si>
    <t>RB OF MAGSINGAL INC</t>
  </si>
  <si>
    <t>RB OF MAHAPLAG INC</t>
  </si>
  <si>
    <t>RB OF MAIGO INC</t>
  </si>
  <si>
    <t>RB OF MAJAYJAY INC</t>
  </si>
  <si>
    <t>RB OF MAKATO INC</t>
  </si>
  <si>
    <t>RB OF MALINAO (AKLAN) INC</t>
  </si>
  <si>
    <t>RB OF MALITBOG INC</t>
  </si>
  <si>
    <t>RB OF MALOLOS INC</t>
  </si>
  <si>
    <t>RB OF MAMBUSAO INC</t>
  </si>
  <si>
    <t>RB OF MANAPLA INC</t>
  </si>
  <si>
    <t>RB OF MANGALDAN INC</t>
  </si>
  <si>
    <t>RB OF MANJUYOD INC</t>
  </si>
  <si>
    <t>RB OF MANOLO FORTICH INC</t>
  </si>
  <si>
    <t>RB OF MANUKAN INC</t>
  </si>
  <si>
    <t>RB OF MAPANDAN INC</t>
  </si>
  <si>
    <t>RB OF MARAGONDON INC</t>
  </si>
  <si>
    <t>RB OF MARAYO(NEGROS OCC)</t>
  </si>
  <si>
    <t>RB OF MARIA AURORA INC</t>
  </si>
  <si>
    <t>RB OF MARILAG (STA MARIA, LAG)INC</t>
  </si>
  <si>
    <t>RB OF MATAG-OB INC</t>
  </si>
  <si>
    <t>RB OF MATANAO INC</t>
  </si>
  <si>
    <t>RB OF MATI INC</t>
  </si>
  <si>
    <t>RB OF MAUBAN INC</t>
  </si>
  <si>
    <t>RB OF MAWAB INC</t>
  </si>
  <si>
    <t>RB OF MEDINA INC</t>
  </si>
  <si>
    <t>RB OF MENDEZ INC</t>
  </si>
  <si>
    <t>RB OF MEXICO INC</t>
  </si>
  <si>
    <t>RB OF MIAGAO INC</t>
  </si>
  <si>
    <t>RB OF MIDSAYAP INC</t>
  </si>
  <si>
    <t>RB OF MONTALBAN INC</t>
  </si>
  <si>
    <t>RB OF MONTEVISTA INC</t>
  </si>
  <si>
    <t>RB OF NABAS INC</t>
  </si>
  <si>
    <t>RB OF NABUNTURAN INC</t>
  </si>
  <si>
    <t>RB OF NAGCARLAN INC</t>
  </si>
  <si>
    <t>RB OF NAGUILIAN (LA UNION) INC</t>
  </si>
  <si>
    <t>RB OF NAIC INC</t>
  </si>
  <si>
    <t>RB OF NASUGBU INC</t>
  </si>
  <si>
    <t>RB OF NAVAL INC</t>
  </si>
  <si>
    <t>$$$</t>
  </si>
  <si>
    <t>TOTAL</t>
  </si>
  <si>
    <t>RB OF NEW CORELLA INC</t>
  </si>
  <si>
    <t>RB OF NEW WASHINGTON INC</t>
  </si>
  <si>
    <t>RB OF NORALA INC</t>
  </si>
  <si>
    <t>RB OF NORZAGARAY INC</t>
  </si>
  <si>
    <t>RB OF OCAMPO INC</t>
  </si>
  <si>
    <t>RB OF ODIONGAN INC</t>
  </si>
  <si>
    <t>RB OF OROQUIETA INC</t>
  </si>
  <si>
    <t>RB OF OSLOB INC</t>
  </si>
  <si>
    <t>RB OF OTON INC</t>
  </si>
  <si>
    <t>RB OF PADRE BURGOS (SO LEYTE) INC</t>
  </si>
  <si>
    <t>RB OF PADRE GARCIA INC</t>
  </si>
  <si>
    <t>RB OF PAETE INC</t>
  </si>
  <si>
    <t>RB OF PAGADIAN INC</t>
  </si>
  <si>
    <t>RB OF PAGBILAO INC</t>
  </si>
  <si>
    <t>RB OF PAGSANJAN INC</t>
  </si>
  <si>
    <t>RB OF PAMPLONA (CAMARINES SUR) INC</t>
  </si>
  <si>
    <t>RB OF PAMPLONA(NEGROS OR) INC</t>
  </si>
  <si>
    <t>RB OF PANA-ON INC</t>
  </si>
  <si>
    <t>RB OF PANAY INC</t>
  </si>
  <si>
    <t>RB OF PANDI INC</t>
  </si>
  <si>
    <t>RB OF PANGIL INC</t>
  </si>
  <si>
    <t>RB OF PARACALE INC</t>
  </si>
  <si>
    <t>RB OF PAVIA INC</t>
  </si>
  <si>
    <t>RB OF PILAR (BATAAN) INC</t>
  </si>
  <si>
    <t>RB OF PILAR (SORSOGON) INC</t>
  </si>
  <si>
    <t>RB OF PINAMALAYAN INC</t>
  </si>
  <si>
    <t>RB OF PLACER (SURIGAO DEL NORTE)INC</t>
  </si>
  <si>
    <t>RB OF PLARIDEL (BULACAN) INC</t>
  </si>
  <si>
    <t>RB OF PLARIDEL (MISAMIS OCC) INC</t>
  </si>
  <si>
    <t>RB OF POLA INC</t>
  </si>
  <si>
    <t>RB OF POLOMOLOK INC</t>
  </si>
  <si>
    <t>RB OF PORAC INC</t>
  </si>
  <si>
    <t>RB OF POTOTAN INC</t>
  </si>
  <si>
    <t>RB OF POZORRUBIO INC</t>
  </si>
  <si>
    <t>RB OF PRES MANUEL A ROXAS INC</t>
  </si>
  <si>
    <t>RB OF PRES QUIRINO INC</t>
  </si>
  <si>
    <t>RB OF PRES ROXAS (NO COTABATO) INC</t>
  </si>
  <si>
    <t>RB OF PUERTO GALERA INC</t>
  </si>
  <si>
    <t>RB OF PURA INC</t>
  </si>
  <si>
    <t>RB OF QUEZON (NUEVA ECIJA) INC</t>
  </si>
  <si>
    <r>
      <t xml:space="preserve">Amount on 
20 April 2010 </t>
    </r>
    <r>
      <rPr>
        <b/>
        <vertAlign val="superscript"/>
        <sz val="9"/>
        <rFont val="Calibri"/>
        <family val="2"/>
      </rPr>
      <t>1/</t>
    </r>
  </si>
  <si>
    <r>
      <t xml:space="preserve">A. Total Loanable Funds Generated </t>
    </r>
    <r>
      <rPr>
        <b/>
        <vertAlign val="superscript"/>
        <sz val="9"/>
        <rFont val="Calibri"/>
        <family val="2"/>
      </rPr>
      <t>2/</t>
    </r>
  </si>
  <si>
    <r>
      <t xml:space="preserve">Due to Head Office/Branches/Agencies Abroad  </t>
    </r>
    <r>
      <rPr>
        <vertAlign val="superscript"/>
        <sz val="9"/>
        <rFont val="Calibri"/>
        <family val="2"/>
      </rPr>
      <t>3/</t>
    </r>
  </si>
  <si>
    <r>
      <t xml:space="preserve">Due From Head Office/Branches/Agencies Abroad </t>
    </r>
    <r>
      <rPr>
        <vertAlign val="superscript"/>
        <sz val="9"/>
        <rFont val="Calibri"/>
        <family val="2"/>
      </rPr>
      <t>3/</t>
    </r>
  </si>
  <si>
    <r>
      <t xml:space="preserve">Less/Add net increase/(decrease) in the following accounts </t>
    </r>
    <r>
      <rPr>
        <vertAlign val="superscript"/>
        <sz val="9"/>
        <rFont val="Calibri"/>
        <family val="2"/>
      </rPr>
      <t>4/</t>
    </r>
    <r>
      <rPr>
        <sz val="9"/>
        <rFont val="Calibri"/>
        <family val="2"/>
      </rPr>
      <t>:</t>
    </r>
  </si>
  <si>
    <r>
      <t xml:space="preserve">Provision for liquidity (15% of </t>
    </r>
    <r>
      <rPr>
        <b/>
        <sz val="9"/>
        <rFont val="Calibri"/>
        <family val="2"/>
      </rPr>
      <t>Net</t>
    </r>
    <r>
      <rPr>
        <sz val="9"/>
        <rFont val="Calibri"/>
        <family val="2"/>
      </rPr>
      <t xml:space="preserve"> Peso Deposits) </t>
    </r>
  </si>
  <si>
    <r>
      <t xml:space="preserve">Acquisition Cost </t>
    </r>
    <r>
      <rPr>
        <b/>
        <vertAlign val="superscript"/>
        <sz val="9"/>
        <rFont val="Calibri"/>
        <family val="2"/>
      </rPr>
      <t>2/</t>
    </r>
  </si>
  <si>
    <r>
      <t>This column must be "nil" for banks</t>
    </r>
    <r>
      <rPr>
        <strike/>
        <sz val="9"/>
        <rFont val="Calibri"/>
        <family val="2"/>
      </rPr>
      <t xml:space="preserve"> </t>
    </r>
    <r>
      <rPr>
        <sz val="9"/>
        <rFont val="Calibri"/>
        <family val="2"/>
      </rPr>
      <t>establised after April 20, 2010.</t>
    </r>
  </si>
  <si>
    <r>
      <t xml:space="preserve">C. Excess/(Deficiency)  (B.2 - B.1) </t>
    </r>
    <r>
      <rPr>
        <b/>
        <vertAlign val="superscript"/>
        <sz val="9"/>
        <rFont val="Calibri"/>
        <family val="2"/>
      </rPr>
      <t>1/</t>
    </r>
  </si>
  <si>
    <r>
      <t xml:space="preserve">Agra Loans Funded by Proceeds of Bond Issues (Schedule D) </t>
    </r>
    <r>
      <rPr>
        <vertAlign val="superscript"/>
        <sz val="9"/>
        <rFont val="Calibri"/>
        <family val="2"/>
      </rPr>
      <t>1/</t>
    </r>
  </si>
  <si>
    <r>
      <t xml:space="preserve">Agra Loans Funded by Proceeds of SDAs (Schedule D)  </t>
    </r>
    <r>
      <rPr>
        <vertAlign val="superscript"/>
        <sz val="9"/>
        <rFont val="Calibri"/>
        <family val="2"/>
      </rPr>
      <t>2/</t>
    </r>
  </si>
  <si>
    <r>
      <t xml:space="preserve">Amount </t>
    </r>
    <r>
      <rPr>
        <b/>
        <vertAlign val="superscript"/>
        <sz val="9"/>
        <rFont val="Calibri"/>
        <family val="2"/>
      </rPr>
      <t>4/</t>
    </r>
  </si>
  <si>
    <t>RB OF RAGAY INC</t>
  </si>
  <si>
    <t>RB OF RAMON INC</t>
  </si>
  <si>
    <t>RB OF REINA MERCEDES INC</t>
  </si>
  <si>
    <t>RB OF RIZAL (KALINGA)INC</t>
  </si>
  <si>
    <t>RB OF RIZAL (LAGUNA) INC</t>
  </si>
  <si>
    <t>RB OF RIZAL (ZAMBOANGA DEL NORTE)</t>
  </si>
  <si>
    <t>RB OF ROSARIO (LA UNION) INC</t>
  </si>
  <si>
    <t>RB OF ROXAS (OR MINDORO) INC</t>
  </si>
  <si>
    <t>RB OF SAGADA INC</t>
  </si>
  <si>
    <t>RB OF SAGAY (NEGROS OCC) INC</t>
  </si>
  <si>
    <t>RB OF SALCEDO INC</t>
  </si>
  <si>
    <t>RB OF SALINAS INC</t>
  </si>
  <si>
    <t>RB OF SALUG INC</t>
  </si>
  <si>
    <t>RB OF SAMPALOC INC</t>
  </si>
  <si>
    <t>RB OF SAN AGUSTIN INC</t>
  </si>
  <si>
    <t>RB OF SAN ANTONIO(QUEZON) INC</t>
  </si>
  <si>
    <t>RB OF SAN ENRIQUE INC</t>
  </si>
  <si>
    <t>RB OF SAN FABIAN INC</t>
  </si>
  <si>
    <t>RB OF SAN FERNANDO (C S), INC</t>
  </si>
  <si>
    <t>RB OF SAN FERNANDO (CEBU) INC</t>
  </si>
  <si>
    <t>RB OF SAN JACINTO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</si>
  <si>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</si>
  <si>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</si>
  <si>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</si>
  <si>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</si>
  <si>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</si>
  <si>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</si>
  <si>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</si>
  <si>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</si>
  <si>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</si>
  <si>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NARCISO (ZAMBALES) INC</t>
  </si>
  <si>
    <t>RB OF SAN NICOLAS (PANGASINAN) INC</t>
  </si>
  <si>
    <t>RB OF SAN PASCUAL INC</t>
  </si>
  <si>
    <t>RB OF SAN QUINTIN INC</t>
  </si>
  <si>
    <t>RB OF SAN RAFAEL (BULACAN) INC</t>
  </si>
  <si>
    <t>RB OF SAN VICENTE INC</t>
  </si>
  <si>
    <t>RB OF SANCHEZ MIRA INC</t>
  </si>
  <si>
    <t>RB OF SANTIAGO DE LIBON INC</t>
  </si>
  <si>
    <t>RB OF SAPIAN INC</t>
  </si>
  <si>
    <t>RB OF SASMUAN INC</t>
  </si>
  <si>
    <t>RB OF SEVEN LAKES INC</t>
  </si>
  <si>
    <t>RB OF SIATON INC</t>
  </si>
  <si>
    <t>RB OF SIBALOM INC</t>
  </si>
  <si>
    <t>RB OF SIBULAN INC</t>
  </si>
  <si>
    <t>RB OF SILAY CITY INC</t>
  </si>
  <si>
    <t>RB OF SIOCON INC</t>
  </si>
  <si>
    <t>RB OF SIPOCOT INC</t>
  </si>
  <si>
    <t>RB OF SOCORRO INC</t>
  </si>
  <si>
    <t>RB OF SOLANO INC</t>
  </si>
  <si>
    <t>RB OF STA BARBARA (ILOILO) INC</t>
  </si>
  <si>
    <t>RB OF STA CATALINA INC</t>
  </si>
  <si>
    <t>RB OF STA ELENA INC</t>
  </si>
  <si>
    <t>RB OF STA FE (ROMBLON) INC</t>
  </si>
  <si>
    <t>These amounts shall be reported under Agrarian Reform Loan in the FRP.</t>
  </si>
  <si>
    <t>These amounts shall be reported under Other Agricultural Credit Loans in the FRP.</t>
  </si>
  <si>
    <r>
      <t xml:space="preserve">Net Loans and Other Receivables (Schedule C-4) </t>
    </r>
    <r>
      <rPr>
        <b/>
        <vertAlign val="superscript"/>
        <sz val="9"/>
        <rFont val="Calibri"/>
        <family val="2"/>
      </rPr>
      <t>3/</t>
    </r>
  </si>
  <si>
    <t>Loans, other than interbank loans receivable, shall be reported under Agrarian Reform Loan/Other Agricultural Credit Loan in the FRP.</t>
  </si>
  <si>
    <t>RB OF STA IGNACIA INC (SIGNA BANK)</t>
  </si>
  <si>
    <t>RB OF STA MAGDALENA INC</t>
  </si>
  <si>
    <t>RB OF STA MARIA (ILOCOS SUR) INC</t>
  </si>
  <si>
    <t>RB OF STA ROSA (LAGUNA) INC</t>
  </si>
  <si>
    <t>RB OF STA ROSA DE LIMA</t>
  </si>
  <si>
    <t>RB OF STO DOMINGO(NE)INC</t>
  </si>
  <si>
    <t>RB OF STO TOMAS(BAT) INC</t>
  </si>
  <si>
    <t>RB OF STO TOMAS(DAVAO N)</t>
  </si>
  <si>
    <t>RB OF SUDIPEN INC</t>
  </si>
  <si>
    <t>RB OF TAAL INC</t>
  </si>
  <si>
    <t>RB OF TABUK INC</t>
  </si>
  <si>
    <t>1</t>
  </si>
  <si>
    <t>RB OF TAFT INC</t>
  </si>
  <si>
    <t>RB OF TAGAYTAY CITY INC</t>
  </si>
  <si>
    <t>RB OF TAGUDIN INC</t>
  </si>
  <si>
    <t>RB OF TALISAY (BATANGAS) INC</t>
  </si>
  <si>
    <t>RB OF TALISAY (CEBU) INC</t>
  </si>
  <si>
    <t>RB OF TALISAY (NEGROS OCC) INC</t>
  </si>
  <si>
    <t>RB OF TAMPAKAN (SO COTABATO) INC</t>
  </si>
  <si>
    <t>RB OF TANDAG INC</t>
  </si>
  <si>
    <t>RB OF TANGUB INC</t>
  </si>
  <si>
    <t>RB OF TANJAY INC</t>
  </si>
  <si>
    <t>RB OF TARLAC INC</t>
  </si>
  <si>
    <t>RB OF TAYABAS INC</t>
  </si>
  <si>
    <t>RB OF TAYSAN INC</t>
  </si>
  <si>
    <t>RB OF TERESA INC</t>
  </si>
  <si>
    <t>RB OF TIBIAO INC</t>
  </si>
  <si>
    <t>RB OF TIGAON INC</t>
  </si>
  <si>
    <t>RB OF TIGBAUAN INC</t>
  </si>
  <si>
    <t>RB OF TUDELA INC</t>
  </si>
  <si>
    <t>RB OF TUMAUINI INC</t>
  </si>
  <si>
    <t>RB OF VALENCIA (BUKIDNON) INC</t>
  </si>
  <si>
    <t>RB OF VALENCIA (NEGROS OR) INC</t>
  </si>
  <si>
    <t>RB OF VICTORIA (OR MINDORO) INC</t>
  </si>
  <si>
    <t>RB OF VICTORIA INC</t>
  </si>
  <si>
    <t>RB OF VILLAVERDE INC</t>
  </si>
  <si>
    <t>RB OF VILLAVICIOSA INC</t>
  </si>
  <si>
    <t>RB OF ZAPOTE INC</t>
  </si>
  <si>
    <t>RB OF ZARRAGA INC</t>
  </si>
  <si>
    <t>RCBC SAVINGS BANK INC</t>
  </si>
  <si>
    <t>RIZAL COMM'L BANKING CORP</t>
  </si>
  <si>
    <t>RIZAL RURAL BANK INC</t>
  </si>
  <si>
    <t>RODRIGUEZ RB INC</t>
  </si>
  <si>
    <t>RURAL BANK OF MAASIN (SO LEYTE) INC</t>
  </si>
  <si>
    <t>SADIRI RURAL BANK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</si>
  <si>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</si>
  <si>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</si>
  <si>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</si>
  <si>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</si>
  <si>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</si>
  <si>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</si>
  <si>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SECOND RB OF MEYCAUAYAN INC</t>
  </si>
  <si>
    <t>SECOND RB OF SAN LUIS (PAMP)</t>
  </si>
  <si>
    <t>SECOND RB OF VALENZUELA INC</t>
  </si>
  <si>
    <t>SECURED BANK INC (A RB)</t>
  </si>
  <si>
    <t>SECURITY BANK CORP</t>
  </si>
  <si>
    <t>SIAM BANK (CRB OF LUGAIT INC)</t>
  </si>
  <si>
    <t>SIARGAO BANK INC (A RB)</t>
  </si>
  <si>
    <t>SILAHIS BANK (A RB) INC</t>
  </si>
  <si>
    <t>SMART BANK (RURAL BANK) INC</t>
  </si>
  <si>
    <t>SORSOGON PROVINCIAL COOP BANK</t>
  </si>
  <si>
    <t>SOUTH BANK INC (A RURAL BANK)</t>
  </si>
  <si>
    <t>SOUTHEAST COUNTRY BANK-RB CAMALIGAN</t>
  </si>
  <si>
    <t>SOUTHERN LEYTE COOP BANK</t>
  </si>
  <si>
    <t>ST MICHAEL RURAL BANK</t>
  </si>
  <si>
    <t>STA MARIA RB (BUL)INC</t>
  </si>
  <si>
    <t>STANDARD CHARTERED BANK</t>
  </si>
  <si>
    <t>STERLING BANK OF ASIA INC (A SB)</t>
  </si>
  <si>
    <t>STO NINO RURAL BANK INC</t>
  </si>
  <si>
    <t>STO ROSARIO RB(BATANGAS) INC</t>
  </si>
  <si>
    <t>SUGBUANON RB INC</t>
  </si>
  <si>
    <t>SUMMIT BANK (RB OF TUBLAY INC)</t>
  </si>
  <si>
    <t>SUMMIT RB OF LIPA CITY INC</t>
  </si>
  <si>
    <t>SUNRISE RURAL BANK INC</t>
  </si>
  <si>
    <t>SURIGAO CITY EVERGREEN RB INC</t>
  </si>
  <si>
    <t>SURIGAONON RURAL BANKING CORP</t>
  </si>
  <si>
    <t>SYNERGY RURAL BANK INC</t>
  </si>
  <si>
    <t>TAMARAW RB INC</t>
  </si>
  <si>
    <t>TANAY RB INC</t>
  </si>
  <si>
    <t>THE BNK OF TOKYO-MITSUBISHI UFJ LTD</t>
  </si>
  <si>
    <t>THE COUNTRY BANK INC (RB BONGABON)</t>
  </si>
  <si>
    <t>THE PALAWAN BANK (PALAWAN DB INC)</t>
  </si>
  <si>
    <t>THE REAL BANK (A THRIFT BANK) INC</t>
  </si>
  <si>
    <t>TIAONG RB INC</t>
  </si>
  <si>
    <t>TOWER DEVELOPMENT BANK</t>
  </si>
  <si>
    <t>TOWNCALL RURAL BANK INC</t>
  </si>
  <si>
    <t>TURUMBA RB OF PAKIL INC</t>
  </si>
  <si>
    <t>UCPB SAVINGS BANK</t>
  </si>
  <si>
    <t>UNILINK BANK INC ( A RB)</t>
  </si>
  <si>
    <t>UNION BANK OF THE PHILS</t>
  </si>
  <si>
    <t>UNITED COCONUT PLANTERS BANK</t>
  </si>
  <si>
    <t>UNITED CONSUMERS RB INC</t>
  </si>
  <si>
    <t>UNITED OVERSEAS BANK PHILIPPINES</t>
  </si>
  <si>
    <t>UNITED PEOPLE'S RB INC</t>
  </si>
  <si>
    <t>UNITY BANK (A RB) INC</t>
  </si>
  <si>
    <t>UNIVERSAL RB OF LOPEZ INC</t>
  </si>
  <si>
    <t>UNIVERSITY SAVINGS BANK</t>
  </si>
  <si>
    <t>UNLAD RB OF NOVELETA INC</t>
  </si>
  <si>
    <t>UPLAND RB OF DALAGUETE(CEBU) INC</t>
  </si>
  <si>
    <t>UTILITY BANK INC (A RB)</t>
  </si>
  <si>
    <t>VALIANT RURAL BANK INC</t>
  </si>
  <si>
    <r>
      <t xml:space="preserve">B.  Total Loans Extended under Rediscounting Facility </t>
    </r>
    <r>
      <rPr>
        <b/>
        <vertAlign val="superscript"/>
        <sz val="9"/>
        <rFont val="Calibri"/>
        <family val="2"/>
      </rPr>
      <t>2/</t>
    </r>
  </si>
  <si>
    <r>
      <t xml:space="preserve">C.  T o t a l Infrastructure/Construction Loans </t>
    </r>
    <r>
      <rPr>
        <b/>
        <vertAlign val="superscript"/>
        <sz val="9"/>
        <rFont val="Calibri"/>
        <family val="2"/>
      </rPr>
      <t>3/</t>
    </r>
  </si>
  <si>
    <r>
      <t xml:space="preserve">Loans  </t>
    </r>
    <r>
      <rPr>
        <b/>
        <vertAlign val="superscript"/>
        <sz val="9"/>
        <rFont val="Calibri"/>
        <family val="2"/>
      </rPr>
      <t>1/</t>
    </r>
  </si>
  <si>
    <r>
      <t xml:space="preserve">Other Asset Accounts </t>
    </r>
    <r>
      <rPr>
        <b/>
        <vertAlign val="superscript"/>
        <sz val="9"/>
        <rFont val="Calibri"/>
        <family val="2"/>
      </rPr>
      <t>2/</t>
    </r>
  </si>
  <si>
    <r>
      <t xml:space="preserve">Total </t>
    </r>
    <r>
      <rPr>
        <b/>
        <vertAlign val="superscript"/>
        <sz val="9"/>
        <rFont val="Calibri"/>
        <family val="2"/>
      </rPr>
      <t>3/</t>
    </r>
  </si>
  <si>
    <r>
      <t xml:space="preserve">Lending Bank </t>
    </r>
    <r>
      <rPr>
        <b/>
        <vertAlign val="superscript"/>
        <sz val="9"/>
        <rFont val="Calibri"/>
        <family val="2"/>
      </rPr>
      <t>1/</t>
    </r>
  </si>
  <si>
    <r>
      <t xml:space="preserve">Responsible Bank </t>
    </r>
    <r>
      <rPr>
        <b/>
        <vertAlign val="superscript"/>
        <sz val="9"/>
        <rFont val="Calibri"/>
        <family val="2"/>
      </rPr>
      <t>1/</t>
    </r>
  </si>
  <si>
    <r>
      <t xml:space="preserve">Excess Compliance with Agrarian Reform Credit Utilized for  Agricultural Credit </t>
    </r>
    <r>
      <rPr>
        <vertAlign val="superscript"/>
        <sz val="9"/>
        <rFont val="Calibri"/>
        <family val="2"/>
      </rPr>
      <t>3/</t>
    </r>
  </si>
  <si>
    <r>
      <t xml:space="preserve">Excess Compliance with Agrarian Reform Credit Utilized for  Agricultural Credit </t>
    </r>
    <r>
      <rPr>
        <vertAlign val="superscript"/>
        <sz val="9"/>
        <rFont val="Calibri"/>
        <family val="2"/>
      </rPr>
      <t>4/</t>
    </r>
  </si>
  <si>
    <t>VIGAN BANCO RURAL INCORPORADA</t>
  </si>
  <si>
    <t>VISION BANK INC-A RB(MF)</t>
  </si>
  <si>
    <t>VIZCAYA BANK A RURAL BANK INC</t>
  </si>
  <si>
    <t>WEALTH BANK-A DEVELOPMENT BANK</t>
  </si>
  <si>
    <t>WOMEN'S RURAL BANK INC</t>
  </si>
  <si>
    <t>WORLD PARTNERS BANK (A THRIFT BANK)</t>
  </si>
  <si>
    <t>XAVIER TIBOD BANK (A MFRB)</t>
  </si>
  <si>
    <t>XAVIER-PUNLA RURAL BANK INC</t>
  </si>
  <si>
    <t>ZAMBALES RB INC (RB OF CASTILLEJOS)</t>
  </si>
  <si>
    <t>ZAMBOANGA CITY RB INC</t>
  </si>
  <si>
    <t>1ST VALLEY BANK INC (A RB)</t>
  </si>
  <si>
    <t>5 SPEED RURAL BANK INC</t>
  </si>
  <si>
    <t>BSP 7-16-27</t>
  </si>
  <si>
    <t>LOANABLE FUNDS GENERATED WHICH WERE SET ASIDE</t>
  </si>
  <si>
    <t>FOR AGRARIAN REFORM CREDIT/OTHER AGRICULTURAL CREDIT</t>
  </si>
  <si>
    <t xml:space="preserve">                                        T o t a l</t>
  </si>
  <si>
    <t>Total</t>
  </si>
  <si>
    <t>B. 25% of Total Loanable Funds Generated (A.14)</t>
  </si>
  <si>
    <t xml:space="preserve">           Total (B.1)</t>
  </si>
  <si>
    <t xml:space="preserve">          Total (B.2)</t>
  </si>
  <si>
    <t>Footnotes:</t>
  </si>
  <si>
    <t>Amount on
Date of Report</t>
  </si>
  <si>
    <t xml:space="preserve">          Less:</t>
  </si>
  <si>
    <t>Sub-total</t>
  </si>
  <si>
    <t>UTILIZATION OF THE 10% LOANABLE FUNDS</t>
  </si>
  <si>
    <t>GENERATED FOR AGRARIAN REFORM CREDIT</t>
  </si>
  <si>
    <t>Amount</t>
  </si>
  <si>
    <t>Short Term</t>
  </si>
  <si>
    <t>Medium Term</t>
  </si>
  <si>
    <t>Long Term</t>
  </si>
  <si>
    <t>No. of Borrowers</t>
  </si>
  <si>
    <t>Less:</t>
  </si>
  <si>
    <t>Agrarian Reform Credit</t>
  </si>
  <si>
    <t>Agricultural Credit</t>
  </si>
  <si>
    <t>Details</t>
  </si>
  <si>
    <t>C.</t>
  </si>
  <si>
    <t>Issuer</t>
  </si>
  <si>
    <t>Particulars</t>
  </si>
  <si>
    <t>B.</t>
  </si>
  <si>
    <t>Preferred Stock</t>
  </si>
  <si>
    <t>Common Stock</t>
  </si>
  <si>
    <t>No. of Shares</t>
  </si>
  <si>
    <t>1.</t>
  </si>
  <si>
    <t>D.</t>
  </si>
  <si>
    <t>Reference</t>
  </si>
  <si>
    <t>Total Amount</t>
  </si>
  <si>
    <t>A.</t>
  </si>
  <si>
    <t>Accredited Rural Financial Institution</t>
  </si>
  <si>
    <t>Rediscounting Facility</t>
  </si>
  <si>
    <t>Wholesale Lending Facility</t>
  </si>
  <si>
    <t>Total Loans and Other Receivables</t>
  </si>
  <si>
    <t xml:space="preserve">C.  </t>
  </si>
  <si>
    <t>Applicable to DBP and LBP bond issues for the exclusive purpose of on-lending to the agriculture and agrarian reform sector</t>
  </si>
  <si>
    <t>Applicable to DBP and LBP bond issues for the exclusive purpose of on-lending to the agriculture and agrarian reform sector, as certified by the Department of Agriculture, or an agency duly-authorized by the DA.</t>
  </si>
  <si>
    <t>Excess compliance with 10% agra credit which has been utilized as compliance with the 15% agricultural credit.  Amounts reported should
 always be negative.</t>
  </si>
  <si>
    <t xml:space="preserve">B.  </t>
  </si>
  <si>
    <t xml:space="preserve">A.  </t>
  </si>
  <si>
    <t>Other Agricultural Credit</t>
  </si>
  <si>
    <t xml:space="preserve">Agrarian Reform </t>
  </si>
  <si>
    <t>Sub-Total</t>
  </si>
  <si>
    <t>Alternative Compliance</t>
  </si>
  <si>
    <t>SDA Deposit</t>
  </si>
  <si>
    <t>Bank Borrower</t>
  </si>
  <si>
    <t>2.</t>
  </si>
  <si>
    <t>3.</t>
  </si>
  <si>
    <t>4.</t>
  </si>
  <si>
    <t>5.</t>
  </si>
  <si>
    <t>Schedule B</t>
  </si>
  <si>
    <t>Schedule A</t>
  </si>
  <si>
    <t>Schedule C</t>
  </si>
  <si>
    <t>DETAILS OF DIRECT COMPLIANCE WITH THE AGRARIAN REFORM CREDIT</t>
  </si>
  <si>
    <t>DETAILS OF DIRECT COMPLIANCE WITH THE OTHER AGRICULTURAL CREDIT</t>
  </si>
  <si>
    <t xml:space="preserve">GENERATED FOR AGRARIAN REFORM AND AGRICULTURAL CREDIT </t>
  </si>
  <si>
    <t>Schedule D</t>
  </si>
  <si>
    <t>Direct Compliance</t>
  </si>
  <si>
    <t>GENERATED FOR AGRARIAN REFORM AND AGRICULTURAL CREDIT</t>
  </si>
  <si>
    <t>Schedule D-1</t>
  </si>
  <si>
    <t>T o t a l Eligible Equity Securities</t>
  </si>
  <si>
    <t>T o t a l Investment in SDA</t>
  </si>
  <si>
    <t>DETAILS OF INVESTMENT IN SDA USED AS ALTERNATIVE MODE OF COMPLIANCE WITH THE MANDATORY AGRI AGRA CREDIT</t>
  </si>
  <si>
    <t>DETAILS OF ALTERNATIVE COMPLIANCE WITH  THE MANDATORY AGRI AGRA CREDIT</t>
  </si>
  <si>
    <t>DETAILS OF LOANS &amp; OTHER RECEIVABLES USED AS ALTERNATIVE MODE OF COMPLIANCE WITH THE MANDATORY AGRI AGRA CREDIT</t>
  </si>
  <si>
    <t>T o t a l Funds Generated</t>
  </si>
  <si>
    <t>Schedule E</t>
  </si>
  <si>
    <t xml:space="preserve">GENERATION AND UTILIZATION OF LOANABLE FUNDS </t>
  </si>
  <si>
    <t>UTILIZATION OF THE 25% LOANABLE FUNDS</t>
  </si>
  <si>
    <t>AVAILMENT OF WHOLESALE LENDING FACILITY &amp;</t>
  </si>
  <si>
    <t>REDISCOUNTING FACILITY</t>
  </si>
  <si>
    <t xml:space="preserve">         Less:</t>
  </si>
  <si>
    <t>a.  Direct Compliance</t>
  </si>
  <si>
    <t>b.  Alternative Compliance</t>
  </si>
  <si>
    <t>15% Other Agricultural Credit Loans</t>
  </si>
  <si>
    <t>10% Agrarian Reform Loan</t>
  </si>
  <si>
    <t>Deposits of banks</t>
  </si>
  <si>
    <t>a.</t>
  </si>
  <si>
    <t>b.</t>
  </si>
  <si>
    <t>Deposits of the National Government</t>
  </si>
  <si>
    <t>c.</t>
  </si>
  <si>
    <t>Deposits of LGUs</t>
  </si>
  <si>
    <t>d.</t>
  </si>
  <si>
    <t>Deposits of GOCCs</t>
  </si>
  <si>
    <t>Net Amount - Deposit Liabilities</t>
  </si>
  <si>
    <t>Pertains to accounts booked under the Regular Banking Unit book.</t>
  </si>
  <si>
    <t>Banking Group  2/</t>
  </si>
  <si>
    <t>Other deposit substitutes with banks</t>
  </si>
  <si>
    <t xml:space="preserve">c.2 </t>
  </si>
  <si>
    <t xml:space="preserve">c.3 </t>
  </si>
  <si>
    <t xml:space="preserve">c.4 </t>
  </si>
  <si>
    <t xml:space="preserve">c.5 </t>
  </si>
  <si>
    <t>Repurchase agreements with Bangko Sentral ng Pilipinas (BSP)</t>
  </si>
  <si>
    <t>Repurchase agreements with banks</t>
  </si>
  <si>
    <t xml:space="preserve">d.  </t>
  </si>
  <si>
    <t>Bonds Payable</t>
  </si>
  <si>
    <t>Bonds Issued by the DBP/LBP</t>
  </si>
  <si>
    <t>Net Amount - Bonds Payable</t>
  </si>
  <si>
    <t>Net Amount - Bills Payable</t>
  </si>
  <si>
    <t>Redeemable Preferred Shares</t>
  </si>
  <si>
    <t>Unsecured Subordinated Debt</t>
  </si>
  <si>
    <t xml:space="preserve"> a.  </t>
  </si>
  <si>
    <t xml:space="preserve">Borrowings from the BSP: </t>
  </si>
  <si>
    <t>Rediscounting proceeds</t>
  </si>
  <si>
    <t>Emergency advances</t>
  </si>
  <si>
    <t>Overdrafts</t>
  </si>
  <si>
    <t>Others</t>
  </si>
  <si>
    <t xml:space="preserve">b.  </t>
  </si>
  <si>
    <t>Interbank loans</t>
  </si>
  <si>
    <t xml:space="preserve">c.  </t>
  </si>
  <si>
    <t>Other deposit substitutes:</t>
  </si>
  <si>
    <t>6.</t>
  </si>
  <si>
    <t xml:space="preserve">Add: </t>
  </si>
  <si>
    <t xml:space="preserve">a.  </t>
  </si>
  <si>
    <t>Retained Earnings - Reserves</t>
  </si>
  <si>
    <t>a.1.</t>
  </si>
  <si>
    <t>Trust Business</t>
  </si>
  <si>
    <t>Self-Insurance</t>
  </si>
  <si>
    <t>a.2.</t>
  </si>
  <si>
    <t>a.3.</t>
  </si>
  <si>
    <t>Contingencies</t>
  </si>
  <si>
    <t>a.4.</t>
  </si>
  <si>
    <t>Other Comprehensive Income</t>
  </si>
  <si>
    <t>b.1.</t>
  </si>
  <si>
    <t>Net Unrealized Gains/Losses on AFS FA</t>
  </si>
  <si>
    <t>b.2.</t>
  </si>
  <si>
    <t>b.3.</t>
  </si>
  <si>
    <t>Cumulative Foreign Currency Translation</t>
  </si>
  <si>
    <t>b.4.</t>
  </si>
  <si>
    <t>Total Capital Accounts - Net</t>
  </si>
  <si>
    <t>7.</t>
  </si>
  <si>
    <t>Total Bank's Funds</t>
  </si>
  <si>
    <t>8.</t>
  </si>
  <si>
    <t>Sales contract receivable</t>
  </si>
  <si>
    <t>Accrued interest income from financial assets</t>
  </si>
  <si>
    <t>Bank Premises, Furniture, Fixture and Equipment (Net Book Value)</t>
  </si>
  <si>
    <t xml:space="preserve">g.  </t>
  </si>
  <si>
    <t>Non-Current Assets Held for Sale</t>
  </si>
  <si>
    <t xml:space="preserve">h.  </t>
  </si>
  <si>
    <t>Goodwill</t>
  </si>
  <si>
    <t xml:space="preserve">i.  </t>
  </si>
  <si>
    <t>Other Intangible Assets</t>
  </si>
  <si>
    <t>Required Reserves Against -</t>
  </si>
  <si>
    <t>Deposit Liabilities</t>
  </si>
  <si>
    <t>Deposit Substitutes</t>
  </si>
  <si>
    <t>Trust and other Fiduciary Accounts - Others</t>
  </si>
  <si>
    <t>Others (Specify)</t>
  </si>
  <si>
    <t>Security for trust duties</t>
  </si>
  <si>
    <t>Deferred tax asset</t>
  </si>
  <si>
    <t>l.1.</t>
  </si>
  <si>
    <t>l.2.</t>
  </si>
  <si>
    <t>l.3.</t>
  </si>
  <si>
    <t>l.4.</t>
  </si>
  <si>
    <t>9.</t>
  </si>
  <si>
    <t>10.</t>
  </si>
  <si>
    <t>Total Deductions</t>
  </si>
  <si>
    <t>11.</t>
  </si>
  <si>
    <t xml:space="preserve">Total Loanable Funds Generated </t>
  </si>
  <si>
    <t>Distributed as follows:</t>
  </si>
  <si>
    <t>Report of Utilization/Compliance:</t>
  </si>
  <si>
    <t>At net carrying amount</t>
  </si>
  <si>
    <t xml:space="preserve">1.  </t>
  </si>
  <si>
    <t xml:space="preserve">2.  </t>
  </si>
  <si>
    <t xml:space="preserve">4.  </t>
  </si>
  <si>
    <t xml:space="preserve">Classified According to Purpose:  </t>
  </si>
  <si>
    <t>Promotion of agribusiness and exports</t>
  </si>
  <si>
    <t>Acquisition of work animals, farm and fishery equipment and machinery</t>
  </si>
  <si>
    <t>Acquisition of seeds, fertilizers, poultry, livestock, feeds and other similar items</t>
  </si>
  <si>
    <t>Other activities identified in Section 23 of R.A. No. 8435</t>
  </si>
  <si>
    <t xml:space="preserve">A. </t>
  </si>
  <si>
    <t>Agrarian Reform Loans</t>
  </si>
  <si>
    <t>Classified according to original maturity</t>
  </si>
  <si>
    <t>Other Agricultural Credit Loans</t>
  </si>
  <si>
    <t>Schedule C-1</t>
  </si>
  <si>
    <t>Schedule C-2</t>
  </si>
  <si>
    <t>Philippine Crop Insurance Corporation</t>
  </si>
  <si>
    <t>Quedancor Corporation</t>
  </si>
  <si>
    <t>As certified by the Department of Agriculture, or an agency duly-authorized by the DA</t>
  </si>
  <si>
    <t>As certified by the BSP and the DA, or an agency duly-authorized by the DA</t>
  </si>
  <si>
    <t>DETAILS OF EQUITY SECURITIES USED AS ALTERNATIVE MODE OF COMPLIANCE WITH THE MANDATORY AGRI CREDIT</t>
  </si>
  <si>
    <t>Schedule C-3</t>
  </si>
  <si>
    <t>Schedule C-4</t>
  </si>
  <si>
    <t>T o t a l Other Loans and Receivables</t>
  </si>
  <si>
    <t xml:space="preserve">Debt Securities Issued </t>
  </si>
  <si>
    <t>DBP Bonds Payable</t>
  </si>
  <si>
    <t>LBP Bonds Payable</t>
  </si>
  <si>
    <t>Loans Funded by Proceeds of Wholesale Lending (Schedule D)</t>
  </si>
  <si>
    <t>Other Loans</t>
  </si>
  <si>
    <t>Eligible Debt Securities (Schedule C-1)</t>
  </si>
  <si>
    <t>Eligible Equity Securities (Schedule C-2)</t>
  </si>
  <si>
    <t>Infrastructure/
Construction</t>
  </si>
  <si>
    <t>DETAILS OF ELIGIBLE DEBT SECURITIES USED AS ALTERNATIVE MODE OF COMPLIANCE WITH THE MANDATORY AGRI AGRA CREDIT</t>
  </si>
  <si>
    <t>Debt Securities(Schedule C-1)</t>
  </si>
  <si>
    <t>Equity Securities (Schedule C-2)</t>
  </si>
  <si>
    <t>Loans and Other Credits (Schedules C-3 and C-4)</t>
  </si>
  <si>
    <t>Proceeds/
 Funds Generated through 
Alternative Modes of Compliance</t>
  </si>
  <si>
    <t>Increase/
(Decrease)</t>
  </si>
  <si>
    <t>Agrarian Reform Loans (Schedule A)</t>
  </si>
  <si>
    <t>MARAYO BANK INC (A RURAL BANK)</t>
  </si>
  <si>
    <t>MIZUHO BANK, LTD. - MANILA BRANCH</t>
  </si>
  <si>
    <t>1ST VALLEY BANK INC., A DEVELOPMENT BANK</t>
  </si>
  <si>
    <t>CTBC BANK (PHILIPPINES) CORP.</t>
  </si>
  <si>
    <t>LIFEBANK - A RURAL BANK</t>
  </si>
  <si>
    <t>BANGKO NOVELETA, INC., A RURAL BANK</t>
  </si>
  <si>
    <t>TONGYANG SAVINGS BANK, INC.</t>
  </si>
  <si>
    <t>MBANK PHILIPPINES (A THRIFT BANK), INC.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</si>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</sst>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mm\ d\,\ yyyy"/>
    <numFmt numFmtId="165" formatCode="000000"/>
    <numFmt numFmtId="167" formatCode="0_);[Red]\(0\)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Calibri"/>
      <family val="2"/>
    </font>
    <font>
      <b/>
      <vertAlign val="superscript"/>
      <sz val="12"/>
      <name val="Calibri"/>
      <family val="2"/>
    </font>
    <font>
      <sz val="12"/>
      <name val="Calibri"/>
      <family val="2"/>
    </font>
    <font>
      <sz val="8"/>
      <name val="Calibri"/>
      <family val="2"/>
    </font>
    <font>
      <sz val="11"/>
      <color indexed="12"/>
      <name val="Calibri"/>
      <family val="2"/>
    </font>
    <font>
      <sz val="10"/>
      <name val="Arial"/>
    </font>
    <font>
      <sz val="10"/>
      <color indexed="12"/>
      <name val="Arial"/>
    </font>
    <font>
      <sz val="9"/>
      <name val="Calibri"/>
      <family val="2"/>
    </font>
    <font>
      <b/>
      <sz val="9"/>
      <name val="Calibri"/>
      <family val="2"/>
    </font>
    <font>
      <b/>
      <vertAlign val="superscript"/>
      <sz val="9"/>
      <name val="Calibri"/>
      <family val="2"/>
    </font>
    <font>
      <strike/>
      <sz val="9"/>
      <name val="Calibri"/>
      <family val="2"/>
    </font>
    <font>
      <b/>
      <sz val="9"/>
      <color indexed="12"/>
      <name val="Calibri"/>
      <family val="2"/>
    </font>
    <font>
      <vertAlign val="superscript"/>
      <sz val="9"/>
      <name val="Calibri"/>
      <family val="2"/>
    </font>
    <font>
      <sz val="9"/>
      <color indexed="10"/>
      <name val="Calibri"/>
      <family val="2"/>
    </font>
    <font>
      <sz val="9"/>
      <color indexed="9"/>
      <name val="Calibri"/>
      <family val="2"/>
    </font>
    <font>
      <sz val="9"/>
      <color indexed="8"/>
      <name val="Calibri"/>
      <family val="2"/>
    </font>
    <font>
      <u/>
      <sz val="9"/>
      <name val="Calibri"/>
      <family val="2"/>
    </font>
    <font>
      <sz val="9"/>
      <color indexed="12"/>
      <name val="Calibri"/>
      <family val="2"/>
    </font>
    <font>
      <b/>
      <sz val="9"/>
      <color indexed="8"/>
      <name val="Calibri"/>
      <family val="2"/>
    </font>
    <font>
      <b/>
      <strike/>
      <sz val="9"/>
      <name val="Calibri"/>
      <family val="2"/>
    </font>
    <font>
      <b/>
      <sz val="9"/>
      <color indexed="62"/>
      <name val="Calibri"/>
      <family val="2"/>
    </font>
    <font>
      <sz val="9"/>
      <name val="Cambria"/>
      <family val="1"/>
    </font>
    <font>
      <sz val="9"/>
      <color indexed="62"/>
      <name val="Calibri"/>
      <family val="2"/>
    </font>
    <font>
      <b/>
      <sz val="9"/>
      <color indexed="9"/>
      <name val="Calibri"/>
      <family val="2"/>
    </font>
    <font>
      <b/>
      <sz val="9"/>
      <color indexed="23"/>
      <name val="Calibri"/>
      <family val="2"/>
    </font>
    <font>
      <sz val="9"/>
      <name val="Arial"/>
      <family val="2"/>
    </font>
    <font>
      <b/>
      <sz val="9"/>
      <color indexed="45"/>
      <name val="Calibri"/>
      <family val="2"/>
    </font>
    <font>
      <sz val="9"/>
      <color indexed="9"/>
      <name val="Arial"/>
      <family val="2"/>
    </font>
    <font>
      <b/>
      <sz val="9"/>
      <color indexed="10"/>
      <name val="Calibri"/>
      <family val="2"/>
    </font>
    <font>
      <sz val="11"/>
      <color indexed="48"/>
      <name val="Calibri"/>
      <family val="2"/>
    </font>
    <font>
      <sz val="11"/>
      <color rgb="FF0000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FF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9" fillId="0" borderId="0"/>
  </cellStyleXfs>
  <cellXfs count="867">
    <xf numFmtId="0" fontId="0" fillId="0" borderId="0" xfId="0"/>
    <xf numFmtId="0" fontId="3" fillId="0" borderId="0" xfId="0" applyFont="1" applyBorder="1" applyAlignment="1" applyProtection="1">
      <alignment horizontal="left" vertical="top"/>
      <protection hidden="1"/>
    </xf>
    <xf numFmtId="0" fontId="6" fillId="0" borderId="0" xfId="2" applyFont="1" applyProtection="1">
      <protection hidden="1"/>
    </xf>
    <xf numFmtId="2" fontId="6" fillId="0" borderId="0" xfId="2" applyNumberFormat="1" applyFont="1" applyAlignment="1" applyProtection="1">
      <alignment horizontal="right"/>
      <protection hidden="1"/>
    </xf>
    <xf numFmtId="2" fontId="6" fillId="0" borderId="0" xfId="2" applyNumberFormat="1" applyFont="1" applyProtection="1">
      <protection hidden="1"/>
    </xf>
    <xf numFmtId="0" fontId="4" fillId="0" borderId="0" xfId="2" applyFont="1" applyProtection="1">
      <protection hidden="1"/>
    </xf>
    <xf numFmtId="0" fontId="4" fillId="0" borderId="0" xfId="2" applyFont="1" applyBorder="1" applyAlignment="1" applyProtection="1">
      <alignment vertical="top"/>
      <protection hidden="1"/>
    </xf>
    <xf numFmtId="0" fontId="4" fillId="0" borderId="0" xfId="2" applyFont="1" applyAlignment="1" applyProtection="1">
      <alignment vertical="center"/>
      <protection hidden="1"/>
    </xf>
    <xf numFmtId="0" fontId="4" fillId="0" borderId="0" xfId="2" applyFont="1" applyAlignment="1" applyProtection="1">
      <alignment vertical="center" wrapText="1"/>
      <protection hidden="1"/>
    </xf>
    <xf numFmtId="0" fontId="6" fillId="0" borderId="0" xfId="2" applyFont="1" applyAlignment="1" applyProtection="1">
      <alignment horizontal="center"/>
      <protection hidden="1"/>
    </xf>
    <xf numFmtId="0" fontId="5" fillId="0" borderId="0" xfId="2" applyFont="1" applyBorder="1" applyAlignment="1" applyProtection="1">
      <alignment vertical="top"/>
      <protection hidden="1"/>
    </xf>
    <xf numFmtId="0" fontId="12" fillId="2" borderId="1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left" vertical="top"/>
      <protection hidden="1"/>
    </xf>
    <xf numFmtId="0" fontId="11" fillId="0" borderId="0" xfId="0" applyFont="1" applyBorder="1" applyAlignment="1" applyProtection="1">
      <alignment vertical="top"/>
      <protection hidden="1"/>
    </xf>
    <xf numFmtId="0" fontId="11" fillId="0" borderId="0" xfId="0" applyFont="1" applyBorder="1" applyAlignment="1" applyProtection="1">
      <alignment vertical="top" wrapText="1"/>
      <protection hidden="1"/>
    </xf>
    <xf numFmtId="0" fontId="11" fillId="0" borderId="0" xfId="0" applyFont="1" applyBorder="1" applyAlignment="1" applyProtection="1">
      <alignment horizontal="center" vertical="top"/>
      <protection hidden="1"/>
    </xf>
    <xf numFmtId="4" fontId="11" fillId="0" borderId="0" xfId="0" applyNumberFormat="1" applyFont="1" applyAlignment="1" applyProtection="1">
      <alignment horizontal="right" vertical="top"/>
      <protection hidden="1"/>
    </xf>
    <xf numFmtId="4" fontId="11" fillId="0" borderId="0" xfId="0" applyNumberFormat="1" applyFont="1" applyAlignment="1" applyProtection="1">
      <alignment vertical="top"/>
      <protection hidden="1"/>
    </xf>
    <xf numFmtId="0" fontId="11" fillId="0" borderId="0" xfId="0" applyFont="1" applyAlignment="1" applyProtection="1">
      <alignment vertical="top"/>
      <protection hidden="1"/>
    </xf>
    <xf numFmtId="164" fontId="11" fillId="0" borderId="0" xfId="0" applyNumberFormat="1" applyFont="1" applyAlignment="1" applyProtection="1">
      <alignment horizontal="left" vertical="top"/>
      <protection hidden="1"/>
    </xf>
    <xf numFmtId="0" fontId="12" fillId="0" borderId="0" xfId="0" applyFont="1" applyAlignment="1" applyProtection="1">
      <alignment vertical="top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1" fillId="0" borderId="2" xfId="0" applyFont="1" applyBorder="1" applyAlignment="1" applyProtection="1">
      <alignment vertical="top"/>
      <protection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2" fontId="11" fillId="0" borderId="0" xfId="2" applyNumberFormat="1" applyFont="1" applyAlignment="1" applyProtection="1">
      <alignment horizontal="right"/>
      <protection hidden="1"/>
    </xf>
    <xf numFmtId="0" fontId="11" fillId="0" borderId="0" xfId="2" applyFont="1" applyProtection="1">
      <protection hidden="1"/>
    </xf>
    <xf numFmtId="2" fontId="11" fillId="0" borderId="0" xfId="2" applyNumberFormat="1" applyFont="1" applyAlignment="1" applyProtection="1">
      <alignment horizontal="left"/>
      <protection hidden="1"/>
    </xf>
    <xf numFmtId="2" fontId="11" fillId="0" borderId="0" xfId="2" applyNumberFormat="1" applyFont="1" applyProtection="1">
      <protection hidden="1"/>
    </xf>
    <xf numFmtId="0" fontId="12" fillId="0" borderId="0" xfId="2" applyFont="1" applyAlignment="1" applyProtection="1">
      <alignment horizontal="center"/>
      <protection hidden="1"/>
    </xf>
    <xf numFmtId="0" fontId="12" fillId="0" borderId="0" xfId="2" applyFont="1" applyProtection="1">
      <protection hidden="1"/>
    </xf>
    <xf numFmtId="0" fontId="12" fillId="0" borderId="0" xfId="2" applyFont="1" applyAlignment="1" applyProtection="1">
      <alignment horizontal="center" wrapText="1"/>
      <protection hidden="1"/>
    </xf>
    <xf numFmtId="2" fontId="12" fillId="0" borderId="0" xfId="2" applyNumberFormat="1" applyFont="1" applyProtection="1">
      <protection hidden="1"/>
    </xf>
    <xf numFmtId="0" fontId="12" fillId="2" borderId="2" xfId="2" applyFont="1" applyFill="1" applyBorder="1" applyAlignment="1" applyProtection="1">
      <alignment horizontal="center" vertical="center" wrapText="1"/>
      <protection hidden="1"/>
    </xf>
    <xf numFmtId="0" fontId="12" fillId="0" borderId="0" xfId="2" applyFont="1" applyAlignment="1" applyProtection="1">
      <alignment wrapText="1"/>
      <protection hidden="1"/>
    </xf>
    <xf numFmtId="0" fontId="11" fillId="0" borderId="0" xfId="2" applyFont="1" applyBorder="1" applyProtection="1">
      <protection hidden="1"/>
    </xf>
    <xf numFmtId="0" fontId="11" fillId="0" borderId="0" xfId="2" applyFont="1" applyBorder="1" applyAlignment="1" applyProtection="1">
      <alignment wrapText="1"/>
      <protection hidden="1"/>
    </xf>
    <xf numFmtId="0" fontId="11" fillId="0" borderId="3" xfId="2" applyFont="1" applyBorder="1" applyProtection="1">
      <protection hidden="1"/>
    </xf>
    <xf numFmtId="1" fontId="11" fillId="3" borderId="4" xfId="2" applyNumberFormat="1" applyFont="1" applyFill="1" applyBorder="1" applyAlignment="1" applyProtection="1">
      <alignment horizontal="right"/>
      <protection hidden="1"/>
    </xf>
    <xf numFmtId="0" fontId="12" fillId="0" borderId="0" xfId="2" applyFont="1" applyBorder="1" applyProtection="1">
      <protection hidden="1"/>
    </xf>
    <xf numFmtId="0" fontId="12" fillId="0" borderId="0" xfId="2" applyFont="1" applyBorder="1" applyAlignment="1" applyProtection="1">
      <alignment wrapText="1"/>
      <protection hidden="1"/>
    </xf>
    <xf numFmtId="0" fontId="11" fillId="0" borderId="5" xfId="2" quotePrefix="1" applyFont="1" applyBorder="1" applyAlignment="1" applyProtection="1">
      <alignment horizontal="center"/>
      <protection hidden="1"/>
    </xf>
    <xf numFmtId="0" fontId="23" fillId="0" borderId="0" xfId="2" applyFont="1" applyProtection="1">
      <protection hidden="1"/>
    </xf>
    <xf numFmtId="0" fontId="11" fillId="0" borderId="5" xfId="2" applyFont="1" applyBorder="1" applyAlignment="1" applyProtection="1">
      <alignment horizontal="center"/>
      <protection hidden="1"/>
    </xf>
    <xf numFmtId="0" fontId="11" fillId="0" borderId="0" xfId="2" quotePrefix="1" applyFont="1" applyBorder="1" applyAlignment="1" applyProtection="1">
      <alignment vertical="top"/>
      <protection hidden="1"/>
    </xf>
    <xf numFmtId="0" fontId="11" fillId="0" borderId="0" xfId="2" applyFont="1" applyBorder="1" applyAlignment="1" applyProtection="1">
      <alignment vertical="top" wrapText="1"/>
      <protection hidden="1"/>
    </xf>
    <xf numFmtId="0" fontId="11" fillId="0" borderId="5" xfId="2" quotePrefix="1" applyFont="1" applyBorder="1" applyAlignment="1" applyProtection="1">
      <alignment horizontal="center" vertical="top"/>
      <protection hidden="1"/>
    </xf>
    <xf numFmtId="0" fontId="11" fillId="0" borderId="0" xfId="2" applyFont="1" applyAlignment="1" applyProtection="1">
      <alignment vertical="top"/>
      <protection hidden="1"/>
    </xf>
    <xf numFmtId="0" fontId="11" fillId="0" borderId="0" xfId="2" applyFont="1" applyBorder="1" applyAlignment="1" applyProtection="1">
      <alignment vertical="top"/>
      <protection hidden="1"/>
    </xf>
    <xf numFmtId="0" fontId="11" fillId="0" borderId="5" xfId="2" applyFont="1" applyBorder="1" applyAlignment="1" applyProtection="1">
      <alignment horizontal="center" vertical="top"/>
      <protection hidden="1"/>
    </xf>
    <xf numFmtId="0" fontId="11" fillId="0" borderId="0" xfId="2" quotePrefix="1" applyFont="1" applyBorder="1" applyAlignment="1" applyProtection="1">
      <alignment vertical="top" wrapText="1"/>
      <protection hidden="1"/>
    </xf>
    <xf numFmtId="0" fontId="11" fillId="0" borderId="0" xfId="2" quotePrefix="1" applyFont="1" applyBorder="1" applyProtection="1">
      <protection hidden="1"/>
    </xf>
    <xf numFmtId="0" fontId="11" fillId="0" borderId="0" xfId="2" quotePrefix="1" applyFont="1" applyBorder="1" applyAlignment="1" applyProtection="1">
      <alignment wrapText="1"/>
      <protection hidden="1"/>
    </xf>
    <xf numFmtId="0" fontId="12" fillId="0" borderId="6" xfId="2" applyFont="1" applyBorder="1" applyAlignment="1" applyProtection="1">
      <alignment vertical="top"/>
      <protection hidden="1"/>
    </xf>
    <xf numFmtId="0" fontId="12" fillId="0" borderId="6" xfId="2" applyFont="1" applyBorder="1" applyAlignment="1" applyProtection="1">
      <alignment vertical="top" wrapText="1"/>
      <protection hidden="1"/>
    </xf>
    <xf numFmtId="0" fontId="11" fillId="0" borderId="7" xfId="2" quotePrefix="1" applyFont="1" applyBorder="1" applyAlignment="1" applyProtection="1">
      <alignment horizontal="center" vertical="top"/>
      <protection hidden="1"/>
    </xf>
    <xf numFmtId="0" fontId="13" fillId="0" borderId="0" xfId="2" applyFont="1" applyAlignment="1" applyProtection="1">
      <alignment vertical="top"/>
      <protection hidden="1"/>
    </xf>
    <xf numFmtId="0" fontId="12" fillId="0" borderId="0" xfId="2" applyFont="1" applyAlignment="1" applyProtection="1">
      <alignment vertical="top"/>
      <protection hidden="1"/>
    </xf>
    <xf numFmtId="0" fontId="11" fillId="0" borderId="5" xfId="2" applyFont="1" applyBorder="1" applyProtection="1">
      <protection hidden="1"/>
    </xf>
    <xf numFmtId="0" fontId="11" fillId="0" borderId="8" xfId="2" applyFont="1" applyBorder="1" applyProtection="1">
      <protection hidden="1"/>
    </xf>
    <xf numFmtId="0" fontId="12" fillId="0" borderId="5" xfId="2" applyFont="1" applyBorder="1" applyAlignment="1" applyProtection="1">
      <alignment horizontal="center"/>
      <protection hidden="1"/>
    </xf>
    <xf numFmtId="0" fontId="12" fillId="0" borderId="0" xfId="2" applyFont="1" applyBorder="1" applyAlignment="1" applyProtection="1">
      <alignment vertical="center"/>
      <protection hidden="1"/>
    </xf>
    <xf numFmtId="0" fontId="11" fillId="0" borderId="1" xfId="2" applyFont="1" applyBorder="1" applyAlignment="1" applyProtection="1">
      <alignment horizontal="center"/>
      <protection hidden="1"/>
    </xf>
    <xf numFmtId="0" fontId="11" fillId="0" borderId="0" xfId="2" applyFont="1" applyAlignment="1" applyProtection="1">
      <alignment wrapText="1"/>
      <protection hidden="1"/>
    </xf>
    <xf numFmtId="0" fontId="18" fillId="0" borderId="0" xfId="2" applyFont="1" applyAlignment="1" applyProtection="1">
      <alignment horizontal="center"/>
      <protection hidden="1"/>
    </xf>
    <xf numFmtId="0" fontId="11" fillId="0" borderId="0" xfId="2" applyFont="1" applyAlignment="1" applyProtection="1">
      <alignment horizontal="center"/>
      <protection hidden="1"/>
    </xf>
    <xf numFmtId="0" fontId="20" fillId="0" borderId="0" xfId="2" applyFont="1" applyProtection="1">
      <protection hidden="1"/>
    </xf>
    <xf numFmtId="0" fontId="25" fillId="0" borderId="0" xfId="2" applyFont="1" applyProtection="1">
      <protection hidden="1"/>
    </xf>
    <xf numFmtId="0" fontId="20" fillId="0" borderId="0" xfId="2" applyFont="1" applyAlignment="1" applyProtection="1">
      <alignment wrapText="1"/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Alignment="1" applyProtection="1">
      <protection hidden="1"/>
    </xf>
    <xf numFmtId="0" fontId="11" fillId="0" borderId="0" xfId="0" applyFont="1" applyBorder="1" applyAlignment="1" applyProtection="1">
      <alignment wrapText="1"/>
      <protection hidden="1"/>
    </xf>
    <xf numFmtId="0" fontId="11" fillId="0" borderId="0" xfId="0" applyFont="1" applyBorder="1" applyAlignment="1" applyProtection="1">
      <alignment horizontal="center"/>
      <protection hidden="1"/>
    </xf>
    <xf numFmtId="4" fontId="11" fillId="0" borderId="0" xfId="0" applyNumberFormat="1" applyFont="1" applyAlignment="1" applyProtection="1">
      <alignment horizontal="right"/>
      <protection hidden="1"/>
    </xf>
    <xf numFmtId="4" fontId="11" fillId="0" borderId="0" xfId="0" applyNumberFormat="1" applyFont="1" applyAlignment="1" applyProtection="1">
      <protection hidden="1"/>
    </xf>
    <xf numFmtId="4" fontId="11" fillId="0" borderId="0" xfId="0" applyNumberFormat="1" applyFont="1" applyAlignment="1" applyProtection="1">
      <alignment horizontal="left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2" borderId="9" xfId="0" applyFont="1" applyFill="1" applyBorder="1" applyAlignment="1" applyProtection="1">
      <alignment horizontal="center" wrapText="1"/>
      <protection hidden="1"/>
    </xf>
    <xf numFmtId="0" fontId="12" fillId="2" borderId="10" xfId="0" applyFont="1" applyFill="1" applyBorder="1" applyAlignment="1" applyProtection="1">
      <alignment horizontal="center" wrapText="1"/>
      <protection hidden="1"/>
    </xf>
    <xf numFmtId="4" fontId="12" fillId="2" borderId="10" xfId="0" applyNumberFormat="1" applyFont="1" applyFill="1" applyBorder="1" applyAlignment="1" applyProtection="1">
      <alignment horizontal="center" wrapText="1"/>
      <protection hidden="1"/>
    </xf>
    <xf numFmtId="4" fontId="12" fillId="2" borderId="11" xfId="0" applyNumberFormat="1" applyFont="1" applyFill="1" applyBorder="1" applyAlignment="1" applyProtection="1">
      <alignment horizont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0" xfId="0" applyFont="1" applyBorder="1" applyAlignment="1" applyProtection="1">
      <alignment horizontal="left"/>
      <protection hidden="1"/>
    </xf>
    <xf numFmtId="0" fontId="12" fillId="0" borderId="0" xfId="0" applyFont="1" applyBorder="1" applyAlignment="1" applyProtection="1">
      <protection hidden="1"/>
    </xf>
    <xf numFmtId="0" fontId="12" fillId="0" borderId="1" xfId="0" applyFont="1" applyBorder="1" applyAlignment="1" applyProtection="1">
      <alignment horizontal="center"/>
      <protection hidden="1"/>
    </xf>
    <xf numFmtId="0" fontId="12" fillId="0" borderId="1" xfId="0" applyFont="1" applyBorder="1" applyAlignment="1" applyProtection="1">
      <protection hidden="1"/>
    </xf>
    <xf numFmtId="0" fontId="12" fillId="0" borderId="13" xfId="0" applyFont="1" applyBorder="1" applyAlignment="1" applyProtection="1">
      <protection hidden="1"/>
    </xf>
    <xf numFmtId="0" fontId="12" fillId="0" borderId="0" xfId="0" applyFont="1" applyBorder="1" applyAlignment="1" applyProtection="1">
      <alignment wrapText="1"/>
      <protection hidden="1"/>
    </xf>
    <xf numFmtId="0" fontId="12" fillId="0" borderId="4" xfId="0" applyFont="1" applyBorder="1" applyAlignment="1" applyProtection="1">
      <alignment horizontal="center"/>
      <protection hidden="1"/>
    </xf>
    <xf numFmtId="40" fontId="11" fillId="4" borderId="4" xfId="0" applyNumberFormat="1" applyFont="1" applyFill="1" applyBorder="1" applyAlignment="1" applyProtection="1">
      <alignment horizontal="right"/>
      <protection hidden="1"/>
    </xf>
    <xf numFmtId="40" fontId="11" fillId="4" borderId="14" xfId="0" applyNumberFormat="1" applyFont="1" applyFill="1" applyBorder="1" applyAlignment="1" applyProtection="1">
      <alignment horizontal="right"/>
      <protection hidden="1"/>
    </xf>
    <xf numFmtId="0" fontId="11" fillId="0" borderId="12" xfId="0" applyFont="1" applyBorder="1" applyAlignment="1" applyProtection="1">
      <alignment horizontal="left"/>
      <protection hidden="1"/>
    </xf>
    <xf numFmtId="0" fontId="11" fillId="0" borderId="0" xfId="0" quotePrefix="1" applyFont="1" applyBorder="1" applyAlignment="1" applyProtection="1">
      <alignment horizontal="left"/>
      <protection hidden="1"/>
    </xf>
    <xf numFmtId="0" fontId="11" fillId="0" borderId="4" xfId="0" applyFont="1" applyBorder="1" applyAlignment="1" applyProtection="1">
      <alignment horizontal="center"/>
      <protection hidden="1"/>
    </xf>
    <xf numFmtId="49" fontId="11" fillId="0" borderId="4" xfId="0" quotePrefix="1" applyNumberFormat="1" applyFont="1" applyFill="1" applyBorder="1" applyAlignment="1" applyProtection="1">
      <alignment horizontal="center"/>
      <protection hidden="1"/>
    </xf>
    <xf numFmtId="40" fontId="15" fillId="0" borderId="4" xfId="0" applyNumberFormat="1" applyFont="1" applyBorder="1" applyAlignment="1" applyProtection="1">
      <alignment horizontal="right"/>
      <protection hidden="1"/>
    </xf>
    <xf numFmtId="40" fontId="11" fillId="4" borderId="15" xfId="0" applyNumberFormat="1" applyFont="1" applyFill="1" applyBorder="1" applyAlignment="1" applyProtection="1">
      <alignment horizontal="right"/>
      <protection hidden="1"/>
    </xf>
    <xf numFmtId="40" fontId="11" fillId="4" borderId="1" xfId="0" applyNumberFormat="1" applyFont="1" applyFill="1" applyBorder="1" applyAlignment="1" applyProtection="1">
      <alignment horizontal="right"/>
      <protection hidden="1"/>
    </xf>
    <xf numFmtId="40" fontId="11" fillId="4" borderId="13" xfId="0" applyNumberFormat="1" applyFont="1" applyFill="1" applyBorder="1" applyAlignment="1" applyProtection="1">
      <alignment horizontal="right"/>
      <protection hidden="1"/>
    </xf>
    <xf numFmtId="0" fontId="14" fillId="0" borderId="12" xfId="0" applyFont="1" applyBorder="1" applyAlignment="1" applyProtection="1">
      <alignment horizontal="left"/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14" fillId="0" borderId="0" xfId="0" applyFont="1" applyBorder="1" applyAlignment="1" applyProtection="1">
      <alignment wrapText="1"/>
      <protection hidden="1"/>
    </xf>
    <xf numFmtId="40" fontId="15" fillId="5" borderId="4" xfId="0" applyNumberFormat="1" applyFont="1" applyFill="1" applyBorder="1" applyAlignment="1" applyProtection="1">
      <alignment horizontal="right"/>
      <protection hidden="1"/>
    </xf>
    <xf numFmtId="40" fontId="19" fillId="0" borderId="4" xfId="0" applyNumberFormat="1" applyFont="1" applyFill="1" applyBorder="1" applyAlignment="1" applyProtection="1">
      <alignment horizontal="right"/>
      <protection locked="0"/>
    </xf>
    <xf numFmtId="40" fontId="11" fillId="4" borderId="16" xfId="0" applyNumberFormat="1" applyFont="1" applyFill="1" applyBorder="1" applyAlignment="1" applyProtection="1">
      <alignment horizontal="right"/>
      <protection hidden="1"/>
    </xf>
    <xf numFmtId="0" fontId="11" fillId="0" borderId="0" xfId="0" applyFont="1" applyBorder="1" applyAlignment="1" applyProtection="1">
      <alignment horizontal="left" wrapText="1"/>
      <protection hidden="1"/>
    </xf>
    <xf numFmtId="0" fontId="11" fillId="0" borderId="17" xfId="0" applyFont="1" applyBorder="1" applyAlignment="1" applyProtection="1">
      <alignment horizontal="left" wrapText="1"/>
      <protection hidden="1"/>
    </xf>
    <xf numFmtId="49" fontId="11" fillId="0" borderId="4" xfId="0" quotePrefix="1" applyNumberFormat="1" applyFont="1" applyBorder="1" applyAlignment="1" applyProtection="1">
      <alignment horizontal="center"/>
      <protection hidden="1"/>
    </xf>
    <xf numFmtId="0" fontId="12" fillId="0" borderId="12" xfId="0" applyFont="1" applyBorder="1" applyAlignment="1" applyProtection="1">
      <protection hidden="1"/>
    </xf>
    <xf numFmtId="0" fontId="12" fillId="0" borderId="17" xfId="0" applyFont="1" applyBorder="1" applyAlignment="1" applyProtection="1">
      <protection hidden="1"/>
    </xf>
    <xf numFmtId="49" fontId="11" fillId="0" borderId="3" xfId="0" quotePrefix="1" applyNumberFormat="1" applyFont="1" applyFill="1" applyBorder="1" applyAlignment="1" applyProtection="1">
      <alignment horizontal="center"/>
      <protection hidden="1"/>
    </xf>
    <xf numFmtId="0" fontId="12" fillId="0" borderId="17" xfId="0" applyFont="1" applyBorder="1" applyAlignment="1" applyProtection="1">
      <alignment horizontal="left" wrapText="1"/>
      <protection hidden="1"/>
    </xf>
    <xf numFmtId="40" fontId="22" fillId="0" borderId="4" xfId="0" applyNumberFormat="1" applyFont="1" applyBorder="1" applyAlignment="1" applyProtection="1">
      <alignment horizontal="right"/>
      <protection locked="0"/>
    </xf>
    <xf numFmtId="0" fontId="12" fillId="0" borderId="18" xfId="0" applyFont="1" applyBorder="1" applyAlignment="1" applyProtection="1">
      <protection hidden="1"/>
    </xf>
    <xf numFmtId="0" fontId="12" fillId="0" borderId="19" xfId="0" applyFont="1" applyBorder="1" applyAlignment="1" applyProtection="1">
      <alignment horizontal="left"/>
      <protection hidden="1"/>
    </xf>
    <xf numFmtId="0" fontId="12" fillId="0" borderId="19" xfId="0" applyFont="1" applyBorder="1" applyAlignment="1" applyProtection="1">
      <protection hidden="1"/>
    </xf>
    <xf numFmtId="0" fontId="12" fillId="0" borderId="20" xfId="0" applyFont="1" applyBorder="1" applyAlignment="1" applyProtection="1">
      <alignment wrapText="1"/>
      <protection hidden="1"/>
    </xf>
    <xf numFmtId="49" fontId="11" fillId="0" borderId="7" xfId="0" quotePrefix="1" applyNumberFormat="1" applyFont="1" applyFill="1" applyBorder="1" applyAlignment="1" applyProtection="1">
      <alignment horizontal="center"/>
      <protection hidden="1"/>
    </xf>
    <xf numFmtId="49" fontId="11" fillId="0" borderId="21" xfId="0" quotePrefix="1" applyNumberFormat="1" applyFont="1" applyFill="1" applyBorder="1" applyAlignment="1" applyProtection="1">
      <alignment horizontal="center"/>
      <protection hidden="1"/>
    </xf>
    <xf numFmtId="40" fontId="15" fillId="0" borderId="7" xfId="0" applyNumberFormat="1" applyFont="1" applyBorder="1" applyAlignment="1" applyProtection="1">
      <alignment horizontal="right"/>
      <protection hidden="1"/>
    </xf>
    <xf numFmtId="40" fontId="15" fillId="5" borderId="7" xfId="0" applyNumberFormat="1" applyFont="1" applyFill="1" applyBorder="1" applyAlignment="1" applyProtection="1">
      <alignment horizontal="right"/>
      <protection hidden="1"/>
    </xf>
    <xf numFmtId="0" fontId="18" fillId="0" borderId="0" xfId="0" applyFont="1" applyBorder="1" applyAlignment="1" applyProtection="1">
      <alignment horizontal="center"/>
      <protection hidden="1"/>
    </xf>
    <xf numFmtId="0" fontId="20" fillId="0" borderId="0" xfId="0" applyFont="1" applyBorder="1" applyAlignment="1" applyProtection="1">
      <alignment horizontal="left"/>
      <protection hidden="1"/>
    </xf>
    <xf numFmtId="0" fontId="20" fillId="0" borderId="0" xfId="0" applyFont="1" applyBorder="1" applyAlignment="1" applyProtection="1">
      <protection hidden="1"/>
    </xf>
    <xf numFmtId="0" fontId="20" fillId="0" borderId="0" xfId="0" applyFont="1" applyBorder="1" applyAlignment="1" applyProtection="1">
      <alignment wrapText="1"/>
      <protection hidden="1"/>
    </xf>
    <xf numFmtId="0" fontId="20" fillId="0" borderId="0" xfId="0" applyFont="1" applyBorder="1" applyAlignment="1" applyProtection="1">
      <alignment horizontal="center"/>
      <protection hidden="1"/>
    </xf>
    <xf numFmtId="0" fontId="12" fillId="2" borderId="22" xfId="0" applyFont="1" applyFill="1" applyBorder="1" applyAlignment="1" applyProtection="1">
      <alignment horizontal="center" wrapText="1"/>
      <protection hidden="1"/>
    </xf>
    <xf numFmtId="0" fontId="12" fillId="2" borderId="16" xfId="0" applyFont="1" applyFill="1" applyBorder="1" applyAlignment="1" applyProtection="1">
      <alignment horizontal="center" wrapText="1"/>
      <protection hidden="1"/>
    </xf>
    <xf numFmtId="0" fontId="11" fillId="0" borderId="12" xfId="0" applyFont="1" applyBorder="1" applyAlignment="1" applyProtection="1">
      <alignment horizontal="left" wrapText="1"/>
      <protection hidden="1"/>
    </xf>
    <xf numFmtId="0" fontId="11" fillId="0" borderId="0" xfId="0" applyFont="1" applyBorder="1" applyAlignment="1" applyProtection="1">
      <alignment horizontal="center" wrapText="1"/>
      <protection hidden="1"/>
    </xf>
    <xf numFmtId="0" fontId="11" fillId="0" borderId="17" xfId="0" applyFont="1" applyBorder="1" applyAlignment="1" applyProtection="1">
      <alignment horizontal="center" wrapText="1"/>
      <protection hidden="1"/>
    </xf>
    <xf numFmtId="0" fontId="12" fillId="0" borderId="5" xfId="0" applyFont="1" applyBorder="1" applyAlignment="1" applyProtection="1">
      <alignment horizontal="center" wrapText="1"/>
      <protection hidden="1"/>
    </xf>
    <xf numFmtId="0" fontId="11" fillId="0" borderId="4" xfId="0" applyFont="1" applyBorder="1" applyAlignment="1" applyProtection="1">
      <alignment horizontal="center"/>
    </xf>
    <xf numFmtId="0" fontId="19" fillId="0" borderId="4" xfId="0" applyFont="1" applyBorder="1" applyAlignment="1" applyProtection="1">
      <alignment horizontal="center"/>
      <protection hidden="1"/>
    </xf>
    <xf numFmtId="0" fontId="11" fillId="0" borderId="17" xfId="0" applyFont="1" applyBorder="1" applyAlignment="1" applyProtection="1">
      <protection hidden="1"/>
    </xf>
    <xf numFmtId="49" fontId="11" fillId="0" borderId="4" xfId="0" applyNumberFormat="1" applyFont="1" applyFill="1" applyBorder="1" applyAlignment="1" applyProtection="1">
      <alignment horizontal="center"/>
      <protection hidden="1"/>
    </xf>
    <xf numFmtId="49" fontId="19" fillId="0" borderId="4" xfId="0" applyNumberFormat="1" applyFont="1" applyFill="1" applyBorder="1" applyAlignment="1" applyProtection="1">
      <alignment horizontal="center"/>
      <protection hidden="1"/>
    </xf>
    <xf numFmtId="0" fontId="11" fillId="0" borderId="4" xfId="0" quotePrefix="1" applyFont="1" applyBorder="1" applyAlignment="1" applyProtection="1">
      <alignment horizontal="center"/>
      <protection hidden="1"/>
    </xf>
    <xf numFmtId="0" fontId="21" fillId="0" borderId="4" xfId="0" applyFont="1" applyBorder="1" applyAlignment="1" applyProtection="1">
      <alignment horizontal="center"/>
      <protection hidden="1"/>
    </xf>
    <xf numFmtId="40" fontId="15" fillId="0" borderId="14" xfId="0" applyNumberFormat="1" applyFont="1" applyBorder="1" applyAlignment="1" applyProtection="1">
      <alignment horizontal="right"/>
      <protection hidden="1"/>
    </xf>
    <xf numFmtId="49" fontId="21" fillId="0" borderId="4" xfId="0" applyNumberFormat="1" applyFont="1" applyFill="1" applyBorder="1" applyAlignment="1" applyProtection="1">
      <alignment horizontal="center"/>
      <protection hidden="1"/>
    </xf>
    <xf numFmtId="49" fontId="11" fillId="0" borderId="4" xfId="0" applyNumberFormat="1" applyFont="1" applyFill="1" applyBorder="1" applyAlignment="1" applyProtection="1">
      <alignment horizontal="center" wrapText="1"/>
      <protection hidden="1"/>
    </xf>
    <xf numFmtId="49" fontId="19" fillId="0" borderId="4" xfId="0" applyNumberFormat="1" applyFont="1" applyFill="1" applyBorder="1" applyAlignment="1" applyProtection="1">
      <alignment horizontal="center" wrapText="1"/>
      <protection hidden="1"/>
    </xf>
    <xf numFmtId="49" fontId="11" fillId="0" borderId="4" xfId="0" quotePrefix="1" applyNumberFormat="1" applyFont="1" applyFill="1" applyBorder="1" applyAlignment="1" applyProtection="1">
      <alignment horizontal="center" wrapText="1"/>
      <protection hidden="1"/>
    </xf>
    <xf numFmtId="40" fontId="15" fillId="5" borderId="14" xfId="0" applyNumberFormat="1" applyFont="1" applyFill="1" applyBorder="1" applyAlignment="1" applyProtection="1">
      <alignment horizontal="right"/>
      <protection hidden="1"/>
    </xf>
    <xf numFmtId="0" fontId="11" fillId="0" borderId="17" xfId="0" applyFont="1" applyBorder="1" applyAlignment="1" applyProtection="1">
      <alignment wrapText="1"/>
      <protection hidden="1"/>
    </xf>
    <xf numFmtId="0" fontId="11" fillId="0" borderId="12" xfId="0" applyFont="1" applyBorder="1" applyAlignment="1" applyProtection="1">
      <protection hidden="1"/>
    </xf>
    <xf numFmtId="0" fontId="11" fillId="0" borderId="12" xfId="0" quotePrefix="1" applyFont="1" applyBorder="1" applyAlignment="1" applyProtection="1">
      <alignment horizontal="left"/>
      <protection hidden="1"/>
    </xf>
    <xf numFmtId="0" fontId="19" fillId="0" borderId="0" xfId="0" applyFont="1" applyBorder="1" applyAlignment="1" applyProtection="1">
      <protection hidden="1"/>
    </xf>
    <xf numFmtId="40" fontId="15" fillId="0" borderId="14" xfId="0" applyNumberFormat="1" applyFont="1" applyFill="1" applyBorder="1" applyAlignment="1" applyProtection="1">
      <alignment horizontal="right"/>
      <protection hidden="1"/>
    </xf>
    <xf numFmtId="0" fontId="19" fillId="0" borderId="12" xfId="0" applyFont="1" applyBorder="1" applyAlignment="1" applyProtection="1">
      <alignment horizontal="left"/>
      <protection hidden="1"/>
    </xf>
    <xf numFmtId="0" fontId="19" fillId="0" borderId="0" xfId="0" applyFont="1" applyBorder="1" applyAlignment="1" applyProtection="1">
      <alignment horizontal="left"/>
      <protection hidden="1"/>
    </xf>
    <xf numFmtId="0" fontId="19" fillId="0" borderId="0" xfId="0" applyFont="1" applyBorder="1" applyAlignment="1" applyProtection="1">
      <alignment wrapText="1"/>
      <protection hidden="1"/>
    </xf>
    <xf numFmtId="40" fontId="19" fillId="0" borderId="4" xfId="0" applyNumberFormat="1" applyFont="1" applyFill="1" applyBorder="1" applyAlignment="1" applyProtection="1">
      <alignment horizontal="right"/>
      <protection hidden="1"/>
    </xf>
    <xf numFmtId="40" fontId="15" fillId="0" borderId="4" xfId="0" applyNumberFormat="1" applyFont="1" applyFill="1" applyBorder="1" applyAlignment="1" applyProtection="1">
      <alignment horizontal="right"/>
      <protection hidden="1"/>
    </xf>
    <xf numFmtId="0" fontId="11" fillId="0" borderId="12" xfId="0" applyFont="1" applyBorder="1" applyAlignment="1" applyProtection="1">
      <alignment horizontal="center"/>
      <protection hidden="1"/>
    </xf>
    <xf numFmtId="0" fontId="11" fillId="0" borderId="0" xfId="0" quotePrefix="1" applyFont="1" applyBorder="1" applyAlignment="1" applyProtection="1">
      <protection hidden="1"/>
    </xf>
    <xf numFmtId="0" fontId="17" fillId="0" borderId="12" xfId="0" quotePrefix="1" applyFont="1" applyBorder="1" applyAlignment="1" applyProtection="1">
      <alignment horizontal="left"/>
      <protection hidden="1"/>
    </xf>
    <xf numFmtId="0" fontId="11" fillId="0" borderId="0" xfId="0" applyFont="1" applyBorder="1" applyAlignment="1" applyProtection="1">
      <alignment horizontal="right"/>
      <protection hidden="1"/>
    </xf>
    <xf numFmtId="49" fontId="18" fillId="0" borderId="4" xfId="0" applyNumberFormat="1" applyFont="1" applyFill="1" applyBorder="1" applyAlignment="1" applyProtection="1">
      <alignment horizontal="center"/>
      <protection hidden="1"/>
    </xf>
    <xf numFmtId="40" fontId="21" fillId="0" borderId="4" xfId="0" applyNumberFormat="1" applyFont="1" applyFill="1" applyBorder="1" applyAlignment="1" applyProtection="1">
      <alignment horizontal="right"/>
      <protection hidden="1"/>
    </xf>
    <xf numFmtId="40" fontId="11" fillId="0" borderId="4" xfId="0" applyNumberFormat="1" applyFont="1" applyFill="1" applyBorder="1" applyAlignment="1" applyProtection="1">
      <alignment horizontal="right"/>
      <protection locked="0"/>
    </xf>
    <xf numFmtId="40" fontId="11" fillId="0" borderId="4" xfId="0" applyNumberFormat="1" applyFont="1" applyFill="1" applyBorder="1" applyAlignment="1" applyProtection="1">
      <alignment horizontal="center"/>
      <protection hidden="1"/>
    </xf>
    <xf numFmtId="40" fontId="11" fillId="0" borderId="4" xfId="0" applyNumberFormat="1" applyFont="1" applyFill="1" applyBorder="1" applyAlignment="1" applyProtection="1">
      <alignment horizontal="right"/>
      <protection hidden="1"/>
    </xf>
    <xf numFmtId="0" fontId="17" fillId="0" borderId="12" xfId="0" applyFont="1" applyBorder="1" applyAlignment="1" applyProtection="1">
      <alignment horizontal="left"/>
      <protection hidden="1"/>
    </xf>
    <xf numFmtId="0" fontId="19" fillId="0" borderId="17" xfId="0" applyFont="1" applyBorder="1" applyAlignment="1" applyProtection="1">
      <protection hidden="1"/>
    </xf>
    <xf numFmtId="0" fontId="11" fillId="0" borderId="0" xfId="0" applyFont="1" applyFill="1" applyBorder="1" applyAlignment="1" applyProtection="1">
      <alignment horizontal="left"/>
      <protection hidden="1"/>
    </xf>
    <xf numFmtId="0" fontId="11" fillId="0" borderId="0" xfId="0" applyFont="1" applyFill="1" applyBorder="1" applyAlignment="1" applyProtection="1">
      <protection hidden="1"/>
    </xf>
    <xf numFmtId="0" fontId="11" fillId="0" borderId="0" xfId="0" applyFont="1" applyFill="1" applyBorder="1" applyAlignment="1" applyProtection="1">
      <alignment wrapText="1"/>
      <protection hidden="1"/>
    </xf>
    <xf numFmtId="49" fontId="19" fillId="0" borderId="4" xfId="0" applyNumberFormat="1" applyFont="1" applyBorder="1" applyAlignment="1" applyProtection="1">
      <alignment horizontal="center"/>
      <protection hidden="1"/>
    </xf>
    <xf numFmtId="0" fontId="11" fillId="0" borderId="3" xfId="0" applyFont="1" applyBorder="1" applyAlignment="1" applyProtection="1">
      <alignment horizontal="center"/>
      <protection hidden="1"/>
    </xf>
    <xf numFmtId="0" fontId="11" fillId="0" borderId="19" xfId="0" quotePrefix="1" applyFont="1" applyBorder="1" applyAlignment="1" applyProtection="1">
      <alignment horizontal="left"/>
      <protection hidden="1"/>
    </xf>
    <xf numFmtId="0" fontId="11" fillId="0" borderId="20" xfId="0" applyFont="1" applyBorder="1" applyAlignment="1" applyProtection="1">
      <alignment horizontal="left"/>
      <protection hidden="1"/>
    </xf>
    <xf numFmtId="0" fontId="11" fillId="0" borderId="21" xfId="0" applyFont="1" applyBorder="1" applyAlignment="1" applyProtection="1">
      <protection hidden="1"/>
    </xf>
    <xf numFmtId="0" fontId="11" fillId="0" borderId="21" xfId="0" applyFont="1" applyBorder="1" applyAlignment="1" applyProtection="1">
      <alignment wrapText="1"/>
      <protection hidden="1"/>
    </xf>
    <xf numFmtId="0" fontId="11" fillId="0" borderId="7" xfId="0" applyFont="1" applyBorder="1" applyAlignment="1" applyProtection="1">
      <alignment wrapText="1"/>
      <protection hidden="1"/>
    </xf>
    <xf numFmtId="49" fontId="19" fillId="0" borderId="7" xfId="0" applyNumberFormat="1" applyFont="1" applyBorder="1" applyAlignment="1" applyProtection="1">
      <alignment horizontal="center"/>
      <protection hidden="1"/>
    </xf>
    <xf numFmtId="40" fontId="11" fillId="0" borderId="1" xfId="0" applyNumberFormat="1" applyFont="1" applyBorder="1" applyAlignment="1" applyProtection="1">
      <alignment horizontal="center" wrapText="1"/>
      <protection hidden="1"/>
    </xf>
    <xf numFmtId="40" fontId="14" fillId="0" borderId="1" xfId="0" quotePrefix="1" applyNumberFormat="1" applyFont="1" applyBorder="1" applyAlignment="1" applyProtection="1">
      <alignment horizontal="center" wrapText="1"/>
      <protection hidden="1"/>
    </xf>
    <xf numFmtId="40" fontId="11" fillId="0" borderId="13" xfId="0" applyNumberFormat="1" applyFont="1" applyBorder="1" applyAlignment="1" applyProtection="1">
      <alignment horizontal="center" wrapText="1"/>
      <protection hidden="1"/>
    </xf>
    <xf numFmtId="40" fontId="12" fillId="4" borderId="4" xfId="0" applyNumberFormat="1" applyFont="1" applyFill="1" applyBorder="1" applyAlignment="1" applyProtection="1">
      <alignment horizontal="right"/>
      <protection hidden="1"/>
    </xf>
    <xf numFmtId="40" fontId="12" fillId="4" borderId="14" xfId="0" applyNumberFormat="1" applyFont="1" applyFill="1" applyBorder="1" applyAlignment="1" applyProtection="1">
      <alignment horizontal="right"/>
      <protection hidden="1"/>
    </xf>
    <xf numFmtId="40" fontId="11" fillId="4" borderId="3" xfId="0" applyNumberFormat="1" applyFont="1" applyFill="1" applyBorder="1" applyAlignment="1" applyProtection="1">
      <alignment horizontal="right"/>
      <protection hidden="1"/>
    </xf>
    <xf numFmtId="40" fontId="11" fillId="4" borderId="23" xfId="0" applyNumberFormat="1" applyFont="1" applyFill="1" applyBorder="1" applyAlignment="1" applyProtection="1">
      <alignment horizontal="right"/>
      <protection hidden="1"/>
    </xf>
    <xf numFmtId="0" fontId="12" fillId="0" borderId="5" xfId="2" applyFont="1" applyBorder="1" applyProtection="1">
      <protection hidden="1"/>
    </xf>
    <xf numFmtId="0" fontId="11" fillId="0" borderId="0" xfId="2" applyFont="1" applyBorder="1" applyAlignment="1" applyProtection="1">
      <alignment vertical="center"/>
      <protection hidden="1"/>
    </xf>
    <xf numFmtId="40" fontId="11" fillId="0" borderId="4" xfId="2" applyNumberFormat="1" applyFont="1" applyFill="1" applyBorder="1" applyAlignment="1" applyProtection="1">
      <alignment horizontal="right" vertical="top"/>
      <protection locked="0"/>
    </xf>
    <xf numFmtId="40" fontId="11" fillId="3" borderId="4" xfId="2" applyNumberFormat="1" applyFont="1" applyFill="1" applyBorder="1" applyAlignment="1" applyProtection="1">
      <alignment horizontal="right"/>
      <protection hidden="1"/>
    </xf>
    <xf numFmtId="38" fontId="11" fillId="3" borderId="4" xfId="2" applyNumberFormat="1" applyFont="1" applyFill="1" applyBorder="1" applyAlignment="1" applyProtection="1">
      <protection hidden="1"/>
    </xf>
    <xf numFmtId="38" fontId="24" fillId="5" borderId="7" xfId="2" applyNumberFormat="1" applyFont="1" applyFill="1" applyBorder="1" applyAlignment="1" applyProtection="1">
      <alignment vertical="top"/>
      <protection hidden="1"/>
    </xf>
    <xf numFmtId="40" fontId="11" fillId="3" borderId="4" xfId="2" applyNumberFormat="1" applyFont="1" applyFill="1" applyBorder="1" applyAlignment="1" applyProtection="1">
      <protection hidden="1"/>
    </xf>
    <xf numFmtId="38" fontId="24" fillId="0" borderId="7" xfId="2" applyNumberFormat="1" applyFont="1" applyBorder="1" applyAlignment="1" applyProtection="1">
      <alignment vertical="top"/>
      <protection hidden="1"/>
    </xf>
    <xf numFmtId="40" fontId="24" fillId="0" borderId="7" xfId="2" applyNumberFormat="1" applyFont="1" applyBorder="1" applyAlignment="1" applyProtection="1">
      <alignment vertical="top"/>
      <protection hidden="1"/>
    </xf>
    <xf numFmtId="38" fontId="22" fillId="0" borderId="4" xfId="2" applyNumberFormat="1" applyFont="1" applyFill="1" applyBorder="1" applyAlignment="1" applyProtection="1">
      <protection locked="0"/>
    </xf>
    <xf numFmtId="38" fontId="19" fillId="3" borderId="4" xfId="2" applyNumberFormat="1" applyFont="1" applyFill="1" applyBorder="1" applyAlignment="1" applyProtection="1">
      <protection hidden="1"/>
    </xf>
    <xf numFmtId="38" fontId="19" fillId="0" borderId="4" xfId="2" applyNumberFormat="1" applyFont="1" applyFill="1" applyBorder="1" applyAlignment="1" applyProtection="1">
      <alignment vertical="top"/>
      <protection locked="0"/>
    </xf>
    <xf numFmtId="38" fontId="19" fillId="3" borderId="4" xfId="2" applyNumberFormat="1" applyFont="1" applyFill="1" applyBorder="1" applyAlignment="1" applyProtection="1">
      <alignment vertical="top"/>
      <protection hidden="1"/>
    </xf>
    <xf numFmtId="40" fontId="19" fillId="0" borderId="4" xfId="2" applyNumberFormat="1" applyFont="1" applyFill="1" applyBorder="1" applyAlignment="1" applyProtection="1">
      <alignment vertical="top"/>
      <protection locked="0"/>
    </xf>
    <xf numFmtId="38" fontId="11" fillId="5" borderId="24" xfId="2" applyNumberFormat="1" applyFont="1" applyFill="1" applyBorder="1" applyAlignment="1" applyProtection="1">
      <protection hidden="1"/>
    </xf>
    <xf numFmtId="40" fontId="11" fillId="5" borderId="25" xfId="2" applyNumberFormat="1" applyFont="1" applyFill="1" applyBorder="1" applyAlignment="1" applyProtection="1">
      <protection hidden="1"/>
    </xf>
    <xf numFmtId="40" fontId="12" fillId="0" borderId="1" xfId="2" applyNumberFormat="1" applyFont="1" applyBorder="1" applyAlignment="1" applyProtection="1">
      <alignment horizontal="center" wrapText="1"/>
      <protection hidden="1"/>
    </xf>
    <xf numFmtId="4" fontId="12" fillId="2" borderId="4" xfId="2" applyNumberFormat="1" applyFont="1" applyFill="1" applyBorder="1" applyAlignment="1" applyProtection="1">
      <alignment horizontal="center" vertical="center" wrapText="1"/>
      <protection hidden="1"/>
    </xf>
    <xf numFmtId="0" fontId="12" fillId="0" borderId="0" xfId="2" applyFont="1" applyAlignment="1" applyProtection="1">
      <alignment vertical="center" wrapText="1"/>
      <protection hidden="1"/>
    </xf>
    <xf numFmtId="0" fontId="11" fillId="0" borderId="26" xfId="2" applyFont="1" applyBorder="1" applyProtection="1">
      <protection hidden="1"/>
    </xf>
    <xf numFmtId="0" fontId="11" fillId="0" borderId="3" xfId="0" applyFont="1" applyBorder="1" applyAlignment="1" applyProtection="1">
      <alignment vertical="center" wrapText="1"/>
      <protection hidden="1"/>
    </xf>
    <xf numFmtId="4" fontId="11" fillId="5" borderId="4" xfId="2" applyNumberFormat="1" applyFont="1" applyFill="1" applyBorder="1" applyAlignment="1" applyProtection="1">
      <alignment horizontal="right"/>
      <protection hidden="1"/>
    </xf>
    <xf numFmtId="0" fontId="12" fillId="0" borderId="0" xfId="2" applyFont="1" applyBorder="1" applyAlignment="1" applyProtection="1">
      <alignment vertical="top"/>
      <protection hidden="1"/>
    </xf>
    <xf numFmtId="0" fontId="12" fillId="0" borderId="17" xfId="2" applyFont="1" applyBorder="1" applyAlignment="1" applyProtection="1">
      <alignment vertical="top"/>
      <protection hidden="1"/>
    </xf>
    <xf numFmtId="0" fontId="11" fillId="0" borderId="17" xfId="2" quotePrefix="1" applyFont="1" applyBorder="1" applyAlignment="1" applyProtection="1">
      <alignment horizontal="center" vertical="top"/>
      <protection hidden="1"/>
    </xf>
    <xf numFmtId="0" fontId="23" fillId="0" borderId="0" xfId="2" applyFont="1" applyAlignment="1" applyProtection="1">
      <alignment vertical="top"/>
      <protection hidden="1"/>
    </xf>
    <xf numFmtId="0" fontId="11" fillId="0" borderId="17" xfId="2" applyFont="1" applyBorder="1" applyAlignment="1" applyProtection="1">
      <alignment vertical="top"/>
      <protection hidden="1"/>
    </xf>
    <xf numFmtId="0" fontId="11" fillId="0" borderId="17" xfId="2" applyFont="1" applyBorder="1" applyAlignment="1" applyProtection="1">
      <alignment horizontal="center" vertical="top"/>
      <protection hidden="1"/>
    </xf>
    <xf numFmtId="0" fontId="11" fillId="0" borderId="17" xfId="2" quotePrefix="1" applyFont="1" applyBorder="1" applyAlignment="1" applyProtection="1">
      <alignment vertical="top"/>
      <protection hidden="1"/>
    </xf>
    <xf numFmtId="0" fontId="12" fillId="0" borderId="19" xfId="2" applyFont="1" applyBorder="1" applyAlignment="1" applyProtection="1">
      <alignment vertical="top"/>
      <protection hidden="1"/>
    </xf>
    <xf numFmtId="0" fontId="11" fillId="0" borderId="21" xfId="2" quotePrefix="1" applyFont="1" applyBorder="1" applyAlignment="1" applyProtection="1">
      <alignment horizontal="center" vertical="top"/>
      <protection hidden="1"/>
    </xf>
    <xf numFmtId="0" fontId="11" fillId="0" borderId="19" xfId="2" quotePrefix="1" applyFont="1" applyBorder="1" applyAlignment="1" applyProtection="1">
      <alignment horizontal="center" vertical="top"/>
      <protection hidden="1"/>
    </xf>
    <xf numFmtId="0" fontId="13" fillId="0" borderId="0" xfId="2" applyFont="1" applyBorder="1" applyAlignment="1" applyProtection="1">
      <alignment vertical="top"/>
      <protection hidden="1"/>
    </xf>
    <xf numFmtId="0" fontId="11" fillId="5" borderId="0" xfId="2" applyFont="1" applyFill="1" applyProtection="1">
      <protection hidden="1"/>
    </xf>
    <xf numFmtId="40" fontId="12" fillId="0" borderId="4" xfId="2" applyNumberFormat="1" applyFont="1" applyFill="1" applyBorder="1" applyAlignment="1" applyProtection="1">
      <alignment horizontal="right" vertical="top"/>
      <protection locked="0"/>
    </xf>
    <xf numFmtId="40" fontId="11" fillId="3" borderId="4" xfId="2" applyNumberFormat="1" applyFont="1" applyFill="1" applyBorder="1" applyAlignment="1" applyProtection="1">
      <alignment horizontal="right" vertical="top"/>
      <protection hidden="1"/>
    </xf>
    <xf numFmtId="40" fontId="12" fillId="3" borderId="4" xfId="2" applyNumberFormat="1" applyFont="1" applyFill="1" applyBorder="1" applyAlignment="1" applyProtection="1">
      <alignment horizontal="right" vertical="top"/>
      <protection hidden="1"/>
    </xf>
    <xf numFmtId="40" fontId="11" fillId="3" borderId="3" xfId="2" applyNumberFormat="1" applyFont="1" applyFill="1" applyBorder="1" applyAlignment="1" applyProtection="1">
      <alignment horizontal="right" vertical="top"/>
      <protection hidden="1"/>
    </xf>
    <xf numFmtId="40" fontId="15" fillId="5" borderId="3" xfId="2" applyNumberFormat="1" applyFont="1" applyFill="1" applyBorder="1" applyAlignment="1" applyProtection="1">
      <alignment horizontal="right" vertical="top"/>
      <protection hidden="1"/>
    </xf>
    <xf numFmtId="40" fontId="15" fillId="5" borderId="27" xfId="2" applyNumberFormat="1" applyFont="1" applyFill="1" applyBorder="1" applyAlignment="1" applyProtection="1">
      <alignment horizontal="right" vertical="top"/>
      <protection hidden="1"/>
    </xf>
    <xf numFmtId="40" fontId="15" fillId="5" borderId="21" xfId="2" applyNumberFormat="1" applyFont="1" applyFill="1" applyBorder="1" applyAlignment="1" applyProtection="1">
      <alignment horizontal="right" vertical="top"/>
      <protection hidden="1"/>
    </xf>
    <xf numFmtId="0" fontId="11" fillId="0" borderId="0" xfId="0" applyFont="1" applyFill="1" applyAlignment="1" applyProtection="1">
      <alignment horizontal="center"/>
      <protection hidden="1"/>
    </xf>
    <xf numFmtId="0" fontId="11" fillId="0" borderId="0" xfId="0" applyFont="1" applyFill="1" applyAlignment="1" applyProtection="1">
      <alignment horizontal="center" wrapText="1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2" borderId="4" xfId="2" applyFont="1" applyFill="1" applyBorder="1" applyAlignment="1" applyProtection="1">
      <alignment horizontal="center"/>
      <protection hidden="1"/>
    </xf>
    <xf numFmtId="0" fontId="12" fillId="2" borderId="4" xfId="2" applyFont="1" applyFill="1" applyBorder="1" applyAlignment="1" applyProtection="1">
      <alignment horizontal="center" wrapText="1"/>
      <protection hidden="1"/>
    </xf>
    <xf numFmtId="0" fontId="11" fillId="0" borderId="4" xfId="2" applyFont="1" applyFill="1" applyBorder="1" applyAlignment="1" applyProtection="1">
      <alignment horizontal="center"/>
      <protection hidden="1"/>
    </xf>
    <xf numFmtId="0" fontId="11" fillId="0" borderId="4" xfId="2" applyFont="1" applyFill="1" applyBorder="1" applyAlignment="1" applyProtection="1">
      <alignment horizontal="center" wrapText="1"/>
      <protection hidden="1"/>
    </xf>
    <xf numFmtId="0" fontId="18" fillId="0" borderId="0" xfId="2" applyFont="1" applyFill="1" applyAlignment="1" applyProtection="1">
      <alignment horizontal="center"/>
      <protection hidden="1"/>
    </xf>
    <xf numFmtId="0" fontId="11" fillId="0" borderId="0" xfId="2" applyFont="1" applyFill="1" applyAlignment="1" applyProtection="1">
      <alignment horizontal="center" wrapText="1"/>
      <protection hidden="1"/>
    </xf>
    <xf numFmtId="0" fontId="11" fillId="0" borderId="0" xfId="2" applyFont="1" applyFill="1" applyAlignment="1" applyProtection="1">
      <alignment horizontal="center"/>
      <protection hidden="1"/>
    </xf>
    <xf numFmtId="0" fontId="20" fillId="0" borderId="0" xfId="2" applyFont="1" applyFill="1" applyAlignment="1" applyProtection="1">
      <alignment horizontal="center"/>
      <protection hidden="1"/>
    </xf>
    <xf numFmtId="0" fontId="20" fillId="0" borderId="0" xfId="2" applyFont="1" applyFill="1" applyAlignment="1" applyProtection="1">
      <alignment horizontal="center" wrapText="1"/>
      <protection hidden="1"/>
    </xf>
    <xf numFmtId="40" fontId="11" fillId="5" borderId="4" xfId="2" applyNumberFormat="1" applyFont="1" applyFill="1" applyBorder="1" applyAlignment="1" applyProtection="1">
      <alignment horizontal="right"/>
      <protection hidden="1"/>
    </xf>
    <xf numFmtId="0" fontId="11" fillId="0" borderId="0" xfId="0" applyFont="1" applyAlignment="1" applyProtection="1">
      <protection hidden="1"/>
    </xf>
    <xf numFmtId="0" fontId="11" fillId="0" borderId="0" xfId="2" applyFont="1" applyAlignment="1" applyProtection="1">
      <protection hidden="1"/>
    </xf>
    <xf numFmtId="2" fontId="11" fillId="0" borderId="0" xfId="2" applyNumberFormat="1" applyFont="1" applyAlignment="1" applyProtection="1">
      <protection hidden="1"/>
    </xf>
    <xf numFmtId="0" fontId="12" fillId="0" borderId="0" xfId="2" applyFont="1" applyAlignment="1" applyProtection="1">
      <protection hidden="1"/>
    </xf>
    <xf numFmtId="0" fontId="12" fillId="2" borderId="15" xfId="2" applyFont="1" applyFill="1" applyBorder="1" applyAlignment="1" applyProtection="1">
      <alignment horizontal="center" wrapText="1"/>
      <protection hidden="1"/>
    </xf>
    <xf numFmtId="4" fontId="12" fillId="2" borderId="4" xfId="2" applyNumberFormat="1" applyFont="1" applyFill="1" applyBorder="1" applyAlignment="1" applyProtection="1">
      <alignment horizontal="center" wrapText="1"/>
      <protection hidden="1"/>
    </xf>
    <xf numFmtId="0" fontId="12" fillId="0" borderId="28" xfId="2" applyFont="1" applyFill="1" applyBorder="1" applyAlignment="1" applyProtection="1">
      <alignment horizontal="center" wrapText="1"/>
      <protection hidden="1"/>
    </xf>
    <xf numFmtId="0" fontId="12" fillId="0" borderId="4" xfId="0" applyFont="1" applyFill="1" applyBorder="1" applyAlignment="1" applyProtection="1">
      <alignment horizontal="center" wrapText="1"/>
      <protection hidden="1"/>
    </xf>
    <xf numFmtId="0" fontId="12" fillId="0" borderId="4" xfId="2" applyFont="1" applyFill="1" applyBorder="1" applyAlignment="1" applyProtection="1">
      <alignment horizontal="center" wrapText="1"/>
      <protection hidden="1"/>
    </xf>
    <xf numFmtId="4" fontId="12" fillId="0" borderId="4" xfId="2" applyNumberFormat="1" applyFont="1" applyFill="1" applyBorder="1" applyAlignment="1" applyProtection="1">
      <alignment horizontal="center" wrapText="1"/>
      <protection hidden="1"/>
    </xf>
    <xf numFmtId="0" fontId="12" fillId="0" borderId="0" xfId="2" applyFont="1" applyFill="1" applyAlignment="1" applyProtection="1">
      <alignment horizontal="center" wrapText="1"/>
      <protection hidden="1"/>
    </xf>
    <xf numFmtId="0" fontId="11" fillId="0" borderId="28" xfId="2" applyFont="1" applyBorder="1" applyAlignment="1" applyProtection="1">
      <protection hidden="1"/>
    </xf>
    <xf numFmtId="0" fontId="11" fillId="0" borderId="4" xfId="2" applyFont="1" applyBorder="1" applyAlignment="1" applyProtection="1">
      <protection hidden="1"/>
    </xf>
    <xf numFmtId="40" fontId="11" fillId="0" borderId="4" xfId="2" applyNumberFormat="1" applyFont="1" applyBorder="1" applyAlignment="1" applyProtection="1">
      <protection hidden="1"/>
    </xf>
    <xf numFmtId="40" fontId="11" fillId="5" borderId="4" xfId="2" applyNumberFormat="1" applyFont="1" applyFill="1" applyBorder="1" applyAlignment="1" applyProtection="1">
      <protection hidden="1"/>
    </xf>
    <xf numFmtId="0" fontId="11" fillId="0" borderId="0" xfId="2" quotePrefix="1" applyFont="1" applyBorder="1" applyAlignment="1" applyProtection="1">
      <protection hidden="1"/>
    </xf>
    <xf numFmtId="0" fontId="11" fillId="0" borderId="0" xfId="2" applyFont="1" applyBorder="1" applyAlignment="1" applyProtection="1">
      <protection hidden="1"/>
    </xf>
    <xf numFmtId="0" fontId="11" fillId="0" borderId="4" xfId="2" quotePrefix="1" applyFont="1" applyFill="1" applyBorder="1" applyAlignment="1" applyProtection="1">
      <alignment horizontal="center"/>
      <protection hidden="1"/>
    </xf>
    <xf numFmtId="1" fontId="11" fillId="0" borderId="4" xfId="2" applyNumberFormat="1" applyFont="1" applyFill="1" applyBorder="1" applyAlignment="1" applyProtection="1">
      <alignment horizontal="center" wrapText="1"/>
      <protection hidden="1"/>
    </xf>
    <xf numFmtId="40" fontId="15" fillId="5" borderId="4" xfId="2" applyNumberFormat="1" applyFont="1" applyFill="1" applyBorder="1" applyAlignment="1" applyProtection="1">
      <alignment horizontal="right"/>
      <protection hidden="1"/>
    </xf>
    <xf numFmtId="40" fontId="15" fillId="0" borderId="4" xfId="2" applyNumberFormat="1" applyFont="1" applyBorder="1" applyAlignment="1" applyProtection="1">
      <protection hidden="1"/>
    </xf>
    <xf numFmtId="0" fontId="11" fillId="0" borderId="0" xfId="2" quotePrefix="1" applyFont="1" applyBorder="1" applyAlignment="1" applyProtection="1">
      <alignment horizontal="left"/>
      <protection hidden="1"/>
    </xf>
    <xf numFmtId="0" fontId="11" fillId="0" borderId="0" xfId="2" applyFont="1" applyFill="1" applyBorder="1" applyAlignment="1" applyProtection="1">
      <protection locked="0"/>
    </xf>
    <xf numFmtId="0" fontId="11" fillId="0" borderId="0" xfId="2" applyFont="1" applyFill="1" applyBorder="1" applyAlignment="1" applyProtection="1">
      <protection hidden="1"/>
    </xf>
    <xf numFmtId="40" fontId="11" fillId="0" borderId="4" xfId="2" applyNumberFormat="1" applyFont="1" applyFill="1" applyBorder="1" applyAlignment="1" applyProtection="1">
      <protection locked="0"/>
    </xf>
    <xf numFmtId="40" fontId="11" fillId="0" borderId="4" xfId="2" applyNumberFormat="1" applyFont="1" applyFill="1" applyBorder="1" applyAlignment="1" applyProtection="1">
      <alignment horizontal="right"/>
      <protection locked="0"/>
    </xf>
    <xf numFmtId="1" fontId="18" fillId="0" borderId="4" xfId="2" applyNumberFormat="1" applyFont="1" applyFill="1" applyBorder="1" applyAlignment="1" applyProtection="1">
      <alignment horizontal="center" wrapText="1"/>
      <protection hidden="1"/>
    </xf>
    <xf numFmtId="0" fontId="11" fillId="0" borderId="4" xfId="2" quotePrefix="1" applyFont="1" applyBorder="1" applyAlignment="1" applyProtection="1">
      <protection hidden="1"/>
    </xf>
    <xf numFmtId="40" fontId="11" fillId="3" borderId="3" xfId="2" applyNumberFormat="1" applyFont="1" applyFill="1" applyBorder="1" applyAlignment="1" applyProtection="1">
      <protection hidden="1"/>
    </xf>
    <xf numFmtId="40" fontId="11" fillId="3" borderId="3" xfId="2" applyNumberFormat="1" applyFont="1" applyFill="1" applyBorder="1" applyAlignment="1" applyProtection="1">
      <alignment horizontal="right"/>
      <protection hidden="1"/>
    </xf>
    <xf numFmtId="0" fontId="12" fillId="0" borderId="6" xfId="2" applyFont="1" applyBorder="1" applyAlignment="1" applyProtection="1">
      <protection hidden="1"/>
    </xf>
    <xf numFmtId="0" fontId="11" fillId="0" borderId="6" xfId="2" quotePrefix="1" applyFont="1" applyFill="1" applyBorder="1" applyAlignment="1" applyProtection="1">
      <alignment horizontal="center"/>
      <protection hidden="1"/>
    </xf>
    <xf numFmtId="1" fontId="12" fillId="0" borderId="6" xfId="2" applyNumberFormat="1" applyFont="1" applyFill="1" applyBorder="1" applyAlignment="1" applyProtection="1">
      <alignment horizontal="center" wrapText="1"/>
      <protection hidden="1"/>
    </xf>
    <xf numFmtId="40" fontId="12" fillId="3" borderId="6" xfId="2" applyNumberFormat="1" applyFont="1" applyFill="1" applyBorder="1" applyAlignment="1" applyProtection="1">
      <protection hidden="1"/>
    </xf>
    <xf numFmtId="40" fontId="15" fillId="5" borderId="6" xfId="2" applyNumberFormat="1" applyFont="1" applyFill="1" applyBorder="1" applyAlignment="1" applyProtection="1">
      <alignment horizontal="right"/>
      <protection hidden="1"/>
    </xf>
    <xf numFmtId="0" fontId="13" fillId="0" borderId="0" xfId="2" applyFont="1" applyBorder="1" applyAlignment="1" applyProtection="1">
      <protection hidden="1"/>
    </xf>
    <xf numFmtId="0" fontId="12" fillId="0" borderId="0" xfId="2" applyFont="1" applyBorder="1" applyAlignment="1" applyProtection="1">
      <protection hidden="1"/>
    </xf>
    <xf numFmtId="0" fontId="20" fillId="0" borderId="0" xfId="2" applyFont="1" applyAlignment="1" applyProtection="1">
      <protection hidden="1"/>
    </xf>
    <xf numFmtId="0" fontId="19" fillId="0" borderId="0" xfId="2" applyFont="1" applyAlignment="1" applyProtection="1">
      <protection hidden="1"/>
    </xf>
    <xf numFmtId="40" fontId="19" fillId="0" borderId="4" xfId="2" applyNumberFormat="1" applyFont="1" applyFill="1" applyBorder="1" applyAlignment="1" applyProtection="1">
      <alignment horizontal="right"/>
      <protection locked="0"/>
    </xf>
    <xf numFmtId="40" fontId="19" fillId="0" borderId="4" xfId="2" applyNumberFormat="1" applyFont="1" applyFill="1" applyBorder="1" applyAlignment="1" applyProtection="1">
      <alignment horizontal="right"/>
      <protection hidden="1"/>
    </xf>
    <xf numFmtId="40" fontId="19" fillId="3" borderId="4" xfId="2" applyNumberFormat="1" applyFont="1" applyFill="1" applyBorder="1" applyAlignment="1" applyProtection="1">
      <alignment horizontal="right"/>
      <protection hidden="1"/>
    </xf>
    <xf numFmtId="40" fontId="19" fillId="0" borderId="4" xfId="2" quotePrefix="1" applyNumberFormat="1" applyFont="1" applyBorder="1" applyAlignment="1" applyProtection="1">
      <alignment horizontal="right"/>
      <protection hidden="1"/>
    </xf>
    <xf numFmtId="40" fontId="19" fillId="0" borderId="4" xfId="2" applyNumberFormat="1" applyFont="1" applyFill="1" applyBorder="1" applyAlignment="1" applyProtection="1">
      <protection locked="0"/>
    </xf>
    <xf numFmtId="40" fontId="19" fillId="0" borderId="4" xfId="2" applyNumberFormat="1" applyFont="1" applyFill="1" applyBorder="1" applyAlignment="1" applyProtection="1">
      <protection hidden="1"/>
    </xf>
    <xf numFmtId="40" fontId="27" fillId="0" borderId="4" xfId="2" applyNumberFormat="1" applyFont="1" applyBorder="1" applyAlignment="1" applyProtection="1">
      <protection hidden="1"/>
    </xf>
    <xf numFmtId="0" fontId="11" fillId="0" borderId="0" xfId="2" applyFont="1" applyBorder="1" applyAlignment="1" applyProtection="1">
      <alignment horizontal="left"/>
      <protection hidden="1"/>
    </xf>
    <xf numFmtId="0" fontId="11" fillId="0" borderId="0" xfId="2" applyFont="1" applyFill="1" applyBorder="1" applyAlignment="1" applyProtection="1">
      <alignment horizontal="left"/>
      <protection locked="0"/>
    </xf>
    <xf numFmtId="0" fontId="11" fillId="0" borderId="17" xfId="2" applyFont="1" applyFill="1" applyBorder="1" applyAlignment="1" applyProtection="1">
      <alignment horizontal="left"/>
      <protection locked="0"/>
    </xf>
    <xf numFmtId="0" fontId="11" fillId="0" borderId="17" xfId="2" applyFont="1" applyFill="1" applyBorder="1" applyAlignment="1" applyProtection="1">
      <alignment horizontal="center"/>
      <protection hidden="1"/>
    </xf>
    <xf numFmtId="0" fontId="11" fillId="0" borderId="17" xfId="2" applyFont="1" applyFill="1" applyBorder="1" applyAlignment="1" applyProtection="1">
      <protection hidden="1"/>
    </xf>
    <xf numFmtId="0" fontId="11" fillId="0" borderId="17" xfId="2" applyFont="1" applyFill="1" applyBorder="1" applyAlignment="1" applyProtection="1">
      <protection locked="0"/>
    </xf>
    <xf numFmtId="2" fontId="11" fillId="0" borderId="0" xfId="2" applyNumberFormat="1" applyFont="1" applyFill="1" applyAlignment="1" applyProtection="1">
      <alignment horizontal="right"/>
      <protection hidden="1"/>
    </xf>
    <xf numFmtId="0" fontId="28" fillId="6" borderId="0" xfId="2" applyFont="1" applyFill="1" applyBorder="1" applyAlignment="1" applyProtection="1">
      <alignment horizontal="center"/>
      <protection hidden="1"/>
    </xf>
    <xf numFmtId="0" fontId="28" fillId="6" borderId="0" xfId="2" applyFont="1" applyFill="1" applyBorder="1" applyAlignment="1" applyProtection="1">
      <alignment horizontal="center" wrapText="1"/>
      <protection hidden="1"/>
    </xf>
    <xf numFmtId="0" fontId="28" fillId="6" borderId="17" xfId="2" applyFont="1" applyFill="1" applyBorder="1" applyAlignment="1" applyProtection="1">
      <alignment horizontal="center" wrapText="1"/>
      <protection hidden="1"/>
    </xf>
    <xf numFmtId="0" fontId="28" fillId="6" borderId="17" xfId="0" applyFont="1" applyFill="1" applyBorder="1" applyAlignment="1" applyProtection="1">
      <alignment horizontal="center" wrapText="1"/>
      <protection hidden="1"/>
    </xf>
    <xf numFmtId="38" fontId="28" fillId="6" borderId="5" xfId="2" applyNumberFormat="1" applyFont="1" applyFill="1" applyBorder="1" applyAlignment="1" applyProtection="1">
      <alignment horizontal="center" wrapText="1"/>
      <protection hidden="1"/>
    </xf>
    <xf numFmtId="0" fontId="11" fillId="0" borderId="17" xfId="2" applyFont="1" applyBorder="1" applyAlignment="1" applyProtection="1">
      <protection hidden="1"/>
    </xf>
    <xf numFmtId="0" fontId="11" fillId="0" borderId="17" xfId="2" quotePrefix="1" applyFont="1" applyBorder="1" applyAlignment="1" applyProtection="1">
      <alignment horizontal="center"/>
      <protection hidden="1"/>
    </xf>
    <xf numFmtId="0" fontId="11" fillId="0" borderId="17" xfId="2" applyFont="1" applyBorder="1" applyAlignment="1" applyProtection="1">
      <alignment horizontal="center"/>
      <protection hidden="1"/>
    </xf>
    <xf numFmtId="38" fontId="11" fillId="3" borderId="5" xfId="2" applyNumberFormat="1" applyFont="1" applyFill="1" applyBorder="1" applyAlignment="1" applyProtection="1">
      <protection hidden="1"/>
    </xf>
    <xf numFmtId="38" fontId="11" fillId="0" borderId="5" xfId="2" applyNumberFormat="1" applyFont="1" applyFill="1" applyBorder="1" applyAlignment="1" applyProtection="1">
      <protection locked="0"/>
    </xf>
    <xf numFmtId="0" fontId="11" fillId="0" borderId="15" xfId="2" applyFont="1" applyBorder="1" applyAlignment="1" applyProtection="1">
      <protection hidden="1"/>
    </xf>
    <xf numFmtId="0" fontId="11" fillId="0" borderId="4" xfId="2" applyFont="1" applyBorder="1" applyAlignment="1" applyProtection="1">
      <alignment horizontal="center"/>
      <protection hidden="1"/>
    </xf>
    <xf numFmtId="0" fontId="11" fillId="0" borderId="21" xfId="2" applyFont="1" applyBorder="1" applyAlignment="1" applyProtection="1">
      <protection hidden="1"/>
    </xf>
    <xf numFmtId="0" fontId="11" fillId="0" borderId="27" xfId="2" applyFont="1" applyBorder="1" applyAlignment="1" applyProtection="1">
      <protection hidden="1"/>
    </xf>
    <xf numFmtId="0" fontId="12" fillId="0" borderId="19" xfId="2" applyFont="1" applyBorder="1" applyAlignment="1" applyProtection="1">
      <protection hidden="1"/>
    </xf>
    <xf numFmtId="0" fontId="12" fillId="0" borderId="29" xfId="2" applyFont="1" applyBorder="1" applyAlignment="1" applyProtection="1">
      <protection hidden="1"/>
    </xf>
    <xf numFmtId="0" fontId="11" fillId="0" borderId="7" xfId="2" quotePrefix="1" applyFont="1" applyBorder="1" applyAlignment="1" applyProtection="1">
      <alignment horizontal="center"/>
      <protection hidden="1"/>
    </xf>
    <xf numFmtId="38" fontId="11" fillId="0" borderId="0" xfId="2" applyNumberFormat="1" applyFont="1" applyAlignment="1" applyProtection="1">
      <protection hidden="1"/>
    </xf>
    <xf numFmtId="0" fontId="11" fillId="0" borderId="0" xfId="2" applyFont="1" applyFill="1" applyAlignment="1" applyProtection="1">
      <protection hidden="1"/>
    </xf>
    <xf numFmtId="2" fontId="11" fillId="0" borderId="0" xfId="2" applyNumberFormat="1" applyFont="1" applyFill="1" applyAlignment="1" applyProtection="1">
      <protection hidden="1"/>
    </xf>
    <xf numFmtId="0" fontId="20" fillId="0" borderId="0" xfId="2" applyFont="1" applyAlignment="1" applyProtection="1">
      <alignment horizontal="center"/>
      <protection hidden="1"/>
    </xf>
    <xf numFmtId="38" fontId="24" fillId="0" borderId="5" xfId="2" applyNumberFormat="1" applyFont="1" applyBorder="1" applyAlignment="1" applyProtection="1">
      <protection hidden="1"/>
    </xf>
    <xf numFmtId="40" fontId="24" fillId="0" borderId="5" xfId="2" applyNumberFormat="1" applyFont="1" applyBorder="1" applyAlignment="1" applyProtection="1">
      <protection hidden="1"/>
    </xf>
    <xf numFmtId="38" fontId="24" fillId="3" borderId="5" xfId="2" applyNumberFormat="1" applyFont="1" applyFill="1" applyBorder="1" applyAlignment="1" applyProtection="1">
      <protection hidden="1"/>
    </xf>
    <xf numFmtId="40" fontId="24" fillId="3" borderId="5" xfId="2" applyNumberFormat="1" applyFont="1" applyFill="1" applyBorder="1" applyAlignment="1" applyProtection="1">
      <protection hidden="1"/>
    </xf>
    <xf numFmtId="38" fontId="11" fillId="0" borderId="5" xfId="2" applyNumberFormat="1" applyFont="1" applyFill="1" applyBorder="1" applyAlignment="1" applyProtection="1">
      <protection hidden="1"/>
    </xf>
    <xf numFmtId="38" fontId="24" fillId="5" borderId="7" xfId="2" applyNumberFormat="1" applyFont="1" applyFill="1" applyBorder="1" applyAlignment="1" applyProtection="1">
      <protection hidden="1"/>
    </xf>
    <xf numFmtId="0" fontId="11" fillId="0" borderId="0" xfId="2" applyFont="1" applyBorder="1" applyAlignment="1" applyProtection="1">
      <alignment horizontal="center"/>
      <protection hidden="1"/>
    </xf>
    <xf numFmtId="0" fontId="12" fillId="2" borderId="4" xfId="2" applyFont="1" applyFill="1" applyBorder="1" applyAlignment="1" applyProtection="1">
      <alignment horizontal="center" vertical="center" wrapText="1"/>
      <protection hidden="1"/>
    </xf>
    <xf numFmtId="0" fontId="11" fillId="0" borderId="0" xfId="2" applyFont="1" applyFill="1" applyBorder="1" applyAlignment="1" applyProtection="1">
      <alignment horizontal="center"/>
      <protection hidden="1"/>
    </xf>
    <xf numFmtId="0" fontId="18" fillId="0" borderId="0" xfId="2" applyFont="1" applyFill="1" applyBorder="1" applyAlignment="1" applyProtection="1">
      <alignment horizontal="center"/>
      <protection hidden="1"/>
    </xf>
    <xf numFmtId="0" fontId="11" fillId="0" borderId="30" xfId="2" applyFont="1" applyBorder="1" applyAlignment="1" applyProtection="1">
      <alignment horizontal="center" wrapText="1"/>
      <protection hidden="1"/>
    </xf>
    <xf numFmtId="0" fontId="11" fillId="0" borderId="31" xfId="2" applyFont="1" applyBorder="1" applyAlignment="1" applyProtection="1">
      <alignment horizontal="center" wrapText="1"/>
      <protection hidden="1"/>
    </xf>
    <xf numFmtId="0" fontId="11" fillId="0" borderId="15" xfId="2" applyFont="1" applyBorder="1" applyAlignment="1" applyProtection="1">
      <alignment horizontal="center" wrapText="1"/>
      <protection hidden="1"/>
    </xf>
    <xf numFmtId="0" fontId="11" fillId="0" borderId="4" xfId="2" applyFont="1" applyBorder="1" applyAlignment="1" applyProtection="1">
      <alignment horizontal="center" wrapText="1"/>
      <protection hidden="1"/>
    </xf>
    <xf numFmtId="0" fontId="18" fillId="0" borderId="0" xfId="2" applyFont="1" applyBorder="1" applyAlignment="1" applyProtection="1">
      <alignment horizontal="center"/>
      <protection hidden="1"/>
    </xf>
    <xf numFmtId="2" fontId="12" fillId="0" borderId="0" xfId="2" applyNumberFormat="1" applyFont="1" applyAlignment="1" applyProtection="1">
      <protection hidden="1"/>
    </xf>
    <xf numFmtId="0" fontId="12" fillId="0" borderId="12" xfId="2" applyFont="1" applyFill="1" applyBorder="1" applyAlignment="1" applyProtection="1">
      <alignment horizontal="center" wrapText="1"/>
      <protection hidden="1"/>
    </xf>
    <xf numFmtId="0" fontId="12" fillId="0" borderId="0" xfId="2" applyFont="1" applyFill="1" applyBorder="1" applyAlignment="1" applyProtection="1">
      <alignment horizontal="center" wrapText="1"/>
      <protection hidden="1"/>
    </xf>
    <xf numFmtId="0" fontId="12" fillId="0" borderId="0" xfId="0" applyFont="1" applyFill="1" applyBorder="1" applyAlignment="1" applyProtection="1">
      <alignment horizontal="center" wrapText="1"/>
      <protection hidden="1"/>
    </xf>
    <xf numFmtId="0" fontId="12" fillId="0" borderId="4" xfId="2" applyFont="1" applyBorder="1" applyAlignment="1" applyProtection="1">
      <protection hidden="1"/>
    </xf>
    <xf numFmtId="0" fontId="11" fillId="0" borderId="12" xfId="2" applyFont="1" applyBorder="1" applyAlignment="1" applyProtection="1">
      <protection hidden="1"/>
    </xf>
    <xf numFmtId="0" fontId="11" fillId="0" borderId="8" xfId="2" applyFont="1" applyBorder="1" applyAlignment="1" applyProtection="1">
      <protection hidden="1"/>
    </xf>
    <xf numFmtId="0" fontId="11" fillId="0" borderId="18" xfId="2" applyFont="1" applyBorder="1" applyAlignment="1" applyProtection="1">
      <protection hidden="1"/>
    </xf>
    <xf numFmtId="0" fontId="11" fillId="0" borderId="19" xfId="2" applyFont="1" applyBorder="1" applyAlignment="1" applyProtection="1">
      <protection hidden="1"/>
    </xf>
    <xf numFmtId="4" fontId="11" fillId="5" borderId="0" xfId="2" applyNumberFormat="1" applyFont="1" applyFill="1" applyBorder="1" applyAlignment="1" applyProtection="1">
      <protection hidden="1"/>
    </xf>
    <xf numFmtId="0" fontId="12" fillId="0" borderId="10" xfId="2" applyFont="1" applyBorder="1" applyAlignment="1" applyProtection="1">
      <alignment horizontal="center" wrapText="1"/>
      <protection hidden="1"/>
    </xf>
    <xf numFmtId="0" fontId="12" fillId="0" borderId="32" xfId="2" applyFont="1" applyBorder="1" applyAlignment="1" applyProtection="1">
      <alignment horizontal="center" wrapText="1"/>
      <protection hidden="1"/>
    </xf>
    <xf numFmtId="0" fontId="12" fillId="0" borderId="8" xfId="2" applyFont="1" applyBorder="1" applyAlignment="1" applyProtection="1">
      <protection hidden="1"/>
    </xf>
    <xf numFmtId="0" fontId="12" fillId="0" borderId="4" xfId="2" applyFont="1" applyBorder="1" applyAlignment="1" applyProtection="1">
      <alignment horizontal="center" wrapText="1"/>
      <protection hidden="1"/>
    </xf>
    <xf numFmtId="0" fontId="12" fillId="0" borderId="5" xfId="2" applyFont="1" applyBorder="1" applyAlignment="1" applyProtection="1">
      <alignment horizontal="center" wrapText="1"/>
      <protection hidden="1"/>
    </xf>
    <xf numFmtId="0" fontId="12" fillId="0" borderId="16" xfId="2" applyFont="1" applyBorder="1" applyAlignment="1" applyProtection="1">
      <alignment horizontal="center" wrapText="1"/>
      <protection hidden="1"/>
    </xf>
    <xf numFmtId="0" fontId="12" fillId="0" borderId="12" xfId="2" applyFont="1" applyBorder="1" applyAlignment="1" applyProtection="1">
      <protection hidden="1"/>
    </xf>
    <xf numFmtId="0" fontId="12" fillId="0" borderId="0" xfId="2" applyFont="1" applyBorder="1" applyAlignment="1" applyProtection="1">
      <alignment horizontal="center"/>
      <protection hidden="1"/>
    </xf>
    <xf numFmtId="0" fontId="11" fillId="0" borderId="12" xfId="2" quotePrefix="1" applyFont="1" applyBorder="1" applyAlignment="1" applyProtection="1">
      <protection hidden="1"/>
    </xf>
    <xf numFmtId="0" fontId="12" fillId="0" borderId="4" xfId="2" applyFont="1" applyBorder="1" applyAlignment="1" applyProtection="1">
      <alignment horizontal="center"/>
      <protection hidden="1"/>
    </xf>
    <xf numFmtId="0" fontId="12" fillId="0" borderId="33" xfId="2" applyFont="1" applyBorder="1" applyAlignment="1" applyProtection="1">
      <protection hidden="1"/>
    </xf>
    <xf numFmtId="0" fontId="12" fillId="0" borderId="7" xfId="2" applyFont="1" applyBorder="1" applyAlignment="1" applyProtection="1">
      <protection hidden="1"/>
    </xf>
    <xf numFmtId="0" fontId="11" fillId="5" borderId="0" xfId="2" applyFont="1" applyFill="1" applyBorder="1" applyAlignment="1" applyProtection="1">
      <protection hidden="1"/>
    </xf>
    <xf numFmtId="4" fontId="12" fillId="5" borderId="0" xfId="2" applyNumberFormat="1" applyFont="1" applyFill="1" applyBorder="1" applyAlignment="1" applyProtection="1">
      <protection hidden="1"/>
    </xf>
    <xf numFmtId="0" fontId="20" fillId="5" borderId="0" xfId="2" applyFont="1" applyFill="1" applyBorder="1" applyAlignment="1" applyProtection="1">
      <protection hidden="1"/>
    </xf>
    <xf numFmtId="0" fontId="12" fillId="0" borderId="0" xfId="0" applyFont="1" applyAlignment="1" applyProtection="1">
      <protection hidden="1"/>
    </xf>
    <xf numFmtId="0" fontId="11" fillId="0" borderId="8" xfId="0" applyFont="1" applyBorder="1" applyAlignment="1" applyProtection="1">
      <protection hidden="1"/>
    </xf>
    <xf numFmtId="0" fontId="25" fillId="0" borderId="0" xfId="2" applyFont="1" applyAlignment="1" applyProtection="1">
      <protection hidden="1"/>
    </xf>
    <xf numFmtId="0" fontId="16" fillId="0" borderId="0" xfId="2" applyFont="1" applyAlignment="1" applyProtection="1">
      <protection hidden="1"/>
    </xf>
    <xf numFmtId="40" fontId="11" fillId="0" borderId="1" xfId="2" applyNumberFormat="1" applyFont="1" applyFill="1" applyBorder="1" applyAlignment="1" applyProtection="1">
      <alignment horizontal="right"/>
      <protection locked="0"/>
    </xf>
    <xf numFmtId="40" fontId="11" fillId="0" borderId="1" xfId="2" applyNumberFormat="1" applyFont="1" applyFill="1" applyBorder="1" applyAlignment="1" applyProtection="1">
      <protection locked="0"/>
    </xf>
    <xf numFmtId="40" fontId="15" fillId="0" borderId="1" xfId="2" applyNumberFormat="1" applyFont="1" applyBorder="1" applyAlignment="1" applyProtection="1">
      <protection hidden="1"/>
    </xf>
    <xf numFmtId="40" fontId="15" fillId="0" borderId="13" xfId="2" applyNumberFormat="1" applyFont="1" applyBorder="1" applyAlignment="1" applyProtection="1">
      <protection hidden="1"/>
    </xf>
    <xf numFmtId="40" fontId="11" fillId="0" borderId="4" xfId="2" applyNumberFormat="1" applyFont="1" applyFill="1" applyBorder="1" applyAlignment="1" applyProtection="1">
      <alignment horizontal="right"/>
      <protection hidden="1"/>
    </xf>
    <xf numFmtId="40" fontId="11" fillId="0" borderId="4" xfId="2" applyNumberFormat="1" applyFont="1" applyFill="1" applyBorder="1" applyAlignment="1" applyProtection="1">
      <protection hidden="1"/>
    </xf>
    <xf numFmtId="40" fontId="11" fillId="3" borderId="7" xfId="2" applyNumberFormat="1" applyFont="1" applyFill="1" applyBorder="1" applyAlignment="1" applyProtection="1">
      <alignment horizontal="right"/>
      <protection hidden="1"/>
    </xf>
    <xf numFmtId="40" fontId="11" fillId="3" borderId="7" xfId="2" applyNumberFormat="1" applyFont="1" applyFill="1" applyBorder="1" applyAlignment="1" applyProtection="1">
      <protection hidden="1"/>
    </xf>
    <xf numFmtId="40" fontId="15" fillId="3" borderId="7" xfId="2" applyNumberFormat="1" applyFont="1" applyFill="1" applyBorder="1" applyAlignment="1" applyProtection="1">
      <protection hidden="1"/>
    </xf>
    <xf numFmtId="40" fontId="11" fillId="5" borderId="0" xfId="2" applyNumberFormat="1" applyFont="1" applyFill="1" applyBorder="1" applyAlignment="1" applyProtection="1">
      <alignment horizontal="right"/>
      <protection hidden="1"/>
    </xf>
    <xf numFmtId="40" fontId="11" fillId="5" borderId="0" xfId="2" applyNumberFormat="1" applyFont="1" applyFill="1" applyBorder="1" applyAlignment="1" applyProtection="1">
      <protection hidden="1"/>
    </xf>
    <xf numFmtId="40" fontId="12" fillId="0" borderId="0" xfId="2" applyNumberFormat="1" applyFont="1" applyBorder="1" applyAlignment="1" applyProtection="1">
      <protection hidden="1"/>
    </xf>
    <xf numFmtId="40" fontId="12" fillId="5" borderId="4" xfId="2" applyNumberFormat="1" applyFont="1" applyFill="1" applyBorder="1" applyAlignment="1" applyProtection="1">
      <alignment horizontal="center" wrapText="1"/>
      <protection hidden="1"/>
    </xf>
    <xf numFmtId="40" fontId="12" fillId="0" borderId="4" xfId="2" applyNumberFormat="1" applyFont="1" applyBorder="1" applyAlignment="1" applyProtection="1">
      <alignment horizontal="center" wrapText="1"/>
      <protection hidden="1"/>
    </xf>
    <xf numFmtId="40" fontId="11" fillId="3" borderId="4" xfId="2" applyNumberFormat="1" applyFont="1" applyFill="1" applyBorder="1" applyAlignment="1" applyProtection="1">
      <alignment horizontal="center" wrapText="1"/>
      <protection hidden="1"/>
    </xf>
    <xf numFmtId="40" fontId="12" fillId="3" borderId="4" xfId="2" applyNumberFormat="1" applyFont="1" applyFill="1" applyBorder="1" applyAlignment="1" applyProtection="1">
      <alignment horizontal="center" wrapText="1"/>
      <protection hidden="1"/>
    </xf>
    <xf numFmtId="40" fontId="15" fillId="5" borderId="7" xfId="2" applyNumberFormat="1" applyFont="1" applyFill="1" applyBorder="1" applyAlignment="1" applyProtection="1">
      <alignment horizontal="right"/>
      <protection hidden="1"/>
    </xf>
    <xf numFmtId="40" fontId="11" fillId="0" borderId="2" xfId="2" applyNumberFormat="1" applyFont="1" applyFill="1" applyBorder="1" applyAlignment="1" applyProtection="1">
      <alignment horizontal="right"/>
      <protection hidden="1"/>
    </xf>
    <xf numFmtId="40" fontId="11" fillId="0" borderId="2" xfId="2" applyNumberFormat="1" applyFont="1" applyFill="1" applyBorder="1" applyAlignment="1" applyProtection="1">
      <protection hidden="1"/>
    </xf>
    <xf numFmtId="40" fontId="12" fillId="0" borderId="2" xfId="2" applyNumberFormat="1" applyFont="1" applyFill="1" applyBorder="1" applyAlignment="1" applyProtection="1">
      <protection hidden="1"/>
    </xf>
    <xf numFmtId="0" fontId="11" fillId="0" borderId="6" xfId="2" quotePrefix="1" applyFont="1" applyBorder="1" applyAlignment="1" applyProtection="1">
      <alignment horizontal="center"/>
      <protection hidden="1"/>
    </xf>
    <xf numFmtId="0" fontId="11" fillId="0" borderId="0" xfId="0" applyFont="1" applyFill="1" applyAlignment="1" applyProtection="1">
      <alignment wrapText="1"/>
      <protection hidden="1"/>
    </xf>
    <xf numFmtId="2" fontId="11" fillId="0" borderId="0" xfId="2" applyNumberFormat="1" applyFont="1" applyFill="1" applyAlignment="1" applyProtection="1">
      <alignment horizontal="left"/>
      <protection hidden="1"/>
    </xf>
    <xf numFmtId="0" fontId="12" fillId="0" borderId="4" xfId="2" applyFont="1" applyBorder="1" applyAlignment="1" applyProtection="1">
      <alignment wrapText="1"/>
      <protection hidden="1"/>
    </xf>
    <xf numFmtId="0" fontId="11" fillId="0" borderId="4" xfId="2" applyFont="1" applyBorder="1" applyAlignment="1" applyProtection="1">
      <alignment wrapText="1"/>
      <protection hidden="1"/>
    </xf>
    <xf numFmtId="0" fontId="11" fillId="0" borderId="4" xfId="2" quotePrefix="1" applyFont="1" applyBorder="1" applyAlignment="1" applyProtection="1">
      <alignment vertical="top"/>
      <protection hidden="1"/>
    </xf>
    <xf numFmtId="0" fontId="11" fillId="0" borderId="15" xfId="2" applyFont="1" applyBorder="1" applyAlignment="1" applyProtection="1">
      <alignment horizontal="left" wrapText="1"/>
      <protection hidden="1"/>
    </xf>
    <xf numFmtId="40" fontId="12" fillId="4" borderId="4" xfId="2" applyNumberFormat="1" applyFont="1" applyFill="1" applyBorder="1" applyAlignment="1" applyProtection="1">
      <alignment horizontal="right"/>
      <protection hidden="1"/>
    </xf>
    <xf numFmtId="40" fontId="15" fillId="3" borderId="4" xfId="2" applyNumberFormat="1" applyFont="1" applyFill="1" applyBorder="1" applyAlignment="1" applyProtection="1">
      <alignment horizontal="right"/>
      <protection hidden="1"/>
    </xf>
    <xf numFmtId="40" fontId="11" fillId="0" borderId="4" xfId="2" applyNumberFormat="1" applyFont="1" applyFill="1" applyBorder="1" applyAlignment="1" applyProtection="1">
      <alignment vertical="top"/>
      <protection locked="0"/>
    </xf>
    <xf numFmtId="40" fontId="12" fillId="3" borderId="4" xfId="2" applyNumberFormat="1" applyFont="1" applyFill="1" applyBorder="1" applyAlignment="1" applyProtection="1">
      <alignment horizontal="right"/>
      <protection hidden="1"/>
    </xf>
    <xf numFmtId="0" fontId="12" fillId="2" borderId="10" xfId="2" applyFont="1" applyFill="1" applyBorder="1" applyAlignment="1" applyProtection="1">
      <alignment horizontal="center" vertical="center" wrapText="1"/>
      <protection hidden="1"/>
    </xf>
    <xf numFmtId="0" fontId="12" fillId="0" borderId="30" xfId="2" applyFont="1" applyBorder="1" applyAlignment="1" applyProtection="1">
      <alignment vertical="top"/>
      <protection hidden="1"/>
    </xf>
    <xf numFmtId="0" fontId="12" fillId="0" borderId="15" xfId="2" applyFont="1" applyBorder="1" applyAlignment="1" applyProtection="1">
      <alignment vertical="top"/>
      <protection hidden="1"/>
    </xf>
    <xf numFmtId="0" fontId="11" fillId="0" borderId="30" xfId="2" quotePrefix="1" applyFont="1" applyBorder="1" applyProtection="1">
      <protection hidden="1"/>
    </xf>
    <xf numFmtId="0" fontId="11" fillId="0" borderId="15" xfId="2" applyFont="1" applyFill="1" applyBorder="1" applyProtection="1">
      <protection locked="0"/>
    </xf>
    <xf numFmtId="0" fontId="11" fillId="0" borderId="15" xfId="2" quotePrefix="1" applyFont="1" applyFill="1" applyBorder="1" applyProtection="1">
      <protection hidden="1"/>
    </xf>
    <xf numFmtId="0" fontId="11" fillId="0" borderId="30" xfId="2" applyFont="1" applyBorder="1" applyProtection="1">
      <protection hidden="1"/>
    </xf>
    <xf numFmtId="0" fontId="18" fillId="0" borderId="4" xfId="2" applyFont="1" applyFill="1" applyBorder="1" applyAlignment="1" applyProtection="1">
      <alignment horizontal="center"/>
      <protection hidden="1"/>
    </xf>
    <xf numFmtId="0" fontId="11" fillId="0" borderId="15" xfId="2" quotePrefix="1" applyFont="1" applyFill="1" applyBorder="1" applyProtection="1">
      <protection locked="0"/>
    </xf>
    <xf numFmtId="0" fontId="19" fillId="0" borderId="4" xfId="2" quotePrefix="1" applyFont="1" applyFill="1" applyBorder="1" applyAlignment="1" applyProtection="1">
      <alignment horizontal="center"/>
      <protection hidden="1"/>
    </xf>
    <xf numFmtId="0" fontId="19" fillId="0" borderId="4" xfId="2" quotePrefix="1" applyFont="1" applyFill="1" applyBorder="1" applyProtection="1">
      <protection hidden="1"/>
    </xf>
    <xf numFmtId="0" fontId="11" fillId="0" borderId="15" xfId="2" quotePrefix="1" applyFont="1" applyBorder="1" applyProtection="1">
      <protection hidden="1"/>
    </xf>
    <xf numFmtId="0" fontId="11" fillId="0" borderId="4" xfId="2" quotePrefix="1" applyFont="1" applyBorder="1" applyAlignment="1" applyProtection="1">
      <alignment horizontal="center" vertical="top"/>
      <protection hidden="1"/>
    </xf>
    <xf numFmtId="0" fontId="11" fillId="0" borderId="16" xfId="2" quotePrefix="1" applyFont="1" applyFill="1" applyBorder="1" applyProtection="1">
      <protection hidden="1"/>
    </xf>
    <xf numFmtId="0" fontId="19" fillId="0" borderId="1" xfId="2" quotePrefix="1" applyFont="1" applyFill="1" applyBorder="1" applyAlignment="1" applyProtection="1">
      <alignment horizontal="center"/>
      <protection hidden="1"/>
    </xf>
    <xf numFmtId="0" fontId="11" fillId="0" borderId="33" xfId="2" applyFont="1" applyBorder="1" applyProtection="1">
      <protection hidden="1"/>
    </xf>
    <xf numFmtId="0" fontId="11" fillId="0" borderId="29" xfId="2" quotePrefix="1" applyFont="1" applyFill="1" applyBorder="1" applyProtection="1">
      <protection hidden="1"/>
    </xf>
    <xf numFmtId="40" fontId="15" fillId="0" borderId="14" xfId="2" applyNumberFormat="1" applyFont="1" applyBorder="1" applyAlignment="1" applyProtection="1">
      <alignment vertical="top"/>
      <protection hidden="1"/>
    </xf>
    <xf numFmtId="40" fontId="11" fillId="0" borderId="14" xfId="2" applyNumberFormat="1" applyFont="1" applyFill="1" applyBorder="1" applyAlignment="1" applyProtection="1">
      <alignment horizontal="right"/>
      <protection hidden="1"/>
    </xf>
    <xf numFmtId="40" fontId="11" fillId="0" borderId="14" xfId="2" applyNumberFormat="1" applyFont="1" applyFill="1" applyBorder="1" applyAlignment="1" applyProtection="1">
      <alignment horizontal="right"/>
      <protection locked="0"/>
    </xf>
    <xf numFmtId="40" fontId="11" fillId="0" borderId="13" xfId="2" applyNumberFormat="1" applyFont="1" applyFill="1" applyBorder="1" applyAlignment="1" applyProtection="1">
      <alignment horizontal="right"/>
      <protection locked="0"/>
    </xf>
    <xf numFmtId="40" fontId="11" fillId="0" borderId="34" xfId="2" applyNumberFormat="1" applyFont="1" applyFill="1" applyBorder="1" applyAlignment="1" applyProtection="1">
      <alignment horizontal="right"/>
      <protection hidden="1"/>
    </xf>
    <xf numFmtId="0" fontId="30" fillId="0" borderId="0" xfId="0" applyFont="1" applyAlignment="1" applyProtection="1">
      <protection hidden="1"/>
    </xf>
    <xf numFmtId="4" fontId="12" fillId="2" borderId="5" xfId="0" applyNumberFormat="1" applyFont="1" applyFill="1" applyBorder="1" applyAlignment="1" applyProtection="1">
      <alignment wrapText="1"/>
      <protection hidden="1"/>
    </xf>
    <xf numFmtId="165" fontId="12" fillId="2" borderId="8" xfId="0" applyNumberFormat="1" applyFont="1" applyFill="1" applyBorder="1" applyAlignment="1" applyProtection="1">
      <alignment horizontal="center" wrapText="1"/>
      <protection hidden="1"/>
    </xf>
    <xf numFmtId="165" fontId="12" fillId="2" borderId="1" xfId="0" applyNumberFormat="1" applyFont="1" applyFill="1" applyBorder="1" applyAlignment="1" applyProtection="1">
      <alignment horizontal="center" wrapText="1"/>
      <protection locked="0"/>
    </xf>
    <xf numFmtId="49" fontId="12" fillId="2" borderId="35" xfId="0" applyNumberFormat="1" applyFont="1" applyFill="1" applyBorder="1" applyAlignment="1" applyProtection="1">
      <alignment horizontal="center" wrapText="1"/>
      <protection locked="0"/>
    </xf>
    <xf numFmtId="0" fontId="11" fillId="0" borderId="12" xfId="0" applyFont="1" applyBorder="1" applyAlignment="1" applyProtection="1">
      <alignment horizontal="center" wrapText="1"/>
      <protection hidden="1"/>
    </xf>
    <xf numFmtId="0" fontId="11" fillId="3" borderId="5" xfId="0" applyFont="1" applyFill="1" applyBorder="1" applyAlignment="1" applyProtection="1">
      <alignment horizontal="center" wrapText="1"/>
      <protection hidden="1"/>
    </xf>
    <xf numFmtId="4" fontId="11" fillId="3" borderId="1" xfId="0" applyNumberFormat="1" applyFont="1" applyFill="1" applyBorder="1" applyAlignment="1" applyProtection="1">
      <alignment horizontal="center" wrapText="1"/>
      <protection hidden="1"/>
    </xf>
    <xf numFmtId="4" fontId="11" fillId="3" borderId="36" xfId="0" applyNumberFormat="1" applyFont="1" applyFill="1" applyBorder="1" applyAlignment="1" applyProtection="1">
      <alignment horizontal="center" wrapText="1"/>
      <protection hidden="1"/>
    </xf>
    <xf numFmtId="4" fontId="15" fillId="3" borderId="13" xfId="0" applyNumberFormat="1" applyFont="1" applyFill="1" applyBorder="1" applyAlignment="1" applyProtection="1">
      <alignment horizontal="center" wrapText="1"/>
      <protection hidden="1"/>
    </xf>
    <xf numFmtId="0" fontId="11" fillId="3" borderId="4" xfId="0" applyFont="1" applyFill="1" applyBorder="1" applyAlignment="1" applyProtection="1">
      <alignment horizontal="center"/>
      <protection hidden="1"/>
    </xf>
    <xf numFmtId="49" fontId="31" fillId="0" borderId="0" xfId="1" applyNumberFormat="1" applyFont="1" applyAlignment="1" applyProtection="1">
      <alignment horizontal="center"/>
      <protection hidden="1"/>
    </xf>
    <xf numFmtId="0" fontId="32" fillId="0" borderId="0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center"/>
      <protection hidden="1"/>
    </xf>
    <xf numFmtId="4" fontId="15" fillId="0" borderId="0" xfId="0" applyNumberFormat="1" applyFont="1" applyAlignment="1" applyProtection="1">
      <alignment horizontal="right"/>
      <protection hidden="1"/>
    </xf>
    <xf numFmtId="4" fontId="12" fillId="2" borderId="14" xfId="2" applyNumberFormat="1" applyFont="1" applyFill="1" applyBorder="1" applyAlignment="1" applyProtection="1">
      <alignment horizontal="center" vertical="center" wrapText="1"/>
      <protection hidden="1"/>
    </xf>
    <xf numFmtId="0" fontId="12" fillId="2" borderId="26" xfId="2" applyFont="1" applyFill="1" applyBorder="1" applyAlignment="1" applyProtection="1">
      <alignment horizontal="center" vertical="center" wrapText="1"/>
      <protection hidden="1"/>
    </xf>
    <xf numFmtId="0" fontId="12" fillId="2" borderId="16" xfId="2" applyFont="1" applyFill="1" applyBorder="1" applyAlignment="1" applyProtection="1">
      <alignment horizontal="center" vertical="center" wrapText="1"/>
      <protection hidden="1"/>
    </xf>
    <xf numFmtId="4" fontId="12" fillId="2" borderId="15" xfId="2" applyNumberFormat="1" applyFont="1" applyFill="1" applyBorder="1" applyAlignment="1" applyProtection="1">
      <alignment horizontal="center" vertical="center" wrapText="1"/>
      <protection hidden="1"/>
    </xf>
    <xf numFmtId="0" fontId="11" fillId="0" borderId="12" xfId="2" applyFont="1" applyBorder="1" applyProtection="1">
      <protection hidden="1"/>
    </xf>
    <xf numFmtId="0" fontId="11" fillId="0" borderId="17" xfId="2" applyFont="1" applyBorder="1" applyProtection="1">
      <protection hidden="1"/>
    </xf>
    <xf numFmtId="4" fontId="11" fillId="5" borderId="3" xfId="2" applyNumberFormat="1" applyFont="1" applyFill="1" applyBorder="1" applyAlignment="1" applyProtection="1">
      <alignment horizontal="right"/>
      <protection hidden="1"/>
    </xf>
    <xf numFmtId="0" fontId="11" fillId="0" borderId="17" xfId="2" applyFont="1" applyFill="1" applyBorder="1" applyProtection="1">
      <protection hidden="1"/>
    </xf>
    <xf numFmtId="0" fontId="18" fillId="0" borderId="17" xfId="2" applyFont="1" applyFill="1" applyBorder="1" applyAlignment="1" applyProtection="1">
      <alignment horizontal="center"/>
      <protection hidden="1"/>
    </xf>
    <xf numFmtId="0" fontId="11" fillId="0" borderId="18" xfId="2" applyFont="1" applyBorder="1" applyProtection="1">
      <protection hidden="1"/>
    </xf>
    <xf numFmtId="0" fontId="11" fillId="0" borderId="20" xfId="2" applyFont="1" applyBorder="1" applyProtection="1">
      <protection hidden="1"/>
    </xf>
    <xf numFmtId="0" fontId="11" fillId="0" borderId="20" xfId="2" applyFont="1" applyBorder="1" applyAlignment="1" applyProtection="1">
      <alignment horizontal="center"/>
      <protection hidden="1"/>
    </xf>
    <xf numFmtId="4" fontId="11" fillId="3" borderId="7" xfId="2" applyNumberFormat="1" applyFont="1" applyFill="1" applyBorder="1" applyAlignment="1" applyProtection="1">
      <alignment horizontal="right"/>
      <protection hidden="1"/>
    </xf>
    <xf numFmtId="0" fontId="14" fillId="5" borderId="0" xfId="2" applyFont="1" applyFill="1" applyProtection="1">
      <protection hidden="1"/>
    </xf>
    <xf numFmtId="0" fontId="11" fillId="0" borderId="12" xfId="2" quotePrefix="1" applyFont="1" applyBorder="1" applyProtection="1">
      <protection hidden="1"/>
    </xf>
    <xf numFmtId="0" fontId="11" fillId="0" borderId="17" xfId="2" applyFont="1" applyFill="1" applyBorder="1" applyProtection="1">
      <protection locked="0"/>
    </xf>
    <xf numFmtId="0" fontId="18" fillId="0" borderId="12" xfId="2" applyFont="1" applyBorder="1" applyProtection="1">
      <protection hidden="1"/>
    </xf>
    <xf numFmtId="40" fontId="18" fillId="0" borderId="4" xfId="2" applyNumberFormat="1" applyFont="1" applyFill="1" applyBorder="1" applyAlignment="1" applyProtection="1">
      <alignment horizontal="right"/>
      <protection hidden="1"/>
    </xf>
    <xf numFmtId="4" fontId="11" fillId="5" borderId="3" xfId="2" applyNumberFormat="1" applyFont="1" applyFill="1" applyBorder="1" applyAlignment="1" applyProtection="1">
      <protection hidden="1"/>
    </xf>
    <xf numFmtId="4" fontId="11" fillId="0" borderId="3" xfId="2" applyNumberFormat="1" applyFont="1" applyBorder="1" applyAlignment="1" applyProtection="1">
      <protection hidden="1"/>
    </xf>
    <xf numFmtId="4" fontId="11" fillId="0" borderId="23" xfId="2" applyNumberFormat="1" applyFont="1" applyBorder="1" applyAlignment="1" applyProtection="1">
      <protection hidden="1"/>
    </xf>
    <xf numFmtId="0" fontId="11" fillId="0" borderId="4" xfId="2" quotePrefix="1" applyFont="1" applyBorder="1" applyAlignment="1" applyProtection="1">
      <alignment horizontal="center"/>
      <protection hidden="1"/>
    </xf>
    <xf numFmtId="40" fontId="18" fillId="0" borderId="4" xfId="2" applyNumberFormat="1" applyFont="1" applyFill="1" applyBorder="1" applyAlignment="1" applyProtection="1">
      <protection hidden="1"/>
    </xf>
    <xf numFmtId="40" fontId="27" fillId="0" borderId="14" xfId="2" applyNumberFormat="1" applyFont="1" applyBorder="1" applyAlignment="1" applyProtection="1">
      <protection hidden="1"/>
    </xf>
    <xf numFmtId="0" fontId="11" fillId="0" borderId="20" xfId="2" applyFont="1" applyBorder="1" applyAlignment="1" applyProtection="1">
      <protection hidden="1"/>
    </xf>
    <xf numFmtId="4" fontId="11" fillId="3" borderId="7" xfId="2" applyNumberFormat="1" applyFont="1" applyFill="1" applyBorder="1" applyAlignment="1" applyProtection="1">
      <protection hidden="1"/>
    </xf>
    <xf numFmtId="4" fontId="15" fillId="3" borderId="7" xfId="2" applyNumberFormat="1" applyFont="1" applyFill="1" applyBorder="1" applyAlignment="1" applyProtection="1">
      <protection hidden="1"/>
    </xf>
    <xf numFmtId="4" fontId="11" fillId="3" borderId="34" xfId="2" applyNumberFormat="1" applyFont="1" applyFill="1" applyBorder="1" applyAlignment="1" applyProtection="1">
      <protection hidden="1"/>
    </xf>
    <xf numFmtId="40" fontId="19" fillId="0" borderId="4" xfId="0" applyNumberFormat="1" applyFont="1" applyBorder="1" applyAlignment="1" applyProtection="1">
      <alignment horizontal="right"/>
      <protection locked="0"/>
    </xf>
    <xf numFmtId="38" fontId="12" fillId="0" borderId="4" xfId="2" applyNumberFormat="1" applyFont="1" applyFill="1" applyBorder="1" applyAlignment="1" applyProtection="1">
      <protection locked="0"/>
    </xf>
    <xf numFmtId="38" fontId="11" fillId="3" borderId="4" xfId="2" applyNumberFormat="1" applyFont="1" applyFill="1" applyBorder="1" applyAlignment="1" applyProtection="1">
      <alignment horizontal="right"/>
      <protection hidden="1"/>
    </xf>
    <xf numFmtId="38" fontId="11" fillId="0" borderId="4" xfId="2" applyNumberFormat="1" applyFont="1" applyFill="1" applyBorder="1" applyAlignment="1" applyProtection="1">
      <alignment vertical="top"/>
      <protection locked="0"/>
    </xf>
    <xf numFmtId="38" fontId="11" fillId="3" borderId="4" xfId="2" applyNumberFormat="1" applyFont="1" applyFill="1" applyBorder="1" applyAlignment="1" applyProtection="1">
      <alignment horizontal="right" vertical="top"/>
      <protection hidden="1"/>
    </xf>
    <xf numFmtId="38" fontId="11" fillId="5" borderId="24" xfId="2" applyNumberFormat="1" applyFont="1" applyFill="1" applyBorder="1" applyAlignment="1" applyProtection="1">
      <alignment horizontal="right"/>
      <protection hidden="1"/>
    </xf>
    <xf numFmtId="38" fontId="11" fillId="3" borderId="1" xfId="2" applyNumberFormat="1" applyFont="1" applyFill="1" applyBorder="1" applyAlignment="1" applyProtection="1">
      <alignment horizontal="center"/>
      <protection hidden="1"/>
    </xf>
    <xf numFmtId="40" fontId="11" fillId="5" borderId="25" xfId="2" applyNumberFormat="1" applyFont="1" applyFill="1" applyBorder="1" applyAlignment="1" applyProtection="1">
      <alignment horizontal="right"/>
      <protection hidden="1"/>
    </xf>
    <xf numFmtId="40" fontId="11" fillId="5" borderId="25" xfId="2" applyNumberFormat="1" applyFont="1" applyFill="1" applyBorder="1" applyProtection="1">
      <protection hidden="1"/>
    </xf>
    <xf numFmtId="40" fontId="11" fillId="3" borderId="4" xfId="2" applyNumberFormat="1" applyFont="1" applyFill="1" applyBorder="1" applyAlignment="1" applyProtection="1">
      <alignment horizontal="center"/>
      <protection hidden="1"/>
    </xf>
    <xf numFmtId="0" fontId="12" fillId="2" borderId="4" xfId="2" applyNumberFormat="1" applyFont="1" applyFill="1" applyBorder="1" applyAlignment="1" applyProtection="1">
      <alignment horizontal="center" wrapText="1"/>
      <protection hidden="1"/>
    </xf>
    <xf numFmtId="0" fontId="12" fillId="0" borderId="4" xfId="2" applyNumberFormat="1" applyFont="1" applyFill="1" applyBorder="1" applyAlignment="1" applyProtection="1">
      <alignment horizontal="center" wrapText="1"/>
      <protection hidden="1"/>
    </xf>
    <xf numFmtId="0" fontId="11" fillId="0" borderId="4" xfId="2" applyNumberFormat="1" applyFont="1" applyBorder="1" applyAlignment="1" applyProtection="1">
      <protection hidden="1"/>
    </xf>
    <xf numFmtId="0" fontId="11" fillId="3" borderId="4" xfId="2" applyNumberFormat="1" applyFont="1" applyFill="1" applyBorder="1" applyAlignment="1" applyProtection="1">
      <protection hidden="1"/>
    </xf>
    <xf numFmtId="0" fontId="11" fillId="0" borderId="4" xfId="2" applyNumberFormat="1" applyFont="1" applyFill="1" applyBorder="1" applyAlignment="1" applyProtection="1">
      <protection locked="0"/>
    </xf>
    <xf numFmtId="0" fontId="11" fillId="0" borderId="4" xfId="2" applyNumberFormat="1" applyFont="1" applyFill="1" applyBorder="1" applyAlignment="1" applyProtection="1">
      <protection hidden="1"/>
    </xf>
    <xf numFmtId="0" fontId="11" fillId="3" borderId="3" xfId="2" applyNumberFormat="1" applyFont="1" applyFill="1" applyBorder="1" applyAlignment="1" applyProtection="1">
      <protection hidden="1"/>
    </xf>
    <xf numFmtId="0" fontId="12" fillId="3" borderId="6" xfId="2" applyNumberFormat="1" applyFont="1" applyFill="1" applyBorder="1" applyAlignment="1" applyProtection="1">
      <protection hidden="1"/>
    </xf>
    <xf numFmtId="0" fontId="11" fillId="0" borderId="0" xfId="2" applyNumberFormat="1" applyFont="1" applyAlignment="1" applyProtection="1">
      <protection hidden="1"/>
    </xf>
    <xf numFmtId="40" fontId="21" fillId="3" borderId="4" xfId="2" applyNumberFormat="1" applyFont="1" applyFill="1" applyBorder="1" applyAlignment="1" applyProtection="1">
      <protection hidden="1"/>
    </xf>
    <xf numFmtId="40" fontId="11" fillId="0" borderId="5" xfId="2" applyNumberFormat="1" applyFont="1" applyFill="1" applyBorder="1" applyAlignment="1" applyProtection="1">
      <protection locked="0"/>
    </xf>
    <xf numFmtId="40" fontId="12" fillId="2" borderId="4" xfId="2" applyNumberFormat="1" applyFont="1" applyFill="1" applyBorder="1" applyAlignment="1" applyProtection="1">
      <alignment horizontal="center" wrapText="1"/>
      <protection hidden="1"/>
    </xf>
    <xf numFmtId="40" fontId="28" fillId="6" borderId="5" xfId="2" applyNumberFormat="1" applyFont="1" applyFill="1" applyBorder="1" applyAlignment="1" applyProtection="1">
      <alignment horizontal="center" wrapText="1"/>
      <protection hidden="1"/>
    </xf>
    <xf numFmtId="40" fontId="11" fillId="3" borderId="5" xfId="2" applyNumberFormat="1" applyFont="1" applyFill="1" applyBorder="1" applyAlignment="1" applyProtection="1">
      <protection hidden="1"/>
    </xf>
    <xf numFmtId="40" fontId="24" fillId="5" borderId="5" xfId="2" applyNumberFormat="1" applyFont="1" applyFill="1" applyBorder="1" applyAlignment="1" applyProtection="1">
      <protection hidden="1"/>
    </xf>
    <xf numFmtId="40" fontId="11" fillId="0" borderId="5" xfId="2" applyNumberFormat="1" applyFont="1" applyFill="1" applyBorder="1" applyAlignment="1" applyProtection="1">
      <protection hidden="1"/>
    </xf>
    <xf numFmtId="40" fontId="27" fillId="5" borderId="5" xfId="2" applyNumberFormat="1" applyFont="1" applyFill="1" applyBorder="1" applyAlignment="1" applyProtection="1">
      <protection hidden="1"/>
    </xf>
    <xf numFmtId="40" fontId="24" fillId="3" borderId="4" xfId="2" applyNumberFormat="1" applyFont="1" applyFill="1" applyBorder="1" applyAlignment="1" applyProtection="1">
      <protection hidden="1"/>
    </xf>
    <xf numFmtId="40" fontId="24" fillId="5" borderId="7" xfId="2" applyNumberFormat="1" applyFont="1" applyFill="1" applyBorder="1" applyAlignment="1" applyProtection="1">
      <protection hidden="1"/>
    </xf>
    <xf numFmtId="40" fontId="11" fillId="0" borderId="0" xfId="2" applyNumberFormat="1" applyFont="1" applyAlignment="1" applyProtection="1">
      <protection hidden="1"/>
    </xf>
    <xf numFmtId="167" fontId="11" fillId="0" borderId="17" xfId="2" applyNumberFormat="1" applyFont="1" applyFill="1" applyBorder="1" applyAlignment="1" applyProtection="1">
      <alignment horizontal="center"/>
      <protection hidden="1"/>
    </xf>
    <xf numFmtId="167" fontId="18" fillId="0" borderId="17" xfId="2" applyNumberFormat="1" applyFont="1" applyFill="1" applyBorder="1" applyAlignment="1" applyProtection="1">
      <alignment horizontal="center"/>
      <protection hidden="1"/>
    </xf>
    <xf numFmtId="167" fontId="28" fillId="6" borderId="17" xfId="0" applyNumberFormat="1" applyFont="1" applyFill="1" applyBorder="1" applyAlignment="1" applyProtection="1">
      <alignment horizontal="center" wrapText="1"/>
      <protection hidden="1"/>
    </xf>
    <xf numFmtId="167" fontId="11" fillId="0" borderId="17" xfId="2" applyNumberFormat="1" applyFont="1" applyBorder="1" applyAlignment="1" applyProtection="1">
      <alignment horizontal="center"/>
      <protection hidden="1"/>
    </xf>
    <xf numFmtId="167" fontId="29" fillId="0" borderId="5" xfId="0" quotePrefix="1" applyNumberFormat="1" applyFont="1" applyFill="1" applyBorder="1" applyAlignment="1" applyProtection="1">
      <alignment horizontal="center"/>
      <protection hidden="1"/>
    </xf>
    <xf numFmtId="167" fontId="11" fillId="0" borderId="17" xfId="2" applyNumberFormat="1" applyFont="1" applyBorder="1" applyAlignment="1" applyProtection="1">
      <protection hidden="1"/>
    </xf>
    <xf numFmtId="167" fontId="11" fillId="0" borderId="4" xfId="2" applyNumberFormat="1" applyFont="1" applyBorder="1" applyAlignment="1" applyProtection="1">
      <protection hidden="1"/>
    </xf>
    <xf numFmtId="167" fontId="11" fillId="0" borderId="7" xfId="2" applyNumberFormat="1" applyFont="1" applyBorder="1" applyAlignment="1" applyProtection="1">
      <protection hidden="1"/>
    </xf>
    <xf numFmtId="38" fontId="12" fillId="2" borderId="4" xfId="2" applyNumberFormat="1" applyFont="1" applyFill="1" applyBorder="1" applyAlignment="1" applyProtection="1">
      <alignment horizontal="center" wrapText="1"/>
      <protection hidden="1"/>
    </xf>
    <xf numFmtId="0" fontId="18" fillId="0" borderId="17" xfId="2" applyFont="1" applyFill="1" applyBorder="1" applyProtection="1">
      <protection hidden="1"/>
    </xf>
    <xf numFmtId="0" fontId="18" fillId="0" borderId="17" xfId="2" applyFont="1" applyFill="1" applyBorder="1" applyAlignment="1" applyProtection="1">
      <protection hidden="1"/>
    </xf>
    <xf numFmtId="40" fontId="18" fillId="0" borderId="3" xfId="2" applyNumberFormat="1" applyFont="1" applyFill="1" applyBorder="1" applyAlignment="1" applyProtection="1">
      <alignment horizontal="right"/>
      <protection hidden="1"/>
    </xf>
    <xf numFmtId="40" fontId="18" fillId="0" borderId="3" xfId="2" applyNumberFormat="1" applyFont="1" applyFill="1" applyBorder="1" applyAlignment="1" applyProtection="1">
      <protection hidden="1"/>
    </xf>
    <xf numFmtId="40" fontId="27" fillId="0" borderId="3" xfId="2" applyNumberFormat="1" applyFont="1" applyBorder="1" applyAlignment="1" applyProtection="1">
      <protection hidden="1"/>
    </xf>
    <xf numFmtId="40" fontId="27" fillId="0" borderId="23" xfId="2" applyNumberFormat="1" applyFont="1" applyBorder="1" applyAlignment="1" applyProtection="1">
      <protection hidden="1"/>
    </xf>
    <xf numFmtId="0" fontId="12" fillId="2" borderId="12" xfId="2" applyFont="1" applyFill="1" applyBorder="1" applyAlignment="1" applyProtection="1">
      <alignment horizontal="center" vertical="center" wrapText="1"/>
      <protection hidden="1"/>
    </xf>
    <xf numFmtId="0" fontId="12" fillId="2" borderId="0" xfId="2" applyFont="1" applyFill="1" applyBorder="1" applyAlignment="1" applyProtection="1">
      <alignment horizontal="center" vertical="center" wrapText="1"/>
      <protection hidden="1"/>
    </xf>
    <xf numFmtId="0" fontId="19" fillId="0" borderId="0" xfId="2" quotePrefix="1" applyFont="1" applyBorder="1" applyProtection="1">
      <protection hidden="1"/>
    </xf>
    <xf numFmtId="0" fontId="19" fillId="0" borderId="0" xfId="2" applyFont="1" applyBorder="1" applyProtection="1">
      <protection hidden="1"/>
    </xf>
    <xf numFmtId="0" fontId="19" fillId="0" borderId="19" xfId="2" applyFont="1" applyBorder="1" applyProtection="1">
      <protection hidden="1"/>
    </xf>
    <xf numFmtId="40" fontId="11" fillId="0" borderId="7" xfId="2" applyNumberFormat="1" applyFont="1" applyFill="1" applyBorder="1" applyAlignment="1" applyProtection="1">
      <alignment horizontal="right"/>
      <protection locked="0"/>
    </xf>
    <xf numFmtId="0" fontId="11" fillId="0" borderId="0" xfId="0" applyFont="1" applyFill="1" applyAlignment="1" applyProtection="1">
      <protection hidden="1"/>
    </xf>
    <xf numFmtId="40" fontId="12" fillId="4" borderId="4" xfId="2" applyNumberFormat="1" applyFont="1" applyFill="1" applyBorder="1" applyAlignment="1" applyProtection="1">
      <protection hidden="1"/>
    </xf>
    <xf numFmtId="40" fontId="15" fillId="3" borderId="4" xfId="2" applyNumberFormat="1" applyFont="1" applyFill="1" applyBorder="1" applyAlignment="1" applyProtection="1">
      <protection hidden="1"/>
    </xf>
    <xf numFmtId="40" fontId="15" fillId="0" borderId="4" xfId="2" applyNumberFormat="1" applyFont="1" applyFill="1" applyBorder="1" applyAlignment="1" applyProtection="1">
      <protection hidden="1"/>
    </xf>
    <xf numFmtId="40" fontId="11" fillId="0" borderId="1" xfId="2" applyNumberFormat="1" applyFont="1" applyFill="1" applyBorder="1" applyAlignment="1" applyProtection="1">
      <alignment horizontal="right"/>
      <protection hidden="1"/>
    </xf>
    <xf numFmtId="40" fontId="11" fillId="0" borderId="1" xfId="2" applyNumberFormat="1" applyFont="1" applyFill="1" applyBorder="1" applyAlignment="1" applyProtection="1">
      <protection hidden="1"/>
    </xf>
    <xf numFmtId="0" fontId="11" fillId="0" borderId="18" xfId="0" applyFont="1" applyBorder="1" applyAlignment="1" applyProtection="1">
      <alignment horizontal="left"/>
      <protection hidden="1"/>
    </xf>
    <xf numFmtId="40" fontId="15" fillId="0" borderId="34" xfId="0" applyNumberFormat="1" applyFont="1" applyBorder="1" applyAlignment="1" applyProtection="1">
      <alignment horizontal="right"/>
      <protection hidden="1"/>
    </xf>
    <xf numFmtId="0" fontId="12" fillId="0" borderId="12" xfId="2" applyFont="1" applyBorder="1" applyAlignment="1" applyProtection="1">
      <alignment vertical="top"/>
      <protection hidden="1"/>
    </xf>
    <xf numFmtId="40" fontId="15" fillId="5" borderId="14" xfId="2" applyNumberFormat="1" applyFont="1" applyFill="1" applyBorder="1" applyAlignment="1" applyProtection="1">
      <alignment horizontal="right"/>
      <protection hidden="1"/>
    </xf>
    <xf numFmtId="0" fontId="12" fillId="2" borderId="22" xfId="2" applyFont="1" applyFill="1" applyBorder="1" applyAlignment="1" applyProtection="1">
      <alignment horizontal="center" wrapText="1"/>
      <protection hidden="1"/>
    </xf>
    <xf numFmtId="0" fontId="12" fillId="2" borderId="17" xfId="2" applyFont="1" applyFill="1" applyBorder="1" applyAlignment="1" applyProtection="1">
      <alignment horizontal="center" wrapText="1"/>
      <protection hidden="1"/>
    </xf>
    <xf numFmtId="0" fontId="12" fillId="2" borderId="5" xfId="2" applyFont="1" applyFill="1" applyBorder="1" applyAlignment="1" applyProtection="1">
      <alignment horizontal="center" wrapText="1"/>
      <protection hidden="1"/>
    </xf>
    <xf numFmtId="4" fontId="12" fillId="2" borderId="5" xfId="2" applyNumberFormat="1" applyFont="1" applyFill="1" applyBorder="1" applyAlignment="1" applyProtection="1">
      <alignment horizontal="center" wrapText="1"/>
      <protection hidden="1"/>
    </xf>
    <xf numFmtId="4" fontId="12" fillId="2" borderId="37" xfId="2" applyNumberFormat="1" applyFont="1" applyFill="1" applyBorder="1" applyAlignment="1" applyProtection="1">
      <alignment horizontal="center" wrapText="1"/>
      <protection hidden="1"/>
    </xf>
    <xf numFmtId="4" fontId="12" fillId="0" borderId="5" xfId="2" applyNumberFormat="1" applyFont="1" applyFill="1" applyBorder="1" applyAlignment="1" applyProtection="1">
      <alignment horizontal="center" wrapText="1"/>
      <protection hidden="1"/>
    </xf>
    <xf numFmtId="4" fontId="12" fillId="0" borderId="37" xfId="2" applyNumberFormat="1" applyFont="1" applyFill="1" applyBorder="1" applyAlignment="1" applyProtection="1">
      <alignment horizontal="center" wrapText="1"/>
      <protection hidden="1"/>
    </xf>
    <xf numFmtId="0" fontId="12" fillId="0" borderId="38" xfId="2" applyFont="1" applyBorder="1" applyAlignment="1" applyProtection="1">
      <protection hidden="1"/>
    </xf>
    <xf numFmtId="0" fontId="12" fillId="0" borderId="5" xfId="2" applyFont="1" applyBorder="1" applyAlignment="1" applyProtection="1">
      <protection hidden="1"/>
    </xf>
    <xf numFmtId="40" fontId="15" fillId="5" borderId="5" xfId="2" applyNumberFormat="1" applyFont="1" applyFill="1" applyBorder="1" applyAlignment="1" applyProtection="1">
      <alignment horizontal="right"/>
      <protection hidden="1"/>
    </xf>
    <xf numFmtId="40" fontId="15" fillId="5" borderId="39" xfId="2" applyNumberFormat="1" applyFont="1" applyFill="1" applyBorder="1" applyAlignment="1" applyProtection="1">
      <alignment horizontal="right"/>
      <protection hidden="1"/>
    </xf>
    <xf numFmtId="40" fontId="11" fillId="0" borderId="5" xfId="2" applyNumberFormat="1" applyFont="1" applyFill="1" applyBorder="1" applyAlignment="1" applyProtection="1">
      <alignment horizontal="right"/>
      <protection locked="0"/>
    </xf>
    <xf numFmtId="40" fontId="15" fillId="0" borderId="5" xfId="2" applyNumberFormat="1" applyFont="1" applyBorder="1" applyAlignment="1" applyProtection="1">
      <protection hidden="1"/>
    </xf>
    <xf numFmtId="40" fontId="15" fillId="0" borderId="37" xfId="2" applyNumberFormat="1" applyFont="1" applyBorder="1" applyAlignment="1" applyProtection="1">
      <protection hidden="1"/>
    </xf>
    <xf numFmtId="40" fontId="11" fillId="0" borderId="5" xfId="2" applyNumberFormat="1" applyFont="1" applyFill="1" applyBorder="1" applyAlignment="1" applyProtection="1">
      <alignment horizontal="right"/>
      <protection hidden="1"/>
    </xf>
    <xf numFmtId="40" fontId="27" fillId="0" borderId="5" xfId="2" applyNumberFormat="1" applyFont="1" applyBorder="1" applyAlignment="1" applyProtection="1">
      <protection hidden="1"/>
    </xf>
    <xf numFmtId="40" fontId="27" fillId="0" borderId="37" xfId="2" applyNumberFormat="1" applyFont="1" applyBorder="1" applyAlignment="1" applyProtection="1">
      <protection hidden="1"/>
    </xf>
    <xf numFmtId="40" fontId="11" fillId="3" borderId="5" xfId="2" applyNumberFormat="1" applyFont="1" applyFill="1" applyBorder="1" applyAlignment="1" applyProtection="1">
      <alignment horizontal="right"/>
      <protection hidden="1"/>
    </xf>
    <xf numFmtId="40" fontId="15" fillId="3" borderId="5" xfId="2" applyNumberFormat="1" applyFont="1" applyFill="1" applyBorder="1" applyAlignment="1" applyProtection="1">
      <protection hidden="1"/>
    </xf>
    <xf numFmtId="40" fontId="12" fillId="3" borderId="37" xfId="2" applyNumberFormat="1" applyFont="1" applyFill="1" applyBorder="1" applyAlignment="1" applyProtection="1">
      <protection hidden="1"/>
    </xf>
    <xf numFmtId="0" fontId="11" fillId="0" borderId="19" xfId="2" applyFont="1" applyBorder="1" applyAlignment="1" applyProtection="1">
      <alignment horizontal="center"/>
      <protection hidden="1"/>
    </xf>
    <xf numFmtId="40" fontId="11" fillId="5" borderId="19" xfId="2" applyNumberFormat="1" applyFont="1" applyFill="1" applyBorder="1" applyAlignment="1" applyProtection="1">
      <alignment horizontal="right"/>
      <protection hidden="1"/>
    </xf>
    <xf numFmtId="40" fontId="11" fillId="5" borderId="19" xfId="2" applyNumberFormat="1" applyFont="1" applyFill="1" applyBorder="1" applyAlignment="1" applyProtection="1">
      <protection hidden="1"/>
    </xf>
    <xf numFmtId="40" fontId="12" fillId="0" borderId="19" xfId="2" applyNumberFormat="1" applyFont="1" applyBorder="1" applyAlignment="1" applyProtection="1">
      <protection hidden="1"/>
    </xf>
    <xf numFmtId="40" fontId="12" fillId="0" borderId="40" xfId="2" applyNumberFormat="1" applyFont="1" applyBorder="1" applyAlignment="1" applyProtection="1">
      <protection hidden="1"/>
    </xf>
    <xf numFmtId="40" fontId="12" fillId="0" borderId="14" xfId="2" applyNumberFormat="1" applyFont="1" applyBorder="1" applyAlignment="1" applyProtection="1">
      <alignment horizontal="center" wrapText="1"/>
      <protection hidden="1"/>
    </xf>
    <xf numFmtId="40" fontId="27" fillId="3" borderId="34" xfId="2" applyNumberFormat="1" applyFont="1" applyFill="1" applyBorder="1" applyAlignment="1" applyProtection="1">
      <protection hidden="1"/>
    </xf>
    <xf numFmtId="40" fontId="12" fillId="0" borderId="39" xfId="2" applyNumberFormat="1" applyFont="1" applyBorder="1" applyAlignment="1" applyProtection="1">
      <protection hidden="1"/>
    </xf>
    <xf numFmtId="40" fontId="12" fillId="3" borderId="34" xfId="2" applyNumberFormat="1" applyFont="1" applyFill="1" applyBorder="1" applyAlignment="1" applyProtection="1">
      <protection hidden="1"/>
    </xf>
    <xf numFmtId="40" fontId="12" fillId="3" borderId="14" xfId="2" applyNumberFormat="1" applyFont="1" applyFill="1" applyBorder="1" applyAlignment="1" applyProtection="1">
      <alignment horizontal="center" wrapText="1"/>
      <protection hidden="1"/>
    </xf>
    <xf numFmtId="40" fontId="15" fillId="5" borderId="34" xfId="2" applyNumberFormat="1" applyFont="1" applyFill="1" applyBorder="1" applyAlignment="1" applyProtection="1">
      <alignment horizontal="right"/>
      <protection hidden="1"/>
    </xf>
    <xf numFmtId="40" fontId="12" fillId="0" borderId="41" xfId="2" applyNumberFormat="1" applyFont="1" applyFill="1" applyBorder="1" applyAlignment="1" applyProtection="1">
      <protection hidden="1"/>
    </xf>
    <xf numFmtId="0" fontId="12" fillId="2" borderId="10" xfId="2" applyFont="1" applyFill="1" applyBorder="1" applyAlignment="1" applyProtection="1">
      <alignment horizontal="center" wrapText="1"/>
      <protection hidden="1"/>
    </xf>
    <xf numFmtId="0" fontId="12" fillId="0" borderId="42" xfId="2" applyFont="1" applyBorder="1" applyAlignment="1" applyProtection="1">
      <protection hidden="1"/>
    </xf>
    <xf numFmtId="40" fontId="12" fillId="4" borderId="14" xfId="2" applyNumberFormat="1" applyFont="1" applyFill="1" applyBorder="1" applyAlignment="1" applyProtection="1">
      <protection hidden="1"/>
    </xf>
    <xf numFmtId="0" fontId="11" fillId="0" borderId="42" xfId="2" applyFont="1" applyBorder="1" applyAlignment="1" applyProtection="1">
      <protection hidden="1"/>
    </xf>
    <xf numFmtId="40" fontId="11" fillId="3" borderId="14" xfId="2" applyNumberFormat="1" applyFont="1" applyFill="1" applyBorder="1" applyAlignment="1" applyProtection="1">
      <protection hidden="1"/>
    </xf>
    <xf numFmtId="40" fontId="15" fillId="0" borderId="14" xfId="2" applyNumberFormat="1" applyFont="1" applyBorder="1" applyAlignment="1" applyProtection="1">
      <protection hidden="1"/>
    </xf>
    <xf numFmtId="40" fontId="15" fillId="3" borderId="14" xfId="2" applyNumberFormat="1" applyFont="1" applyFill="1" applyBorder="1" applyAlignment="1" applyProtection="1">
      <protection hidden="1"/>
    </xf>
    <xf numFmtId="0" fontId="12" fillId="0" borderId="43" xfId="2" applyFont="1" applyBorder="1" applyAlignment="1" applyProtection="1">
      <protection hidden="1"/>
    </xf>
    <xf numFmtId="0" fontId="12" fillId="0" borderId="7" xfId="2" applyFont="1" applyBorder="1" applyAlignment="1" applyProtection="1">
      <alignment wrapText="1"/>
      <protection hidden="1"/>
    </xf>
    <xf numFmtId="0" fontId="11" fillId="0" borderId="7" xfId="2" quotePrefix="1" applyFont="1" applyBorder="1" applyAlignment="1" applyProtection="1">
      <protection hidden="1"/>
    </xf>
    <xf numFmtId="40" fontId="15" fillId="0" borderId="7" xfId="2" applyNumberFormat="1" applyFont="1" applyBorder="1" applyAlignment="1" applyProtection="1">
      <protection hidden="1"/>
    </xf>
    <xf numFmtId="40" fontId="15" fillId="0" borderId="34" xfId="2" applyNumberFormat="1" applyFont="1" applyBorder="1" applyAlignment="1" applyProtection="1">
      <protection hidden="1"/>
    </xf>
    <xf numFmtId="0" fontId="12" fillId="0" borderId="17" xfId="2" applyFont="1" applyBorder="1" applyAlignment="1" applyProtection="1">
      <protection hidden="1"/>
    </xf>
    <xf numFmtId="0" fontId="11" fillId="0" borderId="5" xfId="2" applyFont="1" applyFill="1" applyBorder="1" applyAlignment="1" applyProtection="1">
      <protection locked="0"/>
    </xf>
    <xf numFmtId="0" fontId="11" fillId="0" borderId="5" xfId="2" applyFont="1" applyFill="1" applyBorder="1" applyAlignment="1" applyProtection="1">
      <protection hidden="1"/>
    </xf>
    <xf numFmtId="0" fontId="11" fillId="0" borderId="5" xfId="2" applyFont="1" applyBorder="1" applyAlignment="1" applyProtection="1">
      <protection hidden="1"/>
    </xf>
    <xf numFmtId="0" fontId="12" fillId="2" borderId="10" xfId="2" applyFont="1" applyFill="1" applyBorder="1" applyAlignment="1" applyProtection="1">
      <alignment horizontal="center"/>
      <protection hidden="1"/>
    </xf>
    <xf numFmtId="4" fontId="12" fillId="2" borderId="11" xfId="2" applyNumberFormat="1" applyFont="1" applyFill="1" applyBorder="1" applyAlignment="1" applyProtection="1">
      <alignment horizontal="center" vertical="center" wrapText="1"/>
      <protection hidden="1"/>
    </xf>
    <xf numFmtId="0" fontId="12" fillId="2" borderId="32" xfId="0" applyFont="1" applyFill="1" applyBorder="1" applyAlignment="1" applyProtection="1">
      <alignment horizontal="center" vertical="center" wrapText="1"/>
      <protection hidden="1"/>
    </xf>
    <xf numFmtId="165" fontId="30" fillId="2" borderId="37" xfId="0" applyNumberFormat="1" applyFont="1" applyFill="1" applyBorder="1" applyAlignment="1" applyProtection="1">
      <alignment horizontal="center" wrapText="1"/>
      <protection hidden="1"/>
    </xf>
    <xf numFmtId="40" fontId="12" fillId="2" borderId="14" xfId="2" applyNumberFormat="1" applyFont="1" applyFill="1" applyBorder="1" applyAlignment="1" applyProtection="1">
      <alignment horizontal="center" wrapText="1"/>
      <protection hidden="1"/>
    </xf>
    <xf numFmtId="0" fontId="28" fillId="6" borderId="12" xfId="2" applyFont="1" applyFill="1" applyBorder="1" applyAlignment="1" applyProtection="1">
      <alignment horizontal="center"/>
      <protection hidden="1"/>
    </xf>
    <xf numFmtId="40" fontId="28" fillId="6" borderId="37" xfId="2" applyNumberFormat="1" applyFont="1" applyFill="1" applyBorder="1" applyAlignment="1" applyProtection="1">
      <alignment horizontal="center" wrapText="1"/>
      <protection hidden="1"/>
    </xf>
    <xf numFmtId="0" fontId="11" fillId="0" borderId="12" xfId="2" applyFont="1" applyBorder="1" applyAlignment="1" applyProtection="1">
      <alignment wrapText="1"/>
      <protection hidden="1"/>
    </xf>
    <xf numFmtId="40" fontId="24" fillId="0" borderId="37" xfId="2" applyNumberFormat="1" applyFont="1" applyBorder="1" applyAlignment="1" applyProtection="1">
      <alignment horizontal="right"/>
      <protection hidden="1"/>
    </xf>
    <xf numFmtId="40" fontId="24" fillId="5" borderId="37" xfId="2" applyNumberFormat="1" applyFont="1" applyFill="1" applyBorder="1" applyAlignment="1" applyProtection="1">
      <protection hidden="1"/>
    </xf>
    <xf numFmtId="40" fontId="27" fillId="5" borderId="37" xfId="2" applyNumberFormat="1" applyFont="1" applyFill="1" applyBorder="1" applyAlignment="1" applyProtection="1">
      <protection hidden="1"/>
    </xf>
    <xf numFmtId="40" fontId="24" fillId="3" borderId="37" xfId="2" applyNumberFormat="1" applyFont="1" applyFill="1" applyBorder="1" applyAlignment="1" applyProtection="1">
      <protection hidden="1"/>
    </xf>
    <xf numFmtId="40" fontId="24" fillId="3" borderId="14" xfId="2" applyNumberFormat="1" applyFont="1" applyFill="1" applyBorder="1" applyAlignment="1" applyProtection="1">
      <protection hidden="1"/>
    </xf>
    <xf numFmtId="0" fontId="12" fillId="0" borderId="44" xfId="2" applyFont="1" applyBorder="1" applyAlignment="1" applyProtection="1">
      <protection hidden="1"/>
    </xf>
    <xf numFmtId="40" fontId="24" fillId="5" borderId="34" xfId="2" applyNumberFormat="1" applyFont="1" applyFill="1" applyBorder="1" applyAlignment="1" applyProtection="1">
      <protection hidden="1"/>
    </xf>
    <xf numFmtId="4" fontId="12" fillId="2" borderId="14" xfId="2" applyNumberFormat="1" applyFont="1" applyFill="1" applyBorder="1" applyAlignment="1" applyProtection="1">
      <alignment horizontal="center" wrapText="1"/>
      <protection hidden="1"/>
    </xf>
    <xf numFmtId="0" fontId="12" fillId="0" borderId="45" xfId="2" applyFont="1" applyFill="1" applyBorder="1" applyAlignment="1" applyProtection="1">
      <alignment horizontal="center" wrapText="1"/>
      <protection hidden="1"/>
    </xf>
    <xf numFmtId="4" fontId="15" fillId="0" borderId="14" xfId="2" applyNumberFormat="1" applyFont="1" applyFill="1" applyBorder="1" applyAlignment="1" applyProtection="1">
      <alignment horizontal="center" wrapText="1"/>
      <protection hidden="1"/>
    </xf>
    <xf numFmtId="0" fontId="11" fillId="0" borderId="45" xfId="2" applyFont="1" applyBorder="1" applyAlignment="1" applyProtection="1">
      <protection hidden="1"/>
    </xf>
    <xf numFmtId="40" fontId="21" fillId="0" borderId="14" xfId="2" applyNumberFormat="1" applyFont="1" applyBorder="1" applyAlignment="1" applyProtection="1">
      <protection hidden="1"/>
    </xf>
    <xf numFmtId="40" fontId="21" fillId="3" borderId="14" xfId="2" applyNumberFormat="1" applyFont="1" applyFill="1" applyBorder="1" applyAlignment="1" applyProtection="1">
      <protection hidden="1"/>
    </xf>
    <xf numFmtId="40" fontId="11" fillId="3" borderId="23" xfId="2" applyNumberFormat="1" applyFont="1" applyFill="1" applyBorder="1" applyAlignment="1" applyProtection="1">
      <protection hidden="1"/>
    </xf>
    <xf numFmtId="40" fontId="15" fillId="5" borderId="46" xfId="2" applyNumberFormat="1" applyFont="1" applyFill="1" applyBorder="1" applyAlignment="1" applyProtection="1">
      <alignment horizontal="right"/>
      <protection hidden="1"/>
    </xf>
    <xf numFmtId="0" fontId="12" fillId="2" borderId="9" xfId="2" applyFont="1" applyFill="1" applyBorder="1" applyAlignment="1" applyProtection="1">
      <alignment horizontal="center" vertical="center" wrapText="1"/>
      <protection hidden="1"/>
    </xf>
    <xf numFmtId="0" fontId="12" fillId="2" borderId="10" xfId="0" applyFont="1" applyFill="1" applyBorder="1" applyAlignment="1" applyProtection="1">
      <alignment horizontal="center" vertical="center" wrapText="1"/>
      <protection hidden="1"/>
    </xf>
    <xf numFmtId="4" fontId="12" fillId="2" borderId="10" xfId="2" applyNumberFormat="1" applyFont="1" applyFill="1" applyBorder="1" applyAlignment="1" applyProtection="1">
      <alignment horizontal="center" vertical="center" wrapText="1"/>
      <protection hidden="1"/>
    </xf>
    <xf numFmtId="4" fontId="11" fillId="0" borderId="14" xfId="2" applyNumberFormat="1" applyFont="1" applyBorder="1" applyProtection="1">
      <protection hidden="1"/>
    </xf>
    <xf numFmtId="0" fontId="11" fillId="0" borderId="12" xfId="2" applyFont="1" applyBorder="1" applyAlignment="1" applyProtection="1">
      <alignment vertical="top"/>
      <protection hidden="1"/>
    </xf>
    <xf numFmtId="40" fontId="15" fillId="3" borderId="14" xfId="2" applyNumberFormat="1" applyFont="1" applyFill="1" applyBorder="1" applyAlignment="1" applyProtection="1">
      <alignment vertical="top"/>
      <protection hidden="1"/>
    </xf>
    <xf numFmtId="40" fontId="15" fillId="3" borderId="23" xfId="2" applyNumberFormat="1" applyFont="1" applyFill="1" applyBorder="1" applyAlignment="1" applyProtection="1">
      <alignment vertical="top"/>
      <protection hidden="1"/>
    </xf>
    <xf numFmtId="40" fontId="15" fillId="5" borderId="23" xfId="2" applyNumberFormat="1" applyFont="1" applyFill="1" applyBorder="1" applyAlignment="1" applyProtection="1">
      <alignment horizontal="right" vertical="top"/>
      <protection hidden="1"/>
    </xf>
    <xf numFmtId="0" fontId="12" fillId="0" borderId="18" xfId="2" applyFont="1" applyBorder="1" applyAlignment="1" applyProtection="1">
      <alignment vertical="top"/>
      <protection hidden="1"/>
    </xf>
    <xf numFmtId="40" fontId="15" fillId="5" borderId="40" xfId="2" applyNumberFormat="1" applyFont="1" applyFill="1" applyBorder="1" applyAlignment="1" applyProtection="1">
      <alignment horizontal="right" vertical="top"/>
      <protection hidden="1"/>
    </xf>
    <xf numFmtId="0" fontId="12" fillId="2" borderId="47" xfId="2" applyFont="1" applyFill="1" applyBorder="1" applyAlignment="1" applyProtection="1">
      <alignment horizontal="center" vertical="center" wrapText="1"/>
      <protection hidden="1"/>
    </xf>
    <xf numFmtId="0" fontId="12" fillId="0" borderId="12" xfId="2" applyFont="1" applyBorder="1" applyProtection="1">
      <protection hidden="1"/>
    </xf>
    <xf numFmtId="0" fontId="12" fillId="0" borderId="33" xfId="2" applyFont="1" applyBorder="1" applyAlignment="1" applyProtection="1">
      <alignment vertical="top"/>
      <protection hidden="1"/>
    </xf>
    <xf numFmtId="40" fontId="11" fillId="0" borderId="48" xfId="2" applyNumberFormat="1" applyFont="1" applyBorder="1" applyAlignment="1" applyProtection="1">
      <protection hidden="1"/>
    </xf>
    <xf numFmtId="40" fontId="12" fillId="0" borderId="13" xfId="2" applyNumberFormat="1" applyFont="1" applyBorder="1" applyAlignment="1" applyProtection="1">
      <alignment horizontal="center"/>
      <protection hidden="1"/>
    </xf>
    <xf numFmtId="40" fontId="26" fillId="3" borderId="14" xfId="2" applyNumberFormat="1" applyFont="1" applyFill="1" applyBorder="1" applyAlignment="1" applyProtection="1">
      <protection hidden="1"/>
    </xf>
    <xf numFmtId="40" fontId="24" fillId="0" borderId="34" xfId="2" applyNumberFormat="1" applyFont="1" applyBorder="1" applyAlignment="1" applyProtection="1">
      <alignment vertical="top"/>
      <protection hidden="1"/>
    </xf>
    <xf numFmtId="38" fontId="11" fillId="3" borderId="3" xfId="2" applyNumberFormat="1" applyFont="1" applyFill="1" applyBorder="1" applyAlignment="1" applyProtection="1">
      <alignment horizontal="right"/>
      <protection hidden="1"/>
    </xf>
    <xf numFmtId="40" fontId="11" fillId="0" borderId="48" xfId="2" applyNumberFormat="1" applyFont="1" applyBorder="1" applyProtection="1">
      <protection hidden="1"/>
    </xf>
    <xf numFmtId="40" fontId="11" fillId="3" borderId="13" xfId="2" applyNumberFormat="1" applyFont="1" applyFill="1" applyBorder="1" applyAlignment="1" applyProtection="1">
      <alignment horizontal="center"/>
      <protection hidden="1"/>
    </xf>
    <xf numFmtId="40" fontId="24" fillId="0" borderId="14" xfId="2" applyNumberFormat="1" applyFont="1" applyBorder="1" applyAlignment="1" applyProtection="1">
      <alignment vertical="top"/>
      <protection hidden="1"/>
    </xf>
    <xf numFmtId="40" fontId="11" fillId="3" borderId="23" xfId="2" applyNumberFormat="1" applyFont="1" applyFill="1" applyBorder="1" applyProtection="1">
      <protection hidden="1"/>
    </xf>
    <xf numFmtId="0" fontId="12" fillId="0" borderId="43" xfId="2" applyFont="1" applyBorder="1" applyAlignment="1" applyProtection="1">
      <alignment vertical="top"/>
      <protection hidden="1"/>
    </xf>
    <xf numFmtId="0" fontId="12" fillId="0" borderId="7" xfId="2" applyFont="1" applyBorder="1" applyAlignment="1" applyProtection="1">
      <alignment vertical="top"/>
      <protection hidden="1"/>
    </xf>
    <xf numFmtId="0" fontId="12" fillId="0" borderId="7" xfId="2" applyFont="1" applyBorder="1" applyAlignment="1" applyProtection="1">
      <alignment vertical="top" wrapText="1"/>
      <protection hidden="1"/>
    </xf>
    <xf numFmtId="0" fontId="12" fillId="0" borderId="17" xfId="2" applyFont="1" applyBorder="1" applyAlignment="1" applyProtection="1">
      <alignment horizontal="center"/>
      <protection hidden="1"/>
    </xf>
    <xf numFmtId="0" fontId="11" fillId="0" borderId="3" xfId="2" quotePrefix="1" applyFont="1" applyBorder="1" applyAlignment="1" applyProtection="1">
      <alignment horizontal="center"/>
      <protection hidden="1"/>
    </xf>
    <xf numFmtId="0" fontId="19" fillId="0" borderId="4" xfId="2" quotePrefix="1" applyFont="1" applyBorder="1" applyAlignment="1" applyProtection="1">
      <alignment vertical="top"/>
      <protection hidden="1"/>
    </xf>
    <xf numFmtId="0" fontId="19" fillId="0" borderId="4" xfId="2" applyFont="1" applyBorder="1" applyAlignment="1" applyProtection="1">
      <alignment horizontal="center"/>
      <protection hidden="1"/>
    </xf>
    <xf numFmtId="40" fontId="11" fillId="5" borderId="14" xfId="2" applyNumberFormat="1" applyFont="1" applyFill="1" applyBorder="1" applyAlignment="1" applyProtection="1">
      <alignment horizontal="right"/>
      <protection locked="0"/>
    </xf>
    <xf numFmtId="0" fontId="11" fillId="0" borderId="0" xfId="0" applyFont="1" applyBorder="1" applyAlignment="1" applyProtection="1">
      <protection locked="0"/>
    </xf>
    <xf numFmtId="167" fontId="11" fillId="0" borderId="5" xfId="2" applyNumberFormat="1" applyFont="1" applyBorder="1" applyAlignment="1" applyProtection="1">
      <alignment horizontal="center" wrapText="1"/>
      <protection hidden="1"/>
    </xf>
    <xf numFmtId="0" fontId="18" fillId="0" borderId="5" xfId="2" applyFont="1" applyFill="1" applyBorder="1" applyAlignment="1" applyProtection="1">
      <alignment horizontal="center"/>
      <protection hidden="1"/>
    </xf>
    <xf numFmtId="4" fontId="15" fillId="0" borderId="0" xfId="0" applyNumberFormat="1" applyFont="1" applyAlignment="1" applyProtection="1">
      <protection hidden="1"/>
    </xf>
    <xf numFmtId="4" fontId="12" fillId="2" borderId="49" xfId="0" applyNumberFormat="1" applyFont="1" applyFill="1" applyBorder="1" applyAlignment="1" applyProtection="1">
      <alignment wrapText="1"/>
      <protection hidden="1"/>
    </xf>
    <xf numFmtId="0" fontId="12" fillId="2" borderId="12" xfId="0" applyFont="1" applyFill="1" applyBorder="1" applyAlignment="1" applyProtection="1">
      <alignment wrapText="1"/>
      <protection hidden="1"/>
    </xf>
    <xf numFmtId="0" fontId="12" fillId="2" borderId="0" xfId="0" applyFont="1" applyFill="1" applyBorder="1" applyAlignment="1" applyProtection="1">
      <alignment wrapText="1"/>
      <protection hidden="1"/>
    </xf>
    <xf numFmtId="0" fontId="12" fillId="2" borderId="17" xfId="0" applyFont="1" applyFill="1" applyBorder="1" applyAlignment="1" applyProtection="1">
      <alignment wrapText="1"/>
      <protection hidden="1"/>
    </xf>
    <xf numFmtId="4" fontId="12" fillId="2" borderId="37" xfId="0" applyNumberFormat="1" applyFont="1" applyFill="1" applyBorder="1" applyAlignment="1" applyProtection="1">
      <alignment horizontal="center" wrapText="1"/>
      <protection hidden="1"/>
    </xf>
    <xf numFmtId="0" fontId="12" fillId="2" borderId="50" xfId="0" applyFont="1" applyFill="1" applyBorder="1" applyAlignment="1" applyProtection="1">
      <alignment wrapText="1"/>
      <protection hidden="1"/>
    </xf>
    <xf numFmtId="0" fontId="12" fillId="2" borderId="51" xfId="0" applyFont="1" applyFill="1" applyBorder="1" applyAlignment="1" applyProtection="1">
      <alignment wrapText="1"/>
      <protection hidden="1"/>
    </xf>
    <xf numFmtId="0" fontId="12" fillId="2" borderId="52" xfId="0" applyFont="1" applyFill="1" applyBorder="1" applyAlignment="1" applyProtection="1">
      <alignment wrapText="1"/>
      <protection hidden="1"/>
    </xf>
    <xf numFmtId="4" fontId="12" fillId="2" borderId="53" xfId="0" applyNumberFormat="1" applyFont="1" applyFill="1" applyBorder="1" applyAlignment="1" applyProtection="1">
      <alignment wrapText="1"/>
      <protection hidden="1"/>
    </xf>
    <xf numFmtId="0" fontId="11" fillId="3" borderId="5" xfId="0" applyFont="1" applyFill="1" applyBorder="1" applyAlignment="1" applyProtection="1">
      <alignment horizontal="center"/>
      <protection hidden="1"/>
    </xf>
    <xf numFmtId="40" fontId="11" fillId="3" borderId="4" xfId="0" applyNumberFormat="1" applyFont="1" applyFill="1" applyBorder="1" applyAlignment="1" applyProtection="1">
      <alignment horizontal="right"/>
      <protection hidden="1"/>
    </xf>
    <xf numFmtId="40" fontId="15" fillId="3" borderId="14" xfId="0" applyNumberFormat="1" applyFont="1" applyFill="1" applyBorder="1" applyAlignment="1" applyProtection="1">
      <alignment horizontal="right"/>
      <protection hidden="1"/>
    </xf>
    <xf numFmtId="4" fontId="12" fillId="3" borderId="4" xfId="0" applyNumberFormat="1" applyFont="1" applyFill="1" applyBorder="1" applyAlignment="1" applyProtection="1">
      <alignment horizontal="center"/>
      <protection hidden="1"/>
    </xf>
    <xf numFmtId="40" fontId="12" fillId="3" borderId="4" xfId="0" applyNumberFormat="1" applyFont="1" applyFill="1" applyBorder="1" applyAlignment="1" applyProtection="1">
      <alignment horizontal="right"/>
      <protection hidden="1"/>
    </xf>
    <xf numFmtId="40" fontId="21" fillId="5" borderId="4" xfId="0" applyNumberFormat="1" applyFont="1" applyFill="1" applyBorder="1" applyAlignment="1" applyProtection="1">
      <alignment horizontal="right"/>
      <protection hidden="1"/>
    </xf>
    <xf numFmtId="0" fontId="11" fillId="0" borderId="17" xfId="0" applyFont="1" applyBorder="1" applyAlignment="1" applyProtection="1">
      <alignment horizontal="left"/>
      <protection hidden="1"/>
    </xf>
    <xf numFmtId="0" fontId="12" fillId="0" borderId="12" xfId="0" applyFont="1" applyBorder="1" applyAlignment="1" applyProtection="1">
      <alignment wrapText="1"/>
      <protection hidden="1"/>
    </xf>
    <xf numFmtId="0" fontId="11" fillId="0" borderId="0" xfId="0" quotePrefix="1" applyFont="1" applyBorder="1" applyAlignment="1" applyProtection="1">
      <alignment wrapText="1"/>
      <protection hidden="1"/>
    </xf>
    <xf numFmtId="0" fontId="11" fillId="0" borderId="12" xfId="0" applyFont="1" applyFill="1" applyBorder="1" applyAlignment="1" applyProtection="1">
      <protection hidden="1"/>
    </xf>
    <xf numFmtId="0" fontId="11" fillId="0" borderId="0" xfId="0" quotePrefix="1" applyFont="1" applyFill="1" applyBorder="1" applyAlignment="1" applyProtection="1">
      <protection hidden="1"/>
    </xf>
    <xf numFmtId="40" fontId="21" fillId="5" borderId="3" xfId="0" applyNumberFormat="1" applyFont="1" applyFill="1" applyBorder="1" applyAlignment="1" applyProtection="1">
      <alignment horizontal="right"/>
      <protection hidden="1"/>
    </xf>
    <xf numFmtId="0" fontId="11" fillId="0" borderId="30" xfId="0" applyFont="1" applyBorder="1" applyAlignment="1" applyProtection="1">
      <protection hidden="1"/>
    </xf>
    <xf numFmtId="0" fontId="11" fillId="0" borderId="31" xfId="0" applyFont="1" applyBorder="1" applyAlignment="1" applyProtection="1">
      <protection hidden="1"/>
    </xf>
    <xf numFmtId="0" fontId="11" fillId="0" borderId="31" xfId="0" applyFont="1" applyBorder="1" applyAlignment="1" applyProtection="1">
      <alignment wrapText="1"/>
      <protection hidden="1"/>
    </xf>
    <xf numFmtId="0" fontId="11" fillId="3" borderId="31" xfId="0" applyFont="1" applyFill="1" applyBorder="1" applyAlignment="1" applyProtection="1">
      <alignment horizontal="center"/>
      <protection hidden="1"/>
    </xf>
    <xf numFmtId="40" fontId="11" fillId="3" borderId="31" xfId="0" applyNumberFormat="1" applyFont="1" applyFill="1" applyBorder="1" applyAlignment="1" applyProtection="1">
      <alignment horizontal="right"/>
      <protection hidden="1"/>
    </xf>
    <xf numFmtId="40" fontId="15" fillId="3" borderId="54" xfId="0" applyNumberFormat="1" applyFont="1" applyFill="1" applyBorder="1" applyAlignment="1" applyProtection="1">
      <alignment horizontal="right"/>
      <protection hidden="1"/>
    </xf>
    <xf numFmtId="49" fontId="11" fillId="0" borderId="1" xfId="0" quotePrefix="1" applyNumberFormat="1" applyFont="1" applyFill="1" applyBorder="1" applyAlignment="1" applyProtection="1">
      <alignment horizontal="center"/>
      <protection hidden="1"/>
    </xf>
    <xf numFmtId="40" fontId="21" fillId="5" borderId="1" xfId="0" applyNumberFormat="1" applyFont="1" applyFill="1" applyBorder="1" applyAlignment="1" applyProtection="1">
      <alignment horizontal="right"/>
      <protection hidden="1"/>
    </xf>
    <xf numFmtId="40" fontId="15" fillId="4" borderId="14" xfId="0" applyNumberFormat="1" applyFont="1" applyFill="1" applyBorder="1" applyAlignment="1" applyProtection="1">
      <alignment horizontal="right"/>
      <protection hidden="1"/>
    </xf>
    <xf numFmtId="0" fontId="12" fillId="5" borderId="0" xfId="0" applyFont="1" applyFill="1" applyAlignment="1" applyProtection="1">
      <protection hidden="1"/>
    </xf>
    <xf numFmtId="0" fontId="11" fillId="5" borderId="12" xfId="0" applyFont="1" applyFill="1" applyBorder="1" applyAlignment="1" applyProtection="1">
      <protection hidden="1"/>
    </xf>
    <xf numFmtId="0" fontId="11" fillId="5" borderId="0" xfId="0" applyFont="1" applyFill="1" applyBorder="1" applyAlignment="1" applyProtection="1">
      <protection hidden="1"/>
    </xf>
    <xf numFmtId="0" fontId="11" fillId="5" borderId="0" xfId="0" applyFont="1" applyFill="1" applyBorder="1" applyAlignment="1" applyProtection="1">
      <alignment wrapText="1"/>
      <protection hidden="1"/>
    </xf>
    <xf numFmtId="0" fontId="11" fillId="5" borderId="0" xfId="0" applyFont="1" applyFill="1" applyAlignment="1" applyProtection="1">
      <protection hidden="1"/>
    </xf>
    <xf numFmtId="0" fontId="11" fillId="0" borderId="17" xfId="0" applyFont="1" applyFill="1" applyBorder="1" applyAlignment="1" applyProtection="1">
      <alignment wrapText="1"/>
      <protection hidden="1"/>
    </xf>
    <xf numFmtId="0" fontId="11" fillId="0" borderId="2" xfId="0" applyFont="1" applyFill="1" applyBorder="1" applyAlignment="1" applyProtection="1">
      <protection hidden="1"/>
    </xf>
    <xf numFmtId="40" fontId="11" fillId="3" borderId="4" xfId="0" applyNumberFormat="1" applyFont="1" applyFill="1" applyBorder="1" applyAlignment="1" applyProtection="1">
      <protection hidden="1"/>
    </xf>
    <xf numFmtId="40" fontId="15" fillId="3" borderId="14" xfId="0" applyNumberFormat="1" applyFont="1" applyFill="1" applyBorder="1" applyAlignment="1" applyProtection="1">
      <protection hidden="1"/>
    </xf>
    <xf numFmtId="49" fontId="11" fillId="3" borderId="4" xfId="0" quotePrefix="1" applyNumberFormat="1" applyFont="1" applyFill="1" applyBorder="1" applyAlignment="1" applyProtection="1">
      <alignment horizontal="center"/>
      <protection hidden="1"/>
    </xf>
    <xf numFmtId="40" fontId="11" fillId="3" borderId="3" xfId="0" applyNumberFormat="1" applyFont="1" applyFill="1" applyBorder="1" applyAlignment="1" applyProtection="1">
      <alignment horizontal="right"/>
      <protection hidden="1"/>
    </xf>
    <xf numFmtId="40" fontId="15" fillId="3" borderId="23" xfId="0" applyNumberFormat="1" applyFont="1" applyFill="1" applyBorder="1" applyAlignment="1" applyProtection="1">
      <alignment horizontal="right"/>
      <protection hidden="1"/>
    </xf>
    <xf numFmtId="0" fontId="11" fillId="0" borderId="18" xfId="0" applyFont="1" applyBorder="1" applyAlignment="1" applyProtection="1">
      <protection hidden="1"/>
    </xf>
    <xf numFmtId="0" fontId="11" fillId="0" borderId="19" xfId="0" quotePrefix="1" applyFont="1" applyBorder="1" applyAlignment="1" applyProtection="1">
      <alignment wrapText="1"/>
      <protection hidden="1"/>
    </xf>
    <xf numFmtId="0" fontId="11" fillId="0" borderId="19" xfId="0" applyFont="1" applyBorder="1" applyAlignment="1" applyProtection="1">
      <alignment wrapText="1"/>
      <protection hidden="1"/>
    </xf>
    <xf numFmtId="40" fontId="21" fillId="0" borderId="7" xfId="0" applyNumberFormat="1" applyFont="1" applyBorder="1" applyAlignment="1" applyProtection="1">
      <alignment horizontal="right"/>
      <protection hidden="1"/>
    </xf>
    <xf numFmtId="0" fontId="14" fillId="0" borderId="0" xfId="0" applyFont="1" applyBorder="1" applyAlignment="1" applyProtection="1">
      <protection hidden="1"/>
    </xf>
    <xf numFmtId="0" fontId="14" fillId="0" borderId="0" xfId="0" applyFont="1" applyAlignment="1" applyProtection="1">
      <protection hidden="1"/>
    </xf>
    <xf numFmtId="0" fontId="18" fillId="0" borderId="4" xfId="2" applyFont="1" applyBorder="1" applyProtection="1">
      <protection hidden="1"/>
    </xf>
    <xf numFmtId="0" fontId="11" fillId="0" borderId="15" xfId="2" applyFont="1" applyFill="1" applyBorder="1" applyAlignment="1" applyProtection="1">
      <alignment wrapText="1"/>
      <protection locked="0"/>
    </xf>
    <xf numFmtId="1" fontId="18" fillId="0" borderId="3" xfId="2" applyNumberFormat="1" applyFont="1" applyFill="1" applyBorder="1" applyAlignment="1" applyProtection="1">
      <alignment horizontal="center" wrapText="1"/>
      <protection hidden="1"/>
    </xf>
    <xf numFmtId="0" fontId="18" fillId="0" borderId="19" xfId="2" applyFont="1" applyBorder="1" applyAlignment="1" applyProtection="1">
      <alignment horizontal="center"/>
      <protection hidden="1"/>
    </xf>
    <xf numFmtId="0" fontId="18" fillId="0" borderId="7" xfId="2" applyFont="1" applyFill="1" applyBorder="1" applyAlignment="1" applyProtection="1">
      <alignment horizontal="center"/>
      <protection hidden="1"/>
    </xf>
    <xf numFmtId="49" fontId="8" fillId="8" borderId="0" xfId="0" applyNumberFormat="1" applyFont="1" applyFill="1"/>
    <xf numFmtId="0" fontId="8" fillId="8" borderId="0" xfId="0" applyFont="1" applyFill="1"/>
    <xf numFmtId="1" fontId="8" fillId="8" borderId="0" xfId="0" applyNumberFormat="1" applyFont="1" applyFill="1"/>
    <xf numFmtId="0" fontId="34" fillId="8" borderId="0" xfId="0" applyFont="1" applyFill="1"/>
    <xf numFmtId="0" fontId="8" fillId="8" borderId="0" xfId="0" applyFont="1" applyFill="1" applyBorder="1"/>
    <xf numFmtId="0" fontId="10" fillId="8" borderId="0" xfId="0" applyFont="1" applyFill="1" applyBorder="1"/>
    <xf numFmtId="0" fontId="33" fillId="8" borderId="0" xfId="0" applyFont="1" applyFill="1"/>
    <xf numFmtId="0" fontId="10" fillId="8" borderId="0" xfId="3" applyFont="1" applyFill="1"/>
    <xf numFmtId="0" fontId="11" fillId="0" borderId="0" xfId="0" applyFont="1" applyBorder="1" applyAlignment="1" applyProtection="1">
      <alignment horizontal="left" wrapText="1"/>
      <protection hidden="1"/>
    </xf>
    <xf numFmtId="0" fontId="11" fillId="0" borderId="17" xfId="0" applyFont="1" applyBorder="1" applyAlignment="1" applyProtection="1">
      <alignment horizontal="left" wrapText="1"/>
      <protection hidden="1"/>
    </xf>
    <xf numFmtId="0" fontId="12" fillId="0" borderId="0" xfId="0" applyFont="1" applyAlignment="1" applyProtection="1">
      <alignment horizontal="center"/>
      <protection hidden="1"/>
    </xf>
    <xf numFmtId="14" fontId="12" fillId="0" borderId="0" xfId="0" applyNumberFormat="1" applyFont="1" applyAlignment="1" applyProtection="1">
      <alignment horizontal="center"/>
      <protection hidden="1"/>
    </xf>
    <xf numFmtId="4" fontId="12" fillId="2" borderId="32" xfId="0" applyNumberFormat="1" applyFont="1" applyFill="1" applyBorder="1" applyAlignment="1" applyProtection="1">
      <alignment horizontal="center" wrapText="1"/>
      <protection hidden="1"/>
    </xf>
    <xf numFmtId="4" fontId="12" fillId="2" borderId="1" xfId="0" applyNumberFormat="1" applyFont="1" applyFill="1" applyBorder="1" applyAlignment="1" applyProtection="1">
      <alignment horizontal="center" wrapText="1"/>
      <protection hidden="1"/>
    </xf>
    <xf numFmtId="0" fontId="12" fillId="2" borderId="32" xfId="0" applyFont="1" applyFill="1" applyBorder="1" applyAlignment="1" applyProtection="1">
      <alignment horizontal="center" wrapText="1"/>
      <protection hidden="1"/>
    </xf>
    <xf numFmtId="0" fontId="12" fillId="2" borderId="1" xfId="0" applyFont="1" applyFill="1" applyBorder="1" applyAlignment="1" applyProtection="1">
      <alignment horizontal="center" wrapText="1"/>
      <protection hidden="1"/>
    </xf>
    <xf numFmtId="0" fontId="12" fillId="2" borderId="55" xfId="0" applyFont="1" applyFill="1" applyBorder="1" applyAlignment="1" applyProtection="1">
      <alignment horizontal="center" wrapText="1"/>
      <protection hidden="1"/>
    </xf>
    <xf numFmtId="0" fontId="12" fillId="2" borderId="47" xfId="0" applyFont="1" applyFill="1" applyBorder="1" applyAlignment="1" applyProtection="1">
      <alignment horizontal="center" wrapText="1"/>
      <protection hidden="1"/>
    </xf>
    <xf numFmtId="0" fontId="12" fillId="2" borderId="22" xfId="0" applyFont="1" applyFill="1" applyBorder="1" applyAlignment="1" applyProtection="1">
      <alignment horizontal="center" wrapText="1"/>
      <protection hidden="1"/>
    </xf>
    <xf numFmtId="0" fontId="12" fillId="2" borderId="56" xfId="0" applyFont="1" applyFill="1" applyBorder="1" applyAlignment="1" applyProtection="1">
      <alignment horizontal="center" wrapText="1"/>
      <protection hidden="1"/>
    </xf>
    <xf numFmtId="0" fontId="12" fillId="2" borderId="2" xfId="0" applyFont="1" applyFill="1" applyBorder="1" applyAlignment="1" applyProtection="1">
      <alignment horizontal="center" wrapText="1"/>
      <protection hidden="1"/>
    </xf>
    <xf numFmtId="0" fontId="12" fillId="2" borderId="16" xfId="0" applyFont="1" applyFill="1" applyBorder="1" applyAlignment="1" applyProtection="1">
      <alignment horizontal="center" wrapText="1"/>
      <protection hidden="1"/>
    </xf>
    <xf numFmtId="4" fontId="12" fillId="2" borderId="49" xfId="0" applyNumberFormat="1" applyFont="1" applyFill="1" applyBorder="1" applyAlignment="1" applyProtection="1">
      <alignment horizontal="center" wrapText="1"/>
      <protection hidden="1"/>
    </xf>
    <xf numFmtId="4" fontId="12" fillId="2" borderId="13" xfId="0" applyNumberFormat="1" applyFont="1" applyFill="1" applyBorder="1" applyAlignment="1" applyProtection="1">
      <alignment horizontal="center" wrapText="1"/>
      <protection hidden="1"/>
    </xf>
    <xf numFmtId="0" fontId="12" fillId="0" borderId="12" xfId="0" applyFont="1" applyBorder="1" applyAlignment="1" applyProtection="1">
      <alignment horizontal="left" wrapText="1"/>
      <protection hidden="1"/>
    </xf>
    <xf numFmtId="0" fontId="12" fillId="0" borderId="0" xfId="0" applyFont="1" applyBorder="1" applyAlignment="1" applyProtection="1">
      <alignment horizontal="left" wrapText="1"/>
      <protection hidden="1"/>
    </xf>
    <xf numFmtId="0" fontId="12" fillId="0" borderId="17" xfId="0" applyFont="1" applyBorder="1" applyAlignment="1" applyProtection="1">
      <alignment horizontal="left" wrapText="1"/>
      <protection hidden="1"/>
    </xf>
    <xf numFmtId="0" fontId="12" fillId="2" borderId="57" xfId="0" applyFont="1" applyFill="1" applyBorder="1" applyAlignment="1" applyProtection="1">
      <alignment horizontal="center" wrapText="1"/>
      <protection hidden="1"/>
    </xf>
    <xf numFmtId="0" fontId="12" fillId="2" borderId="25" xfId="0" applyFont="1" applyFill="1" applyBorder="1" applyAlignment="1" applyProtection="1">
      <alignment horizontal="center" wrapText="1"/>
      <protection hidden="1"/>
    </xf>
    <xf numFmtId="0" fontId="12" fillId="2" borderId="9" xfId="0" applyFont="1" applyFill="1" applyBorder="1" applyAlignment="1" applyProtection="1">
      <alignment horizontal="center" wrapText="1"/>
      <protection hidden="1"/>
    </xf>
    <xf numFmtId="0" fontId="12" fillId="2" borderId="32" xfId="0" applyFont="1" applyFill="1" applyBorder="1" applyAlignment="1" applyProtection="1">
      <alignment horizontal="center" vertical="center" wrapText="1"/>
      <protection hidden="1"/>
    </xf>
    <xf numFmtId="0" fontId="12" fillId="2" borderId="1" xfId="0" applyFont="1" applyFill="1" applyBorder="1" applyAlignment="1" applyProtection="1">
      <alignment horizontal="center" vertical="center" wrapText="1"/>
      <protection hidden="1"/>
    </xf>
    <xf numFmtId="2" fontId="12" fillId="2" borderId="60" xfId="2" applyNumberFormat="1" applyFont="1" applyFill="1" applyBorder="1" applyAlignment="1" applyProtection="1">
      <alignment horizontal="center" vertical="center"/>
      <protection hidden="1"/>
    </xf>
    <xf numFmtId="2" fontId="12" fillId="2" borderId="47" xfId="2" applyNumberFormat="1" applyFont="1" applyFill="1" applyBorder="1" applyAlignment="1" applyProtection="1">
      <alignment horizontal="center" vertical="center"/>
      <protection hidden="1"/>
    </xf>
    <xf numFmtId="2" fontId="12" fillId="2" borderId="61" xfId="2" applyNumberFormat="1" applyFont="1" applyFill="1" applyBorder="1" applyAlignment="1" applyProtection="1">
      <alignment horizontal="center" vertical="center"/>
      <protection hidden="1"/>
    </xf>
    <xf numFmtId="2" fontId="12" fillId="2" borderId="36" xfId="2" applyNumberFormat="1" applyFont="1" applyFill="1" applyBorder="1" applyAlignment="1" applyProtection="1">
      <alignment horizontal="center" vertical="center"/>
      <protection hidden="1"/>
    </xf>
    <xf numFmtId="2" fontId="12" fillId="2" borderId="2" xfId="2" applyNumberFormat="1" applyFont="1" applyFill="1" applyBorder="1" applyAlignment="1" applyProtection="1">
      <alignment horizontal="center" vertical="center"/>
      <protection hidden="1"/>
    </xf>
    <xf numFmtId="2" fontId="12" fillId="2" borderId="41" xfId="2" applyNumberFormat="1" applyFont="1" applyFill="1" applyBorder="1" applyAlignment="1" applyProtection="1">
      <alignment horizontal="center" vertical="center"/>
      <protection hidden="1"/>
    </xf>
    <xf numFmtId="40" fontId="12" fillId="0" borderId="58" xfId="2" applyNumberFormat="1" applyFont="1" applyFill="1" applyBorder="1" applyAlignment="1" applyProtection="1">
      <protection locked="0"/>
    </xf>
    <xf numFmtId="40" fontId="12" fillId="0" borderId="31" xfId="2" applyNumberFormat="1" applyFont="1" applyFill="1" applyBorder="1" applyAlignment="1" applyProtection="1">
      <protection locked="0"/>
    </xf>
    <xf numFmtId="40" fontId="12" fillId="0" borderId="54" xfId="2" applyNumberFormat="1" applyFont="1" applyFill="1" applyBorder="1" applyAlignment="1" applyProtection="1">
      <protection locked="0"/>
    </xf>
    <xf numFmtId="4" fontId="11" fillId="3" borderId="58" xfId="2" applyNumberFormat="1" applyFont="1" applyFill="1" applyBorder="1" applyAlignment="1" applyProtection="1">
      <alignment horizontal="center"/>
      <protection hidden="1"/>
    </xf>
    <xf numFmtId="4" fontId="11" fillId="3" borderId="31" xfId="2" applyNumberFormat="1" applyFont="1" applyFill="1" applyBorder="1" applyAlignment="1" applyProtection="1">
      <alignment horizontal="center"/>
      <protection hidden="1"/>
    </xf>
    <xf numFmtId="4" fontId="11" fillId="3" borderId="54" xfId="2" applyNumberFormat="1" applyFont="1" applyFill="1" applyBorder="1" applyAlignment="1" applyProtection="1">
      <alignment horizontal="center"/>
      <protection hidden="1"/>
    </xf>
    <xf numFmtId="40" fontId="11" fillId="3" borderId="58" xfId="2" applyNumberFormat="1" applyFont="1" applyFill="1" applyBorder="1" applyAlignment="1" applyProtection="1">
      <alignment horizontal="center"/>
      <protection hidden="1"/>
    </xf>
    <xf numFmtId="40" fontId="11" fillId="3" borderId="31" xfId="2" applyNumberFormat="1" applyFont="1" applyFill="1" applyBorder="1" applyAlignment="1" applyProtection="1">
      <alignment horizontal="center"/>
      <protection hidden="1"/>
    </xf>
    <xf numFmtId="40" fontId="11" fillId="3" borderId="54" xfId="2" applyNumberFormat="1" applyFont="1" applyFill="1" applyBorder="1" applyAlignment="1" applyProtection="1">
      <alignment horizontal="center"/>
      <protection hidden="1"/>
    </xf>
    <xf numFmtId="40" fontId="11" fillId="3" borderId="58" xfId="2" applyNumberFormat="1" applyFont="1" applyFill="1" applyBorder="1" applyAlignment="1" applyProtection="1">
      <alignment horizontal="center" vertical="top"/>
      <protection hidden="1"/>
    </xf>
    <xf numFmtId="40" fontId="11" fillId="3" borderId="31" xfId="2" applyNumberFormat="1" applyFont="1" applyFill="1" applyBorder="1" applyAlignment="1" applyProtection="1">
      <alignment horizontal="center" vertical="top"/>
      <protection hidden="1"/>
    </xf>
    <xf numFmtId="40" fontId="11" fillId="3" borderId="54" xfId="2" applyNumberFormat="1" applyFont="1" applyFill="1" applyBorder="1" applyAlignment="1" applyProtection="1">
      <alignment horizontal="center" vertical="top"/>
      <protection hidden="1"/>
    </xf>
    <xf numFmtId="40" fontId="11" fillId="0" borderId="58" xfId="2" applyNumberFormat="1" applyFont="1" applyFill="1" applyBorder="1" applyAlignment="1" applyProtection="1">
      <alignment vertical="top"/>
      <protection locked="0"/>
    </xf>
    <xf numFmtId="40" fontId="11" fillId="0" borderId="31" xfId="2" applyNumberFormat="1" applyFont="1" applyFill="1" applyBorder="1" applyAlignment="1" applyProtection="1">
      <alignment vertical="top"/>
      <protection locked="0"/>
    </xf>
    <xf numFmtId="40" fontId="11" fillId="0" borderId="54" xfId="2" applyNumberFormat="1" applyFont="1" applyFill="1" applyBorder="1" applyAlignment="1" applyProtection="1">
      <alignment vertical="top"/>
      <protection locked="0"/>
    </xf>
    <xf numFmtId="40" fontId="24" fillId="5" borderId="59" xfId="2" applyNumberFormat="1" applyFont="1" applyFill="1" applyBorder="1" applyAlignment="1" applyProtection="1">
      <alignment vertical="top"/>
      <protection hidden="1"/>
    </xf>
    <xf numFmtId="40" fontId="24" fillId="5" borderId="6" xfId="2" applyNumberFormat="1" applyFont="1" applyFill="1" applyBorder="1" applyAlignment="1" applyProtection="1">
      <alignment vertical="top"/>
      <protection hidden="1"/>
    </xf>
    <xf numFmtId="40" fontId="24" fillId="5" borderId="46" xfId="2" applyNumberFormat="1" applyFont="1" applyFill="1" applyBorder="1" applyAlignment="1" applyProtection="1">
      <alignment vertical="top"/>
      <protection hidden="1"/>
    </xf>
    <xf numFmtId="0" fontId="12" fillId="0" borderId="0" xfId="2" applyFont="1" applyAlignment="1" applyProtection="1">
      <alignment horizontal="center"/>
      <protection hidden="1"/>
    </xf>
    <xf numFmtId="2" fontId="12" fillId="2" borderId="32" xfId="2" applyNumberFormat="1" applyFont="1" applyFill="1" applyBorder="1" applyAlignment="1" applyProtection="1">
      <alignment horizontal="center" wrapText="1"/>
      <protection hidden="1"/>
    </xf>
    <xf numFmtId="2" fontId="12" fillId="2" borderId="1" xfId="2" applyNumberFormat="1" applyFont="1" applyFill="1" applyBorder="1" applyAlignment="1" applyProtection="1">
      <alignment horizontal="center" wrapText="1"/>
      <protection hidden="1"/>
    </xf>
    <xf numFmtId="0" fontId="12" fillId="2" borderId="55" xfId="2" applyFont="1" applyFill="1" applyBorder="1" applyAlignment="1" applyProtection="1">
      <alignment horizontal="center" vertical="center" wrapText="1"/>
      <protection hidden="1"/>
    </xf>
    <xf numFmtId="0" fontId="12" fillId="2" borderId="47" xfId="2" applyFont="1" applyFill="1" applyBorder="1" applyAlignment="1" applyProtection="1">
      <alignment horizontal="center" vertical="center" wrapText="1"/>
      <protection hidden="1"/>
    </xf>
    <xf numFmtId="0" fontId="12" fillId="2" borderId="56" xfId="2" applyFont="1" applyFill="1" applyBorder="1" applyAlignment="1" applyProtection="1">
      <alignment horizontal="center" vertical="center" wrapText="1"/>
      <protection hidden="1"/>
    </xf>
    <xf numFmtId="0" fontId="12" fillId="2" borderId="2" xfId="2" applyFont="1" applyFill="1" applyBorder="1" applyAlignment="1" applyProtection="1">
      <alignment horizontal="center" vertical="center" wrapText="1"/>
      <protection hidden="1"/>
    </xf>
    <xf numFmtId="38" fontId="12" fillId="0" borderId="3" xfId="2" applyNumberFormat="1" applyFont="1" applyBorder="1" applyAlignment="1" applyProtection="1">
      <alignment horizontal="center" wrapText="1"/>
      <protection hidden="1"/>
    </xf>
    <xf numFmtId="38" fontId="12" fillId="0" borderId="1" xfId="2" applyNumberFormat="1" applyFont="1" applyBorder="1" applyAlignment="1" applyProtection="1">
      <alignment horizontal="center" wrapText="1"/>
      <protection hidden="1"/>
    </xf>
    <xf numFmtId="40" fontId="12" fillId="0" borderId="58" xfId="2" applyNumberFormat="1" applyFont="1" applyBorder="1" applyAlignment="1" applyProtection="1">
      <alignment horizontal="center"/>
      <protection hidden="1"/>
    </xf>
    <xf numFmtId="40" fontId="12" fillId="0" borderId="31" xfId="2" applyNumberFormat="1" applyFont="1" applyBorder="1" applyAlignment="1" applyProtection="1">
      <alignment horizontal="center"/>
      <protection hidden="1"/>
    </xf>
    <xf numFmtId="40" fontId="12" fillId="0" borderId="54" xfId="2" applyNumberFormat="1" applyFont="1" applyBorder="1" applyAlignment="1" applyProtection="1">
      <alignment horizontal="center"/>
      <protection hidden="1"/>
    </xf>
    <xf numFmtId="2" fontId="12" fillId="2" borderId="32" xfId="2" applyNumberFormat="1" applyFont="1" applyFill="1" applyBorder="1" applyAlignment="1" applyProtection="1">
      <alignment horizontal="center" vertical="center" wrapText="1"/>
      <protection hidden="1"/>
    </xf>
    <xf numFmtId="2" fontId="12" fillId="2" borderId="1" xfId="2" applyNumberFormat="1" applyFont="1" applyFill="1" applyBorder="1" applyAlignment="1" applyProtection="1">
      <alignment horizontal="center" vertical="center" wrapText="1"/>
      <protection hidden="1"/>
    </xf>
    <xf numFmtId="40" fontId="22" fillId="0" borderId="58" xfId="2" applyNumberFormat="1" applyFont="1" applyFill="1" applyBorder="1" applyAlignment="1" applyProtection="1">
      <protection locked="0"/>
    </xf>
    <xf numFmtId="40" fontId="22" fillId="0" borderId="31" xfId="2" applyNumberFormat="1" applyFont="1" applyFill="1" applyBorder="1" applyAlignment="1" applyProtection="1">
      <protection locked="0"/>
    </xf>
    <xf numFmtId="40" fontId="22" fillId="0" borderId="54" xfId="2" applyNumberFormat="1" applyFont="1" applyFill="1" applyBorder="1" applyAlignment="1" applyProtection="1">
      <protection locked="0"/>
    </xf>
    <xf numFmtId="40" fontId="19" fillId="3" borderId="58" xfId="2" applyNumberFormat="1" applyFont="1" applyFill="1" applyBorder="1" applyAlignment="1" applyProtection="1">
      <alignment vertical="top"/>
      <protection hidden="1"/>
    </xf>
    <xf numFmtId="40" fontId="19" fillId="3" borderId="31" xfId="2" applyNumberFormat="1" applyFont="1" applyFill="1" applyBorder="1" applyAlignment="1" applyProtection="1">
      <alignment vertical="top"/>
      <protection hidden="1"/>
    </xf>
    <xf numFmtId="40" fontId="19" fillId="3" borderId="54" xfId="2" applyNumberFormat="1" applyFont="1" applyFill="1" applyBorder="1" applyAlignment="1" applyProtection="1">
      <alignment vertical="top"/>
      <protection hidden="1"/>
    </xf>
    <xf numFmtId="40" fontId="19" fillId="0" borderId="58" xfId="2" applyNumberFormat="1" applyFont="1" applyFill="1" applyBorder="1" applyAlignment="1" applyProtection="1">
      <alignment vertical="top"/>
      <protection locked="0"/>
    </xf>
    <xf numFmtId="40" fontId="19" fillId="0" borderId="31" xfId="2" applyNumberFormat="1" applyFont="1" applyFill="1" applyBorder="1" applyAlignment="1" applyProtection="1">
      <alignment vertical="top"/>
      <protection locked="0"/>
    </xf>
    <xf numFmtId="40" fontId="19" fillId="0" borderId="54" xfId="2" applyNumberFormat="1" applyFont="1" applyFill="1" applyBorder="1" applyAlignment="1" applyProtection="1">
      <alignment vertical="top"/>
      <protection locked="0"/>
    </xf>
    <xf numFmtId="40" fontId="19" fillId="3" borderId="58" xfId="2" applyNumberFormat="1" applyFont="1" applyFill="1" applyBorder="1" applyAlignment="1" applyProtection="1">
      <protection hidden="1"/>
    </xf>
    <xf numFmtId="40" fontId="19" fillId="3" borderId="31" xfId="2" applyNumberFormat="1" applyFont="1" applyFill="1" applyBorder="1" applyAlignment="1" applyProtection="1">
      <protection hidden="1"/>
    </xf>
    <xf numFmtId="40" fontId="19" fillId="3" borderId="54" xfId="2" applyNumberFormat="1" applyFont="1" applyFill="1" applyBorder="1" applyAlignment="1" applyProtection="1">
      <protection hidden="1"/>
    </xf>
    <xf numFmtId="40" fontId="11" fillId="3" borderId="58" xfId="2" applyNumberFormat="1" applyFont="1" applyFill="1" applyBorder="1" applyAlignment="1" applyProtection="1">
      <protection hidden="1"/>
    </xf>
    <xf numFmtId="40" fontId="11" fillId="3" borderId="31" xfId="2" applyNumberFormat="1" applyFont="1" applyFill="1" applyBorder="1" applyAlignment="1" applyProtection="1">
      <protection hidden="1"/>
    </xf>
    <xf numFmtId="40" fontId="11" fillId="3" borderId="54" xfId="2" applyNumberFormat="1" applyFont="1" applyFill="1" applyBorder="1" applyAlignment="1" applyProtection="1">
      <protection hidden="1"/>
    </xf>
    <xf numFmtId="0" fontId="12" fillId="2" borderId="57" xfId="2" applyFont="1" applyFill="1" applyBorder="1" applyAlignment="1" applyProtection="1">
      <alignment horizontal="center" vertical="center" wrapText="1"/>
      <protection hidden="1"/>
    </xf>
    <xf numFmtId="0" fontId="12" fillId="2" borderId="25" xfId="2" applyFont="1" applyFill="1" applyBorder="1" applyAlignment="1" applyProtection="1">
      <alignment horizontal="center" vertical="center" wrapText="1"/>
      <protection hidden="1"/>
    </xf>
    <xf numFmtId="0" fontId="12" fillId="2" borderId="9" xfId="2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2" borderId="42" xfId="2" applyFont="1" applyFill="1" applyBorder="1" applyAlignment="1" applyProtection="1">
      <alignment horizontal="center" wrapText="1"/>
      <protection hidden="1"/>
    </xf>
    <xf numFmtId="0" fontId="12" fillId="2" borderId="4" xfId="2" applyFont="1" applyFill="1" applyBorder="1" applyAlignment="1" applyProtection="1">
      <alignment horizontal="center" wrapText="1"/>
      <protection hidden="1"/>
    </xf>
    <xf numFmtId="0" fontId="12" fillId="2" borderId="24" xfId="2" applyFont="1" applyFill="1" applyBorder="1" applyAlignment="1" applyProtection="1">
      <alignment horizontal="center"/>
      <protection hidden="1"/>
    </xf>
    <xf numFmtId="0" fontId="12" fillId="2" borderId="25" xfId="2" applyFont="1" applyFill="1" applyBorder="1" applyAlignment="1" applyProtection="1">
      <alignment horizontal="center"/>
      <protection hidden="1"/>
    </xf>
    <xf numFmtId="0" fontId="12" fillId="2" borderId="48" xfId="2" applyFont="1" applyFill="1" applyBorder="1" applyAlignment="1" applyProtection="1">
      <alignment horizontal="center"/>
      <protection hidden="1"/>
    </xf>
    <xf numFmtId="0" fontId="12" fillId="2" borderId="31" xfId="2" applyFont="1" applyFill="1" applyBorder="1" applyAlignment="1" applyProtection="1">
      <alignment horizontal="center"/>
      <protection hidden="1"/>
    </xf>
    <xf numFmtId="0" fontId="12" fillId="2" borderId="54" xfId="2" applyFont="1" applyFill="1" applyBorder="1" applyAlignment="1" applyProtection="1">
      <alignment horizontal="center"/>
      <protection hidden="1"/>
    </xf>
    <xf numFmtId="0" fontId="12" fillId="2" borderId="15" xfId="2" applyFont="1" applyFill="1" applyBorder="1" applyAlignment="1" applyProtection="1">
      <alignment horizontal="center"/>
      <protection hidden="1"/>
    </xf>
    <xf numFmtId="0" fontId="12" fillId="2" borderId="62" xfId="2" applyFont="1" applyFill="1" applyBorder="1" applyAlignment="1" applyProtection="1">
      <alignment horizontal="center"/>
      <protection hidden="1"/>
    </xf>
    <xf numFmtId="0" fontId="12" fillId="2" borderId="10" xfId="2" applyFont="1" applyFill="1" applyBorder="1" applyAlignment="1" applyProtection="1">
      <alignment horizontal="center"/>
      <protection hidden="1"/>
    </xf>
    <xf numFmtId="0" fontId="12" fillId="2" borderId="4" xfId="0" applyFont="1" applyFill="1" applyBorder="1" applyAlignment="1" applyProtection="1">
      <alignment horizontal="center" wrapText="1"/>
      <protection hidden="1"/>
    </xf>
    <xf numFmtId="0" fontId="12" fillId="2" borderId="58" xfId="2" applyFont="1" applyFill="1" applyBorder="1" applyAlignment="1" applyProtection="1">
      <alignment horizontal="center" wrapText="1"/>
      <protection hidden="1"/>
    </xf>
    <xf numFmtId="0" fontId="12" fillId="2" borderId="15" xfId="2" applyFont="1" applyFill="1" applyBorder="1" applyAlignment="1" applyProtection="1">
      <alignment horizontal="center" wrapText="1"/>
      <protection hidden="1"/>
    </xf>
    <xf numFmtId="40" fontId="12" fillId="2" borderId="4" xfId="2" applyNumberFormat="1" applyFont="1" applyFill="1" applyBorder="1" applyAlignment="1" applyProtection="1">
      <alignment horizontal="center"/>
      <protection hidden="1"/>
    </xf>
    <xf numFmtId="40" fontId="12" fillId="2" borderId="14" xfId="2" applyNumberFormat="1" applyFont="1" applyFill="1" applyBorder="1" applyAlignment="1" applyProtection="1">
      <alignment horizontal="center"/>
      <protection hidden="1"/>
    </xf>
    <xf numFmtId="40" fontId="12" fillId="2" borderId="10" xfId="2" applyNumberFormat="1" applyFont="1" applyFill="1" applyBorder="1" applyAlignment="1" applyProtection="1">
      <alignment horizontal="center"/>
      <protection hidden="1"/>
    </xf>
    <xf numFmtId="40" fontId="12" fillId="2" borderId="11" xfId="2" applyNumberFormat="1" applyFont="1" applyFill="1" applyBorder="1" applyAlignment="1" applyProtection="1">
      <alignment horizontal="center"/>
      <protection hidden="1"/>
    </xf>
    <xf numFmtId="0" fontId="12" fillId="2" borderId="42" xfId="2" applyFont="1" applyFill="1" applyBorder="1" applyAlignment="1" applyProtection="1">
      <alignment horizontal="center"/>
      <protection hidden="1"/>
    </xf>
    <xf numFmtId="0" fontId="12" fillId="2" borderId="4" xfId="2" applyFont="1" applyFill="1" applyBorder="1" applyAlignment="1" applyProtection="1">
      <alignment horizontal="center"/>
      <protection hidden="1"/>
    </xf>
    <xf numFmtId="0" fontId="11" fillId="0" borderId="0" xfId="2" applyFont="1" applyBorder="1" applyAlignment="1" applyProtection="1">
      <alignment horizontal="center"/>
      <protection hidden="1"/>
    </xf>
    <xf numFmtId="0" fontId="11" fillId="0" borderId="17" xfId="2" applyFont="1" applyBorder="1" applyAlignment="1" applyProtection="1">
      <alignment horizontal="center"/>
      <protection hidden="1"/>
    </xf>
    <xf numFmtId="40" fontId="12" fillId="2" borderId="4" xfId="2" applyNumberFormat="1" applyFont="1" applyFill="1" applyBorder="1" applyAlignment="1" applyProtection="1">
      <alignment horizontal="center" wrapText="1"/>
      <protection hidden="1"/>
    </xf>
    <xf numFmtId="167" fontId="12" fillId="2" borderId="10" xfId="0" applyNumberFormat="1" applyFont="1" applyFill="1" applyBorder="1" applyAlignment="1" applyProtection="1">
      <alignment horizontal="center" wrapText="1"/>
      <protection hidden="1"/>
    </xf>
    <xf numFmtId="167" fontId="12" fillId="2" borderId="4" xfId="0" applyNumberFormat="1" applyFont="1" applyFill="1" applyBorder="1" applyAlignment="1" applyProtection="1">
      <alignment horizontal="center" wrapText="1"/>
      <protection hidden="1"/>
    </xf>
    <xf numFmtId="0" fontId="12" fillId="2" borderId="10" xfId="0" applyFont="1" applyFill="1" applyBorder="1" applyAlignment="1" applyProtection="1">
      <alignment horizontal="center" wrapText="1"/>
      <protection hidden="1"/>
    </xf>
    <xf numFmtId="0" fontId="12" fillId="0" borderId="24" xfId="2" applyFont="1" applyBorder="1" applyAlignment="1" applyProtection="1">
      <alignment horizontal="center" vertical="center"/>
      <protection hidden="1"/>
    </xf>
    <xf numFmtId="0" fontId="12" fillId="0" borderId="25" xfId="2" applyFont="1" applyBorder="1" applyAlignment="1" applyProtection="1">
      <alignment horizontal="center" vertical="center"/>
      <protection hidden="1"/>
    </xf>
    <xf numFmtId="0" fontId="12" fillId="0" borderId="48" xfId="2" applyFont="1" applyBorder="1" applyAlignment="1" applyProtection="1">
      <alignment horizontal="center" vertical="center"/>
      <protection hidden="1"/>
    </xf>
    <xf numFmtId="0" fontId="12" fillId="2" borderId="31" xfId="2" applyFont="1" applyFill="1" applyBorder="1" applyAlignment="1" applyProtection="1">
      <alignment horizontal="center" vertical="center"/>
      <protection hidden="1"/>
    </xf>
    <xf numFmtId="0" fontId="12" fillId="2" borderId="15" xfId="2" applyFont="1" applyFill="1" applyBorder="1" applyAlignment="1" applyProtection="1">
      <alignment horizontal="center" vertical="center"/>
      <protection hidden="1"/>
    </xf>
    <xf numFmtId="0" fontId="12" fillId="0" borderId="57" xfId="2" applyFont="1" applyBorder="1" applyAlignment="1" applyProtection="1">
      <alignment horizontal="center" vertical="center"/>
      <protection hidden="1"/>
    </xf>
    <xf numFmtId="0" fontId="12" fillId="2" borderId="4" xfId="2" applyFont="1" applyFill="1" applyBorder="1" applyAlignment="1" applyProtection="1">
      <alignment horizontal="center" vertical="center" wrapText="1"/>
      <protection hidden="1"/>
    </xf>
    <xf numFmtId="0" fontId="12" fillId="2" borderId="45" xfId="2" applyFont="1" applyFill="1" applyBorder="1" applyAlignment="1" applyProtection="1">
      <alignment horizontal="center" vertical="center" wrapText="1"/>
      <protection hidden="1"/>
    </xf>
    <xf numFmtId="0" fontId="12" fillId="2" borderId="28" xfId="2" applyFont="1" applyFill="1" applyBorder="1" applyAlignment="1" applyProtection="1">
      <alignment horizontal="center" vertical="center" wrapText="1"/>
      <protection hidden="1"/>
    </xf>
    <xf numFmtId="0" fontId="12" fillId="2" borderId="3" xfId="2" applyFont="1" applyFill="1" applyBorder="1" applyAlignment="1" applyProtection="1">
      <alignment horizontal="center" vertical="center" wrapText="1"/>
      <protection hidden="1"/>
    </xf>
    <xf numFmtId="0" fontId="12" fillId="2" borderId="1" xfId="2" applyFont="1" applyFill="1" applyBorder="1" applyAlignment="1" applyProtection="1">
      <alignment horizontal="center" vertical="center" wrapText="1"/>
      <protection hidden="1"/>
    </xf>
    <xf numFmtId="0" fontId="12" fillId="2" borderId="26" xfId="2" applyFont="1" applyFill="1" applyBorder="1" applyAlignment="1" applyProtection="1">
      <alignment horizontal="center" vertical="center" wrapText="1"/>
      <protection hidden="1"/>
    </xf>
    <xf numFmtId="0" fontId="12" fillId="2" borderId="16" xfId="2" applyFont="1" applyFill="1" applyBorder="1" applyAlignment="1" applyProtection="1">
      <alignment horizontal="center" vertical="center" wrapText="1"/>
      <protection hidden="1"/>
    </xf>
    <xf numFmtId="0" fontId="12" fillId="2" borderId="54" xfId="2" applyFont="1" applyFill="1" applyBorder="1" applyAlignment="1" applyProtection="1">
      <alignment horizontal="center" vertical="center"/>
      <protection hidden="1"/>
    </xf>
    <xf numFmtId="40" fontId="12" fillId="0" borderId="24" xfId="2" applyNumberFormat="1" applyFont="1" applyBorder="1" applyAlignment="1" applyProtection="1">
      <alignment horizontal="center"/>
      <protection hidden="1"/>
    </xf>
    <xf numFmtId="40" fontId="12" fillId="0" borderId="25" xfId="2" applyNumberFormat="1" applyFont="1" applyBorder="1" applyAlignment="1" applyProtection="1">
      <alignment horizontal="center"/>
      <protection hidden="1"/>
    </xf>
    <xf numFmtId="40" fontId="12" fillId="0" borderId="48" xfId="2" applyNumberFormat="1" applyFont="1" applyBorder="1" applyAlignment="1" applyProtection="1">
      <alignment horizontal="center"/>
      <protection hidden="1"/>
    </xf>
    <xf numFmtId="40" fontId="12" fillId="0" borderId="15" xfId="2" applyNumberFormat="1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 wrapText="1"/>
      <protection hidden="1"/>
    </xf>
    <xf numFmtId="0" fontId="12" fillId="0" borderId="4" xfId="0" applyFont="1" applyBorder="1" applyAlignment="1" applyProtection="1">
      <alignment horizontal="center" wrapText="1"/>
      <protection hidden="1"/>
    </xf>
    <xf numFmtId="0" fontId="12" fillId="2" borderId="5" xfId="0" applyFont="1" applyFill="1" applyBorder="1" applyAlignment="1" applyProtection="1">
      <alignment horizontal="center" wrapText="1"/>
      <protection hidden="1"/>
    </xf>
    <xf numFmtId="0" fontId="12" fillId="0" borderId="62" xfId="2" applyFont="1" applyBorder="1" applyAlignment="1" applyProtection="1">
      <alignment horizontal="center" wrapText="1"/>
      <protection hidden="1"/>
    </xf>
    <xf numFmtId="0" fontId="12" fillId="0" borderId="10" xfId="2" applyFont="1" applyBorder="1" applyAlignment="1" applyProtection="1">
      <alignment horizontal="center" wrapText="1"/>
      <protection hidden="1"/>
    </xf>
    <xf numFmtId="0" fontId="12" fillId="0" borderId="42" xfId="2" applyFont="1" applyBorder="1" applyAlignment="1" applyProtection="1">
      <alignment horizontal="center" wrapText="1"/>
      <protection hidden="1"/>
    </xf>
    <xf numFmtId="0" fontId="12" fillId="0" borderId="4" xfId="2" applyFont="1" applyBorder="1" applyAlignment="1" applyProtection="1">
      <alignment horizontal="center" wrapText="1"/>
      <protection hidden="1"/>
    </xf>
    <xf numFmtId="0" fontId="12" fillId="0" borderId="32" xfId="0" applyFont="1" applyBorder="1" applyAlignment="1" applyProtection="1">
      <alignment horizontal="center" wrapText="1"/>
      <protection hidden="1"/>
    </xf>
    <xf numFmtId="0" fontId="12" fillId="0" borderId="5" xfId="0" applyFont="1" applyBorder="1" applyAlignment="1" applyProtection="1">
      <alignment horizontal="center" wrapText="1"/>
      <protection hidden="1"/>
    </xf>
    <xf numFmtId="0" fontId="12" fillId="0" borderId="1" xfId="0" applyFont="1" applyBorder="1" applyAlignment="1" applyProtection="1">
      <alignment horizontal="center" wrapText="1"/>
      <protection hidden="1"/>
    </xf>
    <xf numFmtId="40" fontId="12" fillId="0" borderId="4" xfId="2" applyNumberFormat="1" applyFont="1" applyBorder="1" applyAlignment="1" applyProtection="1">
      <alignment horizontal="center"/>
      <protection hidden="1"/>
    </xf>
    <xf numFmtId="40" fontId="12" fillId="0" borderId="14" xfId="2" applyNumberFormat="1" applyFont="1" applyBorder="1" applyAlignment="1" applyProtection="1">
      <alignment horizontal="center"/>
      <protection hidden="1"/>
    </xf>
    <xf numFmtId="0" fontId="12" fillId="0" borderId="58" xfId="2" applyFont="1" applyBorder="1" applyAlignment="1" applyProtection="1">
      <alignment horizontal="center" wrapText="1"/>
      <protection hidden="1"/>
    </xf>
    <xf numFmtId="0" fontId="12" fillId="0" borderId="15" xfId="2" applyFont="1" applyBorder="1" applyAlignment="1" applyProtection="1">
      <alignment horizontal="center" wrapText="1"/>
      <protection hidden="1"/>
    </xf>
    <xf numFmtId="0" fontId="12" fillId="2" borderId="8" xfId="2" applyFont="1" applyFill="1" applyBorder="1" applyAlignment="1" applyProtection="1">
      <alignment horizontal="center"/>
      <protection hidden="1"/>
    </xf>
    <xf numFmtId="0" fontId="12" fillId="2" borderId="0" xfId="2" applyFont="1" applyFill="1" applyBorder="1" applyAlignment="1" applyProtection="1">
      <alignment horizontal="center"/>
      <protection hidden="1"/>
    </xf>
    <xf numFmtId="0" fontId="12" fillId="2" borderId="17" xfId="2" applyFont="1" applyFill="1" applyBorder="1" applyAlignment="1" applyProtection="1">
      <alignment horizontal="center"/>
      <protection hidden="1"/>
    </xf>
    <xf numFmtId="0" fontId="12" fillId="2" borderId="39" xfId="2" applyFont="1" applyFill="1" applyBorder="1" applyAlignment="1" applyProtection="1">
      <alignment horizontal="center"/>
      <protection hidden="1"/>
    </xf>
    <xf numFmtId="0" fontId="12" fillId="0" borderId="36" xfId="2" applyFont="1" applyBorder="1" applyAlignment="1" applyProtection="1">
      <alignment horizontal="center" wrapText="1"/>
      <protection hidden="1"/>
    </xf>
    <xf numFmtId="0" fontId="12" fillId="0" borderId="17" xfId="2" applyFont="1" applyBorder="1" applyAlignment="1" applyProtection="1">
      <alignment horizontal="center" wrapText="1"/>
      <protection hidden="1"/>
    </xf>
    <xf numFmtId="0" fontId="12" fillId="2" borderId="60" xfId="2" applyFont="1" applyFill="1" applyBorder="1" applyAlignment="1" applyProtection="1">
      <alignment horizontal="center"/>
      <protection hidden="1"/>
    </xf>
    <xf numFmtId="0" fontId="12" fillId="2" borderId="47" xfId="2" applyFont="1" applyFill="1" applyBorder="1" applyAlignment="1" applyProtection="1">
      <alignment horizontal="center"/>
      <protection hidden="1"/>
    </xf>
    <xf numFmtId="0" fontId="12" fillId="2" borderId="61" xfId="2" applyFont="1" applyFill="1" applyBorder="1" applyAlignment="1" applyProtection="1">
      <alignment horizontal="center"/>
      <protection hidden="1"/>
    </xf>
    <xf numFmtId="0" fontId="12" fillId="0" borderId="56" xfId="2" applyFont="1" applyBorder="1" applyAlignment="1" applyProtection="1">
      <alignment horizontal="center" wrapText="1"/>
      <protection hidden="1"/>
    </xf>
    <xf numFmtId="0" fontId="12" fillId="0" borderId="16" xfId="2" applyFont="1" applyBorder="1" applyAlignment="1" applyProtection="1">
      <alignment horizontal="center" wrapText="1"/>
      <protection hidden="1"/>
    </xf>
    <xf numFmtId="0" fontId="12" fillId="2" borderId="38" xfId="2" applyFont="1" applyFill="1" applyBorder="1" applyAlignment="1" applyProtection="1">
      <alignment horizontal="center" wrapText="1"/>
      <protection hidden="1"/>
    </xf>
    <xf numFmtId="0" fontId="12" fillId="2" borderId="5" xfId="2" applyFont="1" applyFill="1" applyBorder="1" applyAlignment="1" applyProtection="1">
      <alignment horizontal="center" wrapText="1"/>
      <protection hidden="1"/>
    </xf>
    <xf numFmtId="0" fontId="12" fillId="2" borderId="55" xfId="2" applyFont="1" applyFill="1" applyBorder="1" applyAlignment="1" applyProtection="1">
      <alignment horizontal="center" wrapText="1"/>
      <protection hidden="1"/>
    </xf>
    <xf numFmtId="0" fontId="12" fillId="2" borderId="47" xfId="2" applyFont="1" applyFill="1" applyBorder="1" applyAlignment="1" applyProtection="1">
      <alignment horizontal="center" wrapText="1"/>
      <protection hidden="1"/>
    </xf>
    <xf numFmtId="0" fontId="12" fillId="2" borderId="22" xfId="2" applyFont="1" applyFill="1" applyBorder="1" applyAlignment="1" applyProtection="1">
      <alignment horizontal="center" wrapText="1"/>
      <protection hidden="1"/>
    </xf>
    <xf numFmtId="0" fontId="12" fillId="2" borderId="12" xfId="2" applyFont="1" applyFill="1" applyBorder="1" applyAlignment="1" applyProtection="1">
      <alignment horizontal="center" wrapText="1"/>
      <protection hidden="1"/>
    </xf>
    <xf numFmtId="0" fontId="12" fillId="2" borderId="0" xfId="2" applyFont="1" applyFill="1" applyBorder="1" applyAlignment="1" applyProtection="1">
      <alignment horizontal="center" wrapText="1"/>
      <protection hidden="1"/>
    </xf>
    <xf numFmtId="0" fontId="12" fillId="2" borderId="17" xfId="2" applyFont="1" applyFill="1" applyBorder="1" applyAlignment="1" applyProtection="1">
      <alignment horizontal="center" wrapText="1"/>
      <protection hidden="1"/>
    </xf>
    <xf numFmtId="0" fontId="12" fillId="2" borderId="62" xfId="2" applyFont="1" applyFill="1" applyBorder="1" applyAlignment="1" applyProtection="1">
      <alignment horizontal="center" wrapText="1"/>
      <protection hidden="1"/>
    </xf>
    <xf numFmtId="0" fontId="12" fillId="2" borderId="10" xfId="2" applyFont="1" applyFill="1" applyBorder="1" applyAlignment="1" applyProtection="1">
      <alignment horizontal="center" wrapText="1"/>
      <protection hidden="1"/>
    </xf>
    <xf numFmtId="4" fontId="12" fillId="2" borderId="4" xfId="2" applyNumberFormat="1" applyFont="1" applyFill="1" applyBorder="1" applyAlignment="1" applyProtection="1">
      <alignment horizontal="center" wrapText="1"/>
      <protection hidden="1"/>
    </xf>
    <xf numFmtId="4" fontId="12" fillId="2" borderId="37" xfId="2" applyNumberFormat="1" applyFont="1" applyFill="1" applyBorder="1" applyAlignment="1" applyProtection="1">
      <alignment horizontal="center" wrapText="1"/>
      <protection hidden="1"/>
    </xf>
    <xf numFmtId="4" fontId="12" fillId="2" borderId="13" xfId="2" applyNumberFormat="1" applyFont="1" applyFill="1" applyBorder="1" applyAlignment="1" applyProtection="1">
      <alignment horizontal="center" wrapText="1"/>
      <protection hidden="1"/>
    </xf>
    <xf numFmtId="4" fontId="12" fillId="2" borderId="36" xfId="2" applyNumberFormat="1" applyFont="1" applyFill="1" applyBorder="1" applyAlignment="1" applyProtection="1">
      <alignment horizontal="center" wrapText="1"/>
      <protection hidden="1"/>
    </xf>
    <xf numFmtId="4" fontId="12" fillId="2" borderId="58" xfId="2" applyNumberFormat="1" applyFont="1" applyFill="1" applyBorder="1" applyAlignment="1" applyProtection="1">
      <alignment horizontal="center" wrapText="1"/>
      <protection hidden="1"/>
    </xf>
    <xf numFmtId="4" fontId="12" fillId="2" borderId="1" xfId="2" applyNumberFormat="1" applyFont="1" applyFill="1" applyBorder="1" applyAlignment="1" applyProtection="1">
      <alignment horizontal="center" wrapText="1"/>
      <protection hidden="1"/>
    </xf>
    <xf numFmtId="4" fontId="12" fillId="2" borderId="64" xfId="2" applyNumberFormat="1" applyFont="1" applyFill="1" applyBorder="1" applyAlignment="1" applyProtection="1">
      <alignment horizontal="center" wrapText="1"/>
      <protection hidden="1"/>
    </xf>
    <xf numFmtId="4" fontId="12" fillId="2" borderId="65" xfId="2" applyNumberFormat="1" applyFont="1" applyFill="1" applyBorder="1" applyAlignment="1" applyProtection="1">
      <alignment horizontal="center" wrapText="1"/>
      <protection hidden="1"/>
    </xf>
    <xf numFmtId="4" fontId="12" fillId="2" borderId="66" xfId="2" applyNumberFormat="1" applyFont="1" applyFill="1" applyBorder="1" applyAlignment="1" applyProtection="1">
      <alignment horizontal="center" wrapText="1"/>
      <protection hidden="1"/>
    </xf>
    <xf numFmtId="0" fontId="11" fillId="0" borderId="58" xfId="2" applyFont="1" applyBorder="1" applyAlignment="1" applyProtection="1">
      <alignment horizontal="left" wrapText="1"/>
      <protection hidden="1"/>
    </xf>
    <xf numFmtId="0" fontId="11" fillId="0" borderId="15" xfId="2" applyFont="1" applyBorder="1" applyAlignment="1" applyProtection="1">
      <alignment horizontal="left" wrapText="1"/>
      <protection hidden="1"/>
    </xf>
    <xf numFmtId="0" fontId="12" fillId="2" borderId="63" xfId="2" applyFont="1" applyFill="1" applyBorder="1" applyAlignment="1" applyProtection="1">
      <alignment horizontal="center" wrapText="1"/>
      <protection hidden="1"/>
    </xf>
    <xf numFmtId="0" fontId="12" fillId="2" borderId="1" xfId="2" applyFont="1" applyFill="1" applyBorder="1" applyAlignment="1" applyProtection="1">
      <alignment horizontal="center" wrapText="1"/>
      <protection hidden="1"/>
    </xf>
    <xf numFmtId="0" fontId="12" fillId="2" borderId="11" xfId="2" applyFont="1" applyFill="1" applyBorder="1" applyAlignment="1" applyProtection="1">
      <alignment horizontal="center"/>
      <protection hidden="1"/>
    </xf>
    <xf numFmtId="0" fontId="12" fillId="2" borderId="62" xfId="2" applyFont="1" applyFill="1" applyBorder="1" applyAlignment="1" applyProtection="1">
      <alignment horizontal="center" vertical="center" wrapText="1"/>
      <protection hidden="1"/>
    </xf>
    <xf numFmtId="0" fontId="12" fillId="2" borderId="10" xfId="2" applyFont="1" applyFill="1" applyBorder="1" applyAlignment="1" applyProtection="1">
      <alignment horizontal="center" vertical="center" wrapText="1"/>
      <protection hidden="1"/>
    </xf>
    <xf numFmtId="0" fontId="12" fillId="2" borderId="42" xfId="2" applyFont="1" applyFill="1" applyBorder="1" applyAlignment="1" applyProtection="1">
      <alignment horizontal="center" vertical="center" wrapText="1"/>
      <protection hidden="1"/>
    </xf>
    <xf numFmtId="4" fontId="12" fillId="2" borderId="11" xfId="2" applyNumberFormat="1" applyFont="1" applyFill="1" applyBorder="1" applyAlignment="1" applyProtection="1">
      <alignment horizontal="center" vertical="center" wrapText="1"/>
      <protection hidden="1"/>
    </xf>
    <xf numFmtId="4" fontId="12" fillId="2" borderId="14" xfId="2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fill" wrapText="1"/>
      <protection hidden="1"/>
    </xf>
    <xf numFmtId="0" fontId="11" fillId="0" borderId="17" xfId="0" applyFont="1" applyBorder="1" applyAlignment="1" applyProtection="1">
      <alignment horizontal="fill"/>
      <protection hidden="1"/>
    </xf>
    <xf numFmtId="0" fontId="11" fillId="0" borderId="0" xfId="0" applyFont="1" applyBorder="1" applyAlignment="1" applyProtection="1">
      <alignment horizontal="center"/>
      <protection hidden="1"/>
    </xf>
    <xf numFmtId="0" fontId="12" fillId="0" borderId="0" xfId="0" applyFont="1" applyBorder="1" applyAlignment="1" applyProtection="1">
      <alignment horizontal="center" wrapText="1"/>
      <protection hidden="1"/>
    </xf>
    <xf numFmtId="0" fontId="12" fillId="2" borderId="35" xfId="0" applyFont="1" applyFill="1" applyBorder="1" applyAlignment="1" applyProtection="1">
      <alignment horizontal="center" wrapText="1"/>
      <protection hidden="1"/>
    </xf>
    <xf numFmtId="4" fontId="12" fillId="2" borderId="5" xfId="0" applyNumberFormat="1" applyFont="1" applyFill="1" applyBorder="1" applyAlignment="1" applyProtection="1">
      <alignment horizontal="center" wrapText="1"/>
      <protection hidden="1"/>
    </xf>
    <xf numFmtId="4" fontId="12" fillId="2" borderId="35" xfId="0" applyNumberFormat="1" applyFont="1" applyFill="1" applyBorder="1" applyAlignment="1" applyProtection="1">
      <alignment horizontal="center" wrapText="1"/>
      <protection hidden="1"/>
    </xf>
    <xf numFmtId="4" fontId="12" fillId="7" borderId="24" xfId="0" applyNumberFormat="1" applyFont="1" applyFill="1" applyBorder="1" applyAlignment="1" applyProtection="1">
      <alignment horizontal="center" wrapText="1"/>
      <protection hidden="1"/>
    </xf>
    <xf numFmtId="4" fontId="12" fillId="7" borderId="9" xfId="0" applyNumberFormat="1" applyFont="1" applyFill="1" applyBorder="1" applyAlignment="1" applyProtection="1">
      <alignment horizontal="center" wrapText="1"/>
      <protection hidden="1"/>
    </xf>
    <xf numFmtId="0" fontId="11" fillId="0" borderId="0" xfId="0" applyFont="1" applyBorder="1" applyAlignment="1" applyProtection="1">
      <alignment horizontal="left"/>
      <protection hidden="1"/>
    </xf>
  </cellXfs>
  <cellStyles count="4">
    <cellStyle name="Normal" xfId="0" builtinId="0"/>
    <cellStyle name="Normal 2" xfId="1"/>
    <cellStyle name="Normal_Agritemplate" xfId="2"/>
    <cellStyle name="Normal_KB-SOLO-CNTINGNTlaine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92</xdr:row>
          <xdr:rowOff>19050</xdr:rowOff>
        </xdr:from>
        <xdr:to>
          <xdr:col>7</xdr:col>
          <xdr:colOff>447675</xdr:colOff>
          <xdr:row>92</xdr:row>
          <xdr:rowOff>133350</xdr:rowOff>
        </xdr:to>
        <xdr:sp macro="" textlink="">
          <xdr:nvSpPr>
            <xdr:cNvPr id="2054" name="Label_MN_a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11</xdr:row>
          <xdr:rowOff>28575</xdr:rowOff>
        </xdr:from>
        <xdr:to>
          <xdr:col>7</xdr:col>
          <xdr:colOff>485775</xdr:colOff>
          <xdr:row>11</xdr:row>
          <xdr:rowOff>133350</xdr:rowOff>
        </xdr:to>
        <xdr:sp macro="" textlink="">
          <xdr:nvSpPr>
            <xdr:cNvPr id="1033" name="Label_Sched_c1_a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17</xdr:row>
          <xdr:rowOff>28575</xdr:rowOff>
        </xdr:from>
        <xdr:to>
          <xdr:col>7</xdr:col>
          <xdr:colOff>485775</xdr:colOff>
          <xdr:row>17</xdr:row>
          <xdr:rowOff>142875</xdr:rowOff>
        </xdr:to>
        <xdr:sp macro="" textlink="">
          <xdr:nvSpPr>
            <xdr:cNvPr id="1034" name="Label_Sched_c1_b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11</xdr:row>
          <xdr:rowOff>9525</xdr:rowOff>
        </xdr:from>
        <xdr:to>
          <xdr:col>7</xdr:col>
          <xdr:colOff>457200</xdr:colOff>
          <xdr:row>11</xdr:row>
          <xdr:rowOff>142875</xdr:rowOff>
        </xdr:to>
        <xdr:sp macro="" textlink="">
          <xdr:nvSpPr>
            <xdr:cNvPr id="3073" name="Label_c2_a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11</xdr:row>
          <xdr:rowOff>19050</xdr:rowOff>
        </xdr:from>
        <xdr:to>
          <xdr:col>7</xdr:col>
          <xdr:colOff>552450</xdr:colOff>
          <xdr:row>11</xdr:row>
          <xdr:rowOff>180975</xdr:rowOff>
        </xdr:to>
        <xdr:sp macro="" textlink="">
          <xdr:nvSpPr>
            <xdr:cNvPr id="4097" name="Label_sch_c3_a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9525</xdr:rowOff>
        </xdr:from>
        <xdr:to>
          <xdr:col>7</xdr:col>
          <xdr:colOff>457200</xdr:colOff>
          <xdr:row>13</xdr:row>
          <xdr:rowOff>57150</xdr:rowOff>
        </xdr:to>
        <xdr:sp macro="" textlink="">
          <xdr:nvSpPr>
            <xdr:cNvPr id="5121" name="Label_C4_a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21</xdr:row>
          <xdr:rowOff>9525</xdr:rowOff>
        </xdr:from>
        <xdr:to>
          <xdr:col>7</xdr:col>
          <xdr:colOff>457200</xdr:colOff>
          <xdr:row>22</xdr:row>
          <xdr:rowOff>0</xdr:rowOff>
        </xdr:to>
        <xdr:sp macro="" textlink="">
          <xdr:nvSpPr>
            <xdr:cNvPr id="5122" name="Label_c4_b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31</xdr:row>
          <xdr:rowOff>9525</xdr:rowOff>
        </xdr:from>
        <xdr:to>
          <xdr:col>7</xdr:col>
          <xdr:colOff>457200</xdr:colOff>
          <xdr:row>33</xdr:row>
          <xdr:rowOff>57150</xdr:rowOff>
        </xdr:to>
        <xdr:sp macro="" textlink="">
          <xdr:nvSpPr>
            <xdr:cNvPr id="5123" name="Label_c4_c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11</xdr:row>
          <xdr:rowOff>19050</xdr:rowOff>
        </xdr:from>
        <xdr:to>
          <xdr:col>7</xdr:col>
          <xdr:colOff>438150</xdr:colOff>
          <xdr:row>13</xdr:row>
          <xdr:rowOff>0</xdr:rowOff>
        </xdr:to>
        <xdr:sp macro="" textlink="">
          <xdr:nvSpPr>
            <xdr:cNvPr id="6145" name="Label_d1_a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18</xdr:row>
          <xdr:rowOff>9525</xdr:rowOff>
        </xdr:from>
        <xdr:to>
          <xdr:col>7</xdr:col>
          <xdr:colOff>466725</xdr:colOff>
          <xdr:row>18</xdr:row>
          <xdr:rowOff>142875</xdr:rowOff>
        </xdr:to>
        <xdr:sp macro="" textlink="">
          <xdr:nvSpPr>
            <xdr:cNvPr id="6146" name="Label_d1_b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5</xdr:row>
          <xdr:rowOff>114300</xdr:rowOff>
        </xdr:from>
        <xdr:to>
          <xdr:col>2</xdr:col>
          <xdr:colOff>866775</xdr:colOff>
          <xdr:row>7</xdr:row>
          <xdr:rowOff>123825</xdr:rowOff>
        </xdr:to>
        <xdr:sp macro="" textlink="">
          <xdr:nvSpPr>
            <xdr:cNvPr id="7172" name="cmdNewSub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962025</xdr:colOff>
          <xdr:row>5</xdr:row>
          <xdr:rowOff>123825</xdr:rowOff>
        </xdr:from>
        <xdr:to>
          <xdr:col>2</xdr:col>
          <xdr:colOff>2505075</xdr:colOff>
          <xdr:row>7</xdr:row>
          <xdr:rowOff>123825</xdr:rowOff>
        </xdr:to>
        <xdr:sp macro="" textlink="">
          <xdr:nvSpPr>
            <xdr:cNvPr id="7173" name="cmdDelSub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918"/>
  <sheetViews>
    <sheetView workbookViewId="0"/>
  </sheetViews>
  <sheetFormatPr defaultRowHeight="15" x14ac:dyDescent="0.25"/>
  <cols>
    <col min="1" max="1" width="21.42578125" style="672" customWidth="1"/>
    <col min="2" max="16384" width="9.140625" style="672"/>
  </cols>
  <sheetData>
    <row r="1" spans="1:1" x14ac:dyDescent="0.25">
      <c r="A1" s="671" t="s">
        <v>1311</v>
      </c>
    </row>
    <row r="2" spans="1:1" x14ac:dyDescent="0.25">
      <c r="A2" s="673">
        <v>4</v>
      </c>
    </row>
    <row r="3" spans="1:1" x14ac:dyDescent="0.25">
      <c r="A3" s="673">
        <v>40656</v>
      </c>
    </row>
    <row r="4" spans="1:1" x14ac:dyDescent="0.25">
      <c r="A4" s="673">
        <v>99999</v>
      </c>
    </row>
    <row r="5" spans="1:1" x14ac:dyDescent="0.25">
      <c r="A5" s="673">
        <v>8</v>
      </c>
    </row>
    <row r="6" spans="1:1" x14ac:dyDescent="0.25">
      <c r="A6" s="673">
        <v>2017</v>
      </c>
    </row>
    <row r="7" spans="1:1" x14ac:dyDescent="0.25">
      <c r="A7" s="673">
        <v>20170930</v>
      </c>
    </row>
    <row r="8" spans="1:1" x14ac:dyDescent="0.25">
      <c r="A8" s="673">
        <v>0</v>
      </c>
    </row>
    <row r="9" spans="1:1" x14ac:dyDescent="0.25">
      <c r="A9" s="673">
        <v>0</v>
      </c>
    </row>
    <row r="50" spans="1:1" x14ac:dyDescent="0.25">
      <c r="A50" s="674" t="s">
        <v>754</v>
      </c>
    </row>
    <row r="51" spans="1:1" x14ac:dyDescent="0.25">
      <c r="A51" s="672" t="s">
        <v>1098</v>
      </c>
    </row>
    <row r="52" spans="1:1" x14ac:dyDescent="0.25">
      <c r="A52" s="672" t="s">
        <v>1305</v>
      </c>
    </row>
    <row r="53" spans="1:1" x14ac:dyDescent="0.25">
      <c r="A53" s="672" t="s">
        <v>1099</v>
      </c>
    </row>
    <row r="54" spans="1:1" x14ac:dyDescent="0.25">
      <c r="A54" s="672" t="s">
        <v>755</v>
      </c>
    </row>
    <row r="55" spans="1:1" x14ac:dyDescent="0.25">
      <c r="A55" s="672" t="s">
        <v>756</v>
      </c>
    </row>
    <row r="56" spans="1:1" x14ac:dyDescent="0.25">
      <c r="A56" s="672" t="s">
        <v>261</v>
      </c>
    </row>
    <row r="57" spans="1:1" x14ac:dyDescent="0.25">
      <c r="A57" s="672" t="s">
        <v>262</v>
      </c>
    </row>
    <row r="58" spans="1:1" x14ac:dyDescent="0.25">
      <c r="A58" s="672" t="s">
        <v>390</v>
      </c>
    </row>
    <row r="59" spans="1:1" x14ac:dyDescent="0.25">
      <c r="A59" s="672" t="s">
        <v>757</v>
      </c>
    </row>
    <row r="60" spans="1:1" x14ac:dyDescent="0.25">
      <c r="A60" s="672" t="s">
        <v>263</v>
      </c>
    </row>
    <row r="61" spans="1:1" x14ac:dyDescent="0.25">
      <c r="A61" s="672" t="s">
        <v>264</v>
      </c>
    </row>
    <row r="62" spans="1:1" x14ac:dyDescent="0.25">
      <c r="A62" s="672" t="s">
        <v>265</v>
      </c>
    </row>
    <row r="63" spans="1:1" x14ac:dyDescent="0.25">
      <c r="A63" s="672" t="s">
        <v>266</v>
      </c>
    </row>
    <row r="64" spans="1:1" x14ac:dyDescent="0.25">
      <c r="A64" s="672" t="s">
        <v>758</v>
      </c>
    </row>
    <row r="65" spans="1:1" x14ac:dyDescent="0.25">
      <c r="A65" s="672" t="s">
        <v>267</v>
      </c>
    </row>
    <row r="66" spans="1:1" x14ac:dyDescent="0.25">
      <c r="A66" s="672" t="s">
        <v>268</v>
      </c>
    </row>
    <row r="67" spans="1:1" x14ac:dyDescent="0.25">
      <c r="A67" s="672" t="s">
        <v>759</v>
      </c>
    </row>
    <row r="68" spans="1:1" x14ac:dyDescent="0.25">
      <c r="A68" s="672" t="s">
        <v>269</v>
      </c>
    </row>
    <row r="69" spans="1:1" x14ac:dyDescent="0.25">
      <c r="A69" s="672" t="s">
        <v>270</v>
      </c>
    </row>
    <row r="70" spans="1:1" x14ac:dyDescent="0.25">
      <c r="A70" s="672" t="s">
        <v>760</v>
      </c>
    </row>
    <row r="71" spans="1:1" x14ac:dyDescent="0.25">
      <c r="A71" s="672" t="s">
        <v>271</v>
      </c>
    </row>
    <row r="72" spans="1:1" x14ac:dyDescent="0.25">
      <c r="A72" s="672" t="s">
        <v>272</v>
      </c>
    </row>
    <row r="73" spans="1:1" x14ac:dyDescent="0.25">
      <c r="A73" s="672" t="s">
        <v>273</v>
      </c>
    </row>
    <row r="74" spans="1:1" x14ac:dyDescent="0.25">
      <c r="A74" s="672" t="s">
        <v>274</v>
      </c>
    </row>
    <row r="75" spans="1:1" x14ac:dyDescent="0.25">
      <c r="A75" s="672" t="s">
        <v>761</v>
      </c>
    </row>
    <row r="76" spans="1:1" x14ac:dyDescent="0.25">
      <c r="A76" s="672" t="s">
        <v>275</v>
      </c>
    </row>
    <row r="77" spans="1:1" x14ac:dyDescent="0.25">
      <c r="A77" s="672" t="s">
        <v>276</v>
      </c>
    </row>
    <row r="78" spans="1:1" x14ac:dyDescent="0.25">
      <c r="A78" s="672" t="s">
        <v>762</v>
      </c>
    </row>
    <row r="79" spans="1:1" x14ac:dyDescent="0.25">
      <c r="A79" s="672" t="s">
        <v>541</v>
      </c>
    </row>
    <row r="80" spans="1:1" x14ac:dyDescent="0.25">
      <c r="A80" s="672" t="s">
        <v>763</v>
      </c>
    </row>
    <row r="81" spans="1:1" x14ac:dyDescent="0.25">
      <c r="A81" s="672" t="s">
        <v>391</v>
      </c>
    </row>
    <row r="82" spans="1:1" x14ac:dyDescent="0.25">
      <c r="A82" s="672" t="s">
        <v>764</v>
      </c>
    </row>
    <row r="83" spans="1:1" x14ac:dyDescent="0.25">
      <c r="A83" s="672" t="s">
        <v>277</v>
      </c>
    </row>
    <row r="84" spans="1:1" x14ac:dyDescent="0.25">
      <c r="A84" s="672" t="s">
        <v>765</v>
      </c>
    </row>
    <row r="85" spans="1:1" x14ac:dyDescent="0.25">
      <c r="A85" s="672" t="s">
        <v>278</v>
      </c>
    </row>
    <row r="86" spans="1:1" x14ac:dyDescent="0.25">
      <c r="A86" s="672" t="s">
        <v>279</v>
      </c>
    </row>
    <row r="87" spans="1:1" x14ac:dyDescent="0.25">
      <c r="A87" s="672" t="s">
        <v>280</v>
      </c>
    </row>
    <row r="88" spans="1:1" x14ac:dyDescent="0.25">
      <c r="A88" s="672" t="s">
        <v>281</v>
      </c>
    </row>
    <row r="89" spans="1:1" x14ac:dyDescent="0.25">
      <c r="A89" s="672" t="s">
        <v>282</v>
      </c>
    </row>
    <row r="90" spans="1:1" x14ac:dyDescent="0.25">
      <c r="A90" s="672" t="s">
        <v>283</v>
      </c>
    </row>
    <row r="91" spans="1:1" x14ac:dyDescent="0.25">
      <c r="A91" s="672" t="s">
        <v>284</v>
      </c>
    </row>
    <row r="92" spans="1:1" x14ac:dyDescent="0.25">
      <c r="A92" s="672" t="s">
        <v>766</v>
      </c>
    </row>
    <row r="93" spans="1:1" x14ac:dyDescent="0.25">
      <c r="A93" s="672" t="s">
        <v>776</v>
      </c>
    </row>
    <row r="94" spans="1:1" x14ac:dyDescent="0.25">
      <c r="A94" s="672" t="s">
        <v>777</v>
      </c>
    </row>
    <row r="95" spans="1:1" x14ac:dyDescent="0.25">
      <c r="A95" s="672" t="s">
        <v>286</v>
      </c>
    </row>
    <row r="96" spans="1:1" x14ac:dyDescent="0.25">
      <c r="A96" s="672" t="s">
        <v>287</v>
      </c>
    </row>
    <row r="97" spans="1:1" x14ac:dyDescent="0.25">
      <c r="A97" s="672" t="s">
        <v>288</v>
      </c>
    </row>
    <row r="98" spans="1:1" x14ac:dyDescent="0.25">
      <c r="A98" s="672" t="s">
        <v>778</v>
      </c>
    </row>
    <row r="99" spans="1:1" x14ac:dyDescent="0.25">
      <c r="A99" s="672" t="s">
        <v>1308</v>
      </c>
    </row>
    <row r="100" spans="1:1" x14ac:dyDescent="0.25">
      <c r="A100" s="672" t="s">
        <v>289</v>
      </c>
    </row>
    <row r="101" spans="1:1" x14ac:dyDescent="0.25">
      <c r="A101" s="672" t="s">
        <v>290</v>
      </c>
    </row>
    <row r="102" spans="1:1" x14ac:dyDescent="0.25">
      <c r="A102" s="672" t="s">
        <v>291</v>
      </c>
    </row>
    <row r="103" spans="1:1" x14ac:dyDescent="0.25">
      <c r="A103" s="672" t="s">
        <v>292</v>
      </c>
    </row>
    <row r="104" spans="1:1" x14ac:dyDescent="0.25">
      <c r="A104" s="672" t="s">
        <v>293</v>
      </c>
    </row>
    <row r="105" spans="1:1" x14ac:dyDescent="0.25">
      <c r="A105" s="672" t="s">
        <v>779</v>
      </c>
    </row>
    <row r="106" spans="1:1" x14ac:dyDescent="0.25">
      <c r="A106" s="672" t="s">
        <v>294</v>
      </c>
    </row>
    <row r="107" spans="1:1" x14ac:dyDescent="0.25">
      <c r="A107" s="672" t="s">
        <v>295</v>
      </c>
    </row>
    <row r="108" spans="1:1" x14ac:dyDescent="0.25">
      <c r="A108" s="672" t="s">
        <v>296</v>
      </c>
    </row>
    <row r="109" spans="1:1" x14ac:dyDescent="0.25">
      <c r="A109" s="672" t="s">
        <v>297</v>
      </c>
    </row>
    <row r="110" spans="1:1" x14ac:dyDescent="0.25">
      <c r="A110" s="672" t="s">
        <v>298</v>
      </c>
    </row>
    <row r="111" spans="1:1" x14ac:dyDescent="0.25">
      <c r="A111" s="672" t="s">
        <v>299</v>
      </c>
    </row>
    <row r="112" spans="1:1" x14ac:dyDescent="0.25">
      <c r="A112" s="672" t="s">
        <v>300</v>
      </c>
    </row>
    <row r="113" spans="1:1" x14ac:dyDescent="0.25">
      <c r="A113" s="672" t="s">
        <v>301</v>
      </c>
    </row>
    <row r="114" spans="1:1" x14ac:dyDescent="0.25">
      <c r="A114" s="672" t="s">
        <v>740</v>
      </c>
    </row>
    <row r="115" spans="1:1" x14ac:dyDescent="0.25">
      <c r="A115" s="672" t="s">
        <v>302</v>
      </c>
    </row>
    <row r="116" spans="1:1" x14ac:dyDescent="0.25">
      <c r="A116" s="672" t="s">
        <v>303</v>
      </c>
    </row>
    <row r="117" spans="1:1" x14ac:dyDescent="0.25">
      <c r="A117" s="672" t="s">
        <v>780</v>
      </c>
    </row>
    <row r="118" spans="1:1" x14ac:dyDescent="0.25">
      <c r="A118" s="672" t="s">
        <v>160</v>
      </c>
    </row>
    <row r="119" spans="1:1" x14ac:dyDescent="0.25">
      <c r="A119" s="672" t="s">
        <v>304</v>
      </c>
    </row>
    <row r="120" spans="1:1" x14ac:dyDescent="0.25">
      <c r="A120" s="672" t="s">
        <v>305</v>
      </c>
    </row>
    <row r="121" spans="1:1" x14ac:dyDescent="0.25">
      <c r="A121" s="672" t="s">
        <v>306</v>
      </c>
    </row>
    <row r="122" spans="1:1" x14ac:dyDescent="0.25">
      <c r="A122" s="672" t="s">
        <v>307</v>
      </c>
    </row>
    <row r="123" spans="1:1" x14ac:dyDescent="0.25">
      <c r="A123" s="672" t="s">
        <v>308</v>
      </c>
    </row>
    <row r="124" spans="1:1" x14ac:dyDescent="0.25">
      <c r="A124" s="672" t="s">
        <v>781</v>
      </c>
    </row>
    <row r="125" spans="1:1" x14ac:dyDescent="0.25">
      <c r="A125" s="672" t="s">
        <v>309</v>
      </c>
    </row>
    <row r="126" spans="1:1" x14ac:dyDescent="0.25">
      <c r="A126" s="672" t="s">
        <v>310</v>
      </c>
    </row>
    <row r="127" spans="1:1" x14ac:dyDescent="0.25">
      <c r="A127" s="672" t="s">
        <v>782</v>
      </c>
    </row>
    <row r="128" spans="1:1" x14ac:dyDescent="0.25">
      <c r="A128" s="672" t="s">
        <v>311</v>
      </c>
    </row>
    <row r="129" spans="1:1" x14ac:dyDescent="0.25">
      <c r="A129" s="672" t="s">
        <v>312</v>
      </c>
    </row>
    <row r="130" spans="1:1" x14ac:dyDescent="0.25">
      <c r="A130" s="672" t="s">
        <v>313</v>
      </c>
    </row>
    <row r="131" spans="1:1" x14ac:dyDescent="0.25">
      <c r="A131" s="672" t="s">
        <v>314</v>
      </c>
    </row>
    <row r="132" spans="1:1" x14ac:dyDescent="0.25">
      <c r="A132" s="672" t="s">
        <v>315</v>
      </c>
    </row>
    <row r="133" spans="1:1" x14ac:dyDescent="0.25">
      <c r="A133" s="672" t="s">
        <v>316</v>
      </c>
    </row>
    <row r="134" spans="1:1" x14ac:dyDescent="0.25">
      <c r="A134" s="672" t="s">
        <v>317</v>
      </c>
    </row>
    <row r="135" spans="1:1" x14ac:dyDescent="0.25">
      <c r="A135" s="672" t="s">
        <v>783</v>
      </c>
    </row>
    <row r="136" spans="1:1" x14ac:dyDescent="0.25">
      <c r="A136" s="672" t="s">
        <v>784</v>
      </c>
    </row>
    <row r="137" spans="1:1" x14ac:dyDescent="0.25">
      <c r="A137" s="672" t="s">
        <v>318</v>
      </c>
    </row>
    <row r="138" spans="1:1" x14ac:dyDescent="0.25">
      <c r="A138" s="672" t="s">
        <v>319</v>
      </c>
    </row>
    <row r="139" spans="1:1" x14ac:dyDescent="0.25">
      <c r="A139" s="672" t="s">
        <v>320</v>
      </c>
    </row>
    <row r="140" spans="1:1" x14ac:dyDescent="0.25">
      <c r="A140" s="672" t="s">
        <v>321</v>
      </c>
    </row>
    <row r="141" spans="1:1" x14ac:dyDescent="0.25">
      <c r="A141" s="672" t="s">
        <v>322</v>
      </c>
    </row>
    <row r="142" spans="1:1" x14ac:dyDescent="0.25">
      <c r="A142" s="672" t="s">
        <v>323</v>
      </c>
    </row>
    <row r="143" spans="1:1" x14ac:dyDescent="0.25">
      <c r="A143" s="672" t="s">
        <v>324</v>
      </c>
    </row>
    <row r="144" spans="1:1" x14ac:dyDescent="0.25">
      <c r="A144" s="672" t="s">
        <v>325</v>
      </c>
    </row>
    <row r="145" spans="1:1" x14ac:dyDescent="0.25">
      <c r="A145" s="672" t="s">
        <v>785</v>
      </c>
    </row>
    <row r="146" spans="1:1" x14ac:dyDescent="0.25">
      <c r="A146" s="672" t="s">
        <v>326</v>
      </c>
    </row>
    <row r="147" spans="1:1" x14ac:dyDescent="0.25">
      <c r="A147" s="672" t="s">
        <v>327</v>
      </c>
    </row>
    <row r="148" spans="1:1" x14ac:dyDescent="0.25">
      <c r="A148" s="672" t="s">
        <v>786</v>
      </c>
    </row>
    <row r="149" spans="1:1" x14ac:dyDescent="0.25">
      <c r="A149" s="672" t="s">
        <v>392</v>
      </c>
    </row>
    <row r="150" spans="1:1" x14ac:dyDescent="0.25">
      <c r="A150" s="672" t="s">
        <v>328</v>
      </c>
    </row>
    <row r="151" spans="1:1" x14ac:dyDescent="0.25">
      <c r="A151" s="672" t="s">
        <v>393</v>
      </c>
    </row>
    <row r="152" spans="1:1" x14ac:dyDescent="0.25">
      <c r="A152" s="672" t="s">
        <v>329</v>
      </c>
    </row>
    <row r="153" spans="1:1" x14ac:dyDescent="0.25">
      <c r="A153" s="672" t="s">
        <v>330</v>
      </c>
    </row>
    <row r="154" spans="1:1" x14ac:dyDescent="0.25">
      <c r="A154" s="672" t="s">
        <v>331</v>
      </c>
    </row>
    <row r="155" spans="1:1" x14ac:dyDescent="0.25">
      <c r="A155" s="672" t="s">
        <v>332</v>
      </c>
    </row>
    <row r="156" spans="1:1" x14ac:dyDescent="0.25">
      <c r="A156" s="672" t="s">
        <v>787</v>
      </c>
    </row>
    <row r="157" spans="1:1" x14ac:dyDescent="0.25">
      <c r="A157" s="672" t="s">
        <v>333</v>
      </c>
    </row>
    <row r="158" spans="1:1" x14ac:dyDescent="0.25">
      <c r="A158" s="672" t="s">
        <v>334</v>
      </c>
    </row>
    <row r="159" spans="1:1" x14ac:dyDescent="0.25">
      <c r="A159" s="672" t="s">
        <v>335</v>
      </c>
    </row>
    <row r="160" spans="1:1" x14ac:dyDescent="0.25">
      <c r="A160" s="672" t="s">
        <v>336</v>
      </c>
    </row>
    <row r="161" spans="1:1" x14ac:dyDescent="0.25">
      <c r="A161" s="672" t="s">
        <v>337</v>
      </c>
    </row>
    <row r="162" spans="1:1" x14ac:dyDescent="0.25">
      <c r="A162" s="672" t="s">
        <v>338</v>
      </c>
    </row>
    <row r="163" spans="1:1" x14ac:dyDescent="0.25">
      <c r="A163" s="672" t="s">
        <v>339</v>
      </c>
    </row>
    <row r="164" spans="1:1" x14ac:dyDescent="0.25">
      <c r="A164" s="672" t="s">
        <v>342</v>
      </c>
    </row>
    <row r="165" spans="1:1" x14ac:dyDescent="0.25">
      <c r="A165" s="672" t="s">
        <v>343</v>
      </c>
    </row>
    <row r="166" spans="1:1" x14ac:dyDescent="0.25">
      <c r="A166" s="672" t="s">
        <v>788</v>
      </c>
    </row>
    <row r="167" spans="1:1" x14ac:dyDescent="0.25">
      <c r="A167" s="672" t="s">
        <v>344</v>
      </c>
    </row>
    <row r="168" spans="1:1" x14ac:dyDescent="0.25">
      <c r="A168" s="672" t="s">
        <v>345</v>
      </c>
    </row>
    <row r="169" spans="1:1" x14ac:dyDescent="0.25">
      <c r="A169" s="672" t="s">
        <v>346</v>
      </c>
    </row>
    <row r="170" spans="1:1" x14ac:dyDescent="0.25">
      <c r="A170" s="672" t="s">
        <v>347</v>
      </c>
    </row>
    <row r="171" spans="1:1" x14ac:dyDescent="0.25">
      <c r="A171" s="672" t="s">
        <v>348</v>
      </c>
    </row>
    <row r="172" spans="1:1" x14ac:dyDescent="0.25">
      <c r="A172" s="672" t="s">
        <v>349</v>
      </c>
    </row>
    <row r="173" spans="1:1" x14ac:dyDescent="0.25">
      <c r="A173" s="672" t="s">
        <v>350</v>
      </c>
    </row>
    <row r="174" spans="1:1" x14ac:dyDescent="0.25">
      <c r="A174" s="672" t="s">
        <v>351</v>
      </c>
    </row>
    <row r="175" spans="1:1" x14ac:dyDescent="0.25">
      <c r="A175" s="672" t="s">
        <v>352</v>
      </c>
    </row>
    <row r="176" spans="1:1" x14ac:dyDescent="0.25">
      <c r="A176" s="672" t="s">
        <v>353</v>
      </c>
    </row>
    <row r="177" spans="1:1" x14ac:dyDescent="0.25">
      <c r="A177" s="672" t="s">
        <v>354</v>
      </c>
    </row>
    <row r="178" spans="1:1" x14ac:dyDescent="0.25">
      <c r="A178" s="672" t="s">
        <v>741</v>
      </c>
    </row>
    <row r="179" spans="1:1" x14ac:dyDescent="0.25">
      <c r="A179" s="672" t="s">
        <v>394</v>
      </c>
    </row>
    <row r="180" spans="1:1" x14ac:dyDescent="0.25">
      <c r="A180" s="672" t="s">
        <v>355</v>
      </c>
    </row>
    <row r="181" spans="1:1" x14ac:dyDescent="0.25">
      <c r="A181" s="672" t="s">
        <v>395</v>
      </c>
    </row>
    <row r="182" spans="1:1" x14ac:dyDescent="0.25">
      <c r="A182" s="672" t="s">
        <v>356</v>
      </c>
    </row>
    <row r="183" spans="1:1" x14ac:dyDescent="0.25">
      <c r="A183" s="672" t="s">
        <v>357</v>
      </c>
    </row>
    <row r="184" spans="1:1" x14ac:dyDescent="0.25">
      <c r="A184" s="672" t="s">
        <v>358</v>
      </c>
    </row>
    <row r="185" spans="1:1" x14ac:dyDescent="0.25">
      <c r="A185" s="672" t="s">
        <v>359</v>
      </c>
    </row>
    <row r="186" spans="1:1" x14ac:dyDescent="0.25">
      <c r="A186" s="672" t="s">
        <v>360</v>
      </c>
    </row>
    <row r="187" spans="1:1" x14ac:dyDescent="0.25">
      <c r="A187" s="672" t="s">
        <v>362</v>
      </c>
    </row>
    <row r="188" spans="1:1" x14ac:dyDescent="0.25">
      <c r="A188" s="672" t="s">
        <v>363</v>
      </c>
    </row>
    <row r="189" spans="1:1" x14ac:dyDescent="0.25">
      <c r="A189" s="672" t="s">
        <v>364</v>
      </c>
    </row>
    <row r="190" spans="1:1" x14ac:dyDescent="0.25">
      <c r="A190" s="672" t="s">
        <v>367</v>
      </c>
    </row>
    <row r="191" spans="1:1" x14ac:dyDescent="0.25">
      <c r="A191" s="672" t="s">
        <v>368</v>
      </c>
    </row>
    <row r="192" spans="1:1" x14ac:dyDescent="0.25">
      <c r="A192" s="672" t="s">
        <v>369</v>
      </c>
    </row>
    <row r="193" spans="1:1" x14ac:dyDescent="0.25">
      <c r="A193" s="672" t="s">
        <v>370</v>
      </c>
    </row>
    <row r="194" spans="1:1" x14ac:dyDescent="0.25">
      <c r="A194" s="672" t="s">
        <v>371</v>
      </c>
    </row>
    <row r="195" spans="1:1" x14ac:dyDescent="0.25">
      <c r="A195" s="672" t="s">
        <v>372</v>
      </c>
    </row>
    <row r="196" spans="1:1" x14ac:dyDescent="0.25">
      <c r="A196" s="672" t="s">
        <v>373</v>
      </c>
    </row>
    <row r="197" spans="1:1" x14ac:dyDescent="0.25">
      <c r="A197" s="672" t="s">
        <v>374</v>
      </c>
    </row>
    <row r="198" spans="1:1" x14ac:dyDescent="0.25">
      <c r="A198" s="672" t="s">
        <v>375</v>
      </c>
    </row>
    <row r="199" spans="1:1" x14ac:dyDescent="0.25">
      <c r="A199" s="672" t="s">
        <v>376</v>
      </c>
    </row>
    <row r="200" spans="1:1" x14ac:dyDescent="0.25">
      <c r="A200" s="672" t="s">
        <v>377</v>
      </c>
    </row>
    <row r="201" spans="1:1" x14ac:dyDescent="0.25">
      <c r="A201" s="672" t="s">
        <v>378</v>
      </c>
    </row>
    <row r="202" spans="1:1" x14ac:dyDescent="0.25">
      <c r="A202" s="672" t="s">
        <v>379</v>
      </c>
    </row>
    <row r="203" spans="1:1" x14ac:dyDescent="0.25">
      <c r="A203" s="672" t="s">
        <v>380</v>
      </c>
    </row>
    <row r="204" spans="1:1" x14ac:dyDescent="0.25">
      <c r="A204" s="672" t="s">
        <v>381</v>
      </c>
    </row>
    <row r="205" spans="1:1" x14ac:dyDescent="0.25">
      <c r="A205" s="672" t="s">
        <v>382</v>
      </c>
    </row>
    <row r="206" spans="1:1" x14ac:dyDescent="0.25">
      <c r="A206" s="672" t="s">
        <v>383</v>
      </c>
    </row>
    <row r="207" spans="1:1" x14ac:dyDescent="0.25">
      <c r="A207" s="672" t="s">
        <v>396</v>
      </c>
    </row>
    <row r="208" spans="1:1" x14ac:dyDescent="0.25">
      <c r="A208" s="672" t="s">
        <v>384</v>
      </c>
    </row>
    <row r="209" spans="1:1" x14ac:dyDescent="0.25">
      <c r="A209" s="672" t="s">
        <v>385</v>
      </c>
    </row>
    <row r="210" spans="1:1" x14ac:dyDescent="0.25">
      <c r="A210" s="672" t="s">
        <v>397</v>
      </c>
    </row>
    <row r="211" spans="1:1" x14ac:dyDescent="0.25">
      <c r="A211" s="672" t="s">
        <v>386</v>
      </c>
    </row>
    <row r="212" spans="1:1" x14ac:dyDescent="0.25">
      <c r="A212" s="672" t="s">
        <v>398</v>
      </c>
    </row>
    <row r="213" spans="1:1" x14ac:dyDescent="0.25">
      <c r="A213" s="672" t="s">
        <v>387</v>
      </c>
    </row>
    <row r="214" spans="1:1" x14ac:dyDescent="0.25">
      <c r="A214" s="672" t="s">
        <v>388</v>
      </c>
    </row>
    <row r="215" spans="1:1" x14ac:dyDescent="0.25">
      <c r="A215" s="672" t="s">
        <v>789</v>
      </c>
    </row>
    <row r="216" spans="1:1" x14ac:dyDescent="0.25">
      <c r="A216" s="672" t="s">
        <v>1306</v>
      </c>
    </row>
    <row r="217" spans="1:1" x14ac:dyDescent="0.25">
      <c r="A217" s="675" t="s">
        <v>389</v>
      </c>
    </row>
    <row r="218" spans="1:1" x14ac:dyDescent="0.25">
      <c r="A218" s="672" t="s">
        <v>790</v>
      </c>
    </row>
    <row r="219" spans="1:1" x14ac:dyDescent="0.25">
      <c r="A219" s="672" t="s">
        <v>400</v>
      </c>
    </row>
    <row r="220" spans="1:1" x14ac:dyDescent="0.25">
      <c r="A220" s="672" t="s">
        <v>401</v>
      </c>
    </row>
    <row r="221" spans="1:1" x14ac:dyDescent="0.25">
      <c r="A221" s="672" t="s">
        <v>402</v>
      </c>
    </row>
    <row r="222" spans="1:1" x14ac:dyDescent="0.25">
      <c r="A222" s="672" t="s">
        <v>403</v>
      </c>
    </row>
    <row r="223" spans="1:1" x14ac:dyDescent="0.25">
      <c r="A223" s="672" t="s">
        <v>404</v>
      </c>
    </row>
    <row r="224" spans="1:1" x14ac:dyDescent="0.25">
      <c r="A224" s="672" t="s">
        <v>405</v>
      </c>
    </row>
    <row r="225" spans="1:1" x14ac:dyDescent="0.25">
      <c r="A225" s="672" t="s">
        <v>406</v>
      </c>
    </row>
    <row r="226" spans="1:1" x14ac:dyDescent="0.25">
      <c r="A226" s="672" t="s">
        <v>407</v>
      </c>
    </row>
    <row r="227" spans="1:1" x14ac:dyDescent="0.25">
      <c r="A227" s="672" t="s">
        <v>408</v>
      </c>
    </row>
    <row r="228" spans="1:1" x14ac:dyDescent="0.25">
      <c r="A228" s="672" t="s">
        <v>409</v>
      </c>
    </row>
    <row r="229" spans="1:1" x14ac:dyDescent="0.25">
      <c r="A229" s="672" t="s">
        <v>507</v>
      </c>
    </row>
    <row r="230" spans="1:1" x14ac:dyDescent="0.25">
      <c r="A230" s="672" t="s">
        <v>410</v>
      </c>
    </row>
    <row r="231" spans="1:1" x14ac:dyDescent="0.25">
      <c r="A231" s="672" t="s">
        <v>411</v>
      </c>
    </row>
    <row r="232" spans="1:1" x14ac:dyDescent="0.25">
      <c r="A232" s="672" t="s">
        <v>412</v>
      </c>
    </row>
    <row r="233" spans="1:1" x14ac:dyDescent="0.25">
      <c r="A233" s="672" t="s">
        <v>413</v>
      </c>
    </row>
    <row r="234" spans="1:1" x14ac:dyDescent="0.25">
      <c r="A234" s="672" t="s">
        <v>752</v>
      </c>
    </row>
    <row r="235" spans="1:1" x14ac:dyDescent="0.25">
      <c r="A235" s="672" t="s">
        <v>414</v>
      </c>
    </row>
    <row r="236" spans="1:1" x14ac:dyDescent="0.25">
      <c r="A236" s="672" t="s">
        <v>415</v>
      </c>
    </row>
    <row r="237" spans="1:1" x14ac:dyDescent="0.25">
      <c r="A237" s="672" t="s">
        <v>416</v>
      </c>
    </row>
    <row r="238" spans="1:1" x14ac:dyDescent="0.25">
      <c r="A238" s="672" t="s">
        <v>417</v>
      </c>
    </row>
    <row r="239" spans="1:1" x14ac:dyDescent="0.25">
      <c r="A239" s="672" t="s">
        <v>418</v>
      </c>
    </row>
    <row r="240" spans="1:1" x14ac:dyDescent="0.25">
      <c r="A240" s="672" t="s">
        <v>791</v>
      </c>
    </row>
    <row r="241" spans="1:1" x14ac:dyDescent="0.25">
      <c r="A241" s="672" t="s">
        <v>419</v>
      </c>
    </row>
    <row r="242" spans="1:1" x14ac:dyDescent="0.25">
      <c r="A242" s="672" t="s">
        <v>420</v>
      </c>
    </row>
    <row r="243" spans="1:1" x14ac:dyDescent="0.25">
      <c r="A243" s="672" t="s">
        <v>421</v>
      </c>
    </row>
    <row r="244" spans="1:1" x14ac:dyDescent="0.25">
      <c r="A244" s="672" t="s">
        <v>422</v>
      </c>
    </row>
    <row r="245" spans="1:1" x14ac:dyDescent="0.25">
      <c r="A245" s="672" t="s">
        <v>423</v>
      </c>
    </row>
    <row r="246" spans="1:1" x14ac:dyDescent="0.25">
      <c r="A246" s="672" t="s">
        <v>424</v>
      </c>
    </row>
    <row r="247" spans="1:1" x14ac:dyDescent="0.25">
      <c r="A247" s="672" t="s">
        <v>425</v>
      </c>
    </row>
    <row r="248" spans="1:1" x14ac:dyDescent="0.25">
      <c r="A248" s="672" t="s">
        <v>426</v>
      </c>
    </row>
    <row r="249" spans="1:1" x14ac:dyDescent="0.25">
      <c r="A249" s="672" t="s">
        <v>427</v>
      </c>
    </row>
    <row r="250" spans="1:1" x14ac:dyDescent="0.25">
      <c r="A250" s="672" t="s">
        <v>428</v>
      </c>
    </row>
    <row r="251" spans="1:1" x14ac:dyDescent="0.25">
      <c r="A251" s="672" t="s">
        <v>792</v>
      </c>
    </row>
    <row r="252" spans="1:1" x14ac:dyDescent="0.25">
      <c r="A252" s="672" t="s">
        <v>429</v>
      </c>
    </row>
    <row r="253" spans="1:1" x14ac:dyDescent="0.25">
      <c r="A253" s="672" t="s">
        <v>430</v>
      </c>
    </row>
    <row r="254" spans="1:1" x14ac:dyDescent="0.25">
      <c r="A254" s="672" t="s">
        <v>431</v>
      </c>
    </row>
    <row r="255" spans="1:1" x14ac:dyDescent="0.25">
      <c r="A255" s="672" t="s">
        <v>432</v>
      </c>
    </row>
    <row r="256" spans="1:1" x14ac:dyDescent="0.25">
      <c r="A256" s="672" t="s">
        <v>433</v>
      </c>
    </row>
    <row r="257" spans="1:1" x14ac:dyDescent="0.25">
      <c r="A257" s="672" t="s">
        <v>434</v>
      </c>
    </row>
    <row r="258" spans="1:1" x14ac:dyDescent="0.25">
      <c r="A258" s="672" t="s">
        <v>793</v>
      </c>
    </row>
    <row r="259" spans="1:1" x14ac:dyDescent="0.25">
      <c r="A259" s="672" t="s">
        <v>435</v>
      </c>
    </row>
    <row r="260" spans="1:1" x14ac:dyDescent="0.25">
      <c r="A260" s="672" t="s">
        <v>436</v>
      </c>
    </row>
    <row r="261" spans="1:1" x14ac:dyDescent="0.25">
      <c r="A261" s="672" t="s">
        <v>437</v>
      </c>
    </row>
    <row r="262" spans="1:1" x14ac:dyDescent="0.25">
      <c r="A262" s="672" t="s">
        <v>794</v>
      </c>
    </row>
    <row r="263" spans="1:1" x14ac:dyDescent="0.25">
      <c r="A263" s="672" t="s">
        <v>438</v>
      </c>
    </row>
    <row r="264" spans="1:1" x14ac:dyDescent="0.25">
      <c r="A264" s="672" t="s">
        <v>439</v>
      </c>
    </row>
    <row r="265" spans="1:1" x14ac:dyDescent="0.25">
      <c r="A265" s="672" t="s">
        <v>440</v>
      </c>
    </row>
    <row r="266" spans="1:1" x14ac:dyDescent="0.25">
      <c r="A266" s="672" t="s">
        <v>441</v>
      </c>
    </row>
    <row r="267" spans="1:1" x14ac:dyDescent="0.25">
      <c r="A267" s="672" t="s">
        <v>442</v>
      </c>
    </row>
    <row r="268" spans="1:1" x14ac:dyDescent="0.25">
      <c r="A268" s="672" t="s">
        <v>443</v>
      </c>
    </row>
    <row r="269" spans="1:1" x14ac:dyDescent="0.25">
      <c r="A269" s="672" t="s">
        <v>444</v>
      </c>
    </row>
    <row r="270" spans="1:1" x14ac:dyDescent="0.25">
      <c r="A270" s="672" t="s">
        <v>445</v>
      </c>
    </row>
    <row r="271" spans="1:1" x14ac:dyDescent="0.25">
      <c r="A271" s="672" t="s">
        <v>446</v>
      </c>
    </row>
    <row r="272" spans="1:1" x14ac:dyDescent="0.25">
      <c r="A272" s="672" t="s">
        <v>447</v>
      </c>
    </row>
    <row r="273" spans="1:1" x14ac:dyDescent="0.25">
      <c r="A273" s="672" t="s">
        <v>448</v>
      </c>
    </row>
    <row r="274" spans="1:1" x14ac:dyDescent="0.25">
      <c r="A274" s="672" t="s">
        <v>449</v>
      </c>
    </row>
    <row r="275" spans="1:1" x14ac:dyDescent="0.25">
      <c r="A275" s="672" t="s">
        <v>450</v>
      </c>
    </row>
    <row r="276" spans="1:1" x14ac:dyDescent="0.25">
      <c r="A276" s="672" t="s">
        <v>451</v>
      </c>
    </row>
    <row r="277" spans="1:1" x14ac:dyDescent="0.25">
      <c r="A277" s="672" t="s">
        <v>452</v>
      </c>
    </row>
    <row r="278" spans="1:1" x14ac:dyDescent="0.25">
      <c r="A278" s="672" t="s">
        <v>453</v>
      </c>
    </row>
    <row r="279" spans="1:1" x14ac:dyDescent="0.25">
      <c r="A279" s="672" t="s">
        <v>795</v>
      </c>
    </row>
    <row r="280" spans="1:1" x14ac:dyDescent="0.25">
      <c r="A280" s="672" t="s">
        <v>454</v>
      </c>
    </row>
    <row r="281" spans="1:1" x14ac:dyDescent="0.25">
      <c r="A281" s="672" t="s">
        <v>455</v>
      </c>
    </row>
    <row r="282" spans="1:1" x14ac:dyDescent="0.25">
      <c r="A282" s="672" t="s">
        <v>456</v>
      </c>
    </row>
    <row r="283" spans="1:1" x14ac:dyDescent="0.25">
      <c r="A283" s="672" t="s">
        <v>457</v>
      </c>
    </row>
    <row r="284" spans="1:1" x14ac:dyDescent="0.25">
      <c r="A284" s="672" t="s">
        <v>458</v>
      </c>
    </row>
    <row r="285" spans="1:1" x14ac:dyDescent="0.25">
      <c r="A285" s="672" t="s">
        <v>459</v>
      </c>
    </row>
    <row r="286" spans="1:1" x14ac:dyDescent="0.25">
      <c r="A286" s="672" t="s">
        <v>460</v>
      </c>
    </row>
    <row r="287" spans="1:1" x14ac:dyDescent="0.25">
      <c r="A287" s="672" t="s">
        <v>796</v>
      </c>
    </row>
    <row r="288" spans="1:1" x14ac:dyDescent="0.25">
      <c r="A288" s="672" t="s">
        <v>461</v>
      </c>
    </row>
    <row r="289" spans="1:1" x14ac:dyDescent="0.25">
      <c r="A289" s="672" t="s">
        <v>462</v>
      </c>
    </row>
    <row r="290" spans="1:1" x14ac:dyDescent="0.25">
      <c r="A290" s="672" t="s">
        <v>797</v>
      </c>
    </row>
    <row r="291" spans="1:1" x14ac:dyDescent="0.25">
      <c r="A291" s="672" t="s">
        <v>463</v>
      </c>
    </row>
    <row r="292" spans="1:1" x14ac:dyDescent="0.25">
      <c r="A292" s="672" t="s">
        <v>464</v>
      </c>
    </row>
    <row r="293" spans="1:1" x14ac:dyDescent="0.25">
      <c r="A293" s="672" t="s">
        <v>798</v>
      </c>
    </row>
    <row r="294" spans="1:1" x14ac:dyDescent="0.25">
      <c r="A294" s="672" t="s">
        <v>799</v>
      </c>
    </row>
    <row r="295" spans="1:1" x14ac:dyDescent="0.25">
      <c r="A295" s="672" t="s">
        <v>465</v>
      </c>
    </row>
    <row r="296" spans="1:1" x14ac:dyDescent="0.25">
      <c r="A296" s="672" t="s">
        <v>466</v>
      </c>
    </row>
    <row r="297" spans="1:1" x14ac:dyDescent="0.25">
      <c r="A297" s="672" t="s">
        <v>467</v>
      </c>
    </row>
    <row r="298" spans="1:1" x14ac:dyDescent="0.25">
      <c r="A298" s="672" t="s">
        <v>468</v>
      </c>
    </row>
    <row r="299" spans="1:1" x14ac:dyDescent="0.25">
      <c r="A299" s="672" t="s">
        <v>469</v>
      </c>
    </row>
    <row r="300" spans="1:1" x14ac:dyDescent="0.25">
      <c r="A300" s="672" t="s">
        <v>742</v>
      </c>
    </row>
    <row r="301" spans="1:1" x14ac:dyDescent="0.25">
      <c r="A301" s="672" t="s">
        <v>470</v>
      </c>
    </row>
    <row r="302" spans="1:1" x14ac:dyDescent="0.25">
      <c r="A302" s="672" t="s">
        <v>471</v>
      </c>
    </row>
    <row r="303" spans="1:1" x14ac:dyDescent="0.25">
      <c r="A303" s="672" t="s">
        <v>472</v>
      </c>
    </row>
    <row r="304" spans="1:1" x14ac:dyDescent="0.25">
      <c r="A304" s="672" t="s">
        <v>1307</v>
      </c>
    </row>
    <row r="305" spans="1:1" x14ac:dyDescent="0.25">
      <c r="A305" s="672" t="s">
        <v>473</v>
      </c>
    </row>
    <row r="306" spans="1:1" x14ac:dyDescent="0.25">
      <c r="A306" s="672" t="s">
        <v>474</v>
      </c>
    </row>
    <row r="307" spans="1:1" x14ac:dyDescent="0.25">
      <c r="A307" s="672" t="s">
        <v>475</v>
      </c>
    </row>
    <row r="308" spans="1:1" x14ac:dyDescent="0.25">
      <c r="A308" s="672" t="s">
        <v>476</v>
      </c>
    </row>
    <row r="309" spans="1:1" x14ac:dyDescent="0.25">
      <c r="A309" s="672" t="s">
        <v>477</v>
      </c>
    </row>
    <row r="310" spans="1:1" x14ac:dyDescent="0.25">
      <c r="A310" s="672" t="s">
        <v>482</v>
      </c>
    </row>
    <row r="311" spans="1:1" x14ac:dyDescent="0.25">
      <c r="A311" s="672" t="s">
        <v>483</v>
      </c>
    </row>
    <row r="312" spans="1:1" x14ac:dyDescent="0.25">
      <c r="A312" s="672" t="s">
        <v>484</v>
      </c>
    </row>
    <row r="313" spans="1:1" x14ac:dyDescent="0.25">
      <c r="A313" s="672" t="s">
        <v>485</v>
      </c>
    </row>
    <row r="314" spans="1:1" x14ac:dyDescent="0.25">
      <c r="A314" s="672" t="s">
        <v>486</v>
      </c>
    </row>
    <row r="315" spans="1:1" x14ac:dyDescent="0.25">
      <c r="A315" s="672" t="s">
        <v>487</v>
      </c>
    </row>
    <row r="316" spans="1:1" x14ac:dyDescent="0.25">
      <c r="A316" s="672" t="s">
        <v>488</v>
      </c>
    </row>
    <row r="317" spans="1:1" x14ac:dyDescent="0.25">
      <c r="A317" s="672" t="s">
        <v>1303</v>
      </c>
    </row>
    <row r="318" spans="1:1" x14ac:dyDescent="0.25">
      <c r="A318" s="672" t="s">
        <v>743</v>
      </c>
    </row>
    <row r="319" spans="1:1" x14ac:dyDescent="0.25">
      <c r="A319" s="672" t="s">
        <v>489</v>
      </c>
    </row>
    <row r="320" spans="1:1" x14ac:dyDescent="0.25">
      <c r="A320" s="672" t="s">
        <v>490</v>
      </c>
    </row>
    <row r="321" spans="1:1" x14ac:dyDescent="0.25">
      <c r="A321" s="672" t="s">
        <v>491</v>
      </c>
    </row>
    <row r="322" spans="1:1" x14ac:dyDescent="0.25">
      <c r="A322" s="672" t="s">
        <v>492</v>
      </c>
    </row>
    <row r="323" spans="1:1" x14ac:dyDescent="0.25">
      <c r="A323" s="672" t="s">
        <v>1310</v>
      </c>
    </row>
    <row r="324" spans="1:1" x14ac:dyDescent="0.25">
      <c r="A324" s="672" t="s">
        <v>493</v>
      </c>
    </row>
    <row r="325" spans="1:1" x14ac:dyDescent="0.25">
      <c r="A325" s="672" t="s">
        <v>494</v>
      </c>
    </row>
    <row r="326" spans="1:1" x14ac:dyDescent="0.25">
      <c r="A326" s="672" t="s">
        <v>495</v>
      </c>
    </row>
    <row r="327" spans="1:1" x14ac:dyDescent="0.25">
      <c r="A327" s="672" t="s">
        <v>496</v>
      </c>
    </row>
    <row r="328" spans="1:1" x14ac:dyDescent="0.25">
      <c r="A328" s="672" t="s">
        <v>497</v>
      </c>
    </row>
    <row r="329" spans="1:1" x14ac:dyDescent="0.25">
      <c r="A329" s="672" t="s">
        <v>498</v>
      </c>
    </row>
    <row r="330" spans="1:1" x14ac:dyDescent="0.25">
      <c r="A330" s="672" t="s">
        <v>499</v>
      </c>
    </row>
    <row r="331" spans="1:1" x14ac:dyDescent="0.25">
      <c r="A331" s="672" t="s">
        <v>500</v>
      </c>
    </row>
    <row r="332" spans="1:1" x14ac:dyDescent="0.25">
      <c r="A332" s="672" t="s">
        <v>800</v>
      </c>
    </row>
    <row r="333" spans="1:1" x14ac:dyDescent="0.25">
      <c r="A333" s="672" t="s">
        <v>501</v>
      </c>
    </row>
    <row r="334" spans="1:1" x14ac:dyDescent="0.25">
      <c r="A334" s="672" t="s">
        <v>1304</v>
      </c>
    </row>
    <row r="335" spans="1:1" x14ac:dyDescent="0.25">
      <c r="A335" s="672" t="s">
        <v>502</v>
      </c>
    </row>
    <row r="336" spans="1:1" x14ac:dyDescent="0.25">
      <c r="A336" s="672" t="s">
        <v>503</v>
      </c>
    </row>
    <row r="337" spans="1:1" x14ac:dyDescent="0.25">
      <c r="A337" s="672" t="s">
        <v>801</v>
      </c>
    </row>
    <row r="338" spans="1:1" x14ac:dyDescent="0.25">
      <c r="A338" s="672" t="s">
        <v>504</v>
      </c>
    </row>
    <row r="339" spans="1:1" x14ac:dyDescent="0.25">
      <c r="A339" s="672" t="s">
        <v>505</v>
      </c>
    </row>
    <row r="340" spans="1:1" x14ac:dyDescent="0.25">
      <c r="A340" s="672" t="s">
        <v>506</v>
      </c>
    </row>
    <row r="341" spans="1:1" x14ac:dyDescent="0.25">
      <c r="A341" s="672" t="s">
        <v>508</v>
      </c>
    </row>
    <row r="342" spans="1:1" x14ac:dyDescent="0.25">
      <c r="A342" s="672" t="s">
        <v>509</v>
      </c>
    </row>
    <row r="343" spans="1:1" x14ac:dyDescent="0.25">
      <c r="A343" s="672" t="s">
        <v>802</v>
      </c>
    </row>
    <row r="344" spans="1:1" x14ac:dyDescent="0.25">
      <c r="A344" s="672" t="s">
        <v>510</v>
      </c>
    </row>
    <row r="345" spans="1:1" x14ac:dyDescent="0.25">
      <c r="A345" s="672" t="s">
        <v>511</v>
      </c>
    </row>
    <row r="346" spans="1:1" x14ac:dyDescent="0.25">
      <c r="A346" s="672" t="s">
        <v>512</v>
      </c>
    </row>
    <row r="347" spans="1:1" x14ac:dyDescent="0.25">
      <c r="A347" s="672" t="s">
        <v>513</v>
      </c>
    </row>
    <row r="348" spans="1:1" x14ac:dyDescent="0.25">
      <c r="A348" s="672" t="s">
        <v>803</v>
      </c>
    </row>
    <row r="349" spans="1:1" x14ac:dyDescent="0.25">
      <c r="A349" s="672" t="s">
        <v>514</v>
      </c>
    </row>
    <row r="350" spans="1:1" x14ac:dyDescent="0.25">
      <c r="A350" s="672" t="s">
        <v>515</v>
      </c>
    </row>
    <row r="351" spans="1:1" x14ac:dyDescent="0.25">
      <c r="A351" s="672" t="s">
        <v>516</v>
      </c>
    </row>
    <row r="352" spans="1:1" x14ac:dyDescent="0.25">
      <c r="A352" s="672" t="s">
        <v>517</v>
      </c>
    </row>
    <row r="353" spans="1:1" x14ac:dyDescent="0.25">
      <c r="A353" s="672" t="s">
        <v>804</v>
      </c>
    </row>
    <row r="354" spans="1:1" x14ac:dyDescent="0.25">
      <c r="A354" s="672" t="s">
        <v>518</v>
      </c>
    </row>
    <row r="355" spans="1:1" x14ac:dyDescent="0.25">
      <c r="A355" s="672" t="s">
        <v>805</v>
      </c>
    </row>
    <row r="356" spans="1:1" x14ac:dyDescent="0.25">
      <c r="A356" s="672" t="s">
        <v>519</v>
      </c>
    </row>
    <row r="357" spans="1:1" x14ac:dyDescent="0.25">
      <c r="A357" s="672" t="s">
        <v>520</v>
      </c>
    </row>
    <row r="358" spans="1:1" x14ac:dyDescent="0.25">
      <c r="A358" s="672" t="s">
        <v>521</v>
      </c>
    </row>
    <row r="359" spans="1:1" x14ac:dyDescent="0.25">
      <c r="A359" s="672" t="s">
        <v>806</v>
      </c>
    </row>
    <row r="360" spans="1:1" x14ac:dyDescent="0.25">
      <c r="A360" s="672" t="s">
        <v>807</v>
      </c>
    </row>
    <row r="361" spans="1:1" x14ac:dyDescent="0.25">
      <c r="A361" s="672" t="s">
        <v>522</v>
      </c>
    </row>
    <row r="362" spans="1:1" x14ac:dyDescent="0.25">
      <c r="A362" s="672" t="s">
        <v>523</v>
      </c>
    </row>
    <row r="363" spans="1:1" x14ac:dyDescent="0.25">
      <c r="A363" s="672" t="s">
        <v>524</v>
      </c>
    </row>
    <row r="364" spans="1:1" x14ac:dyDescent="0.25">
      <c r="A364" s="672" t="s">
        <v>525</v>
      </c>
    </row>
    <row r="365" spans="1:1" x14ac:dyDescent="0.25">
      <c r="A365" s="672" t="s">
        <v>526</v>
      </c>
    </row>
    <row r="366" spans="1:1" x14ac:dyDescent="0.25">
      <c r="A366" s="672" t="s">
        <v>527</v>
      </c>
    </row>
    <row r="367" spans="1:1" x14ac:dyDescent="0.25">
      <c r="A367" s="672" t="s">
        <v>808</v>
      </c>
    </row>
    <row r="368" spans="1:1" x14ac:dyDescent="0.25">
      <c r="A368" s="672" t="s">
        <v>744</v>
      </c>
    </row>
    <row r="369" spans="1:1" x14ac:dyDescent="0.25">
      <c r="A369" s="672" t="s">
        <v>528</v>
      </c>
    </row>
    <row r="370" spans="1:1" x14ac:dyDescent="0.25">
      <c r="A370" s="672" t="s">
        <v>529</v>
      </c>
    </row>
    <row r="371" spans="1:1" x14ac:dyDescent="0.25">
      <c r="A371" s="676" t="s">
        <v>530</v>
      </c>
    </row>
    <row r="372" spans="1:1" x14ac:dyDescent="0.25">
      <c r="A372" s="672" t="s">
        <v>531</v>
      </c>
    </row>
    <row r="373" spans="1:1" x14ac:dyDescent="0.25">
      <c r="A373" s="672" t="s">
        <v>809</v>
      </c>
    </row>
    <row r="374" spans="1:1" x14ac:dyDescent="0.25">
      <c r="A374" s="672" t="s">
        <v>532</v>
      </c>
    </row>
    <row r="375" spans="1:1" x14ac:dyDescent="0.25">
      <c r="A375" s="672" t="s">
        <v>533</v>
      </c>
    </row>
    <row r="376" spans="1:1" x14ac:dyDescent="0.25">
      <c r="A376" s="672" t="s">
        <v>810</v>
      </c>
    </row>
    <row r="377" spans="1:1" x14ac:dyDescent="0.25">
      <c r="A377" s="672" t="s">
        <v>811</v>
      </c>
    </row>
    <row r="378" spans="1:1" x14ac:dyDescent="0.25">
      <c r="A378" s="672" t="s">
        <v>543</v>
      </c>
    </row>
    <row r="379" spans="1:1" x14ac:dyDescent="0.25">
      <c r="A379" s="672" t="s">
        <v>544</v>
      </c>
    </row>
    <row r="380" spans="1:1" x14ac:dyDescent="0.25">
      <c r="A380" s="672" t="s">
        <v>545</v>
      </c>
    </row>
    <row r="381" spans="1:1" x14ac:dyDescent="0.25">
      <c r="A381" s="672" t="s">
        <v>546</v>
      </c>
    </row>
    <row r="382" spans="1:1" x14ac:dyDescent="0.25">
      <c r="A382" s="672" t="s">
        <v>812</v>
      </c>
    </row>
    <row r="383" spans="1:1" x14ac:dyDescent="0.25">
      <c r="A383" s="672" t="s">
        <v>813</v>
      </c>
    </row>
    <row r="384" spans="1:1" x14ac:dyDescent="0.25">
      <c r="A384" s="672" t="s">
        <v>745</v>
      </c>
    </row>
    <row r="385" spans="1:1" x14ac:dyDescent="0.25">
      <c r="A385" s="672" t="s">
        <v>547</v>
      </c>
    </row>
    <row r="386" spans="1:1" x14ac:dyDescent="0.25">
      <c r="A386" s="672" t="s">
        <v>814</v>
      </c>
    </row>
    <row r="387" spans="1:1" x14ac:dyDescent="0.25">
      <c r="A387" s="672" t="s">
        <v>548</v>
      </c>
    </row>
    <row r="388" spans="1:1" x14ac:dyDescent="0.25">
      <c r="A388" s="672" t="s">
        <v>549</v>
      </c>
    </row>
    <row r="389" spans="1:1" x14ac:dyDescent="0.25">
      <c r="A389" s="676" t="s">
        <v>550</v>
      </c>
    </row>
    <row r="390" spans="1:1" x14ac:dyDescent="0.25">
      <c r="A390" s="672" t="s">
        <v>551</v>
      </c>
    </row>
    <row r="391" spans="1:1" x14ac:dyDescent="0.25">
      <c r="A391" s="672" t="s">
        <v>815</v>
      </c>
    </row>
    <row r="392" spans="1:1" x14ac:dyDescent="0.25">
      <c r="A392" s="672" t="s">
        <v>552</v>
      </c>
    </row>
    <row r="393" spans="1:1" x14ac:dyDescent="0.25">
      <c r="A393" s="672" t="s">
        <v>553</v>
      </c>
    </row>
    <row r="394" spans="1:1" x14ac:dyDescent="0.25">
      <c r="A394" s="672" t="s">
        <v>554</v>
      </c>
    </row>
    <row r="395" spans="1:1" x14ac:dyDescent="0.25">
      <c r="A395" s="672" t="s">
        <v>555</v>
      </c>
    </row>
    <row r="396" spans="1:1" x14ac:dyDescent="0.25">
      <c r="A396" s="672" t="s">
        <v>556</v>
      </c>
    </row>
    <row r="397" spans="1:1" x14ac:dyDescent="0.25">
      <c r="A397" s="672" t="s">
        <v>557</v>
      </c>
    </row>
    <row r="398" spans="1:1" x14ac:dyDescent="0.25">
      <c r="A398" s="672" t="s">
        <v>558</v>
      </c>
    </row>
    <row r="399" spans="1:1" x14ac:dyDescent="0.25">
      <c r="A399" s="672" t="s">
        <v>559</v>
      </c>
    </row>
    <row r="400" spans="1:1" x14ac:dyDescent="0.25">
      <c r="A400" s="672" t="s">
        <v>560</v>
      </c>
    </row>
    <row r="401" spans="1:1" x14ac:dyDescent="0.25">
      <c r="A401" s="672" t="s">
        <v>561</v>
      </c>
    </row>
    <row r="402" spans="1:1" x14ac:dyDescent="0.25">
      <c r="A402" s="672" t="s">
        <v>562</v>
      </c>
    </row>
    <row r="403" spans="1:1" x14ac:dyDescent="0.25">
      <c r="A403" s="672" t="s">
        <v>563</v>
      </c>
    </row>
    <row r="404" spans="1:1" x14ac:dyDescent="0.25">
      <c r="A404" s="672" t="s">
        <v>564</v>
      </c>
    </row>
    <row r="405" spans="1:1" x14ac:dyDescent="0.25">
      <c r="A405" s="672" t="s">
        <v>565</v>
      </c>
    </row>
    <row r="406" spans="1:1" x14ac:dyDescent="0.25">
      <c r="A406" s="672" t="s">
        <v>566</v>
      </c>
    </row>
    <row r="407" spans="1:1" x14ac:dyDescent="0.25">
      <c r="A407" s="672" t="s">
        <v>567</v>
      </c>
    </row>
    <row r="408" spans="1:1" x14ac:dyDescent="0.25">
      <c r="A408" s="672" t="s">
        <v>568</v>
      </c>
    </row>
    <row r="409" spans="1:1" x14ac:dyDescent="0.25">
      <c r="A409" s="672" t="s">
        <v>569</v>
      </c>
    </row>
    <row r="410" spans="1:1" x14ac:dyDescent="0.25">
      <c r="A410" s="672" t="s">
        <v>570</v>
      </c>
    </row>
    <row r="411" spans="1:1" x14ac:dyDescent="0.25">
      <c r="A411" s="672" t="s">
        <v>571</v>
      </c>
    </row>
    <row r="412" spans="1:1" x14ac:dyDescent="0.25">
      <c r="A412" s="672" t="s">
        <v>572</v>
      </c>
    </row>
    <row r="413" spans="1:1" x14ac:dyDescent="0.25">
      <c r="A413" s="672" t="s">
        <v>573</v>
      </c>
    </row>
    <row r="414" spans="1:1" x14ac:dyDescent="0.25">
      <c r="A414" s="672" t="s">
        <v>574</v>
      </c>
    </row>
    <row r="415" spans="1:1" x14ac:dyDescent="0.25">
      <c r="A415" s="672" t="s">
        <v>575</v>
      </c>
    </row>
    <row r="416" spans="1:1" x14ac:dyDescent="0.25">
      <c r="A416" s="672" t="s">
        <v>576</v>
      </c>
    </row>
    <row r="417" spans="1:1" x14ac:dyDescent="0.25">
      <c r="A417" s="672" t="s">
        <v>577</v>
      </c>
    </row>
    <row r="418" spans="1:1" x14ac:dyDescent="0.25">
      <c r="A418" s="672" t="s">
        <v>578</v>
      </c>
    </row>
    <row r="419" spans="1:1" x14ac:dyDescent="0.25">
      <c r="A419" s="672" t="s">
        <v>579</v>
      </c>
    </row>
    <row r="420" spans="1:1" x14ac:dyDescent="0.25">
      <c r="A420" s="672" t="s">
        <v>580</v>
      </c>
    </row>
    <row r="421" spans="1:1" x14ac:dyDescent="0.25">
      <c r="A421" s="672" t="s">
        <v>581</v>
      </c>
    </row>
    <row r="422" spans="1:1" x14ac:dyDescent="0.25">
      <c r="A422" s="672" t="s">
        <v>582</v>
      </c>
    </row>
    <row r="423" spans="1:1" x14ac:dyDescent="0.25">
      <c r="A423" s="672" t="s">
        <v>583</v>
      </c>
    </row>
    <row r="424" spans="1:1" x14ac:dyDescent="0.25">
      <c r="A424" s="672" t="s">
        <v>584</v>
      </c>
    </row>
    <row r="425" spans="1:1" x14ac:dyDescent="0.25">
      <c r="A425" s="672" t="s">
        <v>585</v>
      </c>
    </row>
    <row r="426" spans="1:1" x14ac:dyDescent="0.25">
      <c r="A426" s="672" t="s">
        <v>586</v>
      </c>
    </row>
    <row r="427" spans="1:1" x14ac:dyDescent="0.25">
      <c r="A427" s="672" t="s">
        <v>587</v>
      </c>
    </row>
    <row r="428" spans="1:1" x14ac:dyDescent="0.25">
      <c r="A428" s="672" t="s">
        <v>588</v>
      </c>
    </row>
    <row r="429" spans="1:1" x14ac:dyDescent="0.25">
      <c r="A429" s="672" t="s">
        <v>589</v>
      </c>
    </row>
    <row r="430" spans="1:1" x14ac:dyDescent="0.25">
      <c r="A430" s="672" t="s">
        <v>590</v>
      </c>
    </row>
    <row r="431" spans="1:1" x14ac:dyDescent="0.25">
      <c r="A431" s="672" t="s">
        <v>591</v>
      </c>
    </row>
    <row r="432" spans="1:1" x14ac:dyDescent="0.25">
      <c r="A432" s="672" t="s">
        <v>592</v>
      </c>
    </row>
    <row r="433" spans="1:1" x14ac:dyDescent="0.25">
      <c r="A433" s="672" t="s">
        <v>593</v>
      </c>
    </row>
    <row r="434" spans="1:1" x14ac:dyDescent="0.25">
      <c r="A434" s="672" t="s">
        <v>594</v>
      </c>
    </row>
    <row r="435" spans="1:1" x14ac:dyDescent="0.25">
      <c r="A435" s="672" t="s">
        <v>595</v>
      </c>
    </row>
    <row r="436" spans="1:1" x14ac:dyDescent="0.25">
      <c r="A436" s="672" t="s">
        <v>596</v>
      </c>
    </row>
    <row r="437" spans="1:1" x14ac:dyDescent="0.25">
      <c r="A437" s="672" t="s">
        <v>597</v>
      </c>
    </row>
    <row r="438" spans="1:1" x14ac:dyDescent="0.25">
      <c r="A438" s="672" t="s">
        <v>598</v>
      </c>
    </row>
    <row r="439" spans="1:1" x14ac:dyDescent="0.25">
      <c r="A439" s="672" t="s">
        <v>599</v>
      </c>
    </row>
    <row r="440" spans="1:1" x14ac:dyDescent="0.25">
      <c r="A440" s="672" t="s">
        <v>600</v>
      </c>
    </row>
    <row r="441" spans="1:1" x14ac:dyDescent="0.25">
      <c r="A441" s="672" t="s">
        <v>601</v>
      </c>
    </row>
    <row r="442" spans="1:1" x14ac:dyDescent="0.25">
      <c r="A442" s="672" t="s">
        <v>602</v>
      </c>
    </row>
    <row r="443" spans="1:1" x14ac:dyDescent="0.25">
      <c r="A443" s="672" t="s">
        <v>603</v>
      </c>
    </row>
    <row r="444" spans="1:1" x14ac:dyDescent="0.25">
      <c r="A444" s="672" t="s">
        <v>604</v>
      </c>
    </row>
    <row r="445" spans="1:1" x14ac:dyDescent="0.25">
      <c r="A445" s="672" t="s">
        <v>605</v>
      </c>
    </row>
    <row r="446" spans="1:1" x14ac:dyDescent="0.25">
      <c r="A446" s="672" t="s">
        <v>606</v>
      </c>
    </row>
    <row r="447" spans="1:1" x14ac:dyDescent="0.25">
      <c r="A447" s="672" t="s">
        <v>607</v>
      </c>
    </row>
    <row r="448" spans="1:1" x14ac:dyDescent="0.25">
      <c r="A448" s="672" t="s">
        <v>608</v>
      </c>
    </row>
    <row r="449" spans="1:1" x14ac:dyDescent="0.25">
      <c r="A449" s="672" t="s">
        <v>609</v>
      </c>
    </row>
    <row r="450" spans="1:1" x14ac:dyDescent="0.25">
      <c r="A450" s="672" t="s">
        <v>610</v>
      </c>
    </row>
    <row r="451" spans="1:1" x14ac:dyDescent="0.25">
      <c r="A451" s="672" t="s">
        <v>611</v>
      </c>
    </row>
    <row r="452" spans="1:1" x14ac:dyDescent="0.25">
      <c r="A452" s="672" t="s">
        <v>612</v>
      </c>
    </row>
    <row r="453" spans="1:1" x14ac:dyDescent="0.25">
      <c r="A453" s="672" t="s">
        <v>613</v>
      </c>
    </row>
    <row r="454" spans="1:1" x14ac:dyDescent="0.25">
      <c r="A454" s="672" t="s">
        <v>614</v>
      </c>
    </row>
    <row r="455" spans="1:1" x14ac:dyDescent="0.25">
      <c r="A455" s="672" t="s">
        <v>615</v>
      </c>
    </row>
    <row r="456" spans="1:1" x14ac:dyDescent="0.25">
      <c r="A456" s="672" t="s">
        <v>616</v>
      </c>
    </row>
    <row r="457" spans="1:1" x14ac:dyDescent="0.25">
      <c r="A457" s="672" t="s">
        <v>617</v>
      </c>
    </row>
    <row r="458" spans="1:1" x14ac:dyDescent="0.25">
      <c r="A458" s="672" t="s">
        <v>618</v>
      </c>
    </row>
    <row r="459" spans="1:1" x14ac:dyDescent="0.25">
      <c r="A459" s="672" t="s">
        <v>619</v>
      </c>
    </row>
    <row r="460" spans="1:1" x14ac:dyDescent="0.25">
      <c r="A460" s="672" t="s">
        <v>620</v>
      </c>
    </row>
    <row r="461" spans="1:1" x14ac:dyDescent="0.25">
      <c r="A461" s="672" t="s">
        <v>621</v>
      </c>
    </row>
    <row r="462" spans="1:1" x14ac:dyDescent="0.25">
      <c r="A462" s="672" t="s">
        <v>622</v>
      </c>
    </row>
    <row r="463" spans="1:1" x14ac:dyDescent="0.25">
      <c r="A463" s="672" t="s">
        <v>623</v>
      </c>
    </row>
    <row r="464" spans="1:1" x14ac:dyDescent="0.25">
      <c r="A464" s="672" t="s">
        <v>624</v>
      </c>
    </row>
    <row r="465" spans="1:1" x14ac:dyDescent="0.25">
      <c r="A465" s="672" t="s">
        <v>625</v>
      </c>
    </row>
    <row r="466" spans="1:1" x14ac:dyDescent="0.25">
      <c r="A466" s="672" t="s">
        <v>626</v>
      </c>
    </row>
    <row r="467" spans="1:1" x14ac:dyDescent="0.25">
      <c r="A467" s="672" t="s">
        <v>627</v>
      </c>
    </row>
    <row r="468" spans="1:1" x14ac:dyDescent="0.25">
      <c r="A468" s="672" t="s">
        <v>628</v>
      </c>
    </row>
    <row r="469" spans="1:1" x14ac:dyDescent="0.25">
      <c r="A469" s="672" t="s">
        <v>629</v>
      </c>
    </row>
    <row r="470" spans="1:1" x14ac:dyDescent="0.25">
      <c r="A470" s="672" t="s">
        <v>630</v>
      </c>
    </row>
    <row r="471" spans="1:1" x14ac:dyDescent="0.25">
      <c r="A471" s="672" t="s">
        <v>631</v>
      </c>
    </row>
    <row r="472" spans="1:1" x14ac:dyDescent="0.25">
      <c r="A472" s="672" t="s">
        <v>632</v>
      </c>
    </row>
    <row r="473" spans="1:1" x14ac:dyDescent="0.25">
      <c r="A473" s="672" t="s">
        <v>633</v>
      </c>
    </row>
    <row r="474" spans="1:1" x14ac:dyDescent="0.25">
      <c r="A474" s="672" t="s">
        <v>634</v>
      </c>
    </row>
    <row r="475" spans="1:1" x14ac:dyDescent="0.25">
      <c r="A475" s="672" t="s">
        <v>635</v>
      </c>
    </row>
    <row r="476" spans="1:1" x14ac:dyDescent="0.25">
      <c r="A476" s="672" t="s">
        <v>636</v>
      </c>
    </row>
    <row r="477" spans="1:1" x14ac:dyDescent="0.25">
      <c r="A477" s="672" t="s">
        <v>637</v>
      </c>
    </row>
    <row r="478" spans="1:1" x14ac:dyDescent="0.25">
      <c r="A478" s="672" t="s">
        <v>638</v>
      </c>
    </row>
    <row r="479" spans="1:1" x14ac:dyDescent="0.25">
      <c r="A479" s="672" t="s">
        <v>639</v>
      </c>
    </row>
    <row r="480" spans="1:1" x14ac:dyDescent="0.25">
      <c r="A480" s="672" t="s">
        <v>640</v>
      </c>
    </row>
    <row r="481" spans="1:1" x14ac:dyDescent="0.25">
      <c r="A481" s="672" t="s">
        <v>641</v>
      </c>
    </row>
    <row r="482" spans="1:1" x14ac:dyDescent="0.25">
      <c r="A482" s="672" t="s">
        <v>642</v>
      </c>
    </row>
    <row r="483" spans="1:1" x14ac:dyDescent="0.25">
      <c r="A483" s="672" t="s">
        <v>643</v>
      </c>
    </row>
    <row r="484" spans="1:1" x14ac:dyDescent="0.25">
      <c r="A484" s="672" t="s">
        <v>644</v>
      </c>
    </row>
    <row r="485" spans="1:1" x14ac:dyDescent="0.25">
      <c r="A485" s="672" t="s">
        <v>645</v>
      </c>
    </row>
    <row r="486" spans="1:1" x14ac:dyDescent="0.25">
      <c r="A486" s="672" t="s">
        <v>646</v>
      </c>
    </row>
    <row r="487" spans="1:1" x14ac:dyDescent="0.25">
      <c r="A487" s="672" t="s">
        <v>647</v>
      </c>
    </row>
    <row r="488" spans="1:1" x14ac:dyDescent="0.25">
      <c r="A488" s="672" t="s">
        <v>648</v>
      </c>
    </row>
    <row r="489" spans="1:1" x14ac:dyDescent="0.25">
      <c r="A489" s="672" t="s">
        <v>649</v>
      </c>
    </row>
    <row r="490" spans="1:1" x14ac:dyDescent="0.25">
      <c r="A490" s="672" t="s">
        <v>650</v>
      </c>
    </row>
    <row r="491" spans="1:1" x14ac:dyDescent="0.25">
      <c r="A491" s="672" t="s">
        <v>651</v>
      </c>
    </row>
    <row r="492" spans="1:1" x14ac:dyDescent="0.25">
      <c r="A492" s="672" t="s">
        <v>652</v>
      </c>
    </row>
    <row r="493" spans="1:1" x14ac:dyDescent="0.25">
      <c r="A493" s="672" t="s">
        <v>653</v>
      </c>
    </row>
    <row r="494" spans="1:1" x14ac:dyDescent="0.25">
      <c r="A494" s="672" t="s">
        <v>654</v>
      </c>
    </row>
    <row r="495" spans="1:1" x14ac:dyDescent="0.25">
      <c r="A495" s="672" t="s">
        <v>655</v>
      </c>
    </row>
    <row r="496" spans="1:1" x14ac:dyDescent="0.25">
      <c r="A496" s="672" t="s">
        <v>656</v>
      </c>
    </row>
    <row r="497" spans="1:1" x14ac:dyDescent="0.25">
      <c r="A497" s="672" t="s">
        <v>657</v>
      </c>
    </row>
    <row r="498" spans="1:1" x14ac:dyDescent="0.25">
      <c r="A498" s="672" t="s">
        <v>658</v>
      </c>
    </row>
    <row r="499" spans="1:1" x14ac:dyDescent="0.25">
      <c r="A499" s="672" t="s">
        <v>659</v>
      </c>
    </row>
    <row r="500" spans="1:1" x14ac:dyDescent="0.25">
      <c r="A500" s="672" t="s">
        <v>660</v>
      </c>
    </row>
    <row r="501" spans="1:1" x14ac:dyDescent="0.25">
      <c r="A501" s="672" t="s">
        <v>661</v>
      </c>
    </row>
    <row r="502" spans="1:1" x14ac:dyDescent="0.25">
      <c r="A502" s="672" t="s">
        <v>662</v>
      </c>
    </row>
    <row r="503" spans="1:1" x14ac:dyDescent="0.25">
      <c r="A503" s="672" t="s">
        <v>663</v>
      </c>
    </row>
    <row r="504" spans="1:1" x14ac:dyDescent="0.25">
      <c r="A504" s="672" t="s">
        <v>664</v>
      </c>
    </row>
    <row r="505" spans="1:1" x14ac:dyDescent="0.25">
      <c r="A505" s="672" t="s">
        <v>665</v>
      </c>
    </row>
    <row r="506" spans="1:1" x14ac:dyDescent="0.25">
      <c r="A506" s="672" t="s">
        <v>666</v>
      </c>
    </row>
    <row r="507" spans="1:1" x14ac:dyDescent="0.25">
      <c r="A507" s="672" t="s">
        <v>667</v>
      </c>
    </row>
    <row r="508" spans="1:1" x14ac:dyDescent="0.25">
      <c r="A508" s="672" t="s">
        <v>668</v>
      </c>
    </row>
    <row r="509" spans="1:1" x14ac:dyDescent="0.25">
      <c r="A509" s="672" t="s">
        <v>669</v>
      </c>
    </row>
    <row r="510" spans="1:1" x14ac:dyDescent="0.25">
      <c r="A510" s="672" t="s">
        <v>670</v>
      </c>
    </row>
    <row r="511" spans="1:1" x14ac:dyDescent="0.25">
      <c r="A511" s="672" t="s">
        <v>671</v>
      </c>
    </row>
    <row r="512" spans="1:1" x14ac:dyDescent="0.25">
      <c r="A512" s="672" t="s">
        <v>672</v>
      </c>
    </row>
    <row r="513" spans="1:1" x14ac:dyDescent="0.25">
      <c r="A513" s="672" t="s">
        <v>673</v>
      </c>
    </row>
    <row r="514" spans="1:1" x14ac:dyDescent="0.25">
      <c r="A514" s="672" t="s">
        <v>674</v>
      </c>
    </row>
    <row r="515" spans="1:1" x14ac:dyDescent="0.25">
      <c r="A515" s="672" t="s">
        <v>675</v>
      </c>
    </row>
    <row r="516" spans="1:1" x14ac:dyDescent="0.25">
      <c r="A516" s="672" t="s">
        <v>676</v>
      </c>
    </row>
    <row r="517" spans="1:1" x14ac:dyDescent="0.25">
      <c r="A517" s="672" t="s">
        <v>677</v>
      </c>
    </row>
    <row r="518" spans="1:1" x14ac:dyDescent="0.25">
      <c r="A518" s="672" t="s">
        <v>678</v>
      </c>
    </row>
    <row r="519" spans="1:1" x14ac:dyDescent="0.25">
      <c r="A519" s="672" t="s">
        <v>679</v>
      </c>
    </row>
    <row r="520" spans="1:1" x14ac:dyDescent="0.25">
      <c r="A520" s="672" t="s">
        <v>680</v>
      </c>
    </row>
    <row r="521" spans="1:1" x14ac:dyDescent="0.25">
      <c r="A521" s="672" t="s">
        <v>681</v>
      </c>
    </row>
    <row r="522" spans="1:1" x14ac:dyDescent="0.25">
      <c r="A522" s="672" t="s">
        <v>682</v>
      </c>
    </row>
    <row r="523" spans="1:1" x14ac:dyDescent="0.25">
      <c r="A523" s="672" t="s">
        <v>683</v>
      </c>
    </row>
    <row r="524" spans="1:1" x14ac:dyDescent="0.25">
      <c r="A524" s="672" t="s">
        <v>684</v>
      </c>
    </row>
    <row r="525" spans="1:1" x14ac:dyDescent="0.25">
      <c r="A525" s="672" t="s">
        <v>685</v>
      </c>
    </row>
    <row r="526" spans="1:1" x14ac:dyDescent="0.25">
      <c r="A526" s="672" t="s">
        <v>686</v>
      </c>
    </row>
    <row r="527" spans="1:1" x14ac:dyDescent="0.25">
      <c r="A527" s="672" t="s">
        <v>687</v>
      </c>
    </row>
    <row r="528" spans="1:1" x14ac:dyDescent="0.25">
      <c r="A528" s="672" t="s">
        <v>688</v>
      </c>
    </row>
    <row r="529" spans="1:1" x14ac:dyDescent="0.25">
      <c r="A529" s="672" t="s">
        <v>689</v>
      </c>
    </row>
    <row r="530" spans="1:1" x14ac:dyDescent="0.25">
      <c r="A530" s="672" t="s">
        <v>690</v>
      </c>
    </row>
    <row r="531" spans="1:1" x14ac:dyDescent="0.25">
      <c r="A531" s="672" t="s">
        <v>691</v>
      </c>
    </row>
    <row r="532" spans="1:1" x14ac:dyDescent="0.25">
      <c r="A532" s="672" t="s">
        <v>692</v>
      </c>
    </row>
    <row r="533" spans="1:1" x14ac:dyDescent="0.25">
      <c r="A533" s="672" t="s">
        <v>693</v>
      </c>
    </row>
    <row r="534" spans="1:1" x14ac:dyDescent="0.25">
      <c r="A534" s="672" t="s">
        <v>694</v>
      </c>
    </row>
    <row r="535" spans="1:1" x14ac:dyDescent="0.25">
      <c r="A535" s="672" t="s">
        <v>695</v>
      </c>
    </row>
    <row r="536" spans="1:1" x14ac:dyDescent="0.25">
      <c r="A536" s="672" t="s">
        <v>696</v>
      </c>
    </row>
    <row r="537" spans="1:1" x14ac:dyDescent="0.25">
      <c r="A537" s="672" t="s">
        <v>697</v>
      </c>
    </row>
    <row r="538" spans="1:1" x14ac:dyDescent="0.25">
      <c r="A538" s="672" t="s">
        <v>698</v>
      </c>
    </row>
    <row r="539" spans="1:1" x14ac:dyDescent="0.25">
      <c r="A539" s="672" t="s">
        <v>699</v>
      </c>
    </row>
    <row r="540" spans="1:1" x14ac:dyDescent="0.25">
      <c r="A540" s="672" t="s">
        <v>700</v>
      </c>
    </row>
    <row r="541" spans="1:1" x14ac:dyDescent="0.25">
      <c r="A541" s="672" t="s">
        <v>701</v>
      </c>
    </row>
    <row r="542" spans="1:1" x14ac:dyDescent="0.25">
      <c r="A542" s="672" t="s">
        <v>702</v>
      </c>
    </row>
    <row r="543" spans="1:1" x14ac:dyDescent="0.25">
      <c r="A543" s="672" t="s">
        <v>703</v>
      </c>
    </row>
    <row r="544" spans="1:1" x14ac:dyDescent="0.25">
      <c r="A544" s="672" t="s">
        <v>704</v>
      </c>
    </row>
    <row r="545" spans="1:1" x14ac:dyDescent="0.25">
      <c r="A545" s="672" t="s">
        <v>705</v>
      </c>
    </row>
    <row r="546" spans="1:1" x14ac:dyDescent="0.25">
      <c r="A546" s="672" t="s">
        <v>706</v>
      </c>
    </row>
    <row r="547" spans="1:1" x14ac:dyDescent="0.25">
      <c r="A547" s="672" t="s">
        <v>707</v>
      </c>
    </row>
    <row r="548" spans="1:1" x14ac:dyDescent="0.25">
      <c r="A548" s="672" t="s">
        <v>708</v>
      </c>
    </row>
    <row r="549" spans="1:1" x14ac:dyDescent="0.25">
      <c r="A549" s="672" t="s">
        <v>709</v>
      </c>
    </row>
    <row r="550" spans="1:1" x14ac:dyDescent="0.25">
      <c r="A550" s="672" t="s">
        <v>710</v>
      </c>
    </row>
    <row r="551" spans="1:1" x14ac:dyDescent="0.25">
      <c r="A551" s="672" t="s">
        <v>711</v>
      </c>
    </row>
    <row r="552" spans="1:1" x14ac:dyDescent="0.25">
      <c r="A552" s="672" t="s">
        <v>712</v>
      </c>
    </row>
    <row r="553" spans="1:1" x14ac:dyDescent="0.25">
      <c r="A553" s="672" t="s">
        <v>713</v>
      </c>
    </row>
    <row r="554" spans="1:1" x14ac:dyDescent="0.25">
      <c r="A554" s="672" t="s">
        <v>714</v>
      </c>
    </row>
    <row r="555" spans="1:1" x14ac:dyDescent="0.25">
      <c r="A555" s="672" t="s">
        <v>715</v>
      </c>
    </row>
    <row r="556" spans="1:1" x14ac:dyDescent="0.25">
      <c r="A556" s="672" t="s">
        <v>716</v>
      </c>
    </row>
    <row r="557" spans="1:1" x14ac:dyDescent="0.25">
      <c r="A557" s="672" t="s">
        <v>717</v>
      </c>
    </row>
    <row r="558" spans="1:1" x14ac:dyDescent="0.25">
      <c r="A558" s="672" t="s">
        <v>718</v>
      </c>
    </row>
    <row r="559" spans="1:1" x14ac:dyDescent="0.25">
      <c r="A559" s="672" t="s">
        <v>719</v>
      </c>
    </row>
    <row r="560" spans="1:1" x14ac:dyDescent="0.25">
      <c r="A560" s="672" t="s">
        <v>720</v>
      </c>
    </row>
    <row r="561" spans="1:1" x14ac:dyDescent="0.25">
      <c r="A561" s="672" t="s">
        <v>721</v>
      </c>
    </row>
    <row r="562" spans="1:1" x14ac:dyDescent="0.25">
      <c r="A562" s="672" t="s">
        <v>722</v>
      </c>
    </row>
    <row r="563" spans="1:1" x14ac:dyDescent="0.25">
      <c r="A563" s="672" t="s">
        <v>723</v>
      </c>
    </row>
    <row r="564" spans="1:1" x14ac:dyDescent="0.25">
      <c r="A564" s="672" t="s">
        <v>724</v>
      </c>
    </row>
    <row r="565" spans="1:1" x14ac:dyDescent="0.25">
      <c r="A565" s="672" t="s">
        <v>725</v>
      </c>
    </row>
    <row r="566" spans="1:1" x14ac:dyDescent="0.25">
      <c r="A566" s="672" t="s">
        <v>726</v>
      </c>
    </row>
    <row r="567" spans="1:1" x14ac:dyDescent="0.25">
      <c r="A567" s="672" t="s">
        <v>727</v>
      </c>
    </row>
    <row r="568" spans="1:1" x14ac:dyDescent="0.25">
      <c r="A568" s="672" t="s">
        <v>728</v>
      </c>
    </row>
    <row r="569" spans="1:1" x14ac:dyDescent="0.25">
      <c r="A569" s="672" t="s">
        <v>729</v>
      </c>
    </row>
    <row r="570" spans="1:1" x14ac:dyDescent="0.25">
      <c r="A570" s="672" t="s">
        <v>730</v>
      </c>
    </row>
    <row r="571" spans="1:1" x14ac:dyDescent="0.25">
      <c r="A571" s="672" t="s">
        <v>731</v>
      </c>
    </row>
    <row r="572" spans="1:1" x14ac:dyDescent="0.25">
      <c r="A572" s="672" t="s">
        <v>734</v>
      </c>
    </row>
    <row r="573" spans="1:1" x14ac:dyDescent="0.25">
      <c r="A573" s="672" t="s">
        <v>735</v>
      </c>
    </row>
    <row r="574" spans="1:1" x14ac:dyDescent="0.25">
      <c r="A574" s="672" t="s">
        <v>737</v>
      </c>
    </row>
    <row r="575" spans="1:1" x14ac:dyDescent="0.25">
      <c r="A575" s="672" t="s">
        <v>738</v>
      </c>
    </row>
    <row r="576" spans="1:1" x14ac:dyDescent="0.25">
      <c r="A576" s="672" t="s">
        <v>739</v>
      </c>
    </row>
    <row r="577" spans="1:1" x14ac:dyDescent="0.25">
      <c r="A577" s="672" t="s">
        <v>753</v>
      </c>
    </row>
    <row r="578" spans="1:1" x14ac:dyDescent="0.25">
      <c r="A578" s="672" t="s">
        <v>828</v>
      </c>
    </row>
    <row r="579" spans="1:1" x14ac:dyDescent="0.25">
      <c r="A579" s="672" t="s">
        <v>829</v>
      </c>
    </row>
    <row r="580" spans="1:1" x14ac:dyDescent="0.25">
      <c r="A580" s="672" t="s">
        <v>830</v>
      </c>
    </row>
    <row r="581" spans="1:1" x14ac:dyDescent="0.25">
      <c r="A581" s="672" t="s">
        <v>831</v>
      </c>
    </row>
    <row r="582" spans="1:1" x14ac:dyDescent="0.25">
      <c r="A582" s="672" t="s">
        <v>832</v>
      </c>
    </row>
    <row r="583" spans="1:1" x14ac:dyDescent="0.25">
      <c r="A583" s="672" t="s">
        <v>833</v>
      </c>
    </row>
    <row r="584" spans="1:1" x14ac:dyDescent="0.25">
      <c r="A584" s="672" t="s">
        <v>834</v>
      </c>
    </row>
    <row r="585" spans="1:1" x14ac:dyDescent="0.25">
      <c r="A585" s="672" t="s">
        <v>835</v>
      </c>
    </row>
    <row r="586" spans="1:1" x14ac:dyDescent="0.25">
      <c r="A586" s="672" t="s">
        <v>836</v>
      </c>
    </row>
    <row r="587" spans="1:1" x14ac:dyDescent="0.25">
      <c r="A587" s="672" t="s">
        <v>837</v>
      </c>
    </row>
    <row r="588" spans="1:1" x14ac:dyDescent="0.25">
      <c r="A588" s="672" t="s">
        <v>838</v>
      </c>
    </row>
    <row r="589" spans="1:1" x14ac:dyDescent="0.25">
      <c r="A589" s="672" t="s">
        <v>816</v>
      </c>
    </row>
    <row r="590" spans="1:1" x14ac:dyDescent="0.25">
      <c r="A590" s="672" t="s">
        <v>839</v>
      </c>
    </row>
    <row r="591" spans="1:1" x14ac:dyDescent="0.25">
      <c r="A591" s="672" t="s">
        <v>840</v>
      </c>
    </row>
    <row r="592" spans="1:1" x14ac:dyDescent="0.25">
      <c r="A592" s="672" t="s">
        <v>841</v>
      </c>
    </row>
    <row r="593" spans="1:1" x14ac:dyDescent="0.25">
      <c r="A593" s="672" t="s">
        <v>842</v>
      </c>
    </row>
    <row r="594" spans="1:1" x14ac:dyDescent="0.25">
      <c r="A594" s="672" t="s">
        <v>843</v>
      </c>
    </row>
    <row r="595" spans="1:1" x14ac:dyDescent="0.25">
      <c r="A595" s="672" t="s">
        <v>844</v>
      </c>
    </row>
    <row r="596" spans="1:1" x14ac:dyDescent="0.25">
      <c r="A596" s="672" t="s">
        <v>845</v>
      </c>
    </row>
    <row r="597" spans="1:1" x14ac:dyDescent="0.25">
      <c r="A597" s="672" t="s">
        <v>846</v>
      </c>
    </row>
    <row r="598" spans="1:1" x14ac:dyDescent="0.25">
      <c r="A598" s="672" t="s">
        <v>847</v>
      </c>
    </row>
    <row r="599" spans="1:1" x14ac:dyDescent="0.25">
      <c r="A599" s="672" t="s">
        <v>848</v>
      </c>
    </row>
    <row r="600" spans="1:1" x14ac:dyDescent="0.25">
      <c r="A600" s="672" t="s">
        <v>849</v>
      </c>
    </row>
    <row r="601" spans="1:1" x14ac:dyDescent="0.25">
      <c r="A601" s="672" t="s">
        <v>850</v>
      </c>
    </row>
    <row r="602" spans="1:1" x14ac:dyDescent="0.25">
      <c r="A602" s="672" t="s">
        <v>851</v>
      </c>
    </row>
    <row r="603" spans="1:1" x14ac:dyDescent="0.25">
      <c r="A603" s="672" t="s">
        <v>852</v>
      </c>
    </row>
    <row r="604" spans="1:1" x14ac:dyDescent="0.25">
      <c r="A604" s="672" t="s">
        <v>853</v>
      </c>
    </row>
    <row r="605" spans="1:1" x14ac:dyDescent="0.25">
      <c r="A605" s="672" t="s">
        <v>854</v>
      </c>
    </row>
    <row r="606" spans="1:1" x14ac:dyDescent="0.25">
      <c r="A606" s="672" t="s">
        <v>855</v>
      </c>
    </row>
    <row r="607" spans="1:1" x14ac:dyDescent="0.25">
      <c r="A607" s="672" t="s">
        <v>856</v>
      </c>
    </row>
    <row r="608" spans="1:1" x14ac:dyDescent="0.25">
      <c r="A608" s="672" t="s">
        <v>857</v>
      </c>
    </row>
    <row r="609" spans="1:1" x14ac:dyDescent="0.25">
      <c r="A609" s="672" t="s">
        <v>732</v>
      </c>
    </row>
    <row r="610" spans="1:1" x14ac:dyDescent="0.25">
      <c r="A610" s="672" t="s">
        <v>858</v>
      </c>
    </row>
    <row r="611" spans="1:1" x14ac:dyDescent="0.25">
      <c r="A611" s="672" t="s">
        <v>859</v>
      </c>
    </row>
    <row r="612" spans="1:1" x14ac:dyDescent="0.25">
      <c r="A612" s="672" t="s">
        <v>860</v>
      </c>
    </row>
    <row r="613" spans="1:1" x14ac:dyDescent="0.25">
      <c r="A613" s="672" t="s">
        <v>861</v>
      </c>
    </row>
    <row r="614" spans="1:1" x14ac:dyDescent="0.25">
      <c r="A614" s="672" t="s">
        <v>862</v>
      </c>
    </row>
    <row r="615" spans="1:1" x14ac:dyDescent="0.25">
      <c r="A615" s="672" t="s">
        <v>863</v>
      </c>
    </row>
    <row r="616" spans="1:1" x14ac:dyDescent="0.25">
      <c r="A616" s="672" t="s">
        <v>864</v>
      </c>
    </row>
    <row r="617" spans="1:1" x14ac:dyDescent="0.25">
      <c r="A617" s="672" t="s">
        <v>865</v>
      </c>
    </row>
    <row r="618" spans="1:1" x14ac:dyDescent="0.25">
      <c r="A618" s="672" t="s">
        <v>866</v>
      </c>
    </row>
    <row r="619" spans="1:1" x14ac:dyDescent="0.25">
      <c r="A619" s="672" t="s">
        <v>869</v>
      </c>
    </row>
    <row r="620" spans="1:1" x14ac:dyDescent="0.25">
      <c r="A620" s="672" t="s">
        <v>870</v>
      </c>
    </row>
    <row r="621" spans="1:1" x14ac:dyDescent="0.25">
      <c r="A621" s="672" t="s">
        <v>871</v>
      </c>
    </row>
    <row r="622" spans="1:1" x14ac:dyDescent="0.25">
      <c r="A622" s="672" t="s">
        <v>872</v>
      </c>
    </row>
    <row r="623" spans="1:1" x14ac:dyDescent="0.25">
      <c r="A623" s="672" t="s">
        <v>873</v>
      </c>
    </row>
    <row r="624" spans="1:1" x14ac:dyDescent="0.25">
      <c r="A624" s="672" t="s">
        <v>874</v>
      </c>
    </row>
    <row r="625" spans="1:1" x14ac:dyDescent="0.25">
      <c r="A625" s="672" t="s">
        <v>875</v>
      </c>
    </row>
    <row r="626" spans="1:1" x14ac:dyDescent="0.25">
      <c r="A626" s="672" t="s">
        <v>876</v>
      </c>
    </row>
    <row r="627" spans="1:1" x14ac:dyDescent="0.25">
      <c r="A627" s="672" t="s">
        <v>877</v>
      </c>
    </row>
    <row r="628" spans="1:1" x14ac:dyDescent="0.25">
      <c r="A628" s="672" t="s">
        <v>878</v>
      </c>
    </row>
    <row r="629" spans="1:1" x14ac:dyDescent="0.25">
      <c r="A629" s="672" t="s">
        <v>879</v>
      </c>
    </row>
    <row r="630" spans="1:1" x14ac:dyDescent="0.25">
      <c r="A630" s="672" t="s">
        <v>880</v>
      </c>
    </row>
    <row r="631" spans="1:1" x14ac:dyDescent="0.25">
      <c r="A631" s="672" t="s">
        <v>881</v>
      </c>
    </row>
    <row r="632" spans="1:1" x14ac:dyDescent="0.25">
      <c r="A632" s="672" t="s">
        <v>882</v>
      </c>
    </row>
    <row r="633" spans="1:1" x14ac:dyDescent="0.25">
      <c r="A633" s="672" t="s">
        <v>883</v>
      </c>
    </row>
    <row r="634" spans="1:1" x14ac:dyDescent="0.25">
      <c r="A634" s="672" t="s">
        <v>884</v>
      </c>
    </row>
    <row r="635" spans="1:1" x14ac:dyDescent="0.25">
      <c r="A635" s="672" t="s">
        <v>885</v>
      </c>
    </row>
    <row r="636" spans="1:1" x14ac:dyDescent="0.25">
      <c r="A636" s="672" t="s">
        <v>886</v>
      </c>
    </row>
    <row r="637" spans="1:1" x14ac:dyDescent="0.25">
      <c r="A637" s="672" t="s">
        <v>887</v>
      </c>
    </row>
    <row r="638" spans="1:1" x14ac:dyDescent="0.25">
      <c r="A638" s="672" t="s">
        <v>888</v>
      </c>
    </row>
    <row r="639" spans="1:1" x14ac:dyDescent="0.25">
      <c r="A639" s="672" t="s">
        <v>889</v>
      </c>
    </row>
    <row r="640" spans="1:1" x14ac:dyDescent="0.25">
      <c r="A640" s="672" t="s">
        <v>890</v>
      </c>
    </row>
    <row r="641" spans="1:1" x14ac:dyDescent="0.25">
      <c r="A641" s="672" t="s">
        <v>891</v>
      </c>
    </row>
    <row r="642" spans="1:1" x14ac:dyDescent="0.25">
      <c r="A642" s="672" t="s">
        <v>892</v>
      </c>
    </row>
    <row r="643" spans="1:1" x14ac:dyDescent="0.25">
      <c r="A643" s="672" t="s">
        <v>893</v>
      </c>
    </row>
    <row r="644" spans="1:1" x14ac:dyDescent="0.25">
      <c r="A644" s="672" t="s">
        <v>894</v>
      </c>
    </row>
    <row r="645" spans="1:1" x14ac:dyDescent="0.25">
      <c r="A645" s="672" t="s">
        <v>895</v>
      </c>
    </row>
    <row r="646" spans="1:1" x14ac:dyDescent="0.25">
      <c r="A646" s="672" t="s">
        <v>896</v>
      </c>
    </row>
    <row r="647" spans="1:1" x14ac:dyDescent="0.25">
      <c r="A647" s="672" t="s">
        <v>897</v>
      </c>
    </row>
    <row r="648" spans="1:1" x14ac:dyDescent="0.25">
      <c r="A648" s="672" t="s">
        <v>898</v>
      </c>
    </row>
    <row r="649" spans="1:1" x14ac:dyDescent="0.25">
      <c r="A649" s="672" t="s">
        <v>899</v>
      </c>
    </row>
    <row r="650" spans="1:1" x14ac:dyDescent="0.25">
      <c r="A650" s="672" t="s">
        <v>900</v>
      </c>
    </row>
    <row r="651" spans="1:1" x14ac:dyDescent="0.25">
      <c r="A651" s="672" t="s">
        <v>901</v>
      </c>
    </row>
    <row r="652" spans="1:1" x14ac:dyDescent="0.25">
      <c r="A652" s="672" t="s">
        <v>902</v>
      </c>
    </row>
    <row r="653" spans="1:1" x14ac:dyDescent="0.25">
      <c r="A653" s="672" t="s">
        <v>903</v>
      </c>
    </row>
    <row r="654" spans="1:1" x14ac:dyDescent="0.25">
      <c r="A654" s="672" t="s">
        <v>904</v>
      </c>
    </row>
    <row r="655" spans="1:1" x14ac:dyDescent="0.25">
      <c r="A655" s="672" t="s">
        <v>905</v>
      </c>
    </row>
    <row r="656" spans="1:1" x14ac:dyDescent="0.25">
      <c r="A656" s="672" t="s">
        <v>906</v>
      </c>
    </row>
    <row r="657" spans="1:1" x14ac:dyDescent="0.25">
      <c r="A657" s="672" t="s">
        <v>907</v>
      </c>
    </row>
    <row r="658" spans="1:1" x14ac:dyDescent="0.25">
      <c r="A658" s="672" t="s">
        <v>908</v>
      </c>
    </row>
    <row r="659" spans="1:1" x14ac:dyDescent="0.25">
      <c r="A659" s="672" t="s">
        <v>921</v>
      </c>
    </row>
    <row r="660" spans="1:1" x14ac:dyDescent="0.25">
      <c r="A660" s="672" t="s">
        <v>922</v>
      </c>
    </row>
    <row r="661" spans="1:1" x14ac:dyDescent="0.25">
      <c r="A661" s="672" t="s">
        <v>923</v>
      </c>
    </row>
    <row r="662" spans="1:1" x14ac:dyDescent="0.25">
      <c r="A662" s="672" t="s">
        <v>924</v>
      </c>
    </row>
    <row r="663" spans="1:1" x14ac:dyDescent="0.25">
      <c r="A663" s="672" t="s">
        <v>925</v>
      </c>
    </row>
    <row r="664" spans="1:1" x14ac:dyDescent="0.25">
      <c r="A664" s="672" t="s">
        <v>926</v>
      </c>
    </row>
    <row r="665" spans="1:1" x14ac:dyDescent="0.25">
      <c r="A665" s="672" t="s">
        <v>927</v>
      </c>
    </row>
    <row r="666" spans="1:1" x14ac:dyDescent="0.25">
      <c r="A666" s="672" t="s">
        <v>928</v>
      </c>
    </row>
    <row r="667" spans="1:1" x14ac:dyDescent="0.25">
      <c r="A667" s="672" t="s">
        <v>929</v>
      </c>
    </row>
    <row r="668" spans="1:1" x14ac:dyDescent="0.25">
      <c r="A668" s="672" t="s">
        <v>930</v>
      </c>
    </row>
    <row r="669" spans="1:1" x14ac:dyDescent="0.25">
      <c r="A669" s="672" t="s">
        <v>931</v>
      </c>
    </row>
    <row r="670" spans="1:1" x14ac:dyDescent="0.25">
      <c r="A670" s="672" t="s">
        <v>932</v>
      </c>
    </row>
    <row r="671" spans="1:1" x14ac:dyDescent="0.25">
      <c r="A671" s="672" t="s">
        <v>933</v>
      </c>
    </row>
    <row r="672" spans="1:1" x14ac:dyDescent="0.25">
      <c r="A672" s="672" t="s">
        <v>934</v>
      </c>
    </row>
    <row r="673" spans="1:1" x14ac:dyDescent="0.25">
      <c r="A673" s="672" t="s">
        <v>935</v>
      </c>
    </row>
    <row r="674" spans="1:1" x14ac:dyDescent="0.25">
      <c r="A674" s="672" t="s">
        <v>936</v>
      </c>
    </row>
    <row r="675" spans="1:1" x14ac:dyDescent="0.25">
      <c r="A675" s="672" t="s">
        <v>937</v>
      </c>
    </row>
    <row r="676" spans="1:1" x14ac:dyDescent="0.25">
      <c r="A676" s="672" t="s">
        <v>938</v>
      </c>
    </row>
    <row r="677" spans="1:1" x14ac:dyDescent="0.25">
      <c r="A677" s="672" t="s">
        <v>939</v>
      </c>
    </row>
    <row r="678" spans="1:1" x14ac:dyDescent="0.25">
      <c r="A678" s="672" t="s">
        <v>940</v>
      </c>
    </row>
    <row r="679" spans="1:1" x14ac:dyDescent="0.25">
      <c r="A679" s="672" t="s">
        <v>941</v>
      </c>
    </row>
    <row r="680" spans="1:1" x14ac:dyDescent="0.25">
      <c r="A680" s="672" t="s">
        <v>942</v>
      </c>
    </row>
    <row r="681" spans="1:1" x14ac:dyDescent="0.25">
      <c r="A681" s="672" t="s">
        <v>943</v>
      </c>
    </row>
    <row r="682" spans="1:1" x14ac:dyDescent="0.25">
      <c r="A682" s="672" t="s">
        <v>944</v>
      </c>
    </row>
    <row r="683" spans="1:1" x14ac:dyDescent="0.25">
      <c r="A683" s="672" t="s">
        <v>945</v>
      </c>
    </row>
    <row r="684" spans="1:1" x14ac:dyDescent="0.25">
      <c r="A684" s="672" t="s">
        <v>946</v>
      </c>
    </row>
    <row r="685" spans="1:1" x14ac:dyDescent="0.25">
      <c r="A685" s="672" t="s">
        <v>947</v>
      </c>
    </row>
    <row r="686" spans="1:1" x14ac:dyDescent="0.25">
      <c r="A686" s="672" t="s">
        <v>948</v>
      </c>
    </row>
    <row r="687" spans="1:1" x14ac:dyDescent="0.25">
      <c r="A687" s="672" t="s">
        <v>949</v>
      </c>
    </row>
    <row r="688" spans="1:1" x14ac:dyDescent="0.25">
      <c r="A688" s="672" t="s">
        <v>950</v>
      </c>
    </row>
    <row r="689" spans="1:1" x14ac:dyDescent="0.25">
      <c r="A689" s="672" t="s">
        <v>951</v>
      </c>
    </row>
    <row r="690" spans="1:1" x14ac:dyDescent="0.25">
      <c r="A690" s="672" t="s">
        <v>952</v>
      </c>
    </row>
    <row r="691" spans="1:1" x14ac:dyDescent="0.25">
      <c r="A691" s="672" t="s">
        <v>953</v>
      </c>
    </row>
    <row r="692" spans="1:1" x14ac:dyDescent="0.25">
      <c r="A692" s="672" t="s">
        <v>954</v>
      </c>
    </row>
    <row r="693" spans="1:1" x14ac:dyDescent="0.25">
      <c r="A693" s="672" t="s">
        <v>955</v>
      </c>
    </row>
    <row r="694" spans="1:1" x14ac:dyDescent="0.25">
      <c r="A694" s="672" t="s">
        <v>956</v>
      </c>
    </row>
    <row r="695" spans="1:1" x14ac:dyDescent="0.25">
      <c r="A695" s="672" t="s">
        <v>957</v>
      </c>
    </row>
    <row r="696" spans="1:1" x14ac:dyDescent="0.25">
      <c r="A696" s="672" t="s">
        <v>958</v>
      </c>
    </row>
    <row r="697" spans="1:1" x14ac:dyDescent="0.25">
      <c r="A697" s="672" t="s">
        <v>959</v>
      </c>
    </row>
    <row r="698" spans="1:1" x14ac:dyDescent="0.25">
      <c r="A698" s="672" t="s">
        <v>960</v>
      </c>
    </row>
    <row r="699" spans="1:1" x14ac:dyDescent="0.25">
      <c r="A699" s="672" t="s">
        <v>961</v>
      </c>
    </row>
    <row r="700" spans="1:1" x14ac:dyDescent="0.25">
      <c r="A700" s="672" t="s">
        <v>962</v>
      </c>
    </row>
    <row r="701" spans="1:1" x14ac:dyDescent="0.25">
      <c r="A701" s="672" t="s">
        <v>963</v>
      </c>
    </row>
    <row r="702" spans="1:1" x14ac:dyDescent="0.25">
      <c r="A702" s="672" t="s">
        <v>964</v>
      </c>
    </row>
    <row r="703" spans="1:1" x14ac:dyDescent="0.25">
      <c r="A703" s="672" t="s">
        <v>965</v>
      </c>
    </row>
    <row r="704" spans="1:1" x14ac:dyDescent="0.25">
      <c r="A704" s="672" t="s">
        <v>966</v>
      </c>
    </row>
    <row r="705" spans="1:1" x14ac:dyDescent="0.25">
      <c r="A705" s="672" t="s">
        <v>967</v>
      </c>
    </row>
    <row r="706" spans="1:1" x14ac:dyDescent="0.25">
      <c r="A706" s="672" t="s">
        <v>968</v>
      </c>
    </row>
    <row r="707" spans="1:1" x14ac:dyDescent="0.25">
      <c r="A707" s="672" t="s">
        <v>969</v>
      </c>
    </row>
    <row r="708" spans="1:1" x14ac:dyDescent="0.25">
      <c r="A708" s="672" t="s">
        <v>970</v>
      </c>
    </row>
    <row r="709" spans="1:1" x14ac:dyDescent="0.25">
      <c r="A709" s="672" t="s">
        <v>971</v>
      </c>
    </row>
    <row r="710" spans="1:1" x14ac:dyDescent="0.25">
      <c r="A710" s="672" t="s">
        <v>972</v>
      </c>
    </row>
    <row r="711" spans="1:1" x14ac:dyDescent="0.25">
      <c r="A711" s="672" t="s">
        <v>973</v>
      </c>
    </row>
    <row r="712" spans="1:1" x14ac:dyDescent="0.25">
      <c r="A712" s="672" t="s">
        <v>978</v>
      </c>
    </row>
    <row r="713" spans="1:1" x14ac:dyDescent="0.25">
      <c r="A713" s="672" t="s">
        <v>979</v>
      </c>
    </row>
    <row r="714" spans="1:1" x14ac:dyDescent="0.25">
      <c r="A714" s="672" t="s">
        <v>980</v>
      </c>
    </row>
    <row r="715" spans="1:1" x14ac:dyDescent="0.25">
      <c r="A715" s="672" t="s">
        <v>981</v>
      </c>
    </row>
    <row r="716" spans="1:1" x14ac:dyDescent="0.25">
      <c r="A716" s="672" t="s">
        <v>982</v>
      </c>
    </row>
    <row r="717" spans="1:1" x14ac:dyDescent="0.25">
      <c r="A717" s="672" t="s">
        <v>983</v>
      </c>
    </row>
    <row r="718" spans="1:1" x14ac:dyDescent="0.25">
      <c r="A718" s="672" t="s">
        <v>984</v>
      </c>
    </row>
    <row r="719" spans="1:1" x14ac:dyDescent="0.25">
      <c r="A719" s="672" t="s">
        <v>985</v>
      </c>
    </row>
    <row r="720" spans="1:1" x14ac:dyDescent="0.25">
      <c r="A720" s="672" t="s">
        <v>986</v>
      </c>
    </row>
    <row r="721" spans="1:1" x14ac:dyDescent="0.25">
      <c r="A721" s="672" t="s">
        <v>987</v>
      </c>
    </row>
    <row r="722" spans="1:1" x14ac:dyDescent="0.25">
      <c r="A722" s="672" t="s">
        <v>988</v>
      </c>
    </row>
    <row r="723" spans="1:1" x14ac:dyDescent="0.25">
      <c r="A723" s="672" t="s">
        <v>990</v>
      </c>
    </row>
    <row r="724" spans="1:1" x14ac:dyDescent="0.25">
      <c r="A724" s="672" t="s">
        <v>991</v>
      </c>
    </row>
    <row r="725" spans="1:1" x14ac:dyDescent="0.25">
      <c r="A725" s="672" t="s">
        <v>992</v>
      </c>
    </row>
    <row r="726" spans="1:1" x14ac:dyDescent="0.25">
      <c r="A726" s="672" t="s">
        <v>993</v>
      </c>
    </row>
    <row r="727" spans="1:1" x14ac:dyDescent="0.25">
      <c r="A727" s="672" t="s">
        <v>994</v>
      </c>
    </row>
    <row r="728" spans="1:1" x14ac:dyDescent="0.25">
      <c r="A728" s="672" t="s">
        <v>995</v>
      </c>
    </row>
    <row r="729" spans="1:1" x14ac:dyDescent="0.25">
      <c r="A729" s="672" t="s">
        <v>746</v>
      </c>
    </row>
    <row r="730" spans="1:1" x14ac:dyDescent="0.25">
      <c r="A730" s="672" t="s">
        <v>996</v>
      </c>
    </row>
    <row r="731" spans="1:1" x14ac:dyDescent="0.25">
      <c r="A731" s="672" t="s">
        <v>997</v>
      </c>
    </row>
    <row r="732" spans="1:1" x14ac:dyDescent="0.25">
      <c r="A732" s="672" t="s">
        <v>998</v>
      </c>
    </row>
    <row r="733" spans="1:1" x14ac:dyDescent="0.25">
      <c r="A733" s="672" t="s">
        <v>999</v>
      </c>
    </row>
    <row r="734" spans="1:1" x14ac:dyDescent="0.25">
      <c r="A734" s="672" t="s">
        <v>1000</v>
      </c>
    </row>
    <row r="735" spans="1:1" x14ac:dyDescent="0.25">
      <c r="A735" s="672" t="s">
        <v>1001</v>
      </c>
    </row>
    <row r="736" spans="1:1" x14ac:dyDescent="0.25">
      <c r="A736" s="672" t="s">
        <v>1002</v>
      </c>
    </row>
    <row r="737" spans="1:1" x14ac:dyDescent="0.25">
      <c r="A737" s="672" t="s">
        <v>1003</v>
      </c>
    </row>
    <row r="738" spans="1:1" x14ac:dyDescent="0.25">
      <c r="A738" s="672" t="s">
        <v>1004</v>
      </c>
    </row>
    <row r="739" spans="1:1" x14ac:dyDescent="0.25">
      <c r="A739" s="672" t="s">
        <v>1005</v>
      </c>
    </row>
    <row r="740" spans="1:1" x14ac:dyDescent="0.25">
      <c r="A740" s="672" t="s">
        <v>1006</v>
      </c>
    </row>
    <row r="741" spans="1:1" x14ac:dyDescent="0.25">
      <c r="A741" s="672" t="s">
        <v>1007</v>
      </c>
    </row>
    <row r="742" spans="1:1" x14ac:dyDescent="0.25">
      <c r="A742" s="672" t="s">
        <v>1008</v>
      </c>
    </row>
    <row r="743" spans="1:1" x14ac:dyDescent="0.25">
      <c r="A743" s="672" t="s">
        <v>1009</v>
      </c>
    </row>
    <row r="744" spans="1:1" x14ac:dyDescent="0.25">
      <c r="A744" s="672" t="s">
        <v>1010</v>
      </c>
    </row>
    <row r="745" spans="1:1" x14ac:dyDescent="0.25">
      <c r="A745" s="672" t="s">
        <v>1011</v>
      </c>
    </row>
    <row r="746" spans="1:1" x14ac:dyDescent="0.25">
      <c r="A746" s="672" t="s">
        <v>1012</v>
      </c>
    </row>
    <row r="747" spans="1:1" x14ac:dyDescent="0.25">
      <c r="A747" s="672" t="s">
        <v>1013</v>
      </c>
    </row>
    <row r="748" spans="1:1" x14ac:dyDescent="0.25">
      <c r="A748" s="672" t="s">
        <v>1014</v>
      </c>
    </row>
    <row r="749" spans="1:1" x14ac:dyDescent="0.25">
      <c r="A749" s="672" t="s">
        <v>1015</v>
      </c>
    </row>
    <row r="750" spans="1:1" x14ac:dyDescent="0.25">
      <c r="A750" s="672" t="s">
        <v>1016</v>
      </c>
    </row>
    <row r="751" spans="1:1" x14ac:dyDescent="0.25">
      <c r="A751" s="672" t="s">
        <v>817</v>
      </c>
    </row>
    <row r="752" spans="1:1" x14ac:dyDescent="0.25">
      <c r="A752" s="672" t="s">
        <v>818</v>
      </c>
    </row>
    <row r="753" spans="1:1" x14ac:dyDescent="0.25">
      <c r="A753" s="672" t="s">
        <v>1017</v>
      </c>
    </row>
    <row r="754" spans="1:1" x14ac:dyDescent="0.25">
      <c r="A754" s="672" t="s">
        <v>1018</v>
      </c>
    </row>
    <row r="755" spans="1:1" x14ac:dyDescent="0.25">
      <c r="A755" s="672" t="s">
        <v>1019</v>
      </c>
    </row>
    <row r="756" spans="1:1" x14ac:dyDescent="0.25">
      <c r="A756" s="672" t="s">
        <v>819</v>
      </c>
    </row>
    <row r="757" spans="1:1" x14ac:dyDescent="0.25">
      <c r="A757" s="672" t="s">
        <v>820</v>
      </c>
    </row>
    <row r="758" spans="1:1" x14ac:dyDescent="0.25">
      <c r="A758" s="672" t="s">
        <v>1020</v>
      </c>
    </row>
    <row r="759" spans="1:1" x14ac:dyDescent="0.25">
      <c r="A759" s="672" t="s">
        <v>821</v>
      </c>
    </row>
    <row r="760" spans="1:1" x14ac:dyDescent="0.25">
      <c r="A760" s="672" t="s">
        <v>822</v>
      </c>
    </row>
    <row r="761" spans="1:1" x14ac:dyDescent="0.25">
      <c r="A761" s="672" t="s">
        <v>747</v>
      </c>
    </row>
    <row r="762" spans="1:1" x14ac:dyDescent="0.25">
      <c r="A762" s="672" t="s">
        <v>823</v>
      </c>
    </row>
    <row r="763" spans="1:1" x14ac:dyDescent="0.25">
      <c r="A763" s="672" t="s">
        <v>1021</v>
      </c>
    </row>
    <row r="764" spans="1:1" x14ac:dyDescent="0.25">
      <c r="A764" s="672" t="s">
        <v>361</v>
      </c>
    </row>
    <row r="765" spans="1:1" x14ac:dyDescent="0.25">
      <c r="A765" s="672" t="s">
        <v>161</v>
      </c>
    </row>
    <row r="766" spans="1:1" x14ac:dyDescent="0.25">
      <c r="A766" s="672" t="s">
        <v>1022</v>
      </c>
    </row>
    <row r="767" spans="1:1" x14ac:dyDescent="0.25">
      <c r="A767" s="672" t="s">
        <v>1023</v>
      </c>
    </row>
    <row r="768" spans="1:1" x14ac:dyDescent="0.25">
      <c r="A768" s="672" t="s">
        <v>824</v>
      </c>
    </row>
    <row r="769" spans="1:1" x14ac:dyDescent="0.25">
      <c r="A769" s="672" t="s">
        <v>1024</v>
      </c>
    </row>
    <row r="770" spans="1:1" x14ac:dyDescent="0.25">
      <c r="A770" s="672" t="s">
        <v>1025</v>
      </c>
    </row>
    <row r="771" spans="1:1" x14ac:dyDescent="0.25">
      <c r="A771" s="672" t="s">
        <v>1026</v>
      </c>
    </row>
    <row r="772" spans="1:1" x14ac:dyDescent="0.25">
      <c r="A772" s="672" t="s">
        <v>1027</v>
      </c>
    </row>
    <row r="773" spans="1:1" x14ac:dyDescent="0.25">
      <c r="A773" s="672" t="s">
        <v>1028</v>
      </c>
    </row>
    <row r="774" spans="1:1" x14ac:dyDescent="0.25">
      <c r="A774" s="672" t="s">
        <v>1029</v>
      </c>
    </row>
    <row r="775" spans="1:1" x14ac:dyDescent="0.25">
      <c r="A775" s="672" t="s">
        <v>1030</v>
      </c>
    </row>
    <row r="776" spans="1:1" x14ac:dyDescent="0.25">
      <c r="A776" s="672" t="s">
        <v>1031</v>
      </c>
    </row>
    <row r="777" spans="1:1" x14ac:dyDescent="0.25">
      <c r="A777" s="672" t="s">
        <v>1032</v>
      </c>
    </row>
    <row r="778" spans="1:1" x14ac:dyDescent="0.25">
      <c r="A778" s="672" t="s">
        <v>1033</v>
      </c>
    </row>
    <row r="779" spans="1:1" x14ac:dyDescent="0.25">
      <c r="A779" s="672" t="s">
        <v>748</v>
      </c>
    </row>
    <row r="780" spans="1:1" x14ac:dyDescent="0.25">
      <c r="A780" s="672" t="s">
        <v>399</v>
      </c>
    </row>
    <row r="781" spans="1:1" x14ac:dyDescent="0.25">
      <c r="A781" s="672" t="s">
        <v>1034</v>
      </c>
    </row>
    <row r="782" spans="1:1" x14ac:dyDescent="0.25">
      <c r="A782" s="672" t="s">
        <v>1035</v>
      </c>
    </row>
    <row r="783" spans="1:1" x14ac:dyDescent="0.25">
      <c r="A783" s="672" t="s">
        <v>1036</v>
      </c>
    </row>
    <row r="784" spans="1:1" x14ac:dyDescent="0.25">
      <c r="A784" s="672" t="s">
        <v>825</v>
      </c>
    </row>
    <row r="785" spans="1:1" x14ac:dyDescent="0.25">
      <c r="A785" s="672" t="s">
        <v>1037</v>
      </c>
    </row>
    <row r="786" spans="1:1" x14ac:dyDescent="0.25">
      <c r="A786" s="672" t="s">
        <v>1038</v>
      </c>
    </row>
    <row r="787" spans="1:1" x14ac:dyDescent="0.25">
      <c r="A787" s="672" t="s">
        <v>1039</v>
      </c>
    </row>
    <row r="788" spans="1:1" x14ac:dyDescent="0.25">
      <c r="A788" s="672" t="s">
        <v>1040</v>
      </c>
    </row>
    <row r="789" spans="1:1" x14ac:dyDescent="0.25">
      <c r="A789" s="672" t="s">
        <v>1041</v>
      </c>
    </row>
    <row r="790" spans="1:1" x14ac:dyDescent="0.25">
      <c r="A790" s="672" t="s">
        <v>1042</v>
      </c>
    </row>
    <row r="791" spans="1:1" x14ac:dyDescent="0.25">
      <c r="A791" s="672" t="s">
        <v>1043</v>
      </c>
    </row>
    <row r="792" spans="1:1" x14ac:dyDescent="0.25">
      <c r="A792" s="672" t="s">
        <v>1044</v>
      </c>
    </row>
    <row r="793" spans="1:1" x14ac:dyDescent="0.25">
      <c r="A793" s="672" t="s">
        <v>1045</v>
      </c>
    </row>
    <row r="794" spans="1:1" x14ac:dyDescent="0.25">
      <c r="A794" s="672" t="s">
        <v>1046</v>
      </c>
    </row>
    <row r="795" spans="1:1" x14ac:dyDescent="0.25">
      <c r="A795" s="672" t="s">
        <v>1047</v>
      </c>
    </row>
    <row r="796" spans="1:1" x14ac:dyDescent="0.25">
      <c r="A796" s="672" t="s">
        <v>1048</v>
      </c>
    </row>
    <row r="797" spans="1:1" x14ac:dyDescent="0.25">
      <c r="A797" s="672" t="s">
        <v>1049</v>
      </c>
    </row>
    <row r="798" spans="1:1" x14ac:dyDescent="0.25">
      <c r="A798" s="672" t="s">
        <v>1050</v>
      </c>
    </row>
    <row r="799" spans="1:1" x14ac:dyDescent="0.25">
      <c r="A799" s="672" t="s">
        <v>826</v>
      </c>
    </row>
    <row r="800" spans="1:1" x14ac:dyDescent="0.25">
      <c r="A800" s="672" t="s">
        <v>1051</v>
      </c>
    </row>
    <row r="801" spans="1:1" x14ac:dyDescent="0.25">
      <c r="A801" s="672" t="s">
        <v>1052</v>
      </c>
    </row>
    <row r="802" spans="1:1" x14ac:dyDescent="0.25">
      <c r="A802" s="672" t="s">
        <v>1053</v>
      </c>
    </row>
    <row r="803" spans="1:1" x14ac:dyDescent="0.25">
      <c r="A803" s="672" t="s">
        <v>1054</v>
      </c>
    </row>
    <row r="804" spans="1:1" x14ac:dyDescent="0.25">
      <c r="A804" s="672" t="s">
        <v>1055</v>
      </c>
    </row>
    <row r="805" spans="1:1" x14ac:dyDescent="0.25">
      <c r="A805" s="672" t="s">
        <v>1056</v>
      </c>
    </row>
    <row r="806" spans="1:1" x14ac:dyDescent="0.25">
      <c r="A806" s="672" t="s">
        <v>1057</v>
      </c>
    </row>
    <row r="807" spans="1:1" x14ac:dyDescent="0.25">
      <c r="A807" s="672" t="s">
        <v>1058</v>
      </c>
    </row>
    <row r="808" spans="1:1" x14ac:dyDescent="0.25">
      <c r="A808" s="672" t="s">
        <v>1059</v>
      </c>
    </row>
    <row r="809" spans="1:1" x14ac:dyDescent="0.25">
      <c r="A809" s="672" t="s">
        <v>1060</v>
      </c>
    </row>
    <row r="810" spans="1:1" x14ac:dyDescent="0.25">
      <c r="A810" s="672" t="s">
        <v>1061</v>
      </c>
    </row>
    <row r="811" spans="1:1" x14ac:dyDescent="0.25">
      <c r="A811" s="672" t="s">
        <v>1309</v>
      </c>
    </row>
    <row r="812" spans="1:1" x14ac:dyDescent="0.25">
      <c r="A812" s="672" t="s">
        <v>1062</v>
      </c>
    </row>
    <row r="813" spans="1:1" x14ac:dyDescent="0.25">
      <c r="A813" s="672" t="s">
        <v>1063</v>
      </c>
    </row>
    <row r="814" spans="1:1" x14ac:dyDescent="0.25">
      <c r="A814" s="672" t="s">
        <v>1064</v>
      </c>
    </row>
    <row r="815" spans="1:1" x14ac:dyDescent="0.25">
      <c r="A815" s="672" t="s">
        <v>1065</v>
      </c>
    </row>
    <row r="816" spans="1:1" x14ac:dyDescent="0.25">
      <c r="A816" s="672" t="s">
        <v>1066</v>
      </c>
    </row>
    <row r="817" spans="1:1" x14ac:dyDescent="0.25">
      <c r="A817" s="672" t="s">
        <v>1067</v>
      </c>
    </row>
    <row r="818" spans="1:1" x14ac:dyDescent="0.25">
      <c r="A818" s="672" t="s">
        <v>1068</v>
      </c>
    </row>
    <row r="819" spans="1:1" x14ac:dyDescent="0.25">
      <c r="A819" s="672" t="s">
        <v>1069</v>
      </c>
    </row>
    <row r="820" spans="1:1" x14ac:dyDescent="0.25">
      <c r="A820" s="672" t="s">
        <v>1070</v>
      </c>
    </row>
    <row r="821" spans="1:1" x14ac:dyDescent="0.25">
      <c r="A821" s="672" t="s">
        <v>1071</v>
      </c>
    </row>
    <row r="822" spans="1:1" x14ac:dyDescent="0.25">
      <c r="A822" s="672" t="s">
        <v>1072</v>
      </c>
    </row>
    <row r="823" spans="1:1" x14ac:dyDescent="0.25">
      <c r="A823" s="672" t="s">
        <v>1073</v>
      </c>
    </row>
    <row r="824" spans="1:1" x14ac:dyDescent="0.25">
      <c r="A824" s="672" t="s">
        <v>1074</v>
      </c>
    </row>
    <row r="825" spans="1:1" x14ac:dyDescent="0.25">
      <c r="A825" s="672" t="s">
        <v>1075</v>
      </c>
    </row>
    <row r="826" spans="1:1" x14ac:dyDescent="0.25">
      <c r="A826" s="672" t="s">
        <v>1076</v>
      </c>
    </row>
    <row r="827" spans="1:1" x14ac:dyDescent="0.25">
      <c r="A827" s="672" t="s">
        <v>1077</v>
      </c>
    </row>
    <row r="828" spans="1:1" x14ac:dyDescent="0.25">
      <c r="A828" s="672" t="s">
        <v>749</v>
      </c>
    </row>
    <row r="829" spans="1:1" x14ac:dyDescent="0.25">
      <c r="A829" s="672" t="s">
        <v>1078</v>
      </c>
    </row>
    <row r="830" spans="1:1" x14ac:dyDescent="0.25">
      <c r="A830" s="672" t="s">
        <v>1088</v>
      </c>
    </row>
    <row r="831" spans="1:1" x14ac:dyDescent="0.25">
      <c r="A831" s="672" t="s">
        <v>827</v>
      </c>
    </row>
    <row r="832" spans="1:1" x14ac:dyDescent="0.25">
      <c r="A832" s="672" t="s">
        <v>1089</v>
      </c>
    </row>
    <row r="833" spans="1:5" x14ac:dyDescent="0.25">
      <c r="A833" s="672" t="s">
        <v>1090</v>
      </c>
    </row>
    <row r="834" spans="1:5" x14ac:dyDescent="0.25">
      <c r="A834" s="672" t="s">
        <v>1091</v>
      </c>
      <c r="E834" s="677"/>
    </row>
    <row r="835" spans="1:5" x14ac:dyDescent="0.25">
      <c r="A835" s="672" t="s">
        <v>1092</v>
      </c>
    </row>
    <row r="836" spans="1:5" x14ac:dyDescent="0.25">
      <c r="A836" s="672" t="s">
        <v>1093</v>
      </c>
    </row>
    <row r="837" spans="1:5" x14ac:dyDescent="0.25">
      <c r="A837" s="672" t="s">
        <v>1094</v>
      </c>
    </row>
    <row r="838" spans="1:5" x14ac:dyDescent="0.25">
      <c r="A838" s="672" t="s">
        <v>1095</v>
      </c>
    </row>
    <row r="839" spans="1:5" x14ac:dyDescent="0.25">
      <c r="A839" s="672" t="s">
        <v>1096</v>
      </c>
    </row>
    <row r="840" spans="1:5" x14ac:dyDescent="0.25">
      <c r="A840" s="672" t="s">
        <v>1097</v>
      </c>
    </row>
    <row r="841" spans="1:5" x14ac:dyDescent="0.25">
      <c r="A841" s="672" t="s">
        <v>751</v>
      </c>
    </row>
    <row r="842" spans="1:5" x14ac:dyDescent="0.25">
      <c r="A842" s="672" t="s">
        <v>750</v>
      </c>
    </row>
    <row r="918" spans="1:1" x14ac:dyDescent="0.25">
      <c r="A918" s="678"/>
    </row>
  </sheetData>
  <sheetProtection algorithmName="SHA-512" hashValue="dGbrzgufSw5S+QxrQVuTN38rPbrZZlrVEUAox/o86Fq1MvBYlOB1gX60hg3ubFbN0BEP/vfiFTUfjxDupkNlTQ==" saltValue="23ttJmsDtzjUUyzG9MVZng==" spinCount="100000" sheet="1" objects="1" scenarios="1"/>
  <phoneticPr fontId="7" type="noConversion"/>
  <pageMargins left="0.75" right="0.75" top="1" bottom="1" header="0.5" footer="0.5"/>
  <pageSetup orientation="portrait" verticalDpi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5"/>
  <sheetViews>
    <sheetView tabSelected="1" view="pageBreakPreview" zoomScaleNormal="100" zoomScaleSheetLayoutView="100" workbookViewId="0">
      <selection activeCell="A7" sqref="A7:E8"/>
    </sheetView>
  </sheetViews>
  <sheetFormatPr defaultRowHeight="12" x14ac:dyDescent="0.25"/>
  <cols>
    <col min="1" max="1" width="3.7109375" style="12" customWidth="1"/>
    <col min="2" max="2" width="3.42578125" style="12" customWidth="1"/>
    <col min="3" max="3" width="4.140625" style="13" customWidth="1"/>
    <col min="4" max="4" width="4.28515625" style="13" customWidth="1"/>
    <col min="5" max="5" width="36.42578125" style="14" customWidth="1"/>
    <col min="6" max="6" width="36.42578125" style="14" hidden="1" customWidth="1"/>
    <col min="7" max="7" width="19.7109375" style="15" customWidth="1"/>
    <col min="8" max="8" width="10.7109375" style="15" customWidth="1"/>
    <col min="9" max="11" width="18.7109375" style="17" customWidth="1"/>
    <col min="12" max="14" width="9.140625" style="18"/>
    <col min="15" max="15" width="29.7109375" style="18" customWidth="1"/>
    <col min="16" max="16384" width="9.140625" style="18"/>
  </cols>
  <sheetData>
    <row r="1" spans="1:15" x14ac:dyDescent="0.25">
      <c r="A1" s="12" t="s">
        <v>1100</v>
      </c>
      <c r="I1" s="16"/>
      <c r="K1" s="16"/>
      <c r="O1" s="19"/>
    </row>
    <row r="2" spans="1:15" x14ac:dyDescent="0.2">
      <c r="A2" s="69" t="s">
        <v>123</v>
      </c>
      <c r="B2" s="69"/>
      <c r="C2" s="70"/>
      <c r="D2" s="70"/>
      <c r="E2" s="71"/>
      <c r="F2" s="71"/>
      <c r="G2" s="72"/>
      <c r="H2" s="72"/>
      <c r="I2" s="75"/>
      <c r="J2" s="74"/>
      <c r="K2" s="74"/>
    </row>
    <row r="3" spans="1:15" s="20" customFormat="1" x14ac:dyDescent="0.2">
      <c r="A3" s="681" t="s">
        <v>246</v>
      </c>
      <c r="B3" s="681"/>
      <c r="C3" s="681"/>
      <c r="D3" s="681"/>
      <c r="E3" s="681"/>
      <c r="F3" s="681"/>
      <c r="G3" s="681"/>
      <c r="H3" s="681"/>
      <c r="I3" s="681"/>
      <c r="J3" s="681"/>
      <c r="K3" s="681"/>
    </row>
    <row r="4" spans="1:15" s="20" customFormat="1" x14ac:dyDescent="0.2">
      <c r="A4" s="681" t="s">
        <v>1102</v>
      </c>
      <c r="B4" s="681"/>
      <c r="C4" s="681"/>
      <c r="D4" s="681"/>
      <c r="E4" s="681"/>
      <c r="F4" s="681"/>
      <c r="G4" s="681"/>
      <c r="H4" s="681"/>
      <c r="I4" s="681"/>
      <c r="J4" s="681"/>
      <c r="K4" s="681"/>
    </row>
    <row r="5" spans="1:15" s="20" customFormat="1" x14ac:dyDescent="0.2">
      <c r="A5" s="682"/>
      <c r="B5" s="681"/>
      <c r="C5" s="681"/>
      <c r="D5" s="681"/>
      <c r="E5" s="681"/>
      <c r="F5" s="681"/>
      <c r="G5" s="681"/>
      <c r="H5" s="681"/>
      <c r="I5" s="681"/>
      <c r="J5" s="681"/>
      <c r="K5" s="681"/>
    </row>
    <row r="6" spans="1:15" ht="12.75" thickBot="1" x14ac:dyDescent="0.25">
      <c r="A6" s="69"/>
      <c r="B6" s="69"/>
      <c r="C6" s="70"/>
      <c r="D6" s="70"/>
      <c r="E6" s="71"/>
      <c r="F6" s="71"/>
      <c r="G6" s="72"/>
      <c r="H6" s="72"/>
      <c r="I6" s="73"/>
      <c r="J6" s="73"/>
      <c r="K6" s="73"/>
    </row>
    <row r="7" spans="1:15" s="21" customFormat="1" ht="15.75" customHeight="1" thickTop="1" x14ac:dyDescent="0.2">
      <c r="A7" s="687" t="s">
        <v>1122</v>
      </c>
      <c r="B7" s="688"/>
      <c r="C7" s="688"/>
      <c r="D7" s="688"/>
      <c r="E7" s="689"/>
      <c r="F7" s="126"/>
      <c r="G7" s="685" t="s">
        <v>43</v>
      </c>
      <c r="H7" s="685" t="s">
        <v>82</v>
      </c>
      <c r="I7" s="683" t="s">
        <v>1109</v>
      </c>
      <c r="J7" s="683" t="s">
        <v>909</v>
      </c>
      <c r="K7" s="693" t="s">
        <v>1301</v>
      </c>
    </row>
    <row r="8" spans="1:15" s="21" customFormat="1" ht="35.25" customHeight="1" x14ac:dyDescent="0.2">
      <c r="A8" s="690"/>
      <c r="B8" s="691"/>
      <c r="C8" s="691"/>
      <c r="D8" s="691"/>
      <c r="E8" s="692"/>
      <c r="F8" s="127"/>
      <c r="G8" s="686"/>
      <c r="H8" s="686"/>
      <c r="I8" s="684"/>
      <c r="J8" s="684"/>
      <c r="K8" s="694"/>
    </row>
    <row r="9" spans="1:15" x14ac:dyDescent="0.2">
      <c r="A9" s="128"/>
      <c r="B9" s="105"/>
      <c r="C9" s="129"/>
      <c r="D9" s="129"/>
      <c r="E9" s="130"/>
      <c r="F9" s="130"/>
      <c r="G9" s="131"/>
      <c r="H9" s="131"/>
      <c r="I9" s="177"/>
      <c r="J9" s="178"/>
      <c r="K9" s="179"/>
    </row>
    <row r="10" spans="1:15" s="20" customFormat="1" ht="14.25" x14ac:dyDescent="0.2">
      <c r="A10" s="81" t="s">
        <v>910</v>
      </c>
      <c r="B10" s="82"/>
      <c r="C10" s="83"/>
      <c r="D10" s="83"/>
      <c r="E10" s="83"/>
      <c r="F10" s="83"/>
      <c r="G10" s="88"/>
      <c r="H10" s="88"/>
      <c r="I10" s="180"/>
      <c r="J10" s="180"/>
      <c r="K10" s="181"/>
    </row>
    <row r="11" spans="1:15" x14ac:dyDescent="0.2">
      <c r="A11" s="91"/>
      <c r="B11" s="69"/>
      <c r="C11" s="70"/>
      <c r="D11" s="70"/>
      <c r="E11" s="71"/>
      <c r="F11" s="71"/>
      <c r="G11" s="93"/>
      <c r="H11" s="93"/>
      <c r="I11" s="180"/>
      <c r="J11" s="180"/>
      <c r="K11" s="181"/>
    </row>
    <row r="12" spans="1:15" x14ac:dyDescent="0.2">
      <c r="A12" s="91"/>
      <c r="B12" s="92" t="s">
        <v>1130</v>
      </c>
      <c r="C12" s="70" t="s">
        <v>127</v>
      </c>
      <c r="D12" s="70"/>
      <c r="E12" s="71"/>
      <c r="F12" s="71"/>
      <c r="G12" s="132" t="s">
        <v>128</v>
      </c>
      <c r="H12" s="133"/>
      <c r="I12" s="103"/>
      <c r="J12" s="103"/>
      <c r="K12" s="90"/>
    </row>
    <row r="13" spans="1:15" x14ac:dyDescent="0.2">
      <c r="A13" s="91"/>
      <c r="B13" s="69"/>
      <c r="C13" s="70" t="s">
        <v>1119</v>
      </c>
      <c r="D13" s="70"/>
      <c r="E13" s="71"/>
      <c r="F13" s="71"/>
      <c r="G13" s="93"/>
      <c r="H13" s="93"/>
      <c r="I13" s="89"/>
      <c r="J13" s="89"/>
      <c r="K13" s="90"/>
    </row>
    <row r="14" spans="1:15" x14ac:dyDescent="0.2">
      <c r="A14" s="91"/>
      <c r="B14" s="69"/>
      <c r="C14" s="70" t="s">
        <v>1182</v>
      </c>
      <c r="D14" s="134" t="s">
        <v>1181</v>
      </c>
      <c r="E14" s="71"/>
      <c r="F14" s="71"/>
      <c r="G14" s="135" t="s">
        <v>47</v>
      </c>
      <c r="H14" s="136"/>
      <c r="I14" s="103"/>
      <c r="J14" s="103"/>
      <c r="K14" s="90"/>
    </row>
    <row r="15" spans="1:15" x14ac:dyDescent="0.2">
      <c r="A15" s="91"/>
      <c r="B15" s="69"/>
      <c r="C15" s="70" t="s">
        <v>1183</v>
      </c>
      <c r="D15" s="134" t="s">
        <v>1184</v>
      </c>
      <c r="E15" s="71"/>
      <c r="F15" s="71"/>
      <c r="G15" s="135" t="s">
        <v>46</v>
      </c>
      <c r="H15" s="136"/>
      <c r="I15" s="103"/>
      <c r="J15" s="103"/>
      <c r="K15" s="90"/>
    </row>
    <row r="16" spans="1:15" x14ac:dyDescent="0.2">
      <c r="A16" s="91"/>
      <c r="B16" s="69"/>
      <c r="C16" s="70" t="s">
        <v>1185</v>
      </c>
      <c r="D16" s="134" t="s">
        <v>1186</v>
      </c>
      <c r="E16" s="71"/>
      <c r="F16" s="71"/>
      <c r="G16" s="135" t="s">
        <v>44</v>
      </c>
      <c r="H16" s="136"/>
      <c r="I16" s="103"/>
      <c r="J16" s="103"/>
      <c r="K16" s="90"/>
    </row>
    <row r="17" spans="1:11" x14ac:dyDescent="0.2">
      <c r="A17" s="91"/>
      <c r="B17" s="69"/>
      <c r="C17" s="70" t="s">
        <v>1187</v>
      </c>
      <c r="D17" s="134" t="s">
        <v>1188</v>
      </c>
      <c r="E17" s="71"/>
      <c r="F17" s="71"/>
      <c r="G17" s="135" t="s">
        <v>45</v>
      </c>
      <c r="H17" s="136"/>
      <c r="I17" s="103"/>
      <c r="J17" s="103"/>
      <c r="K17" s="90"/>
    </row>
    <row r="18" spans="1:11" x14ac:dyDescent="0.2">
      <c r="A18" s="91"/>
      <c r="B18" s="92" t="s">
        <v>1130</v>
      </c>
      <c r="C18" s="70" t="s">
        <v>1189</v>
      </c>
      <c r="D18" s="70"/>
      <c r="E18" s="71"/>
      <c r="F18" s="71"/>
      <c r="G18" s="137" t="s">
        <v>90</v>
      </c>
      <c r="H18" s="138"/>
      <c r="I18" s="95">
        <f>I12-SUM(I14:I17)</f>
        <v>0</v>
      </c>
      <c r="J18" s="95">
        <f>J12-SUM(J14:J17)</f>
        <v>0</v>
      </c>
      <c r="K18" s="139">
        <f>I18-J18</f>
        <v>0</v>
      </c>
    </row>
    <row r="19" spans="1:11" x14ac:dyDescent="0.2">
      <c r="A19" s="91"/>
      <c r="B19" s="69"/>
      <c r="C19" s="70"/>
      <c r="D19" s="70"/>
      <c r="E19" s="71"/>
      <c r="F19" s="71"/>
      <c r="G19" s="93"/>
      <c r="H19" s="93"/>
      <c r="I19" s="89"/>
      <c r="J19" s="89"/>
      <c r="K19" s="90"/>
    </row>
    <row r="20" spans="1:11" x14ac:dyDescent="0.2">
      <c r="A20" s="91"/>
      <c r="B20" s="92" t="s">
        <v>1151</v>
      </c>
      <c r="C20" s="69" t="s">
        <v>8</v>
      </c>
      <c r="D20" s="70"/>
      <c r="E20" s="71"/>
      <c r="F20" s="71"/>
      <c r="G20" s="135" t="s">
        <v>57</v>
      </c>
      <c r="H20" s="136"/>
      <c r="I20" s="103"/>
      <c r="J20" s="103"/>
      <c r="K20" s="90"/>
    </row>
    <row r="21" spans="1:11" x14ac:dyDescent="0.2">
      <c r="A21" s="91"/>
      <c r="B21" s="69" t="s">
        <v>1110</v>
      </c>
      <c r="C21" s="70"/>
      <c r="D21" s="70"/>
      <c r="E21" s="71"/>
      <c r="F21" s="71"/>
      <c r="G21" s="93"/>
      <c r="H21" s="93"/>
      <c r="I21" s="89"/>
      <c r="J21" s="89"/>
      <c r="K21" s="90"/>
    </row>
    <row r="22" spans="1:11" x14ac:dyDescent="0.2">
      <c r="A22" s="91"/>
      <c r="B22" s="69"/>
      <c r="C22" s="70" t="s">
        <v>1206</v>
      </c>
      <c r="D22" s="70" t="s">
        <v>1207</v>
      </c>
      <c r="E22" s="71"/>
      <c r="F22" s="71"/>
      <c r="G22" s="135" t="s">
        <v>48</v>
      </c>
      <c r="H22" s="136"/>
      <c r="I22" s="95">
        <f>SUM(I23:I26)</f>
        <v>0</v>
      </c>
      <c r="J22" s="95">
        <f>SUM(J23:J26)</f>
        <v>0</v>
      </c>
      <c r="K22" s="90"/>
    </row>
    <row r="23" spans="1:11" x14ac:dyDescent="0.2">
      <c r="A23" s="91"/>
      <c r="B23" s="69"/>
      <c r="C23" s="70"/>
      <c r="D23" s="70" t="s">
        <v>9</v>
      </c>
      <c r="E23" s="71" t="s">
        <v>1208</v>
      </c>
      <c r="F23" s="71"/>
      <c r="G23" s="135" t="s">
        <v>49</v>
      </c>
      <c r="H23" s="136"/>
      <c r="I23" s="103"/>
      <c r="J23" s="103"/>
      <c r="K23" s="90"/>
    </row>
    <row r="24" spans="1:11" x14ac:dyDescent="0.2">
      <c r="A24" s="91"/>
      <c r="B24" s="69"/>
      <c r="C24" s="70"/>
      <c r="D24" s="70" t="s">
        <v>10</v>
      </c>
      <c r="E24" s="71" t="s">
        <v>1209</v>
      </c>
      <c r="F24" s="71"/>
      <c r="G24" s="135" t="s">
        <v>50</v>
      </c>
      <c r="H24" s="136"/>
      <c r="I24" s="103"/>
      <c r="J24" s="103"/>
      <c r="K24" s="90"/>
    </row>
    <row r="25" spans="1:11" x14ac:dyDescent="0.2">
      <c r="A25" s="91"/>
      <c r="B25" s="69"/>
      <c r="C25" s="70"/>
      <c r="D25" s="70" t="s">
        <v>11</v>
      </c>
      <c r="E25" s="71" t="s">
        <v>1210</v>
      </c>
      <c r="F25" s="71"/>
      <c r="G25" s="135" t="s">
        <v>51</v>
      </c>
      <c r="H25" s="136"/>
      <c r="I25" s="103"/>
      <c r="J25" s="103"/>
      <c r="K25" s="90"/>
    </row>
    <row r="26" spans="1:11" x14ac:dyDescent="0.2">
      <c r="A26" s="91"/>
      <c r="B26" s="69"/>
      <c r="C26" s="70"/>
      <c r="D26" s="70" t="s">
        <v>12</v>
      </c>
      <c r="E26" s="71" t="s">
        <v>1211</v>
      </c>
      <c r="F26" s="71"/>
      <c r="G26" s="135" t="s">
        <v>52</v>
      </c>
      <c r="H26" s="136"/>
      <c r="I26" s="103"/>
      <c r="J26" s="103"/>
      <c r="K26" s="90"/>
    </row>
    <row r="27" spans="1:11" x14ac:dyDescent="0.2">
      <c r="A27" s="91"/>
      <c r="B27" s="69"/>
      <c r="C27" s="70"/>
      <c r="D27" s="70"/>
      <c r="E27" s="71"/>
      <c r="F27" s="71"/>
      <c r="G27" s="93"/>
      <c r="H27" s="93"/>
      <c r="I27" s="89"/>
      <c r="J27" s="89"/>
      <c r="K27" s="90"/>
    </row>
    <row r="28" spans="1:11" x14ac:dyDescent="0.2">
      <c r="A28" s="91"/>
      <c r="B28" s="69"/>
      <c r="C28" s="70" t="s">
        <v>1212</v>
      </c>
      <c r="D28" s="70" t="s">
        <v>1213</v>
      </c>
      <c r="E28" s="71"/>
      <c r="F28" s="71"/>
      <c r="G28" s="94" t="s">
        <v>245</v>
      </c>
      <c r="H28" s="136"/>
      <c r="I28" s="103"/>
      <c r="J28" s="103"/>
      <c r="K28" s="90"/>
    </row>
    <row r="29" spans="1:11" x14ac:dyDescent="0.2">
      <c r="A29" s="91"/>
      <c r="B29" s="69"/>
      <c r="C29" s="70"/>
      <c r="D29" s="70"/>
      <c r="E29" s="71"/>
      <c r="F29" s="71"/>
      <c r="G29" s="93"/>
      <c r="H29" s="93"/>
      <c r="I29" s="89"/>
      <c r="J29" s="89"/>
      <c r="K29" s="90"/>
    </row>
    <row r="30" spans="1:11" x14ac:dyDescent="0.2">
      <c r="A30" s="91"/>
      <c r="B30" s="69"/>
      <c r="C30" s="70" t="s">
        <v>1214</v>
      </c>
      <c r="D30" s="70" t="s">
        <v>1215</v>
      </c>
      <c r="E30" s="71"/>
      <c r="F30" s="71"/>
      <c r="G30" s="135" t="s">
        <v>53</v>
      </c>
      <c r="H30" s="140"/>
      <c r="I30" s="95">
        <f>I31+I32+I33+I34+I35</f>
        <v>0</v>
      </c>
      <c r="J30" s="95">
        <f>J31+J32+J33+J34+J35</f>
        <v>0</v>
      </c>
      <c r="K30" s="90"/>
    </row>
    <row r="31" spans="1:11" ht="24" x14ac:dyDescent="0.2">
      <c r="A31" s="91"/>
      <c r="B31" s="69"/>
      <c r="C31" s="70"/>
      <c r="D31" s="70" t="s">
        <v>1</v>
      </c>
      <c r="E31" s="71" t="s">
        <v>1197</v>
      </c>
      <c r="F31" s="71"/>
      <c r="G31" s="141" t="s">
        <v>54</v>
      </c>
      <c r="H31" s="142"/>
      <c r="I31" s="103"/>
      <c r="J31" s="103"/>
      <c r="K31" s="90"/>
    </row>
    <row r="32" spans="1:11" x14ac:dyDescent="0.2">
      <c r="A32" s="91"/>
      <c r="B32" s="69"/>
      <c r="C32" s="70"/>
      <c r="D32" s="70" t="s">
        <v>1193</v>
      </c>
      <c r="E32" s="71" t="s">
        <v>1198</v>
      </c>
      <c r="F32" s="71"/>
      <c r="G32" s="94" t="s">
        <v>247</v>
      </c>
      <c r="H32" s="136"/>
      <c r="I32" s="103"/>
      <c r="J32" s="103"/>
      <c r="K32" s="90"/>
    </row>
    <row r="33" spans="1:11" ht="45.75" customHeight="1" x14ac:dyDescent="0.2">
      <c r="A33" s="91"/>
      <c r="B33" s="69"/>
      <c r="C33" s="70"/>
      <c r="D33" s="70" t="s">
        <v>1194</v>
      </c>
      <c r="E33" s="71" t="s">
        <v>83</v>
      </c>
      <c r="F33" s="71"/>
      <c r="G33" s="143" t="s">
        <v>242</v>
      </c>
      <c r="H33" s="142"/>
      <c r="I33" s="103"/>
      <c r="J33" s="103"/>
      <c r="K33" s="90"/>
    </row>
    <row r="34" spans="1:11" ht="24" x14ac:dyDescent="0.2">
      <c r="A34" s="91"/>
      <c r="B34" s="69"/>
      <c r="C34" s="70"/>
      <c r="D34" s="70" t="s">
        <v>1195</v>
      </c>
      <c r="E34" s="71" t="s">
        <v>84</v>
      </c>
      <c r="F34" s="71"/>
      <c r="G34" s="94" t="s">
        <v>243</v>
      </c>
      <c r="H34" s="136"/>
      <c r="I34" s="103"/>
      <c r="J34" s="103"/>
      <c r="K34" s="90"/>
    </row>
    <row r="35" spans="1:11" x14ac:dyDescent="0.2">
      <c r="A35" s="91"/>
      <c r="B35" s="69"/>
      <c r="C35" s="70"/>
      <c r="D35" s="70" t="s">
        <v>1196</v>
      </c>
      <c r="E35" s="71" t="s">
        <v>1192</v>
      </c>
      <c r="F35" s="71"/>
      <c r="G35" s="94" t="s">
        <v>244</v>
      </c>
      <c r="H35" s="136"/>
      <c r="I35" s="103"/>
      <c r="J35" s="103"/>
      <c r="K35" s="90"/>
    </row>
    <row r="36" spans="1:11" x14ac:dyDescent="0.2">
      <c r="A36" s="91"/>
      <c r="B36" s="69"/>
      <c r="C36" s="70"/>
      <c r="D36" s="70"/>
      <c r="E36" s="71"/>
      <c r="F36" s="71"/>
      <c r="G36" s="93"/>
      <c r="H36" s="93"/>
      <c r="I36" s="89"/>
      <c r="J36" s="89"/>
      <c r="K36" s="90"/>
    </row>
    <row r="37" spans="1:11" ht="47.25" customHeight="1" x14ac:dyDescent="0.2">
      <c r="A37" s="91"/>
      <c r="B37" s="69"/>
      <c r="C37" s="70" t="s">
        <v>1199</v>
      </c>
      <c r="D37" s="679" t="s">
        <v>122</v>
      </c>
      <c r="E37" s="680"/>
      <c r="F37" s="106"/>
      <c r="G37" s="137" t="s">
        <v>96</v>
      </c>
      <c r="H37" s="133"/>
      <c r="I37" s="103"/>
      <c r="J37" s="103"/>
      <c r="K37" s="90"/>
    </row>
    <row r="38" spans="1:11" x14ac:dyDescent="0.2">
      <c r="A38" s="91"/>
      <c r="B38" s="69"/>
      <c r="C38" s="70"/>
      <c r="D38" s="70"/>
      <c r="E38" s="71"/>
      <c r="F38" s="71"/>
      <c r="G38" s="93"/>
      <c r="H38" s="93"/>
      <c r="I38" s="89"/>
      <c r="J38" s="89"/>
      <c r="K38" s="90"/>
    </row>
    <row r="39" spans="1:11" ht="63.75" customHeight="1" x14ac:dyDescent="0.2">
      <c r="A39" s="91"/>
      <c r="B39" s="69"/>
      <c r="C39" s="70" t="s">
        <v>2</v>
      </c>
      <c r="D39" s="679" t="s">
        <v>85</v>
      </c>
      <c r="E39" s="680"/>
      <c r="F39" s="106"/>
      <c r="G39" s="143" t="s">
        <v>97</v>
      </c>
      <c r="H39" s="142"/>
      <c r="I39" s="103"/>
      <c r="J39" s="103"/>
      <c r="K39" s="90"/>
    </row>
    <row r="40" spans="1:11" x14ac:dyDescent="0.2">
      <c r="A40" s="91"/>
      <c r="B40" s="69"/>
      <c r="C40" s="70"/>
      <c r="D40" s="70"/>
      <c r="E40" s="71"/>
      <c r="F40" s="71"/>
      <c r="G40" s="93"/>
      <c r="H40" s="93"/>
      <c r="I40" s="89"/>
      <c r="J40" s="89"/>
      <c r="K40" s="90"/>
    </row>
    <row r="41" spans="1:11" x14ac:dyDescent="0.2">
      <c r="A41" s="91"/>
      <c r="B41" s="69"/>
      <c r="C41" s="70" t="s">
        <v>3</v>
      </c>
      <c r="D41" s="70" t="s">
        <v>13</v>
      </c>
      <c r="E41" s="71"/>
      <c r="F41" s="71"/>
      <c r="G41" s="143" t="s">
        <v>98</v>
      </c>
      <c r="H41" s="136"/>
      <c r="I41" s="103"/>
      <c r="J41" s="103"/>
      <c r="K41" s="90"/>
    </row>
    <row r="42" spans="1:11" x14ac:dyDescent="0.2">
      <c r="A42" s="91"/>
      <c r="B42" s="69"/>
      <c r="C42" s="70"/>
      <c r="D42" s="70"/>
      <c r="E42" s="71"/>
      <c r="F42" s="71"/>
      <c r="G42" s="93"/>
      <c r="H42" s="93"/>
      <c r="I42" s="89"/>
      <c r="J42" s="89"/>
      <c r="K42" s="90"/>
    </row>
    <row r="43" spans="1:11" x14ac:dyDescent="0.2">
      <c r="A43" s="91"/>
      <c r="B43" s="92" t="s">
        <v>1151</v>
      </c>
      <c r="C43" s="70" t="s">
        <v>1203</v>
      </c>
      <c r="D43" s="70"/>
      <c r="E43" s="71"/>
      <c r="F43" s="71"/>
      <c r="G43" s="137" t="s">
        <v>91</v>
      </c>
      <c r="H43" s="133"/>
      <c r="I43" s="102">
        <f>I20-SUM(I22+I28+I30+I37+I39+I41)</f>
        <v>0</v>
      </c>
      <c r="J43" s="102">
        <f>J20-SUM(J22+J28+J30+J37+J39+J41)</f>
        <v>0</v>
      </c>
      <c r="K43" s="144">
        <f>I43-J43</f>
        <v>0</v>
      </c>
    </row>
    <row r="44" spans="1:11" x14ac:dyDescent="0.2">
      <c r="A44" s="91"/>
      <c r="B44" s="69"/>
      <c r="C44" s="70"/>
      <c r="D44" s="70"/>
      <c r="E44" s="71"/>
      <c r="F44" s="71"/>
      <c r="G44" s="93"/>
      <c r="H44" s="93"/>
      <c r="I44" s="89"/>
      <c r="J44" s="89"/>
      <c r="K44" s="90"/>
    </row>
    <row r="45" spans="1:11" x14ac:dyDescent="0.2">
      <c r="A45" s="91"/>
      <c r="B45" s="92" t="s">
        <v>1152</v>
      </c>
      <c r="C45" s="70" t="s">
        <v>1200</v>
      </c>
      <c r="D45" s="70"/>
      <c r="E45" s="70"/>
      <c r="F45" s="70"/>
      <c r="G45" s="135" t="s">
        <v>55</v>
      </c>
      <c r="H45" s="136"/>
      <c r="I45" s="103"/>
      <c r="J45" s="103"/>
      <c r="K45" s="90"/>
    </row>
    <row r="46" spans="1:11" x14ac:dyDescent="0.2">
      <c r="A46" s="91"/>
      <c r="B46" s="69"/>
      <c r="C46" s="70" t="s">
        <v>1119</v>
      </c>
      <c r="D46" s="70"/>
      <c r="E46" s="71"/>
      <c r="F46" s="71"/>
      <c r="G46" s="93"/>
      <c r="H46" s="93"/>
      <c r="I46" s="89"/>
      <c r="J46" s="89"/>
      <c r="K46" s="90"/>
    </row>
    <row r="47" spans="1:11" x14ac:dyDescent="0.2">
      <c r="A47" s="91"/>
      <c r="B47" s="69"/>
      <c r="C47" s="70" t="s">
        <v>1201</v>
      </c>
      <c r="D47" s="70"/>
      <c r="E47" s="71"/>
      <c r="F47" s="71"/>
      <c r="G47" s="135" t="s">
        <v>92</v>
      </c>
      <c r="H47" s="133"/>
      <c r="I47" s="103"/>
      <c r="J47" s="103"/>
      <c r="K47" s="90"/>
    </row>
    <row r="48" spans="1:11" x14ac:dyDescent="0.2">
      <c r="A48" s="91"/>
      <c r="B48" s="92" t="s">
        <v>1152</v>
      </c>
      <c r="C48" s="70" t="s">
        <v>1202</v>
      </c>
      <c r="D48" s="70"/>
      <c r="E48" s="70"/>
      <c r="F48" s="70"/>
      <c r="G48" s="135" t="s">
        <v>118</v>
      </c>
      <c r="H48" s="136"/>
      <c r="I48" s="102">
        <f>I45-I47</f>
        <v>0</v>
      </c>
      <c r="J48" s="102">
        <f>J45-J47</f>
        <v>0</v>
      </c>
      <c r="K48" s="139">
        <f>I48-J48</f>
        <v>0</v>
      </c>
    </row>
    <row r="49" spans="1:11" x14ac:dyDescent="0.2">
      <c r="A49" s="91"/>
      <c r="B49" s="69"/>
      <c r="C49" s="70"/>
      <c r="D49" s="70"/>
      <c r="E49" s="71"/>
      <c r="F49" s="71"/>
      <c r="G49" s="93"/>
      <c r="H49" s="93"/>
      <c r="I49" s="89"/>
      <c r="J49" s="89"/>
      <c r="K49" s="90"/>
    </row>
    <row r="50" spans="1:11" x14ac:dyDescent="0.2">
      <c r="A50" s="91"/>
      <c r="B50" s="92" t="s">
        <v>1153</v>
      </c>
      <c r="C50" s="69" t="s">
        <v>1204</v>
      </c>
      <c r="D50" s="70"/>
      <c r="E50" s="71"/>
      <c r="F50" s="71"/>
      <c r="G50" s="135" t="s">
        <v>56</v>
      </c>
      <c r="H50" s="136"/>
      <c r="I50" s="103"/>
      <c r="J50" s="103"/>
      <c r="K50" s="139">
        <f>I50-J50</f>
        <v>0</v>
      </c>
    </row>
    <row r="51" spans="1:11" x14ac:dyDescent="0.2">
      <c r="A51" s="91"/>
      <c r="B51" s="69"/>
      <c r="C51" s="70"/>
      <c r="D51" s="70"/>
      <c r="E51" s="71"/>
      <c r="F51" s="71"/>
      <c r="G51" s="93"/>
      <c r="H51" s="93"/>
      <c r="I51" s="89"/>
      <c r="J51" s="89"/>
      <c r="K51" s="90"/>
    </row>
    <row r="52" spans="1:11" s="22" customFormat="1" x14ac:dyDescent="0.2">
      <c r="A52" s="91"/>
      <c r="B52" s="92" t="s">
        <v>1154</v>
      </c>
      <c r="C52" s="69" t="s">
        <v>1205</v>
      </c>
      <c r="D52" s="70"/>
      <c r="E52" s="134"/>
      <c r="F52" s="134"/>
      <c r="G52" s="94" t="s">
        <v>119</v>
      </c>
      <c r="H52" s="136"/>
      <c r="I52" s="103"/>
      <c r="J52" s="103"/>
      <c r="K52" s="139">
        <f>I52-J52</f>
        <v>0</v>
      </c>
    </row>
    <row r="53" spans="1:11" x14ac:dyDescent="0.2">
      <c r="A53" s="91"/>
      <c r="B53" s="69"/>
      <c r="C53" s="70"/>
      <c r="D53" s="70"/>
      <c r="E53" s="71"/>
      <c r="F53" s="71"/>
      <c r="G53" s="93"/>
      <c r="H53" s="133"/>
      <c r="I53" s="89"/>
      <c r="J53" s="89"/>
      <c r="K53" s="90"/>
    </row>
    <row r="54" spans="1:11" x14ac:dyDescent="0.2">
      <c r="A54" s="91"/>
      <c r="B54" s="92" t="s">
        <v>1216</v>
      </c>
      <c r="C54" s="69" t="s">
        <v>14</v>
      </c>
      <c r="D54" s="70"/>
      <c r="E54" s="71"/>
      <c r="F54" s="71"/>
      <c r="G54" s="137" t="s">
        <v>94</v>
      </c>
      <c r="H54" s="133"/>
      <c r="I54" s="103"/>
      <c r="J54" s="103"/>
      <c r="K54" s="90"/>
    </row>
    <row r="55" spans="1:11" ht="14.25" x14ac:dyDescent="0.2">
      <c r="A55" s="91"/>
      <c r="B55" s="69"/>
      <c r="C55" s="69" t="s">
        <v>1217</v>
      </c>
      <c r="D55" s="69" t="s">
        <v>911</v>
      </c>
      <c r="E55" s="71"/>
      <c r="F55" s="71"/>
      <c r="G55" s="135" t="s">
        <v>58</v>
      </c>
      <c r="H55" s="136"/>
      <c r="I55" s="103"/>
      <c r="J55" s="103"/>
      <c r="K55" s="90"/>
    </row>
    <row r="56" spans="1:11" x14ac:dyDescent="0.2">
      <c r="A56" s="91"/>
      <c r="B56" s="69" t="s">
        <v>1176</v>
      </c>
      <c r="C56" s="70"/>
      <c r="D56" s="70"/>
      <c r="E56" s="71"/>
      <c r="F56" s="71"/>
      <c r="G56" s="93"/>
      <c r="H56" s="93"/>
      <c r="I56" s="89"/>
      <c r="J56" s="89"/>
      <c r="K56" s="90"/>
    </row>
    <row r="57" spans="1:11" x14ac:dyDescent="0.2">
      <c r="A57" s="91"/>
      <c r="B57" s="69"/>
      <c r="C57" s="70" t="s">
        <v>1218</v>
      </c>
      <c r="D57" s="70" t="s">
        <v>1219</v>
      </c>
      <c r="E57" s="71"/>
      <c r="F57" s="71"/>
      <c r="G57" s="135" t="s">
        <v>59</v>
      </c>
      <c r="H57" s="136"/>
      <c r="I57" s="102">
        <f>SUM(I58:I61)</f>
        <v>0</v>
      </c>
      <c r="J57" s="102">
        <f>SUM(J58:J61)</f>
        <v>0</v>
      </c>
      <c r="K57" s="90"/>
    </row>
    <row r="58" spans="1:11" x14ac:dyDescent="0.2">
      <c r="A58" s="91"/>
      <c r="B58" s="69"/>
      <c r="C58" s="70"/>
      <c r="D58" s="70" t="s">
        <v>1220</v>
      </c>
      <c r="E58" s="71" t="s">
        <v>1221</v>
      </c>
      <c r="F58" s="71"/>
      <c r="G58" s="135" t="s">
        <v>60</v>
      </c>
      <c r="H58" s="136"/>
      <c r="I58" s="103"/>
      <c r="J58" s="103"/>
      <c r="K58" s="90"/>
    </row>
    <row r="59" spans="1:11" x14ac:dyDescent="0.2">
      <c r="A59" s="91"/>
      <c r="B59" s="69"/>
      <c r="C59" s="70"/>
      <c r="D59" s="70" t="s">
        <v>1223</v>
      </c>
      <c r="E59" s="71" t="s">
        <v>1222</v>
      </c>
      <c r="F59" s="71"/>
      <c r="G59" s="135" t="s">
        <v>61</v>
      </c>
      <c r="H59" s="136"/>
      <c r="I59" s="103"/>
      <c r="J59" s="103"/>
      <c r="K59" s="90"/>
    </row>
    <row r="60" spans="1:11" x14ac:dyDescent="0.2">
      <c r="A60" s="91"/>
      <c r="B60" s="69"/>
      <c r="C60" s="70"/>
      <c r="D60" s="70" t="s">
        <v>1224</v>
      </c>
      <c r="E60" s="71" t="s">
        <v>1225</v>
      </c>
      <c r="F60" s="71"/>
      <c r="G60" s="135" t="s">
        <v>62</v>
      </c>
      <c r="H60" s="136"/>
      <c r="I60" s="103"/>
      <c r="J60" s="103"/>
      <c r="K60" s="90"/>
    </row>
    <row r="61" spans="1:11" x14ac:dyDescent="0.2">
      <c r="A61" s="91"/>
      <c r="B61" s="69"/>
      <c r="C61" s="70"/>
      <c r="D61" s="70" t="s">
        <v>1226</v>
      </c>
      <c r="E61" s="71" t="s">
        <v>1211</v>
      </c>
      <c r="F61" s="71"/>
      <c r="G61" s="135" t="s">
        <v>63</v>
      </c>
      <c r="H61" s="136"/>
      <c r="I61" s="103"/>
      <c r="J61" s="103"/>
      <c r="K61" s="90"/>
    </row>
    <row r="62" spans="1:11" x14ac:dyDescent="0.2">
      <c r="A62" s="91"/>
      <c r="B62" s="69"/>
      <c r="C62" s="70" t="s">
        <v>1183</v>
      </c>
      <c r="D62" s="70" t="s">
        <v>1227</v>
      </c>
      <c r="E62" s="71"/>
      <c r="F62" s="71"/>
      <c r="G62" s="135" t="s">
        <v>64</v>
      </c>
      <c r="H62" s="136"/>
      <c r="I62" s="102">
        <f>SUM(I63:I66)</f>
        <v>0</v>
      </c>
      <c r="J62" s="102">
        <f>SUM(J63:J66)</f>
        <v>0</v>
      </c>
      <c r="K62" s="90"/>
    </row>
    <row r="63" spans="1:11" x14ac:dyDescent="0.2">
      <c r="A63" s="91"/>
      <c r="B63" s="69"/>
      <c r="C63" s="70"/>
      <c r="D63" s="70" t="s">
        <v>1228</v>
      </c>
      <c r="E63" s="71" t="s">
        <v>1229</v>
      </c>
      <c r="F63" s="71"/>
      <c r="G63" s="135" t="s">
        <v>65</v>
      </c>
      <c r="H63" s="136"/>
      <c r="I63" s="103"/>
      <c r="J63" s="103"/>
      <c r="K63" s="90"/>
    </row>
    <row r="64" spans="1:11" ht="24" x14ac:dyDescent="0.2">
      <c r="A64" s="91"/>
      <c r="B64" s="69"/>
      <c r="C64" s="70"/>
      <c r="D64" s="70" t="s">
        <v>1230</v>
      </c>
      <c r="E64" s="71" t="s">
        <v>87</v>
      </c>
      <c r="F64" s="71"/>
      <c r="G64" s="135" t="s">
        <v>66</v>
      </c>
      <c r="H64" s="136"/>
      <c r="I64" s="103"/>
      <c r="J64" s="103"/>
      <c r="K64" s="90"/>
    </row>
    <row r="65" spans="1:11" x14ac:dyDescent="0.2">
      <c r="A65" s="91"/>
      <c r="B65" s="69"/>
      <c r="C65" s="70"/>
      <c r="D65" s="70" t="s">
        <v>1231</v>
      </c>
      <c r="E65" s="71" t="s">
        <v>1232</v>
      </c>
      <c r="F65" s="71"/>
      <c r="G65" s="135" t="s">
        <v>67</v>
      </c>
      <c r="H65" s="136"/>
      <c r="I65" s="103"/>
      <c r="J65" s="103"/>
      <c r="K65" s="90"/>
    </row>
    <row r="66" spans="1:11" x14ac:dyDescent="0.2">
      <c r="A66" s="91"/>
      <c r="B66" s="69"/>
      <c r="C66" s="70"/>
      <c r="D66" s="70" t="s">
        <v>1233</v>
      </c>
      <c r="E66" s="71" t="s">
        <v>1211</v>
      </c>
      <c r="F66" s="71"/>
      <c r="G66" s="135" t="s">
        <v>68</v>
      </c>
      <c r="H66" s="136"/>
      <c r="I66" s="103"/>
      <c r="J66" s="103"/>
      <c r="K66" s="90"/>
    </row>
    <row r="67" spans="1:11" ht="40.5" customHeight="1" x14ac:dyDescent="0.2">
      <c r="A67" s="91"/>
      <c r="B67" s="69"/>
      <c r="C67" s="70" t="s">
        <v>1185</v>
      </c>
      <c r="D67" s="679" t="s">
        <v>912</v>
      </c>
      <c r="E67" s="680"/>
      <c r="F67" s="106"/>
      <c r="G67" s="135" t="s">
        <v>86</v>
      </c>
      <c r="H67" s="136"/>
      <c r="I67" s="103"/>
      <c r="J67" s="103"/>
      <c r="K67" s="90"/>
    </row>
    <row r="68" spans="1:11" s="22" customFormat="1" x14ac:dyDescent="0.2">
      <c r="A68" s="91"/>
      <c r="B68" s="92" t="s">
        <v>1216</v>
      </c>
      <c r="C68" s="69" t="s">
        <v>1234</v>
      </c>
      <c r="D68" s="70"/>
      <c r="E68" s="145"/>
      <c r="F68" s="145"/>
      <c r="G68" s="137" t="s">
        <v>93</v>
      </c>
      <c r="H68" s="133"/>
      <c r="I68" s="102">
        <f>I54+I55-SUM(I57+I62+I67)</f>
        <v>0</v>
      </c>
      <c r="J68" s="102">
        <f>J54+J55-SUM(J57+J62+J67)</f>
        <v>0</v>
      </c>
      <c r="K68" s="139">
        <f>I68-J68</f>
        <v>0</v>
      </c>
    </row>
    <row r="69" spans="1:11" x14ac:dyDescent="0.2">
      <c r="A69" s="91"/>
      <c r="B69" s="69"/>
      <c r="C69" s="70"/>
      <c r="D69" s="70"/>
      <c r="E69" s="71"/>
      <c r="F69" s="71"/>
      <c r="G69" s="93"/>
      <c r="H69" s="93"/>
      <c r="I69" s="89"/>
      <c r="J69" s="89"/>
      <c r="K69" s="90"/>
    </row>
    <row r="70" spans="1:11" x14ac:dyDescent="0.2">
      <c r="A70" s="146"/>
      <c r="B70" s="92" t="s">
        <v>1235</v>
      </c>
      <c r="C70" s="69" t="s">
        <v>1236</v>
      </c>
      <c r="D70" s="70"/>
      <c r="E70" s="71"/>
      <c r="F70" s="71"/>
      <c r="G70" s="137" t="s">
        <v>102</v>
      </c>
      <c r="H70" s="133"/>
      <c r="I70" s="102">
        <f>I18+I43+I48+I50+I52+I68</f>
        <v>0</v>
      </c>
      <c r="J70" s="102">
        <f>J18+J43+J48+J50+J52+J68</f>
        <v>0</v>
      </c>
      <c r="K70" s="144">
        <f>I70-J70</f>
        <v>0</v>
      </c>
    </row>
    <row r="71" spans="1:11" x14ac:dyDescent="0.2">
      <c r="A71" s="91"/>
      <c r="B71" s="69"/>
      <c r="C71" s="70"/>
      <c r="D71" s="70"/>
      <c r="E71" s="71"/>
      <c r="F71" s="71"/>
      <c r="G71" s="93"/>
      <c r="H71" s="93"/>
      <c r="I71" s="89"/>
      <c r="J71" s="89"/>
      <c r="K71" s="90"/>
    </row>
    <row r="72" spans="1:11" x14ac:dyDescent="0.2">
      <c r="A72" s="147"/>
      <c r="B72" s="92" t="s">
        <v>1237</v>
      </c>
      <c r="C72" s="679" t="s">
        <v>913</v>
      </c>
      <c r="D72" s="679"/>
      <c r="E72" s="680"/>
      <c r="F72" s="106"/>
      <c r="G72" s="93"/>
      <c r="H72" s="93"/>
      <c r="I72" s="89"/>
      <c r="J72" s="89"/>
      <c r="K72" s="90"/>
    </row>
    <row r="73" spans="1:11" x14ac:dyDescent="0.2">
      <c r="A73" s="91"/>
      <c r="B73" s="69"/>
      <c r="C73" s="70" t="s">
        <v>1218</v>
      </c>
      <c r="D73" s="70" t="s">
        <v>89</v>
      </c>
      <c r="E73" s="71"/>
      <c r="F73" s="71"/>
      <c r="G73" s="107" t="s">
        <v>99</v>
      </c>
      <c r="H73" s="148"/>
      <c r="I73" s="103"/>
      <c r="J73" s="103"/>
      <c r="K73" s="139">
        <f>I73-J73</f>
        <v>0</v>
      </c>
    </row>
    <row r="74" spans="1:11" x14ac:dyDescent="0.2">
      <c r="A74" s="91"/>
      <c r="B74" s="69"/>
      <c r="C74" s="70" t="s">
        <v>1212</v>
      </c>
      <c r="D74" s="70" t="s">
        <v>1238</v>
      </c>
      <c r="E74" s="71"/>
      <c r="F74" s="71"/>
      <c r="G74" s="135" t="s">
        <v>75</v>
      </c>
      <c r="H74" s="136"/>
      <c r="I74" s="103"/>
      <c r="J74" s="103"/>
      <c r="K74" s="139">
        <f>I74-J74</f>
        <v>0</v>
      </c>
    </row>
    <row r="75" spans="1:11" x14ac:dyDescent="0.2">
      <c r="A75" s="91"/>
      <c r="B75" s="69"/>
      <c r="C75" s="70" t="s">
        <v>1185</v>
      </c>
      <c r="D75" s="70" t="s">
        <v>1239</v>
      </c>
      <c r="E75" s="71"/>
      <c r="F75" s="71"/>
      <c r="G75" s="135" t="s">
        <v>76</v>
      </c>
      <c r="H75" s="136"/>
      <c r="I75" s="103"/>
      <c r="J75" s="103"/>
      <c r="K75" s="139">
        <f>I75-J75</f>
        <v>0</v>
      </c>
    </row>
    <row r="76" spans="1:11" x14ac:dyDescent="0.2">
      <c r="A76" s="91"/>
      <c r="B76" s="69"/>
      <c r="C76" s="70" t="s">
        <v>1199</v>
      </c>
      <c r="D76" s="70" t="s">
        <v>88</v>
      </c>
      <c r="E76" s="71"/>
      <c r="F76" s="71"/>
      <c r="G76" s="135" t="s">
        <v>77</v>
      </c>
      <c r="H76" s="136"/>
      <c r="I76" s="103"/>
      <c r="J76" s="103"/>
      <c r="K76" s="139">
        <f>I76-J76</f>
        <v>0</v>
      </c>
    </row>
    <row r="77" spans="1:11" x14ac:dyDescent="0.2">
      <c r="A77" s="91"/>
      <c r="B77" s="69"/>
      <c r="C77" s="70" t="s">
        <v>2</v>
      </c>
      <c r="D77" s="70" t="s">
        <v>1240</v>
      </c>
      <c r="E77" s="71"/>
      <c r="F77" s="71"/>
      <c r="G77" s="135" t="s">
        <v>69</v>
      </c>
      <c r="H77" s="136"/>
      <c r="I77" s="103"/>
      <c r="J77" s="103"/>
      <c r="K77" s="139">
        <f t="shared" ref="K77:K82" si="0">I77-J77</f>
        <v>0</v>
      </c>
    </row>
    <row r="78" spans="1:11" x14ac:dyDescent="0.2">
      <c r="A78" s="91"/>
      <c r="B78" s="69"/>
      <c r="C78" s="70" t="s">
        <v>3</v>
      </c>
      <c r="D78" s="70" t="s">
        <v>74</v>
      </c>
      <c r="E78" s="71"/>
      <c r="F78" s="71"/>
      <c r="G78" s="135" t="s">
        <v>78</v>
      </c>
      <c r="H78" s="136"/>
      <c r="I78" s="103"/>
      <c r="J78" s="103"/>
      <c r="K78" s="139">
        <f t="shared" si="0"/>
        <v>0</v>
      </c>
    </row>
    <row r="79" spans="1:11" x14ac:dyDescent="0.2">
      <c r="A79" s="91"/>
      <c r="B79" s="69"/>
      <c r="C79" s="70" t="s">
        <v>1241</v>
      </c>
      <c r="D79" s="70" t="s">
        <v>1242</v>
      </c>
      <c r="E79" s="71"/>
      <c r="F79" s="71"/>
      <c r="G79" s="135" t="s">
        <v>113</v>
      </c>
      <c r="H79" s="136"/>
      <c r="I79" s="103"/>
      <c r="J79" s="103"/>
      <c r="K79" s="139">
        <f t="shared" si="0"/>
        <v>0</v>
      </c>
    </row>
    <row r="80" spans="1:11" x14ac:dyDescent="0.2">
      <c r="A80" s="91"/>
      <c r="B80" s="69"/>
      <c r="C80" s="70" t="s">
        <v>1243</v>
      </c>
      <c r="D80" s="70" t="s">
        <v>1244</v>
      </c>
      <c r="E80" s="71"/>
      <c r="F80" s="71"/>
      <c r="G80" s="135" t="s">
        <v>79</v>
      </c>
      <c r="H80" s="136"/>
      <c r="I80" s="103"/>
      <c r="J80" s="103"/>
      <c r="K80" s="139">
        <f t="shared" si="0"/>
        <v>0</v>
      </c>
    </row>
    <row r="81" spans="1:11" x14ac:dyDescent="0.2">
      <c r="A81" s="91"/>
      <c r="B81" s="69"/>
      <c r="C81" s="70" t="s">
        <v>1245</v>
      </c>
      <c r="D81" s="70" t="s">
        <v>1246</v>
      </c>
      <c r="E81" s="71"/>
      <c r="F81" s="71"/>
      <c r="G81" s="135" t="s">
        <v>80</v>
      </c>
      <c r="H81" s="136"/>
      <c r="I81" s="103"/>
      <c r="J81" s="103"/>
      <c r="K81" s="139">
        <f t="shared" si="0"/>
        <v>0</v>
      </c>
    </row>
    <row r="82" spans="1:11" x14ac:dyDescent="0.2">
      <c r="A82" s="91"/>
      <c r="B82" s="69"/>
      <c r="C82" s="70" t="s">
        <v>4</v>
      </c>
      <c r="D82" s="70" t="s">
        <v>1253</v>
      </c>
      <c r="E82" s="71"/>
      <c r="F82" s="71"/>
      <c r="G82" s="135" t="s">
        <v>70</v>
      </c>
      <c r="H82" s="136"/>
      <c r="I82" s="103"/>
      <c r="J82" s="103"/>
      <c r="K82" s="139">
        <f t="shared" si="0"/>
        <v>0</v>
      </c>
    </row>
    <row r="83" spans="1:11" x14ac:dyDescent="0.2">
      <c r="A83" s="91"/>
      <c r="B83" s="69"/>
      <c r="C83" s="70" t="s">
        <v>5</v>
      </c>
      <c r="D83" s="70" t="s">
        <v>15</v>
      </c>
      <c r="E83" s="71"/>
      <c r="F83" s="71"/>
      <c r="G83" s="135" t="s">
        <v>81</v>
      </c>
      <c r="H83" s="136"/>
      <c r="I83" s="103"/>
      <c r="J83" s="103"/>
      <c r="K83" s="139">
        <f>I83-J83</f>
        <v>0</v>
      </c>
    </row>
    <row r="84" spans="1:11" x14ac:dyDescent="0.2">
      <c r="A84" s="91"/>
      <c r="B84" s="69"/>
      <c r="C84" s="70" t="s">
        <v>6</v>
      </c>
      <c r="D84" s="70" t="s">
        <v>1247</v>
      </c>
      <c r="E84" s="71"/>
      <c r="F84" s="71"/>
      <c r="G84" s="94" t="s">
        <v>103</v>
      </c>
      <c r="H84" s="136"/>
      <c r="I84" s="102">
        <f>SUM(I85:I91)</f>
        <v>0</v>
      </c>
      <c r="J84" s="102">
        <f>SUM(J85:J91)</f>
        <v>0</v>
      </c>
      <c r="K84" s="149">
        <f>I84-J84</f>
        <v>0</v>
      </c>
    </row>
    <row r="85" spans="1:11" x14ac:dyDescent="0.2">
      <c r="A85" s="91"/>
      <c r="B85" s="69"/>
      <c r="C85" s="70"/>
      <c r="D85" s="70" t="s">
        <v>1254</v>
      </c>
      <c r="E85" s="70" t="s">
        <v>1248</v>
      </c>
      <c r="F85" s="71"/>
      <c r="G85" s="94" t="s">
        <v>105</v>
      </c>
      <c r="H85" s="136"/>
      <c r="I85" s="103"/>
      <c r="J85" s="103"/>
      <c r="K85" s="90"/>
    </row>
    <row r="86" spans="1:11" x14ac:dyDescent="0.2">
      <c r="A86" s="91"/>
      <c r="B86" s="69"/>
      <c r="C86" s="70"/>
      <c r="D86" s="70" t="s">
        <v>1255</v>
      </c>
      <c r="E86" s="70" t="s">
        <v>1249</v>
      </c>
      <c r="F86" s="71"/>
      <c r="G86" s="94" t="s">
        <v>106</v>
      </c>
      <c r="H86" s="136"/>
      <c r="I86" s="103"/>
      <c r="J86" s="103"/>
      <c r="K86" s="90"/>
    </row>
    <row r="87" spans="1:11" ht="30.75" customHeight="1" x14ac:dyDescent="0.2">
      <c r="A87" s="91"/>
      <c r="B87" s="69"/>
      <c r="C87" s="70"/>
      <c r="D87" s="70" t="s">
        <v>1256</v>
      </c>
      <c r="E87" s="70" t="s">
        <v>1250</v>
      </c>
      <c r="F87" s="71"/>
      <c r="G87" s="94" t="s">
        <v>107</v>
      </c>
      <c r="H87" s="136"/>
      <c r="I87" s="103"/>
      <c r="J87" s="103"/>
      <c r="K87" s="90"/>
    </row>
    <row r="88" spans="1:11" ht="6" hidden="1" customHeight="1" x14ac:dyDescent="0.2">
      <c r="A88" s="150"/>
      <c r="B88" s="151"/>
      <c r="C88" s="148"/>
      <c r="D88" s="148"/>
      <c r="E88" s="148"/>
      <c r="F88" s="152"/>
      <c r="G88" s="159" t="s">
        <v>253</v>
      </c>
      <c r="H88" s="136"/>
      <c r="I88" s="153"/>
      <c r="J88" s="153"/>
      <c r="K88" s="90"/>
    </row>
    <row r="89" spans="1:11" ht="7.5" hidden="1" customHeight="1" x14ac:dyDescent="0.2">
      <c r="A89" s="150"/>
      <c r="B89" s="151"/>
      <c r="C89" s="148"/>
      <c r="D89" s="148"/>
      <c r="E89" s="148"/>
      <c r="F89" s="152"/>
      <c r="G89" s="159" t="s">
        <v>253</v>
      </c>
      <c r="H89" s="136"/>
      <c r="I89" s="103"/>
      <c r="J89" s="103"/>
      <c r="K89" s="90"/>
    </row>
    <row r="90" spans="1:11" ht="7.5" hidden="1" customHeight="1" x14ac:dyDescent="0.2">
      <c r="A90" s="150"/>
      <c r="B90" s="151"/>
      <c r="C90" s="148"/>
      <c r="D90" s="148"/>
      <c r="E90" s="148"/>
      <c r="F90" s="152"/>
      <c r="G90" s="159" t="s">
        <v>253</v>
      </c>
      <c r="H90" s="136"/>
      <c r="I90" s="103"/>
      <c r="J90" s="103"/>
      <c r="K90" s="90"/>
    </row>
    <row r="91" spans="1:11" x14ac:dyDescent="0.2">
      <c r="A91" s="91"/>
      <c r="B91" s="69"/>
      <c r="C91" s="70"/>
      <c r="D91" s="70" t="s">
        <v>1257</v>
      </c>
      <c r="E91" s="70" t="s">
        <v>1251</v>
      </c>
      <c r="F91" s="71"/>
      <c r="G91" s="94" t="s">
        <v>108</v>
      </c>
      <c r="H91" s="135" t="s">
        <v>121</v>
      </c>
      <c r="I91" s="154">
        <f>SUM(I92:I93)</f>
        <v>0</v>
      </c>
      <c r="J91" s="154">
        <f>SUM(J92:J93)</f>
        <v>0</v>
      </c>
      <c r="K91" s="90"/>
    </row>
    <row r="92" spans="1:11" x14ac:dyDescent="0.2">
      <c r="A92" s="155"/>
      <c r="B92" s="69"/>
      <c r="C92" s="70"/>
      <c r="D92" s="156" t="s">
        <v>1130</v>
      </c>
      <c r="E92" s="614"/>
      <c r="F92" s="71"/>
      <c r="G92" s="159" t="s">
        <v>253</v>
      </c>
      <c r="H92" s="135" t="s">
        <v>989</v>
      </c>
      <c r="I92" s="103"/>
      <c r="J92" s="103"/>
      <c r="K92" s="90"/>
    </row>
    <row r="93" spans="1:11" x14ac:dyDescent="0.2">
      <c r="A93" s="157" t="s">
        <v>366</v>
      </c>
      <c r="B93" s="69"/>
      <c r="C93" s="70"/>
      <c r="D93" s="158"/>
      <c r="E93" s="70"/>
      <c r="F93" s="71"/>
      <c r="G93" s="159" t="s">
        <v>253</v>
      </c>
      <c r="H93" s="159" t="s">
        <v>365</v>
      </c>
      <c r="I93" s="160"/>
      <c r="J93" s="160"/>
      <c r="K93" s="90"/>
    </row>
    <row r="94" spans="1:11" hidden="1" x14ac:dyDescent="0.2">
      <c r="A94" s="157"/>
      <c r="B94" s="69"/>
      <c r="C94" s="70"/>
      <c r="D94" s="158"/>
      <c r="E94" s="614"/>
      <c r="F94" s="71"/>
      <c r="G94" s="159" t="s">
        <v>253</v>
      </c>
      <c r="H94" s="135"/>
      <c r="I94" s="161"/>
      <c r="J94" s="161"/>
      <c r="K94" s="90"/>
    </row>
    <row r="95" spans="1:11" x14ac:dyDescent="0.2">
      <c r="A95" s="157"/>
      <c r="B95" s="69"/>
      <c r="C95" s="70"/>
      <c r="D95" s="158"/>
      <c r="E95" s="70"/>
      <c r="F95" s="71"/>
      <c r="G95" s="159" t="s">
        <v>253</v>
      </c>
      <c r="H95" s="135" t="s">
        <v>366</v>
      </c>
      <c r="I95" s="162" t="s">
        <v>366</v>
      </c>
      <c r="J95" s="163"/>
      <c r="K95" s="90"/>
    </row>
    <row r="96" spans="1:11" x14ac:dyDescent="0.2">
      <c r="A96" s="164"/>
      <c r="B96" s="69"/>
      <c r="C96" s="70" t="s">
        <v>120</v>
      </c>
      <c r="D96" s="70" t="s">
        <v>1252</v>
      </c>
      <c r="E96" s="71"/>
      <c r="F96" s="71"/>
      <c r="G96" s="94" t="s">
        <v>104</v>
      </c>
      <c r="H96" s="136"/>
      <c r="I96" s="103"/>
      <c r="J96" s="103"/>
      <c r="K96" s="139">
        <f>I96-J96</f>
        <v>0</v>
      </c>
    </row>
    <row r="97" spans="1:11" x14ac:dyDescent="0.2">
      <c r="A97" s="146" t="s">
        <v>1103</v>
      </c>
      <c r="B97" s="148"/>
      <c r="C97" s="148"/>
      <c r="D97" s="148"/>
      <c r="E97" s="165"/>
      <c r="F97" s="165"/>
      <c r="G97" s="94" t="s">
        <v>111</v>
      </c>
      <c r="H97" s="136"/>
      <c r="I97" s="95">
        <f>I73+I74+I75+I76+I77+I78+I79+I80+I81+I83+I84+I96+I82</f>
        <v>0</v>
      </c>
      <c r="J97" s="95">
        <f>J73+J74+J75+J76+J77+J78+J79+J80+J81+J83+J84+J96+J82</f>
        <v>0</v>
      </c>
      <c r="K97" s="139">
        <f>I97-J97</f>
        <v>0</v>
      </c>
    </row>
    <row r="98" spans="1:11" x14ac:dyDescent="0.2">
      <c r="A98" s="91"/>
      <c r="B98" s="69"/>
      <c r="C98" s="70"/>
      <c r="D98" s="70"/>
      <c r="E98" s="71"/>
      <c r="F98" s="71"/>
      <c r="G98" s="93"/>
      <c r="H98" s="93"/>
      <c r="I98" s="89"/>
      <c r="J98" s="89"/>
      <c r="K98" s="90"/>
    </row>
    <row r="99" spans="1:11" x14ac:dyDescent="0.2">
      <c r="A99" s="91"/>
      <c r="B99" s="92" t="s">
        <v>1258</v>
      </c>
      <c r="C99" s="166" t="s">
        <v>914</v>
      </c>
      <c r="D99" s="167"/>
      <c r="E99" s="168"/>
      <c r="F99" s="168"/>
      <c r="G99" s="94" t="s">
        <v>112</v>
      </c>
      <c r="H99" s="169"/>
      <c r="I99" s="139">
        <f>I18*0.15</f>
        <v>0</v>
      </c>
      <c r="J99" s="139">
        <f>J18*0.15</f>
        <v>0</v>
      </c>
      <c r="K99" s="139">
        <f>I99-J99</f>
        <v>0</v>
      </c>
    </row>
    <row r="100" spans="1:11" x14ac:dyDescent="0.2">
      <c r="A100" s="91"/>
      <c r="B100" s="69"/>
      <c r="C100" s="70"/>
      <c r="D100" s="70"/>
      <c r="E100" s="71"/>
      <c r="F100" s="71"/>
      <c r="G100" s="93"/>
      <c r="H100" s="93"/>
      <c r="I100" s="89"/>
      <c r="J100" s="89"/>
      <c r="K100" s="90"/>
    </row>
    <row r="101" spans="1:11" x14ac:dyDescent="0.2">
      <c r="A101" s="91"/>
      <c r="B101" s="92" t="s">
        <v>1259</v>
      </c>
      <c r="C101" s="69" t="s">
        <v>1260</v>
      </c>
      <c r="D101" s="70"/>
      <c r="E101" s="71"/>
      <c r="F101" s="71"/>
      <c r="G101" s="94" t="s">
        <v>109</v>
      </c>
      <c r="H101" s="169"/>
      <c r="I101" s="102">
        <f>I97+I99</f>
        <v>0</v>
      </c>
      <c r="J101" s="102">
        <f>J97+J99</f>
        <v>0</v>
      </c>
      <c r="K101" s="139">
        <f>I101-J101</f>
        <v>0</v>
      </c>
    </row>
    <row r="102" spans="1:11" x14ac:dyDescent="0.2">
      <c r="A102" s="91"/>
      <c r="B102" s="69"/>
      <c r="C102" s="70"/>
      <c r="D102" s="70"/>
      <c r="E102" s="71"/>
      <c r="F102" s="71"/>
      <c r="G102" s="170"/>
      <c r="H102" s="170"/>
      <c r="I102" s="182"/>
      <c r="J102" s="182"/>
      <c r="K102" s="183"/>
    </row>
    <row r="103" spans="1:11" s="13" customFormat="1" ht="12.75" thickBot="1" x14ac:dyDescent="0.25">
      <c r="A103" s="509"/>
      <c r="B103" s="171" t="s">
        <v>1261</v>
      </c>
      <c r="C103" s="172" t="s">
        <v>1262</v>
      </c>
      <c r="D103" s="173"/>
      <c r="E103" s="174"/>
      <c r="F103" s="175"/>
      <c r="G103" s="117" t="s">
        <v>110</v>
      </c>
      <c r="H103" s="176"/>
      <c r="I103" s="120">
        <f>+I70-I101</f>
        <v>0</v>
      </c>
      <c r="J103" s="120">
        <f>+J70-J101</f>
        <v>0</v>
      </c>
      <c r="K103" s="510">
        <f>I103-J103</f>
        <v>0</v>
      </c>
    </row>
    <row r="104" spans="1:11" ht="12.75" thickTop="1" x14ac:dyDescent="0.2">
      <c r="A104" s="69"/>
      <c r="B104" s="69"/>
      <c r="C104" s="70"/>
      <c r="D104" s="70"/>
      <c r="E104" s="71"/>
      <c r="F104" s="71"/>
      <c r="G104" s="121" t="s">
        <v>867</v>
      </c>
      <c r="H104" s="72"/>
      <c r="I104" s="73"/>
      <c r="J104" s="73"/>
      <c r="K104" s="73"/>
    </row>
    <row r="105" spans="1:11" x14ac:dyDescent="0.2">
      <c r="A105" s="122" t="s">
        <v>1108</v>
      </c>
      <c r="B105" s="122"/>
      <c r="C105" s="123"/>
      <c r="D105" s="123"/>
      <c r="E105" s="124"/>
      <c r="F105" s="124"/>
      <c r="G105" s="125"/>
      <c r="H105" s="125"/>
      <c r="I105" s="73"/>
      <c r="J105" s="73"/>
      <c r="K105" s="73"/>
    </row>
    <row r="106" spans="1:11" x14ac:dyDescent="0.2">
      <c r="A106" s="122"/>
      <c r="B106" s="122"/>
      <c r="C106" s="123"/>
      <c r="D106" s="123"/>
      <c r="E106" s="124"/>
      <c r="F106" s="124"/>
      <c r="G106" s="125"/>
      <c r="H106" s="125"/>
      <c r="I106" s="73"/>
      <c r="J106" s="73"/>
      <c r="K106" s="73"/>
    </row>
    <row r="107" spans="1:11" x14ac:dyDescent="0.2">
      <c r="A107" s="69" t="s">
        <v>139</v>
      </c>
      <c r="B107" s="69" t="s">
        <v>916</v>
      </c>
      <c r="C107" s="70"/>
      <c r="D107" s="70"/>
      <c r="E107" s="71"/>
      <c r="F107" s="71"/>
      <c r="G107" s="72"/>
      <c r="H107" s="72"/>
      <c r="I107" s="73"/>
      <c r="J107" s="73"/>
      <c r="K107" s="73"/>
    </row>
    <row r="108" spans="1:11" x14ac:dyDescent="0.2">
      <c r="A108" s="69"/>
      <c r="B108" s="69"/>
      <c r="C108" s="70"/>
      <c r="D108" s="70"/>
      <c r="E108" s="71"/>
      <c r="F108" s="71"/>
      <c r="G108" s="72"/>
      <c r="H108" s="72"/>
      <c r="I108" s="73"/>
      <c r="J108" s="73"/>
      <c r="K108" s="73"/>
    </row>
    <row r="109" spans="1:11" x14ac:dyDescent="0.2">
      <c r="A109" s="69" t="s">
        <v>140</v>
      </c>
      <c r="B109" s="69" t="s">
        <v>1190</v>
      </c>
      <c r="C109" s="70"/>
      <c r="D109" s="70"/>
      <c r="E109" s="71"/>
      <c r="F109" s="71"/>
      <c r="G109" s="72"/>
      <c r="H109" s="72"/>
      <c r="I109" s="73"/>
      <c r="J109" s="73"/>
      <c r="K109" s="73"/>
    </row>
    <row r="110" spans="1:11" x14ac:dyDescent="0.2">
      <c r="A110" s="69"/>
      <c r="B110" s="69"/>
      <c r="C110" s="70"/>
      <c r="D110" s="70"/>
      <c r="E110" s="71"/>
      <c r="F110" s="71"/>
      <c r="G110" s="72"/>
      <c r="H110" s="72"/>
      <c r="I110" s="73"/>
      <c r="J110" s="73"/>
      <c r="K110" s="73"/>
    </row>
    <row r="111" spans="1:11" x14ac:dyDescent="0.2">
      <c r="A111" s="69" t="s">
        <v>241</v>
      </c>
      <c r="B111" s="69" t="s">
        <v>19</v>
      </c>
      <c r="C111" s="70"/>
      <c r="D111" s="70"/>
      <c r="E111" s="71"/>
      <c r="F111" s="71"/>
      <c r="G111" s="72"/>
      <c r="H111" s="72"/>
      <c r="I111" s="73"/>
      <c r="J111" s="73"/>
      <c r="K111" s="73"/>
    </row>
    <row r="112" spans="1:11" x14ac:dyDescent="0.2">
      <c r="A112" s="69"/>
      <c r="B112" s="69"/>
      <c r="C112" s="70"/>
      <c r="D112" s="70"/>
      <c r="E112" s="71"/>
      <c r="F112" s="71"/>
      <c r="G112" s="72"/>
      <c r="H112" s="72"/>
      <c r="I112" s="73"/>
      <c r="J112" s="73"/>
      <c r="K112" s="73"/>
    </row>
    <row r="113" spans="1:11" x14ac:dyDescent="0.25">
      <c r="A113" s="12" t="s">
        <v>18</v>
      </c>
      <c r="B113" s="12" t="s">
        <v>1265</v>
      </c>
      <c r="I113" s="16"/>
      <c r="J113" s="16"/>
      <c r="K113" s="16"/>
    </row>
    <row r="114" spans="1:11" x14ac:dyDescent="0.25">
      <c r="I114" s="16"/>
      <c r="J114" s="16"/>
      <c r="K114" s="16"/>
    </row>
    <row r="115" spans="1:11" x14ac:dyDescent="0.25">
      <c r="I115" s="16"/>
      <c r="J115" s="16"/>
      <c r="K115" s="16"/>
    </row>
  </sheetData>
  <sheetProtection password="C529" sheet="1" objects="1" scenarios="1"/>
  <mergeCells count="13">
    <mergeCell ref="A7:E8"/>
    <mergeCell ref="K7:K8"/>
    <mergeCell ref="J7:J8"/>
    <mergeCell ref="D67:E67"/>
    <mergeCell ref="C72:E72"/>
    <mergeCell ref="D37:E37"/>
    <mergeCell ref="D39:E39"/>
    <mergeCell ref="A3:K3"/>
    <mergeCell ref="A4:K4"/>
    <mergeCell ref="A5:K5"/>
    <mergeCell ref="I7:I8"/>
    <mergeCell ref="G7:G8"/>
    <mergeCell ref="H7:H8"/>
  </mergeCells>
  <phoneticPr fontId="7" type="noConversion"/>
  <dataValidations count="3">
    <dataValidation type="decimal" allowBlank="1" showInputMessage="1" showErrorMessage="1" sqref="I12:J12 I92:J96 I85:J87 I73:J83 I23:J26 I55:J55 I28:J28 I52:J52 I50:J50 I47:J47 I45:J45 I41:J41 I39:J39 I14:J17 I31:J37 I20 J20">
      <formula1>0</formula1>
      <formula2>999999999999999</formula2>
    </dataValidation>
    <dataValidation type="decimal" allowBlank="1" showInputMessage="1" showErrorMessage="1" sqref="I54:J54">
      <formula1>-999999999999999</formula1>
      <formula2>999999999999999</formula2>
    </dataValidation>
    <dataValidation type="decimal" allowBlank="1" showInputMessage="1" showErrorMessage="1" sqref="I72 I58:J61 I63:J66 I67:J67">
      <formula1>-999999999999</formula1>
      <formula2>999999999999999</formula2>
    </dataValidation>
  </dataValidations>
  <printOptions horizontalCentered="1"/>
  <pageMargins left="0.2" right="0.19" top="0.54" bottom="0.5" header="0.3" footer="0.3"/>
  <pageSetup paperSize="9" scale="85" orientation="landscape" cellComments="asDisplayed" r:id="rId1"/>
  <headerFooter>
    <oddHeader>&amp;RPage &amp;P of &amp;N&amp;C&amp;"Arial,Bold"&amp;8 NEW RURAL BANK OF SAN LEONARDO, INC  [ 04-040656 ]
 As of: September 30, 2017</oddHeader>
  </headerFooter>
  <rowBreaks count="2" manualBreakCount="2">
    <brk id="38" min="2" max="10" man="1"/>
    <brk id="70" min="2" max="10" man="1"/>
  </rowBreaks>
  <drawing r:id="rId2"/>
  <legacyDrawing r:id="rId3"/>
  <controls>
    <mc:AlternateContent xmlns:mc="http://schemas.openxmlformats.org/markup-compatibility/2006">
      <mc:Choice Requires="x14">
        <control shapeId="2054" r:id="rId4" name="Label_MN_a">
          <controlPr defaultSize="0" autoLine="0" r:id="rId5">
            <anchor moveWithCells="1">
              <from>
                <xdr:col>7</xdr:col>
                <xdr:colOff>247650</xdr:colOff>
                <xdr:row>92</xdr:row>
                <xdr:rowOff>19050</xdr:rowOff>
              </from>
              <to>
                <xdr:col>7</xdr:col>
                <xdr:colOff>447675</xdr:colOff>
                <xdr:row>92</xdr:row>
                <xdr:rowOff>133350</xdr:rowOff>
              </to>
            </anchor>
          </controlPr>
        </control>
      </mc:Choice>
      <mc:Fallback>
        <control shapeId="2054" r:id="rId4" name="Label_MN_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"/>
  <sheetViews>
    <sheetView view="pageBreakPreview" zoomScaleSheetLayoutView="75" workbookViewId="0">
      <selection activeCell="E28" sqref="E28"/>
    </sheetView>
  </sheetViews>
  <sheetFormatPr defaultRowHeight="12" x14ac:dyDescent="0.25"/>
  <cols>
    <col min="1" max="1" width="3.7109375" style="12" customWidth="1"/>
    <col min="2" max="2" width="3.42578125" style="12" customWidth="1"/>
    <col min="3" max="3" width="4.140625" style="13" customWidth="1"/>
    <col min="4" max="4" width="4.28515625" style="13" customWidth="1"/>
    <col min="5" max="5" width="26.28515625" style="14" customWidth="1"/>
    <col min="6" max="6" width="26.28515625" style="14" hidden="1" customWidth="1"/>
    <col min="7" max="7" width="19.7109375" style="15" customWidth="1"/>
    <col min="8" max="8" width="22.42578125" style="15" hidden="1" customWidth="1"/>
    <col min="9" max="10" width="18.7109375" style="17" customWidth="1"/>
    <col min="11" max="11" width="20.7109375" style="17" customWidth="1"/>
    <col min="12" max="14" width="9.140625" style="18"/>
    <col min="15" max="15" width="29.7109375" style="18" customWidth="1"/>
    <col min="16" max="16384" width="9.140625" style="18"/>
  </cols>
  <sheetData>
    <row r="1" spans="1:15" x14ac:dyDescent="0.2">
      <c r="A1" s="69" t="s">
        <v>1100</v>
      </c>
      <c r="B1" s="69"/>
      <c r="C1" s="70"/>
      <c r="D1" s="70"/>
      <c r="E1" s="71"/>
      <c r="F1" s="71"/>
      <c r="G1" s="72"/>
      <c r="H1" s="72"/>
      <c r="I1" s="73"/>
      <c r="J1" s="74"/>
      <c r="K1" s="73"/>
      <c r="O1" s="19"/>
    </row>
    <row r="2" spans="1:15" x14ac:dyDescent="0.2">
      <c r="A2" s="69" t="s">
        <v>123</v>
      </c>
      <c r="B2" s="69"/>
      <c r="C2" s="70"/>
      <c r="D2" s="70"/>
      <c r="E2" s="71"/>
      <c r="F2" s="71"/>
      <c r="G2" s="72"/>
      <c r="H2" s="72"/>
      <c r="I2" s="75"/>
      <c r="J2" s="74"/>
      <c r="K2" s="74"/>
    </row>
    <row r="3" spans="1:15" s="20" customFormat="1" x14ac:dyDescent="0.2">
      <c r="A3" s="681" t="s">
        <v>7</v>
      </c>
      <c r="B3" s="681"/>
      <c r="C3" s="681"/>
      <c r="D3" s="681"/>
      <c r="E3" s="681"/>
      <c r="F3" s="681"/>
      <c r="G3" s="681"/>
      <c r="H3" s="681"/>
      <c r="I3" s="681"/>
      <c r="J3" s="681"/>
      <c r="K3" s="681"/>
    </row>
    <row r="4" spans="1:15" s="20" customFormat="1" x14ac:dyDescent="0.2">
      <c r="A4" s="681" t="s">
        <v>1101</v>
      </c>
      <c r="B4" s="681"/>
      <c r="C4" s="681"/>
      <c r="D4" s="681"/>
      <c r="E4" s="681"/>
      <c r="F4" s="681"/>
      <c r="G4" s="681"/>
      <c r="H4" s="681"/>
      <c r="I4" s="681"/>
      <c r="J4" s="681"/>
      <c r="K4" s="681"/>
    </row>
    <row r="5" spans="1:15" s="20" customFormat="1" x14ac:dyDescent="0.2">
      <c r="A5" s="681" t="s">
        <v>1102</v>
      </c>
      <c r="B5" s="681"/>
      <c r="C5" s="681"/>
      <c r="D5" s="681"/>
      <c r="E5" s="681"/>
      <c r="F5" s="681"/>
      <c r="G5" s="681"/>
      <c r="H5" s="681"/>
      <c r="I5" s="681"/>
      <c r="J5" s="681"/>
      <c r="K5" s="681"/>
    </row>
    <row r="6" spans="1:15" s="20" customFormat="1" x14ac:dyDescent="0.2">
      <c r="A6" s="682"/>
      <c r="B6" s="681"/>
      <c r="C6" s="681"/>
      <c r="D6" s="681"/>
      <c r="E6" s="681"/>
      <c r="F6" s="681"/>
      <c r="G6" s="681"/>
      <c r="H6" s="681"/>
      <c r="I6" s="681"/>
      <c r="J6" s="681"/>
      <c r="K6" s="681"/>
    </row>
    <row r="7" spans="1:15" ht="12.75" thickBot="1" x14ac:dyDescent="0.25">
      <c r="A7" s="69"/>
      <c r="B7" s="69"/>
      <c r="C7" s="70"/>
      <c r="D7" s="70"/>
      <c r="E7" s="71"/>
      <c r="F7" s="71"/>
      <c r="G7" s="72"/>
      <c r="H7" s="72"/>
      <c r="I7" s="73"/>
      <c r="J7" s="73"/>
      <c r="K7" s="73"/>
    </row>
    <row r="8" spans="1:15" s="21" customFormat="1" ht="12.75" thickTop="1" x14ac:dyDescent="0.2">
      <c r="A8" s="698" t="s">
        <v>1122</v>
      </c>
      <c r="B8" s="699"/>
      <c r="C8" s="699"/>
      <c r="D8" s="699"/>
      <c r="E8" s="700"/>
      <c r="F8" s="77"/>
      <c r="G8" s="78" t="s">
        <v>43</v>
      </c>
      <c r="H8" s="78"/>
      <c r="I8" s="79" t="s">
        <v>137</v>
      </c>
      <c r="J8" s="79" t="s">
        <v>1145</v>
      </c>
      <c r="K8" s="80" t="s">
        <v>1104</v>
      </c>
    </row>
    <row r="9" spans="1:15" s="20" customFormat="1" x14ac:dyDescent="0.2">
      <c r="A9" s="81" t="s">
        <v>1105</v>
      </c>
      <c r="B9" s="82"/>
      <c r="C9" s="83"/>
      <c r="D9" s="83"/>
      <c r="E9" s="83"/>
      <c r="F9" s="83"/>
      <c r="G9" s="84"/>
      <c r="H9" s="84"/>
      <c r="I9" s="85"/>
      <c r="J9" s="85"/>
      <c r="K9" s="86"/>
    </row>
    <row r="10" spans="1:15" s="20" customFormat="1" x14ac:dyDescent="0.2">
      <c r="A10" s="81"/>
      <c r="B10" s="82"/>
      <c r="C10" s="83"/>
      <c r="D10" s="83"/>
      <c r="E10" s="87"/>
      <c r="F10" s="87"/>
      <c r="G10" s="88"/>
      <c r="H10" s="88"/>
      <c r="I10" s="89"/>
      <c r="J10" s="89"/>
      <c r="K10" s="90"/>
    </row>
    <row r="11" spans="1:15" x14ac:dyDescent="0.2">
      <c r="A11" s="91"/>
      <c r="B11" s="92" t="s">
        <v>1130</v>
      </c>
      <c r="C11" s="69" t="s">
        <v>1263</v>
      </c>
      <c r="D11" s="70"/>
      <c r="E11" s="71"/>
      <c r="F11" s="71"/>
      <c r="G11" s="93"/>
      <c r="H11" s="93"/>
      <c r="I11" s="89"/>
      <c r="J11" s="89"/>
      <c r="K11" s="90"/>
    </row>
    <row r="12" spans="1:15" x14ac:dyDescent="0.2">
      <c r="A12" s="91"/>
      <c r="B12" s="69"/>
      <c r="C12" s="70" t="s">
        <v>1180</v>
      </c>
      <c r="D12" s="70"/>
      <c r="E12" s="71"/>
      <c r="F12" s="71"/>
      <c r="G12" s="94" t="s">
        <v>149</v>
      </c>
      <c r="H12" s="94"/>
      <c r="I12" s="95">
        <f>IF('Main Report A'!K103&lt;0,0,(0.1*'Main Report A'!K103))</f>
        <v>0</v>
      </c>
      <c r="J12" s="96"/>
      <c r="K12" s="139">
        <f>I12+J12</f>
        <v>0</v>
      </c>
    </row>
    <row r="13" spans="1:15" x14ac:dyDescent="0.2">
      <c r="A13" s="91"/>
      <c r="B13" s="69"/>
      <c r="C13" s="70" t="s">
        <v>1179</v>
      </c>
      <c r="D13" s="70"/>
      <c r="E13" s="71"/>
      <c r="F13" s="71"/>
      <c r="G13" s="94" t="s">
        <v>151</v>
      </c>
      <c r="H13" s="94"/>
      <c r="I13" s="97"/>
      <c r="J13" s="95">
        <f>IF('Main Report A'!K103&lt;0,0,(0.15*'Main Report A'!K103))</f>
        <v>0</v>
      </c>
      <c r="K13" s="139">
        <f>I13+J13</f>
        <v>0</v>
      </c>
    </row>
    <row r="14" spans="1:15" x14ac:dyDescent="0.2">
      <c r="A14" s="91"/>
      <c r="B14" s="69" t="s">
        <v>1106</v>
      </c>
      <c r="C14" s="70"/>
      <c r="D14" s="70"/>
      <c r="E14" s="71"/>
      <c r="F14" s="71"/>
      <c r="G14" s="94" t="s">
        <v>150</v>
      </c>
      <c r="H14" s="94"/>
      <c r="I14" s="95">
        <f>I12+I13</f>
        <v>0</v>
      </c>
      <c r="J14" s="95">
        <f>J12+J13</f>
        <v>0</v>
      </c>
      <c r="K14" s="139">
        <f>K12+K13</f>
        <v>0</v>
      </c>
    </row>
    <row r="15" spans="1:15" x14ac:dyDescent="0.2">
      <c r="A15" s="91"/>
      <c r="B15" s="69"/>
      <c r="C15" s="70"/>
      <c r="D15" s="70"/>
      <c r="E15" s="71"/>
      <c r="F15" s="71"/>
      <c r="G15" s="93"/>
      <c r="H15" s="93"/>
      <c r="I15" s="97"/>
      <c r="J15" s="97"/>
      <c r="K15" s="98"/>
    </row>
    <row r="16" spans="1:15" x14ac:dyDescent="0.2">
      <c r="A16" s="91"/>
      <c r="B16" s="92" t="s">
        <v>1151</v>
      </c>
      <c r="C16" s="69" t="s">
        <v>1264</v>
      </c>
      <c r="D16" s="70"/>
      <c r="E16" s="71"/>
      <c r="F16" s="71"/>
      <c r="G16" s="93"/>
      <c r="H16" s="93"/>
      <c r="I16" s="89"/>
      <c r="J16" s="89"/>
      <c r="K16" s="90"/>
    </row>
    <row r="17" spans="1:11" ht="29.25" customHeight="1" x14ac:dyDescent="0.2">
      <c r="A17" s="99"/>
      <c r="B17" s="100"/>
      <c r="C17" s="70" t="s">
        <v>1182</v>
      </c>
      <c r="D17" s="70" t="s">
        <v>1162</v>
      </c>
      <c r="E17" s="101"/>
      <c r="F17" s="101"/>
      <c r="G17" s="94" t="s">
        <v>152</v>
      </c>
      <c r="H17" s="94"/>
      <c r="I17" s="102">
        <f>I18+I19</f>
        <v>0</v>
      </c>
      <c r="J17" s="102">
        <f>J18+J19</f>
        <v>0</v>
      </c>
      <c r="K17" s="144">
        <f>K18+K19</f>
        <v>0</v>
      </c>
    </row>
    <row r="18" spans="1:11" ht="24" x14ac:dyDescent="0.2">
      <c r="A18" s="91"/>
      <c r="B18" s="69"/>
      <c r="C18" s="70"/>
      <c r="D18" s="70" t="s">
        <v>1220</v>
      </c>
      <c r="E18" s="71" t="s">
        <v>1302</v>
      </c>
      <c r="F18" s="71"/>
      <c r="G18" s="94" t="s">
        <v>153</v>
      </c>
      <c r="H18" s="94"/>
      <c r="I18" s="103"/>
      <c r="J18" s="104"/>
      <c r="K18" s="139">
        <f>I18</f>
        <v>0</v>
      </c>
    </row>
    <row r="19" spans="1:11" ht="24" x14ac:dyDescent="0.2">
      <c r="A19" s="91"/>
      <c r="B19" s="69"/>
      <c r="C19" s="70"/>
      <c r="D19" s="70" t="s">
        <v>1223</v>
      </c>
      <c r="E19" s="71" t="s">
        <v>0</v>
      </c>
      <c r="F19" s="71"/>
      <c r="G19" s="94" t="s">
        <v>154</v>
      </c>
      <c r="H19" s="94"/>
      <c r="I19" s="97"/>
      <c r="J19" s="103"/>
      <c r="K19" s="139">
        <f>J19</f>
        <v>0</v>
      </c>
    </row>
    <row r="20" spans="1:11" x14ac:dyDescent="0.2">
      <c r="A20" s="91"/>
      <c r="B20" s="69"/>
      <c r="C20" s="70"/>
      <c r="D20" s="70"/>
      <c r="E20" s="71"/>
      <c r="F20" s="71"/>
      <c r="G20" s="93"/>
      <c r="H20" s="93"/>
      <c r="I20" s="89"/>
      <c r="J20" s="97"/>
      <c r="K20" s="98"/>
    </row>
    <row r="21" spans="1:11" ht="26.25" customHeight="1" x14ac:dyDescent="0.2">
      <c r="A21" s="91"/>
      <c r="B21" s="69"/>
      <c r="C21" s="70" t="s">
        <v>1183</v>
      </c>
      <c r="D21" s="679" t="s">
        <v>16</v>
      </c>
      <c r="E21" s="680"/>
      <c r="F21" s="106"/>
      <c r="G21" s="94" t="s">
        <v>155</v>
      </c>
      <c r="H21" s="94"/>
      <c r="I21" s="102">
        <f>I23+I24+I25</f>
        <v>0</v>
      </c>
      <c r="J21" s="102">
        <f>J23+J24+J25</f>
        <v>0</v>
      </c>
      <c r="K21" s="144">
        <f>K23+K24+K25</f>
        <v>0</v>
      </c>
    </row>
    <row r="22" spans="1:11" x14ac:dyDescent="0.2">
      <c r="A22" s="91"/>
      <c r="B22" s="69"/>
      <c r="C22" s="70"/>
      <c r="D22" s="70"/>
      <c r="E22" s="71"/>
      <c r="F22" s="71"/>
      <c r="G22" s="107"/>
      <c r="H22" s="107"/>
      <c r="I22" s="97"/>
      <c r="J22" s="97"/>
      <c r="K22" s="98"/>
    </row>
    <row r="23" spans="1:11" x14ac:dyDescent="0.2">
      <c r="A23" s="91"/>
      <c r="B23" s="69"/>
      <c r="C23" s="70"/>
      <c r="D23" s="70" t="s">
        <v>1228</v>
      </c>
      <c r="E23" s="71" t="s">
        <v>1297</v>
      </c>
      <c r="F23" s="71"/>
      <c r="G23" s="94" t="s">
        <v>156</v>
      </c>
      <c r="H23" s="94"/>
      <c r="I23" s="103"/>
      <c r="J23" s="103"/>
      <c r="K23" s="139">
        <f>J23+I23</f>
        <v>0</v>
      </c>
    </row>
    <row r="24" spans="1:11" x14ac:dyDescent="0.2">
      <c r="A24" s="91"/>
      <c r="B24" s="69"/>
      <c r="C24" s="70"/>
      <c r="D24" s="70" t="s">
        <v>1230</v>
      </c>
      <c r="E24" s="71" t="s">
        <v>1298</v>
      </c>
      <c r="F24" s="71"/>
      <c r="G24" s="94" t="s">
        <v>157</v>
      </c>
      <c r="H24" s="94"/>
      <c r="I24" s="103"/>
      <c r="J24" s="103"/>
      <c r="K24" s="139">
        <f>J24+I24</f>
        <v>0</v>
      </c>
    </row>
    <row r="25" spans="1:11" ht="24" x14ac:dyDescent="0.2">
      <c r="A25" s="91"/>
      <c r="B25" s="69"/>
      <c r="C25" s="70"/>
      <c r="D25" s="70" t="s">
        <v>1231</v>
      </c>
      <c r="E25" s="71" t="s">
        <v>1299</v>
      </c>
      <c r="F25" s="71"/>
      <c r="G25" s="94" t="s">
        <v>158</v>
      </c>
      <c r="H25" s="94"/>
      <c r="I25" s="103"/>
      <c r="J25" s="103"/>
      <c r="K25" s="139">
        <f>J25+I25</f>
        <v>0</v>
      </c>
    </row>
    <row r="26" spans="1:11" x14ac:dyDescent="0.2">
      <c r="A26" s="91"/>
      <c r="B26" s="69"/>
      <c r="C26" s="70"/>
      <c r="D26" s="70"/>
      <c r="E26" s="71"/>
      <c r="F26" s="71"/>
      <c r="G26" s="93"/>
      <c r="H26" s="93"/>
      <c r="I26" s="97"/>
      <c r="J26" s="97"/>
      <c r="K26" s="98"/>
    </row>
    <row r="27" spans="1:11" x14ac:dyDescent="0.2">
      <c r="A27" s="91"/>
      <c r="B27" s="69" t="s">
        <v>1107</v>
      </c>
      <c r="C27" s="70"/>
      <c r="D27" s="70"/>
      <c r="E27" s="71"/>
      <c r="F27" s="71"/>
      <c r="G27" s="94" t="s">
        <v>159</v>
      </c>
      <c r="H27" s="94"/>
      <c r="I27" s="95">
        <f>I21+I17</f>
        <v>0</v>
      </c>
      <c r="J27" s="95">
        <f>J21+J17</f>
        <v>0</v>
      </c>
      <c r="K27" s="139">
        <f>I27+J27</f>
        <v>0</v>
      </c>
    </row>
    <row r="28" spans="1:11" x14ac:dyDescent="0.2">
      <c r="A28" s="91"/>
      <c r="B28" s="69"/>
      <c r="C28" s="70"/>
      <c r="D28" s="70"/>
      <c r="E28" s="71"/>
      <c r="F28" s="71"/>
      <c r="G28" s="93"/>
      <c r="H28" s="93"/>
      <c r="I28" s="97"/>
      <c r="J28" s="97"/>
      <c r="K28" s="98"/>
    </row>
    <row r="29" spans="1:11" s="20" customFormat="1" ht="14.25" x14ac:dyDescent="0.2">
      <c r="A29" s="108" t="s">
        <v>917</v>
      </c>
      <c r="B29" s="82"/>
      <c r="C29" s="83"/>
      <c r="D29" s="83"/>
      <c r="E29" s="109"/>
      <c r="F29" s="109"/>
      <c r="G29" s="94" t="s">
        <v>164</v>
      </c>
      <c r="H29" s="110"/>
      <c r="I29" s="95">
        <f>I27-I14</f>
        <v>0</v>
      </c>
      <c r="J29" s="95">
        <f>J27-J14</f>
        <v>0</v>
      </c>
      <c r="K29" s="139">
        <f>K27-K14</f>
        <v>0</v>
      </c>
    </row>
    <row r="30" spans="1:11" s="20" customFormat="1" ht="25.5" customHeight="1" x14ac:dyDescent="0.2">
      <c r="A30" s="695" t="s">
        <v>141</v>
      </c>
      <c r="B30" s="696"/>
      <c r="C30" s="696"/>
      <c r="D30" s="696"/>
      <c r="E30" s="697"/>
      <c r="F30" s="111"/>
      <c r="G30" s="94" t="s">
        <v>163</v>
      </c>
      <c r="H30" s="94"/>
      <c r="I30" s="112"/>
      <c r="J30" s="452"/>
      <c r="K30" s="139">
        <f>I30+J30</f>
        <v>0</v>
      </c>
    </row>
    <row r="31" spans="1:11" s="20" customFormat="1" ht="12.75" thickBot="1" x14ac:dyDescent="0.25">
      <c r="A31" s="113" t="s">
        <v>142</v>
      </c>
      <c r="B31" s="114"/>
      <c r="C31" s="115"/>
      <c r="D31" s="115"/>
      <c r="E31" s="116"/>
      <c r="F31" s="116"/>
      <c r="G31" s="117" t="s">
        <v>162</v>
      </c>
      <c r="H31" s="118"/>
      <c r="I31" s="119">
        <f>I29+I30</f>
        <v>0</v>
      </c>
      <c r="J31" s="119">
        <f>J29+J30</f>
        <v>0</v>
      </c>
      <c r="K31" s="510">
        <f>K29+K30</f>
        <v>0</v>
      </c>
    </row>
    <row r="32" spans="1:11" ht="12.75" thickTop="1" x14ac:dyDescent="0.2">
      <c r="A32" s="69"/>
      <c r="B32" s="69"/>
      <c r="C32" s="70"/>
      <c r="D32" s="70"/>
      <c r="E32" s="71"/>
      <c r="F32" s="71"/>
      <c r="G32" s="121" t="s">
        <v>867</v>
      </c>
      <c r="H32" s="72"/>
      <c r="I32" s="73"/>
      <c r="J32" s="73"/>
      <c r="K32" s="73"/>
    </row>
    <row r="33" spans="1:11" x14ac:dyDescent="0.2">
      <c r="A33" s="122" t="s">
        <v>1108</v>
      </c>
      <c r="B33" s="122"/>
      <c r="C33" s="123"/>
      <c r="D33" s="123"/>
      <c r="E33" s="124"/>
      <c r="F33" s="124"/>
      <c r="G33" s="125"/>
      <c r="H33" s="125"/>
      <c r="I33" s="73"/>
      <c r="J33" s="73"/>
      <c r="K33" s="73"/>
    </row>
    <row r="34" spans="1:11" x14ac:dyDescent="0.2">
      <c r="A34" s="122"/>
      <c r="B34" s="122"/>
      <c r="C34" s="123"/>
      <c r="D34" s="123"/>
      <c r="E34" s="124"/>
      <c r="F34" s="124"/>
      <c r="G34" s="125"/>
      <c r="H34" s="125"/>
      <c r="I34" s="73"/>
      <c r="J34" s="73"/>
      <c r="K34" s="73"/>
    </row>
    <row r="35" spans="1:11" x14ac:dyDescent="0.2">
      <c r="A35" s="69" t="s">
        <v>138</v>
      </c>
      <c r="B35" s="69" t="s">
        <v>233</v>
      </c>
      <c r="C35" s="70"/>
      <c r="D35" s="70"/>
      <c r="E35" s="71"/>
      <c r="F35" s="71"/>
      <c r="G35" s="72"/>
      <c r="H35" s="72"/>
      <c r="I35" s="73"/>
      <c r="J35" s="73"/>
      <c r="K35" s="73"/>
    </row>
    <row r="36" spans="1:11" x14ac:dyDescent="0.2">
      <c r="A36" s="69"/>
      <c r="B36" s="69"/>
      <c r="C36" s="70"/>
      <c r="D36" s="70"/>
      <c r="E36" s="71"/>
      <c r="F36" s="71"/>
      <c r="G36" s="72"/>
      <c r="H36" s="72"/>
      <c r="I36" s="73"/>
      <c r="J36" s="73"/>
      <c r="K36" s="73"/>
    </row>
    <row r="37" spans="1:11" x14ac:dyDescent="0.25">
      <c r="I37" s="16"/>
      <c r="J37" s="16"/>
      <c r="K37" s="16"/>
    </row>
  </sheetData>
  <sheetProtection password="C525" sheet="1"/>
  <mergeCells count="7">
    <mergeCell ref="D21:E21"/>
    <mergeCell ref="A30:E30"/>
    <mergeCell ref="A8:E8"/>
    <mergeCell ref="A3:K3"/>
    <mergeCell ref="A4:K4"/>
    <mergeCell ref="A5:K5"/>
    <mergeCell ref="A6:K6"/>
  </mergeCells>
  <phoneticPr fontId="7" type="noConversion"/>
  <dataValidations count="3">
    <dataValidation type="decimal" allowBlank="1" showInputMessage="1" showErrorMessage="1" sqref="I18 J19 I23:J25">
      <formula1>0</formula1>
      <formula2>999999999999999</formula2>
    </dataValidation>
    <dataValidation type="decimal" operator="lessThanOrEqual" allowBlank="1" showInputMessage="1" showErrorMessage="1" prompt="Input negative values only." sqref="I30">
      <formula1>0</formula1>
    </dataValidation>
    <dataValidation type="decimal" operator="greaterThanOrEqual" allowBlank="1" showInputMessage="1" showErrorMessage="1" prompt="Input positive values only." sqref="J30">
      <formula1>0</formula1>
    </dataValidation>
  </dataValidations>
  <printOptions horizontalCentered="1" verticalCentered="1"/>
  <pageMargins left="0.2" right="0.19" top="0.54" bottom="0.42" header="0.3" footer="0.3"/>
  <pageSetup paperSize="9" scale="85" orientation="landscape" cellComments="asDisplayed" r:id="rId1"/>
  <headerFooter>
    <oddHeader>&amp;RPage &amp;P of &amp;N&amp;C&amp;"Arial,Bold"&amp;8 NEW RURAL BANK OF SAN LEONARDO, INC  [ 04-040656 ]
 As of: September 30, 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6"/>
  <sheetViews>
    <sheetView view="pageBreakPreview" topLeftCell="A7" zoomScaleSheetLayoutView="75" workbookViewId="0">
      <selection activeCell="L43" sqref="L43"/>
    </sheetView>
  </sheetViews>
  <sheetFormatPr defaultRowHeight="12" x14ac:dyDescent="0.2"/>
  <cols>
    <col min="1" max="1" width="4" style="26" customWidth="1"/>
    <col min="2" max="2" width="2.7109375" style="26" customWidth="1"/>
    <col min="3" max="3" width="55.85546875" style="63" customWidth="1"/>
    <col min="4" max="6" width="55.85546875" style="63" hidden="1" customWidth="1"/>
    <col min="7" max="7" width="19.7109375" style="26" customWidth="1"/>
    <col min="8" max="8" width="19.7109375" style="26" hidden="1" customWidth="1"/>
    <col min="9" max="9" width="10.7109375" style="25" customWidth="1"/>
    <col min="10" max="11" width="18.7109375" style="25" customWidth="1"/>
    <col min="12" max="12" width="18.7109375" style="28" customWidth="1"/>
    <col min="13" max="13" width="20.7109375" style="28" customWidth="1"/>
    <col min="14" max="14" width="4.5703125" style="26" customWidth="1"/>
    <col min="15" max="16384" width="9.140625" style="26"/>
  </cols>
  <sheetData>
    <row r="1" spans="1:14" x14ac:dyDescent="0.2">
      <c r="A1" s="23" t="s">
        <v>1100</v>
      </c>
      <c r="B1" s="23"/>
      <c r="C1" s="24"/>
      <c r="D1" s="24"/>
      <c r="E1" s="24"/>
      <c r="F1" s="24"/>
      <c r="G1" s="23"/>
      <c r="H1" s="23"/>
      <c r="J1" s="26"/>
      <c r="L1" s="27" t="s">
        <v>1156</v>
      </c>
    </row>
    <row r="2" spans="1:14" x14ac:dyDescent="0.2">
      <c r="A2" s="23" t="s">
        <v>123</v>
      </c>
      <c r="B2" s="23"/>
      <c r="C2" s="24"/>
      <c r="D2" s="24"/>
      <c r="E2" s="24"/>
      <c r="F2" s="24"/>
      <c r="G2" s="23"/>
      <c r="H2" s="23"/>
      <c r="I2" s="27"/>
      <c r="J2" s="27"/>
    </row>
    <row r="3" spans="1:14" s="30" customFormat="1" x14ac:dyDescent="0.2">
      <c r="A3" s="727" t="s">
        <v>1112</v>
      </c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</row>
    <row r="4" spans="1:14" s="30" customFormat="1" x14ac:dyDescent="0.2">
      <c r="A4" s="727" t="s">
        <v>1113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</row>
    <row r="5" spans="1:14" s="30" customFormat="1" x14ac:dyDescent="0.2">
      <c r="A5" s="727" t="s">
        <v>1158</v>
      </c>
      <c r="B5" s="727"/>
      <c r="C5" s="727"/>
      <c r="D5" s="727"/>
      <c r="E5" s="727"/>
      <c r="F5" s="727"/>
      <c r="G5" s="727"/>
      <c r="H5" s="727"/>
      <c r="I5" s="727"/>
      <c r="J5" s="727"/>
      <c r="K5" s="727"/>
      <c r="L5" s="727"/>
      <c r="M5" s="727"/>
    </row>
    <row r="6" spans="1:14" s="30" customFormat="1" ht="12.75" thickBot="1" x14ac:dyDescent="0.25">
      <c r="A6" s="29"/>
      <c r="B6" s="29"/>
      <c r="C6" s="31"/>
      <c r="D6" s="31"/>
      <c r="E6" s="31"/>
      <c r="F6" s="31"/>
      <c r="G6" s="29"/>
      <c r="H6" s="29"/>
      <c r="I6" s="29"/>
      <c r="K6" s="29"/>
      <c r="L6" s="32"/>
      <c r="M6" s="32"/>
    </row>
    <row r="7" spans="1:14" s="30" customFormat="1" ht="17.25" customHeight="1" thickTop="1" x14ac:dyDescent="0.2">
      <c r="A7" s="730" t="s">
        <v>1122</v>
      </c>
      <c r="B7" s="731"/>
      <c r="C7" s="731"/>
      <c r="D7" s="594"/>
      <c r="E7" s="594"/>
      <c r="F7" s="594"/>
      <c r="G7" s="701" t="s">
        <v>43</v>
      </c>
      <c r="H7" s="563"/>
      <c r="I7" s="728" t="s">
        <v>1118</v>
      </c>
      <c r="J7" s="703" t="s">
        <v>1114</v>
      </c>
      <c r="K7" s="704"/>
      <c r="L7" s="704"/>
      <c r="M7" s="705"/>
    </row>
    <row r="8" spans="1:14" s="34" customFormat="1" x14ac:dyDescent="0.2">
      <c r="A8" s="732"/>
      <c r="B8" s="733"/>
      <c r="C8" s="733"/>
      <c r="D8" s="33"/>
      <c r="E8" s="33"/>
      <c r="F8" s="33"/>
      <c r="G8" s="702"/>
      <c r="H8" s="11"/>
      <c r="I8" s="729"/>
      <c r="J8" s="706"/>
      <c r="K8" s="707"/>
      <c r="L8" s="707"/>
      <c r="M8" s="708"/>
    </row>
    <row r="9" spans="1:14" ht="6.75" customHeight="1" x14ac:dyDescent="0.2">
      <c r="A9" s="428"/>
      <c r="B9" s="35"/>
      <c r="C9" s="36"/>
      <c r="D9" s="36"/>
      <c r="E9" s="36"/>
      <c r="F9" s="36"/>
      <c r="G9" s="37"/>
      <c r="H9" s="37"/>
      <c r="I9" s="38"/>
      <c r="J9" s="712"/>
      <c r="K9" s="713"/>
      <c r="L9" s="713"/>
      <c r="M9" s="714"/>
    </row>
    <row r="10" spans="1:14" s="30" customFormat="1" x14ac:dyDescent="0.2">
      <c r="A10" s="595" t="s">
        <v>1274</v>
      </c>
      <c r="B10" s="39" t="s">
        <v>1275</v>
      </c>
      <c r="C10" s="40"/>
      <c r="D10" s="40"/>
      <c r="E10" s="40"/>
      <c r="F10" s="40"/>
      <c r="G10" s="41" t="s">
        <v>165</v>
      </c>
      <c r="H10" s="41"/>
      <c r="I10" s="453"/>
      <c r="J10" s="709"/>
      <c r="K10" s="710"/>
      <c r="L10" s="710"/>
      <c r="M10" s="711"/>
      <c r="N10" s="42"/>
    </row>
    <row r="11" spans="1:14" ht="7.5" customHeight="1" x14ac:dyDescent="0.2">
      <c r="A11" s="428"/>
      <c r="B11" s="35"/>
      <c r="C11" s="36"/>
      <c r="D11" s="36"/>
      <c r="E11" s="36"/>
      <c r="F11" s="36"/>
      <c r="G11" s="43"/>
      <c r="H11" s="43"/>
      <c r="I11" s="454"/>
      <c r="J11" s="715"/>
      <c r="K11" s="716"/>
      <c r="L11" s="716"/>
      <c r="M11" s="717"/>
    </row>
    <row r="12" spans="1:14" x14ac:dyDescent="0.2">
      <c r="A12" s="428"/>
      <c r="B12" s="35" t="s">
        <v>1119</v>
      </c>
      <c r="C12" s="36"/>
      <c r="D12" s="36"/>
      <c r="E12" s="36"/>
      <c r="F12" s="36"/>
      <c r="G12" s="43"/>
      <c r="H12" s="43"/>
      <c r="I12" s="454"/>
      <c r="J12" s="715"/>
      <c r="K12" s="716"/>
      <c r="L12" s="716"/>
      <c r="M12" s="717"/>
    </row>
    <row r="13" spans="1:14" s="47" customFormat="1" ht="14.25" x14ac:dyDescent="0.25">
      <c r="A13" s="588"/>
      <c r="B13" s="44" t="s">
        <v>1266</v>
      </c>
      <c r="C13" s="45" t="s">
        <v>918</v>
      </c>
      <c r="D13" s="45"/>
      <c r="E13" s="45"/>
      <c r="F13" s="45"/>
      <c r="G13" s="46" t="s">
        <v>166</v>
      </c>
      <c r="H13" s="46"/>
      <c r="I13" s="455"/>
      <c r="J13" s="721"/>
      <c r="K13" s="722"/>
      <c r="L13" s="722"/>
      <c r="M13" s="723"/>
    </row>
    <row r="14" spans="1:14" s="47" customFormat="1" ht="7.5" customHeight="1" x14ac:dyDescent="0.25">
      <c r="A14" s="588"/>
      <c r="B14" s="48"/>
      <c r="C14" s="45"/>
      <c r="D14" s="45"/>
      <c r="E14" s="45"/>
      <c r="F14" s="45"/>
      <c r="G14" s="49"/>
      <c r="H14" s="49"/>
      <c r="I14" s="456"/>
      <c r="J14" s="718"/>
      <c r="K14" s="719"/>
      <c r="L14" s="719"/>
      <c r="M14" s="720"/>
    </row>
    <row r="15" spans="1:14" s="47" customFormat="1" ht="14.25" x14ac:dyDescent="0.25">
      <c r="A15" s="588"/>
      <c r="B15" s="44" t="s">
        <v>1267</v>
      </c>
      <c r="C15" s="45" t="s">
        <v>919</v>
      </c>
      <c r="D15" s="45"/>
      <c r="E15" s="45"/>
      <c r="F15" s="45"/>
      <c r="G15" s="46" t="s">
        <v>167</v>
      </c>
      <c r="H15" s="46"/>
      <c r="I15" s="455"/>
      <c r="J15" s="721"/>
      <c r="K15" s="722"/>
      <c r="L15" s="722"/>
      <c r="M15" s="723"/>
    </row>
    <row r="16" spans="1:14" s="47" customFormat="1" ht="7.5" customHeight="1" x14ac:dyDescent="0.25">
      <c r="A16" s="588"/>
      <c r="B16" s="44"/>
      <c r="C16" s="50"/>
      <c r="D16" s="50"/>
      <c r="E16" s="50"/>
      <c r="F16" s="50"/>
      <c r="G16" s="46"/>
      <c r="H16" s="46"/>
      <c r="I16" s="456"/>
      <c r="J16" s="718"/>
      <c r="K16" s="719"/>
      <c r="L16" s="719"/>
      <c r="M16" s="720"/>
    </row>
    <row r="17" spans="1:14" s="47" customFormat="1" x14ac:dyDescent="0.25">
      <c r="A17" s="588"/>
      <c r="B17" s="44" t="s">
        <v>1152</v>
      </c>
      <c r="C17" s="45" t="s">
        <v>135</v>
      </c>
      <c r="D17" s="45"/>
      <c r="E17" s="45"/>
      <c r="F17" s="45"/>
      <c r="G17" s="46" t="s">
        <v>168</v>
      </c>
      <c r="H17" s="46"/>
      <c r="I17" s="455"/>
      <c r="J17" s="721"/>
      <c r="K17" s="722"/>
      <c r="L17" s="722"/>
      <c r="M17" s="723"/>
    </row>
    <row r="18" spans="1:14" s="47" customFormat="1" ht="7.5" customHeight="1" x14ac:dyDescent="0.25">
      <c r="A18" s="588"/>
      <c r="B18" s="44"/>
      <c r="C18" s="50"/>
      <c r="D18" s="50"/>
      <c r="E18" s="50"/>
      <c r="F18" s="50"/>
      <c r="G18" s="46"/>
      <c r="H18" s="46"/>
      <c r="I18" s="456"/>
      <c r="J18" s="718"/>
      <c r="K18" s="719"/>
      <c r="L18" s="719"/>
      <c r="M18" s="720"/>
    </row>
    <row r="19" spans="1:14" s="47" customFormat="1" x14ac:dyDescent="0.25">
      <c r="A19" s="588"/>
      <c r="B19" s="44" t="s">
        <v>1268</v>
      </c>
      <c r="C19" s="45" t="s">
        <v>136</v>
      </c>
      <c r="D19" s="45"/>
      <c r="E19" s="45"/>
      <c r="F19" s="45"/>
      <c r="G19" s="46" t="s">
        <v>169</v>
      </c>
      <c r="H19" s="46"/>
      <c r="I19" s="455"/>
      <c r="J19" s="721"/>
      <c r="K19" s="722"/>
      <c r="L19" s="722"/>
      <c r="M19" s="723"/>
    </row>
    <row r="20" spans="1:14" ht="7.5" customHeight="1" x14ac:dyDescent="0.2">
      <c r="A20" s="428"/>
      <c r="B20" s="51"/>
      <c r="C20" s="52"/>
      <c r="D20" s="52"/>
      <c r="E20" s="52"/>
      <c r="F20" s="52"/>
      <c r="G20" s="41"/>
      <c r="H20" s="41"/>
      <c r="I20" s="454"/>
      <c r="J20" s="715"/>
      <c r="K20" s="716"/>
      <c r="L20" s="716"/>
      <c r="M20" s="717"/>
    </row>
    <row r="21" spans="1:14" s="57" customFormat="1" ht="15" thickBot="1" x14ac:dyDescent="0.3">
      <c r="A21" s="596" t="s">
        <v>20</v>
      </c>
      <c r="B21" s="53"/>
      <c r="C21" s="54"/>
      <c r="D21" s="54"/>
      <c r="E21" s="54"/>
      <c r="F21" s="54"/>
      <c r="G21" s="55" t="s">
        <v>153</v>
      </c>
      <c r="H21" s="55"/>
      <c r="I21" s="189">
        <f>I10-(I13+I15+I17+I19)</f>
        <v>0</v>
      </c>
      <c r="J21" s="724">
        <f>J10-(J13+J15+J17+J19)</f>
        <v>0</v>
      </c>
      <c r="K21" s="725"/>
      <c r="L21" s="725"/>
      <c r="M21" s="726"/>
      <c r="N21" s="56" t="s">
        <v>248</v>
      </c>
    </row>
    <row r="22" spans="1:14" ht="8.25" customHeight="1" thickTop="1" x14ac:dyDescent="0.2">
      <c r="A22" s="428"/>
      <c r="B22" s="35"/>
      <c r="C22" s="36"/>
      <c r="D22" s="36"/>
      <c r="E22" s="36"/>
      <c r="F22" s="36"/>
      <c r="G22" s="58"/>
      <c r="H22" s="59"/>
      <c r="I22" s="457"/>
      <c r="J22" s="459"/>
      <c r="K22" s="459"/>
      <c r="L22" s="460"/>
      <c r="M22" s="602"/>
    </row>
    <row r="23" spans="1:14" s="30" customFormat="1" ht="14.25" x14ac:dyDescent="0.2">
      <c r="A23" s="595" t="s">
        <v>21</v>
      </c>
      <c r="B23" s="39" t="s">
        <v>22</v>
      </c>
      <c r="C23" s="40"/>
      <c r="D23" s="40"/>
      <c r="E23" s="40"/>
      <c r="F23" s="40"/>
      <c r="G23" s="60"/>
      <c r="H23" s="60"/>
      <c r="I23" s="734" t="s">
        <v>1118</v>
      </c>
      <c r="J23" s="736" t="s">
        <v>920</v>
      </c>
      <c r="K23" s="737"/>
      <c r="L23" s="737"/>
      <c r="M23" s="738"/>
    </row>
    <row r="24" spans="1:14" s="30" customFormat="1" x14ac:dyDescent="0.2">
      <c r="A24" s="595"/>
      <c r="B24" s="61" t="s">
        <v>1269</v>
      </c>
      <c r="C24" s="40"/>
      <c r="D24" s="40"/>
      <c r="E24" s="40"/>
      <c r="F24" s="40"/>
      <c r="G24" s="60"/>
      <c r="H24" s="60"/>
      <c r="I24" s="735"/>
      <c r="J24" s="200" t="s">
        <v>1115</v>
      </c>
      <c r="K24" s="200" t="s">
        <v>1116</v>
      </c>
      <c r="L24" s="200" t="s">
        <v>1117</v>
      </c>
      <c r="M24" s="598" t="s">
        <v>1104</v>
      </c>
    </row>
    <row r="25" spans="1:14" ht="8.25" customHeight="1" x14ac:dyDescent="0.2">
      <c r="A25" s="428"/>
      <c r="B25" s="35"/>
      <c r="C25" s="36"/>
      <c r="D25" s="36"/>
      <c r="E25" s="36"/>
      <c r="F25" s="36"/>
      <c r="G25" s="43"/>
      <c r="H25" s="43"/>
      <c r="I25" s="458"/>
      <c r="J25" s="461"/>
      <c r="K25" s="461"/>
      <c r="L25" s="461"/>
      <c r="M25" s="603"/>
    </row>
    <row r="26" spans="1:14" s="47" customFormat="1" x14ac:dyDescent="0.25">
      <c r="A26" s="588"/>
      <c r="B26" s="44" t="s">
        <v>1130</v>
      </c>
      <c r="C26" s="45" t="s">
        <v>23</v>
      </c>
      <c r="D26" s="45"/>
      <c r="E26" s="45"/>
      <c r="F26" s="45"/>
      <c r="G26" s="46" t="s">
        <v>171</v>
      </c>
      <c r="H26" s="46"/>
      <c r="I26" s="455"/>
      <c r="J26" s="385"/>
      <c r="K26" s="385"/>
      <c r="L26" s="385"/>
      <c r="M26" s="604">
        <f>SUM(J26:L26)</f>
        <v>0</v>
      </c>
    </row>
    <row r="27" spans="1:14" s="47" customFormat="1" x14ac:dyDescent="0.25">
      <c r="A27" s="588"/>
      <c r="B27" s="44" t="s">
        <v>1151</v>
      </c>
      <c r="C27" s="45" t="s">
        <v>1270</v>
      </c>
      <c r="D27" s="45"/>
      <c r="E27" s="45"/>
      <c r="F27" s="45"/>
      <c r="G27" s="46" t="s">
        <v>172</v>
      </c>
      <c r="H27" s="46"/>
      <c r="I27" s="455"/>
      <c r="J27" s="385"/>
      <c r="K27" s="385"/>
      <c r="L27" s="385"/>
      <c r="M27" s="604">
        <f t="shared" ref="M27:M33" si="0">SUM(J27:L27)</f>
        <v>0</v>
      </c>
    </row>
    <row r="28" spans="1:14" s="47" customFormat="1" ht="24" x14ac:dyDescent="0.25">
      <c r="A28" s="588"/>
      <c r="B28" s="44" t="s">
        <v>1152</v>
      </c>
      <c r="C28" s="45" t="s">
        <v>1271</v>
      </c>
      <c r="D28" s="45"/>
      <c r="E28" s="45"/>
      <c r="F28" s="45"/>
      <c r="G28" s="46" t="s">
        <v>173</v>
      </c>
      <c r="H28" s="46"/>
      <c r="I28" s="455"/>
      <c r="J28" s="385"/>
      <c r="K28" s="385"/>
      <c r="L28" s="385"/>
      <c r="M28" s="604">
        <f t="shared" si="0"/>
        <v>0</v>
      </c>
    </row>
    <row r="29" spans="1:14" s="47" customFormat="1" ht="24" x14ac:dyDescent="0.25">
      <c r="A29" s="588"/>
      <c r="B29" s="44" t="s">
        <v>1153</v>
      </c>
      <c r="C29" s="45" t="s">
        <v>1272</v>
      </c>
      <c r="D29" s="45"/>
      <c r="E29" s="45"/>
      <c r="F29" s="45"/>
      <c r="G29" s="46" t="s">
        <v>174</v>
      </c>
      <c r="H29" s="46"/>
      <c r="I29" s="455"/>
      <c r="J29" s="385"/>
      <c r="K29" s="385"/>
      <c r="L29" s="385"/>
      <c r="M29" s="604">
        <f t="shared" si="0"/>
        <v>0</v>
      </c>
    </row>
    <row r="30" spans="1:14" s="47" customFormat="1" ht="24" x14ac:dyDescent="0.25">
      <c r="A30" s="588"/>
      <c r="B30" s="44" t="s">
        <v>1154</v>
      </c>
      <c r="C30" s="45" t="s">
        <v>178</v>
      </c>
      <c r="D30" s="45"/>
      <c r="E30" s="45"/>
      <c r="F30" s="45"/>
      <c r="G30" s="46" t="s">
        <v>175</v>
      </c>
      <c r="H30" s="46"/>
      <c r="I30" s="455"/>
      <c r="J30" s="385"/>
      <c r="K30" s="385"/>
      <c r="L30" s="385"/>
      <c r="M30" s="604">
        <f>SUM(J30:L30)</f>
        <v>0</v>
      </c>
    </row>
    <row r="31" spans="1:14" s="47" customFormat="1" ht="36" x14ac:dyDescent="0.25">
      <c r="A31" s="588"/>
      <c r="B31" s="44" t="s">
        <v>1216</v>
      </c>
      <c r="C31" s="45" t="s">
        <v>177</v>
      </c>
      <c r="D31" s="45"/>
      <c r="E31" s="45"/>
      <c r="F31" s="45"/>
      <c r="G31" s="46" t="s">
        <v>179</v>
      </c>
      <c r="H31" s="46"/>
      <c r="I31" s="455"/>
      <c r="J31" s="385"/>
      <c r="K31" s="385"/>
      <c r="L31" s="385"/>
      <c r="M31" s="604">
        <f>SUM(J31:L31)</f>
        <v>0</v>
      </c>
    </row>
    <row r="32" spans="1:14" s="47" customFormat="1" ht="36" x14ac:dyDescent="0.25">
      <c r="A32" s="588"/>
      <c r="B32" s="44" t="s">
        <v>1235</v>
      </c>
      <c r="C32" s="45" t="s">
        <v>176</v>
      </c>
      <c r="D32" s="45"/>
      <c r="E32" s="45"/>
      <c r="F32" s="45"/>
      <c r="G32" s="46" t="s">
        <v>180</v>
      </c>
      <c r="H32" s="46"/>
      <c r="I32" s="455"/>
      <c r="J32" s="385"/>
      <c r="K32" s="385"/>
      <c r="L32" s="385"/>
      <c r="M32" s="604">
        <f>SUM(J32:L32)</f>
        <v>0</v>
      </c>
    </row>
    <row r="33" spans="1:14" s="47" customFormat="1" ht="15" customHeight="1" x14ac:dyDescent="0.25">
      <c r="A33" s="588"/>
      <c r="B33" s="44" t="s">
        <v>1237</v>
      </c>
      <c r="C33" s="45" t="s">
        <v>1273</v>
      </c>
      <c r="D33" s="45"/>
      <c r="E33" s="45"/>
      <c r="F33" s="45"/>
      <c r="G33" s="46" t="s">
        <v>181</v>
      </c>
      <c r="H33" s="46"/>
      <c r="I33" s="455"/>
      <c r="J33" s="385"/>
      <c r="K33" s="385"/>
      <c r="L33" s="385"/>
      <c r="M33" s="604">
        <f t="shared" si="0"/>
        <v>0</v>
      </c>
    </row>
    <row r="34" spans="1:14" ht="10.5" customHeight="1" x14ac:dyDescent="0.2">
      <c r="A34" s="428"/>
      <c r="B34" s="51"/>
      <c r="C34" s="36"/>
      <c r="D34" s="36"/>
      <c r="E34" s="36"/>
      <c r="F34" s="36"/>
      <c r="G34" s="43"/>
      <c r="H34" s="43"/>
      <c r="I34" s="601"/>
      <c r="J34" s="267"/>
      <c r="K34" s="267"/>
      <c r="L34" s="267"/>
      <c r="M34" s="605"/>
    </row>
    <row r="35" spans="1:14" s="48" customFormat="1" ht="15" thickBot="1" x14ac:dyDescent="0.3">
      <c r="A35" s="606" t="s">
        <v>24</v>
      </c>
      <c r="B35" s="607"/>
      <c r="C35" s="608"/>
      <c r="D35" s="608"/>
      <c r="E35" s="608"/>
      <c r="F35" s="608"/>
      <c r="G35" s="55" t="s">
        <v>170</v>
      </c>
      <c r="H35" s="55"/>
      <c r="I35" s="191">
        <f>I26+I27+I28+I29+I30+I31+I32+I33</f>
        <v>0</v>
      </c>
      <c r="J35" s="192">
        <f>J26+J27+J28+J29+J30+J31+J32+J33</f>
        <v>0</v>
      </c>
      <c r="K35" s="192">
        <f>K26+K27+K28+K29+K30+K31+K32+K33</f>
        <v>0</v>
      </c>
      <c r="L35" s="192">
        <f>L26+L27+L28+L29+L30+L31+L32+L33</f>
        <v>0</v>
      </c>
      <c r="M35" s="600">
        <f>M26+M27+M28+M29+M30+M31+M32+M33</f>
        <v>0</v>
      </c>
      <c r="N35" s="216" t="s">
        <v>248</v>
      </c>
    </row>
    <row r="36" spans="1:14" ht="14.25" customHeight="1" thickTop="1" x14ac:dyDescent="0.2">
      <c r="G36" s="64" t="s">
        <v>867</v>
      </c>
      <c r="H36" s="65"/>
    </row>
    <row r="37" spans="1:14" ht="6.75" customHeight="1" x14ac:dyDescent="0.2">
      <c r="G37" s="65"/>
      <c r="H37" s="65"/>
    </row>
    <row r="38" spans="1:14" x14ac:dyDescent="0.2">
      <c r="A38" s="66" t="s">
        <v>1108</v>
      </c>
    </row>
    <row r="39" spans="1:14" ht="6.75" customHeight="1" x14ac:dyDescent="0.2"/>
    <row r="40" spans="1:14" x14ac:dyDescent="0.2">
      <c r="A40" s="67" t="s">
        <v>138</v>
      </c>
      <c r="B40" s="26" t="s">
        <v>1140</v>
      </c>
    </row>
    <row r="41" spans="1:14" ht="6.75" customHeight="1" x14ac:dyDescent="0.2">
      <c r="A41" s="67"/>
    </row>
    <row r="42" spans="1:14" x14ac:dyDescent="0.2">
      <c r="A42" s="67" t="s">
        <v>234</v>
      </c>
      <c r="B42" s="26" t="s">
        <v>767</v>
      </c>
    </row>
    <row r="43" spans="1:14" ht="6.75" customHeight="1" x14ac:dyDescent="0.2">
      <c r="A43" s="67"/>
    </row>
    <row r="44" spans="1:14" x14ac:dyDescent="0.2">
      <c r="A44" s="67" t="s">
        <v>235</v>
      </c>
      <c r="B44" s="26" t="s">
        <v>974</v>
      </c>
    </row>
    <row r="45" spans="1:14" ht="6.75" customHeight="1" x14ac:dyDescent="0.2">
      <c r="A45" s="67"/>
    </row>
    <row r="46" spans="1:14" ht="12.75" x14ac:dyDescent="0.2">
      <c r="A46" s="67" t="s">
        <v>240</v>
      </c>
      <c r="B46" s="26" t="s">
        <v>1276</v>
      </c>
    </row>
    <row r="106" spans="1:8" x14ac:dyDescent="0.2">
      <c r="A106" s="66"/>
      <c r="B106" s="66"/>
      <c r="C106" s="68"/>
      <c r="D106" s="68"/>
      <c r="E106" s="68"/>
      <c r="F106" s="68"/>
      <c r="G106" s="66"/>
      <c r="H106" s="66"/>
    </row>
  </sheetData>
  <sheetProtection password="FABD" sheet="1"/>
  <mergeCells count="22">
    <mergeCell ref="A3:M3"/>
    <mergeCell ref="A4:M4"/>
    <mergeCell ref="I7:I8"/>
    <mergeCell ref="A5:M5"/>
    <mergeCell ref="A7:C8"/>
    <mergeCell ref="I23:I24"/>
    <mergeCell ref="J23:M23"/>
    <mergeCell ref="J19:M19"/>
    <mergeCell ref="J17:M17"/>
    <mergeCell ref="J13:M13"/>
    <mergeCell ref="J18:M18"/>
    <mergeCell ref="J20:M20"/>
    <mergeCell ref="J15:M15"/>
    <mergeCell ref="J14:M14"/>
    <mergeCell ref="J21:M21"/>
    <mergeCell ref="J16:M16"/>
    <mergeCell ref="G7:G8"/>
    <mergeCell ref="J7:M8"/>
    <mergeCell ref="J10:M10"/>
    <mergeCell ref="J9:M9"/>
    <mergeCell ref="J12:M12"/>
    <mergeCell ref="J11:M11"/>
  </mergeCells>
  <phoneticPr fontId="7" type="noConversion"/>
  <dataValidations count="3">
    <dataValidation type="whole" allowBlank="1" showInputMessage="1" showErrorMessage="1" sqref="I10 I13 I15 I17 I19 I21 I26:I33">
      <formula1>0</formula1>
      <formula2>999999999999999</formula2>
    </dataValidation>
    <dataValidation type="decimal" allowBlank="1" showInputMessage="1" showErrorMessage="1" sqref="J10:M10 J13:M13 J15:M15 J17:M17 J19:M19 J21:M21 J26:L33">
      <formula1>0</formula1>
      <formula2>999999999999999</formula2>
    </dataValidation>
    <dataValidation type="decimal" operator="equal" allowBlank="1" showErrorMessage="1" errorTitle="error" error="Must be equal to Total Qualified Agrarian reform Loans of Schedule A" promptTitle="Invalid Amount" prompt="Must be equal to Total Qualified Agrarian reform Loans of Schedule A" sqref="M35">
      <formula1>J21</formula1>
    </dataValidation>
  </dataValidations>
  <printOptions horizontalCentered="1"/>
  <pageMargins left="0.31" right="0.34" top="0.38" bottom="0.26" header="0.17" footer="0.19"/>
  <pageSetup paperSize="9" scale="62" orientation="landscape" cellComments="asDisplayed" r:id="rId1"/>
  <headerFooter>
    <oddHeader>&amp;RPage &amp;P of &amp;N&amp;C&amp;"Arial,Bold"&amp;8 NEW RURAL BANK OF SAN LEONARDO, INC  [ 04-040656 ]
 As of: September 30, 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0"/>
  <sheetViews>
    <sheetView view="pageBreakPreview" topLeftCell="A7" zoomScaleSheetLayoutView="75" workbookViewId="0">
      <selection activeCell="A35" sqref="A35:N43"/>
    </sheetView>
  </sheetViews>
  <sheetFormatPr defaultRowHeight="12" x14ac:dyDescent="0.2"/>
  <cols>
    <col min="1" max="1" width="2.5703125" style="26" customWidth="1"/>
    <col min="2" max="2" width="3.28515625" style="26" customWidth="1"/>
    <col min="3" max="3" width="51.140625" style="63" customWidth="1"/>
    <col min="4" max="6" width="51.140625" style="63" hidden="1" customWidth="1"/>
    <col min="7" max="7" width="19.7109375" style="26" customWidth="1"/>
    <col min="8" max="8" width="22.28515625" style="26" hidden="1" customWidth="1"/>
    <col min="9" max="9" width="10.7109375" style="25" customWidth="1"/>
    <col min="10" max="11" width="18.7109375" style="25" customWidth="1"/>
    <col min="12" max="12" width="18.7109375" style="28" customWidth="1"/>
    <col min="13" max="13" width="20.7109375" style="28" customWidth="1"/>
    <col min="14" max="14" width="2.28515625" style="26" customWidth="1"/>
    <col min="15" max="16384" width="9.140625" style="26"/>
  </cols>
  <sheetData>
    <row r="1" spans="1:14" x14ac:dyDescent="0.2">
      <c r="A1" s="23" t="s">
        <v>1100</v>
      </c>
      <c r="B1" s="23"/>
      <c r="C1" s="24"/>
      <c r="D1" s="24"/>
      <c r="E1" s="24"/>
      <c r="F1" s="24"/>
      <c r="G1" s="23"/>
      <c r="H1" s="23"/>
      <c r="J1" s="26"/>
      <c r="M1" s="27" t="s">
        <v>1155</v>
      </c>
    </row>
    <row r="2" spans="1:14" x14ac:dyDescent="0.2">
      <c r="A2" s="23" t="s">
        <v>123</v>
      </c>
      <c r="B2" s="23"/>
      <c r="C2" s="24"/>
      <c r="D2" s="24"/>
      <c r="E2" s="24"/>
      <c r="F2" s="24"/>
      <c r="G2" s="23"/>
      <c r="H2" s="23"/>
      <c r="I2" s="27"/>
      <c r="J2" s="27"/>
    </row>
    <row r="4" spans="1:14" s="30" customFormat="1" x14ac:dyDescent="0.2">
      <c r="A4" s="727" t="s">
        <v>733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</row>
    <row r="5" spans="1:14" s="30" customFormat="1" x14ac:dyDescent="0.2">
      <c r="A5" s="727" t="s">
        <v>17</v>
      </c>
      <c r="B5" s="727"/>
      <c r="C5" s="727"/>
      <c r="D5" s="727"/>
      <c r="E5" s="727"/>
      <c r="F5" s="727"/>
      <c r="G5" s="727"/>
      <c r="H5" s="727"/>
      <c r="I5" s="727"/>
      <c r="J5" s="727"/>
      <c r="K5" s="727"/>
      <c r="L5" s="727"/>
      <c r="M5" s="727"/>
    </row>
    <row r="6" spans="1:14" s="30" customFormat="1" ht="12.75" thickBot="1" x14ac:dyDescent="0.25">
      <c r="A6" s="727" t="s">
        <v>1159</v>
      </c>
      <c r="B6" s="727"/>
      <c r="C6" s="727"/>
      <c r="D6" s="727"/>
      <c r="E6" s="727"/>
      <c r="F6" s="727"/>
      <c r="G6" s="727"/>
      <c r="H6" s="727"/>
      <c r="I6" s="727"/>
      <c r="J6" s="727"/>
      <c r="K6" s="727"/>
      <c r="L6" s="727"/>
      <c r="M6" s="727"/>
    </row>
    <row r="7" spans="1:14" s="30" customFormat="1" ht="15" customHeight="1" thickTop="1" x14ac:dyDescent="0.2">
      <c r="A7" s="730" t="s">
        <v>1122</v>
      </c>
      <c r="B7" s="731"/>
      <c r="C7" s="731"/>
      <c r="D7" s="594"/>
      <c r="E7" s="594"/>
      <c r="F7" s="594"/>
      <c r="G7" s="701" t="s">
        <v>43</v>
      </c>
      <c r="H7" s="563"/>
      <c r="I7" s="739" t="s">
        <v>1118</v>
      </c>
      <c r="J7" s="703" t="s">
        <v>1114</v>
      </c>
      <c r="K7" s="704"/>
      <c r="L7" s="704"/>
      <c r="M7" s="705"/>
    </row>
    <row r="8" spans="1:14" s="34" customFormat="1" x14ac:dyDescent="0.2">
      <c r="A8" s="732"/>
      <c r="B8" s="733"/>
      <c r="C8" s="733"/>
      <c r="D8" s="33"/>
      <c r="E8" s="33"/>
      <c r="F8" s="33"/>
      <c r="G8" s="702"/>
      <c r="H8" s="11"/>
      <c r="I8" s="740"/>
      <c r="J8" s="706"/>
      <c r="K8" s="707"/>
      <c r="L8" s="707"/>
      <c r="M8" s="708"/>
    </row>
    <row r="9" spans="1:14" ht="6" customHeight="1" x14ac:dyDescent="0.2">
      <c r="A9" s="428"/>
      <c r="B9" s="35"/>
      <c r="C9" s="36"/>
      <c r="D9" s="36"/>
      <c r="E9" s="36"/>
      <c r="F9" s="36"/>
      <c r="G9" s="58"/>
      <c r="H9" s="58"/>
      <c r="I9" s="38"/>
      <c r="J9" s="712"/>
      <c r="K9" s="713"/>
      <c r="L9" s="713"/>
      <c r="M9" s="714"/>
    </row>
    <row r="10" spans="1:14" s="30" customFormat="1" x14ac:dyDescent="0.2">
      <c r="A10" s="595" t="s">
        <v>1274</v>
      </c>
      <c r="B10" s="39" t="s">
        <v>1277</v>
      </c>
      <c r="C10" s="40"/>
      <c r="D10" s="40"/>
      <c r="E10" s="40"/>
      <c r="F10" s="40"/>
      <c r="G10" s="41" t="s">
        <v>182</v>
      </c>
      <c r="H10" s="41"/>
      <c r="I10" s="193"/>
      <c r="J10" s="741"/>
      <c r="K10" s="742"/>
      <c r="L10" s="742"/>
      <c r="M10" s="743"/>
      <c r="N10" s="42"/>
    </row>
    <row r="11" spans="1:14" ht="6" customHeight="1" x14ac:dyDescent="0.2">
      <c r="A11" s="428"/>
      <c r="B11" s="35"/>
      <c r="C11" s="36"/>
      <c r="D11" s="36"/>
      <c r="E11" s="36"/>
      <c r="F11" s="36"/>
      <c r="G11" s="43"/>
      <c r="H11" s="43"/>
      <c r="I11" s="194"/>
      <c r="J11" s="750"/>
      <c r="K11" s="751"/>
      <c r="L11" s="751"/>
      <c r="M11" s="752"/>
    </row>
    <row r="12" spans="1:14" x14ac:dyDescent="0.2">
      <c r="A12" s="428"/>
      <c r="B12" s="35" t="s">
        <v>1119</v>
      </c>
      <c r="C12" s="36"/>
      <c r="D12" s="36"/>
      <c r="E12" s="36"/>
      <c r="F12" s="36"/>
      <c r="G12" s="43"/>
      <c r="H12" s="43"/>
      <c r="I12" s="194"/>
      <c r="J12" s="750"/>
      <c r="K12" s="751"/>
      <c r="L12" s="751"/>
      <c r="M12" s="752"/>
    </row>
    <row r="13" spans="1:14" s="47" customFormat="1" ht="26.25" x14ac:dyDescent="0.25">
      <c r="A13" s="588"/>
      <c r="B13" s="44" t="s">
        <v>1266</v>
      </c>
      <c r="C13" s="45" t="s">
        <v>534</v>
      </c>
      <c r="D13" s="45"/>
      <c r="E13" s="45"/>
      <c r="F13" s="45"/>
      <c r="G13" s="46" t="s">
        <v>183</v>
      </c>
      <c r="H13" s="46"/>
      <c r="I13" s="195"/>
      <c r="J13" s="747"/>
      <c r="K13" s="748"/>
      <c r="L13" s="748"/>
      <c r="M13" s="749"/>
    </row>
    <row r="14" spans="1:14" s="47" customFormat="1" ht="6" customHeight="1" x14ac:dyDescent="0.25">
      <c r="A14" s="588"/>
      <c r="B14" s="48"/>
      <c r="C14" s="45"/>
      <c r="D14" s="45"/>
      <c r="E14" s="45"/>
      <c r="F14" s="45"/>
      <c r="G14" s="49"/>
      <c r="H14" s="49"/>
      <c r="I14" s="196"/>
      <c r="J14" s="744"/>
      <c r="K14" s="745"/>
      <c r="L14" s="745"/>
      <c r="M14" s="746"/>
    </row>
    <row r="15" spans="1:14" s="47" customFormat="1" ht="14.25" x14ac:dyDescent="0.25">
      <c r="A15" s="588"/>
      <c r="B15" s="44" t="s">
        <v>1267</v>
      </c>
      <c r="C15" s="45" t="s">
        <v>535</v>
      </c>
      <c r="D15" s="45"/>
      <c r="E15" s="45"/>
      <c r="F15" s="45"/>
      <c r="G15" s="46" t="s">
        <v>184</v>
      </c>
      <c r="H15" s="46"/>
      <c r="I15" s="195"/>
      <c r="J15" s="747"/>
      <c r="K15" s="748"/>
      <c r="L15" s="748"/>
      <c r="M15" s="749"/>
    </row>
    <row r="16" spans="1:14" s="47" customFormat="1" ht="6" customHeight="1" x14ac:dyDescent="0.25">
      <c r="A16" s="588"/>
      <c r="B16" s="44"/>
      <c r="C16" s="50"/>
      <c r="D16" s="50"/>
      <c r="E16" s="50"/>
      <c r="F16" s="50"/>
      <c r="G16" s="46"/>
      <c r="H16" s="46"/>
      <c r="I16" s="196"/>
      <c r="J16" s="744"/>
      <c r="K16" s="745"/>
      <c r="L16" s="745"/>
      <c r="M16" s="746"/>
    </row>
    <row r="17" spans="1:14" s="47" customFormat="1" ht="24" x14ac:dyDescent="0.25">
      <c r="A17" s="588"/>
      <c r="B17" s="44" t="s">
        <v>1152</v>
      </c>
      <c r="C17" s="45" t="s">
        <v>133</v>
      </c>
      <c r="D17" s="45"/>
      <c r="E17" s="45"/>
      <c r="F17" s="45"/>
      <c r="G17" s="46" t="s">
        <v>185</v>
      </c>
      <c r="H17" s="46"/>
      <c r="I17" s="195"/>
      <c r="J17" s="747"/>
      <c r="K17" s="748"/>
      <c r="L17" s="748"/>
      <c r="M17" s="749"/>
    </row>
    <row r="18" spans="1:14" s="47" customFormat="1" ht="6" customHeight="1" x14ac:dyDescent="0.25">
      <c r="A18" s="588"/>
      <c r="B18" s="44"/>
      <c r="C18" s="50"/>
      <c r="D18" s="50"/>
      <c r="E18" s="50"/>
      <c r="F18" s="50"/>
      <c r="G18" s="46"/>
      <c r="H18" s="46"/>
      <c r="I18" s="196"/>
      <c r="J18" s="744"/>
      <c r="K18" s="745"/>
      <c r="L18" s="745"/>
      <c r="M18" s="746"/>
    </row>
    <row r="19" spans="1:14" s="47" customFormat="1" x14ac:dyDescent="0.25">
      <c r="A19" s="588"/>
      <c r="B19" s="44" t="s">
        <v>1268</v>
      </c>
      <c r="C19" s="45" t="s">
        <v>134</v>
      </c>
      <c r="D19" s="45"/>
      <c r="E19" s="45"/>
      <c r="F19" s="45"/>
      <c r="G19" s="46" t="s">
        <v>186</v>
      </c>
      <c r="H19" s="46"/>
      <c r="I19" s="195"/>
      <c r="J19" s="747"/>
      <c r="K19" s="748"/>
      <c r="L19" s="748"/>
      <c r="M19" s="749"/>
    </row>
    <row r="20" spans="1:14" ht="6" customHeight="1" x14ac:dyDescent="0.2">
      <c r="A20" s="428"/>
      <c r="B20" s="51"/>
      <c r="C20" s="52"/>
      <c r="D20" s="52"/>
      <c r="E20" s="52"/>
      <c r="F20" s="52"/>
      <c r="G20" s="41"/>
      <c r="H20" s="41"/>
      <c r="I20" s="188"/>
      <c r="J20" s="753"/>
      <c r="K20" s="754"/>
      <c r="L20" s="754"/>
      <c r="M20" s="755"/>
    </row>
    <row r="21" spans="1:14" s="57" customFormat="1" ht="15" thickBot="1" x14ac:dyDescent="0.3">
      <c r="A21" s="596" t="s">
        <v>25</v>
      </c>
      <c r="B21" s="53"/>
      <c r="C21" s="54"/>
      <c r="D21" s="54"/>
      <c r="E21" s="54"/>
      <c r="F21" s="54"/>
      <c r="G21" s="55" t="s">
        <v>154</v>
      </c>
      <c r="H21" s="55"/>
      <c r="I21" s="189">
        <f>I10-(I13+I15+I17+I19)</f>
        <v>0</v>
      </c>
      <c r="J21" s="724">
        <f>J10-(J13+J15+J17+J19)</f>
        <v>0</v>
      </c>
      <c r="K21" s="725"/>
      <c r="L21" s="725"/>
      <c r="M21" s="726"/>
      <c r="N21" s="56" t="s">
        <v>248</v>
      </c>
    </row>
    <row r="22" spans="1:14" ht="6" customHeight="1" thickTop="1" x14ac:dyDescent="0.2">
      <c r="A22" s="428"/>
      <c r="B22" s="35"/>
      <c r="C22" s="36"/>
      <c r="D22" s="36"/>
      <c r="E22" s="36"/>
      <c r="F22" s="36"/>
      <c r="G22" s="58"/>
      <c r="H22" s="59"/>
      <c r="I22" s="198"/>
      <c r="J22" s="199"/>
      <c r="K22" s="199"/>
      <c r="L22" s="199"/>
      <c r="M22" s="597"/>
    </row>
    <row r="23" spans="1:14" s="30" customFormat="1" ht="15" customHeight="1" x14ac:dyDescent="0.2">
      <c r="A23" s="595" t="s">
        <v>21</v>
      </c>
      <c r="B23" s="39" t="s">
        <v>26</v>
      </c>
      <c r="C23" s="40"/>
      <c r="D23" s="40"/>
      <c r="E23" s="40"/>
      <c r="F23" s="40"/>
      <c r="G23" s="184"/>
      <c r="H23" s="184"/>
      <c r="I23" s="734" t="s">
        <v>1118</v>
      </c>
      <c r="J23" s="736" t="s">
        <v>920</v>
      </c>
      <c r="K23" s="737"/>
      <c r="L23" s="737"/>
      <c r="M23" s="738"/>
    </row>
    <row r="24" spans="1:14" x14ac:dyDescent="0.2">
      <c r="A24" s="428"/>
      <c r="B24" s="185" t="s">
        <v>1269</v>
      </c>
      <c r="C24" s="36"/>
      <c r="D24" s="36"/>
      <c r="E24" s="36"/>
      <c r="F24" s="36"/>
      <c r="G24" s="58"/>
      <c r="H24" s="58"/>
      <c r="I24" s="735"/>
      <c r="J24" s="200" t="s">
        <v>1115</v>
      </c>
      <c r="K24" s="200" t="s">
        <v>1116</v>
      </c>
      <c r="L24" s="200" t="s">
        <v>1117</v>
      </c>
      <c r="M24" s="598" t="s">
        <v>1104</v>
      </c>
    </row>
    <row r="25" spans="1:14" s="47" customFormat="1" x14ac:dyDescent="0.25">
      <c r="A25" s="588"/>
      <c r="B25" s="44" t="s">
        <v>1130</v>
      </c>
      <c r="C25" s="45" t="s">
        <v>23</v>
      </c>
      <c r="D25" s="45"/>
      <c r="E25" s="45"/>
      <c r="F25" s="45"/>
      <c r="G25" s="46" t="s">
        <v>187</v>
      </c>
      <c r="H25" s="46"/>
      <c r="I25" s="195"/>
      <c r="J25" s="197"/>
      <c r="K25" s="197"/>
      <c r="L25" s="197"/>
      <c r="M25" s="404">
        <f>SUM(J25:L25)</f>
        <v>0</v>
      </c>
    </row>
    <row r="26" spans="1:14" s="47" customFormat="1" x14ac:dyDescent="0.25">
      <c r="A26" s="588"/>
      <c r="B26" s="44" t="s">
        <v>1151</v>
      </c>
      <c r="C26" s="45" t="s">
        <v>1270</v>
      </c>
      <c r="D26" s="45"/>
      <c r="E26" s="45"/>
      <c r="F26" s="45"/>
      <c r="G26" s="46" t="s">
        <v>188</v>
      </c>
      <c r="H26" s="46"/>
      <c r="I26" s="195"/>
      <c r="J26" s="197"/>
      <c r="K26" s="197"/>
      <c r="L26" s="197"/>
      <c r="M26" s="404">
        <f t="shared" ref="M26:M32" si="0">SUM(J26:L26)</f>
        <v>0</v>
      </c>
    </row>
    <row r="27" spans="1:14" s="47" customFormat="1" ht="24" x14ac:dyDescent="0.25">
      <c r="A27" s="588"/>
      <c r="B27" s="44" t="s">
        <v>1152</v>
      </c>
      <c r="C27" s="45" t="s">
        <v>1271</v>
      </c>
      <c r="D27" s="45"/>
      <c r="E27" s="45"/>
      <c r="F27" s="45"/>
      <c r="G27" s="46" t="s">
        <v>189</v>
      </c>
      <c r="H27" s="46"/>
      <c r="I27" s="195"/>
      <c r="J27" s="197"/>
      <c r="K27" s="197"/>
      <c r="L27" s="197"/>
      <c r="M27" s="404">
        <f t="shared" si="0"/>
        <v>0</v>
      </c>
    </row>
    <row r="28" spans="1:14" s="47" customFormat="1" ht="24" x14ac:dyDescent="0.25">
      <c r="A28" s="588"/>
      <c r="B28" s="44" t="s">
        <v>1153</v>
      </c>
      <c r="C28" s="45" t="s">
        <v>1272</v>
      </c>
      <c r="D28" s="45"/>
      <c r="E28" s="45"/>
      <c r="F28" s="45"/>
      <c r="G28" s="46" t="s">
        <v>190</v>
      </c>
      <c r="H28" s="46"/>
      <c r="I28" s="195"/>
      <c r="J28" s="197"/>
      <c r="K28" s="197"/>
      <c r="L28" s="197"/>
      <c r="M28" s="404">
        <f t="shared" si="0"/>
        <v>0</v>
      </c>
    </row>
    <row r="29" spans="1:14" s="47" customFormat="1" ht="24" x14ac:dyDescent="0.25">
      <c r="A29" s="588"/>
      <c r="B29" s="44" t="s">
        <v>1154</v>
      </c>
      <c r="C29" s="45" t="s">
        <v>178</v>
      </c>
      <c r="D29" s="45"/>
      <c r="E29" s="45"/>
      <c r="F29" s="45"/>
      <c r="G29" s="46" t="s">
        <v>191</v>
      </c>
      <c r="H29" s="46"/>
      <c r="I29" s="195"/>
      <c r="J29" s="197"/>
      <c r="K29" s="197"/>
      <c r="L29" s="197"/>
      <c r="M29" s="404">
        <f>SUM(J29:L29)</f>
        <v>0</v>
      </c>
    </row>
    <row r="30" spans="1:14" s="47" customFormat="1" ht="36" x14ac:dyDescent="0.25">
      <c r="A30" s="588"/>
      <c r="B30" s="44" t="s">
        <v>1216</v>
      </c>
      <c r="C30" s="45" t="s">
        <v>177</v>
      </c>
      <c r="D30" s="45"/>
      <c r="E30" s="45"/>
      <c r="F30" s="45"/>
      <c r="G30" s="46" t="s">
        <v>192</v>
      </c>
      <c r="H30" s="46"/>
      <c r="I30" s="195"/>
      <c r="J30" s="197"/>
      <c r="K30" s="197"/>
      <c r="L30" s="197"/>
      <c r="M30" s="404">
        <f>SUM(J30:L30)</f>
        <v>0</v>
      </c>
    </row>
    <row r="31" spans="1:14" s="47" customFormat="1" ht="36" x14ac:dyDescent="0.25">
      <c r="A31" s="588"/>
      <c r="B31" s="44" t="s">
        <v>1235</v>
      </c>
      <c r="C31" s="45" t="s">
        <v>176</v>
      </c>
      <c r="D31" s="45"/>
      <c r="E31" s="45"/>
      <c r="F31" s="45"/>
      <c r="G31" s="46" t="s">
        <v>193</v>
      </c>
      <c r="H31" s="46"/>
      <c r="I31" s="195"/>
      <c r="J31" s="197"/>
      <c r="K31" s="197"/>
      <c r="L31" s="197"/>
      <c r="M31" s="404">
        <f>SUM(J31:L31)</f>
        <v>0</v>
      </c>
    </row>
    <row r="32" spans="1:14" s="47" customFormat="1" ht="15" customHeight="1" x14ac:dyDescent="0.25">
      <c r="A32" s="588"/>
      <c r="B32" s="44" t="s">
        <v>1237</v>
      </c>
      <c r="C32" s="45" t="s">
        <v>1273</v>
      </c>
      <c r="D32" s="45"/>
      <c r="E32" s="45"/>
      <c r="F32" s="45"/>
      <c r="G32" s="46" t="s">
        <v>194</v>
      </c>
      <c r="H32" s="46"/>
      <c r="I32" s="195"/>
      <c r="J32" s="197"/>
      <c r="K32" s="197"/>
      <c r="L32" s="197"/>
      <c r="M32" s="404">
        <f t="shared" si="0"/>
        <v>0</v>
      </c>
    </row>
    <row r="33" spans="1:14" ht="9" customHeight="1" x14ac:dyDescent="0.2">
      <c r="A33" s="428"/>
      <c r="B33" s="51"/>
      <c r="C33" s="36"/>
      <c r="D33" s="36"/>
      <c r="E33" s="36"/>
      <c r="F33" s="36"/>
      <c r="G33" s="62"/>
      <c r="H33" s="62"/>
      <c r="I33" s="188"/>
      <c r="J33" s="190"/>
      <c r="K33" s="190"/>
      <c r="L33" s="190"/>
      <c r="M33" s="599"/>
    </row>
    <row r="34" spans="1:14" s="57" customFormat="1" ht="15" thickBot="1" x14ac:dyDescent="0.3">
      <c r="A34" s="596" t="s">
        <v>27</v>
      </c>
      <c r="B34" s="53"/>
      <c r="C34" s="54"/>
      <c r="D34" s="54"/>
      <c r="E34" s="54"/>
      <c r="F34" s="54"/>
      <c r="G34" s="55" t="s">
        <v>195</v>
      </c>
      <c r="H34" s="55"/>
      <c r="I34" s="191">
        <f>I25+I26+I27+I28+I29+I30+I31+I32</f>
        <v>0</v>
      </c>
      <c r="J34" s="192">
        <f>J25+J26+J27+J28+J29+J30+J31+J32</f>
        <v>0</v>
      </c>
      <c r="K34" s="192">
        <f>K25+K26+K27+K28+K29+K30+K31+K32</f>
        <v>0</v>
      </c>
      <c r="L34" s="192">
        <f>L25+L26+L27+L28+L29+L30+L31+L32</f>
        <v>0</v>
      </c>
      <c r="M34" s="600">
        <f>M25+M26+M27+M28+M29+M30+M31+M32</f>
        <v>0</v>
      </c>
      <c r="N34" s="56" t="s">
        <v>248</v>
      </c>
    </row>
    <row r="35" spans="1:14" ht="18" customHeight="1" thickTop="1" x14ac:dyDescent="0.2">
      <c r="G35" s="64" t="s">
        <v>867</v>
      </c>
    </row>
    <row r="36" spans="1:14" x14ac:dyDescent="0.2">
      <c r="A36" s="66" t="s">
        <v>1108</v>
      </c>
    </row>
    <row r="37" spans="1:14" x14ac:dyDescent="0.2">
      <c r="A37" s="67" t="s">
        <v>138</v>
      </c>
      <c r="B37" s="26" t="s">
        <v>768</v>
      </c>
    </row>
    <row r="38" spans="1:14" ht="5.25" customHeight="1" x14ac:dyDescent="0.2">
      <c r="A38" s="67"/>
    </row>
    <row r="39" spans="1:14" x14ac:dyDescent="0.2">
      <c r="A39" s="67" t="s">
        <v>234</v>
      </c>
      <c r="B39" s="26" t="s">
        <v>767</v>
      </c>
    </row>
    <row r="40" spans="1:14" ht="5.25" customHeight="1" x14ac:dyDescent="0.2">
      <c r="A40" s="67"/>
    </row>
    <row r="41" spans="1:14" x14ac:dyDescent="0.2">
      <c r="A41" s="67" t="s">
        <v>235</v>
      </c>
      <c r="B41" s="26" t="s">
        <v>975</v>
      </c>
    </row>
    <row r="42" spans="1:14" ht="5.25" customHeight="1" x14ac:dyDescent="0.2">
      <c r="A42" s="67"/>
    </row>
    <row r="43" spans="1:14" ht="12.75" x14ac:dyDescent="0.2">
      <c r="A43" s="67" t="s">
        <v>240</v>
      </c>
      <c r="B43" s="26" t="s">
        <v>1276</v>
      </c>
    </row>
    <row r="100" spans="1:8" x14ac:dyDescent="0.2">
      <c r="A100" s="66"/>
      <c r="B100" s="66"/>
      <c r="C100" s="68"/>
      <c r="D100" s="68"/>
      <c r="E100" s="68"/>
      <c r="F100" s="68"/>
      <c r="G100" s="66"/>
      <c r="H100" s="66"/>
    </row>
  </sheetData>
  <sheetProtection password="FADD" sheet="1"/>
  <mergeCells count="22">
    <mergeCell ref="I23:I24"/>
    <mergeCell ref="J23:M23"/>
    <mergeCell ref="J12:M12"/>
    <mergeCell ref="J20:M20"/>
    <mergeCell ref="J21:M21"/>
    <mergeCell ref="J13:M13"/>
    <mergeCell ref="J15:M15"/>
    <mergeCell ref="J9:M9"/>
    <mergeCell ref="J10:M10"/>
    <mergeCell ref="J18:M18"/>
    <mergeCell ref="J19:M19"/>
    <mergeCell ref="J11:M11"/>
    <mergeCell ref="J16:M16"/>
    <mergeCell ref="J17:M17"/>
    <mergeCell ref="J14:M14"/>
    <mergeCell ref="A4:M4"/>
    <mergeCell ref="A5:M5"/>
    <mergeCell ref="A6:M6"/>
    <mergeCell ref="A7:C8"/>
    <mergeCell ref="I7:I8"/>
    <mergeCell ref="G7:G8"/>
    <mergeCell ref="J7:M8"/>
  </mergeCells>
  <phoneticPr fontId="7" type="noConversion"/>
  <dataValidations count="2">
    <dataValidation type="whole" allowBlank="1" showInputMessage="1" showErrorMessage="1" sqref="I10 I13 I15 I17 I19 I25 I26 I27 I28 I29 I30 I31 I32 I32">
      <formula1>0</formula1>
      <formula2>999999999999999</formula2>
    </dataValidation>
    <dataValidation type="decimal" allowBlank="1" showInputMessage="1" showErrorMessage="1" sqref="J10:M10 J13:M13 J15:M15 J17:M17 J19:M19 J25:L32">
      <formula1>0</formula1>
      <formula2>999999999999999</formula2>
    </dataValidation>
  </dataValidations>
  <printOptions horizontalCentered="1"/>
  <pageMargins left="0.24" right="0.24" top="0.42" bottom="0.24" header="0.2" footer="0.21"/>
  <pageSetup paperSize="9" scale="65" orientation="landscape" cellComments="asDisplayed" r:id="rId1"/>
  <headerFooter>
    <oddHeader>&amp;RPage &amp;P of &amp;N&amp;C&amp;"Arial,Bold"&amp;8 NEW RURAL BANK OF SAN LEONARDO, INC  [ 04-040656 ]
 As of: September 30, 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2"/>
  <sheetViews>
    <sheetView view="pageBreakPreview" topLeftCell="A4" zoomScaleSheetLayoutView="75" workbookViewId="0">
      <selection activeCell="J36" sqref="J36"/>
    </sheetView>
  </sheetViews>
  <sheetFormatPr defaultRowHeight="12" x14ac:dyDescent="0.2"/>
  <cols>
    <col min="1" max="2" width="4.28515625" style="26" customWidth="1"/>
    <col min="3" max="3" width="56.42578125" style="26" customWidth="1"/>
    <col min="4" max="6" width="56.42578125" style="26" hidden="1" customWidth="1"/>
    <col min="7" max="7" width="19.7109375" style="26" customWidth="1"/>
    <col min="8" max="8" width="22.28515625" style="26" hidden="1" customWidth="1"/>
    <col min="9" max="10" width="18.7109375" style="25" customWidth="1"/>
    <col min="11" max="11" width="20.7109375" style="28" customWidth="1"/>
    <col min="12" max="16384" width="9.140625" style="26"/>
  </cols>
  <sheetData>
    <row r="1" spans="1:12" x14ac:dyDescent="0.2">
      <c r="A1" s="23" t="s">
        <v>1100</v>
      </c>
      <c r="B1" s="23"/>
      <c r="C1" s="23"/>
      <c r="D1" s="23"/>
      <c r="E1" s="23"/>
      <c r="F1" s="23"/>
      <c r="G1" s="23"/>
      <c r="H1" s="23"/>
      <c r="I1" s="26"/>
    </row>
    <row r="2" spans="1:12" x14ac:dyDescent="0.2">
      <c r="A2" s="23" t="s">
        <v>123</v>
      </c>
      <c r="B2" s="23"/>
      <c r="C2" s="23"/>
      <c r="D2" s="23"/>
      <c r="E2" s="23"/>
      <c r="F2" s="23"/>
      <c r="G2" s="23"/>
      <c r="H2" s="23"/>
      <c r="I2" s="27"/>
      <c r="J2" s="26"/>
      <c r="K2" s="25" t="s">
        <v>1157</v>
      </c>
    </row>
    <row r="5" spans="1:12" s="30" customFormat="1" x14ac:dyDescent="0.2">
      <c r="A5" s="727" t="s">
        <v>1173</v>
      </c>
      <c r="B5" s="727"/>
      <c r="C5" s="727"/>
      <c r="D5" s="727"/>
      <c r="E5" s="727"/>
      <c r="F5" s="727"/>
      <c r="G5" s="727"/>
      <c r="H5" s="727"/>
      <c r="I5" s="727"/>
      <c r="J5" s="727"/>
      <c r="K5" s="727"/>
    </row>
    <row r="6" spans="1:12" s="30" customFormat="1" x14ac:dyDescent="0.2">
      <c r="A6" s="727" t="s">
        <v>1160</v>
      </c>
      <c r="B6" s="727"/>
      <c r="C6" s="727"/>
      <c r="D6" s="727"/>
      <c r="E6" s="727"/>
      <c r="F6" s="727"/>
      <c r="G6" s="727"/>
      <c r="H6" s="727"/>
      <c r="I6" s="727"/>
      <c r="J6" s="727"/>
      <c r="K6" s="727"/>
    </row>
    <row r="7" spans="1:12" s="30" customFormat="1" x14ac:dyDescent="0.2">
      <c r="A7" s="727" t="s">
        <v>1168</v>
      </c>
      <c r="B7" s="727"/>
      <c r="C7" s="727"/>
      <c r="D7" s="727"/>
      <c r="E7" s="727"/>
      <c r="F7" s="727"/>
      <c r="G7" s="727"/>
      <c r="H7" s="727"/>
      <c r="I7" s="727"/>
      <c r="J7" s="727"/>
      <c r="K7" s="727"/>
    </row>
    <row r="8" spans="1:12" s="30" customFormat="1" ht="12.75" thickBot="1" x14ac:dyDescent="0.25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</row>
    <row r="9" spans="1:12" s="202" customFormat="1" ht="12.75" thickTop="1" x14ac:dyDescent="0.25">
      <c r="A9" s="756" t="s">
        <v>1125</v>
      </c>
      <c r="B9" s="757"/>
      <c r="C9" s="758"/>
      <c r="D9" s="584"/>
      <c r="E9" s="584"/>
      <c r="F9" s="584"/>
      <c r="G9" s="585" t="s">
        <v>43</v>
      </c>
      <c r="H9" s="585"/>
      <c r="I9" s="586" t="s">
        <v>1120</v>
      </c>
      <c r="J9" s="586" t="s">
        <v>1145</v>
      </c>
      <c r="K9" s="562" t="s">
        <v>1104</v>
      </c>
    </row>
    <row r="10" spans="1:12" x14ac:dyDescent="0.2">
      <c r="A10" s="428"/>
      <c r="B10" s="35"/>
      <c r="C10" s="203"/>
      <c r="D10" s="203"/>
      <c r="E10" s="203"/>
      <c r="F10" s="203"/>
      <c r="G10" s="204"/>
      <c r="H10" s="204"/>
      <c r="I10" s="205"/>
      <c r="J10" s="205"/>
      <c r="K10" s="587"/>
    </row>
    <row r="11" spans="1:12" s="57" customFormat="1" x14ac:dyDescent="0.25">
      <c r="A11" s="511" t="s">
        <v>1144</v>
      </c>
      <c r="B11" s="206" t="s">
        <v>1293</v>
      </c>
      <c r="C11" s="207"/>
      <c r="D11" s="207"/>
      <c r="E11" s="207"/>
      <c r="F11" s="207"/>
      <c r="G11" s="208" t="s">
        <v>156</v>
      </c>
      <c r="H11" s="208"/>
      <c r="I11" s="218"/>
      <c r="J11" s="218"/>
      <c r="K11" s="404">
        <f>SUM(I11:J11)</f>
        <v>0</v>
      </c>
      <c r="L11" s="209"/>
    </row>
    <row r="12" spans="1:12" s="47" customFormat="1" x14ac:dyDescent="0.25">
      <c r="A12" s="588"/>
      <c r="B12" s="48"/>
      <c r="C12" s="210"/>
      <c r="D12" s="210"/>
      <c r="E12" s="210"/>
      <c r="F12" s="210"/>
      <c r="G12" s="211"/>
      <c r="H12" s="211"/>
      <c r="I12" s="219"/>
      <c r="J12" s="219"/>
      <c r="K12" s="589"/>
    </row>
    <row r="13" spans="1:12" s="57" customFormat="1" x14ac:dyDescent="0.25">
      <c r="A13" s="511" t="s">
        <v>1143</v>
      </c>
      <c r="B13" s="206" t="s">
        <v>1294</v>
      </c>
      <c r="C13" s="207"/>
      <c r="D13" s="207"/>
      <c r="E13" s="207"/>
      <c r="F13" s="207"/>
      <c r="G13" s="208" t="s">
        <v>157</v>
      </c>
      <c r="H13" s="208"/>
      <c r="I13" s="220"/>
      <c r="J13" s="218"/>
      <c r="K13" s="404">
        <f>SUM(I13:J13)</f>
        <v>0</v>
      </c>
      <c r="L13" s="209"/>
    </row>
    <row r="14" spans="1:12" s="47" customFormat="1" x14ac:dyDescent="0.25">
      <c r="A14" s="588"/>
      <c r="B14" s="48"/>
      <c r="C14" s="210"/>
      <c r="D14" s="210"/>
      <c r="E14" s="210"/>
      <c r="F14" s="210"/>
      <c r="G14" s="211"/>
      <c r="H14" s="211"/>
      <c r="I14" s="219"/>
      <c r="J14" s="219"/>
      <c r="K14" s="589"/>
    </row>
    <row r="15" spans="1:12" s="57" customFormat="1" x14ac:dyDescent="0.25">
      <c r="A15" s="511" t="s">
        <v>1139</v>
      </c>
      <c r="B15" s="206" t="s">
        <v>30</v>
      </c>
      <c r="C15" s="207"/>
      <c r="D15" s="207"/>
      <c r="E15" s="207"/>
      <c r="F15" s="207"/>
      <c r="G15" s="208" t="s">
        <v>196</v>
      </c>
      <c r="H15" s="208"/>
      <c r="I15" s="218"/>
      <c r="J15" s="218"/>
      <c r="K15" s="404">
        <f>SUM(I15:J15)</f>
        <v>0</v>
      </c>
      <c r="L15" s="209"/>
    </row>
    <row r="16" spans="1:12" s="47" customFormat="1" x14ac:dyDescent="0.25">
      <c r="A16" s="588"/>
      <c r="B16" s="48"/>
      <c r="C16" s="210"/>
      <c r="D16" s="210"/>
      <c r="E16" s="210"/>
      <c r="F16" s="210"/>
      <c r="G16" s="211"/>
      <c r="H16" s="211"/>
      <c r="I16" s="219"/>
      <c r="J16" s="219"/>
      <c r="K16" s="589"/>
    </row>
    <row r="17" spans="1:12" s="57" customFormat="1" x14ac:dyDescent="0.25">
      <c r="A17" s="511" t="s">
        <v>1131</v>
      </c>
      <c r="B17" s="207" t="s">
        <v>28</v>
      </c>
      <c r="C17" s="207"/>
      <c r="D17" s="207"/>
      <c r="E17" s="207"/>
      <c r="F17" s="207"/>
      <c r="G17" s="208" t="s">
        <v>198</v>
      </c>
      <c r="H17" s="208"/>
      <c r="I17" s="218"/>
      <c r="J17" s="218"/>
      <c r="K17" s="404">
        <f>SUM(I17:J17)</f>
        <v>0</v>
      </c>
      <c r="L17" s="209"/>
    </row>
    <row r="18" spans="1:12" s="47" customFormat="1" x14ac:dyDescent="0.25">
      <c r="A18" s="588"/>
      <c r="B18" s="48"/>
      <c r="C18" s="210"/>
      <c r="D18" s="210"/>
      <c r="E18" s="210"/>
      <c r="F18" s="210"/>
      <c r="G18" s="211"/>
      <c r="H18" s="211"/>
      <c r="I18" s="219"/>
      <c r="J18" s="219"/>
      <c r="K18" s="589"/>
    </row>
    <row r="19" spans="1:12" s="47" customFormat="1" x14ac:dyDescent="0.25">
      <c r="A19" s="588" t="s">
        <v>1119</v>
      </c>
      <c r="B19" s="48"/>
      <c r="C19" s="210"/>
      <c r="D19" s="210"/>
      <c r="E19" s="210"/>
      <c r="F19" s="210"/>
      <c r="G19" s="211"/>
      <c r="H19" s="211"/>
      <c r="I19" s="219"/>
      <c r="J19" s="219"/>
      <c r="K19" s="589"/>
    </row>
    <row r="20" spans="1:12" s="47" customFormat="1" ht="14.25" x14ac:dyDescent="0.25">
      <c r="A20" s="588"/>
      <c r="B20" s="44" t="s">
        <v>1130</v>
      </c>
      <c r="C20" s="210" t="s">
        <v>536</v>
      </c>
      <c r="D20" s="210"/>
      <c r="E20" s="210"/>
      <c r="F20" s="210"/>
      <c r="G20" s="208" t="s">
        <v>214</v>
      </c>
      <c r="H20" s="208"/>
      <c r="I20" s="186"/>
      <c r="J20" s="186"/>
      <c r="K20" s="404">
        <f>SUM(I20:J20)</f>
        <v>0</v>
      </c>
    </row>
    <row r="21" spans="1:12" s="47" customFormat="1" x14ac:dyDescent="0.25">
      <c r="A21" s="588"/>
      <c r="B21" s="48"/>
      <c r="C21" s="210"/>
      <c r="D21" s="210"/>
      <c r="E21" s="210"/>
      <c r="F21" s="210"/>
      <c r="G21" s="211"/>
      <c r="H21" s="211"/>
      <c r="I21" s="219"/>
      <c r="J21" s="219"/>
      <c r="K21" s="589"/>
    </row>
    <row r="22" spans="1:12" s="47" customFormat="1" ht="14.25" x14ac:dyDescent="0.25">
      <c r="A22" s="588"/>
      <c r="B22" s="44" t="s">
        <v>1151</v>
      </c>
      <c r="C22" s="210" t="s">
        <v>537</v>
      </c>
      <c r="D22" s="210"/>
      <c r="E22" s="210"/>
      <c r="F22" s="210"/>
      <c r="G22" s="208" t="s">
        <v>215</v>
      </c>
      <c r="H22" s="208"/>
      <c r="I22" s="186"/>
      <c r="J22" s="186"/>
      <c r="K22" s="404">
        <f>SUM(I22:J22)</f>
        <v>0</v>
      </c>
    </row>
    <row r="23" spans="1:12" s="47" customFormat="1" x14ac:dyDescent="0.25">
      <c r="A23" s="588"/>
      <c r="B23" s="48"/>
      <c r="C23" s="212"/>
      <c r="D23" s="212"/>
      <c r="E23" s="212"/>
      <c r="F23" s="212"/>
      <c r="G23" s="208"/>
      <c r="H23" s="208"/>
      <c r="I23" s="219"/>
      <c r="J23" s="219"/>
      <c r="K23" s="589"/>
    </row>
    <row r="24" spans="1:12" s="47" customFormat="1" x14ac:dyDescent="0.25">
      <c r="A24" s="588"/>
      <c r="B24" s="44" t="s">
        <v>1152</v>
      </c>
      <c r="C24" s="210" t="s">
        <v>1291</v>
      </c>
      <c r="D24" s="210"/>
      <c r="E24" s="210"/>
      <c r="F24" s="210"/>
      <c r="G24" s="208" t="s">
        <v>216</v>
      </c>
      <c r="H24" s="208"/>
      <c r="I24" s="186"/>
      <c r="J24" s="186"/>
      <c r="K24" s="404">
        <f>SUM(I24:J24)</f>
        <v>0</v>
      </c>
    </row>
    <row r="25" spans="1:12" s="47" customFormat="1" x14ac:dyDescent="0.25">
      <c r="A25" s="588"/>
      <c r="B25" s="48"/>
      <c r="C25" s="210"/>
      <c r="D25" s="210"/>
      <c r="E25" s="210"/>
      <c r="F25" s="210"/>
      <c r="G25" s="211"/>
      <c r="H25" s="211"/>
      <c r="I25" s="221"/>
      <c r="J25" s="221"/>
      <c r="K25" s="590"/>
    </row>
    <row r="26" spans="1:12" s="47" customFormat="1" x14ac:dyDescent="0.25">
      <c r="A26" s="588"/>
      <c r="B26" s="44" t="s">
        <v>1153</v>
      </c>
      <c r="C26" s="210" t="s">
        <v>219</v>
      </c>
      <c r="D26" s="210"/>
      <c r="E26" s="210"/>
      <c r="F26" s="210"/>
      <c r="G26" s="208" t="s">
        <v>213</v>
      </c>
      <c r="H26" s="208"/>
      <c r="I26" s="186"/>
      <c r="J26" s="186"/>
      <c r="K26" s="404">
        <f>SUM(I26:J26)</f>
        <v>0</v>
      </c>
    </row>
    <row r="27" spans="1:12" s="47" customFormat="1" x14ac:dyDescent="0.25">
      <c r="A27" s="588"/>
      <c r="B27" s="48"/>
      <c r="C27" s="210"/>
      <c r="D27" s="210"/>
      <c r="E27" s="210"/>
      <c r="F27" s="210"/>
      <c r="G27" s="211"/>
      <c r="H27" s="211"/>
      <c r="I27" s="219"/>
      <c r="J27" s="219"/>
      <c r="K27" s="589"/>
    </row>
    <row r="28" spans="1:12" s="57" customFormat="1" ht="14.25" x14ac:dyDescent="0.25">
      <c r="A28" s="511" t="s">
        <v>1131</v>
      </c>
      <c r="B28" s="206" t="s">
        <v>976</v>
      </c>
      <c r="C28" s="207"/>
      <c r="D28" s="207"/>
      <c r="E28" s="207"/>
      <c r="F28" s="207"/>
      <c r="G28" s="208" t="s">
        <v>197</v>
      </c>
      <c r="H28" s="208"/>
      <c r="I28" s="222">
        <f>I17-(I26+I20+I22+I24)</f>
        <v>0</v>
      </c>
      <c r="J28" s="222">
        <f>J17-(J26+J20+J22+J24)</f>
        <v>0</v>
      </c>
      <c r="K28" s="591">
        <f>K17-(K26+K20+K22+K24)</f>
        <v>0</v>
      </c>
    </row>
    <row r="29" spans="1:12" s="47" customFormat="1" x14ac:dyDescent="0.25">
      <c r="A29" s="588"/>
      <c r="B29" s="48"/>
      <c r="C29" s="210"/>
      <c r="D29" s="210"/>
      <c r="E29" s="210"/>
      <c r="F29" s="210"/>
      <c r="G29" s="211"/>
      <c r="H29" s="211"/>
      <c r="I29" s="221"/>
      <c r="J29" s="221"/>
      <c r="K29" s="590"/>
    </row>
    <row r="30" spans="1:12" s="206" customFormat="1" ht="15" thickBot="1" x14ac:dyDescent="0.3">
      <c r="A30" s="592" t="s">
        <v>29</v>
      </c>
      <c r="B30" s="213"/>
      <c r="C30" s="213"/>
      <c r="D30" s="213"/>
      <c r="E30" s="213"/>
      <c r="F30" s="213"/>
      <c r="G30" s="214" t="s">
        <v>155</v>
      </c>
      <c r="H30" s="215"/>
      <c r="I30" s="223">
        <f>I11+I13+I15+I28</f>
        <v>0</v>
      </c>
      <c r="J30" s="224">
        <f>J11+J13+J15+J28</f>
        <v>0</v>
      </c>
      <c r="K30" s="593">
        <f>K11+K13+K15+K28</f>
        <v>0</v>
      </c>
      <c r="L30" s="216"/>
    </row>
    <row r="31" spans="1:12" ht="12.75" thickTop="1" x14ac:dyDescent="0.2">
      <c r="G31" s="64" t="s">
        <v>867</v>
      </c>
    </row>
    <row r="32" spans="1:12" x14ac:dyDescent="0.2">
      <c r="A32" s="66" t="s">
        <v>1108</v>
      </c>
      <c r="B32" s="66"/>
    </row>
    <row r="34" spans="1:8" x14ac:dyDescent="0.2">
      <c r="A34" s="67" t="s">
        <v>138</v>
      </c>
      <c r="B34" s="217" t="s">
        <v>769</v>
      </c>
      <c r="C34" s="217"/>
      <c r="D34" s="217"/>
      <c r="E34" s="217"/>
      <c r="F34" s="217"/>
      <c r="G34" s="217"/>
      <c r="H34" s="217"/>
    </row>
    <row r="35" spans="1:8" x14ac:dyDescent="0.2">
      <c r="A35" s="67"/>
      <c r="B35" s="217"/>
      <c r="C35" s="217"/>
      <c r="D35" s="217"/>
      <c r="E35" s="217"/>
      <c r="F35" s="217"/>
      <c r="G35" s="217"/>
      <c r="H35" s="217"/>
    </row>
    <row r="36" spans="1:8" x14ac:dyDescent="0.2">
      <c r="A36" s="67" t="s">
        <v>234</v>
      </c>
      <c r="B36" s="217" t="s">
        <v>770</v>
      </c>
      <c r="C36" s="217"/>
      <c r="D36" s="217"/>
      <c r="E36" s="217"/>
      <c r="F36" s="217"/>
      <c r="G36" s="217"/>
      <c r="H36" s="217"/>
    </row>
    <row r="37" spans="1:8" x14ac:dyDescent="0.2">
      <c r="A37" s="67"/>
      <c r="B37" s="217"/>
      <c r="C37" s="217"/>
      <c r="D37" s="217"/>
      <c r="E37" s="217"/>
      <c r="F37" s="217"/>
      <c r="G37" s="217"/>
      <c r="H37" s="217"/>
    </row>
    <row r="38" spans="1:8" x14ac:dyDescent="0.2">
      <c r="A38" s="67" t="s">
        <v>248</v>
      </c>
      <c r="B38" s="217" t="s">
        <v>977</v>
      </c>
      <c r="C38" s="217"/>
      <c r="D38" s="217"/>
      <c r="E38" s="217"/>
      <c r="F38" s="217"/>
      <c r="G38" s="217"/>
      <c r="H38" s="217"/>
    </row>
    <row r="42" spans="1:8" x14ac:dyDescent="0.2">
      <c r="A42" s="66"/>
      <c r="B42" s="66"/>
      <c r="C42" s="66"/>
      <c r="D42" s="66"/>
      <c r="E42" s="66"/>
      <c r="F42" s="66"/>
      <c r="G42" s="66"/>
      <c r="H42" s="66"/>
    </row>
  </sheetData>
  <sheetProtection password="FAFD" sheet="1"/>
  <mergeCells count="4">
    <mergeCell ref="A9:C9"/>
    <mergeCell ref="A5:K5"/>
    <mergeCell ref="A6:K6"/>
    <mergeCell ref="A7:K7"/>
  </mergeCells>
  <phoneticPr fontId="7" type="noConversion"/>
  <dataValidations count="1">
    <dataValidation type="decimal" allowBlank="1" showInputMessage="1" showErrorMessage="1" sqref="I11:J11 J13 I15:J15 I17:J17 I20:J20 I22:J22 I24:J24 I26:J26">
      <formula1>0</formula1>
      <formula2>999999999999999</formula2>
    </dataValidation>
  </dataValidations>
  <printOptions horizontalCentered="1"/>
  <pageMargins left="0.2" right="0.2" top="0.54" bottom="0.44" header="0.3" footer="0.3"/>
  <pageSetup paperSize="9" scale="70" orientation="landscape" cellComments="asDisplayed" r:id="rId1"/>
  <headerFooter>
    <oddHeader>&amp;RPage &amp;P of &amp;N&amp;C&amp;"Arial,Bold"&amp;8 NEW RURAL BANK OF SAN LEONARDO, INC  [ 04-040656 ]
 As of: September 30, 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43"/>
  <sheetViews>
    <sheetView view="pageBreakPreview" zoomScaleSheetLayoutView="75" workbookViewId="0">
      <selection activeCell="D11" sqref="D11"/>
    </sheetView>
  </sheetViews>
  <sheetFormatPr defaultRowHeight="12" x14ac:dyDescent="0.2"/>
  <cols>
    <col min="1" max="2" width="2.85546875" style="239" customWidth="1"/>
    <col min="3" max="3" width="6.5703125" style="239" customWidth="1"/>
    <col min="4" max="4" width="30.42578125" style="239" customWidth="1"/>
    <col min="5" max="5" width="30.7109375" style="239" customWidth="1"/>
    <col min="6" max="6" width="16.85546875" style="239" hidden="1" customWidth="1"/>
    <col min="7" max="7" width="19.7109375" style="234" customWidth="1"/>
    <col min="8" max="8" width="10.7109375" style="233" customWidth="1"/>
    <col min="9" max="9" width="15.5703125" style="239" customWidth="1"/>
    <col min="10" max="10" width="18.7109375" style="239" customWidth="1"/>
    <col min="11" max="12" width="18.7109375" style="25" customWidth="1"/>
    <col min="13" max="14" width="18.7109375" style="240" customWidth="1"/>
    <col min="15" max="16" width="18.7109375" style="25" customWidth="1"/>
    <col min="17" max="18" width="18.7109375" style="240" customWidth="1"/>
    <col min="19" max="16384" width="9.140625" style="239"/>
  </cols>
  <sheetData>
    <row r="1" spans="1:18" x14ac:dyDescent="0.2">
      <c r="A1" s="238" t="s">
        <v>1100</v>
      </c>
      <c r="B1" s="238"/>
      <c r="C1" s="238"/>
      <c r="D1" s="238"/>
      <c r="E1" s="238"/>
      <c r="F1" s="238"/>
      <c r="G1" s="225"/>
      <c r="H1" s="226"/>
      <c r="I1" s="238"/>
      <c r="J1" s="238"/>
      <c r="K1" s="239"/>
      <c r="M1" s="27"/>
      <c r="O1" s="239"/>
      <c r="Q1" s="240" t="s">
        <v>1278</v>
      </c>
    </row>
    <row r="2" spans="1:18" x14ac:dyDescent="0.2">
      <c r="A2" s="238" t="s">
        <v>123</v>
      </c>
      <c r="B2" s="238"/>
      <c r="C2" s="238"/>
      <c r="D2" s="238"/>
      <c r="E2" s="759" t="s">
        <v>1173</v>
      </c>
      <c r="F2" s="759"/>
      <c r="G2" s="759"/>
      <c r="H2" s="759"/>
      <c r="I2" s="759"/>
      <c r="J2" s="759"/>
      <c r="K2" s="759"/>
      <c r="L2" s="759"/>
      <c r="M2" s="759"/>
      <c r="N2" s="759"/>
      <c r="O2" s="759"/>
      <c r="P2" s="759"/>
    </row>
    <row r="3" spans="1:18" s="241" customFormat="1" x14ac:dyDescent="0.2">
      <c r="A3" s="727" t="s">
        <v>1163</v>
      </c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  <c r="P3" s="727"/>
      <c r="Q3" s="727"/>
      <c r="R3" s="727"/>
    </row>
    <row r="4" spans="1:18" s="241" customFormat="1" ht="14.25" customHeight="1" thickBot="1" x14ac:dyDescent="0.25">
      <c r="A4" s="727" t="s">
        <v>1296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  <c r="N4" s="727"/>
      <c r="O4" s="727"/>
      <c r="P4" s="727"/>
      <c r="Q4" s="727"/>
      <c r="R4" s="727"/>
    </row>
    <row r="5" spans="1:18" s="241" customFormat="1" ht="15.75" customHeight="1" thickTop="1" x14ac:dyDescent="0.2">
      <c r="A5" s="768" t="s">
        <v>249</v>
      </c>
      <c r="B5" s="769"/>
      <c r="C5" s="769"/>
      <c r="D5" s="769"/>
      <c r="E5" s="769"/>
      <c r="F5" s="769"/>
      <c r="G5" s="769"/>
      <c r="H5" s="769"/>
      <c r="I5" s="769"/>
      <c r="J5" s="769"/>
      <c r="K5" s="762" t="s">
        <v>538</v>
      </c>
      <c r="L5" s="763"/>
      <c r="M5" s="763"/>
      <c r="N5" s="763"/>
      <c r="O5" s="763"/>
      <c r="P5" s="763"/>
      <c r="Q5" s="763"/>
      <c r="R5" s="764"/>
    </row>
    <row r="6" spans="1:18" s="241" customFormat="1" ht="30.75" customHeight="1" x14ac:dyDescent="0.2">
      <c r="A6" s="760" t="s">
        <v>1132</v>
      </c>
      <c r="B6" s="761"/>
      <c r="C6" s="761"/>
      <c r="D6" s="771" t="s">
        <v>1124</v>
      </c>
      <c r="E6" s="772"/>
      <c r="F6" s="242"/>
      <c r="G6" s="770" t="s">
        <v>43</v>
      </c>
      <c r="H6" s="770" t="s">
        <v>82</v>
      </c>
      <c r="I6" s="761" t="s">
        <v>95</v>
      </c>
      <c r="J6" s="761"/>
      <c r="K6" s="765" t="s">
        <v>1120</v>
      </c>
      <c r="L6" s="765"/>
      <c r="M6" s="765"/>
      <c r="N6" s="767"/>
      <c r="O6" s="765" t="s">
        <v>1145</v>
      </c>
      <c r="P6" s="765"/>
      <c r="Q6" s="765"/>
      <c r="R6" s="766"/>
    </row>
    <row r="7" spans="1:18" s="31" customFormat="1" x14ac:dyDescent="0.2">
      <c r="A7" s="760"/>
      <c r="B7" s="761"/>
      <c r="C7" s="761"/>
      <c r="D7" s="229" t="s">
        <v>101</v>
      </c>
      <c r="E7" s="229" t="s">
        <v>130</v>
      </c>
      <c r="F7" s="229"/>
      <c r="G7" s="770"/>
      <c r="H7" s="770"/>
      <c r="I7" s="462" t="s">
        <v>115</v>
      </c>
      <c r="J7" s="229" t="s">
        <v>41</v>
      </c>
      <c r="K7" s="243" t="s">
        <v>1115</v>
      </c>
      <c r="L7" s="243" t="s">
        <v>1116</v>
      </c>
      <c r="M7" s="243" t="s">
        <v>1117</v>
      </c>
      <c r="N7" s="243" t="s">
        <v>1104</v>
      </c>
      <c r="O7" s="243" t="s">
        <v>1115</v>
      </c>
      <c r="P7" s="243" t="s">
        <v>1116</v>
      </c>
      <c r="Q7" s="243" t="s">
        <v>1117</v>
      </c>
      <c r="R7" s="576" t="s">
        <v>1104</v>
      </c>
    </row>
    <row r="8" spans="1:18" s="248" customFormat="1" ht="6.75" hidden="1" customHeight="1" x14ac:dyDescent="0.2">
      <c r="A8" s="577"/>
      <c r="B8" s="244"/>
      <c r="C8" s="244"/>
      <c r="D8" s="244"/>
      <c r="E8" s="244"/>
      <c r="F8" s="244"/>
      <c r="G8" s="245"/>
      <c r="H8" s="245"/>
      <c r="I8" s="463"/>
      <c r="J8" s="246"/>
      <c r="K8" s="247"/>
      <c r="L8" s="247"/>
      <c r="M8" s="247"/>
      <c r="N8" s="258">
        <f>SUM(K8:M8)</f>
        <v>0</v>
      </c>
      <c r="O8" s="247"/>
      <c r="P8" s="247"/>
      <c r="Q8" s="247"/>
      <c r="R8" s="578"/>
    </row>
    <row r="9" spans="1:18" ht="7.5" hidden="1" customHeight="1" x14ac:dyDescent="0.2">
      <c r="A9" s="579"/>
      <c r="B9" s="249"/>
      <c r="C9" s="249"/>
      <c r="D9" s="249"/>
      <c r="E9" s="249"/>
      <c r="F9" s="249"/>
      <c r="G9" s="230"/>
      <c r="H9" s="231"/>
      <c r="I9" s="464"/>
      <c r="J9" s="251"/>
      <c r="K9" s="237"/>
      <c r="L9" s="237"/>
      <c r="M9" s="252"/>
      <c r="N9" s="258">
        <f>SUM(K9:M9)</f>
        <v>0</v>
      </c>
      <c r="O9" s="237"/>
      <c r="P9" s="237"/>
      <c r="Q9" s="252"/>
      <c r="R9" s="580"/>
    </row>
    <row r="10" spans="1:18" ht="14.25" x14ac:dyDescent="0.2">
      <c r="A10" s="332"/>
      <c r="B10" s="253" t="s">
        <v>1130</v>
      </c>
      <c r="C10" s="254" t="s">
        <v>539</v>
      </c>
      <c r="D10" s="254"/>
      <c r="E10" s="254"/>
      <c r="F10" s="254"/>
      <c r="G10" s="255" t="s">
        <v>200</v>
      </c>
      <c r="H10" s="256"/>
      <c r="I10" s="465"/>
      <c r="J10" s="190"/>
      <c r="K10" s="257">
        <f>SUM(K11:K13)</f>
        <v>0</v>
      </c>
      <c r="L10" s="257">
        <f>SUM(L11:L13)</f>
        <v>0</v>
      </c>
      <c r="M10" s="257">
        <f>SUM(M11:M13)</f>
        <v>0</v>
      </c>
      <c r="N10" s="258">
        <f>SUM(K10:M10)</f>
        <v>0</v>
      </c>
      <c r="O10" s="257">
        <f>SUM(O11:O13)</f>
        <v>0</v>
      </c>
      <c r="P10" s="257">
        <f>SUM(P11:P13)</f>
        <v>0</v>
      </c>
      <c r="Q10" s="257">
        <f>SUM(Q11:Q13)</f>
        <v>0</v>
      </c>
      <c r="R10" s="550">
        <f>SUM(O10:Q10)</f>
        <v>0</v>
      </c>
    </row>
    <row r="11" spans="1:18" x14ac:dyDescent="0.2">
      <c r="A11" s="332"/>
      <c r="B11" s="254"/>
      <c r="C11" s="259" t="s">
        <v>1130</v>
      </c>
      <c r="D11" s="260"/>
      <c r="E11" s="260"/>
      <c r="F11" s="261"/>
      <c r="G11" s="394" t="s">
        <v>253</v>
      </c>
      <c r="H11" s="256">
        <v>1</v>
      </c>
      <c r="I11" s="466"/>
      <c r="J11" s="277"/>
      <c r="K11" s="277"/>
      <c r="L11" s="277"/>
      <c r="M11" s="281"/>
      <c r="N11" s="258">
        <f>SUM(K11:M11)</f>
        <v>0</v>
      </c>
      <c r="O11" s="281"/>
      <c r="P11" s="281"/>
      <c r="Q11" s="281"/>
      <c r="R11" s="550">
        <f>SUM(O11:Q11)</f>
        <v>0</v>
      </c>
    </row>
    <row r="12" spans="1:18" x14ac:dyDescent="0.2">
      <c r="A12" s="332"/>
      <c r="B12" s="254"/>
      <c r="C12" s="254"/>
      <c r="D12" s="261"/>
      <c r="E12" s="261"/>
      <c r="F12" s="261"/>
      <c r="G12" s="394" t="s">
        <v>253</v>
      </c>
      <c r="H12" s="264" t="s">
        <v>365</v>
      </c>
      <c r="I12" s="467"/>
      <c r="J12" s="278"/>
      <c r="K12" s="278"/>
      <c r="L12" s="278"/>
      <c r="M12" s="282"/>
      <c r="N12" s="258"/>
      <c r="O12" s="282"/>
      <c r="P12" s="282"/>
      <c r="Q12" s="282"/>
      <c r="R12" s="550"/>
    </row>
    <row r="13" spans="1:18" hidden="1" x14ac:dyDescent="0.2">
      <c r="A13" s="332"/>
      <c r="B13" s="254"/>
      <c r="C13" s="254"/>
      <c r="D13" s="260"/>
      <c r="E13" s="260"/>
      <c r="F13" s="261"/>
      <c r="G13" s="394" t="s">
        <v>253</v>
      </c>
      <c r="H13" s="256"/>
      <c r="I13" s="466"/>
      <c r="J13" s="277"/>
      <c r="K13" s="277"/>
      <c r="L13" s="277"/>
      <c r="M13" s="281"/>
      <c r="N13" s="258">
        <f>SUM(K13:M13)</f>
        <v>0</v>
      </c>
      <c r="O13" s="281"/>
      <c r="P13" s="281"/>
      <c r="Q13" s="281"/>
      <c r="R13" s="550">
        <f>SUM(O13:Q13)</f>
        <v>0</v>
      </c>
    </row>
    <row r="14" spans="1:18" x14ac:dyDescent="0.2">
      <c r="A14" s="332"/>
      <c r="B14" s="254"/>
      <c r="C14" s="254"/>
      <c r="D14" s="261"/>
      <c r="E14" s="261"/>
      <c r="F14" s="261"/>
      <c r="G14" s="394" t="s">
        <v>253</v>
      </c>
      <c r="H14" s="256"/>
      <c r="I14" s="467"/>
      <c r="J14" s="278"/>
      <c r="K14" s="278"/>
      <c r="L14" s="278"/>
      <c r="M14" s="282"/>
      <c r="N14" s="258"/>
      <c r="O14" s="282"/>
      <c r="P14" s="282"/>
      <c r="Q14" s="282"/>
      <c r="R14" s="550"/>
    </row>
    <row r="15" spans="1:18" x14ac:dyDescent="0.2">
      <c r="A15" s="332"/>
      <c r="B15" s="254"/>
      <c r="C15" s="254"/>
      <c r="D15" s="254"/>
      <c r="E15" s="254"/>
      <c r="F15" s="254"/>
      <c r="G15" s="394" t="s">
        <v>253</v>
      </c>
      <c r="H15" s="264" t="s">
        <v>867</v>
      </c>
      <c r="I15" s="465"/>
      <c r="J15" s="279"/>
      <c r="K15" s="187"/>
      <c r="L15" s="187"/>
      <c r="M15" s="190"/>
      <c r="N15" s="190"/>
      <c r="O15" s="187"/>
      <c r="P15" s="187"/>
      <c r="Q15" s="190"/>
      <c r="R15" s="581"/>
    </row>
    <row r="16" spans="1:18" ht="14.25" x14ac:dyDescent="0.2">
      <c r="A16" s="332"/>
      <c r="B16" s="253" t="s">
        <v>1151</v>
      </c>
      <c r="C16" s="254" t="s">
        <v>540</v>
      </c>
      <c r="D16" s="253"/>
      <c r="E16" s="253"/>
      <c r="F16" s="253"/>
      <c r="G16" s="255" t="s">
        <v>199</v>
      </c>
      <c r="H16" s="256"/>
      <c r="I16" s="464"/>
      <c r="J16" s="280"/>
      <c r="K16" s="257">
        <f>SUM(K17:K19)</f>
        <v>0</v>
      </c>
      <c r="L16" s="257">
        <f>SUM(L17:L19)</f>
        <v>0</v>
      </c>
      <c r="M16" s="257">
        <f>SUM(M17:M19)</f>
        <v>0</v>
      </c>
      <c r="N16" s="258">
        <f>SUM(K16:M16)</f>
        <v>0</v>
      </c>
      <c r="O16" s="257">
        <f>SUM(O17:O19)</f>
        <v>0</v>
      </c>
      <c r="P16" s="257">
        <f>SUM(P17:P19)</f>
        <v>0</v>
      </c>
      <c r="Q16" s="257">
        <f>SUM(Q17:Q19)</f>
        <v>0</v>
      </c>
      <c r="R16" s="550">
        <f>SUM(O16:Q16)</f>
        <v>0</v>
      </c>
    </row>
    <row r="17" spans="1:19" x14ac:dyDescent="0.2">
      <c r="A17" s="332"/>
      <c r="B17" s="254"/>
      <c r="C17" s="259" t="s">
        <v>1130</v>
      </c>
      <c r="D17" s="260"/>
      <c r="E17" s="260"/>
      <c r="F17" s="261"/>
      <c r="G17" s="394" t="s">
        <v>253</v>
      </c>
      <c r="H17" s="256">
        <v>1</v>
      </c>
      <c r="I17" s="466"/>
      <c r="J17" s="277"/>
      <c r="K17" s="277"/>
      <c r="L17" s="277"/>
      <c r="M17" s="281"/>
      <c r="N17" s="258">
        <f>SUM(K17:M17)</f>
        <v>0</v>
      </c>
      <c r="O17" s="281"/>
      <c r="P17" s="281"/>
      <c r="Q17" s="281"/>
      <c r="R17" s="550">
        <f>SUM(O17:Q17)</f>
        <v>0</v>
      </c>
    </row>
    <row r="18" spans="1:19" x14ac:dyDescent="0.2">
      <c r="A18" s="332"/>
      <c r="B18" s="254"/>
      <c r="C18" s="254"/>
      <c r="D18" s="261"/>
      <c r="E18" s="261"/>
      <c r="F18" s="261"/>
      <c r="G18" s="394" t="s">
        <v>253</v>
      </c>
      <c r="H18" s="264" t="s">
        <v>148</v>
      </c>
      <c r="I18" s="467"/>
      <c r="J18" s="278"/>
      <c r="K18" s="278"/>
      <c r="L18" s="278"/>
      <c r="M18" s="282"/>
      <c r="N18" s="258"/>
      <c r="O18" s="282"/>
      <c r="P18" s="282"/>
      <c r="Q18" s="282"/>
      <c r="R18" s="550"/>
    </row>
    <row r="19" spans="1:19" hidden="1" x14ac:dyDescent="0.2">
      <c r="A19" s="332"/>
      <c r="B19" s="254"/>
      <c r="C19" s="254"/>
      <c r="D19" s="260"/>
      <c r="E19" s="260"/>
      <c r="F19" s="261"/>
      <c r="G19" s="394" t="s">
        <v>253</v>
      </c>
      <c r="H19" s="256"/>
      <c r="I19" s="466"/>
      <c r="J19" s="262"/>
      <c r="K19" s="263"/>
      <c r="L19" s="263"/>
      <c r="M19" s="262"/>
      <c r="N19" s="258">
        <f>SUM(K19:M19)</f>
        <v>0</v>
      </c>
      <c r="O19" s="263"/>
      <c r="P19" s="263"/>
      <c r="Q19" s="262"/>
      <c r="R19" s="550">
        <f>SUM(O19:Q19)</f>
        <v>0</v>
      </c>
    </row>
    <row r="20" spans="1:19" x14ac:dyDescent="0.2">
      <c r="A20" s="332"/>
      <c r="B20" s="254"/>
      <c r="C20" s="254"/>
      <c r="D20" s="254"/>
      <c r="E20" s="254"/>
      <c r="F20" s="254"/>
      <c r="G20" s="394" t="s">
        <v>253</v>
      </c>
      <c r="H20" s="668" t="s">
        <v>867</v>
      </c>
      <c r="I20" s="468"/>
      <c r="J20" s="266"/>
      <c r="K20" s="267"/>
      <c r="L20" s="267"/>
      <c r="M20" s="266"/>
      <c r="N20" s="266"/>
      <c r="O20" s="267"/>
      <c r="P20" s="267"/>
      <c r="Q20" s="266"/>
      <c r="R20" s="582"/>
    </row>
    <row r="21" spans="1:19" s="274" customFormat="1" ht="15" thickBot="1" x14ac:dyDescent="0.25">
      <c r="A21" s="347" t="s">
        <v>31</v>
      </c>
      <c r="B21" s="268"/>
      <c r="C21" s="268"/>
      <c r="D21" s="268"/>
      <c r="E21" s="268"/>
      <c r="F21" s="268"/>
      <c r="G21" s="269" t="s">
        <v>156</v>
      </c>
      <c r="H21" s="270"/>
      <c r="I21" s="469"/>
      <c r="J21" s="271"/>
      <c r="K21" s="272">
        <f t="shared" ref="K21:R21" si="0">K16+K10</f>
        <v>0</v>
      </c>
      <c r="L21" s="272">
        <f t="shared" si="0"/>
        <v>0</v>
      </c>
      <c r="M21" s="272">
        <f t="shared" si="0"/>
        <v>0</v>
      </c>
      <c r="N21" s="272">
        <f t="shared" si="0"/>
        <v>0</v>
      </c>
      <c r="O21" s="272">
        <f t="shared" si="0"/>
        <v>0</v>
      </c>
      <c r="P21" s="272">
        <f t="shared" si="0"/>
        <v>0</v>
      </c>
      <c r="Q21" s="272">
        <f t="shared" si="0"/>
        <v>0</v>
      </c>
      <c r="R21" s="583">
        <f t="shared" si="0"/>
        <v>0</v>
      </c>
      <c r="S21" s="273"/>
    </row>
    <row r="22" spans="1:19" ht="12.75" thickTop="1" x14ac:dyDescent="0.2">
      <c r="G22" s="232" t="s">
        <v>867</v>
      </c>
      <c r="I22" s="470"/>
    </row>
    <row r="23" spans="1:19" x14ac:dyDescent="0.2">
      <c r="A23" s="275" t="s">
        <v>1108</v>
      </c>
    </row>
    <row r="25" spans="1:19" x14ac:dyDescent="0.2">
      <c r="A25" s="69" t="s">
        <v>139</v>
      </c>
      <c r="B25" s="276" t="s">
        <v>542</v>
      </c>
    </row>
    <row r="26" spans="1:19" x14ac:dyDescent="0.2">
      <c r="A26" s="69"/>
    </row>
    <row r="27" spans="1:19" x14ac:dyDescent="0.2">
      <c r="A27" s="69" t="s">
        <v>140</v>
      </c>
      <c r="B27" s="239" t="s">
        <v>1141</v>
      </c>
    </row>
    <row r="28" spans="1:19" x14ac:dyDescent="0.2">
      <c r="A28" s="69"/>
    </row>
    <row r="29" spans="1:19" x14ac:dyDescent="0.2">
      <c r="A29" s="69" t="s">
        <v>241</v>
      </c>
      <c r="B29" s="239" t="s">
        <v>1282</v>
      </c>
    </row>
    <row r="43" spans="1:10" x14ac:dyDescent="0.2">
      <c r="A43" s="275"/>
      <c r="B43" s="275"/>
      <c r="C43" s="275"/>
      <c r="D43" s="275"/>
      <c r="E43" s="275"/>
      <c r="F43" s="275"/>
      <c r="G43" s="235"/>
      <c r="H43" s="236"/>
      <c r="I43" s="275"/>
      <c r="J43" s="275"/>
    </row>
  </sheetData>
  <sheetProtection password="B9BE" sheet="1" objects="1" scenarios="1" selectLockedCells="1"/>
  <mergeCells count="12">
    <mergeCell ref="H6:H7"/>
    <mergeCell ref="D6:E6"/>
    <mergeCell ref="E2:P2"/>
    <mergeCell ref="A3:R3"/>
    <mergeCell ref="A4:R4"/>
    <mergeCell ref="A6:C7"/>
    <mergeCell ref="I6:J6"/>
    <mergeCell ref="K5:R5"/>
    <mergeCell ref="O6:R6"/>
    <mergeCell ref="K6:N6"/>
    <mergeCell ref="A5:J5"/>
    <mergeCell ref="G6:G7"/>
  </mergeCells>
  <phoneticPr fontId="7" type="noConversion"/>
  <dataValidations count="1">
    <dataValidation type="decimal" allowBlank="1" showInputMessage="1" showErrorMessage="1" sqref="O11:Q14 K17:M19 J11:M14 J16:J19 O17:Q19">
      <formula1>0</formula1>
      <formula2>999999999999</formula2>
    </dataValidation>
  </dataValidations>
  <printOptions horizontalCentered="1"/>
  <pageMargins left="0.31" right="0.34" top="0.75" bottom="0.75" header="0.3" footer="0.3"/>
  <pageSetup paperSize="9" scale="70" orientation="landscape" cellComments="asDisplayed" r:id="rId1"/>
  <headerFooter>
    <oddHeader>&amp;RPage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34" r:id="rId4" name="Label_Sched_c1_b">
          <controlPr defaultSize="0" autoLine="0" autoPict="0" r:id="rId5">
            <anchor moveWithCells="1">
              <from>
                <xdr:col>7</xdr:col>
                <xdr:colOff>219075</xdr:colOff>
                <xdr:row>17</xdr:row>
                <xdr:rowOff>28575</xdr:rowOff>
              </from>
              <to>
                <xdr:col>7</xdr:col>
                <xdr:colOff>485775</xdr:colOff>
                <xdr:row>17</xdr:row>
                <xdr:rowOff>142875</xdr:rowOff>
              </to>
            </anchor>
          </controlPr>
        </control>
      </mc:Choice>
      <mc:Fallback>
        <control shapeId="1034" r:id="rId4" name="Label_Sched_c1_b"/>
      </mc:Fallback>
    </mc:AlternateContent>
    <mc:AlternateContent xmlns:mc="http://schemas.openxmlformats.org/markup-compatibility/2006">
      <mc:Choice Requires="x14">
        <control shapeId="1033" r:id="rId6" name="Label_Sched_c1_a">
          <controlPr defaultSize="0" autoLine="0" r:id="rId7">
            <anchor moveWithCells="1">
              <from>
                <xdr:col>7</xdr:col>
                <xdr:colOff>200025</xdr:colOff>
                <xdr:row>11</xdr:row>
                <xdr:rowOff>28575</xdr:rowOff>
              </from>
              <to>
                <xdr:col>7</xdr:col>
                <xdr:colOff>485775</xdr:colOff>
                <xdr:row>11</xdr:row>
                <xdr:rowOff>133350</xdr:rowOff>
              </to>
            </anchor>
          </controlPr>
        </control>
      </mc:Choice>
      <mc:Fallback>
        <control shapeId="1033" r:id="rId6" name="Label_Sched_c1_a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51"/>
  <sheetViews>
    <sheetView view="pageBreakPreview" zoomScale="80" zoomScaleNormal="75" zoomScaleSheetLayoutView="75" workbookViewId="0">
      <selection activeCell="D11" sqref="D11"/>
    </sheetView>
  </sheetViews>
  <sheetFormatPr defaultRowHeight="12" x14ac:dyDescent="0.2"/>
  <cols>
    <col min="1" max="1" width="2.85546875" style="239" customWidth="1"/>
    <col min="2" max="2" width="3.28515625" style="239" customWidth="1"/>
    <col min="3" max="3" width="4.5703125" style="239" customWidth="1"/>
    <col min="4" max="4" width="24.28515625" style="239" customWidth="1"/>
    <col min="5" max="5" width="20.28515625" style="239" bestFit="1" customWidth="1"/>
    <col min="6" max="6" width="19.42578125" style="239" hidden="1" customWidth="1"/>
    <col min="7" max="7" width="19.7109375" style="65" customWidth="1"/>
    <col min="8" max="8" width="11" style="239" customWidth="1"/>
    <col min="9" max="9" width="10.7109375" style="25" customWidth="1"/>
    <col min="10" max="11" width="16.7109375" style="25" customWidth="1"/>
    <col min="12" max="12" width="10.7109375" style="240" customWidth="1"/>
    <col min="13" max="14" width="16.7109375" style="240" customWidth="1"/>
    <col min="15" max="15" width="18.5703125" style="240" customWidth="1"/>
    <col min="16" max="16" width="18.140625" style="239" customWidth="1"/>
    <col min="17" max="16384" width="9.140625" style="239"/>
  </cols>
  <sheetData>
    <row r="1" spans="1:16" x14ac:dyDescent="0.2">
      <c r="A1" s="238" t="s">
        <v>1100</v>
      </c>
      <c r="B1" s="238"/>
      <c r="C1" s="238"/>
      <c r="D1" s="238"/>
      <c r="E1" s="238"/>
      <c r="F1" s="238"/>
      <c r="G1" s="227"/>
      <c r="H1" s="238"/>
      <c r="I1" s="239"/>
      <c r="J1" s="239"/>
      <c r="P1" s="27" t="s">
        <v>1279</v>
      </c>
    </row>
    <row r="2" spans="1:16" x14ac:dyDescent="0.2">
      <c r="A2" s="238" t="s">
        <v>123</v>
      </c>
      <c r="B2" s="238"/>
      <c r="C2" s="238"/>
      <c r="D2" s="238"/>
      <c r="E2" s="238"/>
      <c r="F2" s="238"/>
      <c r="G2" s="227"/>
      <c r="H2" s="238"/>
      <c r="I2" s="27"/>
      <c r="J2" s="27"/>
    </row>
    <row r="3" spans="1:16" s="241" customFormat="1" x14ac:dyDescent="0.2">
      <c r="A3" s="727" t="s">
        <v>1173</v>
      </c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</row>
    <row r="4" spans="1:16" s="241" customFormat="1" ht="14.25" customHeight="1" x14ac:dyDescent="0.2">
      <c r="A4" s="727" t="s">
        <v>1163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  <c r="N4" s="727"/>
      <c r="O4" s="727"/>
    </row>
    <row r="5" spans="1:16" s="241" customFormat="1" ht="14.25" customHeight="1" thickBot="1" x14ac:dyDescent="0.25">
      <c r="A5" s="727" t="s">
        <v>1284</v>
      </c>
      <c r="B5" s="727"/>
      <c r="C5" s="727"/>
      <c r="D5" s="727"/>
      <c r="E5" s="727"/>
      <c r="F5" s="727"/>
      <c r="G5" s="727"/>
      <c r="H5" s="727"/>
      <c r="I5" s="727"/>
      <c r="J5" s="727"/>
      <c r="K5" s="727"/>
      <c r="L5" s="727"/>
      <c r="M5" s="727"/>
      <c r="N5" s="727"/>
      <c r="O5" s="727"/>
    </row>
    <row r="6" spans="1:16" s="241" customFormat="1" ht="18" customHeight="1" thickTop="1" x14ac:dyDescent="0.2">
      <c r="A6" s="768" t="s">
        <v>250</v>
      </c>
      <c r="B6" s="769"/>
      <c r="C6" s="769"/>
      <c r="D6" s="769"/>
      <c r="E6" s="769"/>
      <c r="F6" s="561"/>
      <c r="G6" s="784" t="s">
        <v>43</v>
      </c>
      <c r="H6" s="782" t="s">
        <v>82</v>
      </c>
      <c r="I6" s="775" t="s">
        <v>1145</v>
      </c>
      <c r="J6" s="775"/>
      <c r="K6" s="775"/>
      <c r="L6" s="775"/>
      <c r="M6" s="775"/>
      <c r="N6" s="775"/>
      <c r="O6" s="775"/>
      <c r="P6" s="776"/>
    </row>
    <row r="7" spans="1:16" s="34" customFormat="1" ht="21" customHeight="1" x14ac:dyDescent="0.2">
      <c r="A7" s="777" t="s">
        <v>1132</v>
      </c>
      <c r="B7" s="778"/>
      <c r="C7" s="778"/>
      <c r="D7" s="778" t="s">
        <v>1124</v>
      </c>
      <c r="E7" s="778"/>
      <c r="F7" s="228"/>
      <c r="G7" s="770"/>
      <c r="H7" s="783"/>
      <c r="I7" s="781" t="s">
        <v>1127</v>
      </c>
      <c r="J7" s="781"/>
      <c r="K7" s="781"/>
      <c r="L7" s="781" t="s">
        <v>1128</v>
      </c>
      <c r="M7" s="781"/>
      <c r="N7" s="781"/>
      <c r="O7" s="773" t="s">
        <v>1133</v>
      </c>
      <c r="P7" s="774"/>
    </row>
    <row r="8" spans="1:16" s="31" customFormat="1" ht="24" x14ac:dyDescent="0.2">
      <c r="A8" s="777"/>
      <c r="B8" s="778"/>
      <c r="C8" s="778"/>
      <c r="D8" s="228" t="s">
        <v>100</v>
      </c>
      <c r="E8" s="229" t="s">
        <v>130</v>
      </c>
      <c r="F8" s="229"/>
      <c r="G8" s="770"/>
      <c r="H8" s="783"/>
      <c r="I8" s="490" t="s">
        <v>1129</v>
      </c>
      <c r="J8" s="473" t="s">
        <v>42</v>
      </c>
      <c r="K8" s="473" t="s">
        <v>132</v>
      </c>
      <c r="L8" s="490" t="s">
        <v>1129</v>
      </c>
      <c r="M8" s="473" t="s">
        <v>42</v>
      </c>
      <c r="N8" s="473" t="s">
        <v>132</v>
      </c>
      <c r="O8" s="473" t="s">
        <v>915</v>
      </c>
      <c r="P8" s="565" t="s">
        <v>218</v>
      </c>
    </row>
    <row r="9" spans="1:16" s="31" customFormat="1" x14ac:dyDescent="0.2">
      <c r="A9" s="566"/>
      <c r="B9" s="291"/>
      <c r="C9" s="291"/>
      <c r="D9" s="291"/>
      <c r="E9" s="292"/>
      <c r="F9" s="293"/>
      <c r="G9" s="294"/>
      <c r="H9" s="484"/>
      <c r="I9" s="295"/>
      <c r="J9" s="474"/>
      <c r="K9" s="474"/>
      <c r="L9" s="295"/>
      <c r="M9" s="474"/>
      <c r="N9" s="474"/>
      <c r="O9" s="474"/>
      <c r="P9" s="567"/>
    </row>
    <row r="10" spans="1:16" s="63" customFormat="1" ht="17.25" customHeight="1" x14ac:dyDescent="0.2">
      <c r="A10" s="568"/>
      <c r="B10" s="253" t="s">
        <v>340</v>
      </c>
      <c r="C10" s="254" t="s">
        <v>285</v>
      </c>
      <c r="D10" s="36"/>
      <c r="E10" s="254"/>
      <c r="F10" s="296"/>
      <c r="G10" s="41" t="s">
        <v>341</v>
      </c>
      <c r="H10" s="615">
        <v>0</v>
      </c>
      <c r="I10" s="312">
        <f>SUM(I11:I12)</f>
        <v>0</v>
      </c>
      <c r="J10" s="313">
        <f>SUM(J11:J12)</f>
        <v>0</v>
      </c>
      <c r="K10" s="313">
        <f>SUM(K11:K12)</f>
        <v>0</v>
      </c>
      <c r="L10" s="314"/>
      <c r="M10" s="315"/>
      <c r="N10" s="315"/>
      <c r="O10" s="313">
        <f>SUM(O11:O12)</f>
        <v>0</v>
      </c>
      <c r="P10" s="569">
        <f>SUM(P11:P12)</f>
        <v>0</v>
      </c>
    </row>
    <row r="11" spans="1:16" x14ac:dyDescent="0.2">
      <c r="A11" s="332"/>
      <c r="B11" s="284"/>
      <c r="C11" s="259" t="s">
        <v>1130</v>
      </c>
      <c r="D11" s="285"/>
      <c r="E11" s="286"/>
      <c r="F11" s="287"/>
      <c r="G11" s="432" t="s">
        <v>253</v>
      </c>
      <c r="H11" s="482">
        <v>1</v>
      </c>
      <c r="I11" s="300"/>
      <c r="J11" s="472"/>
      <c r="K11" s="472"/>
      <c r="L11" s="299"/>
      <c r="M11" s="475"/>
      <c r="N11" s="475"/>
      <c r="O11" s="476">
        <f t="shared" ref="O11:P13" si="0">J11+M11</f>
        <v>0</v>
      </c>
      <c r="P11" s="570">
        <f t="shared" si="0"/>
        <v>0</v>
      </c>
    </row>
    <row r="12" spans="1:16" x14ac:dyDescent="0.2">
      <c r="A12" s="332"/>
      <c r="B12" s="254"/>
      <c r="C12" s="284"/>
      <c r="D12" s="261"/>
      <c r="E12" s="288"/>
      <c r="F12" s="287"/>
      <c r="G12" s="432" t="s">
        <v>253</v>
      </c>
      <c r="H12" s="483" t="s">
        <v>365</v>
      </c>
      <c r="I12" s="316"/>
      <c r="J12" s="477"/>
      <c r="K12" s="477"/>
      <c r="L12" s="299"/>
      <c r="M12" s="475"/>
      <c r="N12" s="475"/>
      <c r="O12" s="478">
        <f>J12+M12</f>
        <v>0</v>
      </c>
      <c r="P12" s="571">
        <f>K12+N12</f>
        <v>0</v>
      </c>
    </row>
    <row r="13" spans="1:16" hidden="1" x14ac:dyDescent="0.2">
      <c r="A13" s="332"/>
      <c r="B13" s="254"/>
      <c r="C13" s="284"/>
      <c r="D13" s="260"/>
      <c r="E13" s="289"/>
      <c r="F13" s="287"/>
      <c r="G13" s="432" t="s">
        <v>253</v>
      </c>
      <c r="H13" s="482"/>
      <c r="I13" s="300"/>
      <c r="J13" s="472"/>
      <c r="K13" s="472"/>
      <c r="L13" s="299"/>
      <c r="M13" s="475"/>
      <c r="N13" s="475"/>
      <c r="O13" s="476">
        <f t="shared" si="0"/>
        <v>0</v>
      </c>
      <c r="P13" s="570">
        <f t="shared" si="0"/>
        <v>0</v>
      </c>
    </row>
    <row r="14" spans="1:16" x14ac:dyDescent="0.2">
      <c r="A14" s="332"/>
      <c r="B14" s="254"/>
      <c r="C14" s="254"/>
      <c r="D14" s="779"/>
      <c r="E14" s="780"/>
      <c r="F14" s="296"/>
      <c r="G14" s="432" t="s">
        <v>253</v>
      </c>
      <c r="H14" s="485"/>
      <c r="I14" s="299"/>
      <c r="J14" s="475"/>
      <c r="K14" s="475"/>
      <c r="L14" s="299"/>
      <c r="M14" s="475"/>
      <c r="N14" s="475"/>
      <c r="O14" s="315"/>
      <c r="P14" s="572"/>
    </row>
    <row r="15" spans="1:16" x14ac:dyDescent="0.2">
      <c r="A15" s="332"/>
      <c r="B15" s="253" t="s">
        <v>1267</v>
      </c>
      <c r="C15" s="254" t="s">
        <v>1280</v>
      </c>
      <c r="D15" s="254"/>
      <c r="E15" s="296"/>
      <c r="F15" s="296"/>
      <c r="G15" s="297" t="s">
        <v>201</v>
      </c>
      <c r="H15" s="486"/>
      <c r="I15" s="300"/>
      <c r="J15" s="472"/>
      <c r="K15" s="472"/>
      <c r="L15" s="300"/>
      <c r="M15" s="472"/>
      <c r="N15" s="472"/>
      <c r="O15" s="476">
        <f>J15+M15</f>
        <v>0</v>
      </c>
      <c r="P15" s="570">
        <f>K15+N15</f>
        <v>0</v>
      </c>
    </row>
    <row r="16" spans="1:16" ht="15" customHeight="1" x14ac:dyDescent="0.2">
      <c r="A16" s="332"/>
      <c r="B16" s="254"/>
      <c r="C16" s="254"/>
      <c r="D16" s="254"/>
      <c r="E16" s="296"/>
      <c r="F16" s="296"/>
      <c r="G16" s="298"/>
      <c r="H16" s="487"/>
      <c r="I16" s="299"/>
      <c r="J16" s="475"/>
      <c r="K16" s="475"/>
      <c r="L16" s="299"/>
      <c r="M16" s="475"/>
      <c r="N16" s="475"/>
      <c r="O16" s="315"/>
      <c r="P16" s="572"/>
    </row>
    <row r="17" spans="1:17" x14ac:dyDescent="0.2">
      <c r="A17" s="332"/>
      <c r="B17" s="253" t="s">
        <v>1152</v>
      </c>
      <c r="C17" s="254" t="s">
        <v>1281</v>
      </c>
      <c r="D17" s="254"/>
      <c r="E17" s="296"/>
      <c r="F17" s="296"/>
      <c r="G17" s="297" t="s">
        <v>202</v>
      </c>
      <c r="H17" s="487"/>
      <c r="I17" s="300"/>
      <c r="J17" s="472"/>
      <c r="K17" s="472"/>
      <c r="L17" s="300"/>
      <c r="M17" s="472"/>
      <c r="N17" s="472"/>
      <c r="O17" s="476">
        <f>J17+M17</f>
        <v>0</v>
      </c>
      <c r="P17" s="570">
        <f>K17+N17</f>
        <v>0</v>
      </c>
    </row>
    <row r="18" spans="1:17" s="274" customFormat="1" x14ac:dyDescent="0.2">
      <c r="A18" s="343"/>
      <c r="B18" s="254"/>
      <c r="C18" s="254"/>
      <c r="D18" s="254"/>
      <c r="E18" s="254"/>
      <c r="F18" s="301"/>
      <c r="G18" s="302"/>
      <c r="H18" s="488"/>
      <c r="I18" s="188"/>
      <c r="J18" s="190"/>
      <c r="K18" s="190"/>
      <c r="L18" s="188"/>
      <c r="M18" s="190"/>
      <c r="N18" s="190"/>
      <c r="O18" s="479"/>
      <c r="P18" s="573"/>
      <c r="Q18" s="254"/>
    </row>
    <row r="19" spans="1:17" s="254" customFormat="1" ht="12.75" thickBot="1" x14ac:dyDescent="0.25">
      <c r="A19" s="574" t="s">
        <v>1165</v>
      </c>
      <c r="B19" s="303"/>
      <c r="C19" s="303"/>
      <c r="D19" s="304"/>
      <c r="E19" s="305"/>
      <c r="F19" s="306"/>
      <c r="G19" s="307" t="s">
        <v>157</v>
      </c>
      <c r="H19" s="489"/>
      <c r="I19" s="317">
        <f t="shared" ref="I19:P19" si="1">I10+I15+I17</f>
        <v>0</v>
      </c>
      <c r="J19" s="480">
        <f t="shared" si="1"/>
        <v>0</v>
      </c>
      <c r="K19" s="480">
        <f t="shared" si="1"/>
        <v>0</v>
      </c>
      <c r="L19" s="317">
        <f t="shared" si="1"/>
        <v>0</v>
      </c>
      <c r="M19" s="480">
        <f t="shared" si="1"/>
        <v>0</v>
      </c>
      <c r="N19" s="480">
        <f t="shared" si="1"/>
        <v>0</v>
      </c>
      <c r="O19" s="480">
        <f t="shared" si="1"/>
        <v>0</v>
      </c>
      <c r="P19" s="575">
        <f t="shared" si="1"/>
        <v>0</v>
      </c>
      <c r="Q19" s="274"/>
    </row>
    <row r="20" spans="1:17" ht="12.75" thickTop="1" x14ac:dyDescent="0.2">
      <c r="G20" s="64" t="s">
        <v>867</v>
      </c>
      <c r="I20" s="481"/>
      <c r="J20" s="481"/>
      <c r="K20" s="481"/>
      <c r="L20" s="308"/>
      <c r="M20" s="481"/>
      <c r="N20" s="481"/>
      <c r="O20" s="481"/>
      <c r="P20" s="481"/>
    </row>
    <row r="21" spans="1:17" x14ac:dyDescent="0.2">
      <c r="A21" s="69" t="s">
        <v>139</v>
      </c>
      <c r="B21" s="239" t="s">
        <v>131</v>
      </c>
    </row>
    <row r="23" spans="1:17" x14ac:dyDescent="0.2">
      <c r="A23" s="69" t="s">
        <v>140</v>
      </c>
      <c r="B23" s="239" t="s">
        <v>1283</v>
      </c>
      <c r="L23" s="308"/>
    </row>
    <row r="24" spans="1:17" s="309" customFormat="1" x14ac:dyDescent="0.2">
      <c r="A24" s="69"/>
      <c r="B24" s="239"/>
      <c r="C24" s="239"/>
      <c r="D24" s="239"/>
      <c r="E24" s="239"/>
      <c r="F24" s="239"/>
      <c r="G24" s="65"/>
      <c r="H24" s="239"/>
      <c r="I24" s="25"/>
      <c r="J24" s="25"/>
      <c r="K24" s="25"/>
      <c r="L24" s="240"/>
      <c r="M24" s="240"/>
      <c r="N24" s="240"/>
      <c r="O24" s="240"/>
      <c r="P24" s="239"/>
      <c r="Q24" s="239"/>
    </row>
    <row r="25" spans="1:17" x14ac:dyDescent="0.2">
      <c r="B25" s="309"/>
      <c r="C25" s="309"/>
      <c r="D25" s="309"/>
      <c r="E25" s="309"/>
      <c r="F25" s="309"/>
      <c r="G25" s="234"/>
      <c r="H25" s="309"/>
      <c r="I25" s="290"/>
      <c r="J25" s="290"/>
      <c r="K25" s="290"/>
      <c r="L25" s="310"/>
      <c r="M25" s="310"/>
      <c r="N25" s="310"/>
      <c r="O25" s="310"/>
      <c r="P25" s="309"/>
      <c r="Q25" s="309"/>
    </row>
    <row r="50" spans="1:8" x14ac:dyDescent="0.2">
      <c r="A50" s="275"/>
    </row>
    <row r="51" spans="1:8" x14ac:dyDescent="0.2">
      <c r="B51" s="275"/>
      <c r="C51" s="275"/>
      <c r="D51" s="275"/>
      <c r="E51" s="275"/>
      <c r="F51" s="275"/>
      <c r="G51" s="311"/>
      <c r="H51" s="275"/>
    </row>
  </sheetData>
  <sheetProtection password="B83E" sheet="1" objects="1" scenarios="1" selectLockedCells="1"/>
  <mergeCells count="13">
    <mergeCell ref="D14:E14"/>
    <mergeCell ref="I7:K7"/>
    <mergeCell ref="L7:N7"/>
    <mergeCell ref="D7:E7"/>
    <mergeCell ref="H6:H8"/>
    <mergeCell ref="G6:G8"/>
    <mergeCell ref="A3:O3"/>
    <mergeCell ref="A4:O4"/>
    <mergeCell ref="A5:O5"/>
    <mergeCell ref="O7:P7"/>
    <mergeCell ref="I6:P6"/>
    <mergeCell ref="A6:E6"/>
    <mergeCell ref="A7:C8"/>
  </mergeCells>
  <phoneticPr fontId="7" type="noConversion"/>
  <dataValidations count="2">
    <dataValidation type="decimal" allowBlank="1" showInputMessage="1" showErrorMessage="1" sqref="J15:N15 J17:N17 J11:K13">
      <formula1>0</formula1>
      <formula2>999999999999</formula2>
    </dataValidation>
    <dataValidation type="whole" allowBlank="1" showInputMessage="1" showErrorMessage="1" sqref="I9:I19">
      <formula1>0</formula1>
      <formula2>999999999999</formula2>
    </dataValidation>
  </dataValidations>
  <printOptions horizontalCentered="1"/>
  <pageMargins left="0.31" right="0.34" top="0.75" bottom="0.75" header="0.3" footer="0.3"/>
  <pageSetup paperSize="9" scale="70" orientation="landscape" cellComments="asDisplayed" r:id="rId1"/>
  <headerFooter>
    <oddHeader>&amp;RPage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Label_c2_a">
          <controlPr defaultSize="0" autoLine="0" autoPict="0" r:id="rId5">
            <anchor moveWithCells="1">
              <from>
                <xdr:col>7</xdr:col>
                <xdr:colOff>238125</xdr:colOff>
                <xdr:row>11</xdr:row>
                <xdr:rowOff>9525</xdr:rowOff>
              </from>
              <to>
                <xdr:col>7</xdr:col>
                <xdr:colOff>457200</xdr:colOff>
                <xdr:row>11</xdr:row>
                <xdr:rowOff>142875</xdr:rowOff>
              </to>
            </anchor>
          </controlPr>
        </control>
      </mc:Choice>
      <mc:Fallback>
        <control shapeId="3073" r:id="rId4" name="Label_c2_a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21"/>
  <sheetViews>
    <sheetView view="pageBreakPreview" zoomScale="80" zoomScaleNormal="100" zoomScaleSheetLayoutView="75" workbookViewId="0">
      <selection activeCell="B18" sqref="B18"/>
    </sheetView>
  </sheetViews>
  <sheetFormatPr defaultRowHeight="15.75" x14ac:dyDescent="0.25"/>
  <cols>
    <col min="1" max="1" width="2.85546875" style="2" customWidth="1"/>
    <col min="2" max="2" width="9.5703125" style="2" customWidth="1"/>
    <col min="3" max="3" width="22.140625" style="2" customWidth="1"/>
    <col min="4" max="4" width="19" style="2" customWidth="1"/>
    <col min="5" max="6" width="19" style="2" hidden="1" customWidth="1"/>
    <col min="7" max="7" width="19.7109375" style="2" customWidth="1"/>
    <col min="8" max="8" width="12.42578125" style="9" customWidth="1"/>
    <col min="9" max="10" width="18.7109375" style="3" customWidth="1"/>
    <col min="11" max="12" width="18.7109375" style="4" customWidth="1"/>
    <col min="13" max="14" width="18.7109375" style="3" customWidth="1"/>
    <col min="15" max="15" width="18.7109375" style="4" customWidth="1"/>
    <col min="16" max="16" width="20.7109375" style="4" customWidth="1"/>
    <col min="17" max="16384" width="9.140625" style="2"/>
  </cols>
  <sheetData>
    <row r="1" spans="1:19" x14ac:dyDescent="0.25">
      <c r="A1" s="23" t="s">
        <v>1100</v>
      </c>
      <c r="B1" s="23"/>
      <c r="C1" s="23"/>
      <c r="D1" s="23"/>
      <c r="E1" s="23"/>
      <c r="F1" s="23"/>
      <c r="G1" s="23"/>
      <c r="H1" s="227"/>
      <c r="I1" s="26"/>
      <c r="J1" s="25"/>
      <c r="K1" s="27"/>
      <c r="L1" s="28"/>
      <c r="M1" s="26"/>
      <c r="N1" s="25"/>
      <c r="O1" s="27" t="s">
        <v>1285</v>
      </c>
      <c r="P1" s="28"/>
    </row>
    <row r="2" spans="1:19" x14ac:dyDescent="0.25">
      <c r="A2" s="23" t="s">
        <v>123</v>
      </c>
      <c r="B2" s="23"/>
      <c r="C2" s="23"/>
      <c r="D2" s="727" t="s">
        <v>1173</v>
      </c>
      <c r="E2" s="727"/>
      <c r="F2" s="727"/>
      <c r="G2" s="727"/>
      <c r="H2" s="727"/>
      <c r="I2" s="727"/>
      <c r="J2" s="727"/>
      <c r="K2" s="727"/>
      <c r="L2" s="727"/>
      <c r="M2" s="727"/>
      <c r="N2" s="727"/>
      <c r="O2" s="727"/>
      <c r="P2" s="241"/>
      <c r="Q2" s="241"/>
      <c r="R2" s="241"/>
      <c r="S2" s="241"/>
    </row>
    <row r="3" spans="1:19" s="5" customFormat="1" x14ac:dyDescent="0.25">
      <c r="A3" s="727" t="s">
        <v>1163</v>
      </c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  <c r="P3" s="727"/>
    </row>
    <row r="4" spans="1:19" s="5" customFormat="1" ht="14.25" customHeight="1" thickBot="1" x14ac:dyDescent="0.3">
      <c r="A4" s="727" t="s">
        <v>1167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  <c r="N4" s="727"/>
      <c r="O4" s="727"/>
      <c r="P4" s="727"/>
    </row>
    <row r="5" spans="1:19" s="7" customFormat="1" ht="23.25" customHeight="1" thickTop="1" x14ac:dyDescent="0.25">
      <c r="A5" s="790" t="s">
        <v>236</v>
      </c>
      <c r="B5" s="786"/>
      <c r="C5" s="786"/>
      <c r="D5" s="786"/>
      <c r="E5" s="786"/>
      <c r="F5" s="786"/>
      <c r="G5" s="786"/>
      <c r="H5" s="786"/>
      <c r="I5" s="785" t="s">
        <v>237</v>
      </c>
      <c r="J5" s="786"/>
      <c r="K5" s="786"/>
      <c r="L5" s="786"/>
      <c r="M5" s="786"/>
      <c r="N5" s="786"/>
      <c r="O5" s="786"/>
      <c r="P5" s="787"/>
    </row>
    <row r="6" spans="1:19" s="7" customFormat="1" ht="23.25" customHeight="1" x14ac:dyDescent="0.25">
      <c r="A6" s="792" t="s">
        <v>1132</v>
      </c>
      <c r="B6" s="793"/>
      <c r="C6" s="794" t="s">
        <v>1135</v>
      </c>
      <c r="D6" s="796" t="s">
        <v>130</v>
      </c>
      <c r="E6" s="425"/>
      <c r="F6" s="425"/>
      <c r="G6" s="791" t="s">
        <v>43</v>
      </c>
      <c r="H6" s="791" t="s">
        <v>82</v>
      </c>
      <c r="I6" s="788" t="s">
        <v>1120</v>
      </c>
      <c r="J6" s="788"/>
      <c r="K6" s="788"/>
      <c r="L6" s="789"/>
      <c r="M6" s="788" t="s">
        <v>1121</v>
      </c>
      <c r="N6" s="788"/>
      <c r="O6" s="788"/>
      <c r="P6" s="798"/>
    </row>
    <row r="7" spans="1:19" s="8" customFormat="1" ht="31.5" customHeight="1" x14ac:dyDescent="0.25">
      <c r="A7" s="732"/>
      <c r="B7" s="733"/>
      <c r="C7" s="795"/>
      <c r="D7" s="797"/>
      <c r="E7" s="426"/>
      <c r="F7" s="426"/>
      <c r="G7" s="791"/>
      <c r="H7" s="791"/>
      <c r="I7" s="427" t="s">
        <v>1115</v>
      </c>
      <c r="J7" s="201" t="s">
        <v>1116</v>
      </c>
      <c r="K7" s="201" t="s">
        <v>1117</v>
      </c>
      <c r="L7" s="201" t="s">
        <v>238</v>
      </c>
      <c r="M7" s="201" t="s">
        <v>1115</v>
      </c>
      <c r="N7" s="201" t="s">
        <v>1116</v>
      </c>
      <c r="O7" s="201" t="s">
        <v>1117</v>
      </c>
      <c r="P7" s="424" t="s">
        <v>239</v>
      </c>
    </row>
    <row r="8" spans="1:19" s="8" customFormat="1" ht="31.5" hidden="1" customHeight="1" x14ac:dyDescent="0.2">
      <c r="A8" s="497"/>
      <c r="B8" s="498"/>
      <c r="C8" s="439"/>
      <c r="D8" s="289"/>
      <c r="E8" s="288"/>
      <c r="F8" s="288"/>
      <c r="G8" s="288"/>
      <c r="H8" s="287"/>
      <c r="I8" s="356"/>
      <c r="J8" s="356"/>
      <c r="K8" s="357"/>
      <c r="L8" s="358">
        <f>SUM(I8:K8)</f>
        <v>0</v>
      </c>
      <c r="M8" s="356"/>
      <c r="N8" s="356"/>
      <c r="O8" s="357"/>
      <c r="P8" s="359">
        <f>SUM(M8:O8)</f>
        <v>0</v>
      </c>
    </row>
    <row r="9" spans="1:19" hidden="1" x14ac:dyDescent="0.25">
      <c r="A9" s="428"/>
      <c r="B9" s="35"/>
      <c r="C9" s="429"/>
      <c r="D9" s="296"/>
      <c r="E9" s="296"/>
      <c r="F9" s="296"/>
      <c r="G9" s="296"/>
      <c r="H9" s="298"/>
      <c r="I9" s="430"/>
      <c r="J9" s="430"/>
      <c r="K9" s="442"/>
      <c r="L9" s="443"/>
      <c r="M9" s="430"/>
      <c r="N9" s="430"/>
      <c r="O9" s="442"/>
      <c r="P9" s="444"/>
    </row>
    <row r="10" spans="1:19" s="6" customFormat="1" ht="18" x14ac:dyDescent="0.2">
      <c r="A10" s="511"/>
      <c r="B10" s="206" t="s">
        <v>1166</v>
      </c>
      <c r="C10" s="206"/>
      <c r="D10" s="331"/>
      <c r="E10" s="331"/>
      <c r="F10" s="331"/>
      <c r="G10" s="445" t="s">
        <v>196</v>
      </c>
      <c r="H10" s="346">
        <v>0</v>
      </c>
      <c r="I10" s="257">
        <f t="shared" ref="I10:P10" si="0">SUM(I11:I14)</f>
        <v>0</v>
      </c>
      <c r="J10" s="257">
        <f t="shared" si="0"/>
        <v>0</v>
      </c>
      <c r="K10" s="257">
        <f t="shared" si="0"/>
        <v>0</v>
      </c>
      <c r="L10" s="257">
        <f t="shared" si="0"/>
        <v>0</v>
      </c>
      <c r="M10" s="257">
        <f t="shared" si="0"/>
        <v>0</v>
      </c>
      <c r="N10" s="257">
        <f t="shared" si="0"/>
        <v>0</v>
      </c>
      <c r="O10" s="257">
        <f t="shared" si="0"/>
        <v>0</v>
      </c>
      <c r="P10" s="512">
        <f t="shared" si="0"/>
        <v>0</v>
      </c>
      <c r="Q10" s="10"/>
    </row>
    <row r="11" spans="1:19" x14ac:dyDescent="0.25">
      <c r="A11" s="438"/>
      <c r="B11" s="499" t="s">
        <v>1130</v>
      </c>
      <c r="C11" s="439"/>
      <c r="D11" s="289"/>
      <c r="E11" s="288"/>
      <c r="F11" s="288"/>
      <c r="G11" s="288"/>
      <c r="H11" s="287">
        <v>1</v>
      </c>
      <c r="I11" s="356"/>
      <c r="J11" s="356"/>
      <c r="K11" s="357"/>
      <c r="L11" s="358">
        <f>SUM(I11:K11)</f>
        <v>0</v>
      </c>
      <c r="M11" s="356"/>
      <c r="N11" s="356"/>
      <c r="O11" s="357"/>
      <c r="P11" s="359">
        <f>SUM(M11:O11)</f>
        <v>0</v>
      </c>
    </row>
    <row r="12" spans="1:19" x14ac:dyDescent="0.25">
      <c r="A12" s="428"/>
      <c r="B12" s="500"/>
      <c r="C12" s="431"/>
      <c r="D12" s="288"/>
      <c r="E12" s="288"/>
      <c r="F12" s="288"/>
      <c r="G12" s="288"/>
      <c r="H12" s="432" t="s">
        <v>365</v>
      </c>
      <c r="I12" s="360"/>
      <c r="J12" s="360"/>
      <c r="K12" s="361"/>
      <c r="L12" s="283">
        <f>SUM(I12:K12)</f>
        <v>0</v>
      </c>
      <c r="M12" s="441"/>
      <c r="N12" s="441"/>
      <c r="O12" s="446"/>
      <c r="P12" s="447">
        <f>SUM(M12:O12)</f>
        <v>0</v>
      </c>
    </row>
    <row r="13" spans="1:19" hidden="1" x14ac:dyDescent="0.25">
      <c r="A13" s="440"/>
      <c r="B13" s="500"/>
      <c r="C13" s="439"/>
      <c r="D13" s="289"/>
      <c r="E13" s="288"/>
      <c r="F13" s="288"/>
      <c r="G13" s="288"/>
      <c r="H13" s="287"/>
      <c r="I13" s="356"/>
      <c r="J13" s="356"/>
      <c r="K13" s="357"/>
      <c r="L13" s="358">
        <f>SUM(I13:K13)</f>
        <v>0</v>
      </c>
      <c r="M13" s="356"/>
      <c r="N13" s="356"/>
      <c r="O13" s="357"/>
      <c r="P13" s="359">
        <f>SUM(M13:O13)</f>
        <v>0</v>
      </c>
    </row>
    <row r="14" spans="1:19" x14ac:dyDescent="0.25">
      <c r="A14" s="440"/>
      <c r="B14" s="499"/>
      <c r="C14" s="431"/>
      <c r="D14" s="288"/>
      <c r="E14" s="288"/>
      <c r="F14" s="288"/>
      <c r="G14" s="288"/>
      <c r="H14" s="287"/>
      <c r="I14" s="507"/>
      <c r="J14" s="507"/>
      <c r="K14" s="508"/>
      <c r="L14" s="358"/>
      <c r="M14" s="507"/>
      <c r="N14" s="507"/>
      <c r="O14" s="508"/>
      <c r="P14" s="359"/>
    </row>
    <row r="15" spans="1:19" x14ac:dyDescent="0.25">
      <c r="A15" s="440"/>
      <c r="B15" s="500"/>
      <c r="C15" s="491"/>
      <c r="D15" s="492"/>
      <c r="E15" s="492"/>
      <c r="F15" s="492"/>
      <c r="G15" s="492"/>
      <c r="H15" s="432"/>
      <c r="I15" s="493"/>
      <c r="J15" s="493"/>
      <c r="K15" s="494"/>
      <c r="L15" s="495"/>
      <c r="M15" s="493"/>
      <c r="N15" s="493"/>
      <c r="O15" s="494"/>
      <c r="P15" s="496"/>
    </row>
    <row r="16" spans="1:19" ht="16.5" thickBot="1" x14ac:dyDescent="0.3">
      <c r="A16" s="433"/>
      <c r="B16" s="501"/>
      <c r="C16" s="434"/>
      <c r="D16" s="448"/>
      <c r="E16" s="448"/>
      <c r="F16" s="448"/>
      <c r="G16" s="448"/>
      <c r="H16" s="435"/>
      <c r="I16" s="436"/>
      <c r="J16" s="436"/>
      <c r="K16" s="449"/>
      <c r="L16" s="450"/>
      <c r="M16" s="436"/>
      <c r="N16" s="436"/>
      <c r="O16" s="449"/>
      <c r="P16" s="451"/>
    </row>
    <row r="17" spans="1:16" ht="16.5" thickTop="1" x14ac:dyDescent="0.25">
      <c r="A17" s="26"/>
      <c r="B17" s="26"/>
      <c r="C17" s="26"/>
      <c r="D17" s="26"/>
      <c r="E17" s="26"/>
      <c r="F17" s="26"/>
      <c r="G17" s="64" t="s">
        <v>867</v>
      </c>
      <c r="H17" s="65"/>
      <c r="I17" s="25"/>
      <c r="J17" s="25"/>
      <c r="K17" s="28"/>
      <c r="L17" s="28"/>
      <c r="M17" s="25"/>
      <c r="N17" s="25"/>
      <c r="O17" s="28"/>
      <c r="P17" s="28"/>
    </row>
    <row r="18" spans="1:16" x14ac:dyDescent="0.25">
      <c r="A18" s="12" t="s">
        <v>139</v>
      </c>
      <c r="B18" s="217" t="s">
        <v>771</v>
      </c>
      <c r="C18" s="26"/>
      <c r="D18" s="26"/>
      <c r="E18" s="26"/>
      <c r="F18" s="26"/>
      <c r="G18" s="26"/>
      <c r="H18" s="65"/>
      <c r="I18" s="25"/>
      <c r="J18" s="25"/>
      <c r="K18" s="28"/>
      <c r="L18" s="28"/>
      <c r="M18" s="25"/>
      <c r="N18" s="25"/>
      <c r="O18" s="28"/>
      <c r="P18" s="28"/>
    </row>
    <row r="19" spans="1:16" x14ac:dyDescent="0.25">
      <c r="A19" s="437"/>
      <c r="B19" s="217"/>
      <c r="C19" s="26"/>
      <c r="D19" s="26"/>
      <c r="E19" s="26"/>
      <c r="F19" s="26"/>
      <c r="G19" s="26"/>
      <c r="H19" s="65"/>
      <c r="I19" s="25"/>
      <c r="J19" s="25"/>
      <c r="K19" s="28"/>
      <c r="L19" s="28"/>
      <c r="M19" s="25"/>
      <c r="N19" s="25"/>
      <c r="O19" s="28"/>
      <c r="P19" s="28"/>
    </row>
    <row r="20" spans="1:16" x14ac:dyDescent="0.25">
      <c r="A20" s="12" t="s">
        <v>140</v>
      </c>
      <c r="B20" s="26" t="s">
        <v>1276</v>
      </c>
      <c r="C20" s="26"/>
      <c r="D20" s="26"/>
      <c r="E20" s="26"/>
      <c r="F20" s="26"/>
      <c r="G20" s="26"/>
      <c r="H20" s="65"/>
      <c r="I20" s="25"/>
      <c r="J20" s="25"/>
      <c r="K20" s="28"/>
      <c r="L20" s="28"/>
      <c r="M20" s="25"/>
      <c r="N20" s="25"/>
      <c r="O20" s="28"/>
      <c r="P20" s="28"/>
    </row>
    <row r="21" spans="1:16" x14ac:dyDescent="0.25">
      <c r="A21" s="1"/>
    </row>
  </sheetData>
  <sheetProtection password="B8BE" sheet="1" objects="1" scenarios="1"/>
  <mergeCells count="12">
    <mergeCell ref="H6:H7"/>
    <mergeCell ref="M6:P6"/>
    <mergeCell ref="I5:P5"/>
    <mergeCell ref="I6:L6"/>
    <mergeCell ref="D2:O2"/>
    <mergeCell ref="A3:P3"/>
    <mergeCell ref="A4:P4"/>
    <mergeCell ref="A5:H5"/>
    <mergeCell ref="G6:G7"/>
    <mergeCell ref="A6:B7"/>
    <mergeCell ref="C6:C7"/>
    <mergeCell ref="D6:D7"/>
  </mergeCells>
  <phoneticPr fontId="7" type="noConversion"/>
  <dataValidations count="1">
    <dataValidation type="decimal" allowBlank="1" showInputMessage="1" showErrorMessage="1" sqref="M8:O8 M11:O15 I11:K15 I8:K8">
      <formula1>0</formula1>
      <formula2>999999999999</formula2>
    </dataValidation>
  </dataValidations>
  <printOptions horizontalCentered="1"/>
  <pageMargins left="0.31" right="0.34" top="0.75" bottom="0.75" header="0.3" footer="0.3"/>
  <pageSetup paperSize="9" scale="70" orientation="landscape" cellComments="asDisplayed" r:id="rId1"/>
  <headerFooter>
    <oddHeader>&amp;RPage &amp;P of &amp;N&amp;C&amp;"Arial,Bold"&amp;8 NEW RURAL BANK OF SAN LEONARDO, INC  [ 04-040656 ]
 As of: September 30, 2017</oddHeader>
  </headerFooter>
  <ignoredErrors>
    <ignoredError sqref="L11" formulaRange="1"/>
  </ignoredErrors>
  <drawing r:id="rId2"/>
  <legacyDrawing r:id="rId3"/>
  <controls>
    <mc:AlternateContent xmlns:mc="http://schemas.openxmlformats.org/markup-compatibility/2006">
      <mc:Choice Requires="x14">
        <control shapeId="4097" r:id="rId4" name="Label_sch_c3_a">
          <controlPr defaultSize="0" autoLine="0" autoPict="0" r:id="rId5">
            <anchor moveWithCells="1">
              <from>
                <xdr:col>7</xdr:col>
                <xdr:colOff>314325</xdr:colOff>
                <xdr:row>11</xdr:row>
                <xdr:rowOff>19050</xdr:rowOff>
              </from>
              <to>
                <xdr:col>7</xdr:col>
                <xdr:colOff>552450</xdr:colOff>
                <xdr:row>11</xdr:row>
                <xdr:rowOff>180975</xdr:rowOff>
              </to>
            </anchor>
          </controlPr>
        </control>
      </mc:Choice>
      <mc:Fallback>
        <control shapeId="4097" r:id="rId4" name="Label_sch_c3_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53"/>
  <sheetViews>
    <sheetView view="pageBreakPreview" zoomScale="80" zoomScaleSheetLayoutView="75" workbookViewId="0">
      <selection activeCell="B51" sqref="B51"/>
    </sheetView>
  </sheetViews>
  <sheetFormatPr defaultRowHeight="12" x14ac:dyDescent="0.2"/>
  <cols>
    <col min="1" max="1" width="3.140625" style="239" customWidth="1"/>
    <col min="2" max="2" width="7.7109375" style="239" customWidth="1"/>
    <col min="3" max="3" width="38.28515625" style="239" customWidth="1"/>
    <col min="4" max="4" width="30.7109375" style="239" customWidth="1"/>
    <col min="5" max="6" width="16.7109375" style="239" hidden="1" customWidth="1"/>
    <col min="7" max="7" width="19.7109375" style="65" customWidth="1"/>
    <col min="8" max="8" width="10.7109375" style="239" customWidth="1"/>
    <col min="9" max="10" width="15.7109375" style="25" customWidth="1"/>
    <col min="11" max="11" width="15.7109375" style="240" customWidth="1"/>
    <col min="12" max="12" width="18.7109375" style="327" customWidth="1"/>
    <col min="13" max="14" width="15.7109375" style="25" customWidth="1"/>
    <col min="15" max="15" width="15.7109375" style="240" customWidth="1"/>
    <col min="16" max="16" width="18.7109375" style="327" customWidth="1"/>
    <col min="17" max="16384" width="9.140625" style="239"/>
  </cols>
  <sheetData>
    <row r="1" spans="1:17" x14ac:dyDescent="0.2">
      <c r="A1" s="238" t="s">
        <v>1100</v>
      </c>
      <c r="B1" s="238"/>
      <c r="C1" s="238"/>
      <c r="D1" s="238"/>
      <c r="E1" s="238"/>
      <c r="F1" s="238"/>
      <c r="G1" s="227"/>
      <c r="H1" s="238"/>
      <c r="I1" s="239"/>
      <c r="K1" s="27"/>
      <c r="M1" s="239"/>
      <c r="O1" s="27" t="s">
        <v>1286</v>
      </c>
    </row>
    <row r="2" spans="1:17" x14ac:dyDescent="0.2">
      <c r="A2" s="238" t="s">
        <v>123</v>
      </c>
      <c r="B2" s="238"/>
      <c r="C2" s="238"/>
      <c r="D2" s="238"/>
      <c r="E2" s="238"/>
      <c r="F2" s="238"/>
      <c r="G2" s="227"/>
      <c r="H2" s="238"/>
      <c r="I2" s="27"/>
      <c r="M2" s="27"/>
    </row>
    <row r="3" spans="1:17" s="241" customFormat="1" x14ac:dyDescent="0.2">
      <c r="A3" s="727" t="s">
        <v>1173</v>
      </c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  <c r="P3" s="727"/>
    </row>
    <row r="4" spans="1:17" s="241" customFormat="1" x14ac:dyDescent="0.2">
      <c r="A4" s="727" t="s">
        <v>1163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  <c r="N4" s="727"/>
      <c r="O4" s="727"/>
      <c r="P4" s="727"/>
    </row>
    <row r="5" spans="1:17" s="241" customFormat="1" ht="12.75" thickBot="1" x14ac:dyDescent="0.25">
      <c r="A5" s="727" t="s">
        <v>1169</v>
      </c>
      <c r="B5" s="727"/>
      <c r="C5" s="727"/>
      <c r="D5" s="727"/>
      <c r="E5" s="727"/>
      <c r="F5" s="727"/>
      <c r="G5" s="727"/>
      <c r="H5" s="727"/>
      <c r="I5" s="727"/>
      <c r="J5" s="727"/>
      <c r="K5" s="727"/>
      <c r="L5" s="727"/>
      <c r="M5" s="727"/>
      <c r="N5" s="727"/>
      <c r="O5" s="727"/>
      <c r="P5" s="727"/>
    </row>
    <row r="6" spans="1:17" s="241" customFormat="1" ht="18" customHeight="1" thickTop="1" x14ac:dyDescent="0.2">
      <c r="A6" s="830" t="s">
        <v>1125</v>
      </c>
      <c r="B6" s="831"/>
      <c r="C6" s="831"/>
      <c r="D6" s="832"/>
      <c r="E6" s="513"/>
      <c r="F6" s="513"/>
      <c r="G6" s="685" t="s">
        <v>43</v>
      </c>
      <c r="H6" s="685" t="s">
        <v>82</v>
      </c>
      <c r="I6" s="823" t="s">
        <v>538</v>
      </c>
      <c r="J6" s="824"/>
      <c r="K6" s="824"/>
      <c r="L6" s="824"/>
      <c r="M6" s="824"/>
      <c r="N6" s="824"/>
      <c r="O6" s="824"/>
      <c r="P6" s="825"/>
    </row>
    <row r="7" spans="1:17" s="241" customFormat="1" x14ac:dyDescent="0.2">
      <c r="A7" s="833"/>
      <c r="B7" s="834"/>
      <c r="C7" s="834"/>
      <c r="D7" s="835"/>
      <c r="E7" s="514"/>
      <c r="F7" s="514"/>
      <c r="G7" s="805"/>
      <c r="H7" s="805"/>
      <c r="I7" s="817" t="s">
        <v>1120</v>
      </c>
      <c r="J7" s="818"/>
      <c r="K7" s="818"/>
      <c r="L7" s="819"/>
      <c r="M7" s="817" t="s">
        <v>1121</v>
      </c>
      <c r="N7" s="818"/>
      <c r="O7" s="818"/>
      <c r="P7" s="820"/>
    </row>
    <row r="8" spans="1:17" s="34" customFormat="1" x14ac:dyDescent="0.2">
      <c r="A8" s="828" t="s">
        <v>1132</v>
      </c>
      <c r="B8" s="829"/>
      <c r="C8" s="515" t="s">
        <v>116</v>
      </c>
      <c r="D8" s="515" t="s">
        <v>130</v>
      </c>
      <c r="E8" s="515"/>
      <c r="F8" s="515"/>
      <c r="G8" s="805"/>
      <c r="H8" s="805"/>
      <c r="I8" s="516" t="s">
        <v>1115</v>
      </c>
      <c r="J8" s="516" t="s">
        <v>1116</v>
      </c>
      <c r="K8" s="516" t="s">
        <v>1117</v>
      </c>
      <c r="L8" s="516" t="s">
        <v>1104</v>
      </c>
      <c r="M8" s="516" t="s">
        <v>1115</v>
      </c>
      <c r="N8" s="516" t="s">
        <v>1116</v>
      </c>
      <c r="O8" s="516" t="s">
        <v>1117</v>
      </c>
      <c r="P8" s="517" t="s">
        <v>1104</v>
      </c>
    </row>
    <row r="9" spans="1:17" s="34" customFormat="1" ht="7.5" customHeight="1" x14ac:dyDescent="0.2">
      <c r="A9" s="328"/>
      <c r="B9" s="329"/>
      <c r="C9" s="329"/>
      <c r="D9" s="329"/>
      <c r="E9" s="329"/>
      <c r="F9" s="329"/>
      <c r="G9" s="330"/>
      <c r="H9" s="330"/>
      <c r="I9" s="518"/>
      <c r="J9" s="518"/>
      <c r="K9" s="518"/>
      <c r="L9" s="518"/>
      <c r="M9" s="518"/>
      <c r="N9" s="518"/>
      <c r="O9" s="518"/>
      <c r="P9" s="519"/>
    </row>
    <row r="10" spans="1:17" s="274" customFormat="1" ht="14.25" x14ac:dyDescent="0.2">
      <c r="A10" s="520" t="s">
        <v>251</v>
      </c>
      <c r="B10" s="521"/>
      <c r="C10" s="339"/>
      <c r="D10" s="521"/>
      <c r="E10" s="557"/>
      <c r="F10" s="521"/>
      <c r="G10" s="41" t="s">
        <v>204</v>
      </c>
      <c r="H10" s="609"/>
      <c r="I10" s="522">
        <f t="shared" ref="I10:P10" si="0">SUM(I11:I14)</f>
        <v>0</v>
      </c>
      <c r="J10" s="522">
        <f t="shared" si="0"/>
        <v>0</v>
      </c>
      <c r="K10" s="522">
        <f t="shared" si="0"/>
        <v>0</v>
      </c>
      <c r="L10" s="522">
        <f t="shared" si="0"/>
        <v>0</v>
      </c>
      <c r="M10" s="522">
        <f t="shared" si="0"/>
        <v>0</v>
      </c>
      <c r="N10" s="522">
        <f t="shared" si="0"/>
        <v>0</v>
      </c>
      <c r="O10" s="522">
        <f t="shared" si="0"/>
        <v>0</v>
      </c>
      <c r="P10" s="523">
        <f t="shared" si="0"/>
        <v>0</v>
      </c>
      <c r="Q10" s="273"/>
    </row>
    <row r="11" spans="1:17" x14ac:dyDescent="0.2">
      <c r="A11" s="345"/>
      <c r="B11" s="253" t="s">
        <v>1130</v>
      </c>
      <c r="C11" s="260"/>
      <c r="D11" s="558"/>
      <c r="E11" s="261"/>
      <c r="F11" s="261"/>
      <c r="G11" s="432" t="s">
        <v>253</v>
      </c>
      <c r="H11" s="320">
        <v>1</v>
      </c>
      <c r="I11" s="524"/>
      <c r="J11" s="524"/>
      <c r="K11" s="472"/>
      <c r="L11" s="525">
        <f>SUM(I11:K11)</f>
        <v>0</v>
      </c>
      <c r="M11" s="524"/>
      <c r="N11" s="524"/>
      <c r="O11" s="472"/>
      <c r="P11" s="526">
        <f>SUM(M11:O11)</f>
        <v>0</v>
      </c>
    </row>
    <row r="12" spans="1:17" s="254" customFormat="1" x14ac:dyDescent="0.2">
      <c r="A12" s="332"/>
      <c r="C12" s="261"/>
      <c r="D12" s="559"/>
      <c r="E12" s="261"/>
      <c r="F12" s="261"/>
      <c r="G12" s="432" t="s">
        <v>253</v>
      </c>
      <c r="H12" s="321" t="s">
        <v>365</v>
      </c>
      <c r="I12" s="527"/>
      <c r="J12" s="527"/>
      <c r="K12" s="477"/>
      <c r="L12" s="528">
        <f>SUM(I12:K12)</f>
        <v>0</v>
      </c>
      <c r="M12" s="527"/>
      <c r="N12" s="527"/>
      <c r="O12" s="477"/>
      <c r="P12" s="529">
        <f>SUM(M12:O12)</f>
        <v>0</v>
      </c>
    </row>
    <row r="13" spans="1:17" s="254" customFormat="1" hidden="1" x14ac:dyDescent="0.2">
      <c r="A13" s="332"/>
      <c r="C13" s="260"/>
      <c r="D13" s="558"/>
      <c r="E13" s="261"/>
      <c r="F13" s="261"/>
      <c r="G13" s="432" t="s">
        <v>253</v>
      </c>
      <c r="H13" s="320"/>
      <c r="I13" s="524"/>
      <c r="J13" s="524"/>
      <c r="K13" s="472"/>
      <c r="L13" s="525">
        <f>SUM(I13:K13)</f>
        <v>0</v>
      </c>
      <c r="M13" s="524"/>
      <c r="N13" s="524"/>
      <c r="O13" s="472"/>
      <c r="P13" s="526">
        <f>SUM(M13:O13)</f>
        <v>0</v>
      </c>
    </row>
    <row r="14" spans="1:17" s="254" customFormat="1" x14ac:dyDescent="0.2">
      <c r="A14" s="332"/>
      <c r="C14" s="261"/>
      <c r="D14" s="559"/>
      <c r="E14" s="261"/>
      <c r="F14" s="261"/>
      <c r="G14" s="432" t="s">
        <v>253</v>
      </c>
      <c r="H14" s="320"/>
      <c r="I14" s="527"/>
      <c r="J14" s="527"/>
      <c r="K14" s="477"/>
      <c r="L14" s="528">
        <f>SUM(I14:K14)</f>
        <v>0</v>
      </c>
      <c r="M14" s="527"/>
      <c r="N14" s="527"/>
      <c r="O14" s="477"/>
      <c r="P14" s="529">
        <f>SUM(M14:O14)</f>
        <v>0</v>
      </c>
    </row>
    <row r="15" spans="1:17" s="254" customFormat="1" x14ac:dyDescent="0.2">
      <c r="A15" s="332"/>
      <c r="D15" s="560"/>
      <c r="G15" s="432" t="s">
        <v>253</v>
      </c>
      <c r="H15" s="326" t="s">
        <v>867</v>
      </c>
      <c r="I15" s="530"/>
      <c r="J15" s="530"/>
      <c r="K15" s="475"/>
      <c r="L15" s="531"/>
      <c r="M15" s="530"/>
      <c r="N15" s="530"/>
      <c r="O15" s="475"/>
      <c r="P15" s="532"/>
    </row>
    <row r="16" spans="1:17" s="254" customFormat="1" ht="9.75" customHeight="1" thickBot="1" x14ac:dyDescent="0.25">
      <c r="A16" s="334"/>
      <c r="B16" s="335"/>
      <c r="C16" s="335"/>
      <c r="D16" s="303"/>
      <c r="E16" s="335"/>
      <c r="F16" s="335"/>
      <c r="G16" s="432" t="s">
        <v>253</v>
      </c>
      <c r="H16" s="533"/>
      <c r="I16" s="534"/>
      <c r="J16" s="534"/>
      <c r="K16" s="535"/>
      <c r="L16" s="536"/>
      <c r="M16" s="534"/>
      <c r="N16" s="534"/>
      <c r="O16" s="535"/>
      <c r="P16" s="537"/>
    </row>
    <row r="17" spans="1:17" s="274" customFormat="1" ht="18" customHeight="1" thickTop="1" x14ac:dyDescent="0.2">
      <c r="A17" s="806" t="s">
        <v>1125</v>
      </c>
      <c r="B17" s="807"/>
      <c r="C17" s="807"/>
      <c r="D17" s="807"/>
      <c r="E17" s="338"/>
      <c r="F17" s="338"/>
      <c r="G17" s="810" t="s">
        <v>43</v>
      </c>
      <c r="H17" s="810" t="s">
        <v>82</v>
      </c>
      <c r="I17" s="799" t="s">
        <v>538</v>
      </c>
      <c r="J17" s="800"/>
      <c r="K17" s="800"/>
      <c r="L17" s="800"/>
      <c r="M17" s="800"/>
      <c r="N17" s="800"/>
      <c r="O17" s="800"/>
      <c r="P17" s="801"/>
    </row>
    <row r="18" spans="1:17" s="274" customFormat="1" ht="15.75" customHeight="1" x14ac:dyDescent="0.2">
      <c r="A18" s="808"/>
      <c r="B18" s="809"/>
      <c r="C18" s="809"/>
      <c r="D18" s="809"/>
      <c r="E18" s="341"/>
      <c r="F18" s="341"/>
      <c r="G18" s="811"/>
      <c r="H18" s="811"/>
      <c r="I18" s="736" t="s">
        <v>1120</v>
      </c>
      <c r="J18" s="737"/>
      <c r="K18" s="737"/>
      <c r="L18" s="802"/>
      <c r="M18" s="736" t="s">
        <v>1121</v>
      </c>
      <c r="N18" s="737"/>
      <c r="O18" s="737"/>
      <c r="P18" s="738"/>
    </row>
    <row r="19" spans="1:17" s="40" customFormat="1" x14ac:dyDescent="0.2">
      <c r="A19" s="826" t="s">
        <v>1132</v>
      </c>
      <c r="B19" s="827"/>
      <c r="C19" s="821" t="s">
        <v>1150</v>
      </c>
      <c r="D19" s="822"/>
      <c r="E19" s="342"/>
      <c r="F19" s="342"/>
      <c r="G19" s="812"/>
      <c r="H19" s="812"/>
      <c r="I19" s="368" t="s">
        <v>1115</v>
      </c>
      <c r="J19" s="368" t="s">
        <v>1116</v>
      </c>
      <c r="K19" s="368" t="s">
        <v>1117</v>
      </c>
      <c r="L19" s="369" t="s">
        <v>1104</v>
      </c>
      <c r="M19" s="368" t="s">
        <v>1115</v>
      </c>
      <c r="N19" s="368" t="s">
        <v>1116</v>
      </c>
      <c r="O19" s="368" t="s">
        <v>1117</v>
      </c>
      <c r="P19" s="538" t="s">
        <v>1104</v>
      </c>
    </row>
    <row r="20" spans="1:17" s="274" customFormat="1" ht="14.25" x14ac:dyDescent="0.2">
      <c r="A20" s="343" t="s">
        <v>1079</v>
      </c>
      <c r="G20" s="610" t="s">
        <v>203</v>
      </c>
      <c r="H20" s="344"/>
      <c r="I20" s="257">
        <f t="shared" ref="I20:P20" si="1">SUM(I21:I24)</f>
        <v>0</v>
      </c>
      <c r="J20" s="257">
        <f t="shared" si="1"/>
        <v>0</v>
      </c>
      <c r="K20" s="257">
        <f t="shared" si="1"/>
        <v>0</v>
      </c>
      <c r="L20" s="257">
        <f t="shared" si="1"/>
        <v>0</v>
      </c>
      <c r="M20" s="257">
        <f t="shared" si="1"/>
        <v>0</v>
      </c>
      <c r="N20" s="257">
        <f t="shared" si="1"/>
        <v>0</v>
      </c>
      <c r="O20" s="257">
        <f t="shared" si="1"/>
        <v>0</v>
      </c>
      <c r="P20" s="512">
        <f t="shared" si="1"/>
        <v>0</v>
      </c>
      <c r="Q20" s="273"/>
    </row>
    <row r="21" spans="1:17" s="254" customFormat="1" x14ac:dyDescent="0.2">
      <c r="A21" s="345"/>
      <c r="B21" s="253" t="s">
        <v>1130</v>
      </c>
      <c r="C21" s="260"/>
      <c r="D21" s="261"/>
      <c r="E21" s="261"/>
      <c r="F21" s="261"/>
      <c r="G21" s="616" t="s">
        <v>253</v>
      </c>
      <c r="H21" s="320">
        <v>1</v>
      </c>
      <c r="I21" s="356"/>
      <c r="J21" s="356"/>
      <c r="K21" s="357"/>
      <c r="L21" s="358">
        <f>SUM(I21:K21)</f>
        <v>0</v>
      </c>
      <c r="M21" s="356"/>
      <c r="N21" s="356"/>
      <c r="O21" s="357"/>
      <c r="P21" s="359">
        <f>SUM(M21:O21)</f>
        <v>0</v>
      </c>
    </row>
    <row r="22" spans="1:17" s="254" customFormat="1" x14ac:dyDescent="0.2">
      <c r="A22" s="332"/>
      <c r="C22" s="261"/>
      <c r="D22" s="261"/>
      <c r="E22" s="261"/>
      <c r="F22" s="261"/>
      <c r="G22" s="616" t="s">
        <v>253</v>
      </c>
      <c r="H22" s="321" t="s">
        <v>148</v>
      </c>
      <c r="I22" s="360"/>
      <c r="J22" s="360"/>
      <c r="K22" s="361"/>
      <c r="L22" s="283">
        <f>SUM(I22:K22)</f>
        <v>0</v>
      </c>
      <c r="M22" s="360"/>
      <c r="N22" s="360"/>
      <c r="O22" s="361"/>
      <c r="P22" s="447">
        <f>SUM(M22:O22)</f>
        <v>0</v>
      </c>
    </row>
    <row r="23" spans="1:17" s="254" customFormat="1" hidden="1" x14ac:dyDescent="0.2">
      <c r="A23" s="332"/>
      <c r="B23" s="253"/>
      <c r="C23" s="260"/>
      <c r="D23" s="261"/>
      <c r="E23" s="261"/>
      <c r="F23" s="261"/>
      <c r="G23" s="616" t="s">
        <v>253</v>
      </c>
      <c r="H23" s="320"/>
      <c r="I23" s="356"/>
      <c r="J23" s="356"/>
      <c r="K23" s="357"/>
      <c r="L23" s="358">
        <f>SUM(I23:K23)</f>
        <v>0</v>
      </c>
      <c r="M23" s="356"/>
      <c r="N23" s="356"/>
      <c r="O23" s="357"/>
      <c r="P23" s="359">
        <f>SUM(M23:O23)</f>
        <v>0</v>
      </c>
    </row>
    <row r="24" spans="1:17" s="254" customFormat="1" x14ac:dyDescent="0.2">
      <c r="A24" s="332"/>
      <c r="C24" s="261"/>
      <c r="D24" s="261"/>
      <c r="E24" s="261"/>
      <c r="F24" s="261"/>
      <c r="G24" s="616" t="s">
        <v>253</v>
      </c>
      <c r="H24" s="320"/>
      <c r="I24" s="360"/>
      <c r="J24" s="360"/>
      <c r="K24" s="361"/>
      <c r="L24" s="283">
        <f>SUM(I24:K24)</f>
        <v>0</v>
      </c>
      <c r="M24" s="360"/>
      <c r="N24" s="360"/>
      <c r="O24" s="361"/>
      <c r="P24" s="447">
        <f>SUM(M24:O24)</f>
        <v>0</v>
      </c>
    </row>
    <row r="25" spans="1:17" s="254" customFormat="1" ht="12.75" thickBot="1" x14ac:dyDescent="0.25">
      <c r="A25" s="334"/>
      <c r="B25" s="335"/>
      <c r="C25" s="335"/>
      <c r="D25" s="335"/>
      <c r="E25" s="335"/>
      <c r="F25" s="335"/>
      <c r="G25" s="616" t="s">
        <v>253</v>
      </c>
      <c r="H25" s="669" t="s">
        <v>867</v>
      </c>
      <c r="I25" s="362"/>
      <c r="J25" s="362"/>
      <c r="K25" s="363"/>
      <c r="L25" s="364"/>
      <c r="M25" s="362"/>
      <c r="N25" s="362"/>
      <c r="O25" s="363"/>
      <c r="P25" s="539"/>
    </row>
    <row r="26" spans="1:17" s="254" customFormat="1" ht="7.5" customHeight="1" thickTop="1" thickBot="1" x14ac:dyDescent="0.25">
      <c r="A26" s="332"/>
      <c r="H26" s="318"/>
      <c r="I26" s="365"/>
      <c r="J26" s="365"/>
      <c r="K26" s="366"/>
      <c r="L26" s="367"/>
      <c r="M26" s="365"/>
      <c r="N26" s="365"/>
      <c r="O26" s="366"/>
      <c r="P26" s="540"/>
    </row>
    <row r="27" spans="1:17" s="274" customFormat="1" ht="18" customHeight="1" thickTop="1" x14ac:dyDescent="0.2">
      <c r="A27" s="806" t="s">
        <v>1125</v>
      </c>
      <c r="B27" s="807"/>
      <c r="C27" s="807"/>
      <c r="D27" s="807"/>
      <c r="E27" s="338"/>
      <c r="F27" s="338"/>
      <c r="G27" s="810" t="s">
        <v>43</v>
      </c>
      <c r="H27" s="810" t="s">
        <v>82</v>
      </c>
      <c r="I27" s="799" t="s">
        <v>538</v>
      </c>
      <c r="J27" s="800"/>
      <c r="K27" s="800"/>
      <c r="L27" s="800"/>
      <c r="M27" s="800"/>
      <c r="N27" s="800"/>
      <c r="O27" s="800"/>
      <c r="P27" s="801"/>
    </row>
    <row r="28" spans="1:17" s="274" customFormat="1" x14ac:dyDescent="0.2">
      <c r="A28" s="808"/>
      <c r="B28" s="809"/>
      <c r="C28" s="809"/>
      <c r="D28" s="809"/>
      <c r="E28" s="341"/>
      <c r="F28" s="341"/>
      <c r="G28" s="811"/>
      <c r="H28" s="811"/>
      <c r="I28" s="736" t="s">
        <v>1120</v>
      </c>
      <c r="J28" s="737"/>
      <c r="K28" s="737"/>
      <c r="L28" s="802"/>
      <c r="M28" s="736" t="s">
        <v>1121</v>
      </c>
      <c r="N28" s="737"/>
      <c r="O28" s="737"/>
      <c r="P28" s="738"/>
    </row>
    <row r="29" spans="1:17" s="40" customFormat="1" ht="31.5" customHeight="1" x14ac:dyDescent="0.2">
      <c r="A29" s="826" t="s">
        <v>1132</v>
      </c>
      <c r="B29" s="827"/>
      <c r="C29" s="815" t="s">
        <v>117</v>
      </c>
      <c r="D29" s="816"/>
      <c r="E29" s="342"/>
      <c r="F29" s="342"/>
      <c r="G29" s="812"/>
      <c r="H29" s="812"/>
      <c r="I29" s="368" t="s">
        <v>1115</v>
      </c>
      <c r="J29" s="368" t="s">
        <v>1116</v>
      </c>
      <c r="K29" s="368" t="s">
        <v>1117</v>
      </c>
      <c r="L29" s="369" t="s">
        <v>1104</v>
      </c>
      <c r="M29" s="368" t="s">
        <v>1115</v>
      </c>
      <c r="N29" s="368" t="s">
        <v>1116</v>
      </c>
      <c r="O29" s="368" t="s">
        <v>1117</v>
      </c>
      <c r="P29" s="538" t="s">
        <v>1104</v>
      </c>
    </row>
    <row r="30" spans="1:17" s="274" customFormat="1" ht="14.25" x14ac:dyDescent="0.2">
      <c r="A30" s="343" t="s">
        <v>1080</v>
      </c>
      <c r="G30" s="610" t="s">
        <v>205</v>
      </c>
      <c r="H30" s="344"/>
      <c r="I30" s="257">
        <f t="shared" ref="I30:P30" si="2">SUM(I31:I34)</f>
        <v>0</v>
      </c>
      <c r="J30" s="257">
        <f t="shared" si="2"/>
        <v>0</v>
      </c>
      <c r="K30" s="257">
        <f t="shared" si="2"/>
        <v>0</v>
      </c>
      <c r="L30" s="257">
        <f t="shared" si="2"/>
        <v>0</v>
      </c>
      <c r="M30" s="257">
        <f t="shared" si="2"/>
        <v>0</v>
      </c>
      <c r="N30" s="257">
        <f t="shared" si="2"/>
        <v>0</v>
      </c>
      <c r="O30" s="257">
        <f t="shared" si="2"/>
        <v>0</v>
      </c>
      <c r="P30" s="512">
        <f t="shared" si="2"/>
        <v>0</v>
      </c>
      <c r="Q30" s="273"/>
    </row>
    <row r="31" spans="1:17" s="254" customFormat="1" x14ac:dyDescent="0.2">
      <c r="A31" s="345"/>
      <c r="B31" s="253" t="s">
        <v>1130</v>
      </c>
      <c r="C31" s="260"/>
      <c r="D31" s="261"/>
      <c r="E31" s="261"/>
      <c r="F31" s="261"/>
      <c r="G31" s="616" t="s">
        <v>253</v>
      </c>
      <c r="H31" s="320">
        <v>1</v>
      </c>
      <c r="I31" s="356"/>
      <c r="J31" s="356"/>
      <c r="K31" s="357"/>
      <c r="L31" s="258">
        <f>SUM(I31:K31)</f>
        <v>0</v>
      </c>
      <c r="M31" s="356"/>
      <c r="N31" s="356"/>
      <c r="O31" s="357"/>
      <c r="P31" s="359">
        <f>SUM(M31:O31)</f>
        <v>0</v>
      </c>
    </row>
    <row r="32" spans="1:17" s="254" customFormat="1" x14ac:dyDescent="0.2">
      <c r="A32" s="332"/>
      <c r="C32" s="261"/>
      <c r="D32" s="261"/>
      <c r="E32" s="261"/>
      <c r="F32" s="261"/>
      <c r="G32" s="616" t="s">
        <v>253</v>
      </c>
      <c r="H32" s="321" t="s">
        <v>114</v>
      </c>
      <c r="I32" s="360"/>
      <c r="J32" s="360"/>
      <c r="K32" s="361"/>
      <c r="L32" s="283">
        <f>SUM(I32:K32)</f>
        <v>0</v>
      </c>
      <c r="M32" s="360"/>
      <c r="N32" s="360"/>
      <c r="O32" s="361"/>
      <c r="P32" s="447">
        <f>SUM(M32:O32)</f>
        <v>0</v>
      </c>
    </row>
    <row r="33" spans="1:17" s="254" customFormat="1" hidden="1" x14ac:dyDescent="0.2">
      <c r="A33" s="332"/>
      <c r="B33" s="253"/>
      <c r="C33" s="260"/>
      <c r="D33" s="261"/>
      <c r="E33" s="261"/>
      <c r="F33" s="261"/>
      <c r="G33" s="616" t="s">
        <v>253</v>
      </c>
      <c r="H33" s="320"/>
      <c r="I33" s="356"/>
      <c r="J33" s="356"/>
      <c r="K33" s="357"/>
      <c r="L33" s="258">
        <f>SUM(I33:K33)</f>
        <v>0</v>
      </c>
      <c r="M33" s="356"/>
      <c r="N33" s="356"/>
      <c r="O33" s="357"/>
      <c r="P33" s="359">
        <f>SUM(M33:O33)</f>
        <v>0</v>
      </c>
    </row>
    <row r="34" spans="1:17" s="254" customFormat="1" x14ac:dyDescent="0.2">
      <c r="A34" s="332"/>
      <c r="C34" s="261"/>
      <c r="D34" s="261"/>
      <c r="E34" s="261"/>
      <c r="F34" s="261"/>
      <c r="G34" s="616" t="s">
        <v>253</v>
      </c>
      <c r="H34" s="320"/>
      <c r="I34" s="360"/>
      <c r="J34" s="360"/>
      <c r="K34" s="361"/>
      <c r="L34" s="283">
        <f>SUM(I34:K34)</f>
        <v>0</v>
      </c>
      <c r="M34" s="360"/>
      <c r="N34" s="360"/>
      <c r="O34" s="361"/>
      <c r="P34" s="447">
        <f>SUM(M34:O34)</f>
        <v>0</v>
      </c>
    </row>
    <row r="35" spans="1:17" s="254" customFormat="1" ht="12.75" thickBot="1" x14ac:dyDescent="0.25">
      <c r="A35" s="334"/>
      <c r="B35" s="335"/>
      <c r="C35" s="335"/>
      <c r="E35" s="335"/>
      <c r="F35" s="335"/>
      <c r="G35" s="616" t="s">
        <v>253</v>
      </c>
      <c r="H35" s="669" t="s">
        <v>867</v>
      </c>
      <c r="I35" s="362"/>
      <c r="J35" s="362"/>
      <c r="K35" s="363"/>
      <c r="L35" s="364"/>
      <c r="M35" s="362"/>
      <c r="N35" s="362"/>
      <c r="O35" s="363"/>
      <c r="P35" s="541"/>
    </row>
    <row r="36" spans="1:17" s="254" customFormat="1" ht="13.5" thickTop="1" thickBot="1" x14ac:dyDescent="0.25">
      <c r="A36" s="332"/>
      <c r="G36" s="318"/>
      <c r="I36" s="365"/>
      <c r="J36" s="365"/>
      <c r="K36" s="366"/>
      <c r="L36" s="367"/>
      <c r="M36" s="365"/>
      <c r="N36" s="365"/>
      <c r="O36" s="366"/>
      <c r="P36" s="540"/>
    </row>
    <row r="37" spans="1:17" s="274" customFormat="1" ht="18" customHeight="1" thickTop="1" x14ac:dyDescent="0.2">
      <c r="A37" s="806" t="s">
        <v>1125</v>
      </c>
      <c r="B37" s="807"/>
      <c r="C37" s="807"/>
      <c r="D37" s="807"/>
      <c r="E37" s="337"/>
      <c r="F37" s="337"/>
      <c r="G37" s="803" t="s">
        <v>43</v>
      </c>
      <c r="H37" s="803" t="s">
        <v>82</v>
      </c>
      <c r="I37" s="799" t="s">
        <v>538</v>
      </c>
      <c r="J37" s="800"/>
      <c r="K37" s="800"/>
      <c r="L37" s="800"/>
      <c r="M37" s="800"/>
      <c r="N37" s="800"/>
      <c r="O37" s="800"/>
      <c r="P37" s="801"/>
    </row>
    <row r="38" spans="1:17" s="274" customFormat="1" x14ac:dyDescent="0.2">
      <c r="A38" s="808"/>
      <c r="B38" s="809"/>
      <c r="C38" s="809"/>
      <c r="D38" s="809"/>
      <c r="E38" s="340"/>
      <c r="F38" s="340"/>
      <c r="G38" s="804"/>
      <c r="H38" s="804"/>
      <c r="I38" s="813" t="s">
        <v>1120</v>
      </c>
      <c r="J38" s="813"/>
      <c r="K38" s="813"/>
      <c r="L38" s="813"/>
      <c r="M38" s="813" t="s">
        <v>1121</v>
      </c>
      <c r="N38" s="813"/>
      <c r="O38" s="813"/>
      <c r="P38" s="814"/>
    </row>
    <row r="39" spans="1:17" s="40" customFormat="1" x14ac:dyDescent="0.2">
      <c r="A39" s="808"/>
      <c r="B39" s="809"/>
      <c r="C39" s="809"/>
      <c r="D39" s="809"/>
      <c r="E39" s="340"/>
      <c r="F39" s="340"/>
      <c r="G39" s="346"/>
      <c r="H39" s="346"/>
      <c r="I39" s="368" t="s">
        <v>1115</v>
      </c>
      <c r="J39" s="368" t="s">
        <v>1116</v>
      </c>
      <c r="K39" s="368" t="s">
        <v>1117</v>
      </c>
      <c r="L39" s="369" t="s">
        <v>1104</v>
      </c>
      <c r="M39" s="368" t="s">
        <v>1115</v>
      </c>
      <c r="N39" s="368" t="s">
        <v>1116</v>
      </c>
      <c r="O39" s="368" t="s">
        <v>1117</v>
      </c>
      <c r="P39" s="538" t="s">
        <v>1104</v>
      </c>
    </row>
    <row r="40" spans="1:17" s="36" customFormat="1" x14ac:dyDescent="0.2">
      <c r="A40" s="322"/>
      <c r="B40" s="323"/>
      <c r="C40" s="323"/>
      <c r="D40" s="324"/>
      <c r="E40" s="324"/>
      <c r="F40" s="324"/>
      <c r="G40" s="325"/>
      <c r="H40" s="325"/>
      <c r="I40" s="370"/>
      <c r="J40" s="370"/>
      <c r="K40" s="370"/>
      <c r="L40" s="371"/>
      <c r="M40" s="370"/>
      <c r="N40" s="370"/>
      <c r="O40" s="370"/>
      <c r="P40" s="542"/>
    </row>
    <row r="41" spans="1:17" s="274" customFormat="1" ht="15" thickBot="1" x14ac:dyDescent="0.25">
      <c r="A41" s="347" t="s">
        <v>1287</v>
      </c>
      <c r="B41" s="268"/>
      <c r="C41" s="268"/>
      <c r="D41" s="306"/>
      <c r="E41" s="306"/>
      <c r="F41" s="306"/>
      <c r="G41" s="307" t="s">
        <v>206</v>
      </c>
      <c r="H41" s="348"/>
      <c r="I41" s="502"/>
      <c r="J41" s="502"/>
      <c r="K41" s="502"/>
      <c r="L41" s="372">
        <f>K41+J41+I41</f>
        <v>0</v>
      </c>
      <c r="M41" s="502"/>
      <c r="N41" s="502"/>
      <c r="O41" s="502"/>
      <c r="P41" s="543">
        <f>O41+N41+M41</f>
        <v>0</v>
      </c>
      <c r="Q41" s="273"/>
    </row>
    <row r="42" spans="1:17" s="254" customFormat="1" ht="12.75" thickTop="1" x14ac:dyDescent="0.2">
      <c r="A42" s="332"/>
      <c r="G42" s="318"/>
      <c r="I42" s="373"/>
      <c r="J42" s="373"/>
      <c r="K42" s="374"/>
      <c r="L42" s="375"/>
      <c r="M42" s="373"/>
      <c r="N42" s="373"/>
      <c r="O42" s="374"/>
      <c r="P42" s="544"/>
    </row>
    <row r="43" spans="1:17" s="274" customFormat="1" ht="15" thickBot="1" x14ac:dyDescent="0.25">
      <c r="A43" s="347" t="s">
        <v>1138</v>
      </c>
      <c r="B43" s="268"/>
      <c r="C43" s="268"/>
      <c r="D43" s="268"/>
      <c r="E43" s="268"/>
      <c r="F43" s="268"/>
      <c r="G43" s="376" t="s">
        <v>197</v>
      </c>
      <c r="H43" s="268"/>
      <c r="I43" s="372">
        <f t="shared" ref="I43:P43" si="3">I41+I30+I10+I20</f>
        <v>0</v>
      </c>
      <c r="J43" s="372">
        <f t="shared" si="3"/>
        <v>0</v>
      </c>
      <c r="K43" s="372">
        <f t="shared" si="3"/>
        <v>0</v>
      </c>
      <c r="L43" s="372">
        <f t="shared" si="3"/>
        <v>0</v>
      </c>
      <c r="M43" s="372">
        <f t="shared" si="3"/>
        <v>0</v>
      </c>
      <c r="N43" s="372">
        <f t="shared" si="3"/>
        <v>0</v>
      </c>
      <c r="O43" s="372">
        <f t="shared" si="3"/>
        <v>0</v>
      </c>
      <c r="P43" s="543">
        <f t="shared" si="3"/>
        <v>0</v>
      </c>
      <c r="Q43" s="273"/>
    </row>
    <row r="44" spans="1:17" s="254" customFormat="1" ht="12.75" thickTop="1" x14ac:dyDescent="0.2">
      <c r="A44" s="349"/>
      <c r="B44" s="349"/>
      <c r="G44" s="326" t="s">
        <v>867</v>
      </c>
      <c r="L44" s="350"/>
      <c r="M44" s="336"/>
      <c r="N44" s="336"/>
      <c r="O44" s="336"/>
      <c r="P44" s="350"/>
      <c r="Q44" s="333"/>
    </row>
    <row r="45" spans="1:17" s="254" customFormat="1" x14ac:dyDescent="0.2">
      <c r="A45" s="351" t="s">
        <v>1108</v>
      </c>
      <c r="B45" s="349"/>
      <c r="G45" s="318"/>
      <c r="L45" s="350"/>
      <c r="M45" s="336"/>
      <c r="N45" s="336"/>
      <c r="O45" s="336"/>
      <c r="P45" s="350"/>
      <c r="Q45" s="333"/>
    </row>
    <row r="46" spans="1:17" s="70" customFormat="1" x14ac:dyDescent="0.2">
      <c r="A46" s="238"/>
      <c r="B46" s="238"/>
      <c r="C46" s="238"/>
      <c r="D46" s="238"/>
      <c r="E46" s="238"/>
      <c r="F46" s="238"/>
      <c r="G46" s="227"/>
      <c r="H46" s="238"/>
      <c r="I46" s="238"/>
      <c r="J46" s="238"/>
      <c r="K46" s="238"/>
      <c r="L46" s="352"/>
      <c r="M46" s="238"/>
      <c r="N46" s="238"/>
      <c r="O46" s="238"/>
      <c r="P46" s="352"/>
      <c r="Q46" s="353"/>
    </row>
    <row r="47" spans="1:17" s="254" customFormat="1" x14ac:dyDescent="0.2">
      <c r="A47" s="354" t="s">
        <v>138</v>
      </c>
      <c r="B47" s="239" t="s">
        <v>1276</v>
      </c>
      <c r="C47" s="239"/>
      <c r="D47" s="239"/>
      <c r="E47" s="239"/>
      <c r="F47" s="239"/>
      <c r="G47" s="65"/>
      <c r="H47" s="239"/>
      <c r="I47" s="25"/>
      <c r="J47" s="25"/>
      <c r="K47" s="240"/>
      <c r="L47" s="327"/>
      <c r="M47" s="25"/>
      <c r="N47" s="25"/>
      <c r="O47" s="240"/>
      <c r="P47" s="327"/>
      <c r="Q47" s="333"/>
    </row>
    <row r="48" spans="1:17" s="254" customFormat="1" x14ac:dyDescent="0.2">
      <c r="A48" s="354"/>
      <c r="B48" s="239"/>
      <c r="C48" s="239"/>
      <c r="D48" s="239"/>
      <c r="E48" s="239"/>
      <c r="F48" s="239"/>
      <c r="G48" s="65"/>
      <c r="H48" s="239"/>
      <c r="I48" s="25"/>
      <c r="J48" s="25"/>
      <c r="K48" s="240"/>
      <c r="L48" s="327"/>
      <c r="M48" s="25"/>
      <c r="N48" s="25"/>
      <c r="O48" s="240"/>
      <c r="P48" s="327"/>
      <c r="Q48" s="333"/>
    </row>
    <row r="49" spans="1:17" s="254" customFormat="1" x14ac:dyDescent="0.2">
      <c r="A49" s="354" t="s">
        <v>234</v>
      </c>
      <c r="B49" s="239" t="s">
        <v>772</v>
      </c>
      <c r="C49" s="239"/>
      <c r="D49" s="239"/>
      <c r="E49" s="239"/>
      <c r="F49" s="239"/>
      <c r="G49" s="65"/>
      <c r="H49" s="239"/>
      <c r="I49" s="25"/>
      <c r="J49" s="25"/>
      <c r="K49" s="240"/>
      <c r="L49" s="327"/>
      <c r="M49" s="25"/>
      <c r="N49" s="25"/>
      <c r="O49" s="240"/>
      <c r="P49" s="327"/>
      <c r="Q49" s="333"/>
    </row>
    <row r="50" spans="1:17" x14ac:dyDescent="0.2">
      <c r="A50" s="354"/>
    </row>
    <row r="51" spans="1:17" x14ac:dyDescent="0.2">
      <c r="A51" s="354" t="s">
        <v>235</v>
      </c>
      <c r="B51" s="239" t="s">
        <v>773</v>
      </c>
    </row>
    <row r="53" spans="1:17" ht="14.25" x14ac:dyDescent="0.2">
      <c r="A53" s="355"/>
    </row>
  </sheetData>
  <sheetProtection password="BB3E" sheet="1" objects="1" scenarios="1"/>
  <mergeCells count="32">
    <mergeCell ref="A29:B29"/>
    <mergeCell ref="A27:D28"/>
    <mergeCell ref="H6:H8"/>
    <mergeCell ref="A8:B8"/>
    <mergeCell ref="M18:P18"/>
    <mergeCell ref="A6:D7"/>
    <mergeCell ref="A17:D18"/>
    <mergeCell ref="A19:B19"/>
    <mergeCell ref="M28:P28"/>
    <mergeCell ref="A3:P3"/>
    <mergeCell ref="A4:P4"/>
    <mergeCell ref="A5:P5"/>
    <mergeCell ref="I7:L7"/>
    <mergeCell ref="M7:P7"/>
    <mergeCell ref="C19:D19"/>
    <mergeCell ref="I6:P6"/>
    <mergeCell ref="A37:D39"/>
    <mergeCell ref="I17:P17"/>
    <mergeCell ref="G17:G19"/>
    <mergeCell ref="I38:L38"/>
    <mergeCell ref="M38:P38"/>
    <mergeCell ref="H27:H29"/>
    <mergeCell ref="H37:H38"/>
    <mergeCell ref="H17:H19"/>
    <mergeCell ref="C29:D29"/>
    <mergeCell ref="G27:G29"/>
    <mergeCell ref="I37:P37"/>
    <mergeCell ref="I18:L18"/>
    <mergeCell ref="G37:G38"/>
    <mergeCell ref="I28:L28"/>
    <mergeCell ref="G6:G8"/>
    <mergeCell ref="I27:P27"/>
  </mergeCells>
  <phoneticPr fontId="7" type="noConversion"/>
  <dataValidations count="1">
    <dataValidation type="decimal" allowBlank="1" showInputMessage="1" showErrorMessage="1" sqref="M41:O41 I41:K41 I31:K34 M31:O34 I21:K24 M21:O24 I11:K14 M11:O14">
      <formula1>0</formula1>
      <formula2>999999999999</formula2>
    </dataValidation>
  </dataValidations>
  <printOptions horizontalCentered="1"/>
  <pageMargins left="0.31" right="0.34" top="0.56999999999999995" bottom="0.38" header="0.3" footer="0.3"/>
  <pageSetup paperSize="9" scale="70" orientation="landscape" cellComments="asDisplayed" r:id="rId1"/>
  <headerFooter>
    <oddHeader>&amp;RPage &amp;P of &amp;N&amp;C&amp;"Arial,Bold"&amp;8 NEW RURAL BANK OF SAN LEONARDO, INC  [ 04-040656 ]
 As of: September 30, 2017</oddHeader>
  </headerFooter>
  <rowBreaks count="1" manualBreakCount="1">
    <brk id="35" max="16383" man="1"/>
  </rowBreaks>
  <drawing r:id="rId2"/>
  <legacyDrawing r:id="rId3"/>
  <controls>
    <mc:AlternateContent xmlns:mc="http://schemas.openxmlformats.org/markup-compatibility/2006">
      <mc:Choice Requires="x14">
        <control shapeId="5123" r:id="rId4" name="Label_c4_c">
          <controlPr defaultSize="0" autoLine="0" r:id="rId5">
            <anchor moveWithCells="1">
              <from>
                <xdr:col>7</xdr:col>
                <xdr:colOff>209550</xdr:colOff>
                <xdr:row>31</xdr:row>
                <xdr:rowOff>9525</xdr:rowOff>
              </from>
              <to>
                <xdr:col>7</xdr:col>
                <xdr:colOff>457200</xdr:colOff>
                <xdr:row>33</xdr:row>
                <xdr:rowOff>57150</xdr:rowOff>
              </to>
            </anchor>
          </controlPr>
        </control>
      </mc:Choice>
      <mc:Fallback>
        <control shapeId="5123" r:id="rId4" name="Label_c4_c"/>
      </mc:Fallback>
    </mc:AlternateContent>
    <mc:AlternateContent xmlns:mc="http://schemas.openxmlformats.org/markup-compatibility/2006">
      <mc:Choice Requires="x14">
        <control shapeId="5122" r:id="rId6" name="Label_c4_b">
          <controlPr defaultSize="0" autoLine="0" autoPict="0" r:id="rId7">
            <anchor moveWithCells="1">
              <from>
                <xdr:col>7</xdr:col>
                <xdr:colOff>238125</xdr:colOff>
                <xdr:row>21</xdr:row>
                <xdr:rowOff>9525</xdr:rowOff>
              </from>
              <to>
                <xdr:col>7</xdr:col>
                <xdr:colOff>457200</xdr:colOff>
                <xdr:row>22</xdr:row>
                <xdr:rowOff>0</xdr:rowOff>
              </to>
            </anchor>
          </controlPr>
        </control>
      </mc:Choice>
      <mc:Fallback>
        <control shapeId="5122" r:id="rId6" name="Label_c4_b"/>
      </mc:Fallback>
    </mc:AlternateContent>
    <mc:AlternateContent xmlns:mc="http://schemas.openxmlformats.org/markup-compatibility/2006">
      <mc:Choice Requires="x14">
        <control shapeId="5121" r:id="rId8" name="Label_C4_a">
          <controlPr defaultSize="0" autoLine="0" r:id="rId9">
            <anchor moveWithCells="1">
              <from>
                <xdr:col>7</xdr:col>
                <xdr:colOff>209550</xdr:colOff>
                <xdr:row>11</xdr:row>
                <xdr:rowOff>9525</xdr:rowOff>
              </from>
              <to>
                <xdr:col>7</xdr:col>
                <xdr:colOff>457200</xdr:colOff>
                <xdr:row>13</xdr:row>
                <xdr:rowOff>57150</xdr:rowOff>
              </to>
            </anchor>
          </controlPr>
        </control>
      </mc:Choice>
      <mc:Fallback>
        <control shapeId="5121" r:id="rId8" name="Label_C4_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K36"/>
  <sheetViews>
    <sheetView view="pageBreakPreview" zoomScale="75" zoomScaleSheetLayoutView="50" workbookViewId="0">
      <selection activeCell="K28" sqref="K28"/>
    </sheetView>
  </sheetViews>
  <sheetFormatPr defaultRowHeight="12" x14ac:dyDescent="0.2"/>
  <cols>
    <col min="1" max="1" width="3.42578125" style="239" customWidth="1"/>
    <col min="2" max="2" width="3.5703125" style="239" customWidth="1"/>
    <col min="3" max="3" width="21.7109375" style="63" customWidth="1"/>
    <col min="4" max="6" width="21.7109375" style="63" hidden="1" customWidth="1"/>
    <col min="7" max="7" width="19.7109375" style="239" customWidth="1"/>
    <col min="8" max="9" width="18.7109375" style="25" customWidth="1"/>
    <col min="10" max="13" width="18.7109375" style="240" customWidth="1"/>
    <col min="14" max="14" width="20.7109375" style="240" customWidth="1"/>
    <col min="15" max="15" width="18.7109375" style="240" customWidth="1"/>
    <col min="16" max="16" width="20.7109375" style="240" customWidth="1"/>
    <col min="17" max="16384" width="9.140625" style="239"/>
  </cols>
  <sheetData>
    <row r="1" spans="1:245" s="309" customFormat="1" x14ac:dyDescent="0.2">
      <c r="C1" s="377"/>
      <c r="D1" s="377"/>
      <c r="E1" s="377"/>
      <c r="F1" s="377"/>
      <c r="G1" s="503"/>
      <c r="I1" s="290"/>
      <c r="J1" s="310"/>
      <c r="K1" s="310"/>
      <c r="L1" s="378"/>
      <c r="M1" s="310"/>
      <c r="N1" s="310"/>
      <c r="O1" s="310"/>
      <c r="P1" s="310"/>
    </row>
    <row r="2" spans="1:245" x14ac:dyDescent="0.2">
      <c r="A2" s="238" t="s">
        <v>1100</v>
      </c>
      <c r="B2" s="238"/>
      <c r="C2" s="24"/>
      <c r="D2" s="24"/>
      <c r="E2" s="24"/>
      <c r="F2" s="24"/>
      <c r="G2" s="238"/>
      <c r="H2" s="27"/>
      <c r="O2" s="240" t="s">
        <v>1161</v>
      </c>
    </row>
    <row r="3" spans="1:245" x14ac:dyDescent="0.2">
      <c r="A3" s="238" t="s">
        <v>123</v>
      </c>
      <c r="B3" s="238"/>
    </row>
    <row r="4" spans="1:245" s="241" customFormat="1" ht="15" customHeight="1" thickBot="1" x14ac:dyDescent="0.25">
      <c r="A4" s="727" t="s">
        <v>1172</v>
      </c>
      <c r="B4" s="727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7"/>
      <c r="N4" s="727"/>
      <c r="O4" s="727"/>
      <c r="P4" s="727"/>
    </row>
    <row r="5" spans="1:245" s="241" customFormat="1" ht="15" customHeight="1" thickTop="1" thickBot="1" x14ac:dyDescent="0.25">
      <c r="A5" s="836" t="s">
        <v>1300</v>
      </c>
      <c r="B5" s="837"/>
      <c r="C5" s="837"/>
      <c r="D5" s="545"/>
      <c r="E5" s="545"/>
      <c r="F5" s="545"/>
      <c r="G5" s="784" t="s">
        <v>43</v>
      </c>
      <c r="H5" s="769" t="s">
        <v>1114</v>
      </c>
      <c r="I5" s="769"/>
      <c r="J5" s="769"/>
      <c r="K5" s="769"/>
      <c r="L5" s="769"/>
      <c r="M5" s="769"/>
      <c r="N5" s="769"/>
      <c r="O5" s="769"/>
      <c r="P5" s="851"/>
    </row>
    <row r="6" spans="1:245" s="34" customFormat="1" ht="33.75" customHeight="1" x14ac:dyDescent="0.2">
      <c r="A6" s="760"/>
      <c r="B6" s="761"/>
      <c r="C6" s="761"/>
      <c r="D6" s="229"/>
      <c r="E6" s="229"/>
      <c r="F6" s="229"/>
      <c r="G6" s="770"/>
      <c r="H6" s="849" t="s">
        <v>143</v>
      </c>
      <c r="I6" s="844" t="s">
        <v>252</v>
      </c>
      <c r="J6" s="845"/>
      <c r="K6" s="845"/>
      <c r="L6" s="845"/>
      <c r="M6" s="845"/>
      <c r="N6" s="845"/>
      <c r="O6" s="845"/>
      <c r="P6" s="846"/>
    </row>
    <row r="7" spans="1:245" s="34" customFormat="1" ht="17.25" customHeight="1" x14ac:dyDescent="0.2">
      <c r="A7" s="760"/>
      <c r="B7" s="761"/>
      <c r="C7" s="761"/>
      <c r="D7" s="229"/>
      <c r="E7" s="229"/>
      <c r="F7" s="229"/>
      <c r="G7" s="770"/>
      <c r="H7" s="829"/>
      <c r="I7" s="843" t="s">
        <v>1081</v>
      </c>
      <c r="J7" s="843"/>
      <c r="K7" s="843"/>
      <c r="L7" s="843"/>
      <c r="M7" s="843"/>
      <c r="N7" s="843"/>
      <c r="O7" s="841" t="s">
        <v>1082</v>
      </c>
      <c r="P7" s="839" t="s">
        <v>1083</v>
      </c>
    </row>
    <row r="8" spans="1:245" s="34" customFormat="1" ht="15" customHeight="1" x14ac:dyDescent="0.2">
      <c r="A8" s="760"/>
      <c r="B8" s="761"/>
      <c r="C8" s="761"/>
      <c r="D8" s="229"/>
      <c r="E8" s="229"/>
      <c r="F8" s="229"/>
      <c r="G8" s="770"/>
      <c r="H8" s="829"/>
      <c r="I8" s="838" t="s">
        <v>1162</v>
      </c>
      <c r="J8" s="838"/>
      <c r="K8" s="838"/>
      <c r="L8" s="838" t="s">
        <v>1148</v>
      </c>
      <c r="M8" s="838"/>
      <c r="N8" s="838"/>
      <c r="O8" s="842"/>
      <c r="P8" s="839"/>
    </row>
    <row r="9" spans="1:245" s="34" customFormat="1" ht="48.75" customHeight="1" x14ac:dyDescent="0.2">
      <c r="A9" s="760"/>
      <c r="B9" s="761"/>
      <c r="C9" s="761"/>
      <c r="D9" s="229"/>
      <c r="E9" s="229"/>
      <c r="F9" s="229"/>
      <c r="G9" s="770"/>
      <c r="H9" s="850"/>
      <c r="I9" s="243" t="s">
        <v>1146</v>
      </c>
      <c r="J9" s="243" t="s">
        <v>1145</v>
      </c>
      <c r="K9" s="243" t="s">
        <v>1147</v>
      </c>
      <c r="L9" s="243" t="s">
        <v>1295</v>
      </c>
      <c r="M9" s="243" t="s">
        <v>1292</v>
      </c>
      <c r="N9" s="243" t="s">
        <v>1147</v>
      </c>
      <c r="O9" s="842"/>
      <c r="P9" s="840"/>
    </row>
    <row r="10" spans="1:245" s="241" customFormat="1" x14ac:dyDescent="0.2">
      <c r="A10" s="546" t="s">
        <v>1144</v>
      </c>
      <c r="B10" s="331" t="s">
        <v>1288</v>
      </c>
      <c r="C10" s="379"/>
      <c r="D10" s="379"/>
      <c r="E10" s="379"/>
      <c r="F10" s="379"/>
      <c r="G10" s="331"/>
      <c r="H10" s="383"/>
      <c r="I10" s="383"/>
      <c r="J10" s="504"/>
      <c r="K10" s="504"/>
      <c r="L10" s="504"/>
      <c r="M10" s="504"/>
      <c r="N10" s="504"/>
      <c r="O10" s="504"/>
      <c r="P10" s="547"/>
    </row>
    <row r="11" spans="1:245" x14ac:dyDescent="0.2">
      <c r="A11" s="548"/>
      <c r="B11" s="250"/>
      <c r="C11" s="380"/>
      <c r="D11" s="380"/>
      <c r="E11" s="380"/>
      <c r="F11" s="380"/>
      <c r="G11" s="250"/>
      <c r="H11" s="187"/>
      <c r="I11" s="187"/>
      <c r="J11" s="190"/>
      <c r="K11" s="190"/>
      <c r="L11" s="190"/>
      <c r="M11" s="190"/>
      <c r="N11" s="190"/>
      <c r="O11" s="190"/>
      <c r="P11" s="549"/>
    </row>
    <row r="12" spans="1:245" x14ac:dyDescent="0.2">
      <c r="A12" s="548"/>
      <c r="B12" s="265" t="s">
        <v>1130</v>
      </c>
      <c r="C12" s="380" t="s">
        <v>1289</v>
      </c>
      <c r="D12" s="380"/>
      <c r="E12" s="380"/>
      <c r="F12" s="380"/>
      <c r="G12" s="265" t="s">
        <v>211</v>
      </c>
      <c r="H12" s="263"/>
      <c r="I12" s="263"/>
      <c r="J12" s="263"/>
      <c r="K12" s="258">
        <f>I12+J12</f>
        <v>0</v>
      </c>
      <c r="L12" s="263"/>
      <c r="M12" s="263"/>
      <c r="N12" s="258">
        <f>SUM(L12:M12)</f>
        <v>0</v>
      </c>
      <c r="O12" s="263"/>
      <c r="P12" s="550">
        <f>K12+N12+O12</f>
        <v>0</v>
      </c>
    </row>
    <row r="13" spans="1:245" x14ac:dyDescent="0.2">
      <c r="A13" s="548"/>
      <c r="B13" s="250"/>
      <c r="C13" s="380"/>
      <c r="D13" s="380"/>
      <c r="E13" s="380"/>
      <c r="F13" s="380"/>
      <c r="G13" s="250"/>
      <c r="H13" s="187"/>
      <c r="I13" s="187"/>
      <c r="J13" s="190"/>
      <c r="K13" s="505"/>
      <c r="L13" s="190"/>
      <c r="M13" s="190"/>
      <c r="N13" s="505"/>
      <c r="O13" s="190"/>
      <c r="P13" s="551"/>
    </row>
    <row r="14" spans="1:245" x14ac:dyDescent="0.2">
      <c r="A14" s="548"/>
      <c r="B14" s="265" t="s">
        <v>1151</v>
      </c>
      <c r="C14" s="380" t="s">
        <v>1290</v>
      </c>
      <c r="D14" s="380"/>
      <c r="E14" s="380"/>
      <c r="F14" s="380"/>
      <c r="G14" s="265" t="s">
        <v>212</v>
      </c>
      <c r="H14" s="263"/>
      <c r="I14" s="263"/>
      <c r="J14" s="263"/>
      <c r="K14" s="258">
        <f>I14+J14</f>
        <v>0</v>
      </c>
      <c r="L14" s="263"/>
      <c r="M14" s="263"/>
      <c r="N14" s="258">
        <f>SUM(L14:M14)</f>
        <v>0</v>
      </c>
      <c r="O14" s="263"/>
      <c r="P14" s="550">
        <f>K14+N14+O14</f>
        <v>0</v>
      </c>
      <c r="CV14" s="254"/>
      <c r="CW14" s="254"/>
      <c r="CX14" s="254"/>
      <c r="CY14" s="254"/>
      <c r="CZ14" s="254"/>
      <c r="DA14" s="254"/>
      <c r="DB14" s="254"/>
      <c r="DC14" s="254"/>
      <c r="DD14" s="254"/>
      <c r="DE14" s="254"/>
      <c r="DF14" s="254"/>
      <c r="DG14" s="254"/>
      <c r="DH14" s="254"/>
      <c r="DI14" s="254"/>
      <c r="DJ14" s="254"/>
      <c r="DK14" s="254"/>
      <c r="DL14" s="254"/>
      <c r="DM14" s="254"/>
      <c r="DN14" s="254"/>
      <c r="DO14" s="254"/>
      <c r="DP14" s="254"/>
      <c r="DQ14" s="254"/>
      <c r="DR14" s="254"/>
      <c r="DS14" s="254"/>
      <c r="DT14" s="254"/>
      <c r="DU14" s="254"/>
      <c r="DV14" s="254"/>
      <c r="DW14" s="254"/>
      <c r="DX14" s="254"/>
      <c r="DY14" s="254"/>
      <c r="DZ14" s="254"/>
      <c r="EA14" s="254"/>
      <c r="EB14" s="254"/>
      <c r="EC14" s="254"/>
      <c r="ED14" s="254"/>
      <c r="EE14" s="254"/>
      <c r="EF14" s="254"/>
      <c r="EG14" s="254"/>
      <c r="EH14" s="254"/>
      <c r="EI14" s="254"/>
      <c r="EJ14" s="254"/>
      <c r="EK14" s="254"/>
      <c r="EL14" s="254"/>
      <c r="EM14" s="254"/>
      <c r="EN14" s="254"/>
      <c r="EO14" s="254"/>
      <c r="EP14" s="254"/>
      <c r="EQ14" s="254"/>
      <c r="ER14" s="254"/>
      <c r="ES14" s="254"/>
      <c r="ET14" s="254"/>
      <c r="EU14" s="254"/>
      <c r="EV14" s="254"/>
      <c r="EW14" s="254"/>
      <c r="EX14" s="254"/>
      <c r="EY14" s="254"/>
      <c r="EZ14" s="254"/>
      <c r="FA14" s="254"/>
      <c r="FB14" s="254"/>
      <c r="FC14" s="254"/>
      <c r="FD14" s="254"/>
      <c r="FE14" s="254"/>
      <c r="FF14" s="254"/>
      <c r="FG14" s="254"/>
      <c r="FH14" s="254"/>
      <c r="FI14" s="254"/>
      <c r="FJ14" s="254"/>
      <c r="FK14" s="254"/>
      <c r="FL14" s="254"/>
      <c r="FM14" s="254"/>
      <c r="FN14" s="254"/>
      <c r="FO14" s="254"/>
      <c r="FP14" s="254"/>
      <c r="FQ14" s="254"/>
      <c r="FR14" s="254"/>
      <c r="FS14" s="254"/>
      <c r="FT14" s="254"/>
      <c r="FU14" s="254"/>
      <c r="FV14" s="254"/>
      <c r="FW14" s="254"/>
      <c r="FX14" s="254"/>
      <c r="FY14" s="254"/>
      <c r="FZ14" s="254"/>
      <c r="GA14" s="254"/>
      <c r="GB14" s="254"/>
      <c r="GC14" s="254"/>
      <c r="GD14" s="254"/>
      <c r="GE14" s="254"/>
      <c r="GF14" s="254"/>
      <c r="GG14" s="254"/>
      <c r="GH14" s="254"/>
      <c r="GI14" s="254"/>
      <c r="GJ14" s="254"/>
      <c r="GK14" s="254"/>
      <c r="GL14" s="254"/>
      <c r="GM14" s="254"/>
      <c r="GN14" s="254"/>
      <c r="GO14" s="254"/>
      <c r="GP14" s="254"/>
      <c r="GQ14" s="254"/>
      <c r="GR14" s="254"/>
      <c r="GS14" s="254"/>
      <c r="GT14" s="254"/>
      <c r="GU14" s="254"/>
      <c r="GV14" s="254"/>
      <c r="GW14" s="254"/>
      <c r="GX14" s="254"/>
      <c r="GY14" s="254"/>
      <c r="GZ14" s="254"/>
      <c r="HA14" s="254"/>
      <c r="HB14" s="254"/>
      <c r="HC14" s="254"/>
      <c r="HD14" s="254"/>
      <c r="HE14" s="254"/>
      <c r="HF14" s="254"/>
      <c r="HG14" s="254"/>
      <c r="HH14" s="254"/>
      <c r="HI14" s="254"/>
      <c r="HJ14" s="254"/>
      <c r="HK14" s="254"/>
      <c r="HL14" s="254"/>
      <c r="HM14" s="254"/>
      <c r="HN14" s="254"/>
      <c r="HO14" s="254"/>
      <c r="HP14" s="254"/>
      <c r="HQ14" s="254"/>
      <c r="HR14" s="254"/>
      <c r="HS14" s="254"/>
      <c r="HT14" s="254"/>
      <c r="HU14" s="254"/>
      <c r="HV14" s="254"/>
      <c r="HW14" s="254"/>
      <c r="HX14" s="254"/>
      <c r="HY14" s="254"/>
      <c r="HZ14" s="254"/>
      <c r="IA14" s="254"/>
      <c r="IB14" s="254"/>
      <c r="IC14" s="254"/>
      <c r="ID14" s="254"/>
      <c r="IE14" s="254"/>
      <c r="IF14" s="254"/>
      <c r="IG14" s="254"/>
      <c r="IH14" s="254"/>
      <c r="II14" s="254"/>
      <c r="IJ14" s="254"/>
      <c r="IK14" s="254"/>
    </row>
    <row r="15" spans="1:245" x14ac:dyDescent="0.2">
      <c r="A15" s="548"/>
      <c r="B15" s="250"/>
      <c r="C15" s="380"/>
      <c r="D15" s="380"/>
      <c r="E15" s="380"/>
      <c r="F15" s="380"/>
      <c r="G15" s="250"/>
      <c r="H15" s="187"/>
      <c r="I15" s="187"/>
      <c r="J15" s="190"/>
      <c r="K15" s="471"/>
      <c r="L15" s="190"/>
      <c r="M15" s="190"/>
      <c r="N15" s="505"/>
      <c r="O15" s="190"/>
      <c r="P15" s="551"/>
      <c r="CV15" s="254"/>
      <c r="CW15" s="254"/>
      <c r="CX15" s="254"/>
      <c r="CY15" s="254"/>
      <c r="CZ15" s="254"/>
      <c r="DA15" s="254"/>
      <c r="DB15" s="254"/>
      <c r="DC15" s="254"/>
      <c r="DD15" s="254"/>
      <c r="DE15" s="254"/>
      <c r="DF15" s="254"/>
      <c r="DG15" s="254"/>
      <c r="DH15" s="254"/>
      <c r="DI15" s="254"/>
      <c r="DJ15" s="254"/>
      <c r="DK15" s="254"/>
      <c r="DL15" s="254"/>
      <c r="DM15" s="254"/>
      <c r="DN15" s="254"/>
      <c r="DO15" s="254"/>
      <c r="DP15" s="254"/>
      <c r="DQ15" s="254"/>
      <c r="DR15" s="254"/>
      <c r="DS15" s="254"/>
      <c r="DT15" s="254"/>
      <c r="DU15" s="254"/>
      <c r="DV15" s="254"/>
      <c r="DW15" s="254"/>
      <c r="DX15" s="254"/>
      <c r="DY15" s="254"/>
      <c r="DZ15" s="254"/>
      <c r="EA15" s="254"/>
      <c r="EB15" s="254"/>
      <c r="EC15" s="254"/>
      <c r="ED15" s="254"/>
      <c r="EE15" s="254"/>
      <c r="EF15" s="254"/>
      <c r="EG15" s="254"/>
      <c r="EH15" s="254"/>
      <c r="EI15" s="254"/>
      <c r="EJ15" s="254"/>
      <c r="EK15" s="254"/>
      <c r="EL15" s="254"/>
      <c r="EM15" s="254"/>
      <c r="EN15" s="254"/>
      <c r="EO15" s="254"/>
      <c r="EP15" s="254"/>
      <c r="EQ15" s="254"/>
      <c r="ER15" s="254"/>
      <c r="ES15" s="254"/>
      <c r="ET15" s="254"/>
      <c r="EU15" s="254"/>
      <c r="EV15" s="254"/>
      <c r="EW15" s="254"/>
      <c r="EX15" s="254"/>
      <c r="EY15" s="254"/>
      <c r="EZ15" s="254"/>
      <c r="FA15" s="254"/>
      <c r="FB15" s="254"/>
      <c r="FC15" s="254"/>
      <c r="FD15" s="254"/>
      <c r="FE15" s="254"/>
      <c r="FF15" s="254"/>
      <c r="FG15" s="254"/>
      <c r="FH15" s="254"/>
      <c r="FI15" s="254"/>
      <c r="FJ15" s="254"/>
      <c r="FK15" s="254"/>
      <c r="FL15" s="254"/>
      <c r="FM15" s="254"/>
      <c r="FN15" s="254"/>
      <c r="FO15" s="254"/>
      <c r="FP15" s="254"/>
      <c r="FQ15" s="254"/>
      <c r="FR15" s="254"/>
      <c r="FS15" s="254"/>
      <c r="FT15" s="254"/>
      <c r="FU15" s="254"/>
      <c r="FV15" s="254"/>
      <c r="FW15" s="254"/>
      <c r="FX15" s="254"/>
      <c r="FY15" s="254"/>
      <c r="FZ15" s="254"/>
      <c r="GA15" s="254"/>
      <c r="GB15" s="254"/>
      <c r="GC15" s="254"/>
      <c r="GD15" s="254"/>
      <c r="GE15" s="254"/>
      <c r="GF15" s="254"/>
      <c r="GG15" s="254"/>
      <c r="GH15" s="254"/>
      <c r="GI15" s="254"/>
      <c r="GJ15" s="254"/>
      <c r="GK15" s="254"/>
      <c r="GL15" s="254"/>
      <c r="GM15" s="254"/>
      <c r="GN15" s="254"/>
      <c r="GO15" s="254"/>
      <c r="GP15" s="254"/>
      <c r="GQ15" s="254"/>
      <c r="GR15" s="254"/>
      <c r="GS15" s="254"/>
      <c r="GT15" s="254"/>
      <c r="GU15" s="254"/>
      <c r="GV15" s="254"/>
      <c r="GW15" s="254"/>
      <c r="GX15" s="254"/>
      <c r="GY15" s="254"/>
      <c r="GZ15" s="254"/>
      <c r="HA15" s="254"/>
      <c r="HB15" s="254"/>
      <c r="HC15" s="254"/>
      <c r="HD15" s="254"/>
      <c r="HE15" s="254"/>
      <c r="HF15" s="254"/>
      <c r="HG15" s="254"/>
      <c r="HH15" s="254"/>
      <c r="HI15" s="254"/>
      <c r="HJ15" s="254"/>
      <c r="HK15" s="254"/>
      <c r="HL15" s="254"/>
      <c r="HM15" s="254"/>
      <c r="HN15" s="254"/>
      <c r="HO15" s="254"/>
      <c r="HP15" s="254"/>
      <c r="HQ15" s="254"/>
      <c r="HR15" s="254"/>
      <c r="HS15" s="254"/>
      <c r="HT15" s="254"/>
      <c r="HU15" s="254"/>
      <c r="HV15" s="254"/>
      <c r="HW15" s="254"/>
      <c r="HX15" s="254"/>
      <c r="HY15" s="254"/>
      <c r="HZ15" s="254"/>
      <c r="IA15" s="254"/>
      <c r="IB15" s="254"/>
      <c r="IC15" s="254"/>
      <c r="ID15" s="254"/>
      <c r="IE15" s="254"/>
      <c r="IF15" s="254"/>
      <c r="IG15" s="254"/>
      <c r="IH15" s="254"/>
      <c r="II15" s="254"/>
      <c r="IJ15" s="254"/>
      <c r="IK15" s="254"/>
    </row>
    <row r="16" spans="1:245" s="268" customFormat="1" ht="12.75" thickBot="1" x14ac:dyDescent="0.25">
      <c r="A16" s="546" t="s">
        <v>1111</v>
      </c>
      <c r="B16" s="331"/>
      <c r="C16" s="379"/>
      <c r="D16" s="379"/>
      <c r="E16" s="379"/>
      <c r="F16" s="379"/>
      <c r="G16" s="265" t="s">
        <v>208</v>
      </c>
      <c r="H16" s="257">
        <f t="shared" ref="H16:P16" si="0">H12+H14</f>
        <v>0</v>
      </c>
      <c r="I16" s="257">
        <f t="shared" si="0"/>
        <v>0</v>
      </c>
      <c r="J16" s="257">
        <f t="shared" si="0"/>
        <v>0</v>
      </c>
      <c r="K16" s="257">
        <f t="shared" si="0"/>
        <v>0</v>
      </c>
      <c r="L16" s="257">
        <f t="shared" si="0"/>
        <v>0</v>
      </c>
      <c r="M16" s="257">
        <f t="shared" si="0"/>
        <v>0</v>
      </c>
      <c r="N16" s="257">
        <f t="shared" si="0"/>
        <v>0</v>
      </c>
      <c r="O16" s="257">
        <f t="shared" si="0"/>
        <v>0</v>
      </c>
      <c r="P16" s="512">
        <f t="shared" si="0"/>
        <v>0</v>
      </c>
      <c r="Q16" s="274"/>
      <c r="R16" s="274"/>
      <c r="S16" s="274"/>
      <c r="T16" s="274"/>
      <c r="U16" s="274"/>
      <c r="V16" s="274"/>
      <c r="W16" s="274"/>
      <c r="X16" s="274"/>
      <c r="Y16" s="274"/>
      <c r="Z16" s="274"/>
      <c r="AA16" s="274"/>
      <c r="AB16" s="274"/>
      <c r="AC16" s="274"/>
      <c r="AD16" s="274"/>
      <c r="AE16" s="274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  <c r="AR16" s="274"/>
      <c r="AS16" s="274"/>
      <c r="AT16" s="274"/>
      <c r="AU16" s="274"/>
      <c r="AV16" s="274"/>
      <c r="AW16" s="274"/>
      <c r="AX16" s="274"/>
      <c r="AY16" s="274"/>
      <c r="AZ16" s="274"/>
      <c r="BA16" s="274"/>
      <c r="BB16" s="274"/>
      <c r="BC16" s="274"/>
      <c r="BD16" s="274"/>
      <c r="BE16" s="274"/>
      <c r="BF16" s="274"/>
      <c r="BG16" s="274"/>
      <c r="BH16" s="274"/>
      <c r="BI16" s="274"/>
      <c r="BJ16" s="274"/>
      <c r="BK16" s="274"/>
      <c r="BL16" s="274"/>
      <c r="BM16" s="274"/>
      <c r="BN16" s="274"/>
      <c r="BO16" s="274"/>
      <c r="BP16" s="274"/>
      <c r="BQ16" s="274"/>
      <c r="BR16" s="274"/>
      <c r="BS16" s="274"/>
      <c r="BT16" s="274"/>
      <c r="BU16" s="274"/>
      <c r="BV16" s="274"/>
      <c r="BW16" s="274"/>
      <c r="BX16" s="274"/>
      <c r="BY16" s="274"/>
      <c r="BZ16" s="274"/>
      <c r="CA16" s="274"/>
      <c r="CB16" s="274"/>
      <c r="CC16" s="274"/>
      <c r="CD16" s="274"/>
      <c r="CE16" s="274"/>
      <c r="CF16" s="274"/>
      <c r="CG16" s="274"/>
      <c r="CH16" s="274"/>
      <c r="CI16" s="274"/>
      <c r="CJ16" s="274"/>
      <c r="CK16" s="274"/>
      <c r="CL16" s="274"/>
      <c r="CM16" s="274"/>
      <c r="CN16" s="274"/>
      <c r="CO16" s="274"/>
      <c r="CP16" s="274"/>
      <c r="CQ16" s="274"/>
      <c r="CR16" s="274"/>
      <c r="CS16" s="274"/>
      <c r="CT16" s="274"/>
      <c r="CU16" s="274"/>
      <c r="CV16" s="274"/>
      <c r="CW16" s="274"/>
      <c r="CX16" s="274"/>
      <c r="CY16" s="274"/>
      <c r="CZ16" s="274"/>
      <c r="DA16" s="274"/>
      <c r="DB16" s="274"/>
      <c r="DC16" s="274"/>
      <c r="DD16" s="274"/>
      <c r="DE16" s="274"/>
      <c r="DF16" s="274"/>
      <c r="DG16" s="274"/>
      <c r="DH16" s="274"/>
      <c r="DI16" s="274"/>
      <c r="DJ16" s="274"/>
      <c r="DK16" s="274"/>
      <c r="DL16" s="274"/>
      <c r="DM16" s="274"/>
      <c r="DN16" s="274"/>
      <c r="DO16" s="274"/>
      <c r="DP16" s="274"/>
      <c r="DQ16" s="274"/>
      <c r="DR16" s="274"/>
      <c r="DS16" s="274"/>
      <c r="DT16" s="274"/>
      <c r="DU16" s="274"/>
      <c r="DV16" s="274"/>
      <c r="DW16" s="274"/>
      <c r="DX16" s="274"/>
      <c r="DY16" s="274"/>
      <c r="DZ16" s="274"/>
      <c r="EA16" s="274"/>
      <c r="EB16" s="274"/>
      <c r="EC16" s="274"/>
      <c r="ED16" s="274"/>
      <c r="EE16" s="274"/>
      <c r="EF16" s="274"/>
      <c r="EG16" s="274"/>
      <c r="EH16" s="274"/>
      <c r="EI16" s="274"/>
      <c r="EJ16" s="274"/>
      <c r="EK16" s="274"/>
      <c r="EL16" s="274"/>
      <c r="EM16" s="274"/>
      <c r="EN16" s="274"/>
      <c r="EO16" s="274"/>
      <c r="EP16" s="274"/>
      <c r="EQ16" s="274"/>
      <c r="ER16" s="274"/>
      <c r="ES16" s="274"/>
      <c r="ET16" s="274"/>
      <c r="EU16" s="274"/>
      <c r="EV16" s="274"/>
      <c r="EW16" s="274"/>
      <c r="EX16" s="274"/>
      <c r="EY16" s="274"/>
      <c r="EZ16" s="274"/>
      <c r="FA16" s="274"/>
      <c r="FB16" s="274"/>
      <c r="FC16" s="274"/>
      <c r="FD16" s="274"/>
      <c r="FE16" s="274"/>
      <c r="FF16" s="274"/>
      <c r="FG16" s="274"/>
      <c r="FH16" s="274"/>
      <c r="FI16" s="274"/>
      <c r="FJ16" s="274"/>
      <c r="FK16" s="274"/>
      <c r="FL16" s="274"/>
      <c r="FM16" s="274"/>
      <c r="FN16" s="274"/>
      <c r="FO16" s="274"/>
      <c r="FP16" s="274"/>
      <c r="FQ16" s="274"/>
      <c r="FR16" s="274"/>
      <c r="FS16" s="274"/>
      <c r="FT16" s="274"/>
      <c r="FU16" s="274"/>
      <c r="FV16" s="274"/>
      <c r="FW16" s="274"/>
      <c r="FX16" s="274"/>
      <c r="FY16" s="274"/>
      <c r="FZ16" s="274"/>
      <c r="GA16" s="274"/>
      <c r="GB16" s="274"/>
      <c r="GC16" s="274"/>
      <c r="GD16" s="274"/>
      <c r="GE16" s="274"/>
      <c r="GF16" s="274"/>
      <c r="GG16" s="274"/>
      <c r="GH16" s="274"/>
      <c r="GI16" s="274"/>
      <c r="GJ16" s="274"/>
      <c r="GK16" s="274"/>
      <c r="GL16" s="274"/>
      <c r="GM16" s="274"/>
      <c r="GN16" s="274"/>
      <c r="GO16" s="274"/>
      <c r="GP16" s="274"/>
      <c r="GQ16" s="274"/>
      <c r="GR16" s="274"/>
      <c r="GS16" s="274"/>
      <c r="GT16" s="274"/>
      <c r="GU16" s="274"/>
      <c r="GV16" s="274"/>
      <c r="GW16" s="274"/>
      <c r="GX16" s="274"/>
      <c r="GY16" s="274"/>
      <c r="GZ16" s="274"/>
      <c r="HA16" s="274"/>
      <c r="HB16" s="274"/>
      <c r="HC16" s="274"/>
      <c r="HD16" s="274"/>
      <c r="HE16" s="274"/>
      <c r="HF16" s="274"/>
      <c r="HG16" s="274"/>
      <c r="HH16" s="274"/>
      <c r="HI16" s="274"/>
      <c r="HJ16" s="274"/>
      <c r="HK16" s="274"/>
      <c r="HL16" s="274"/>
      <c r="HM16" s="274"/>
      <c r="HN16" s="274"/>
      <c r="HO16" s="274"/>
      <c r="HP16" s="274"/>
      <c r="HQ16" s="274"/>
      <c r="HR16" s="274"/>
      <c r="HS16" s="274"/>
      <c r="HT16" s="274"/>
      <c r="HU16" s="274"/>
      <c r="HV16" s="274"/>
      <c r="HW16" s="274"/>
      <c r="HX16" s="274"/>
      <c r="HY16" s="274"/>
      <c r="HZ16" s="274"/>
      <c r="IA16" s="274"/>
      <c r="IB16" s="274"/>
      <c r="IC16" s="274"/>
      <c r="ID16" s="274"/>
      <c r="IE16" s="274"/>
      <c r="IF16" s="274"/>
      <c r="IG16" s="274"/>
      <c r="IH16" s="274"/>
      <c r="II16" s="274"/>
      <c r="IJ16" s="274"/>
      <c r="IK16" s="274"/>
    </row>
    <row r="17" spans="1:245" ht="12.75" thickTop="1" x14ac:dyDescent="0.2">
      <c r="A17" s="548"/>
      <c r="B17" s="250"/>
      <c r="C17" s="380"/>
      <c r="D17" s="380"/>
      <c r="E17" s="380"/>
      <c r="F17" s="380"/>
      <c r="G17" s="250"/>
      <c r="H17" s="187"/>
      <c r="I17" s="187"/>
      <c r="J17" s="190"/>
      <c r="K17" s="471"/>
      <c r="L17" s="190"/>
      <c r="M17" s="190"/>
      <c r="N17" s="190"/>
      <c r="O17" s="190"/>
      <c r="P17" s="549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254"/>
      <c r="AK17" s="254"/>
      <c r="AL17" s="254"/>
      <c r="AM17" s="254"/>
      <c r="AN17" s="254"/>
      <c r="AO17" s="254"/>
      <c r="AP17" s="254"/>
      <c r="AQ17" s="254"/>
      <c r="AR17" s="254"/>
      <c r="AS17" s="254"/>
      <c r="AT17" s="254"/>
      <c r="AU17" s="254"/>
      <c r="AV17" s="254"/>
      <c r="AW17" s="254"/>
      <c r="AX17" s="254"/>
      <c r="AY17" s="254"/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  <c r="BY17" s="254"/>
      <c r="BZ17" s="254"/>
      <c r="CA17" s="254"/>
      <c r="CB17" s="254"/>
      <c r="CC17" s="254"/>
      <c r="CD17" s="254"/>
      <c r="CE17" s="254"/>
      <c r="CF17" s="254"/>
      <c r="CG17" s="254"/>
      <c r="CH17" s="254"/>
      <c r="CI17" s="254"/>
      <c r="CJ17" s="254"/>
      <c r="CK17" s="254"/>
      <c r="CL17" s="254"/>
      <c r="CM17" s="254"/>
      <c r="CN17" s="254"/>
      <c r="CO17" s="254"/>
      <c r="CP17" s="254"/>
      <c r="CQ17" s="254"/>
      <c r="CR17" s="254"/>
      <c r="CS17" s="254"/>
      <c r="CT17" s="254"/>
      <c r="CU17" s="254"/>
      <c r="CV17" s="254"/>
      <c r="CW17" s="254"/>
      <c r="CX17" s="254"/>
      <c r="CY17" s="254"/>
      <c r="CZ17" s="254"/>
      <c r="DA17" s="254"/>
      <c r="DB17" s="254"/>
      <c r="DC17" s="254"/>
      <c r="DD17" s="254"/>
      <c r="DE17" s="254"/>
      <c r="DF17" s="254"/>
      <c r="DG17" s="254"/>
      <c r="DH17" s="254"/>
      <c r="DI17" s="254"/>
      <c r="DJ17" s="254"/>
      <c r="DK17" s="254"/>
      <c r="DL17" s="254"/>
      <c r="DM17" s="254"/>
      <c r="DN17" s="254"/>
      <c r="DO17" s="254"/>
      <c r="DP17" s="254"/>
      <c r="DQ17" s="254"/>
      <c r="DR17" s="254"/>
      <c r="DS17" s="254"/>
      <c r="DT17" s="254"/>
      <c r="DU17" s="254"/>
      <c r="DV17" s="254"/>
      <c r="DW17" s="254"/>
      <c r="DX17" s="254"/>
      <c r="DY17" s="254"/>
      <c r="DZ17" s="254"/>
      <c r="EA17" s="254"/>
      <c r="EB17" s="254"/>
      <c r="EC17" s="254"/>
      <c r="ED17" s="254"/>
      <c r="EE17" s="254"/>
      <c r="EF17" s="254"/>
      <c r="EG17" s="254"/>
      <c r="EH17" s="254"/>
      <c r="EI17" s="254"/>
      <c r="EJ17" s="254"/>
      <c r="EK17" s="254"/>
      <c r="EL17" s="254"/>
      <c r="EM17" s="254"/>
      <c r="EN17" s="254"/>
      <c r="EO17" s="254"/>
      <c r="EP17" s="254"/>
      <c r="EQ17" s="254"/>
      <c r="ER17" s="254"/>
      <c r="ES17" s="254"/>
      <c r="ET17" s="254"/>
      <c r="EU17" s="254"/>
      <c r="EV17" s="254"/>
      <c r="EW17" s="254"/>
      <c r="EX17" s="254"/>
      <c r="EY17" s="254"/>
      <c r="EZ17" s="254"/>
      <c r="FA17" s="254"/>
      <c r="FB17" s="254"/>
      <c r="FC17" s="254"/>
      <c r="FD17" s="254"/>
      <c r="FE17" s="254"/>
      <c r="FF17" s="254"/>
      <c r="FG17" s="254"/>
      <c r="FH17" s="254"/>
      <c r="FI17" s="254"/>
      <c r="FJ17" s="254"/>
      <c r="FK17" s="254"/>
      <c r="FL17" s="254"/>
      <c r="FM17" s="254"/>
      <c r="FN17" s="254"/>
      <c r="FO17" s="254"/>
      <c r="FP17" s="254"/>
      <c r="FQ17" s="254"/>
      <c r="FR17" s="254"/>
      <c r="FS17" s="254"/>
      <c r="FT17" s="254"/>
      <c r="FU17" s="254"/>
      <c r="FV17" s="254"/>
      <c r="FW17" s="254"/>
      <c r="FX17" s="254"/>
      <c r="FY17" s="254"/>
      <c r="FZ17" s="254"/>
      <c r="GA17" s="254"/>
      <c r="GB17" s="254"/>
      <c r="GC17" s="254"/>
      <c r="GD17" s="254"/>
      <c r="GE17" s="254"/>
      <c r="GF17" s="254"/>
      <c r="GG17" s="254"/>
      <c r="GH17" s="254"/>
      <c r="GI17" s="254"/>
      <c r="GJ17" s="254"/>
      <c r="GK17" s="254"/>
      <c r="GL17" s="254"/>
      <c r="GM17" s="254"/>
      <c r="GN17" s="254"/>
      <c r="GO17" s="254"/>
      <c r="GP17" s="254"/>
      <c r="GQ17" s="254"/>
      <c r="GR17" s="254"/>
      <c r="GS17" s="254"/>
      <c r="GT17" s="254"/>
      <c r="GU17" s="254"/>
      <c r="GV17" s="254"/>
      <c r="GW17" s="254"/>
      <c r="GX17" s="254"/>
      <c r="GY17" s="254"/>
      <c r="GZ17" s="254"/>
      <c r="HA17" s="254"/>
      <c r="HB17" s="254"/>
      <c r="HC17" s="254"/>
      <c r="HD17" s="254"/>
      <c r="HE17" s="254"/>
      <c r="HF17" s="254"/>
      <c r="HG17" s="254"/>
      <c r="HH17" s="254"/>
      <c r="HI17" s="254"/>
      <c r="HJ17" s="254"/>
      <c r="HK17" s="254"/>
      <c r="HL17" s="254"/>
      <c r="HM17" s="254"/>
      <c r="HN17" s="254"/>
      <c r="HO17" s="254"/>
      <c r="HP17" s="254"/>
      <c r="HQ17" s="254"/>
      <c r="HR17" s="254"/>
      <c r="HS17" s="254"/>
      <c r="HT17" s="254"/>
      <c r="HU17" s="254"/>
      <c r="HV17" s="254"/>
      <c r="HW17" s="254"/>
      <c r="HX17" s="254"/>
      <c r="HY17" s="254"/>
      <c r="HZ17" s="254"/>
      <c r="IA17" s="254"/>
      <c r="IB17" s="254"/>
      <c r="IC17" s="254"/>
      <c r="ID17" s="254"/>
      <c r="IE17" s="254"/>
      <c r="IF17" s="254"/>
      <c r="IG17" s="254"/>
      <c r="IH17" s="254"/>
      <c r="II17" s="254"/>
      <c r="IJ17" s="254"/>
      <c r="IK17" s="254"/>
    </row>
    <row r="18" spans="1:245" x14ac:dyDescent="0.2">
      <c r="A18" s="548" t="s">
        <v>1126</v>
      </c>
      <c r="B18" s="847" t="s">
        <v>1149</v>
      </c>
      <c r="C18" s="848"/>
      <c r="D18" s="382"/>
      <c r="E18" s="382"/>
      <c r="F18" s="382"/>
      <c r="G18" s="265" t="s">
        <v>209</v>
      </c>
      <c r="H18" s="263"/>
      <c r="I18" s="263"/>
      <c r="J18" s="263"/>
      <c r="K18" s="506">
        <f>I18+J18</f>
        <v>0</v>
      </c>
      <c r="L18" s="263"/>
      <c r="M18" s="263"/>
      <c r="N18" s="258">
        <f>SUM(L18:M18)</f>
        <v>0</v>
      </c>
      <c r="O18" s="263"/>
      <c r="P18" s="550">
        <f>K18+N18+O18</f>
        <v>0</v>
      </c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4"/>
      <c r="AH18" s="254"/>
      <c r="AI18" s="254"/>
      <c r="AJ18" s="254"/>
      <c r="AK18" s="254"/>
      <c r="AL18" s="254"/>
      <c r="AM18" s="254"/>
      <c r="AN18" s="254"/>
      <c r="AO18" s="254"/>
      <c r="AP18" s="254"/>
      <c r="AQ18" s="254"/>
      <c r="AR18" s="254"/>
      <c r="AS18" s="254"/>
      <c r="AT18" s="254"/>
      <c r="AU18" s="254"/>
      <c r="AV18" s="254"/>
      <c r="AW18" s="254"/>
      <c r="AX18" s="254"/>
      <c r="AY18" s="254"/>
      <c r="AZ18" s="254"/>
      <c r="BA18" s="254"/>
      <c r="BB18" s="254"/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4"/>
      <c r="BS18" s="254"/>
      <c r="BT18" s="254"/>
      <c r="BU18" s="254"/>
      <c r="BV18" s="254"/>
      <c r="BW18" s="254"/>
      <c r="BX18" s="254"/>
      <c r="BY18" s="254"/>
      <c r="BZ18" s="254"/>
      <c r="CA18" s="254"/>
      <c r="CB18" s="254"/>
      <c r="CC18" s="254"/>
      <c r="CD18" s="254"/>
      <c r="CE18" s="254"/>
      <c r="CF18" s="254"/>
      <c r="CG18" s="254"/>
      <c r="CH18" s="254"/>
      <c r="CI18" s="254"/>
      <c r="CJ18" s="254"/>
      <c r="CK18" s="254"/>
      <c r="CL18" s="254"/>
      <c r="CM18" s="254"/>
      <c r="CN18" s="254"/>
      <c r="CO18" s="254"/>
      <c r="CP18" s="254"/>
      <c r="CQ18" s="254"/>
      <c r="CR18" s="254"/>
      <c r="CS18" s="254"/>
      <c r="CT18" s="254"/>
      <c r="CU18" s="254"/>
      <c r="CV18" s="254"/>
      <c r="CW18" s="254"/>
      <c r="CX18" s="254"/>
      <c r="CY18" s="254"/>
      <c r="CZ18" s="254"/>
      <c r="DA18" s="254"/>
      <c r="DB18" s="254"/>
      <c r="DC18" s="254"/>
      <c r="DD18" s="254"/>
      <c r="DE18" s="254"/>
      <c r="DF18" s="254"/>
      <c r="DG18" s="254"/>
      <c r="DH18" s="254"/>
      <c r="DI18" s="254"/>
      <c r="DJ18" s="254"/>
      <c r="DK18" s="254"/>
      <c r="DL18" s="254"/>
      <c r="DM18" s="254"/>
      <c r="DN18" s="254"/>
      <c r="DO18" s="254"/>
      <c r="DP18" s="254"/>
      <c r="DQ18" s="254"/>
      <c r="DR18" s="254"/>
      <c r="DS18" s="254"/>
      <c r="DT18" s="254"/>
      <c r="DU18" s="254"/>
      <c r="DV18" s="254"/>
      <c r="DW18" s="254"/>
      <c r="DX18" s="254"/>
      <c r="DY18" s="254"/>
      <c r="DZ18" s="254"/>
      <c r="EA18" s="254"/>
      <c r="EB18" s="254"/>
      <c r="EC18" s="254"/>
      <c r="ED18" s="254"/>
      <c r="EE18" s="254"/>
      <c r="EF18" s="254"/>
      <c r="EG18" s="254"/>
      <c r="EH18" s="254"/>
      <c r="EI18" s="254"/>
      <c r="EJ18" s="254"/>
      <c r="EK18" s="254"/>
      <c r="EL18" s="254"/>
      <c r="EM18" s="254"/>
      <c r="EN18" s="254"/>
      <c r="EO18" s="254"/>
      <c r="EP18" s="254"/>
      <c r="EQ18" s="254"/>
      <c r="ER18" s="254"/>
      <c r="ES18" s="254"/>
      <c r="ET18" s="254"/>
      <c r="EU18" s="254"/>
      <c r="EV18" s="254"/>
      <c r="EW18" s="254"/>
      <c r="EX18" s="254"/>
      <c r="EY18" s="254"/>
      <c r="EZ18" s="254"/>
      <c r="FA18" s="254"/>
      <c r="FB18" s="254"/>
      <c r="FC18" s="254"/>
      <c r="FD18" s="254"/>
      <c r="FE18" s="254"/>
      <c r="FF18" s="254"/>
      <c r="FG18" s="254"/>
      <c r="FH18" s="254"/>
      <c r="FI18" s="254"/>
      <c r="FJ18" s="254"/>
      <c r="FK18" s="254"/>
      <c r="FL18" s="254"/>
      <c r="FM18" s="254"/>
      <c r="FN18" s="254"/>
      <c r="FO18" s="254"/>
      <c r="FP18" s="254"/>
      <c r="FQ18" s="254"/>
      <c r="FR18" s="254"/>
      <c r="FS18" s="254"/>
      <c r="FT18" s="254"/>
      <c r="FU18" s="254"/>
      <c r="FV18" s="254"/>
      <c r="FW18" s="254"/>
      <c r="FX18" s="254"/>
      <c r="FY18" s="254"/>
      <c r="FZ18" s="254"/>
      <c r="GA18" s="254"/>
      <c r="GB18" s="254"/>
      <c r="GC18" s="254"/>
      <c r="GD18" s="254"/>
      <c r="GE18" s="254"/>
      <c r="GF18" s="254"/>
      <c r="GG18" s="254"/>
      <c r="GH18" s="254"/>
      <c r="GI18" s="254"/>
      <c r="GJ18" s="254"/>
      <c r="GK18" s="254"/>
      <c r="GL18" s="254"/>
      <c r="GM18" s="254"/>
      <c r="GN18" s="254"/>
      <c r="GO18" s="254"/>
      <c r="GP18" s="254"/>
      <c r="GQ18" s="254"/>
      <c r="GR18" s="254"/>
      <c r="GS18" s="254"/>
      <c r="GT18" s="254"/>
      <c r="GU18" s="254"/>
      <c r="GV18" s="254"/>
      <c r="GW18" s="254"/>
      <c r="GX18" s="254"/>
      <c r="GY18" s="254"/>
      <c r="GZ18" s="254"/>
      <c r="HA18" s="254"/>
      <c r="HB18" s="254"/>
      <c r="HC18" s="254"/>
      <c r="HD18" s="254"/>
      <c r="HE18" s="254"/>
      <c r="HF18" s="254"/>
      <c r="HG18" s="254"/>
      <c r="HH18" s="254"/>
      <c r="HI18" s="254"/>
      <c r="HJ18" s="254"/>
      <c r="HK18" s="254"/>
      <c r="HL18" s="254"/>
      <c r="HM18" s="254"/>
      <c r="HN18" s="254"/>
      <c r="HO18" s="254"/>
      <c r="HP18" s="254"/>
      <c r="HQ18" s="254"/>
      <c r="HR18" s="254"/>
      <c r="HS18" s="254"/>
      <c r="HT18" s="254"/>
      <c r="HU18" s="254"/>
      <c r="HV18" s="254"/>
      <c r="HW18" s="254"/>
      <c r="HX18" s="254"/>
      <c r="HY18" s="254"/>
      <c r="HZ18" s="254"/>
      <c r="IA18" s="254"/>
      <c r="IB18" s="254"/>
      <c r="IC18" s="254"/>
      <c r="ID18" s="254"/>
      <c r="IE18" s="254"/>
      <c r="IF18" s="254"/>
      <c r="IG18" s="254"/>
      <c r="IH18" s="254"/>
      <c r="II18" s="254"/>
      <c r="IJ18" s="254"/>
      <c r="IK18" s="254"/>
    </row>
    <row r="19" spans="1:245" x14ac:dyDescent="0.2">
      <c r="A19" s="548"/>
      <c r="B19" s="250"/>
      <c r="C19" s="380"/>
      <c r="D19" s="380"/>
      <c r="E19" s="380"/>
      <c r="F19" s="380"/>
      <c r="G19" s="250"/>
      <c r="H19" s="187"/>
      <c r="I19" s="187"/>
      <c r="J19" s="190"/>
      <c r="K19" s="505"/>
      <c r="L19" s="190"/>
      <c r="M19" s="190"/>
      <c r="N19" s="505"/>
      <c r="O19" s="190"/>
      <c r="P19" s="551"/>
      <c r="Q19" s="254"/>
      <c r="R19" s="254"/>
      <c r="S19" s="254"/>
      <c r="T19" s="254"/>
      <c r="U19" s="254"/>
      <c r="V19" s="254"/>
      <c r="W19" s="254"/>
      <c r="X19" s="254"/>
      <c r="Y19" s="254"/>
      <c r="Z19" s="254"/>
      <c r="AA19" s="254"/>
      <c r="AB19" s="254"/>
      <c r="AC19" s="254"/>
      <c r="AD19" s="254"/>
      <c r="AE19" s="254"/>
      <c r="AF19" s="254"/>
      <c r="AG19" s="254"/>
      <c r="AH19" s="254"/>
      <c r="AI19" s="254"/>
      <c r="AJ19" s="254"/>
      <c r="AK19" s="254"/>
      <c r="AL19" s="254"/>
      <c r="AM19" s="254"/>
      <c r="AN19" s="254"/>
      <c r="AO19" s="254"/>
      <c r="AP19" s="254"/>
      <c r="AQ19" s="254"/>
      <c r="AR19" s="254"/>
      <c r="AS19" s="254"/>
      <c r="AT19" s="254"/>
      <c r="AU19" s="254"/>
      <c r="AV19" s="254"/>
      <c r="AW19" s="254"/>
      <c r="AX19" s="254"/>
      <c r="AY19" s="254"/>
      <c r="AZ19" s="254"/>
      <c r="BA19" s="254"/>
      <c r="BB19" s="254"/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4"/>
      <c r="BS19" s="254"/>
      <c r="BT19" s="254"/>
      <c r="BU19" s="254"/>
      <c r="BV19" s="254"/>
      <c r="BW19" s="254"/>
      <c r="BX19" s="254"/>
      <c r="BY19" s="254"/>
      <c r="BZ19" s="254"/>
      <c r="CA19" s="254"/>
      <c r="CB19" s="254"/>
      <c r="CC19" s="254"/>
      <c r="CD19" s="254"/>
      <c r="CE19" s="254"/>
      <c r="CF19" s="254"/>
      <c r="CG19" s="254"/>
      <c r="CH19" s="254"/>
      <c r="CI19" s="254"/>
      <c r="CJ19" s="254"/>
      <c r="CK19" s="254"/>
      <c r="CL19" s="254"/>
      <c r="CM19" s="254"/>
      <c r="CN19" s="254"/>
      <c r="CO19" s="254"/>
      <c r="CP19" s="254"/>
      <c r="CQ19" s="254"/>
      <c r="CR19" s="254"/>
      <c r="CS19" s="254"/>
      <c r="CT19" s="254"/>
      <c r="CU19" s="254"/>
      <c r="CV19" s="254"/>
      <c r="CW19" s="254"/>
      <c r="CX19" s="254"/>
      <c r="CY19" s="254"/>
      <c r="CZ19" s="254"/>
      <c r="DA19" s="254"/>
      <c r="DB19" s="254"/>
      <c r="DC19" s="254"/>
      <c r="DD19" s="254"/>
      <c r="DE19" s="254"/>
      <c r="DF19" s="254"/>
      <c r="DG19" s="254"/>
      <c r="DH19" s="254"/>
      <c r="DI19" s="254"/>
      <c r="DJ19" s="254"/>
      <c r="DK19" s="254"/>
      <c r="DL19" s="254"/>
      <c r="DM19" s="254"/>
      <c r="DN19" s="254"/>
      <c r="DO19" s="254"/>
      <c r="DP19" s="254"/>
      <c r="DQ19" s="254"/>
      <c r="DR19" s="254"/>
      <c r="DS19" s="254"/>
      <c r="DT19" s="254"/>
      <c r="DU19" s="254"/>
      <c r="DV19" s="254"/>
      <c r="DW19" s="254"/>
      <c r="DX19" s="254"/>
      <c r="DY19" s="254"/>
      <c r="DZ19" s="254"/>
      <c r="EA19" s="254"/>
      <c r="EB19" s="254"/>
      <c r="EC19" s="254"/>
      <c r="ED19" s="254"/>
      <c r="EE19" s="254"/>
      <c r="EF19" s="254"/>
      <c r="EG19" s="254"/>
      <c r="EH19" s="254"/>
      <c r="EI19" s="254"/>
      <c r="EJ19" s="254"/>
      <c r="EK19" s="254"/>
      <c r="EL19" s="254"/>
      <c r="EM19" s="254"/>
      <c r="EN19" s="254"/>
      <c r="EO19" s="254"/>
      <c r="EP19" s="254"/>
      <c r="EQ19" s="254"/>
      <c r="ER19" s="254"/>
      <c r="ES19" s="254"/>
      <c r="ET19" s="254"/>
      <c r="EU19" s="254"/>
      <c r="EV19" s="254"/>
      <c r="EW19" s="254"/>
      <c r="EX19" s="254"/>
      <c r="EY19" s="254"/>
      <c r="EZ19" s="254"/>
      <c r="FA19" s="254"/>
      <c r="FB19" s="254"/>
      <c r="FC19" s="254"/>
      <c r="FD19" s="254"/>
      <c r="FE19" s="254"/>
      <c r="FF19" s="254"/>
      <c r="FG19" s="254"/>
      <c r="FH19" s="254"/>
      <c r="FI19" s="254"/>
      <c r="FJ19" s="254"/>
      <c r="FK19" s="254"/>
      <c r="FL19" s="254"/>
      <c r="FM19" s="254"/>
      <c r="FN19" s="254"/>
      <c r="FO19" s="254"/>
      <c r="FP19" s="254"/>
      <c r="FQ19" s="254"/>
      <c r="FR19" s="254"/>
      <c r="FS19" s="254"/>
      <c r="FT19" s="254"/>
      <c r="FU19" s="254"/>
      <c r="FV19" s="254"/>
      <c r="FW19" s="254"/>
      <c r="FX19" s="254"/>
      <c r="FY19" s="254"/>
      <c r="FZ19" s="254"/>
      <c r="GA19" s="254"/>
      <c r="GB19" s="254"/>
      <c r="GC19" s="254"/>
      <c r="GD19" s="254"/>
      <c r="GE19" s="254"/>
      <c r="GF19" s="254"/>
      <c r="GG19" s="254"/>
      <c r="GH19" s="254"/>
      <c r="GI19" s="254"/>
      <c r="GJ19" s="254"/>
      <c r="GK19" s="254"/>
      <c r="GL19" s="254"/>
      <c r="GM19" s="254"/>
      <c r="GN19" s="254"/>
      <c r="GO19" s="254"/>
      <c r="GP19" s="254"/>
      <c r="GQ19" s="254"/>
      <c r="GR19" s="254"/>
      <c r="GS19" s="254"/>
      <c r="GT19" s="254"/>
      <c r="GU19" s="254"/>
      <c r="GV19" s="254"/>
      <c r="GW19" s="254"/>
      <c r="GX19" s="254"/>
      <c r="GY19" s="254"/>
      <c r="GZ19" s="254"/>
      <c r="HA19" s="254"/>
      <c r="HB19" s="254"/>
      <c r="HC19" s="254"/>
      <c r="HD19" s="254"/>
      <c r="HE19" s="254"/>
      <c r="HF19" s="254"/>
      <c r="HG19" s="254"/>
      <c r="HH19" s="254"/>
      <c r="HI19" s="254"/>
      <c r="HJ19" s="254"/>
      <c r="HK19" s="254"/>
      <c r="HL19" s="254"/>
      <c r="HM19" s="254"/>
      <c r="HN19" s="254"/>
      <c r="HO19" s="254"/>
      <c r="HP19" s="254"/>
      <c r="HQ19" s="254"/>
      <c r="HR19" s="254"/>
      <c r="HS19" s="254"/>
      <c r="HT19" s="254"/>
      <c r="HU19" s="254"/>
      <c r="HV19" s="254"/>
      <c r="HW19" s="254"/>
      <c r="HX19" s="254"/>
      <c r="HY19" s="254"/>
      <c r="HZ19" s="254"/>
      <c r="IA19" s="254"/>
      <c r="IB19" s="254"/>
      <c r="IC19" s="254"/>
      <c r="ID19" s="254"/>
      <c r="IE19" s="254"/>
      <c r="IF19" s="254"/>
      <c r="IG19" s="254"/>
      <c r="IH19" s="254"/>
      <c r="II19" s="254"/>
      <c r="IJ19" s="254"/>
      <c r="IK19" s="254"/>
    </row>
    <row r="20" spans="1:245" ht="31.5" customHeight="1" x14ac:dyDescent="0.2">
      <c r="A20" s="548" t="s">
        <v>1123</v>
      </c>
      <c r="B20" s="847" t="s">
        <v>124</v>
      </c>
      <c r="C20" s="848"/>
      <c r="D20" s="382"/>
      <c r="E20" s="382"/>
      <c r="F20" s="382"/>
      <c r="G20" s="265" t="s">
        <v>210</v>
      </c>
      <c r="H20" s="263"/>
      <c r="I20" s="263"/>
      <c r="J20" s="263"/>
      <c r="K20" s="506">
        <f>I20+J20</f>
        <v>0</v>
      </c>
      <c r="L20" s="263"/>
      <c r="M20" s="263"/>
      <c r="N20" s="258">
        <f>SUM(L20:M20)</f>
        <v>0</v>
      </c>
      <c r="O20" s="263"/>
      <c r="P20" s="550">
        <f>K20+N20+O20</f>
        <v>0</v>
      </c>
      <c r="Q20" s="254"/>
      <c r="R20" s="254"/>
      <c r="S20" s="254"/>
      <c r="T20" s="254"/>
      <c r="U20" s="254"/>
      <c r="V20" s="254"/>
      <c r="W20" s="254"/>
      <c r="X20" s="254"/>
      <c r="Y20" s="254"/>
      <c r="Z20" s="254"/>
      <c r="AA20" s="254"/>
      <c r="AB20" s="254"/>
      <c r="AC20" s="254"/>
      <c r="AD20" s="254"/>
      <c r="AE20" s="254"/>
      <c r="AF20" s="254"/>
      <c r="AG20" s="254"/>
      <c r="AH20" s="254"/>
      <c r="AI20" s="254"/>
      <c r="AJ20" s="254"/>
      <c r="AK20" s="254"/>
      <c r="AL20" s="254"/>
      <c r="AM20" s="254"/>
      <c r="AN20" s="254"/>
      <c r="AO20" s="254"/>
      <c r="AP20" s="254"/>
      <c r="AQ20" s="254"/>
      <c r="AR20" s="254"/>
      <c r="AS20" s="254"/>
      <c r="AT20" s="254"/>
      <c r="AU20" s="254"/>
      <c r="AV20" s="254"/>
      <c r="AW20" s="254"/>
      <c r="AX20" s="254"/>
      <c r="AY20" s="254"/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  <c r="BY20" s="254"/>
      <c r="BZ20" s="254"/>
      <c r="CA20" s="254"/>
      <c r="CB20" s="254"/>
      <c r="CC20" s="254"/>
      <c r="CD20" s="254"/>
      <c r="CE20" s="254"/>
      <c r="CF20" s="254"/>
      <c r="CG20" s="254"/>
      <c r="CH20" s="254"/>
      <c r="CI20" s="254"/>
      <c r="CJ20" s="254"/>
      <c r="CK20" s="254"/>
      <c r="CL20" s="254"/>
      <c r="CM20" s="254"/>
      <c r="CN20" s="254"/>
      <c r="CO20" s="254"/>
      <c r="CP20" s="254"/>
      <c r="CQ20" s="254"/>
      <c r="CR20" s="254"/>
      <c r="CS20" s="254"/>
      <c r="CT20" s="254"/>
      <c r="CU20" s="254"/>
      <c r="CV20" s="254"/>
      <c r="CW20" s="254"/>
      <c r="CX20" s="254"/>
      <c r="CY20" s="254"/>
      <c r="CZ20" s="254"/>
      <c r="DA20" s="254"/>
      <c r="DB20" s="254"/>
      <c r="DC20" s="254"/>
      <c r="DD20" s="254"/>
      <c r="DE20" s="254"/>
      <c r="DF20" s="254"/>
      <c r="DG20" s="254"/>
      <c r="DH20" s="254"/>
      <c r="DI20" s="254"/>
      <c r="DJ20" s="254"/>
      <c r="DK20" s="254"/>
      <c r="DL20" s="254"/>
      <c r="DM20" s="254"/>
      <c r="DN20" s="254"/>
      <c r="DO20" s="254"/>
      <c r="DP20" s="254"/>
      <c r="DQ20" s="254"/>
      <c r="DR20" s="254"/>
      <c r="DS20" s="254"/>
      <c r="DT20" s="254"/>
      <c r="DU20" s="254"/>
      <c r="DV20" s="254"/>
      <c r="DW20" s="254"/>
      <c r="DX20" s="254"/>
      <c r="DY20" s="254"/>
      <c r="DZ20" s="254"/>
      <c r="EA20" s="254"/>
      <c r="EB20" s="254"/>
      <c r="EC20" s="254"/>
      <c r="ED20" s="254"/>
      <c r="EE20" s="254"/>
      <c r="EF20" s="254"/>
      <c r="EG20" s="254"/>
      <c r="EH20" s="254"/>
      <c r="EI20" s="254"/>
      <c r="EJ20" s="254"/>
      <c r="EK20" s="254"/>
      <c r="EL20" s="254"/>
      <c r="EM20" s="254"/>
      <c r="EN20" s="254"/>
      <c r="EO20" s="254"/>
      <c r="EP20" s="254"/>
      <c r="EQ20" s="254"/>
      <c r="ER20" s="254"/>
      <c r="ES20" s="254"/>
      <c r="ET20" s="254"/>
      <c r="EU20" s="254"/>
      <c r="EV20" s="254"/>
      <c r="EW20" s="254"/>
      <c r="EX20" s="254"/>
      <c r="EY20" s="254"/>
      <c r="EZ20" s="254"/>
      <c r="FA20" s="254"/>
      <c r="FB20" s="254"/>
      <c r="FC20" s="254"/>
      <c r="FD20" s="254"/>
      <c r="FE20" s="254"/>
      <c r="FF20" s="254"/>
      <c r="FG20" s="254"/>
      <c r="FH20" s="254"/>
      <c r="FI20" s="254"/>
      <c r="FJ20" s="254"/>
      <c r="FK20" s="254"/>
      <c r="FL20" s="254"/>
      <c r="FM20" s="254"/>
      <c r="FN20" s="254"/>
      <c r="FO20" s="254"/>
      <c r="FP20" s="254"/>
      <c r="FQ20" s="254"/>
      <c r="FR20" s="254"/>
      <c r="FS20" s="254"/>
      <c r="FT20" s="254"/>
      <c r="FU20" s="254"/>
      <c r="FV20" s="254"/>
      <c r="FW20" s="254"/>
      <c r="FX20" s="254"/>
      <c r="FY20" s="254"/>
      <c r="FZ20" s="254"/>
      <c r="GA20" s="254"/>
      <c r="GB20" s="254"/>
      <c r="GC20" s="254"/>
      <c r="GD20" s="254"/>
      <c r="GE20" s="254"/>
      <c r="GF20" s="254"/>
      <c r="GG20" s="254"/>
      <c r="GH20" s="254"/>
      <c r="GI20" s="254"/>
      <c r="GJ20" s="254"/>
      <c r="GK20" s="254"/>
      <c r="GL20" s="254"/>
      <c r="GM20" s="254"/>
      <c r="GN20" s="254"/>
      <c r="GO20" s="254"/>
      <c r="GP20" s="254"/>
      <c r="GQ20" s="254"/>
      <c r="GR20" s="254"/>
      <c r="GS20" s="254"/>
      <c r="GT20" s="254"/>
      <c r="GU20" s="254"/>
      <c r="GV20" s="254"/>
      <c r="GW20" s="254"/>
      <c r="GX20" s="254"/>
      <c r="GY20" s="254"/>
      <c r="GZ20" s="254"/>
      <c r="HA20" s="254"/>
      <c r="HB20" s="254"/>
      <c r="HC20" s="254"/>
      <c r="HD20" s="254"/>
      <c r="HE20" s="254"/>
      <c r="HF20" s="254"/>
      <c r="HG20" s="254"/>
      <c r="HH20" s="254"/>
      <c r="HI20" s="254"/>
      <c r="HJ20" s="254"/>
      <c r="HK20" s="254"/>
      <c r="HL20" s="254"/>
      <c r="HM20" s="254"/>
      <c r="HN20" s="254"/>
      <c r="HO20" s="254"/>
      <c r="HP20" s="254"/>
      <c r="HQ20" s="254"/>
      <c r="HR20" s="254"/>
      <c r="HS20" s="254"/>
      <c r="HT20" s="254"/>
      <c r="HU20" s="254"/>
      <c r="HV20" s="254"/>
      <c r="HW20" s="254"/>
      <c r="HX20" s="254"/>
      <c r="HY20" s="254"/>
      <c r="HZ20" s="254"/>
      <c r="IA20" s="254"/>
      <c r="IB20" s="254"/>
      <c r="IC20" s="254"/>
      <c r="ID20" s="254"/>
      <c r="IE20" s="254"/>
      <c r="IF20" s="254"/>
      <c r="IG20" s="254"/>
      <c r="IH20" s="254"/>
      <c r="II20" s="254"/>
      <c r="IJ20" s="254"/>
      <c r="IK20" s="254"/>
    </row>
    <row r="21" spans="1:245" x14ac:dyDescent="0.2">
      <c r="A21" s="548"/>
      <c r="B21" s="250"/>
      <c r="C21" s="380"/>
      <c r="D21" s="380"/>
      <c r="E21" s="380"/>
      <c r="F21" s="380"/>
      <c r="G21" s="250"/>
      <c r="H21" s="386"/>
      <c r="I21" s="187"/>
      <c r="J21" s="187"/>
      <c r="K21" s="505"/>
      <c r="L21" s="187"/>
      <c r="M21" s="190"/>
      <c r="N21" s="505"/>
      <c r="O21" s="190"/>
      <c r="P21" s="551"/>
      <c r="Q21" s="254"/>
      <c r="R21" s="254"/>
      <c r="S21" s="254"/>
      <c r="T21" s="254"/>
      <c r="U21" s="254"/>
      <c r="V21" s="254"/>
      <c r="W21" s="254"/>
      <c r="X21" s="254"/>
      <c r="Y21" s="254"/>
      <c r="Z21" s="254"/>
      <c r="AA21" s="254"/>
      <c r="AB21" s="254"/>
      <c r="AC21" s="254"/>
      <c r="AD21" s="254"/>
      <c r="AE21" s="254"/>
      <c r="AF21" s="254"/>
      <c r="AG21" s="254"/>
      <c r="AH21" s="254"/>
      <c r="AI21" s="254"/>
      <c r="AJ21" s="254"/>
      <c r="AK21" s="254"/>
      <c r="AL21" s="254"/>
      <c r="AM21" s="254"/>
      <c r="AN21" s="254"/>
      <c r="AO21" s="254"/>
      <c r="AP21" s="254"/>
      <c r="AQ21" s="254"/>
      <c r="AR21" s="254"/>
      <c r="AS21" s="254"/>
      <c r="AT21" s="254"/>
      <c r="AU21" s="254"/>
      <c r="AV21" s="254"/>
      <c r="AW21" s="254"/>
      <c r="AX21" s="254"/>
      <c r="AY21" s="254"/>
      <c r="AZ21" s="254"/>
      <c r="BA21" s="254"/>
      <c r="BB21" s="254"/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4"/>
      <c r="BS21" s="254"/>
      <c r="BT21" s="254"/>
      <c r="BU21" s="254"/>
      <c r="BV21" s="254"/>
      <c r="BW21" s="254"/>
      <c r="BX21" s="254"/>
      <c r="BY21" s="254"/>
      <c r="BZ21" s="254"/>
      <c r="CA21" s="254"/>
      <c r="CB21" s="254"/>
      <c r="CC21" s="254"/>
      <c r="CD21" s="254"/>
      <c r="CE21" s="254"/>
      <c r="CF21" s="254"/>
      <c r="CG21" s="254"/>
      <c r="CH21" s="254"/>
      <c r="CI21" s="254"/>
      <c r="CJ21" s="254"/>
      <c r="CK21" s="254"/>
      <c r="CL21" s="254"/>
      <c r="CM21" s="254"/>
      <c r="CN21" s="254"/>
      <c r="CO21" s="254"/>
      <c r="CP21" s="254"/>
      <c r="CQ21" s="254"/>
      <c r="CR21" s="254"/>
      <c r="CS21" s="254"/>
      <c r="CT21" s="254"/>
      <c r="CU21" s="254"/>
      <c r="CV21" s="254"/>
      <c r="CW21" s="254"/>
      <c r="CX21" s="254"/>
      <c r="CY21" s="254"/>
      <c r="CZ21" s="254"/>
      <c r="DA21" s="254"/>
      <c r="DB21" s="254"/>
      <c r="DC21" s="254"/>
      <c r="DD21" s="254"/>
      <c r="DE21" s="254"/>
      <c r="DF21" s="254"/>
      <c r="DG21" s="254"/>
      <c r="DH21" s="254"/>
      <c r="DI21" s="254"/>
      <c r="DJ21" s="254"/>
      <c r="DK21" s="254"/>
      <c r="DL21" s="254"/>
      <c r="DM21" s="254"/>
      <c r="DN21" s="254"/>
      <c r="DO21" s="254"/>
      <c r="DP21" s="254"/>
      <c r="DQ21" s="254"/>
      <c r="DR21" s="254"/>
      <c r="DS21" s="254"/>
      <c r="DT21" s="254"/>
      <c r="DU21" s="254"/>
      <c r="DV21" s="254"/>
      <c r="DW21" s="254"/>
      <c r="DX21" s="254"/>
      <c r="DY21" s="254"/>
      <c r="DZ21" s="254"/>
      <c r="EA21" s="254"/>
      <c r="EB21" s="254"/>
      <c r="EC21" s="254"/>
      <c r="ED21" s="254"/>
      <c r="EE21" s="254"/>
      <c r="EF21" s="254"/>
      <c r="EG21" s="254"/>
      <c r="EH21" s="254"/>
      <c r="EI21" s="254"/>
      <c r="EJ21" s="254"/>
      <c r="EK21" s="254"/>
      <c r="EL21" s="254"/>
      <c r="EM21" s="254"/>
      <c r="EN21" s="254"/>
      <c r="EO21" s="254"/>
      <c r="EP21" s="254"/>
      <c r="EQ21" s="254"/>
      <c r="ER21" s="254"/>
      <c r="ES21" s="254"/>
      <c r="ET21" s="254"/>
      <c r="EU21" s="254"/>
      <c r="EV21" s="254"/>
      <c r="EW21" s="254"/>
      <c r="EX21" s="254"/>
      <c r="EY21" s="254"/>
      <c r="EZ21" s="254"/>
      <c r="FA21" s="254"/>
      <c r="FB21" s="254"/>
      <c r="FC21" s="254"/>
      <c r="FD21" s="254"/>
      <c r="FE21" s="254"/>
      <c r="FF21" s="254"/>
      <c r="FG21" s="254"/>
      <c r="FH21" s="254"/>
      <c r="FI21" s="254"/>
      <c r="FJ21" s="254"/>
      <c r="FK21" s="254"/>
      <c r="FL21" s="254"/>
      <c r="FM21" s="254"/>
      <c r="FN21" s="254"/>
      <c r="FO21" s="254"/>
      <c r="FP21" s="254"/>
      <c r="FQ21" s="254"/>
      <c r="FR21" s="254"/>
      <c r="FS21" s="254"/>
      <c r="FT21" s="254"/>
      <c r="FU21" s="254"/>
      <c r="FV21" s="254"/>
      <c r="FW21" s="254"/>
      <c r="FX21" s="254"/>
      <c r="FY21" s="254"/>
      <c r="FZ21" s="254"/>
      <c r="GA21" s="254"/>
      <c r="GB21" s="254"/>
      <c r="GC21" s="254"/>
      <c r="GD21" s="254"/>
      <c r="GE21" s="254"/>
      <c r="GF21" s="254"/>
      <c r="GG21" s="254"/>
      <c r="GH21" s="254"/>
      <c r="GI21" s="254"/>
      <c r="GJ21" s="254"/>
      <c r="GK21" s="254"/>
      <c r="GL21" s="254"/>
      <c r="GM21" s="254"/>
      <c r="GN21" s="254"/>
      <c r="GO21" s="254"/>
      <c r="GP21" s="254"/>
      <c r="GQ21" s="254"/>
      <c r="GR21" s="254"/>
      <c r="GS21" s="254"/>
      <c r="GT21" s="254"/>
      <c r="GU21" s="254"/>
      <c r="GV21" s="254"/>
      <c r="GW21" s="254"/>
      <c r="GX21" s="254"/>
      <c r="GY21" s="254"/>
      <c r="GZ21" s="254"/>
      <c r="HA21" s="254"/>
      <c r="HB21" s="254"/>
      <c r="HC21" s="254"/>
      <c r="HD21" s="254"/>
      <c r="HE21" s="254"/>
      <c r="HF21" s="254"/>
      <c r="HG21" s="254"/>
      <c r="HH21" s="254"/>
      <c r="HI21" s="254"/>
      <c r="HJ21" s="254"/>
      <c r="HK21" s="254"/>
      <c r="HL21" s="254"/>
      <c r="HM21" s="254"/>
      <c r="HN21" s="254"/>
      <c r="HO21" s="254"/>
      <c r="HP21" s="254"/>
      <c r="HQ21" s="254"/>
      <c r="HR21" s="254"/>
      <c r="HS21" s="254"/>
      <c r="HT21" s="254"/>
      <c r="HU21" s="254"/>
      <c r="HV21" s="254"/>
      <c r="HW21" s="254"/>
      <c r="HX21" s="254"/>
      <c r="HY21" s="254"/>
      <c r="HZ21" s="254"/>
      <c r="IA21" s="254"/>
      <c r="IB21" s="254"/>
      <c r="IC21" s="254"/>
      <c r="ID21" s="254"/>
      <c r="IE21" s="254"/>
      <c r="IF21" s="254"/>
      <c r="IG21" s="254"/>
      <c r="IH21" s="254"/>
      <c r="II21" s="254"/>
      <c r="IJ21" s="254"/>
      <c r="IK21" s="254"/>
    </row>
    <row r="22" spans="1:245" ht="44.25" customHeight="1" x14ac:dyDescent="0.2">
      <c r="A22" s="548" t="s">
        <v>1131</v>
      </c>
      <c r="B22" s="847" t="s">
        <v>125</v>
      </c>
      <c r="C22" s="848"/>
      <c r="D22" s="382"/>
      <c r="E22" s="382"/>
      <c r="F22" s="382"/>
      <c r="G22" s="265" t="s">
        <v>207</v>
      </c>
      <c r="H22" s="263"/>
      <c r="I22" s="263"/>
      <c r="J22" s="263"/>
      <c r="K22" s="506">
        <f>I22+J22</f>
        <v>0</v>
      </c>
      <c r="L22" s="263"/>
      <c r="M22" s="263"/>
      <c r="N22" s="258">
        <f>SUM(L22:M22)</f>
        <v>0</v>
      </c>
      <c r="O22" s="263"/>
      <c r="P22" s="550">
        <f>K22+N22+O22</f>
        <v>0</v>
      </c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  <c r="AP22" s="254"/>
      <c r="AQ22" s="254"/>
      <c r="AR22" s="254"/>
      <c r="AS22" s="254"/>
      <c r="AT22" s="254"/>
      <c r="AU22" s="254"/>
      <c r="AV22" s="254"/>
      <c r="AW22" s="254"/>
      <c r="AX22" s="254"/>
      <c r="AY22" s="254"/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  <c r="BY22" s="254"/>
      <c r="BZ22" s="254"/>
      <c r="CA22" s="254"/>
      <c r="CB22" s="254"/>
      <c r="CC22" s="254"/>
      <c r="CD22" s="254"/>
      <c r="CE22" s="254"/>
      <c r="CF22" s="254"/>
      <c r="CG22" s="254"/>
      <c r="CH22" s="254"/>
      <c r="CI22" s="254"/>
      <c r="CJ22" s="254"/>
      <c r="CK22" s="254"/>
      <c r="CL22" s="254"/>
      <c r="CM22" s="254"/>
      <c r="CN22" s="254"/>
      <c r="CO22" s="254"/>
      <c r="CP22" s="254"/>
      <c r="CQ22" s="254"/>
      <c r="CR22" s="254"/>
      <c r="CS22" s="254"/>
      <c r="CT22" s="254"/>
      <c r="CU22" s="254"/>
      <c r="CV22" s="254"/>
      <c r="CW22" s="254"/>
      <c r="CX22" s="254"/>
      <c r="CY22" s="254"/>
      <c r="CZ22" s="254"/>
      <c r="DA22" s="254"/>
      <c r="DB22" s="254"/>
      <c r="DC22" s="254"/>
      <c r="DD22" s="254"/>
      <c r="DE22" s="254"/>
      <c r="DF22" s="254"/>
      <c r="DG22" s="254"/>
      <c r="DH22" s="254"/>
      <c r="DI22" s="254"/>
      <c r="DJ22" s="254"/>
      <c r="DK22" s="254"/>
      <c r="DL22" s="254"/>
      <c r="DM22" s="254"/>
      <c r="DN22" s="254"/>
      <c r="DO22" s="254"/>
      <c r="DP22" s="254"/>
      <c r="DQ22" s="254"/>
      <c r="DR22" s="254"/>
      <c r="DS22" s="254"/>
      <c r="DT22" s="254"/>
      <c r="DU22" s="254"/>
      <c r="DV22" s="254"/>
      <c r="DW22" s="254"/>
      <c r="DX22" s="254"/>
      <c r="DY22" s="254"/>
      <c r="DZ22" s="254"/>
      <c r="EA22" s="254"/>
      <c r="EB22" s="254"/>
      <c r="EC22" s="254"/>
      <c r="ED22" s="254"/>
      <c r="EE22" s="254"/>
      <c r="EF22" s="254"/>
      <c r="EG22" s="254"/>
      <c r="EH22" s="254"/>
      <c r="EI22" s="254"/>
      <c r="EJ22" s="254"/>
      <c r="EK22" s="254"/>
      <c r="EL22" s="254"/>
      <c r="EM22" s="254"/>
      <c r="EN22" s="254"/>
      <c r="EO22" s="254"/>
      <c r="EP22" s="254"/>
      <c r="EQ22" s="254"/>
      <c r="ER22" s="254"/>
      <c r="ES22" s="254"/>
      <c r="ET22" s="254"/>
      <c r="EU22" s="254"/>
      <c r="EV22" s="254"/>
      <c r="EW22" s="254"/>
      <c r="EX22" s="254"/>
      <c r="EY22" s="254"/>
      <c r="EZ22" s="254"/>
      <c r="FA22" s="254"/>
      <c r="FB22" s="254"/>
      <c r="FC22" s="254"/>
      <c r="FD22" s="254"/>
      <c r="FE22" s="254"/>
      <c r="FF22" s="254"/>
      <c r="FG22" s="254"/>
      <c r="FH22" s="254"/>
      <c r="FI22" s="254"/>
      <c r="FJ22" s="254"/>
      <c r="FK22" s="254"/>
      <c r="FL22" s="254"/>
      <c r="FM22" s="254"/>
      <c r="FN22" s="254"/>
      <c r="FO22" s="254"/>
      <c r="FP22" s="254"/>
      <c r="FQ22" s="254"/>
      <c r="FR22" s="254"/>
      <c r="FS22" s="254"/>
      <c r="FT22" s="254"/>
      <c r="FU22" s="254"/>
      <c r="FV22" s="254"/>
      <c r="FW22" s="254"/>
      <c r="FX22" s="254"/>
      <c r="FY22" s="254"/>
      <c r="FZ22" s="254"/>
      <c r="GA22" s="254"/>
      <c r="GB22" s="254"/>
      <c r="GC22" s="254"/>
      <c r="GD22" s="254"/>
      <c r="GE22" s="254"/>
      <c r="GF22" s="254"/>
      <c r="GG22" s="254"/>
      <c r="GH22" s="254"/>
      <c r="GI22" s="254"/>
      <c r="GJ22" s="254"/>
      <c r="GK22" s="254"/>
      <c r="GL22" s="254"/>
      <c r="GM22" s="254"/>
      <c r="GN22" s="254"/>
      <c r="GO22" s="254"/>
      <c r="GP22" s="254"/>
      <c r="GQ22" s="254"/>
      <c r="GR22" s="254"/>
      <c r="GS22" s="254"/>
      <c r="GT22" s="254"/>
      <c r="GU22" s="254"/>
      <c r="GV22" s="254"/>
      <c r="GW22" s="254"/>
      <c r="GX22" s="254"/>
      <c r="GY22" s="254"/>
      <c r="GZ22" s="254"/>
      <c r="HA22" s="254"/>
      <c r="HB22" s="254"/>
      <c r="HC22" s="254"/>
      <c r="HD22" s="254"/>
      <c r="HE22" s="254"/>
      <c r="HF22" s="254"/>
      <c r="HG22" s="254"/>
      <c r="HH22" s="254"/>
      <c r="HI22" s="254"/>
      <c r="HJ22" s="254"/>
      <c r="HK22" s="254"/>
      <c r="HL22" s="254"/>
      <c r="HM22" s="254"/>
      <c r="HN22" s="254"/>
      <c r="HO22" s="254"/>
      <c r="HP22" s="254"/>
      <c r="HQ22" s="254"/>
      <c r="HR22" s="254"/>
      <c r="HS22" s="254"/>
      <c r="HT22" s="254"/>
      <c r="HU22" s="254"/>
      <c r="HV22" s="254"/>
      <c r="HW22" s="254"/>
      <c r="HX22" s="254"/>
      <c r="HY22" s="254"/>
      <c r="HZ22" s="254"/>
      <c r="IA22" s="254"/>
      <c r="IB22" s="254"/>
      <c r="IC22" s="254"/>
      <c r="ID22" s="254"/>
      <c r="IE22" s="254"/>
      <c r="IF22" s="254"/>
      <c r="IG22" s="254"/>
      <c r="IH22" s="254"/>
      <c r="II22" s="254"/>
      <c r="IJ22" s="254"/>
      <c r="IK22" s="254"/>
    </row>
    <row r="23" spans="1:245" x14ac:dyDescent="0.2">
      <c r="A23" s="548"/>
      <c r="B23" s="250"/>
      <c r="C23" s="380"/>
      <c r="D23" s="380"/>
      <c r="E23" s="380"/>
      <c r="F23" s="380"/>
      <c r="G23" s="250"/>
      <c r="H23" s="384"/>
      <c r="I23" s="187"/>
      <c r="J23" s="190"/>
      <c r="K23" s="505"/>
      <c r="L23" s="190"/>
      <c r="M23" s="190"/>
      <c r="N23" s="190"/>
      <c r="O23" s="190"/>
      <c r="P23" s="551"/>
      <c r="Q23" s="254"/>
      <c r="R23" s="254"/>
      <c r="S23" s="254"/>
      <c r="T23" s="254"/>
      <c r="U23" s="254"/>
      <c r="V23" s="254"/>
      <c r="W23" s="254"/>
      <c r="X23" s="254"/>
      <c r="Y23" s="254"/>
      <c r="Z23" s="254"/>
      <c r="AA23" s="254"/>
      <c r="AB23" s="254"/>
      <c r="AC23" s="254"/>
      <c r="AD23" s="254"/>
      <c r="AE23" s="254"/>
      <c r="AF23" s="254"/>
      <c r="AG23" s="254"/>
      <c r="AH23" s="254"/>
      <c r="AI23" s="254"/>
      <c r="AJ23" s="254"/>
      <c r="AK23" s="254"/>
      <c r="AL23" s="254"/>
      <c r="AM23" s="254"/>
      <c r="AN23" s="254"/>
      <c r="AO23" s="254"/>
      <c r="AP23" s="254"/>
      <c r="AQ23" s="254"/>
      <c r="AR23" s="254"/>
      <c r="AS23" s="254"/>
      <c r="AT23" s="254"/>
      <c r="AU23" s="254"/>
      <c r="AV23" s="254"/>
      <c r="AW23" s="254"/>
      <c r="AX23" s="254"/>
      <c r="AY23" s="254"/>
      <c r="AZ23" s="254"/>
      <c r="BA23" s="254"/>
      <c r="BB23" s="254"/>
      <c r="BC23" s="254"/>
      <c r="BD23" s="254"/>
      <c r="BE23" s="254"/>
      <c r="BF23" s="254"/>
      <c r="BG23" s="254"/>
      <c r="BH23" s="254"/>
      <c r="BI23" s="254"/>
      <c r="BJ23" s="254"/>
      <c r="BK23" s="254"/>
      <c r="BL23" s="254"/>
      <c r="BM23" s="254"/>
      <c r="BN23" s="254"/>
      <c r="BO23" s="254"/>
      <c r="BP23" s="254"/>
      <c r="BQ23" s="254"/>
      <c r="BR23" s="254"/>
      <c r="BS23" s="254"/>
      <c r="BT23" s="254"/>
      <c r="BU23" s="254"/>
      <c r="BV23" s="254"/>
      <c r="BW23" s="254"/>
      <c r="BX23" s="254"/>
      <c r="BY23" s="254"/>
      <c r="BZ23" s="254"/>
      <c r="CA23" s="254"/>
      <c r="CB23" s="254"/>
      <c r="CC23" s="254"/>
      <c r="CD23" s="254"/>
      <c r="CE23" s="254"/>
      <c r="CF23" s="254"/>
      <c r="CG23" s="254"/>
      <c r="CH23" s="254"/>
      <c r="CI23" s="254"/>
      <c r="CJ23" s="254"/>
      <c r="CK23" s="254"/>
      <c r="CL23" s="254"/>
      <c r="CM23" s="254"/>
      <c r="CN23" s="254"/>
      <c r="CO23" s="254"/>
      <c r="CP23" s="254"/>
      <c r="CQ23" s="254"/>
      <c r="CR23" s="254"/>
      <c r="CS23" s="254"/>
      <c r="CT23" s="254"/>
      <c r="CU23" s="254"/>
      <c r="CV23" s="254"/>
      <c r="CW23" s="254"/>
      <c r="CX23" s="254"/>
      <c r="CY23" s="254"/>
      <c r="CZ23" s="254"/>
      <c r="DA23" s="254"/>
      <c r="DB23" s="254"/>
      <c r="DC23" s="254"/>
      <c r="DD23" s="254"/>
      <c r="DE23" s="254"/>
      <c r="DF23" s="254"/>
      <c r="DG23" s="254"/>
      <c r="DH23" s="254"/>
      <c r="DI23" s="254"/>
      <c r="DJ23" s="254"/>
      <c r="DK23" s="254"/>
      <c r="DL23" s="254"/>
      <c r="DM23" s="254"/>
      <c r="DN23" s="254"/>
      <c r="DO23" s="254"/>
      <c r="DP23" s="254"/>
      <c r="DQ23" s="254"/>
      <c r="DR23" s="254"/>
      <c r="DS23" s="254"/>
      <c r="DT23" s="254"/>
      <c r="DU23" s="254"/>
      <c r="DV23" s="254"/>
      <c r="DW23" s="254"/>
      <c r="DX23" s="254"/>
      <c r="DY23" s="254"/>
      <c r="DZ23" s="254"/>
      <c r="EA23" s="254"/>
      <c r="EB23" s="254"/>
      <c r="EC23" s="254"/>
      <c r="ED23" s="254"/>
      <c r="EE23" s="254"/>
      <c r="EF23" s="254"/>
      <c r="EG23" s="254"/>
      <c r="EH23" s="254"/>
      <c r="EI23" s="254"/>
      <c r="EJ23" s="254"/>
      <c r="EK23" s="254"/>
      <c r="EL23" s="254"/>
      <c r="EM23" s="254"/>
      <c r="EN23" s="254"/>
      <c r="EO23" s="254"/>
      <c r="EP23" s="254"/>
      <c r="EQ23" s="254"/>
      <c r="ER23" s="254"/>
      <c r="ES23" s="254"/>
      <c r="ET23" s="254"/>
      <c r="EU23" s="254"/>
      <c r="EV23" s="254"/>
      <c r="EW23" s="254"/>
      <c r="EX23" s="254"/>
      <c r="EY23" s="254"/>
      <c r="EZ23" s="254"/>
      <c r="FA23" s="254"/>
      <c r="FB23" s="254"/>
      <c r="FC23" s="254"/>
      <c r="FD23" s="254"/>
      <c r="FE23" s="254"/>
      <c r="FF23" s="254"/>
      <c r="FG23" s="254"/>
      <c r="FH23" s="254"/>
      <c r="FI23" s="254"/>
      <c r="FJ23" s="254"/>
      <c r="FK23" s="254"/>
      <c r="FL23" s="254"/>
      <c r="FM23" s="254"/>
      <c r="FN23" s="254"/>
      <c r="FO23" s="254"/>
      <c r="FP23" s="254"/>
      <c r="FQ23" s="254"/>
      <c r="FR23" s="254"/>
      <c r="FS23" s="254"/>
      <c r="FT23" s="254"/>
      <c r="FU23" s="254"/>
      <c r="FV23" s="254"/>
      <c r="FW23" s="254"/>
      <c r="FX23" s="254"/>
      <c r="FY23" s="254"/>
      <c r="FZ23" s="254"/>
      <c r="GA23" s="254"/>
      <c r="GB23" s="254"/>
      <c r="GC23" s="254"/>
      <c r="GD23" s="254"/>
      <c r="GE23" s="254"/>
      <c r="GF23" s="254"/>
      <c r="GG23" s="254"/>
      <c r="GH23" s="254"/>
      <c r="GI23" s="254"/>
      <c r="GJ23" s="254"/>
      <c r="GK23" s="254"/>
      <c r="GL23" s="254"/>
      <c r="GM23" s="254"/>
      <c r="GN23" s="254"/>
      <c r="GO23" s="254"/>
      <c r="GP23" s="254"/>
      <c r="GQ23" s="254"/>
      <c r="GR23" s="254"/>
      <c r="GS23" s="254"/>
      <c r="GT23" s="254"/>
      <c r="GU23" s="254"/>
      <c r="GV23" s="254"/>
      <c r="GW23" s="254"/>
      <c r="GX23" s="254"/>
      <c r="GY23" s="254"/>
      <c r="GZ23" s="254"/>
      <c r="HA23" s="254"/>
      <c r="HB23" s="254"/>
      <c r="HC23" s="254"/>
      <c r="HD23" s="254"/>
      <c r="HE23" s="254"/>
      <c r="HF23" s="254"/>
      <c r="HG23" s="254"/>
      <c r="HH23" s="254"/>
      <c r="HI23" s="254"/>
      <c r="HJ23" s="254"/>
      <c r="HK23" s="254"/>
      <c r="HL23" s="254"/>
      <c r="HM23" s="254"/>
      <c r="HN23" s="254"/>
      <c r="HO23" s="254"/>
      <c r="HP23" s="254"/>
      <c r="HQ23" s="254"/>
      <c r="HR23" s="254"/>
      <c r="HS23" s="254"/>
      <c r="HT23" s="254"/>
      <c r="HU23" s="254"/>
      <c r="HV23" s="254"/>
      <c r="HW23" s="254"/>
      <c r="HX23" s="254"/>
      <c r="HY23" s="254"/>
      <c r="HZ23" s="254"/>
      <c r="IA23" s="254"/>
      <c r="IB23" s="254"/>
      <c r="IC23" s="254"/>
      <c r="ID23" s="254"/>
      <c r="IE23" s="254"/>
      <c r="IF23" s="254"/>
      <c r="IG23" s="254"/>
      <c r="IH23" s="254"/>
      <c r="II23" s="254"/>
      <c r="IJ23" s="254"/>
      <c r="IK23" s="254"/>
    </row>
    <row r="24" spans="1:245" s="268" customFormat="1" ht="12.75" thickBot="1" x14ac:dyDescent="0.25">
      <c r="A24" s="552" t="s">
        <v>1170</v>
      </c>
      <c r="B24" s="348"/>
      <c r="C24" s="553"/>
      <c r="D24" s="553"/>
      <c r="E24" s="553"/>
      <c r="F24" s="553"/>
      <c r="G24" s="554" t="s">
        <v>217</v>
      </c>
      <c r="H24" s="555">
        <f t="shared" ref="H24:P24" si="1">H16+H18+H20+H22</f>
        <v>0</v>
      </c>
      <c r="I24" s="555">
        <f t="shared" si="1"/>
        <v>0</v>
      </c>
      <c r="J24" s="555">
        <f t="shared" si="1"/>
        <v>0</v>
      </c>
      <c r="K24" s="555">
        <f t="shared" si="1"/>
        <v>0</v>
      </c>
      <c r="L24" s="555">
        <f t="shared" si="1"/>
        <v>0</v>
      </c>
      <c r="M24" s="555">
        <f t="shared" si="1"/>
        <v>0</v>
      </c>
      <c r="N24" s="555">
        <f t="shared" si="1"/>
        <v>0</v>
      </c>
      <c r="O24" s="555">
        <f t="shared" si="1"/>
        <v>0</v>
      </c>
      <c r="P24" s="556">
        <f t="shared" si="1"/>
        <v>0</v>
      </c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74"/>
      <c r="AD24" s="274"/>
      <c r="AE24" s="274"/>
      <c r="AF24" s="274"/>
      <c r="AG24" s="274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  <c r="AR24" s="274"/>
      <c r="AS24" s="274"/>
      <c r="AT24" s="274"/>
      <c r="AU24" s="274"/>
      <c r="AV24" s="274"/>
      <c r="AW24" s="274"/>
      <c r="AX24" s="274"/>
      <c r="AY24" s="274"/>
      <c r="AZ24" s="274"/>
      <c r="BA24" s="274"/>
      <c r="BB24" s="274"/>
      <c r="BC24" s="274"/>
      <c r="BD24" s="274"/>
      <c r="BE24" s="274"/>
      <c r="BF24" s="274"/>
      <c r="BG24" s="274"/>
      <c r="BH24" s="274"/>
      <c r="BI24" s="274"/>
      <c r="BJ24" s="274"/>
      <c r="BK24" s="274"/>
      <c r="BL24" s="274"/>
      <c r="BM24" s="274"/>
      <c r="BN24" s="274"/>
      <c r="BO24" s="274"/>
      <c r="BP24" s="274"/>
      <c r="BQ24" s="274"/>
      <c r="BR24" s="274"/>
      <c r="BS24" s="274"/>
      <c r="BT24" s="274"/>
      <c r="BU24" s="274"/>
      <c r="BV24" s="274"/>
      <c r="BW24" s="274"/>
      <c r="BX24" s="274"/>
      <c r="BY24" s="274"/>
      <c r="BZ24" s="274"/>
      <c r="CA24" s="274"/>
      <c r="CB24" s="274"/>
      <c r="CC24" s="274"/>
      <c r="CD24" s="274"/>
      <c r="CE24" s="274"/>
      <c r="CF24" s="274"/>
      <c r="CG24" s="274"/>
      <c r="CH24" s="274"/>
      <c r="CI24" s="274"/>
      <c r="CJ24" s="274"/>
      <c r="CK24" s="274"/>
      <c r="CL24" s="274"/>
      <c r="CM24" s="274"/>
      <c r="CN24" s="274"/>
      <c r="CO24" s="274"/>
      <c r="CP24" s="274"/>
      <c r="CQ24" s="274"/>
      <c r="CR24" s="274"/>
      <c r="CS24" s="274"/>
      <c r="CT24" s="274"/>
      <c r="CU24" s="274"/>
      <c r="CV24" s="274"/>
      <c r="CW24" s="274"/>
      <c r="CX24" s="274"/>
      <c r="CY24" s="274"/>
      <c r="CZ24" s="274"/>
      <c r="DA24" s="274"/>
      <c r="DB24" s="274"/>
      <c r="DC24" s="274"/>
      <c r="DD24" s="274"/>
      <c r="DE24" s="274"/>
      <c r="DF24" s="274"/>
      <c r="DG24" s="274"/>
      <c r="DH24" s="274"/>
      <c r="DI24" s="274"/>
      <c r="DJ24" s="274"/>
      <c r="DK24" s="274"/>
      <c r="DL24" s="274"/>
      <c r="DM24" s="274"/>
      <c r="DN24" s="274"/>
      <c r="DO24" s="274"/>
      <c r="DP24" s="274"/>
      <c r="DQ24" s="274"/>
      <c r="DR24" s="274"/>
      <c r="DS24" s="274"/>
      <c r="DT24" s="274"/>
      <c r="DU24" s="274"/>
      <c r="DV24" s="274"/>
      <c r="DW24" s="274"/>
      <c r="DX24" s="274"/>
      <c r="DY24" s="274"/>
      <c r="DZ24" s="274"/>
      <c r="EA24" s="274"/>
      <c r="EB24" s="274"/>
      <c r="EC24" s="274"/>
      <c r="ED24" s="274"/>
      <c r="EE24" s="274"/>
      <c r="EF24" s="274"/>
      <c r="EG24" s="274"/>
      <c r="EH24" s="274"/>
      <c r="EI24" s="274"/>
      <c r="EJ24" s="274"/>
      <c r="EK24" s="274"/>
      <c r="EL24" s="274"/>
      <c r="EM24" s="274"/>
      <c r="EN24" s="274"/>
      <c r="EO24" s="274"/>
      <c r="EP24" s="274"/>
      <c r="EQ24" s="274"/>
      <c r="ER24" s="274"/>
      <c r="ES24" s="274"/>
      <c r="ET24" s="274"/>
      <c r="EU24" s="274"/>
      <c r="EV24" s="274"/>
      <c r="EW24" s="274"/>
      <c r="EX24" s="274"/>
      <c r="EY24" s="274"/>
      <c r="EZ24" s="274"/>
      <c r="FA24" s="274"/>
      <c r="FB24" s="274"/>
      <c r="FC24" s="274"/>
      <c r="FD24" s="274"/>
      <c r="FE24" s="274"/>
      <c r="FF24" s="274"/>
      <c r="FG24" s="274"/>
      <c r="FH24" s="274"/>
      <c r="FI24" s="274"/>
      <c r="FJ24" s="274"/>
      <c r="FK24" s="274"/>
      <c r="FL24" s="274"/>
      <c r="FM24" s="274"/>
      <c r="FN24" s="274"/>
      <c r="FO24" s="274"/>
      <c r="FP24" s="274"/>
      <c r="FQ24" s="274"/>
      <c r="FR24" s="274"/>
      <c r="FS24" s="274"/>
      <c r="FT24" s="274"/>
      <c r="FU24" s="274"/>
      <c r="FV24" s="274"/>
      <c r="FW24" s="274"/>
      <c r="FX24" s="274"/>
      <c r="FY24" s="274"/>
      <c r="FZ24" s="274"/>
      <c r="GA24" s="274"/>
      <c r="GB24" s="274"/>
      <c r="GC24" s="274"/>
      <c r="GD24" s="274"/>
      <c r="GE24" s="274"/>
      <c r="GF24" s="274"/>
      <c r="GG24" s="274"/>
      <c r="GH24" s="274"/>
      <c r="GI24" s="274"/>
      <c r="GJ24" s="274"/>
      <c r="GK24" s="274"/>
      <c r="GL24" s="274"/>
      <c r="GM24" s="274"/>
      <c r="GN24" s="274"/>
      <c r="GO24" s="274"/>
      <c r="GP24" s="274"/>
      <c r="GQ24" s="274"/>
      <c r="GR24" s="274"/>
      <c r="GS24" s="274"/>
      <c r="GT24" s="274"/>
      <c r="GU24" s="274"/>
      <c r="GV24" s="274"/>
      <c r="GW24" s="274"/>
      <c r="GX24" s="274"/>
      <c r="GY24" s="274"/>
      <c r="GZ24" s="274"/>
      <c r="HA24" s="274"/>
      <c r="HB24" s="274"/>
      <c r="HC24" s="274"/>
      <c r="HD24" s="274"/>
      <c r="HE24" s="274"/>
      <c r="HF24" s="274"/>
      <c r="HG24" s="274"/>
      <c r="HH24" s="274"/>
      <c r="HI24" s="274"/>
      <c r="HJ24" s="274"/>
      <c r="HK24" s="274"/>
      <c r="HL24" s="274"/>
      <c r="HM24" s="274"/>
      <c r="HN24" s="274"/>
      <c r="HO24" s="274"/>
      <c r="HP24" s="274"/>
      <c r="HQ24" s="274"/>
      <c r="HR24" s="274"/>
      <c r="HS24" s="274"/>
      <c r="HT24" s="274"/>
      <c r="HU24" s="274"/>
      <c r="HV24" s="274"/>
      <c r="HW24" s="274"/>
      <c r="HX24" s="274"/>
      <c r="HY24" s="274"/>
      <c r="HZ24" s="274"/>
      <c r="IA24" s="274"/>
      <c r="IB24" s="274"/>
      <c r="IC24" s="274"/>
      <c r="ID24" s="274"/>
      <c r="IE24" s="274"/>
      <c r="IF24" s="274"/>
      <c r="IG24" s="274"/>
      <c r="IH24" s="274"/>
      <c r="II24" s="274"/>
      <c r="IJ24" s="274"/>
      <c r="IK24" s="274"/>
    </row>
    <row r="25" spans="1:245" ht="12.75" thickTop="1" x14ac:dyDescent="0.2">
      <c r="G25" s="64" t="s">
        <v>867</v>
      </c>
      <c r="Q25" s="254"/>
      <c r="R25" s="254"/>
      <c r="S25" s="254"/>
      <c r="T25" s="254"/>
      <c r="U25" s="254"/>
      <c r="V25" s="254"/>
      <c r="W25" s="254"/>
      <c r="X25" s="254"/>
      <c r="Y25" s="254"/>
      <c r="Z25" s="254"/>
      <c r="AA25" s="254"/>
      <c r="AB25" s="254"/>
      <c r="AC25" s="254"/>
      <c r="AD25" s="254"/>
      <c r="AE25" s="254"/>
      <c r="AF25" s="254"/>
      <c r="AG25" s="254"/>
      <c r="AH25" s="254"/>
      <c r="AI25" s="254"/>
      <c r="AJ25" s="254"/>
      <c r="AK25" s="254"/>
      <c r="AL25" s="254"/>
      <c r="AM25" s="254"/>
      <c r="AN25" s="254"/>
      <c r="AO25" s="254"/>
      <c r="AP25" s="254"/>
      <c r="AQ25" s="254"/>
      <c r="AR25" s="254"/>
      <c r="AS25" s="254"/>
      <c r="AT25" s="254"/>
      <c r="AU25" s="254"/>
      <c r="AV25" s="254"/>
      <c r="AW25" s="254"/>
      <c r="AX25" s="254"/>
      <c r="AY25" s="254"/>
      <c r="AZ25" s="254"/>
      <c r="BA25" s="254"/>
      <c r="BB25" s="254"/>
      <c r="BC25" s="254"/>
      <c r="BD25" s="254"/>
      <c r="BE25" s="254"/>
      <c r="BF25" s="254"/>
      <c r="BG25" s="254"/>
      <c r="BH25" s="254"/>
      <c r="BI25" s="254"/>
      <c r="BJ25" s="254"/>
      <c r="BK25" s="254"/>
      <c r="BL25" s="254"/>
      <c r="BM25" s="254"/>
      <c r="BN25" s="254"/>
      <c r="BO25" s="254"/>
      <c r="BP25" s="254"/>
      <c r="BQ25" s="254"/>
      <c r="BR25" s="254"/>
      <c r="BS25" s="254"/>
      <c r="BT25" s="254"/>
      <c r="BU25" s="254"/>
      <c r="BV25" s="254"/>
      <c r="BW25" s="254"/>
      <c r="BX25" s="254"/>
      <c r="BY25" s="254"/>
      <c r="BZ25" s="254"/>
      <c r="CA25" s="254"/>
      <c r="CB25" s="254"/>
      <c r="CC25" s="254"/>
      <c r="CD25" s="254"/>
      <c r="CE25" s="254"/>
      <c r="CF25" s="254"/>
      <c r="CG25" s="254"/>
      <c r="CH25" s="254"/>
      <c r="CI25" s="254"/>
      <c r="CJ25" s="254"/>
      <c r="CK25" s="254"/>
      <c r="CL25" s="254"/>
      <c r="CM25" s="254"/>
      <c r="CN25" s="254"/>
      <c r="CO25" s="254"/>
      <c r="CP25" s="254"/>
      <c r="CQ25" s="254"/>
      <c r="CR25" s="254"/>
      <c r="CS25" s="254"/>
      <c r="CT25" s="254"/>
      <c r="CU25" s="254"/>
      <c r="CV25" s="254"/>
      <c r="CW25" s="254"/>
      <c r="CX25" s="254"/>
      <c r="CY25" s="254"/>
      <c r="CZ25" s="254"/>
      <c r="DA25" s="254"/>
      <c r="DB25" s="254"/>
      <c r="DC25" s="254"/>
      <c r="DD25" s="254"/>
      <c r="DE25" s="254"/>
      <c r="DF25" s="254"/>
      <c r="DG25" s="254"/>
      <c r="DH25" s="254"/>
      <c r="DI25" s="254"/>
      <c r="DJ25" s="254"/>
      <c r="DK25" s="254"/>
      <c r="DL25" s="254"/>
      <c r="DM25" s="254"/>
      <c r="DN25" s="254"/>
      <c r="DO25" s="254"/>
      <c r="DP25" s="254"/>
      <c r="DQ25" s="254"/>
      <c r="DR25" s="254"/>
      <c r="DS25" s="254"/>
      <c r="DT25" s="254"/>
      <c r="DU25" s="254"/>
      <c r="DV25" s="254"/>
      <c r="DW25" s="254"/>
      <c r="DX25" s="254"/>
      <c r="DY25" s="254"/>
      <c r="DZ25" s="254"/>
      <c r="EA25" s="254"/>
      <c r="EB25" s="254"/>
      <c r="EC25" s="254"/>
      <c r="ED25" s="254"/>
      <c r="EE25" s="254"/>
      <c r="EF25" s="254"/>
      <c r="EG25" s="254"/>
      <c r="EH25" s="254"/>
      <c r="EI25" s="254"/>
      <c r="EJ25" s="254"/>
      <c r="EK25" s="254"/>
      <c r="EL25" s="254"/>
      <c r="EM25" s="254"/>
      <c r="EN25" s="254"/>
      <c r="EO25" s="254"/>
      <c r="EP25" s="254"/>
      <c r="EQ25" s="254"/>
      <c r="ER25" s="254"/>
      <c r="ES25" s="254"/>
      <c r="ET25" s="254"/>
      <c r="EU25" s="254"/>
      <c r="EV25" s="254"/>
      <c r="EW25" s="254"/>
      <c r="EX25" s="254"/>
      <c r="EY25" s="254"/>
      <c r="EZ25" s="254"/>
      <c r="FA25" s="254"/>
      <c r="FB25" s="254"/>
      <c r="FC25" s="254"/>
      <c r="FD25" s="254"/>
      <c r="FE25" s="254"/>
      <c r="FF25" s="254"/>
      <c r="FG25" s="254"/>
      <c r="FH25" s="254"/>
      <c r="FI25" s="254"/>
      <c r="FJ25" s="254"/>
      <c r="FK25" s="254"/>
      <c r="FL25" s="254"/>
      <c r="FM25" s="254"/>
      <c r="FN25" s="254"/>
      <c r="FO25" s="254"/>
      <c r="FP25" s="254"/>
      <c r="FQ25" s="254"/>
      <c r="FR25" s="254"/>
      <c r="FS25" s="254"/>
      <c r="FT25" s="254"/>
      <c r="FU25" s="254"/>
      <c r="FV25" s="254"/>
      <c r="FW25" s="254"/>
      <c r="FX25" s="254"/>
      <c r="FY25" s="254"/>
      <c r="FZ25" s="254"/>
      <c r="GA25" s="254"/>
      <c r="GB25" s="254"/>
      <c r="GC25" s="254"/>
      <c r="GD25" s="254"/>
      <c r="GE25" s="254"/>
      <c r="GF25" s="254"/>
      <c r="GG25" s="254"/>
      <c r="GH25" s="254"/>
      <c r="GI25" s="254"/>
      <c r="GJ25" s="254"/>
      <c r="GK25" s="254"/>
      <c r="GL25" s="254"/>
      <c r="GM25" s="254"/>
      <c r="GN25" s="254"/>
      <c r="GO25" s="254"/>
      <c r="GP25" s="254"/>
      <c r="GQ25" s="254"/>
      <c r="GR25" s="254"/>
      <c r="GS25" s="254"/>
      <c r="GT25" s="254"/>
      <c r="GU25" s="254"/>
      <c r="GV25" s="254"/>
      <c r="GW25" s="254"/>
      <c r="GX25" s="254"/>
      <c r="GY25" s="254"/>
      <c r="GZ25" s="254"/>
      <c r="HA25" s="254"/>
      <c r="HB25" s="254"/>
      <c r="HC25" s="254"/>
      <c r="HD25" s="254"/>
      <c r="HE25" s="254"/>
      <c r="HF25" s="254"/>
      <c r="HG25" s="254"/>
      <c r="HH25" s="254"/>
      <c r="HI25" s="254"/>
      <c r="HJ25" s="254"/>
      <c r="HK25" s="254"/>
      <c r="HL25" s="254"/>
      <c r="HM25" s="254"/>
      <c r="HN25" s="254"/>
      <c r="HO25" s="254"/>
      <c r="HP25" s="254"/>
      <c r="HQ25" s="254"/>
      <c r="HR25" s="254"/>
      <c r="HS25" s="254"/>
      <c r="HT25" s="254"/>
      <c r="HU25" s="254"/>
      <c r="HV25" s="254"/>
      <c r="HW25" s="254"/>
      <c r="HX25" s="254"/>
      <c r="HY25" s="254"/>
      <c r="HZ25" s="254"/>
      <c r="IA25" s="254"/>
      <c r="IB25" s="254"/>
      <c r="IC25" s="254"/>
      <c r="ID25" s="254"/>
      <c r="IE25" s="254"/>
      <c r="IF25" s="254"/>
      <c r="IG25" s="254"/>
      <c r="IH25" s="254"/>
      <c r="II25" s="254"/>
      <c r="IJ25" s="254"/>
      <c r="IK25" s="254"/>
    </row>
    <row r="26" spans="1:245" x14ac:dyDescent="0.2">
      <c r="A26" s="239" t="s">
        <v>144</v>
      </c>
      <c r="B26" s="239" t="s">
        <v>145</v>
      </c>
      <c r="C26" s="239"/>
      <c r="D26" s="239"/>
      <c r="E26" s="239"/>
      <c r="F26" s="239"/>
      <c r="Q26" s="254"/>
      <c r="R26" s="254"/>
      <c r="S26" s="254"/>
      <c r="T26" s="254"/>
      <c r="U26" s="254"/>
      <c r="V26" s="254"/>
      <c r="W26" s="254"/>
      <c r="X26" s="254"/>
      <c r="Y26" s="254"/>
      <c r="Z26" s="254"/>
      <c r="AA26" s="254"/>
      <c r="AB26" s="254"/>
      <c r="AC26" s="254"/>
      <c r="AD26" s="254"/>
      <c r="AE26" s="254"/>
      <c r="AF26" s="254"/>
      <c r="AG26" s="254"/>
      <c r="AH26" s="254"/>
      <c r="AI26" s="254"/>
      <c r="AJ26" s="254"/>
      <c r="AK26" s="254"/>
      <c r="AL26" s="254"/>
      <c r="AM26" s="254"/>
      <c r="AN26" s="254"/>
      <c r="AO26" s="254"/>
      <c r="AP26" s="254"/>
      <c r="AQ26" s="254"/>
      <c r="AR26" s="254"/>
      <c r="AS26" s="254"/>
      <c r="AT26" s="254"/>
      <c r="AU26" s="254"/>
      <c r="AV26" s="254"/>
      <c r="AW26" s="254"/>
      <c r="AX26" s="254"/>
      <c r="AY26" s="254"/>
      <c r="AZ26" s="254"/>
      <c r="BA26" s="254"/>
      <c r="BB26" s="254"/>
      <c r="BC26" s="254"/>
      <c r="BD26" s="254"/>
      <c r="BE26" s="254"/>
      <c r="BF26" s="254"/>
      <c r="BG26" s="254"/>
      <c r="BH26" s="254"/>
      <c r="BI26" s="254"/>
      <c r="BJ26" s="254"/>
      <c r="BK26" s="254"/>
      <c r="BL26" s="254"/>
      <c r="BM26" s="254"/>
      <c r="BN26" s="254"/>
      <c r="BO26" s="254"/>
      <c r="BP26" s="254"/>
      <c r="BQ26" s="254"/>
      <c r="BR26" s="254"/>
      <c r="BS26" s="254"/>
      <c r="BT26" s="254"/>
      <c r="BU26" s="254"/>
      <c r="BV26" s="254"/>
      <c r="BW26" s="254"/>
      <c r="BX26" s="254"/>
      <c r="BY26" s="254"/>
      <c r="BZ26" s="254"/>
      <c r="CA26" s="254"/>
      <c r="CB26" s="254"/>
      <c r="CC26" s="254"/>
      <c r="CD26" s="254"/>
      <c r="CE26" s="254"/>
      <c r="CF26" s="254"/>
      <c r="CG26" s="254"/>
      <c r="CH26" s="254"/>
      <c r="CI26" s="254"/>
      <c r="CJ26" s="254"/>
      <c r="CK26" s="254"/>
      <c r="CL26" s="254"/>
      <c r="CM26" s="254"/>
      <c r="CN26" s="254"/>
      <c r="CO26" s="254"/>
      <c r="CP26" s="254"/>
      <c r="CQ26" s="254"/>
      <c r="CR26" s="254"/>
      <c r="CS26" s="254"/>
      <c r="CT26" s="254"/>
      <c r="CU26" s="254"/>
      <c r="CV26" s="254"/>
      <c r="CW26" s="254"/>
      <c r="CX26" s="254"/>
      <c r="CY26" s="254"/>
      <c r="CZ26" s="254"/>
      <c r="DA26" s="254"/>
      <c r="DB26" s="254"/>
      <c r="DC26" s="254"/>
      <c r="DD26" s="254"/>
      <c r="DE26" s="254"/>
      <c r="DF26" s="254"/>
      <c r="DG26" s="254"/>
      <c r="DH26" s="254"/>
      <c r="DI26" s="254"/>
      <c r="DJ26" s="254"/>
      <c r="DK26" s="254"/>
      <c r="DL26" s="254"/>
      <c r="DM26" s="254"/>
      <c r="DN26" s="254"/>
      <c r="DO26" s="254"/>
      <c r="DP26" s="254"/>
      <c r="DQ26" s="254"/>
      <c r="DR26" s="254"/>
      <c r="DS26" s="254"/>
      <c r="DT26" s="254"/>
      <c r="DU26" s="254"/>
      <c r="DV26" s="254"/>
      <c r="DW26" s="254"/>
      <c r="DX26" s="254"/>
      <c r="DY26" s="254"/>
      <c r="DZ26" s="254"/>
      <c r="EA26" s="254"/>
      <c r="EB26" s="254"/>
      <c r="EC26" s="254"/>
      <c r="ED26" s="254"/>
      <c r="EE26" s="254"/>
      <c r="EF26" s="254"/>
      <c r="EG26" s="254"/>
      <c r="EH26" s="254"/>
      <c r="EI26" s="254"/>
      <c r="EJ26" s="254"/>
      <c r="EK26" s="254"/>
      <c r="EL26" s="254"/>
      <c r="EM26" s="254"/>
      <c r="EN26" s="254"/>
      <c r="EO26" s="254"/>
      <c r="EP26" s="254"/>
      <c r="EQ26" s="254"/>
      <c r="ER26" s="254"/>
      <c r="ES26" s="254"/>
      <c r="ET26" s="254"/>
      <c r="EU26" s="254"/>
      <c r="EV26" s="254"/>
      <c r="EW26" s="254"/>
      <c r="EX26" s="254"/>
      <c r="EY26" s="254"/>
      <c r="EZ26" s="254"/>
      <c r="FA26" s="254"/>
      <c r="FB26" s="254"/>
      <c r="FC26" s="254"/>
      <c r="FD26" s="254"/>
      <c r="FE26" s="254"/>
      <c r="FF26" s="254"/>
      <c r="FG26" s="254"/>
      <c r="FH26" s="254"/>
      <c r="FI26" s="254"/>
      <c r="FJ26" s="254"/>
      <c r="FK26" s="254"/>
      <c r="FL26" s="254"/>
      <c r="FM26" s="254"/>
      <c r="FN26" s="254"/>
      <c r="FO26" s="254"/>
      <c r="FP26" s="254"/>
      <c r="FQ26" s="254"/>
      <c r="FR26" s="254"/>
      <c r="FS26" s="254"/>
      <c r="FT26" s="254"/>
      <c r="FU26" s="254"/>
      <c r="FV26" s="254"/>
      <c r="FW26" s="254"/>
      <c r="FX26" s="254"/>
      <c r="FY26" s="254"/>
      <c r="FZ26" s="254"/>
      <c r="GA26" s="254"/>
      <c r="GB26" s="254"/>
      <c r="GC26" s="254"/>
      <c r="GD26" s="254"/>
      <c r="GE26" s="254"/>
      <c r="GF26" s="254"/>
      <c r="GG26" s="254"/>
      <c r="GH26" s="254"/>
      <c r="GI26" s="254"/>
      <c r="GJ26" s="254"/>
      <c r="GK26" s="254"/>
      <c r="GL26" s="254"/>
      <c r="GM26" s="254"/>
      <c r="GN26" s="254"/>
      <c r="GO26" s="254"/>
      <c r="GP26" s="254"/>
      <c r="GQ26" s="254"/>
      <c r="GR26" s="254"/>
      <c r="GS26" s="254"/>
      <c r="GT26" s="254"/>
      <c r="GU26" s="254"/>
      <c r="GV26" s="254"/>
      <c r="GW26" s="254"/>
      <c r="GX26" s="254"/>
      <c r="GY26" s="254"/>
      <c r="GZ26" s="254"/>
      <c r="HA26" s="254"/>
      <c r="HB26" s="254"/>
      <c r="HC26" s="254"/>
      <c r="HD26" s="254"/>
      <c r="HE26" s="254"/>
      <c r="HF26" s="254"/>
      <c r="HG26" s="254"/>
      <c r="HH26" s="254"/>
      <c r="HI26" s="254"/>
      <c r="HJ26" s="254"/>
      <c r="HK26" s="254"/>
      <c r="HL26" s="254"/>
      <c r="HM26" s="254"/>
      <c r="HN26" s="254"/>
      <c r="HO26" s="254"/>
      <c r="HP26" s="254"/>
      <c r="HQ26" s="254"/>
      <c r="HR26" s="254"/>
      <c r="HS26" s="254"/>
      <c r="HT26" s="254"/>
      <c r="HU26" s="254"/>
      <c r="HV26" s="254"/>
      <c r="HW26" s="254"/>
      <c r="HX26" s="254"/>
      <c r="HY26" s="254"/>
      <c r="HZ26" s="254"/>
      <c r="IA26" s="254"/>
      <c r="IB26" s="254"/>
      <c r="IC26" s="254"/>
      <c r="ID26" s="254"/>
      <c r="IE26" s="254"/>
      <c r="IF26" s="254"/>
      <c r="IG26" s="254"/>
      <c r="IH26" s="254"/>
      <c r="II26" s="254"/>
      <c r="IJ26" s="254"/>
      <c r="IK26" s="254"/>
    </row>
    <row r="27" spans="1:245" ht="6.75" customHeight="1" x14ac:dyDescent="0.2">
      <c r="C27" s="239"/>
      <c r="D27" s="239"/>
      <c r="E27" s="239"/>
      <c r="F27" s="239"/>
      <c r="Q27" s="254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4"/>
      <c r="AC27" s="254"/>
      <c r="AD27" s="254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254"/>
      <c r="AQ27" s="254"/>
      <c r="AR27" s="254"/>
      <c r="AS27" s="254"/>
      <c r="AT27" s="254"/>
      <c r="AU27" s="254"/>
      <c r="AV27" s="254"/>
      <c r="AW27" s="254"/>
      <c r="AX27" s="254"/>
      <c r="AY27" s="254"/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54"/>
      <c r="CB27" s="254"/>
      <c r="CC27" s="254"/>
      <c r="CD27" s="254"/>
      <c r="CE27" s="254"/>
      <c r="CF27" s="254"/>
      <c r="CG27" s="254"/>
      <c r="CH27" s="254"/>
      <c r="CI27" s="254"/>
      <c r="CJ27" s="254"/>
      <c r="CK27" s="254"/>
      <c r="CL27" s="254"/>
      <c r="CM27" s="254"/>
      <c r="CN27" s="254"/>
      <c r="CO27" s="254"/>
      <c r="CP27" s="254"/>
      <c r="CQ27" s="254"/>
      <c r="CR27" s="254"/>
      <c r="CS27" s="254"/>
      <c r="CT27" s="254"/>
      <c r="CU27" s="254"/>
      <c r="CV27" s="254"/>
      <c r="CW27" s="254"/>
      <c r="CX27" s="254"/>
      <c r="CY27" s="254"/>
      <c r="CZ27" s="254"/>
      <c r="DA27" s="254"/>
      <c r="DB27" s="254"/>
      <c r="DC27" s="254"/>
      <c r="DD27" s="254"/>
      <c r="DE27" s="254"/>
      <c r="DF27" s="254"/>
      <c r="DG27" s="254"/>
      <c r="DH27" s="254"/>
      <c r="DI27" s="254"/>
      <c r="DJ27" s="254"/>
      <c r="DK27" s="254"/>
      <c r="DL27" s="254"/>
      <c r="DM27" s="254"/>
      <c r="DN27" s="254"/>
      <c r="DO27" s="254"/>
      <c r="DP27" s="254"/>
      <c r="DQ27" s="254"/>
      <c r="DR27" s="254"/>
      <c r="DS27" s="254"/>
      <c r="DT27" s="254"/>
      <c r="DU27" s="254"/>
      <c r="DV27" s="254"/>
      <c r="DW27" s="254"/>
      <c r="DX27" s="254"/>
      <c r="DY27" s="254"/>
      <c r="DZ27" s="254"/>
      <c r="EA27" s="254"/>
      <c r="EB27" s="254"/>
      <c r="EC27" s="254"/>
      <c r="ED27" s="254"/>
      <c r="EE27" s="254"/>
      <c r="EF27" s="254"/>
      <c r="EG27" s="254"/>
      <c r="EH27" s="254"/>
      <c r="EI27" s="254"/>
      <c r="EJ27" s="254"/>
      <c r="EK27" s="254"/>
      <c r="EL27" s="254"/>
      <c r="EM27" s="254"/>
      <c r="EN27" s="254"/>
      <c r="EO27" s="254"/>
      <c r="EP27" s="254"/>
      <c r="EQ27" s="254"/>
      <c r="ER27" s="254"/>
      <c r="ES27" s="254"/>
      <c r="ET27" s="254"/>
      <c r="EU27" s="254"/>
      <c r="EV27" s="254"/>
      <c r="EW27" s="254"/>
      <c r="EX27" s="254"/>
      <c r="EY27" s="254"/>
      <c r="EZ27" s="254"/>
      <c r="FA27" s="254"/>
      <c r="FB27" s="254"/>
      <c r="FC27" s="254"/>
      <c r="FD27" s="254"/>
      <c r="FE27" s="254"/>
      <c r="FF27" s="254"/>
      <c r="FG27" s="254"/>
      <c r="FH27" s="254"/>
      <c r="FI27" s="254"/>
      <c r="FJ27" s="254"/>
      <c r="FK27" s="254"/>
      <c r="FL27" s="254"/>
      <c r="FM27" s="254"/>
      <c r="FN27" s="254"/>
      <c r="FO27" s="254"/>
      <c r="FP27" s="254"/>
      <c r="FQ27" s="254"/>
      <c r="FR27" s="254"/>
      <c r="FS27" s="254"/>
      <c r="FT27" s="254"/>
      <c r="FU27" s="254"/>
      <c r="FV27" s="254"/>
      <c r="FW27" s="254"/>
      <c r="FX27" s="254"/>
      <c r="FY27" s="254"/>
      <c r="FZ27" s="254"/>
      <c r="GA27" s="254"/>
      <c r="GB27" s="254"/>
      <c r="GC27" s="254"/>
      <c r="GD27" s="254"/>
      <c r="GE27" s="254"/>
      <c r="GF27" s="254"/>
      <c r="GG27" s="254"/>
      <c r="GH27" s="254"/>
      <c r="GI27" s="254"/>
      <c r="GJ27" s="254"/>
      <c r="GK27" s="254"/>
      <c r="GL27" s="254"/>
      <c r="GM27" s="254"/>
      <c r="GN27" s="254"/>
      <c r="GO27" s="254"/>
      <c r="GP27" s="254"/>
      <c r="GQ27" s="254"/>
      <c r="GR27" s="254"/>
      <c r="GS27" s="254"/>
      <c r="GT27" s="254"/>
      <c r="GU27" s="254"/>
      <c r="GV27" s="254"/>
      <c r="GW27" s="254"/>
      <c r="GX27" s="254"/>
      <c r="GY27" s="254"/>
      <c r="GZ27" s="254"/>
      <c r="HA27" s="254"/>
      <c r="HB27" s="254"/>
      <c r="HC27" s="254"/>
      <c r="HD27" s="254"/>
      <c r="HE27" s="254"/>
      <c r="HF27" s="254"/>
      <c r="HG27" s="254"/>
      <c r="HH27" s="254"/>
      <c r="HI27" s="254"/>
      <c r="HJ27" s="254"/>
      <c r="HK27" s="254"/>
      <c r="HL27" s="254"/>
      <c r="HM27" s="254"/>
      <c r="HN27" s="254"/>
      <c r="HO27" s="254"/>
      <c r="HP27" s="254"/>
      <c r="HQ27" s="254"/>
      <c r="HR27" s="254"/>
      <c r="HS27" s="254"/>
      <c r="HT27" s="254"/>
      <c r="HU27" s="254"/>
      <c r="HV27" s="254"/>
      <c r="HW27" s="254"/>
      <c r="HX27" s="254"/>
      <c r="HY27" s="254"/>
      <c r="HZ27" s="254"/>
      <c r="IA27" s="254"/>
      <c r="IB27" s="254"/>
      <c r="IC27" s="254"/>
      <c r="ID27" s="254"/>
      <c r="IE27" s="254"/>
      <c r="IF27" s="254"/>
      <c r="IG27" s="254"/>
      <c r="IH27" s="254"/>
      <c r="II27" s="254"/>
      <c r="IJ27" s="254"/>
      <c r="IK27" s="254"/>
    </row>
    <row r="28" spans="1:245" s="309" customFormat="1" x14ac:dyDescent="0.2">
      <c r="A28" s="309" t="s">
        <v>146</v>
      </c>
      <c r="B28" s="276" t="s">
        <v>254</v>
      </c>
      <c r="H28" s="290"/>
      <c r="I28" s="290"/>
      <c r="J28" s="310"/>
      <c r="K28" s="310"/>
      <c r="L28" s="310"/>
      <c r="M28" s="310"/>
      <c r="N28" s="310"/>
      <c r="O28" s="310"/>
      <c r="P28" s="310"/>
      <c r="Q28" s="261"/>
      <c r="R28" s="261"/>
      <c r="S28" s="261"/>
      <c r="T28" s="261"/>
      <c r="U28" s="261"/>
      <c r="V28" s="261"/>
      <c r="W28" s="261"/>
      <c r="X28" s="261"/>
      <c r="Y28" s="261"/>
      <c r="Z28" s="261"/>
      <c r="AA28" s="261"/>
      <c r="AB28" s="261"/>
      <c r="AC28" s="261"/>
      <c r="AD28" s="261"/>
      <c r="AE28" s="261"/>
      <c r="AF28" s="261"/>
      <c r="AG28" s="261"/>
      <c r="AH28" s="261"/>
      <c r="AI28" s="261"/>
      <c r="AJ28" s="261"/>
      <c r="AK28" s="261"/>
      <c r="AL28" s="261"/>
      <c r="AM28" s="261"/>
      <c r="AN28" s="261"/>
      <c r="AO28" s="261"/>
      <c r="AP28" s="261"/>
      <c r="AQ28" s="261"/>
      <c r="AR28" s="261"/>
      <c r="AS28" s="261"/>
      <c r="AT28" s="261"/>
      <c r="AU28" s="261"/>
      <c r="AV28" s="261"/>
      <c r="AW28" s="261"/>
      <c r="AX28" s="261"/>
      <c r="AY28" s="261"/>
      <c r="AZ28" s="261"/>
      <c r="BA28" s="261"/>
      <c r="BB28" s="261"/>
      <c r="BC28" s="261"/>
      <c r="BD28" s="261"/>
      <c r="BE28" s="261"/>
      <c r="BF28" s="261"/>
      <c r="BG28" s="261"/>
      <c r="BH28" s="261"/>
      <c r="BI28" s="261"/>
      <c r="BJ28" s="261"/>
      <c r="BK28" s="261"/>
      <c r="BL28" s="261"/>
      <c r="BM28" s="261"/>
      <c r="BN28" s="261"/>
      <c r="BO28" s="261"/>
      <c r="BP28" s="261"/>
      <c r="BQ28" s="261"/>
      <c r="BR28" s="261"/>
      <c r="BS28" s="261"/>
      <c r="BT28" s="261"/>
      <c r="BU28" s="261"/>
      <c r="BV28" s="261"/>
      <c r="BW28" s="261"/>
      <c r="BX28" s="261"/>
      <c r="BY28" s="261"/>
      <c r="BZ28" s="261"/>
      <c r="CA28" s="261"/>
      <c r="CB28" s="261"/>
      <c r="CC28" s="261"/>
      <c r="CD28" s="261"/>
      <c r="CE28" s="261"/>
      <c r="CF28" s="261"/>
      <c r="CG28" s="261"/>
      <c r="CH28" s="261"/>
      <c r="CI28" s="261"/>
      <c r="CJ28" s="261"/>
      <c r="CK28" s="261"/>
      <c r="CL28" s="261"/>
      <c r="CM28" s="261"/>
      <c r="CN28" s="261"/>
      <c r="CO28" s="261"/>
      <c r="CP28" s="261"/>
      <c r="CQ28" s="261"/>
      <c r="CR28" s="261"/>
      <c r="CS28" s="261"/>
      <c r="CT28" s="261"/>
      <c r="CU28" s="261"/>
      <c r="CV28" s="261"/>
      <c r="CW28" s="261"/>
      <c r="CX28" s="261"/>
      <c r="CY28" s="261"/>
      <c r="CZ28" s="261"/>
      <c r="DA28" s="261"/>
      <c r="DB28" s="261"/>
      <c r="DC28" s="261"/>
      <c r="DD28" s="261"/>
      <c r="DE28" s="261"/>
      <c r="DF28" s="261"/>
      <c r="DG28" s="261"/>
      <c r="DH28" s="261"/>
      <c r="DI28" s="261"/>
      <c r="DJ28" s="261"/>
      <c r="DK28" s="261"/>
      <c r="DL28" s="261"/>
      <c r="DM28" s="261"/>
      <c r="DN28" s="261"/>
      <c r="DO28" s="261"/>
      <c r="DP28" s="261"/>
      <c r="DQ28" s="261"/>
      <c r="DR28" s="261"/>
      <c r="DS28" s="261"/>
      <c r="DT28" s="261"/>
      <c r="DU28" s="261"/>
      <c r="DV28" s="261"/>
      <c r="DW28" s="261"/>
      <c r="DX28" s="261"/>
      <c r="DY28" s="261"/>
      <c r="DZ28" s="261"/>
      <c r="EA28" s="261"/>
      <c r="EB28" s="261"/>
      <c r="EC28" s="261"/>
      <c r="ED28" s="261"/>
      <c r="EE28" s="261"/>
      <c r="EF28" s="261"/>
      <c r="EG28" s="261"/>
      <c r="EH28" s="261"/>
      <c r="EI28" s="261"/>
      <c r="EJ28" s="261"/>
      <c r="EK28" s="261"/>
      <c r="EL28" s="261"/>
      <c r="EM28" s="261"/>
      <c r="EN28" s="261"/>
      <c r="EO28" s="261"/>
      <c r="EP28" s="261"/>
      <c r="EQ28" s="261"/>
      <c r="ER28" s="261"/>
      <c r="ES28" s="261"/>
      <c r="ET28" s="261"/>
      <c r="EU28" s="261"/>
      <c r="EV28" s="261"/>
      <c r="EW28" s="261"/>
      <c r="EX28" s="261"/>
      <c r="EY28" s="261"/>
      <c r="EZ28" s="261"/>
      <c r="FA28" s="261"/>
      <c r="FB28" s="261"/>
      <c r="FC28" s="261"/>
      <c r="FD28" s="261"/>
      <c r="FE28" s="261"/>
      <c r="FF28" s="261"/>
      <c r="FG28" s="261"/>
      <c r="FH28" s="261"/>
      <c r="FI28" s="261"/>
      <c r="FJ28" s="261"/>
      <c r="FK28" s="261"/>
      <c r="FL28" s="261"/>
      <c r="FM28" s="261"/>
      <c r="FN28" s="261"/>
      <c r="FO28" s="261"/>
      <c r="FP28" s="261"/>
      <c r="FQ28" s="261"/>
      <c r="FR28" s="261"/>
      <c r="FS28" s="261"/>
      <c r="FT28" s="261"/>
      <c r="FU28" s="261"/>
      <c r="FV28" s="261"/>
      <c r="FW28" s="261"/>
      <c r="FX28" s="261"/>
      <c r="FY28" s="261"/>
      <c r="FZ28" s="261"/>
      <c r="GA28" s="261"/>
      <c r="GB28" s="261"/>
      <c r="GC28" s="261"/>
      <c r="GD28" s="261"/>
      <c r="GE28" s="261"/>
      <c r="GF28" s="261"/>
      <c r="GG28" s="261"/>
      <c r="GH28" s="261"/>
      <c r="GI28" s="261"/>
      <c r="GJ28" s="261"/>
      <c r="GK28" s="261"/>
      <c r="GL28" s="261"/>
      <c r="GM28" s="261"/>
      <c r="GN28" s="261"/>
      <c r="GO28" s="261"/>
      <c r="GP28" s="261"/>
      <c r="GQ28" s="261"/>
      <c r="GR28" s="261"/>
      <c r="GS28" s="261"/>
      <c r="GT28" s="261"/>
      <c r="GU28" s="261"/>
      <c r="GV28" s="261"/>
      <c r="GW28" s="261"/>
      <c r="GX28" s="261"/>
      <c r="GY28" s="261"/>
      <c r="GZ28" s="261"/>
      <c r="HA28" s="261"/>
      <c r="HB28" s="261"/>
      <c r="HC28" s="261"/>
      <c r="HD28" s="261"/>
      <c r="HE28" s="261"/>
      <c r="HF28" s="261"/>
      <c r="HG28" s="261"/>
      <c r="HH28" s="261"/>
      <c r="HI28" s="261"/>
      <c r="HJ28" s="261"/>
      <c r="HK28" s="261"/>
      <c r="HL28" s="261"/>
      <c r="HM28" s="261"/>
      <c r="HN28" s="261"/>
      <c r="HO28" s="261"/>
      <c r="HP28" s="261"/>
      <c r="HQ28" s="261"/>
      <c r="HR28" s="261"/>
      <c r="HS28" s="261"/>
      <c r="HT28" s="261"/>
      <c r="HU28" s="261"/>
      <c r="HV28" s="261"/>
      <c r="HW28" s="261"/>
      <c r="HX28" s="261"/>
      <c r="HY28" s="261"/>
      <c r="HZ28" s="261"/>
      <c r="IA28" s="261"/>
      <c r="IB28" s="261"/>
      <c r="IC28" s="261"/>
      <c r="ID28" s="261"/>
      <c r="IE28" s="261"/>
      <c r="IF28" s="261"/>
      <c r="IG28" s="261"/>
      <c r="IH28" s="261"/>
      <c r="II28" s="261"/>
      <c r="IJ28" s="261"/>
      <c r="IK28" s="261"/>
    </row>
    <row r="29" spans="1:245" s="309" customFormat="1" ht="6" customHeight="1" x14ac:dyDescent="0.2">
      <c r="B29" s="276"/>
      <c r="H29" s="290"/>
      <c r="I29" s="290"/>
      <c r="J29" s="310"/>
      <c r="K29" s="310"/>
      <c r="L29" s="310"/>
      <c r="M29" s="310"/>
      <c r="N29" s="310"/>
      <c r="O29" s="310"/>
      <c r="P29" s="310"/>
      <c r="Q29" s="261"/>
      <c r="R29" s="261"/>
      <c r="S29" s="261"/>
      <c r="T29" s="261"/>
      <c r="U29" s="261"/>
      <c r="V29" s="261"/>
      <c r="W29" s="261"/>
      <c r="X29" s="261"/>
      <c r="Y29" s="261"/>
      <c r="Z29" s="261"/>
      <c r="AA29" s="261"/>
      <c r="AB29" s="261"/>
      <c r="AC29" s="261"/>
      <c r="AD29" s="261"/>
      <c r="AE29" s="261"/>
      <c r="AF29" s="261"/>
      <c r="AG29" s="261"/>
      <c r="AH29" s="261"/>
      <c r="AI29" s="261"/>
      <c r="AJ29" s="261"/>
      <c r="AK29" s="261"/>
      <c r="AL29" s="261"/>
      <c r="AM29" s="261"/>
      <c r="AN29" s="261"/>
      <c r="AO29" s="261"/>
      <c r="AP29" s="261"/>
      <c r="AQ29" s="261"/>
      <c r="AR29" s="261"/>
      <c r="AS29" s="261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  <c r="BG29" s="261"/>
      <c r="BH29" s="261"/>
      <c r="BI29" s="261"/>
      <c r="BJ29" s="261"/>
      <c r="BK29" s="261"/>
      <c r="BL29" s="261"/>
      <c r="BM29" s="261"/>
      <c r="BN29" s="261"/>
      <c r="BO29" s="261"/>
      <c r="BP29" s="261"/>
      <c r="BQ29" s="261"/>
      <c r="BR29" s="261"/>
      <c r="BS29" s="261"/>
      <c r="BT29" s="261"/>
      <c r="BU29" s="261"/>
      <c r="BV29" s="261"/>
      <c r="BW29" s="261"/>
      <c r="BX29" s="261"/>
      <c r="BY29" s="261"/>
      <c r="BZ29" s="261"/>
      <c r="CA29" s="261"/>
      <c r="CB29" s="261"/>
      <c r="CC29" s="261"/>
      <c r="CD29" s="261"/>
      <c r="CE29" s="261"/>
      <c r="CF29" s="261"/>
      <c r="CG29" s="261"/>
      <c r="CH29" s="261"/>
      <c r="CI29" s="261"/>
      <c r="CJ29" s="261"/>
      <c r="CK29" s="261"/>
      <c r="CL29" s="261"/>
      <c r="CM29" s="261"/>
      <c r="CN29" s="261"/>
      <c r="CO29" s="261"/>
      <c r="CP29" s="261"/>
      <c r="CQ29" s="261"/>
      <c r="CR29" s="261"/>
      <c r="CS29" s="261"/>
      <c r="CT29" s="261"/>
      <c r="CU29" s="261"/>
      <c r="CV29" s="261"/>
      <c r="CW29" s="261"/>
      <c r="CX29" s="261"/>
      <c r="CY29" s="261"/>
      <c r="CZ29" s="261"/>
      <c r="DA29" s="261"/>
      <c r="DB29" s="261"/>
      <c r="DC29" s="261"/>
      <c r="DD29" s="261"/>
      <c r="DE29" s="261"/>
      <c r="DF29" s="261"/>
      <c r="DG29" s="261"/>
      <c r="DH29" s="261"/>
      <c r="DI29" s="261"/>
      <c r="DJ29" s="261"/>
      <c r="DK29" s="261"/>
      <c r="DL29" s="261"/>
      <c r="DM29" s="261"/>
      <c r="DN29" s="261"/>
      <c r="DO29" s="261"/>
      <c r="DP29" s="261"/>
      <c r="DQ29" s="261"/>
      <c r="DR29" s="261"/>
      <c r="DS29" s="261"/>
      <c r="DT29" s="261"/>
      <c r="DU29" s="261"/>
      <c r="DV29" s="261"/>
      <c r="DW29" s="261"/>
      <c r="DX29" s="261"/>
      <c r="DY29" s="261"/>
      <c r="DZ29" s="261"/>
      <c r="EA29" s="261"/>
      <c r="EB29" s="261"/>
      <c r="EC29" s="261"/>
      <c r="ED29" s="261"/>
      <c r="EE29" s="261"/>
      <c r="EF29" s="261"/>
      <c r="EG29" s="261"/>
      <c r="EH29" s="261"/>
      <c r="EI29" s="261"/>
      <c r="EJ29" s="261"/>
      <c r="EK29" s="261"/>
      <c r="EL29" s="261"/>
      <c r="EM29" s="261"/>
      <c r="EN29" s="261"/>
      <c r="EO29" s="261"/>
      <c r="EP29" s="261"/>
      <c r="EQ29" s="261"/>
      <c r="ER29" s="261"/>
      <c r="ES29" s="261"/>
      <c r="ET29" s="261"/>
      <c r="EU29" s="261"/>
      <c r="EV29" s="261"/>
      <c r="EW29" s="261"/>
      <c r="EX29" s="261"/>
      <c r="EY29" s="261"/>
      <c r="EZ29" s="261"/>
      <c r="FA29" s="261"/>
      <c r="FB29" s="261"/>
      <c r="FC29" s="261"/>
      <c r="FD29" s="261"/>
      <c r="FE29" s="261"/>
      <c r="FF29" s="261"/>
      <c r="FG29" s="261"/>
      <c r="FH29" s="261"/>
      <c r="FI29" s="261"/>
      <c r="FJ29" s="261"/>
      <c r="FK29" s="261"/>
      <c r="FL29" s="261"/>
      <c r="FM29" s="261"/>
      <c r="FN29" s="261"/>
      <c r="FO29" s="261"/>
      <c r="FP29" s="261"/>
      <c r="FQ29" s="261"/>
      <c r="FR29" s="261"/>
      <c r="FS29" s="261"/>
      <c r="FT29" s="261"/>
      <c r="FU29" s="261"/>
      <c r="FV29" s="261"/>
      <c r="FW29" s="261"/>
      <c r="FX29" s="261"/>
      <c r="FY29" s="261"/>
      <c r="FZ29" s="261"/>
      <c r="GA29" s="261"/>
      <c r="GB29" s="261"/>
      <c r="GC29" s="261"/>
      <c r="GD29" s="261"/>
      <c r="GE29" s="261"/>
      <c r="GF29" s="261"/>
      <c r="GG29" s="261"/>
      <c r="GH29" s="261"/>
      <c r="GI29" s="261"/>
      <c r="GJ29" s="261"/>
      <c r="GK29" s="261"/>
      <c r="GL29" s="261"/>
      <c r="GM29" s="261"/>
      <c r="GN29" s="261"/>
      <c r="GO29" s="261"/>
      <c r="GP29" s="261"/>
      <c r="GQ29" s="261"/>
      <c r="GR29" s="261"/>
      <c r="GS29" s="261"/>
      <c r="GT29" s="261"/>
      <c r="GU29" s="261"/>
      <c r="GV29" s="261"/>
      <c r="GW29" s="261"/>
      <c r="GX29" s="261"/>
      <c r="GY29" s="261"/>
      <c r="GZ29" s="261"/>
      <c r="HA29" s="261"/>
      <c r="HB29" s="261"/>
      <c r="HC29" s="261"/>
      <c r="HD29" s="261"/>
      <c r="HE29" s="261"/>
      <c r="HF29" s="261"/>
      <c r="HG29" s="261"/>
      <c r="HH29" s="261"/>
      <c r="HI29" s="261"/>
      <c r="HJ29" s="261"/>
      <c r="HK29" s="261"/>
      <c r="HL29" s="261"/>
      <c r="HM29" s="261"/>
      <c r="HN29" s="261"/>
      <c r="HO29" s="261"/>
      <c r="HP29" s="261"/>
      <c r="HQ29" s="261"/>
      <c r="HR29" s="261"/>
      <c r="HS29" s="261"/>
      <c r="HT29" s="261"/>
      <c r="HU29" s="261"/>
      <c r="HV29" s="261"/>
      <c r="HW29" s="261"/>
      <c r="HX29" s="261"/>
      <c r="HY29" s="261"/>
      <c r="HZ29" s="261"/>
      <c r="IA29" s="261"/>
      <c r="IB29" s="261"/>
      <c r="IC29" s="261"/>
      <c r="ID29" s="261"/>
      <c r="IE29" s="261"/>
      <c r="IF29" s="261"/>
      <c r="IG29" s="261"/>
      <c r="IH29" s="261"/>
      <c r="II29" s="261"/>
      <c r="IJ29" s="261"/>
      <c r="IK29" s="261"/>
    </row>
    <row r="30" spans="1:245" x14ac:dyDescent="0.2">
      <c r="A30" s="239" t="s">
        <v>248</v>
      </c>
      <c r="B30" s="309" t="s">
        <v>147</v>
      </c>
      <c r="Q30" s="254"/>
      <c r="R30" s="254"/>
      <c r="S30" s="254"/>
      <c r="T30" s="254"/>
      <c r="U30" s="254"/>
      <c r="V30" s="254"/>
      <c r="W30" s="254"/>
      <c r="X30" s="254"/>
      <c r="Y30" s="254"/>
      <c r="Z30" s="254"/>
      <c r="AA30" s="254"/>
      <c r="AB30" s="254"/>
      <c r="AC30" s="254"/>
      <c r="AD30" s="254"/>
      <c r="AE30" s="254"/>
      <c r="AF30" s="254"/>
      <c r="AG30" s="254"/>
      <c r="AH30" s="254"/>
      <c r="AI30" s="254"/>
      <c r="AJ30" s="254"/>
      <c r="AK30" s="254"/>
      <c r="AL30" s="254"/>
      <c r="AM30" s="254"/>
      <c r="AN30" s="254"/>
      <c r="AO30" s="254"/>
      <c r="AP30" s="254"/>
      <c r="AQ30" s="254"/>
      <c r="AR30" s="254"/>
      <c r="AS30" s="254"/>
      <c r="AT30" s="254"/>
      <c r="AU30" s="254"/>
      <c r="AV30" s="254"/>
      <c r="AW30" s="254"/>
      <c r="AX30" s="254"/>
      <c r="AY30" s="254"/>
      <c r="AZ30" s="254"/>
      <c r="BA30" s="254"/>
      <c r="BB30" s="254"/>
      <c r="BC30" s="254"/>
      <c r="BD30" s="254"/>
      <c r="BE30" s="254"/>
      <c r="BF30" s="254"/>
      <c r="BG30" s="254"/>
      <c r="BH30" s="254"/>
      <c r="BI30" s="254"/>
      <c r="BJ30" s="254"/>
      <c r="BK30" s="254"/>
      <c r="BL30" s="254"/>
      <c r="BM30" s="254"/>
      <c r="BN30" s="254"/>
      <c r="BO30" s="254"/>
      <c r="BP30" s="254"/>
      <c r="BQ30" s="254"/>
      <c r="BR30" s="254"/>
      <c r="BS30" s="254"/>
      <c r="BT30" s="254"/>
      <c r="BU30" s="254"/>
      <c r="BV30" s="254"/>
      <c r="BW30" s="254"/>
      <c r="BX30" s="254"/>
      <c r="BY30" s="254"/>
      <c r="BZ30" s="254"/>
      <c r="CA30" s="254"/>
      <c r="CB30" s="254"/>
      <c r="CC30" s="254"/>
      <c r="CD30" s="254"/>
      <c r="CE30" s="254"/>
      <c r="CF30" s="254"/>
      <c r="CG30" s="254"/>
      <c r="CH30" s="254"/>
      <c r="CI30" s="254"/>
      <c r="CJ30" s="254"/>
      <c r="CK30" s="254"/>
      <c r="CL30" s="254"/>
      <c r="CM30" s="254"/>
      <c r="CN30" s="254"/>
      <c r="CO30" s="254"/>
      <c r="CP30" s="254"/>
      <c r="CQ30" s="254"/>
      <c r="CR30" s="254"/>
      <c r="CS30" s="254"/>
      <c r="CT30" s="254"/>
      <c r="CU30" s="254"/>
      <c r="CV30" s="254"/>
      <c r="CW30" s="254"/>
      <c r="CX30" s="254"/>
      <c r="CY30" s="254"/>
      <c r="CZ30" s="254"/>
      <c r="DA30" s="254"/>
      <c r="DB30" s="254"/>
      <c r="DC30" s="254"/>
      <c r="DD30" s="254"/>
      <c r="DE30" s="254"/>
      <c r="DF30" s="254"/>
      <c r="DG30" s="254"/>
      <c r="DH30" s="254"/>
      <c r="DI30" s="254"/>
      <c r="DJ30" s="254"/>
      <c r="DK30" s="254"/>
      <c r="DL30" s="254"/>
      <c r="DM30" s="254"/>
      <c r="DN30" s="254"/>
      <c r="DO30" s="254"/>
      <c r="DP30" s="254"/>
      <c r="DQ30" s="254"/>
      <c r="DR30" s="254"/>
      <c r="DS30" s="254"/>
      <c r="DT30" s="254"/>
      <c r="DU30" s="254"/>
      <c r="DV30" s="254"/>
      <c r="DW30" s="254"/>
      <c r="DX30" s="254"/>
      <c r="DY30" s="254"/>
      <c r="DZ30" s="254"/>
      <c r="EA30" s="254"/>
      <c r="EB30" s="254"/>
      <c r="EC30" s="254"/>
      <c r="ED30" s="254"/>
      <c r="EE30" s="254"/>
      <c r="EF30" s="254"/>
      <c r="EG30" s="254"/>
      <c r="EH30" s="254"/>
      <c r="EI30" s="254"/>
      <c r="EJ30" s="254"/>
      <c r="EK30" s="254"/>
      <c r="EL30" s="254"/>
      <c r="EM30" s="254"/>
      <c r="EN30" s="254"/>
      <c r="EO30" s="254"/>
      <c r="EP30" s="254"/>
      <c r="EQ30" s="254"/>
      <c r="ER30" s="254"/>
      <c r="ES30" s="254"/>
      <c r="ET30" s="254"/>
      <c r="EU30" s="254"/>
      <c r="EV30" s="254"/>
      <c r="EW30" s="254"/>
      <c r="EX30" s="254"/>
      <c r="EY30" s="254"/>
      <c r="EZ30" s="254"/>
      <c r="FA30" s="254"/>
      <c r="FB30" s="254"/>
      <c r="FC30" s="254"/>
      <c r="FD30" s="254"/>
      <c r="FE30" s="254"/>
      <c r="FF30" s="254"/>
      <c r="FG30" s="254"/>
      <c r="FH30" s="254"/>
      <c r="FI30" s="254"/>
      <c r="FJ30" s="254"/>
      <c r="FK30" s="254"/>
      <c r="FL30" s="254"/>
      <c r="FM30" s="254"/>
      <c r="FN30" s="254"/>
      <c r="FO30" s="254"/>
      <c r="FP30" s="254"/>
      <c r="FQ30" s="254"/>
      <c r="FR30" s="254"/>
      <c r="FS30" s="254"/>
      <c r="FT30" s="254"/>
      <c r="FU30" s="254"/>
      <c r="FV30" s="254"/>
      <c r="FW30" s="254"/>
      <c r="FX30" s="254"/>
      <c r="FY30" s="254"/>
      <c r="FZ30" s="254"/>
      <c r="GA30" s="254"/>
      <c r="GB30" s="254"/>
      <c r="GC30" s="254"/>
      <c r="GD30" s="254"/>
      <c r="GE30" s="254"/>
      <c r="GF30" s="254"/>
      <c r="GG30" s="254"/>
      <c r="GH30" s="254"/>
      <c r="GI30" s="254"/>
      <c r="GJ30" s="254"/>
      <c r="GK30" s="254"/>
      <c r="GL30" s="254"/>
      <c r="GM30" s="254"/>
      <c r="GN30" s="254"/>
      <c r="GO30" s="254"/>
      <c r="GP30" s="254"/>
      <c r="GQ30" s="254"/>
      <c r="GR30" s="254"/>
      <c r="GS30" s="254"/>
      <c r="GT30" s="254"/>
      <c r="GU30" s="254"/>
      <c r="GV30" s="254"/>
      <c r="GW30" s="254"/>
      <c r="GX30" s="254"/>
      <c r="GY30" s="254"/>
      <c r="GZ30" s="254"/>
      <c r="HA30" s="254"/>
      <c r="HB30" s="254"/>
      <c r="HC30" s="254"/>
      <c r="HD30" s="254"/>
      <c r="HE30" s="254"/>
      <c r="HF30" s="254"/>
      <c r="HG30" s="254"/>
      <c r="HH30" s="254"/>
      <c r="HI30" s="254"/>
      <c r="HJ30" s="254"/>
      <c r="HK30" s="254"/>
      <c r="HL30" s="254"/>
      <c r="HM30" s="254"/>
      <c r="HN30" s="254"/>
      <c r="HO30" s="254"/>
      <c r="HP30" s="254"/>
      <c r="HQ30" s="254"/>
      <c r="HR30" s="254"/>
      <c r="HS30" s="254"/>
      <c r="HT30" s="254"/>
      <c r="HU30" s="254"/>
      <c r="HV30" s="254"/>
      <c r="HW30" s="254"/>
      <c r="HX30" s="254"/>
      <c r="HY30" s="254"/>
      <c r="HZ30" s="254"/>
      <c r="IA30" s="254"/>
      <c r="IB30" s="254"/>
      <c r="IC30" s="254"/>
      <c r="ID30" s="254"/>
      <c r="IE30" s="254"/>
      <c r="IF30" s="254"/>
      <c r="IG30" s="254"/>
      <c r="IH30" s="254"/>
      <c r="II30" s="254"/>
      <c r="IJ30" s="254"/>
      <c r="IK30" s="254"/>
    </row>
    <row r="31" spans="1:245" x14ac:dyDescent="0.2">
      <c r="Q31" s="254"/>
      <c r="R31" s="254"/>
      <c r="S31" s="254"/>
      <c r="T31" s="254"/>
      <c r="U31" s="254"/>
      <c r="V31" s="254"/>
      <c r="W31" s="254"/>
      <c r="X31" s="254"/>
      <c r="Y31" s="254"/>
      <c r="Z31" s="254"/>
      <c r="AA31" s="254"/>
      <c r="AB31" s="254"/>
      <c r="AC31" s="254"/>
      <c r="AD31" s="254"/>
      <c r="AE31" s="254"/>
      <c r="AF31" s="254"/>
      <c r="AG31" s="254"/>
      <c r="AH31" s="254"/>
      <c r="AI31" s="254"/>
      <c r="AJ31" s="254"/>
      <c r="AK31" s="254"/>
      <c r="AL31" s="254"/>
      <c r="AM31" s="254"/>
      <c r="AN31" s="254"/>
      <c r="AO31" s="254"/>
      <c r="AP31" s="254"/>
      <c r="AQ31" s="254"/>
      <c r="AR31" s="254"/>
      <c r="AS31" s="254"/>
      <c r="AT31" s="254"/>
      <c r="AU31" s="254"/>
      <c r="AV31" s="254"/>
      <c r="AW31" s="254"/>
      <c r="AX31" s="254"/>
      <c r="AY31" s="254"/>
      <c r="AZ31" s="254"/>
      <c r="BA31" s="254"/>
      <c r="BB31" s="254"/>
      <c r="BC31" s="254"/>
      <c r="BD31" s="254"/>
      <c r="BE31" s="254"/>
      <c r="BF31" s="254"/>
      <c r="BG31" s="254"/>
      <c r="BH31" s="254"/>
      <c r="BI31" s="254"/>
      <c r="BJ31" s="254"/>
      <c r="BK31" s="254"/>
      <c r="BL31" s="254"/>
      <c r="BM31" s="254"/>
      <c r="BN31" s="254"/>
      <c r="BO31" s="254"/>
      <c r="BP31" s="254"/>
      <c r="BQ31" s="254"/>
      <c r="BR31" s="254"/>
      <c r="BS31" s="254"/>
      <c r="BT31" s="254"/>
      <c r="BU31" s="254"/>
      <c r="BV31" s="254"/>
      <c r="BW31" s="254"/>
      <c r="BX31" s="254"/>
      <c r="BY31" s="254"/>
      <c r="BZ31" s="254"/>
      <c r="CA31" s="254"/>
      <c r="CB31" s="254"/>
      <c r="CC31" s="254"/>
      <c r="CD31" s="254"/>
      <c r="CE31" s="254"/>
      <c r="CF31" s="254"/>
      <c r="CG31" s="254"/>
      <c r="CH31" s="254"/>
      <c r="CI31" s="254"/>
      <c r="CJ31" s="254"/>
      <c r="CK31" s="254"/>
      <c r="CL31" s="254"/>
      <c r="CM31" s="254"/>
      <c r="CN31" s="254"/>
      <c r="CO31" s="254"/>
      <c r="CP31" s="254"/>
      <c r="CQ31" s="254"/>
      <c r="CR31" s="254"/>
      <c r="CS31" s="254"/>
      <c r="CT31" s="254"/>
      <c r="CU31" s="254"/>
    </row>
    <row r="32" spans="1:245" x14ac:dyDescent="0.2"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</row>
    <row r="33" spans="1:99" x14ac:dyDescent="0.2">
      <c r="Q33" s="254"/>
      <c r="R33" s="254"/>
      <c r="S33" s="254"/>
      <c r="T33" s="254"/>
      <c r="U33" s="254"/>
      <c r="V33" s="254"/>
      <c r="W33" s="254"/>
      <c r="X33" s="254"/>
      <c r="Y33" s="254"/>
      <c r="Z33" s="254"/>
      <c r="AA33" s="254"/>
      <c r="AB33" s="254"/>
      <c r="AC33" s="254"/>
      <c r="AD33" s="254"/>
      <c r="AE33" s="254"/>
      <c r="AF33" s="254"/>
      <c r="AG33" s="254"/>
      <c r="AH33" s="254"/>
      <c r="AI33" s="254"/>
      <c r="AJ33" s="254"/>
      <c r="AK33" s="254"/>
      <c r="AL33" s="254"/>
      <c r="AM33" s="254"/>
      <c r="AN33" s="254"/>
      <c r="AO33" s="254"/>
      <c r="AP33" s="254"/>
      <c r="AQ33" s="254"/>
      <c r="AR33" s="254"/>
      <c r="AS33" s="254"/>
      <c r="AT33" s="254"/>
      <c r="AU33" s="254"/>
      <c r="AV33" s="254"/>
      <c r="AW33" s="254"/>
      <c r="AX33" s="254"/>
      <c r="AY33" s="254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4"/>
      <c r="BP33" s="254"/>
      <c r="BQ33" s="254"/>
      <c r="BR33" s="254"/>
      <c r="BS33" s="254"/>
      <c r="BT33" s="254"/>
      <c r="BU33" s="254"/>
      <c r="BV33" s="254"/>
      <c r="BW33" s="254"/>
      <c r="BX33" s="254"/>
      <c r="BY33" s="254"/>
      <c r="BZ33" s="254"/>
      <c r="CA33" s="254"/>
      <c r="CB33" s="254"/>
      <c r="CC33" s="254"/>
      <c r="CD33" s="254"/>
      <c r="CE33" s="254"/>
      <c r="CF33" s="254"/>
      <c r="CG33" s="254"/>
      <c r="CH33" s="254"/>
      <c r="CI33" s="254"/>
      <c r="CJ33" s="254"/>
      <c r="CK33" s="254"/>
      <c r="CL33" s="254"/>
      <c r="CM33" s="254"/>
      <c r="CN33" s="254"/>
      <c r="CO33" s="254"/>
      <c r="CP33" s="254"/>
      <c r="CQ33" s="254"/>
      <c r="CR33" s="254"/>
      <c r="CS33" s="254"/>
      <c r="CT33" s="254"/>
      <c r="CU33" s="254"/>
    </row>
    <row r="34" spans="1:99" x14ac:dyDescent="0.2"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</row>
    <row r="35" spans="1:99" x14ac:dyDescent="0.2">
      <c r="Q35" s="254"/>
      <c r="R35" s="254"/>
      <c r="S35" s="254"/>
      <c r="T35" s="254"/>
      <c r="U35" s="254"/>
      <c r="V35" s="254"/>
      <c r="W35" s="254"/>
      <c r="X35" s="254"/>
      <c r="Y35" s="254"/>
      <c r="Z35" s="254"/>
      <c r="AA35" s="254"/>
      <c r="AB35" s="254"/>
      <c r="AC35" s="254"/>
      <c r="AD35" s="254"/>
      <c r="AE35" s="254"/>
      <c r="AF35" s="254"/>
      <c r="AG35" s="254"/>
      <c r="AH35" s="254"/>
      <c r="AI35" s="254"/>
      <c r="AJ35" s="254"/>
      <c r="AK35" s="254"/>
      <c r="AL35" s="254"/>
      <c r="AM35" s="254"/>
      <c r="AN35" s="254"/>
      <c r="AO35" s="254"/>
      <c r="AP35" s="254"/>
      <c r="AQ35" s="254"/>
      <c r="AR35" s="254"/>
      <c r="AS35" s="254"/>
      <c r="AT35" s="254"/>
      <c r="AU35" s="254"/>
      <c r="AV35" s="254"/>
      <c r="AW35" s="254"/>
      <c r="AX35" s="254"/>
      <c r="AY35" s="254"/>
      <c r="AZ35" s="254"/>
      <c r="BA35" s="254"/>
      <c r="BB35" s="254"/>
      <c r="BC35" s="254"/>
      <c r="BD35" s="254"/>
      <c r="BE35" s="254"/>
      <c r="BF35" s="254"/>
      <c r="BG35" s="254"/>
      <c r="BH35" s="254"/>
      <c r="BI35" s="254"/>
      <c r="BJ35" s="254"/>
      <c r="BK35" s="254"/>
      <c r="BL35" s="254"/>
      <c r="BM35" s="254"/>
      <c r="BN35" s="254"/>
      <c r="BO35" s="254"/>
      <c r="BP35" s="254"/>
      <c r="BQ35" s="254"/>
      <c r="BR35" s="254"/>
      <c r="BS35" s="254"/>
      <c r="BT35" s="254"/>
      <c r="BU35" s="254"/>
      <c r="BV35" s="254"/>
      <c r="BW35" s="254"/>
      <c r="BX35" s="254"/>
      <c r="BY35" s="254"/>
      <c r="BZ35" s="254"/>
      <c r="CA35" s="254"/>
      <c r="CB35" s="254"/>
      <c r="CC35" s="254"/>
      <c r="CD35" s="254"/>
      <c r="CE35" s="254"/>
      <c r="CF35" s="254"/>
      <c r="CG35" s="254"/>
      <c r="CH35" s="254"/>
      <c r="CI35" s="254"/>
      <c r="CJ35" s="254"/>
      <c r="CK35" s="254"/>
      <c r="CL35" s="254"/>
      <c r="CM35" s="254"/>
      <c r="CN35" s="254"/>
      <c r="CO35" s="254"/>
      <c r="CP35" s="254"/>
      <c r="CQ35" s="254"/>
      <c r="CR35" s="254"/>
      <c r="CS35" s="254"/>
      <c r="CT35" s="254"/>
      <c r="CU35" s="254"/>
    </row>
    <row r="36" spans="1:99" x14ac:dyDescent="0.2">
      <c r="A36" s="275"/>
      <c r="B36" s="275"/>
      <c r="C36" s="68"/>
      <c r="D36" s="68"/>
      <c r="E36" s="68"/>
      <c r="F36" s="68"/>
      <c r="G36" s="275"/>
      <c r="Q36" s="254"/>
      <c r="R36" s="254"/>
      <c r="S36" s="254"/>
      <c r="T36" s="254"/>
      <c r="U36" s="254"/>
      <c r="V36" s="254"/>
      <c r="W36" s="254"/>
      <c r="X36" s="254"/>
      <c r="Y36" s="254"/>
      <c r="Z36" s="254"/>
      <c r="AA36" s="254"/>
      <c r="AB36" s="254"/>
      <c r="AC36" s="254"/>
      <c r="AD36" s="254"/>
      <c r="AE36" s="254"/>
      <c r="AF36" s="254"/>
      <c r="AG36" s="254"/>
      <c r="AH36" s="254"/>
      <c r="AI36" s="254"/>
      <c r="AJ36" s="254"/>
      <c r="AK36" s="254"/>
      <c r="AL36" s="254"/>
      <c r="AM36" s="254"/>
      <c r="AN36" s="254"/>
      <c r="AO36" s="254"/>
      <c r="AP36" s="254"/>
      <c r="AQ36" s="254"/>
      <c r="AR36" s="254"/>
      <c r="AS36" s="254"/>
      <c r="AT36" s="254"/>
      <c r="AU36" s="254"/>
      <c r="AV36" s="254"/>
      <c r="AW36" s="254"/>
      <c r="AX36" s="254"/>
      <c r="AY36" s="254"/>
      <c r="AZ36" s="254"/>
      <c r="BA36" s="254"/>
      <c r="BB36" s="254"/>
      <c r="BC36" s="254"/>
      <c r="BD36" s="254"/>
      <c r="BE36" s="254"/>
      <c r="BF36" s="254"/>
      <c r="BG36" s="254"/>
      <c r="BH36" s="254"/>
      <c r="BI36" s="254"/>
      <c r="BJ36" s="254"/>
      <c r="BK36" s="254"/>
      <c r="BL36" s="254"/>
      <c r="BM36" s="254"/>
      <c r="BN36" s="254"/>
      <c r="BO36" s="254"/>
      <c r="BP36" s="254"/>
      <c r="BQ36" s="254"/>
      <c r="BR36" s="254"/>
      <c r="BS36" s="254"/>
      <c r="BT36" s="254"/>
      <c r="BU36" s="254"/>
      <c r="BV36" s="254"/>
      <c r="BW36" s="254"/>
      <c r="BX36" s="254"/>
      <c r="BY36" s="254"/>
      <c r="BZ36" s="254"/>
      <c r="CA36" s="254"/>
      <c r="CB36" s="254"/>
      <c r="CC36" s="254"/>
      <c r="CD36" s="254"/>
      <c r="CE36" s="254"/>
      <c r="CF36" s="254"/>
      <c r="CG36" s="254"/>
      <c r="CH36" s="254"/>
      <c r="CI36" s="254"/>
      <c r="CJ36" s="254"/>
      <c r="CK36" s="254"/>
      <c r="CL36" s="254"/>
      <c r="CM36" s="254"/>
      <c r="CN36" s="254"/>
      <c r="CO36" s="254"/>
      <c r="CP36" s="254"/>
      <c r="CQ36" s="254"/>
      <c r="CR36" s="254"/>
      <c r="CS36" s="254"/>
      <c r="CT36" s="254"/>
      <c r="CU36" s="254"/>
    </row>
  </sheetData>
  <sheetProtection password="FA1D" sheet="1"/>
  <mergeCells count="14">
    <mergeCell ref="B22:C22"/>
    <mergeCell ref="B20:C20"/>
    <mergeCell ref="B18:C18"/>
    <mergeCell ref="H6:H9"/>
    <mergeCell ref="G5:G9"/>
    <mergeCell ref="H5:P5"/>
    <mergeCell ref="A4:P4"/>
    <mergeCell ref="A5:C9"/>
    <mergeCell ref="I8:K8"/>
    <mergeCell ref="L8:N8"/>
    <mergeCell ref="P7:P9"/>
    <mergeCell ref="O7:O9"/>
    <mergeCell ref="I7:N7"/>
    <mergeCell ref="I6:P6"/>
  </mergeCells>
  <phoneticPr fontId="7" type="noConversion"/>
  <dataValidations count="1">
    <dataValidation type="decimal" allowBlank="1" showInputMessage="1" showErrorMessage="1" sqref="M27 H14:J14 L12:M12 O12 O22 L14:M14 O14 H18:J18 L18:M18 O18 H20:J20 L20:M20 O20 H22:J22 L22:M22 H12:J12">
      <formula1>0</formula1>
      <formula2>999999999999</formula2>
    </dataValidation>
  </dataValidations>
  <printOptions horizontalCentered="1"/>
  <pageMargins left="0.31" right="0.34" top="0.75" bottom="0.75" header="0.3" footer="0.3"/>
  <pageSetup paperSize="9" scale="65" orientation="landscape" cellComments="asDisplayed" r:id="rId1"/>
  <headerFooter>
    <oddHeader>&amp;RPage &amp;P of &amp;N&amp;C&amp;"Arial,Bold"&amp;8 NEW RURAL BANK OF SAN LEONARDO, INC  [ 04-040656 ]
 As of: September 30, 2017</oddHeader>
  </headerFooter>
  <colBreaks count="1" manualBreakCount="1">
    <brk id="16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46"/>
  <sheetViews>
    <sheetView view="pageBreakPreview" zoomScaleSheetLayoutView="75" workbookViewId="0">
      <selection activeCell="B11" sqref="B11"/>
    </sheetView>
  </sheetViews>
  <sheetFormatPr defaultRowHeight="12" x14ac:dyDescent="0.2"/>
  <cols>
    <col min="1" max="1" width="2.85546875" style="26" customWidth="1"/>
    <col min="2" max="2" width="60.140625" style="26" customWidth="1"/>
    <col min="3" max="3" width="15.42578125" style="26" hidden="1" customWidth="1"/>
    <col min="4" max="5" width="9.7109375" style="26" hidden="1" customWidth="1"/>
    <col min="6" max="6" width="6.85546875" style="26" hidden="1" customWidth="1"/>
    <col min="7" max="7" width="19.7109375" style="26" customWidth="1"/>
    <col min="8" max="8" width="10.7109375" style="26" customWidth="1"/>
    <col min="9" max="9" width="20.7109375" style="25" customWidth="1"/>
    <col min="10" max="16384" width="9.140625" style="26"/>
  </cols>
  <sheetData>
    <row r="1" spans="1:9" x14ac:dyDescent="0.2">
      <c r="A1" s="23" t="s">
        <v>1100</v>
      </c>
      <c r="B1" s="23"/>
      <c r="C1" s="23"/>
      <c r="D1" s="23"/>
      <c r="E1" s="23"/>
      <c r="F1" s="23"/>
      <c r="G1" s="23"/>
      <c r="H1" s="23"/>
      <c r="I1" s="26" t="s">
        <v>1164</v>
      </c>
    </row>
    <row r="2" spans="1:9" x14ac:dyDescent="0.2">
      <c r="A2" s="23" t="s">
        <v>123</v>
      </c>
      <c r="B2" s="23"/>
      <c r="C2" s="23"/>
      <c r="D2" s="23"/>
      <c r="E2" s="23"/>
      <c r="F2" s="23"/>
      <c r="G2" s="23"/>
      <c r="H2" s="23"/>
      <c r="I2" s="27"/>
    </row>
    <row r="3" spans="1:9" s="30" customFormat="1" x14ac:dyDescent="0.2">
      <c r="A3" s="727" t="s">
        <v>32</v>
      </c>
      <c r="B3" s="727"/>
      <c r="C3" s="727"/>
      <c r="D3" s="727"/>
      <c r="E3" s="727"/>
      <c r="F3" s="727"/>
      <c r="G3" s="727"/>
      <c r="H3" s="727"/>
      <c r="I3" s="727"/>
    </row>
    <row r="4" spans="1:9" s="30" customFormat="1" x14ac:dyDescent="0.2">
      <c r="A4" s="727" t="s">
        <v>1174</v>
      </c>
      <c r="B4" s="727"/>
      <c r="C4" s="727"/>
      <c r="D4" s="727"/>
      <c r="E4" s="727"/>
      <c r="F4" s="727"/>
      <c r="G4" s="727"/>
      <c r="H4" s="727"/>
      <c r="I4" s="727"/>
    </row>
    <row r="5" spans="1:9" s="30" customFormat="1" ht="12.75" thickBot="1" x14ac:dyDescent="0.25">
      <c r="A5" s="727" t="s">
        <v>1175</v>
      </c>
      <c r="B5" s="727"/>
      <c r="C5" s="727"/>
      <c r="D5" s="727"/>
      <c r="E5" s="727"/>
      <c r="F5" s="727"/>
      <c r="G5" s="727"/>
      <c r="H5" s="727"/>
      <c r="I5" s="727"/>
    </row>
    <row r="6" spans="1:9" s="34" customFormat="1" ht="15.75" customHeight="1" thickTop="1" x14ac:dyDescent="0.2">
      <c r="A6" s="852" t="s">
        <v>1084</v>
      </c>
      <c r="B6" s="853"/>
      <c r="C6" s="387"/>
      <c r="D6" s="387"/>
      <c r="E6" s="387"/>
      <c r="F6" s="387"/>
      <c r="G6" s="853" t="s">
        <v>43</v>
      </c>
      <c r="H6" s="853" t="s">
        <v>82</v>
      </c>
      <c r="I6" s="855" t="s">
        <v>1133</v>
      </c>
    </row>
    <row r="7" spans="1:9" s="34" customFormat="1" ht="15" customHeight="1" x14ac:dyDescent="0.2">
      <c r="A7" s="854"/>
      <c r="B7" s="791"/>
      <c r="C7" s="319"/>
      <c r="D7" s="319"/>
      <c r="E7" s="319"/>
      <c r="F7" s="319"/>
      <c r="G7" s="791"/>
      <c r="H7" s="791"/>
      <c r="I7" s="856"/>
    </row>
    <row r="8" spans="1:9" s="34" customFormat="1" ht="15" customHeight="1" x14ac:dyDescent="0.2">
      <c r="A8" s="854"/>
      <c r="B8" s="791"/>
      <c r="C8" s="319"/>
      <c r="D8" s="319"/>
      <c r="E8" s="319"/>
      <c r="F8" s="319"/>
      <c r="G8" s="791"/>
      <c r="H8" s="791"/>
      <c r="I8" s="856"/>
    </row>
    <row r="9" spans="1:9" s="34" customFormat="1" ht="17.25" customHeight="1" x14ac:dyDescent="0.2">
      <c r="A9" s="854"/>
      <c r="B9" s="791"/>
      <c r="C9" s="319"/>
      <c r="D9" s="319"/>
      <c r="E9" s="319"/>
      <c r="F9" s="319"/>
      <c r="G9" s="791"/>
      <c r="H9" s="791"/>
      <c r="I9" s="856"/>
    </row>
    <row r="10" spans="1:9" s="57" customFormat="1" x14ac:dyDescent="0.25">
      <c r="A10" s="388" t="s">
        <v>1134</v>
      </c>
      <c r="B10" s="389" t="s">
        <v>1137</v>
      </c>
      <c r="C10" s="389"/>
      <c r="D10" s="389"/>
      <c r="E10" s="389"/>
      <c r="F10" s="389"/>
      <c r="G10" s="381" t="s">
        <v>210</v>
      </c>
      <c r="H10" s="611"/>
      <c r="I10" s="404">
        <f>SUM(I11:I12)</f>
        <v>0</v>
      </c>
    </row>
    <row r="11" spans="1:9" x14ac:dyDescent="0.2">
      <c r="A11" s="390" t="s">
        <v>1130</v>
      </c>
      <c r="B11" s="667"/>
      <c r="C11" s="392"/>
      <c r="D11" s="392"/>
      <c r="E11" s="392"/>
      <c r="F11" s="392"/>
      <c r="G11" s="666" t="s">
        <v>253</v>
      </c>
      <c r="H11" s="612">
        <v>1</v>
      </c>
      <c r="I11" s="613"/>
    </row>
    <row r="12" spans="1:9" x14ac:dyDescent="0.2">
      <c r="A12" s="393"/>
      <c r="B12" s="392"/>
      <c r="C12" s="392"/>
      <c r="D12" s="392"/>
      <c r="E12" s="392"/>
      <c r="F12" s="392"/>
      <c r="G12" s="666" t="s">
        <v>253</v>
      </c>
      <c r="H12" s="394" t="s">
        <v>365</v>
      </c>
      <c r="I12" s="405"/>
    </row>
    <row r="13" spans="1:9" hidden="1" x14ac:dyDescent="0.2">
      <c r="A13" s="393"/>
      <c r="B13" s="395"/>
      <c r="C13" s="392"/>
      <c r="D13" s="392"/>
      <c r="E13" s="392"/>
      <c r="F13" s="392"/>
      <c r="G13" s="666" t="s">
        <v>253</v>
      </c>
      <c r="H13" s="396"/>
      <c r="I13" s="406"/>
    </row>
    <row r="14" spans="1:9" x14ac:dyDescent="0.2">
      <c r="A14" s="393"/>
      <c r="B14" s="392"/>
      <c r="C14" s="392"/>
      <c r="D14" s="392"/>
      <c r="E14" s="392"/>
      <c r="F14" s="392"/>
      <c r="G14" s="666" t="s">
        <v>253</v>
      </c>
      <c r="H14" s="397"/>
      <c r="I14" s="405"/>
    </row>
    <row r="15" spans="1:9" x14ac:dyDescent="0.2">
      <c r="A15" s="393"/>
      <c r="B15" s="392"/>
      <c r="C15" s="392"/>
      <c r="D15" s="392"/>
      <c r="E15" s="392"/>
      <c r="F15" s="392"/>
      <c r="G15" s="666" t="s">
        <v>253</v>
      </c>
      <c r="H15" s="394" t="s">
        <v>867</v>
      </c>
      <c r="I15" s="405"/>
    </row>
    <row r="16" spans="1:9" x14ac:dyDescent="0.2">
      <c r="A16" s="393"/>
      <c r="B16" s="398"/>
      <c r="C16" s="398"/>
      <c r="D16" s="398"/>
      <c r="E16" s="398"/>
      <c r="F16" s="398"/>
      <c r="G16" s="666" t="s">
        <v>253</v>
      </c>
      <c r="H16" s="397"/>
      <c r="I16" s="405"/>
    </row>
    <row r="17" spans="1:9" s="57" customFormat="1" x14ac:dyDescent="0.25">
      <c r="A17" s="388" t="s">
        <v>1126</v>
      </c>
      <c r="B17" s="389" t="s">
        <v>1136</v>
      </c>
      <c r="C17" s="389"/>
      <c r="D17" s="389"/>
      <c r="E17" s="389"/>
      <c r="F17" s="389"/>
      <c r="G17" s="399" t="s">
        <v>207</v>
      </c>
      <c r="H17" s="611"/>
      <c r="I17" s="404">
        <f>SUM(I18:I19)</f>
        <v>0</v>
      </c>
    </row>
    <row r="18" spans="1:9" x14ac:dyDescent="0.2">
      <c r="A18" s="390" t="s">
        <v>1130</v>
      </c>
      <c r="B18" s="391"/>
      <c r="C18" s="400"/>
      <c r="D18" s="400"/>
      <c r="E18" s="400"/>
      <c r="F18" s="400"/>
      <c r="G18" s="666" t="s">
        <v>253</v>
      </c>
      <c r="H18" s="401">
        <v>1</v>
      </c>
      <c r="I18" s="407"/>
    </row>
    <row r="19" spans="1:9" x14ac:dyDescent="0.2">
      <c r="A19" s="393"/>
      <c r="B19" s="392"/>
      <c r="C19" s="392"/>
      <c r="D19" s="392"/>
      <c r="E19" s="392"/>
      <c r="F19" s="392"/>
      <c r="G19" s="666" t="s">
        <v>253</v>
      </c>
      <c r="H19" s="394" t="s">
        <v>148</v>
      </c>
      <c r="I19" s="405"/>
    </row>
    <row r="20" spans="1:9" hidden="1" x14ac:dyDescent="0.2">
      <c r="A20" s="393"/>
      <c r="B20" s="395"/>
      <c r="C20" s="392"/>
      <c r="D20" s="392"/>
      <c r="E20" s="392"/>
      <c r="F20" s="392"/>
      <c r="G20" s="666" t="s">
        <v>253</v>
      </c>
      <c r="H20" s="396"/>
      <c r="I20" s="406"/>
    </row>
    <row r="21" spans="1:9" x14ac:dyDescent="0.2">
      <c r="A21" s="393"/>
      <c r="B21" s="392"/>
      <c r="C21" s="392"/>
      <c r="D21" s="392"/>
      <c r="E21" s="392"/>
      <c r="F21" s="392"/>
      <c r="G21" s="666" t="s">
        <v>253</v>
      </c>
      <c r="H21" s="397"/>
      <c r="I21" s="405"/>
    </row>
    <row r="22" spans="1:9" ht="12.75" thickBot="1" x14ac:dyDescent="0.25">
      <c r="A22" s="402"/>
      <c r="B22" s="403"/>
      <c r="C22" s="403"/>
      <c r="D22" s="403"/>
      <c r="E22" s="403"/>
      <c r="F22" s="403"/>
      <c r="G22" s="666" t="s">
        <v>253</v>
      </c>
      <c r="H22" s="670" t="s">
        <v>867</v>
      </c>
      <c r="I22" s="408"/>
    </row>
    <row r="23" spans="1:9" ht="12.75" thickTop="1" x14ac:dyDescent="0.2">
      <c r="G23" s="64" t="s">
        <v>867</v>
      </c>
    </row>
    <row r="24" spans="1:9" x14ac:dyDescent="0.2">
      <c r="A24" s="12" t="s">
        <v>139</v>
      </c>
      <c r="B24" s="26" t="s">
        <v>126</v>
      </c>
    </row>
    <row r="46" spans="1:8" x14ac:dyDescent="0.2">
      <c r="A46" s="66"/>
      <c r="B46" s="66"/>
      <c r="C46" s="66"/>
      <c r="D46" s="66"/>
      <c r="E46" s="66"/>
      <c r="F46" s="66"/>
      <c r="G46" s="66"/>
      <c r="H46" s="66"/>
    </row>
  </sheetData>
  <sheetProtection password="B95E" sheet="1" objects="1" scenarios="1" selectLockedCells="1"/>
  <mergeCells count="7">
    <mergeCell ref="A3:I3"/>
    <mergeCell ref="A6:B9"/>
    <mergeCell ref="A4:I4"/>
    <mergeCell ref="A5:I5"/>
    <mergeCell ref="G6:G9"/>
    <mergeCell ref="H6:H9"/>
    <mergeCell ref="I6:I9"/>
  </mergeCells>
  <phoneticPr fontId="7" type="noConversion"/>
  <dataValidations count="1">
    <dataValidation type="decimal" allowBlank="1" showInputMessage="1" showErrorMessage="1" sqref="I11:I16 I18:I22">
      <formula1>0</formula1>
      <formula2>999999999999</formula2>
    </dataValidation>
  </dataValidations>
  <printOptions horizontalCentered="1"/>
  <pageMargins left="0.31" right="0.34" top="0.75" bottom="0.75" header="0.3" footer="0.3"/>
  <pageSetup paperSize="9" scale="70" orientation="landscape" cellComments="asDisplayed" r:id="rId1"/>
  <headerFooter>
    <oddHeader>&amp;RPage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6146" r:id="rId4" name="Label_d1_b">
          <controlPr defaultSize="0" autoLine="0" r:id="rId5">
            <anchor moveWithCells="1">
              <from>
                <xdr:col>7</xdr:col>
                <xdr:colOff>266700</xdr:colOff>
                <xdr:row>18</xdr:row>
                <xdr:rowOff>9525</xdr:rowOff>
              </from>
              <to>
                <xdr:col>7</xdr:col>
                <xdr:colOff>466725</xdr:colOff>
                <xdr:row>18</xdr:row>
                <xdr:rowOff>142875</xdr:rowOff>
              </to>
            </anchor>
          </controlPr>
        </control>
      </mc:Choice>
      <mc:Fallback>
        <control shapeId="6146" r:id="rId4" name="Label_d1_b"/>
      </mc:Fallback>
    </mc:AlternateContent>
    <mc:AlternateContent xmlns:mc="http://schemas.openxmlformats.org/markup-compatibility/2006">
      <mc:Choice Requires="x14">
        <control shapeId="6145" r:id="rId6" name="Label_d1_a">
          <controlPr defaultSize="0" autoLine="0" r:id="rId7">
            <anchor moveWithCells="1">
              <from>
                <xdr:col>7</xdr:col>
                <xdr:colOff>238125</xdr:colOff>
                <xdr:row>11</xdr:row>
                <xdr:rowOff>19050</xdr:rowOff>
              </from>
              <to>
                <xdr:col>7</xdr:col>
                <xdr:colOff>438150</xdr:colOff>
                <xdr:row>13</xdr:row>
                <xdr:rowOff>0</xdr:rowOff>
              </to>
            </anchor>
          </controlPr>
        </control>
      </mc:Choice>
      <mc:Fallback>
        <control shapeId="6145" r:id="rId6" name="Label_d1_a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U65"/>
  <sheetViews>
    <sheetView view="pageBreakPreview" topLeftCell="A10" zoomScaleNormal="85" zoomScaleSheetLayoutView="85" workbookViewId="0">
      <selection activeCell="O36" sqref="O36"/>
    </sheetView>
  </sheetViews>
  <sheetFormatPr defaultRowHeight="12" x14ac:dyDescent="0.2"/>
  <cols>
    <col min="1" max="1" width="5.28515625" style="238" customWidth="1"/>
    <col min="2" max="2" width="3.42578125" style="70" customWidth="1"/>
    <col min="3" max="3" width="41" style="71" customWidth="1"/>
    <col min="4" max="4" width="11.85546875" style="71" hidden="1" customWidth="1"/>
    <col min="5" max="5" width="14.5703125" style="71" hidden="1" customWidth="1"/>
    <col min="6" max="6" width="14.140625" style="71" hidden="1" customWidth="1"/>
    <col min="7" max="7" width="19.7109375" style="72" customWidth="1"/>
    <col min="8" max="9" width="18.7109375" style="74" customWidth="1"/>
    <col min="10" max="10" width="18.7109375" style="74" hidden="1" customWidth="1"/>
    <col min="11" max="11" width="20.7109375" style="617" customWidth="1"/>
    <col min="12" max="13" width="0" style="238" hidden="1" customWidth="1"/>
    <col min="14" max="14" width="9.140625" style="238"/>
    <col min="15" max="15" width="29.7109375" style="238" customWidth="1"/>
    <col min="16" max="16384" width="9.140625" style="238"/>
  </cols>
  <sheetData>
    <row r="1" spans="1:13" x14ac:dyDescent="0.2">
      <c r="A1" s="238" t="s">
        <v>1100</v>
      </c>
      <c r="D1" s="860" t="s">
        <v>478</v>
      </c>
      <c r="E1" s="860"/>
      <c r="F1" s="860"/>
      <c r="G1" s="860"/>
      <c r="H1" s="860"/>
      <c r="I1" s="860"/>
      <c r="J1" s="860"/>
      <c r="K1" s="73" t="s">
        <v>1171</v>
      </c>
    </row>
    <row r="2" spans="1:13" x14ac:dyDescent="0.2">
      <c r="A2" s="238" t="s">
        <v>123</v>
      </c>
      <c r="D2" s="860" t="s">
        <v>1101</v>
      </c>
      <c r="E2" s="860"/>
      <c r="F2" s="860"/>
      <c r="G2" s="860"/>
      <c r="H2" s="860"/>
      <c r="I2" s="860"/>
      <c r="J2" s="860"/>
    </row>
    <row r="3" spans="1:13" s="352" customFormat="1" x14ac:dyDescent="0.2">
      <c r="D3" s="681" t="s">
        <v>1102</v>
      </c>
      <c r="E3" s="681"/>
      <c r="F3" s="681"/>
      <c r="G3" s="681"/>
      <c r="H3" s="681"/>
      <c r="I3" s="681"/>
      <c r="J3" s="681"/>
      <c r="K3" s="409"/>
    </row>
    <row r="4" spans="1:13" s="352" customFormat="1" ht="12.75" thickBot="1" x14ac:dyDescent="0.25"/>
    <row r="5" spans="1:13" s="352" customFormat="1" ht="30" customHeight="1" thickTop="1" x14ac:dyDescent="0.2">
      <c r="A5" s="687" t="s">
        <v>1122</v>
      </c>
      <c r="B5" s="688"/>
      <c r="C5" s="689"/>
      <c r="D5" s="126"/>
      <c r="E5" s="126"/>
      <c r="F5" s="126"/>
      <c r="G5" s="685" t="s">
        <v>43</v>
      </c>
      <c r="H5" s="683" t="s">
        <v>1085</v>
      </c>
      <c r="I5" s="864" t="s">
        <v>1191</v>
      </c>
      <c r="J5" s="865"/>
      <c r="K5" s="618"/>
    </row>
    <row r="6" spans="1:13" s="352" customFormat="1" x14ac:dyDescent="0.2">
      <c r="A6" s="619"/>
      <c r="B6" s="620"/>
      <c r="C6" s="621"/>
      <c r="D6" s="621"/>
      <c r="E6" s="621"/>
      <c r="F6" s="621"/>
      <c r="G6" s="805"/>
      <c r="H6" s="862"/>
      <c r="I6" s="410"/>
      <c r="J6" s="411" t="s">
        <v>867</v>
      </c>
      <c r="K6" s="564" t="s">
        <v>479</v>
      </c>
      <c r="L6" s="352" t="s">
        <v>480</v>
      </c>
      <c r="M6" s="352" t="s">
        <v>481</v>
      </c>
    </row>
    <row r="7" spans="1:13" s="352" customFormat="1" x14ac:dyDescent="0.2">
      <c r="A7" s="619"/>
      <c r="B7" s="620"/>
      <c r="C7" s="621"/>
      <c r="D7" s="621"/>
      <c r="E7" s="621"/>
      <c r="F7" s="621"/>
      <c r="G7" s="805"/>
      <c r="H7" s="862"/>
      <c r="I7" s="412"/>
      <c r="J7" s="412"/>
      <c r="K7" s="622" t="s">
        <v>868</v>
      </c>
    </row>
    <row r="8" spans="1:13" s="352" customFormat="1" ht="23.25" customHeight="1" thickBot="1" x14ac:dyDescent="0.25">
      <c r="A8" s="623"/>
      <c r="B8" s="624"/>
      <c r="C8" s="625"/>
      <c r="D8" s="625"/>
      <c r="E8" s="625"/>
      <c r="F8" s="625"/>
      <c r="G8" s="861"/>
      <c r="H8" s="863"/>
      <c r="I8" s="413"/>
      <c r="J8" s="413"/>
      <c r="K8" s="626"/>
    </row>
    <row r="9" spans="1:13" ht="9" customHeight="1" x14ac:dyDescent="0.2">
      <c r="A9" s="414"/>
      <c r="B9" s="129"/>
      <c r="C9" s="129"/>
      <c r="D9" s="129"/>
      <c r="E9" s="129"/>
      <c r="F9" s="129"/>
      <c r="G9" s="415"/>
      <c r="H9" s="416"/>
      <c r="I9" s="416"/>
      <c r="J9" s="417"/>
      <c r="K9" s="418"/>
    </row>
    <row r="10" spans="1:13" s="352" customFormat="1" x14ac:dyDescent="0.2">
      <c r="A10" s="108" t="s">
        <v>1274</v>
      </c>
      <c r="B10" s="696" t="s">
        <v>1262</v>
      </c>
      <c r="C10" s="697"/>
      <c r="D10" s="111"/>
      <c r="E10" s="111"/>
      <c r="F10" s="111"/>
      <c r="G10" s="94" t="s">
        <v>110</v>
      </c>
      <c r="H10" s="160">
        <f>IF('Main Report A'!K103&gt;=0,'Main Report A'!K103,0)</f>
        <v>0</v>
      </c>
      <c r="I10" s="161"/>
      <c r="J10" s="161"/>
      <c r="K10" s="139">
        <f>SUM(H10:J10)</f>
        <v>0</v>
      </c>
    </row>
    <row r="11" spans="1:13" ht="9" customHeight="1" x14ac:dyDescent="0.2">
      <c r="A11" s="146"/>
      <c r="G11" s="627"/>
      <c r="H11" s="628"/>
      <c r="I11" s="628"/>
      <c r="J11" s="628"/>
      <c r="K11" s="629"/>
    </row>
    <row r="12" spans="1:13" s="352" customFormat="1" x14ac:dyDescent="0.2">
      <c r="A12" s="108" t="s">
        <v>1126</v>
      </c>
      <c r="B12" s="696" t="s">
        <v>33</v>
      </c>
      <c r="C12" s="697"/>
      <c r="D12" s="111"/>
      <c r="E12" s="111"/>
      <c r="F12" s="111"/>
      <c r="G12" s="630"/>
      <c r="H12" s="631"/>
      <c r="I12" s="631"/>
      <c r="J12" s="631"/>
      <c r="K12" s="629"/>
    </row>
    <row r="13" spans="1:13" ht="9" customHeight="1" x14ac:dyDescent="0.2">
      <c r="A13" s="146"/>
      <c r="G13" s="419"/>
      <c r="H13" s="628"/>
      <c r="I13" s="628"/>
      <c r="J13" s="628"/>
      <c r="K13" s="629"/>
    </row>
    <row r="14" spans="1:13" ht="11.25" customHeight="1" x14ac:dyDescent="0.2">
      <c r="A14" s="146"/>
      <c r="B14" s="679" t="s">
        <v>774</v>
      </c>
      <c r="C14" s="680"/>
      <c r="D14" s="106"/>
      <c r="E14" s="106"/>
      <c r="F14" s="106"/>
      <c r="G14" s="94" t="s">
        <v>149</v>
      </c>
      <c r="H14" s="632">
        <f>0.1*H10</f>
        <v>0</v>
      </c>
      <c r="I14" s="632">
        <f>0.1*I10</f>
        <v>0</v>
      </c>
      <c r="J14" s="632">
        <f>0.1*J10</f>
        <v>0</v>
      </c>
      <c r="K14" s="139">
        <f>SUM(H14:J14)</f>
        <v>0</v>
      </c>
    </row>
    <row r="15" spans="1:13" ht="9" customHeight="1" x14ac:dyDescent="0.2">
      <c r="A15" s="146"/>
      <c r="G15" s="93"/>
      <c r="H15" s="628"/>
      <c r="I15" s="628"/>
      <c r="J15" s="628"/>
      <c r="K15" s="629"/>
    </row>
    <row r="16" spans="1:13" ht="12" customHeight="1" x14ac:dyDescent="0.2">
      <c r="A16" s="146"/>
      <c r="B16" s="857" t="s">
        <v>775</v>
      </c>
      <c r="C16" s="858"/>
      <c r="D16" s="633"/>
      <c r="E16" s="633"/>
      <c r="F16" s="633"/>
      <c r="G16" s="94" t="s">
        <v>151</v>
      </c>
      <c r="H16" s="632">
        <f>0.15*H10</f>
        <v>0</v>
      </c>
      <c r="I16" s="632">
        <f>0.15*I10</f>
        <v>0</v>
      </c>
      <c r="J16" s="632">
        <f>0.15*J10</f>
        <v>0</v>
      </c>
      <c r="K16" s="139">
        <f>SUM(H16:J16)</f>
        <v>0</v>
      </c>
    </row>
    <row r="17" spans="1:11" ht="9" customHeight="1" x14ac:dyDescent="0.2">
      <c r="A17" s="146"/>
      <c r="G17" s="419"/>
      <c r="H17" s="628"/>
      <c r="I17" s="628"/>
      <c r="J17" s="628"/>
      <c r="K17" s="629"/>
    </row>
    <row r="18" spans="1:11" s="352" customFormat="1" ht="35.25" customHeight="1" x14ac:dyDescent="0.2">
      <c r="A18" s="634" t="s">
        <v>1139</v>
      </c>
      <c r="B18" s="696" t="s">
        <v>34</v>
      </c>
      <c r="C18" s="697"/>
      <c r="D18" s="111"/>
      <c r="E18" s="111"/>
      <c r="F18" s="111"/>
      <c r="G18" s="630"/>
      <c r="H18" s="631"/>
      <c r="I18" s="631"/>
      <c r="J18" s="631"/>
      <c r="K18" s="629"/>
    </row>
    <row r="19" spans="1:11" ht="9" customHeight="1" x14ac:dyDescent="0.2">
      <c r="A19" s="146"/>
      <c r="G19" s="419"/>
      <c r="H19" s="628"/>
      <c r="I19" s="628"/>
      <c r="J19" s="628"/>
      <c r="K19" s="629"/>
    </row>
    <row r="20" spans="1:11" x14ac:dyDescent="0.2">
      <c r="A20" s="146"/>
      <c r="B20" s="156" t="s">
        <v>1130</v>
      </c>
      <c r="C20" s="71" t="s">
        <v>35</v>
      </c>
      <c r="G20" s="94" t="s">
        <v>220</v>
      </c>
      <c r="H20" s="632">
        <f>H22+H24</f>
        <v>0</v>
      </c>
      <c r="I20" s="632">
        <f>I22+I24</f>
        <v>0</v>
      </c>
      <c r="J20" s="632">
        <f>J22+J24</f>
        <v>0</v>
      </c>
      <c r="K20" s="139">
        <f>SUM(H20:J20)</f>
        <v>0</v>
      </c>
    </row>
    <row r="21" spans="1:11" ht="9" customHeight="1" x14ac:dyDescent="0.2">
      <c r="A21" s="146"/>
      <c r="G21" s="419"/>
      <c r="H21" s="628"/>
      <c r="I21" s="628"/>
      <c r="J21" s="628"/>
      <c r="K21" s="629"/>
    </row>
    <row r="22" spans="1:11" x14ac:dyDescent="0.2">
      <c r="A22" s="146"/>
      <c r="C22" s="71" t="s">
        <v>1177</v>
      </c>
      <c r="G22" s="94" t="s">
        <v>153</v>
      </c>
      <c r="H22" s="160">
        <f>'Main Report B'!I18</f>
        <v>0</v>
      </c>
      <c r="I22" s="161"/>
      <c r="J22" s="103"/>
      <c r="K22" s="139">
        <f>SUM(H22:J22)</f>
        <v>0</v>
      </c>
    </row>
    <row r="23" spans="1:11" ht="9" customHeight="1" x14ac:dyDescent="0.2">
      <c r="A23" s="146"/>
      <c r="G23" s="419"/>
      <c r="H23" s="628"/>
      <c r="I23" s="628"/>
      <c r="J23" s="628"/>
      <c r="K23" s="629"/>
    </row>
    <row r="24" spans="1:11" x14ac:dyDescent="0.2">
      <c r="A24" s="146"/>
      <c r="C24" s="71" t="s">
        <v>1178</v>
      </c>
      <c r="G24" s="94" t="s">
        <v>221</v>
      </c>
      <c r="H24" s="160">
        <f>'Main Report B'!I21</f>
        <v>0</v>
      </c>
      <c r="I24" s="161"/>
      <c r="J24" s="103"/>
      <c r="K24" s="139">
        <f>SUM(H24:J24)</f>
        <v>0</v>
      </c>
    </row>
    <row r="25" spans="1:11" ht="3.75" customHeight="1" x14ac:dyDescent="0.2">
      <c r="A25" s="146"/>
      <c r="G25" s="419"/>
      <c r="H25" s="628"/>
      <c r="I25" s="628"/>
      <c r="J25" s="628"/>
      <c r="K25" s="629"/>
    </row>
    <row r="26" spans="1:11" x14ac:dyDescent="0.2">
      <c r="A26" s="146"/>
      <c r="B26" s="156" t="s">
        <v>1151</v>
      </c>
      <c r="C26" s="71" t="s">
        <v>36</v>
      </c>
      <c r="G26" s="94" t="s">
        <v>222</v>
      </c>
      <c r="H26" s="632">
        <f>H20-H14</f>
        <v>0</v>
      </c>
      <c r="I26" s="632">
        <f>I20-I14</f>
        <v>0</v>
      </c>
      <c r="J26" s="632">
        <f>J20-J14</f>
        <v>0</v>
      </c>
      <c r="K26" s="139">
        <f>SUM(H26:J26)</f>
        <v>0</v>
      </c>
    </row>
    <row r="27" spans="1:11" ht="4.5" customHeight="1" x14ac:dyDescent="0.2">
      <c r="A27" s="146"/>
      <c r="G27" s="419"/>
      <c r="H27" s="628"/>
      <c r="I27" s="628"/>
      <c r="J27" s="628"/>
      <c r="K27" s="629"/>
    </row>
    <row r="28" spans="1:11" ht="33" customHeight="1" x14ac:dyDescent="0.2">
      <c r="A28" s="128"/>
      <c r="B28" s="635" t="s">
        <v>1152</v>
      </c>
      <c r="C28" s="71" t="s">
        <v>37</v>
      </c>
      <c r="G28" s="94" t="s">
        <v>223</v>
      </c>
      <c r="H28" s="161"/>
      <c r="I28" s="161"/>
      <c r="J28" s="103"/>
      <c r="K28" s="139">
        <f>SUM(H28:J28)</f>
        <v>0</v>
      </c>
    </row>
    <row r="29" spans="1:11" ht="4.5" customHeight="1" x14ac:dyDescent="0.2">
      <c r="A29" s="146"/>
      <c r="G29" s="419"/>
      <c r="H29" s="628"/>
      <c r="I29" s="628"/>
      <c r="J29" s="628"/>
      <c r="K29" s="629"/>
    </row>
    <row r="30" spans="1:11" ht="33.75" customHeight="1" x14ac:dyDescent="0.2">
      <c r="A30" s="146"/>
      <c r="B30" s="156" t="s">
        <v>1153</v>
      </c>
      <c r="C30" s="71" t="s">
        <v>256</v>
      </c>
      <c r="G30" s="94" t="s">
        <v>255</v>
      </c>
      <c r="H30" s="632">
        <f>H26+H28</f>
        <v>0</v>
      </c>
      <c r="I30" s="632">
        <f>I26+I28</f>
        <v>0</v>
      </c>
      <c r="J30" s="632">
        <f>J26+J28</f>
        <v>0</v>
      </c>
      <c r="K30" s="139">
        <f>SUM(H30:J30)</f>
        <v>0</v>
      </c>
    </row>
    <row r="31" spans="1:11" ht="4.5" customHeight="1" x14ac:dyDescent="0.2">
      <c r="A31" s="146"/>
      <c r="G31" s="419"/>
      <c r="H31" s="628"/>
      <c r="I31" s="628"/>
      <c r="J31" s="628"/>
      <c r="K31" s="629"/>
    </row>
    <row r="32" spans="1:11" s="503" customFormat="1" ht="26.25" x14ac:dyDescent="0.2">
      <c r="A32" s="636"/>
      <c r="B32" s="637" t="s">
        <v>1154</v>
      </c>
      <c r="C32" s="168" t="s">
        <v>1086</v>
      </c>
      <c r="D32" s="168"/>
      <c r="E32" s="168"/>
      <c r="F32" s="168"/>
      <c r="G32" s="94" t="s">
        <v>257</v>
      </c>
      <c r="H32" s="161"/>
      <c r="I32" s="161"/>
      <c r="J32" s="161"/>
      <c r="K32" s="139">
        <f>SUM(H32:J32)</f>
        <v>0</v>
      </c>
    </row>
    <row r="33" spans="1:11" ht="4.5" customHeight="1" x14ac:dyDescent="0.2">
      <c r="A33" s="146"/>
      <c r="G33" s="419"/>
      <c r="H33" s="628"/>
      <c r="I33" s="628"/>
      <c r="J33" s="628"/>
      <c r="K33" s="629"/>
    </row>
    <row r="34" spans="1:11" s="70" customFormat="1" x14ac:dyDescent="0.2">
      <c r="A34" s="146"/>
      <c r="B34" s="156" t="s">
        <v>1216</v>
      </c>
      <c r="C34" s="71" t="s">
        <v>38</v>
      </c>
      <c r="D34" s="71"/>
      <c r="E34" s="71"/>
      <c r="F34" s="71"/>
      <c r="G34" s="110" t="s">
        <v>224</v>
      </c>
      <c r="H34" s="638">
        <f>H20+H28+H32</f>
        <v>0</v>
      </c>
      <c r="I34" s="638">
        <f>I20+I28+I32</f>
        <v>0</v>
      </c>
      <c r="J34" s="638">
        <f>J20+J28+J32</f>
        <v>0</v>
      </c>
      <c r="K34" s="139">
        <f>SUM(H34:J34)</f>
        <v>0</v>
      </c>
    </row>
    <row r="35" spans="1:11" s="70" customFormat="1" ht="4.5" customHeight="1" x14ac:dyDescent="0.2">
      <c r="A35" s="639"/>
      <c r="B35" s="640"/>
      <c r="C35" s="641"/>
      <c r="D35" s="641"/>
      <c r="E35" s="641"/>
      <c r="F35" s="641"/>
      <c r="G35" s="642"/>
      <c r="H35" s="643"/>
      <c r="I35" s="643"/>
      <c r="J35" s="643"/>
      <c r="K35" s="644"/>
    </row>
    <row r="36" spans="1:11" ht="24" x14ac:dyDescent="0.2">
      <c r="A36" s="146"/>
      <c r="B36" s="156" t="s">
        <v>1235</v>
      </c>
      <c r="C36" s="71" t="s">
        <v>71</v>
      </c>
      <c r="G36" s="645" t="s">
        <v>225</v>
      </c>
      <c r="H36" s="646">
        <f>IF(H10=0,100,(H34/H10)*100)</f>
        <v>100</v>
      </c>
      <c r="I36" s="646">
        <f>IF(I10=0,100,(I34/I10)*100)</f>
        <v>100</v>
      </c>
      <c r="J36" s="646">
        <f>IF(J10=0,100,(J34/J10)*100)</f>
        <v>100</v>
      </c>
      <c r="K36" s="646">
        <f>IF(K10=0,100,(K34/K10)*100)</f>
        <v>100</v>
      </c>
    </row>
    <row r="37" spans="1:11" ht="7.5" customHeight="1" x14ac:dyDescent="0.2">
      <c r="A37" s="146"/>
      <c r="G37" s="419"/>
      <c r="H37" s="628"/>
      <c r="I37" s="628"/>
      <c r="J37" s="628"/>
      <c r="K37" s="629"/>
    </row>
    <row r="38" spans="1:11" s="648" customFormat="1" ht="33" customHeight="1" x14ac:dyDescent="0.2">
      <c r="A38" s="634" t="s">
        <v>72</v>
      </c>
      <c r="B38" s="696" t="s">
        <v>73</v>
      </c>
      <c r="C38" s="697"/>
      <c r="D38" s="111"/>
      <c r="E38" s="111"/>
      <c r="F38" s="111"/>
      <c r="G38" s="630"/>
      <c r="H38" s="180"/>
      <c r="I38" s="180"/>
      <c r="J38" s="180"/>
      <c r="K38" s="647"/>
    </row>
    <row r="39" spans="1:11" s="652" customFormat="1" ht="9" customHeight="1" x14ac:dyDescent="0.2">
      <c r="A39" s="649"/>
      <c r="B39" s="650"/>
      <c r="C39" s="651"/>
      <c r="D39" s="651"/>
      <c r="E39" s="651"/>
      <c r="F39" s="651"/>
      <c r="G39" s="419"/>
      <c r="H39" s="628"/>
      <c r="I39" s="628"/>
      <c r="J39" s="628"/>
      <c r="K39" s="629"/>
    </row>
    <row r="40" spans="1:11" x14ac:dyDescent="0.2">
      <c r="A40" s="146"/>
      <c r="B40" s="156" t="s">
        <v>1130</v>
      </c>
      <c r="C40" s="71" t="s">
        <v>35</v>
      </c>
      <c r="G40" s="94" t="s">
        <v>226</v>
      </c>
      <c r="H40" s="632">
        <f>H42+H44</f>
        <v>0</v>
      </c>
      <c r="I40" s="632">
        <f>I42+I44</f>
        <v>0</v>
      </c>
      <c r="J40" s="632">
        <f>J42+J44</f>
        <v>0</v>
      </c>
      <c r="K40" s="139">
        <f>SUM(H40:J40)</f>
        <v>0</v>
      </c>
    </row>
    <row r="41" spans="1:11" ht="9" customHeight="1" x14ac:dyDescent="0.2">
      <c r="A41" s="146"/>
      <c r="G41" s="419"/>
      <c r="H41" s="628"/>
      <c r="I41" s="628"/>
      <c r="J41" s="628"/>
      <c r="K41" s="629"/>
    </row>
    <row r="42" spans="1:11" x14ac:dyDescent="0.2">
      <c r="A42" s="146"/>
      <c r="C42" s="71" t="s">
        <v>1177</v>
      </c>
      <c r="G42" s="94" t="s">
        <v>154</v>
      </c>
      <c r="H42" s="160">
        <f>'Main Report B'!J19</f>
        <v>0</v>
      </c>
      <c r="I42" s="161"/>
      <c r="J42" s="103"/>
      <c r="K42" s="139">
        <f>SUM(H42:J42)</f>
        <v>0</v>
      </c>
    </row>
    <row r="43" spans="1:11" ht="9" customHeight="1" x14ac:dyDescent="0.2">
      <c r="A43" s="146"/>
      <c r="G43" s="419"/>
      <c r="H43" s="628"/>
      <c r="I43" s="628"/>
      <c r="J43" s="628"/>
      <c r="K43" s="629"/>
    </row>
    <row r="44" spans="1:11" x14ac:dyDescent="0.2">
      <c r="A44" s="146"/>
      <c r="C44" s="71" t="s">
        <v>1178</v>
      </c>
      <c r="G44" s="94" t="s">
        <v>227</v>
      </c>
      <c r="H44" s="160">
        <f>'Main Report B'!J21</f>
        <v>0</v>
      </c>
      <c r="I44" s="161"/>
      <c r="J44" s="103"/>
      <c r="K44" s="139">
        <f>SUM(H44:J44)</f>
        <v>0</v>
      </c>
    </row>
    <row r="45" spans="1:11" ht="9" customHeight="1" x14ac:dyDescent="0.2">
      <c r="A45" s="146"/>
      <c r="G45" s="419"/>
      <c r="H45" s="628"/>
      <c r="I45" s="628"/>
      <c r="J45" s="628"/>
      <c r="K45" s="629"/>
    </row>
    <row r="46" spans="1:11" x14ac:dyDescent="0.2">
      <c r="A46" s="146"/>
      <c r="B46" s="156" t="s">
        <v>1151</v>
      </c>
      <c r="C46" s="71" t="s">
        <v>36</v>
      </c>
      <c r="G46" s="94" t="s">
        <v>228</v>
      </c>
      <c r="H46" s="632">
        <f>H40-H16</f>
        <v>0</v>
      </c>
      <c r="I46" s="632">
        <f>I40-I16</f>
        <v>0</v>
      </c>
      <c r="J46" s="632">
        <f>J40-J16</f>
        <v>0</v>
      </c>
      <c r="K46" s="139">
        <f>SUM(H46:J46)</f>
        <v>0</v>
      </c>
    </row>
    <row r="47" spans="1:11" ht="9" customHeight="1" x14ac:dyDescent="0.2">
      <c r="A47" s="146"/>
      <c r="G47" s="419"/>
      <c r="H47" s="628"/>
      <c r="I47" s="628"/>
      <c r="J47" s="628"/>
      <c r="K47" s="629"/>
    </row>
    <row r="48" spans="1:11" s="654" customFormat="1" ht="26.25" x14ac:dyDescent="0.2">
      <c r="A48" s="636"/>
      <c r="B48" s="637" t="s">
        <v>1152</v>
      </c>
      <c r="C48" s="653" t="s">
        <v>1087</v>
      </c>
      <c r="D48" s="653"/>
      <c r="E48" s="653"/>
      <c r="F48" s="653"/>
      <c r="G48" s="94" t="s">
        <v>258</v>
      </c>
      <c r="H48" s="161"/>
      <c r="I48" s="161"/>
      <c r="J48" s="103"/>
      <c r="K48" s="139">
        <f>SUM(H48:J48)</f>
        <v>0</v>
      </c>
    </row>
    <row r="49" spans="1:99" ht="6" customHeight="1" x14ac:dyDescent="0.2">
      <c r="A49" s="146"/>
      <c r="G49" s="419"/>
      <c r="H49" s="655"/>
      <c r="I49" s="655"/>
      <c r="J49" s="655"/>
      <c r="K49" s="656"/>
    </row>
    <row r="50" spans="1:99" x14ac:dyDescent="0.2">
      <c r="A50" s="146"/>
      <c r="B50" s="637" t="s">
        <v>1153</v>
      </c>
      <c r="C50" s="168" t="s">
        <v>259</v>
      </c>
      <c r="D50" s="168"/>
      <c r="E50" s="168"/>
      <c r="F50" s="168"/>
      <c r="G50" s="94" t="s">
        <v>230</v>
      </c>
      <c r="H50" s="102">
        <f>H46+H48</f>
        <v>0</v>
      </c>
      <c r="I50" s="102">
        <f>I46+I48</f>
        <v>0</v>
      </c>
      <c r="J50" s="102">
        <f>J46+J48</f>
        <v>0</v>
      </c>
      <c r="K50" s="139">
        <f>SUM(H50:J50)</f>
        <v>0</v>
      </c>
    </row>
    <row r="51" spans="1:99" ht="6" customHeight="1" x14ac:dyDescent="0.2">
      <c r="A51" s="146"/>
      <c r="G51" s="419"/>
      <c r="H51" s="655"/>
      <c r="I51" s="655"/>
      <c r="J51" s="655"/>
      <c r="K51" s="656"/>
    </row>
    <row r="52" spans="1:99" ht="34.5" customHeight="1" x14ac:dyDescent="0.2">
      <c r="A52" s="128"/>
      <c r="B52" s="635" t="s">
        <v>1154</v>
      </c>
      <c r="C52" s="71" t="s">
        <v>37</v>
      </c>
      <c r="G52" s="94" t="s">
        <v>229</v>
      </c>
      <c r="H52" s="161"/>
      <c r="I52" s="161"/>
      <c r="J52" s="103"/>
      <c r="K52" s="139">
        <f>SUM(H52:J52)</f>
        <v>0</v>
      </c>
    </row>
    <row r="53" spans="1:99" ht="9" customHeight="1" x14ac:dyDescent="0.2">
      <c r="A53" s="128"/>
      <c r="B53" s="635"/>
      <c r="G53" s="657"/>
      <c r="H53" s="628"/>
      <c r="I53" s="628"/>
      <c r="J53" s="628"/>
      <c r="K53" s="629"/>
    </row>
    <row r="54" spans="1:99" s="70" customFormat="1" ht="24" x14ac:dyDescent="0.2">
      <c r="A54" s="146"/>
      <c r="B54" s="635" t="s">
        <v>1216</v>
      </c>
      <c r="C54" s="71" t="s">
        <v>39</v>
      </c>
      <c r="D54" s="71"/>
      <c r="E54" s="71"/>
      <c r="F54" s="71"/>
      <c r="G54" s="94" t="s">
        <v>231</v>
      </c>
      <c r="H54" s="632">
        <f>H40+H48+H52</f>
        <v>0</v>
      </c>
      <c r="I54" s="632">
        <f>I40+I48+I52</f>
        <v>0</v>
      </c>
      <c r="J54" s="632">
        <f>J40+J48+J52</f>
        <v>0</v>
      </c>
      <c r="K54" s="139">
        <f>SUM(H54:J54)</f>
        <v>0</v>
      </c>
    </row>
    <row r="55" spans="1:99" ht="9" customHeight="1" x14ac:dyDescent="0.2">
      <c r="A55" s="146"/>
      <c r="G55" s="419"/>
      <c r="H55" s="658"/>
      <c r="I55" s="658"/>
      <c r="J55" s="658"/>
      <c r="K55" s="659"/>
    </row>
    <row r="56" spans="1:99" ht="36.75" customHeight="1" thickBot="1" x14ac:dyDescent="0.25">
      <c r="A56" s="660"/>
      <c r="B56" s="661" t="s">
        <v>1235</v>
      </c>
      <c r="C56" s="662" t="s">
        <v>40</v>
      </c>
      <c r="D56" s="662"/>
      <c r="E56" s="662"/>
      <c r="F56" s="662"/>
      <c r="G56" s="118" t="s">
        <v>232</v>
      </c>
      <c r="H56" s="663">
        <f>IF(H10=0,100,(H54/H10)*100)</f>
        <v>100</v>
      </c>
      <c r="I56" s="663">
        <f>IF(I10=0,100,(I54/I10)*100)</f>
        <v>100</v>
      </c>
      <c r="J56" s="663">
        <f>IF(J10=0,100,(J54/J10)*100)</f>
        <v>100</v>
      </c>
      <c r="K56" s="663">
        <f>IF(K10=0,100,(K54/K10)*100)</f>
        <v>100</v>
      </c>
    </row>
    <row r="57" spans="1:99" ht="17.25" customHeight="1" thickTop="1" x14ac:dyDescent="0.2">
      <c r="A57" s="70"/>
      <c r="G57" s="420" t="s">
        <v>867</v>
      </c>
      <c r="H57" s="421"/>
      <c r="I57" s="421"/>
      <c r="J57" s="421"/>
      <c r="K57" s="421"/>
      <c r="L57" s="421"/>
      <c r="M57" s="421"/>
      <c r="N57" s="421"/>
      <c r="O57" s="421"/>
      <c r="P57" s="421"/>
      <c r="Q57" s="421"/>
      <c r="R57" s="421"/>
      <c r="S57" s="421"/>
      <c r="T57" s="421"/>
      <c r="U57" s="421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  <c r="AH57" s="421"/>
      <c r="AI57" s="421"/>
      <c r="AJ57" s="421"/>
      <c r="AK57" s="421"/>
      <c r="AL57" s="421"/>
      <c r="AM57" s="421"/>
      <c r="AN57" s="421"/>
      <c r="AO57" s="421"/>
      <c r="AP57" s="421"/>
      <c r="AQ57" s="421"/>
      <c r="AR57" s="421"/>
      <c r="AS57" s="421"/>
      <c r="AT57" s="421"/>
      <c r="AU57" s="421"/>
      <c r="AV57" s="421"/>
      <c r="AW57" s="421"/>
      <c r="AX57" s="421"/>
      <c r="AY57" s="421"/>
      <c r="AZ57" s="421"/>
      <c r="BA57" s="421"/>
      <c r="BB57" s="421"/>
      <c r="BC57" s="421"/>
      <c r="BD57" s="421"/>
      <c r="BE57" s="421"/>
      <c r="BF57" s="421"/>
      <c r="BG57" s="421"/>
      <c r="BH57" s="421"/>
      <c r="BI57" s="421"/>
      <c r="BJ57" s="421"/>
      <c r="BK57" s="421"/>
      <c r="BL57" s="421"/>
      <c r="BM57" s="421"/>
      <c r="BN57" s="421"/>
      <c r="BO57" s="421"/>
      <c r="BP57" s="421"/>
      <c r="BQ57" s="421"/>
      <c r="BR57" s="421"/>
      <c r="BS57" s="421"/>
      <c r="BT57" s="421"/>
      <c r="BU57" s="421"/>
      <c r="BV57" s="421"/>
      <c r="BW57" s="421"/>
      <c r="BX57" s="421"/>
      <c r="BY57" s="421"/>
      <c r="BZ57" s="421"/>
      <c r="CA57" s="421"/>
      <c r="CB57" s="421"/>
      <c r="CC57" s="421"/>
      <c r="CD57" s="421"/>
      <c r="CE57" s="421"/>
      <c r="CF57" s="421"/>
      <c r="CG57" s="421"/>
      <c r="CH57" s="421"/>
      <c r="CI57" s="421"/>
      <c r="CJ57" s="421"/>
      <c r="CK57" s="421"/>
      <c r="CL57" s="421"/>
      <c r="CM57" s="421"/>
      <c r="CN57" s="421"/>
      <c r="CO57" s="421"/>
      <c r="CP57" s="421"/>
      <c r="CQ57" s="421"/>
      <c r="CR57" s="421"/>
      <c r="CS57" s="421"/>
      <c r="CT57" s="421"/>
      <c r="CU57" s="421"/>
    </row>
    <row r="58" spans="1:99" ht="31.5" customHeight="1" x14ac:dyDescent="0.2">
      <c r="A58" s="69" t="s">
        <v>139</v>
      </c>
      <c r="B58" s="679" t="s">
        <v>736</v>
      </c>
      <c r="C58" s="679"/>
      <c r="D58" s="679"/>
      <c r="E58" s="679"/>
      <c r="F58" s="679"/>
      <c r="G58" s="679"/>
      <c r="H58" s="679"/>
      <c r="I58" s="679"/>
      <c r="J58" s="679"/>
      <c r="K58" s="679"/>
    </row>
    <row r="59" spans="1:99" ht="6.75" customHeight="1" x14ac:dyDescent="0.2">
      <c r="A59" s="70"/>
      <c r="C59" s="664"/>
      <c r="D59" s="664"/>
      <c r="E59" s="664"/>
      <c r="F59" s="664"/>
      <c r="G59" s="422"/>
      <c r="H59" s="73"/>
      <c r="I59" s="73"/>
      <c r="J59" s="73"/>
      <c r="K59" s="423"/>
    </row>
    <row r="60" spans="1:99" x14ac:dyDescent="0.2">
      <c r="A60" s="70" t="s">
        <v>146</v>
      </c>
      <c r="B60" s="70" t="s">
        <v>129</v>
      </c>
      <c r="C60" s="664"/>
      <c r="D60" s="664"/>
      <c r="E60" s="664"/>
      <c r="F60" s="664"/>
      <c r="G60" s="422"/>
      <c r="H60" s="73"/>
      <c r="I60" s="73"/>
      <c r="J60" s="73"/>
      <c r="K60" s="423"/>
    </row>
    <row r="61" spans="1:99" ht="6.75" customHeight="1" x14ac:dyDescent="0.2">
      <c r="A61" s="70"/>
      <c r="C61" s="664"/>
      <c r="D61" s="664"/>
      <c r="E61" s="664"/>
      <c r="F61" s="664"/>
      <c r="G61" s="422"/>
      <c r="H61" s="73"/>
      <c r="I61" s="73"/>
      <c r="J61" s="73"/>
      <c r="K61" s="423"/>
    </row>
    <row r="62" spans="1:99" ht="32.25" customHeight="1" x14ac:dyDescent="0.2">
      <c r="A62" s="70" t="s">
        <v>248</v>
      </c>
      <c r="B62" s="679" t="s">
        <v>1142</v>
      </c>
      <c r="C62" s="866"/>
      <c r="D62" s="866"/>
      <c r="E62" s="866"/>
      <c r="F62" s="866"/>
      <c r="G62" s="866"/>
      <c r="H62" s="866"/>
      <c r="I62" s="866"/>
      <c r="J62" s="866"/>
      <c r="K62" s="866"/>
    </row>
    <row r="63" spans="1:99" ht="6.75" customHeight="1" x14ac:dyDescent="0.2">
      <c r="A63" s="70"/>
      <c r="B63" s="664"/>
      <c r="C63" s="101"/>
      <c r="D63" s="101"/>
      <c r="E63" s="101"/>
      <c r="F63" s="101"/>
      <c r="G63" s="422"/>
      <c r="H63" s="73"/>
      <c r="I63" s="73"/>
      <c r="J63" s="73"/>
      <c r="K63" s="423"/>
    </row>
    <row r="64" spans="1:99" x14ac:dyDescent="0.2">
      <c r="A64" s="70" t="s">
        <v>18</v>
      </c>
      <c r="B64" s="859" t="s">
        <v>260</v>
      </c>
      <c r="C64" s="859"/>
      <c r="D64" s="859"/>
      <c r="E64" s="859"/>
      <c r="F64" s="859"/>
      <c r="G64" s="859"/>
      <c r="H64" s="859"/>
      <c r="I64" s="859"/>
      <c r="J64" s="859"/>
      <c r="K64" s="859"/>
    </row>
    <row r="65" spans="1:11" x14ac:dyDescent="0.2">
      <c r="A65" s="665"/>
      <c r="C65" s="101"/>
      <c r="D65" s="101"/>
      <c r="E65" s="101"/>
      <c r="F65" s="101"/>
      <c r="G65" s="422"/>
      <c r="H65" s="73"/>
      <c r="I65" s="73"/>
      <c r="J65" s="73"/>
      <c r="K65" s="423"/>
    </row>
  </sheetData>
  <sheetProtection password="FA3D" sheet="1" objects="1" scenarios="1"/>
  <mergeCells count="16">
    <mergeCell ref="B64:K64"/>
    <mergeCell ref="D1:J1"/>
    <mergeCell ref="D2:J2"/>
    <mergeCell ref="D3:J3"/>
    <mergeCell ref="A5:C5"/>
    <mergeCell ref="G5:G8"/>
    <mergeCell ref="H5:H8"/>
    <mergeCell ref="I5:J5"/>
    <mergeCell ref="B62:K62"/>
    <mergeCell ref="B18:C18"/>
    <mergeCell ref="B12:C12"/>
    <mergeCell ref="B10:C10"/>
    <mergeCell ref="B58:K58"/>
    <mergeCell ref="B38:C38"/>
    <mergeCell ref="B14:C14"/>
    <mergeCell ref="B16:C16"/>
  </mergeCells>
  <phoneticPr fontId="7" type="noConversion"/>
  <dataValidations count="6">
    <dataValidation type="decimal" allowBlank="1" showInputMessage="1" showErrorMessage="1" sqref="I26 H10:J10 I22:J22 I24:J24 I42:J42 I44:J44">
      <formula1>0</formula1>
      <formula2>999999999999</formula2>
    </dataValidation>
    <dataValidation type="whole" allowBlank="1" showInputMessage="1" showErrorMessage="1" prompt="Please input a 6 figure Bank Code." sqref="I7:J7">
      <formula1>0</formula1>
      <formula2>999999</formula2>
    </dataValidation>
    <dataValidation allowBlank="1" showInputMessage="1" showErrorMessage="1" prompt="Please enter a Bank name." sqref="I8:J8"/>
    <dataValidation type="decimal" operator="lessThanOrEqual" allowBlank="1" showInputMessage="1" showErrorMessage="1" prompt="Must be negavtive value." sqref="H32:J32">
      <formula1>0</formula1>
    </dataValidation>
    <dataValidation type="decimal" allowBlank="1" showInputMessage="1" showErrorMessage="1" prompt="Must be positive value." sqref="H48:J48">
      <formula1>0</formula1>
      <formula2>999999999999</formula2>
    </dataValidation>
    <dataValidation type="decimal" allowBlank="1" showInputMessage="1" showErrorMessage="1" sqref="H28:J28 H52:J52">
      <formula1>-999999999999</formula1>
      <formula2>999999999999</formula2>
    </dataValidation>
  </dataValidations>
  <printOptions horizontalCentered="1"/>
  <pageMargins left="0.31" right="0.34" top="0.56000000000000005" bottom="0.75" header="0.3" footer="0.3"/>
  <pageSetup paperSize="9" scale="80" orientation="landscape" cellComments="asDisplayed" r:id="rId1"/>
  <headerFooter>
    <oddHeader>&amp;RPage &amp;P of &amp;N&amp;C&amp;"Arial,Bold"&amp;8 NEW RURAL BANK OF SAN LEONARDO, INC  [ 04-040656 ]
 As of: September 30, 2017</oddHeader>
  </headerFooter>
  <rowBreaks count="1" manualBreakCount="1">
    <brk id="37" max="10" man="1"/>
  </rowBreaks>
  <drawing r:id="rId2"/>
  <legacyDrawing r:id="rId3"/>
  <controls>
    <mc:AlternateContent xmlns:mc="http://schemas.openxmlformats.org/markup-compatibility/2006">
      <mc:Choice Requires="x14">
        <control shapeId="7173" r:id="rId4" name="cmdDelSub">
          <controlPr defaultSize="0" autoLine="0" r:id="rId5">
            <anchor moveWithCells="1">
              <from>
                <xdr:col>2</xdr:col>
                <xdr:colOff>962025</xdr:colOff>
                <xdr:row>5</xdr:row>
                <xdr:rowOff>123825</xdr:rowOff>
              </from>
              <to>
                <xdr:col>2</xdr:col>
                <xdr:colOff>2505075</xdr:colOff>
                <xdr:row>7</xdr:row>
                <xdr:rowOff>123825</xdr:rowOff>
              </to>
            </anchor>
          </controlPr>
        </control>
      </mc:Choice>
      <mc:Fallback>
        <control shapeId="7173" r:id="rId4" name="cmdDelSub"/>
      </mc:Fallback>
    </mc:AlternateContent>
    <mc:AlternateContent xmlns:mc="http://schemas.openxmlformats.org/markup-compatibility/2006">
      <mc:Choice Requires="x14">
        <control shapeId="7172" r:id="rId6" name="cmdNewSub">
          <controlPr defaultSize="0" autoLine="0" r:id="rId7">
            <anchor moveWithCells="1">
              <from>
                <xdr:col>0</xdr:col>
                <xdr:colOff>171450</xdr:colOff>
                <xdr:row>5</xdr:row>
                <xdr:rowOff>114300</xdr:rowOff>
              </from>
              <to>
                <xdr:col>2</xdr:col>
                <xdr:colOff>866775</xdr:colOff>
                <xdr:row>7</xdr:row>
                <xdr:rowOff>123825</xdr:rowOff>
              </to>
            </anchor>
          </controlPr>
        </control>
      </mc:Choice>
      <mc:Fallback>
        <control shapeId="7172" r:id="rId6" name="cmdNewSu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Bank</vt:lpstr>
      <vt:lpstr>Main Report A</vt:lpstr>
      <vt:lpstr>Main Report B</vt:lpstr>
      <vt:lpstr>A</vt:lpstr>
      <vt:lpstr>B</vt:lpstr>
      <vt:lpstr>C</vt:lpstr>
      <vt:lpstr>C-1</vt:lpstr>
      <vt:lpstr>C-2</vt:lpstr>
      <vt:lpstr>C-3</vt:lpstr>
      <vt:lpstr>C-4</vt:lpstr>
      <vt:lpstr>D</vt:lpstr>
      <vt:lpstr>D-1</vt:lpstr>
      <vt:lpstr>E</vt:lpstr>
      <vt:lpstr>A!Print_Area</vt:lpstr>
      <vt:lpstr>B!Print_Area</vt:lpstr>
      <vt:lpstr>'C'!Print_Area</vt:lpstr>
      <vt:lpstr>'C-1'!Print_Area</vt:lpstr>
      <vt:lpstr>'C-2'!Print_Area</vt:lpstr>
      <vt:lpstr>'C-3'!Print_Area</vt:lpstr>
      <vt:lpstr>'C-4'!Print_Area</vt:lpstr>
      <vt:lpstr>D!Print_Area</vt:lpstr>
      <vt:lpstr>'D-1'!Print_Area</vt:lpstr>
      <vt:lpstr>E!Print_Area</vt:lpstr>
      <vt:lpstr>'Main Report A'!Print_Area</vt:lpstr>
      <vt:lpstr>'Main Report B'!Print_Area</vt:lpstr>
      <vt:lpstr>A!Print_Titles</vt:lpstr>
      <vt:lpstr>B!Print_Titles</vt:lpstr>
      <vt:lpstr>'C-4'!Print_Titles</vt:lpstr>
      <vt:lpstr>D!Print_Titles</vt:lpstr>
      <vt:lpstr>E!Print_Titles</vt:lpstr>
      <vt:lpstr>'Main Report A'!Print_Titles</vt:lpstr>
      <vt:lpstr>'Main Report B'!Print_Titles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Cynthia</dc:creator>
  <cp:lastModifiedBy>Aldrin</cp:lastModifiedBy>
  <cp:lastPrinted>2011-12-15T07:14:02Z</cp:lastPrinted>
  <dcterms:created xsi:type="dcterms:W3CDTF">2010-05-09T03:20:52Z</dcterms:created>
  <dcterms:modified xsi:type="dcterms:W3CDTF">2017-10-12T16:29:55Z</dcterms:modified>
</cp:coreProperties>
</file>