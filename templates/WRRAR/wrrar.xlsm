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express O Docs\FRP JAEN\ReportingPackage-master\templates\WRRAR\"/>
    </mc:Choice>
  </mc:AlternateContent>
  <workbookProtection workbookPassword="CB63" lockStructure="1"/>
  <bookViews>
    <workbookView xWindow="0" yWindow="0" windowWidth="20490" windowHeight="8745" tabRatio="616" firstSheet="1" activeTab="1"/>
  </bookViews>
  <sheets>
    <sheet name="WRRAR-Prooflist" sheetId="7" state="hidden" r:id="rId1"/>
    <sheet name="WRRAR-Annex B" sheetId="1" r:id="rId2"/>
    <sheet name="bank" sheetId="8" state="hidden" r:id="rId3"/>
  </sheets>
  <functionGroups builtInGroupCount="18"/>
  <definedNames>
    <definedName name="bankNames">bank!#REF!</definedName>
    <definedName name="Day">bank!$D$8:$D$39</definedName>
    <definedName name="FINAME">bank!$A$8:$A$673</definedName>
    <definedName name="Month">bank!$C$8:$C$20</definedName>
    <definedName name="_xlnm.Print_Area" localSheetId="1">'WRRAR-Annex B'!$A$1:$I$52</definedName>
    <definedName name="_xlnm.Print_Area" localSheetId="0">'WRRAR-Prooflist'!$A$1:$I$44</definedName>
    <definedName name="_xlnm.Print_Titles" localSheetId="1">'WRRAR-Annex B'!$1:$23</definedName>
    <definedName name="wrrar">#REF!</definedName>
    <definedName name="Year">bank!#REF!</definedName>
    <definedName name="Year2">bank!$E$8:$E$15</definedName>
  </definedNames>
  <calcPr calcId="152511"/>
</workbook>
</file>

<file path=xl/calcChain.xml><?xml version="1.0" encoding="utf-8"?>
<calcChain xmlns="http://schemas.openxmlformats.org/spreadsheetml/2006/main">
  <c r="E28" i="1" l="1"/>
  <c r="E27" i="1"/>
  <c r="E27" i="7" s="1"/>
  <c r="D28" i="1"/>
  <c r="D28" i="7"/>
  <c r="D27" i="1"/>
  <c r="H29" i="7"/>
  <c r="G29" i="7"/>
  <c r="I28" i="7"/>
  <c r="H28" i="7"/>
  <c r="G28" i="7"/>
  <c r="F28" i="7"/>
  <c r="E28" i="7"/>
  <c r="C28" i="7"/>
  <c r="I29" i="1"/>
  <c r="I29" i="7" s="1"/>
  <c r="H29" i="1"/>
  <c r="G29" i="1"/>
  <c r="F29" i="1"/>
  <c r="F29" i="7" s="1"/>
  <c r="C29" i="1"/>
  <c r="C29" i="7" s="1"/>
  <c r="G31" i="1"/>
  <c r="G30" i="1"/>
  <c r="G25" i="1" s="1"/>
  <c r="G25" i="7" s="1"/>
  <c r="E34" i="1"/>
  <c r="E32" i="1"/>
  <c r="F39" i="1"/>
  <c r="F34" i="7"/>
  <c r="G39" i="1"/>
  <c r="H39" i="1"/>
  <c r="H37" i="1" s="1"/>
  <c r="H32" i="7" s="1"/>
  <c r="I39" i="1"/>
  <c r="I34" i="7"/>
  <c r="C39" i="1"/>
  <c r="E33" i="1"/>
  <c r="D26" i="1"/>
  <c r="D25" i="1" s="1"/>
  <c r="D25" i="7" s="1"/>
  <c r="D26" i="7"/>
  <c r="E26" i="1"/>
  <c r="E25" i="1" s="1"/>
  <c r="E25" i="7" s="1"/>
  <c r="E26" i="7"/>
  <c r="E40" i="1"/>
  <c r="E38" i="1"/>
  <c r="E33" i="7"/>
  <c r="E35" i="1"/>
  <c r="E36" i="1"/>
  <c r="E31" i="7" s="1"/>
  <c r="E41" i="1"/>
  <c r="D41" i="1"/>
  <c r="D40" i="1"/>
  <c r="D39" i="1" s="1"/>
  <c r="D38" i="1"/>
  <c r="D33" i="7"/>
  <c r="D36" i="1"/>
  <c r="D31" i="7" s="1"/>
  <c r="D35" i="1"/>
  <c r="D34" i="1"/>
  <c r="D33" i="1"/>
  <c r="D32" i="1"/>
  <c r="F7" i="8"/>
  <c r="G7" i="8" s="1"/>
  <c r="F6" i="8" s="1"/>
  <c r="I1" i="1"/>
  <c r="D17" i="1"/>
  <c r="F17" i="1"/>
  <c r="C31" i="1"/>
  <c r="C30" i="1"/>
  <c r="C25" i="1" s="1"/>
  <c r="C25" i="7" s="1"/>
  <c r="F31" i="1"/>
  <c r="F30" i="1" s="1"/>
  <c r="H31" i="1"/>
  <c r="H30" i="1"/>
  <c r="H25" i="1" s="1"/>
  <c r="H25" i="7" s="1"/>
  <c r="I31" i="1"/>
  <c r="I30" i="1"/>
  <c r="I25" i="1"/>
  <c r="I25" i="7"/>
  <c r="C37" i="1"/>
  <c r="C32" i="7"/>
  <c r="G37" i="1"/>
  <c r="G32" i="7"/>
  <c r="I37" i="1"/>
  <c r="I32" i="7"/>
  <c r="C8" i="7"/>
  <c r="G8" i="7"/>
  <c r="D17" i="7"/>
  <c r="F17" i="7"/>
  <c r="F26" i="7"/>
  <c r="G26" i="7"/>
  <c r="H26" i="7"/>
  <c r="I26" i="7"/>
  <c r="C27" i="7"/>
  <c r="F27" i="7"/>
  <c r="G27" i="7"/>
  <c r="H27" i="7"/>
  <c r="I27" i="7"/>
  <c r="C31" i="7"/>
  <c r="F31" i="7"/>
  <c r="G31" i="7"/>
  <c r="H31" i="7"/>
  <c r="I31" i="7"/>
  <c r="C33" i="7"/>
  <c r="F33" i="7"/>
  <c r="G33" i="7"/>
  <c r="H33" i="7"/>
  <c r="I33" i="7"/>
  <c r="C34" i="7"/>
  <c r="G34" i="7"/>
  <c r="H34" i="7"/>
  <c r="E43" i="7"/>
  <c r="C26" i="7"/>
  <c r="H30" i="7"/>
  <c r="I30" i="7"/>
  <c r="F37" i="1"/>
  <c r="F32" i="7" s="1"/>
  <c r="E29" i="1"/>
  <c r="E29" i="7"/>
  <c r="E39" i="1"/>
  <c r="E34" i="7" s="1"/>
  <c r="D29" i="1"/>
  <c r="D29" i="7"/>
  <c r="D27" i="7"/>
  <c r="E31" i="1"/>
  <c r="E30" i="1"/>
  <c r="E30" i="7" s="1"/>
  <c r="D31" i="1"/>
  <c r="D30" i="1"/>
  <c r="D30" i="7" s="1"/>
  <c r="C30" i="7"/>
  <c r="E37" i="1"/>
  <c r="E32" i="7" s="1"/>
  <c r="F30" i="7" l="1"/>
  <c r="F25" i="1"/>
  <c r="F25" i="7" s="1"/>
  <c r="D34" i="7"/>
  <c r="D37" i="1"/>
  <c r="D32" i="7" s="1"/>
  <c r="G30" i="7"/>
</calcChain>
</file>

<file path=xl/comments1.xml><?xml version="1.0" encoding="utf-8"?>
<comments xmlns="http://schemas.openxmlformats.org/spreadsheetml/2006/main">
  <authors>
    <author>CASTILLOCA</author>
  </authors>
  <commentList>
    <comment ref="F6" authorId="0" shapeId="0">
      <text>
        <r>
          <rPr>
            <b/>
            <sz val="8"/>
            <color indexed="81"/>
            <rFont val="Tahoma"/>
            <family val="2"/>
          </rPr>
          <t>0 if a valid date is entered. 1 if not.</t>
        </r>
      </text>
    </comment>
    <comment ref="G7" authorId="0" shapeId="0">
      <text>
        <r>
          <rPr>
            <b/>
            <sz val="8"/>
            <color indexed="81"/>
            <rFont val="Tahoma"/>
            <family val="2"/>
          </rPr>
          <t>Day equivalent;
Sun - 1, Mon 2, etc..</t>
        </r>
      </text>
    </comment>
  </commentList>
</comments>
</file>

<file path=xl/sharedStrings.xml><?xml version="1.0" encoding="utf-8"?>
<sst xmlns="http://schemas.openxmlformats.org/spreadsheetml/2006/main" count="106" uniqueCount="71">
  <si>
    <t>Code</t>
  </si>
  <si>
    <t>ACCOUNT NAME</t>
  </si>
  <si>
    <t xml:space="preserve">Rec. </t>
  </si>
  <si>
    <t xml:space="preserve"> No.</t>
  </si>
  <si>
    <t>Friday</t>
  </si>
  <si>
    <t>Saturday</t>
  </si>
  <si>
    <t>Sunday</t>
  </si>
  <si>
    <t>Monday</t>
  </si>
  <si>
    <t>Tuesday</t>
  </si>
  <si>
    <t>Wednesday</t>
  </si>
  <si>
    <t>Thursday</t>
  </si>
  <si>
    <t xml:space="preserve">      1.  Demand Deposits</t>
  </si>
  <si>
    <t xml:space="preserve">      2.  Savings Deposits</t>
  </si>
  <si>
    <t xml:space="preserve">      3.  Time Certificates of Deposits</t>
  </si>
  <si>
    <t xml:space="preserve">        1.  Cash on Hand</t>
  </si>
  <si>
    <t>230</t>
  </si>
  <si>
    <t xml:space="preserve">        2.  IBODI for Legal Reserves</t>
  </si>
  <si>
    <t>Control PROOFLIST</t>
  </si>
  <si>
    <t>180</t>
  </si>
  <si>
    <t>181</t>
  </si>
  <si>
    <t>182</t>
  </si>
  <si>
    <t>185</t>
  </si>
  <si>
    <t>240</t>
  </si>
  <si>
    <t>186</t>
  </si>
  <si>
    <t>200</t>
  </si>
  <si>
    <t xml:space="preserve">      4.   NOW Accounts</t>
  </si>
  <si>
    <t>A.  DEPOSIT LIABILITIES (Total of Items 1, 2, 3, and 4)</t>
  </si>
  <si>
    <t xml:space="preserve">A  M  O  U  N  T  S </t>
  </si>
  <si>
    <t xml:space="preserve">            a.  Negotiable Certificates of Time Deposits</t>
  </si>
  <si>
    <t>187</t>
  </si>
  <si>
    <t xml:space="preserve">            b.  Others - with original maturity of 730 days or less</t>
  </si>
  <si>
    <t>188</t>
  </si>
  <si>
    <t xml:space="preserve">            c.  Others - with original maturity of more than 730 days  </t>
  </si>
  <si>
    <t>189</t>
  </si>
  <si>
    <t xml:space="preserve">             a.  Bangko Sentral Certificates of Indebtedness</t>
  </si>
  <si>
    <t>250</t>
  </si>
  <si>
    <t xml:space="preserve">             b.  Others</t>
  </si>
  <si>
    <t>260</t>
  </si>
  <si>
    <t xml:space="preserve">                 2. Others</t>
  </si>
  <si>
    <t xml:space="preserve">            WEEKLY REPORT ON REQUIRED AND AVAILABLE RESERVES AGAINST DEPOSIT LIABILITIES</t>
  </si>
  <si>
    <t>For Week Ended</t>
  </si>
  <si>
    <t xml:space="preserve">to </t>
  </si>
  <si>
    <t>(MM/DD/YYYY)</t>
  </si>
  <si>
    <t>B.  Additional Information</t>
  </si>
  <si>
    <t>Month</t>
  </si>
  <si>
    <t>Day</t>
  </si>
  <si>
    <t>Year</t>
  </si>
  <si>
    <t xml:space="preserve"> </t>
  </si>
  <si>
    <t xml:space="preserve">       to </t>
  </si>
  <si>
    <t>Submission:</t>
  </si>
  <si>
    <t xml:space="preserve">  Name of Bank</t>
  </si>
  <si>
    <t>SDC</t>
  </si>
  <si>
    <t>Name of Bank</t>
  </si>
  <si>
    <t xml:space="preserve">  </t>
  </si>
  <si>
    <t>Submission:    email to sdcrb-wrrar@bsp.gov.ph</t>
  </si>
  <si>
    <t>Authorized Signatory</t>
  </si>
  <si>
    <t>I hereby certify that all matters set forth in this Weekly Report on Required and Available Resserves against Deposit Liabilities are true and correct, to the best of my knowledge and belief.</t>
  </si>
  <si>
    <t>2/  Issuance requires approval of the Monetary Board</t>
  </si>
  <si>
    <r>
      <t xml:space="preserve">                 1. Long-Term Negotiable Certificate of Time 
                     Deposits (Circular No. 304) </t>
    </r>
    <r>
      <rPr>
        <vertAlign val="superscript"/>
        <sz val="14"/>
        <rFont val="Times New Roman"/>
        <family val="1"/>
      </rPr>
      <t>2/</t>
    </r>
  </si>
  <si>
    <t xml:space="preserve">            a. Basic Deposit Accounts</t>
  </si>
  <si>
    <t>1/ All Other Savings Deposits is equal to Total Savings Deposits less Basic Deposit Accounts</t>
  </si>
  <si>
    <t xml:space="preserve">           a. Basic Deposit Accounts</t>
  </si>
  <si>
    <t>Version</t>
  </si>
  <si>
    <t>YY.MM version format</t>
  </si>
  <si>
    <t xml:space="preserve">Deadline:       Not later than the 4th banking day </t>
  </si>
  <si>
    <t xml:space="preserve">                        of the following reference week</t>
  </si>
  <si>
    <t xml:space="preserve">                                                                     For Reference Week</t>
  </si>
  <si>
    <r>
      <t xml:space="preserve">            b. All Other Savings Deposits</t>
    </r>
    <r>
      <rPr>
        <vertAlign val="superscript"/>
        <sz val="14"/>
        <rFont val="Times New Roman"/>
        <family val="1"/>
      </rPr>
      <t>1/</t>
    </r>
  </si>
  <si>
    <r>
      <t xml:space="preserve">           b. All Other Savings Deposits</t>
    </r>
    <r>
      <rPr>
        <vertAlign val="superscript"/>
        <sz val="14"/>
        <rFont val="Times New Roman"/>
        <family val="1"/>
      </rPr>
      <t>1/</t>
    </r>
  </si>
  <si>
    <t>1/ Item A.2.b All Other Savings Deposits is equal to Item A.2. Savings Deposits less Item A.2.a. Basic Deposit Accounts</t>
  </si>
  <si>
    <t>RB OF JAEN, INC.</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</si>
</sst>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409]mmmm\ d\,\ yyyy;@"/>
    <numFmt numFmtId="165" formatCode="[$-409]d\-mmm\-yy;@"/>
    <numFmt numFmtId="166" formatCode="[$-409]mmmmm;@"/>
    <numFmt numFmtId="167" formatCode="m/d/yyyy;@"/>
    <numFmt numFmtId="168" formatCode="mm/dd/yy;@"/>
    <numFmt numFmtId="169" formatCode="000000"/>
  </numFmts>
  <fonts count="24" x14ac:knownFonts="1">
    <font>
      <sz val="10"/>
      <name val="Arial"/>
    </font>
    <font>
      <b/>
      <sz val="14"/>
      <name val="Times New Roman"/>
      <family val="1"/>
    </font>
    <font>
      <b/>
      <sz val="16"/>
      <name val="Times New Roman"/>
      <family val="1"/>
    </font>
    <font>
      <sz val="14"/>
      <name val="Times New Roman"/>
      <family val="1"/>
    </font>
    <font>
      <b/>
      <sz val="14"/>
      <name val="Arial"/>
      <family val="2"/>
    </font>
    <font>
      <sz val="14"/>
      <name val="Arial"/>
      <family val="2"/>
    </font>
    <font>
      <b/>
      <sz val="16"/>
      <color indexed="12"/>
      <name val="Book Antiqua"/>
      <family val="1"/>
    </font>
    <font>
      <b/>
      <sz val="14"/>
      <color indexed="8"/>
      <name val="Arial"/>
      <family val="2"/>
    </font>
    <font>
      <sz val="12"/>
      <name val="Arial"/>
      <family val="2"/>
    </font>
    <font>
      <sz val="11"/>
      <name val="Arial"/>
      <family val="2"/>
    </font>
    <font>
      <sz val="10"/>
      <name val="Arial"/>
      <family val="2"/>
    </font>
    <font>
      <sz val="20"/>
      <name val="Arial"/>
      <family val="2"/>
    </font>
    <font>
      <sz val="11"/>
      <name val="Calibri"/>
      <family val="2"/>
    </font>
    <font>
      <b/>
      <sz val="8"/>
      <color indexed="81"/>
      <name val="Tahoma"/>
      <family val="2"/>
    </font>
    <font>
      <b/>
      <sz val="10"/>
      <name val="Arial"/>
      <family val="2"/>
    </font>
    <font>
      <sz val="16"/>
      <name val="Times New Roman"/>
      <family val="1"/>
    </font>
    <font>
      <b/>
      <sz val="16"/>
      <name val="Book Antiqua"/>
      <family val="1"/>
    </font>
    <font>
      <vertAlign val="superscript"/>
      <sz val="14"/>
      <name val="Times New Roman"/>
      <family val="1"/>
    </font>
    <font>
      <sz val="11"/>
      <name val="Times New Roman"/>
      <family val="1"/>
    </font>
    <font>
      <b/>
      <sz val="10"/>
      <color theme="0"/>
      <name val="Arial"/>
      <family val="2"/>
    </font>
    <font>
      <sz val="10"/>
      <color theme="1"/>
      <name val="Arial"/>
      <family val="2"/>
    </font>
    <font>
      <sz val="10"/>
      <color rgb="FF000000"/>
      <name val="Verdana"/>
      <family val="2"/>
    </font>
    <font>
      <b/>
      <sz val="14"/>
      <color theme="0"/>
      <name val="Times New Roman"/>
      <family val="1"/>
    </font>
    <font>
      <b/>
      <sz val="16"/>
      <color theme="1"/>
      <name val="Times New Roman"/>
      <family val="1"/>
    </font>
  </fonts>
  <fills count="9">
    <fill>
      <patternFill patternType="none"/>
    </fill>
    <fill>
      <patternFill patternType="gray125"/>
    </fill>
    <fill>
      <patternFill patternType="solid">
        <fgColor indexed="22"/>
        <bgColor indexed="64"/>
      </patternFill>
    </fill>
    <fill>
      <patternFill patternType="solid">
        <fgColor indexed="5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0"/>
        <bgColor indexed="64"/>
      </patternFill>
    </fill>
    <fill>
      <patternFill patternType="solid">
        <fgColor theme="0" tint="-0.249977111117893"/>
        <bgColor indexed="64"/>
      </patternFill>
    </fill>
  </fills>
  <borders count="32">
    <border>
      <left/>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style="thin">
        <color indexed="64"/>
      </left>
      <right/>
      <top style="medium">
        <color indexed="64"/>
      </top>
      <bottom/>
      <diagonal/>
    </border>
    <border>
      <left style="medium">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right/>
      <top style="thin">
        <color indexed="64"/>
      </top>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medium">
        <color indexed="64"/>
      </left>
      <right style="thin">
        <color indexed="64"/>
      </right>
      <top style="thin">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theme="0"/>
      </right>
      <top/>
      <bottom style="thick">
        <color theme="0"/>
      </bottom>
      <diagonal/>
    </border>
    <border>
      <left/>
      <right style="thin">
        <color theme="0"/>
      </right>
      <top/>
      <bottom style="thin">
        <color theme="0"/>
      </bottom>
      <diagonal/>
    </border>
    <border>
      <left/>
      <right style="thin">
        <color theme="0"/>
      </right>
      <top/>
      <bottom/>
      <diagonal/>
    </border>
    <border>
      <left/>
      <right/>
      <top/>
      <bottom style="thick">
        <color theme="0"/>
      </bottom>
      <diagonal/>
    </border>
    <border>
      <left/>
      <right/>
      <top/>
      <bottom style="thin">
        <color theme="0"/>
      </bottom>
      <diagonal/>
    </border>
  </borders>
  <cellStyleXfs count="1">
    <xf numFmtId="0" fontId="0" fillId="0" borderId="0"/>
  </cellStyleXfs>
  <cellXfs count="120">
    <xf numFmtId="0" fontId="0" fillId="0" borderId="0" xfId="0"/>
    <xf numFmtId="0" fontId="5" fillId="0" borderId="0" xfId="0" applyFont="1" applyFill="1"/>
    <xf numFmtId="0" fontId="4" fillId="0" borderId="1" xfId="0" applyFont="1" applyFill="1" applyBorder="1" applyAlignment="1">
      <alignment horizontal="center"/>
    </xf>
    <xf numFmtId="0" fontId="4" fillId="0" borderId="2" xfId="0" applyFont="1" applyFill="1" applyBorder="1" applyAlignment="1">
      <alignment horizontal="center"/>
    </xf>
    <xf numFmtId="40" fontId="8" fillId="0" borderId="3" xfId="0" applyNumberFormat="1" applyFont="1" applyFill="1" applyBorder="1" applyProtection="1">
      <protection locked="0"/>
    </xf>
    <xf numFmtId="40" fontId="8" fillId="0" borderId="4" xfId="0" applyNumberFormat="1" applyFont="1" applyFill="1" applyBorder="1" applyProtection="1">
      <protection locked="0"/>
    </xf>
    <xf numFmtId="40" fontId="8" fillId="2" borderId="3" xfId="0" applyNumberFormat="1" applyFont="1" applyFill="1" applyBorder="1" applyProtection="1">
      <protection hidden="1"/>
    </xf>
    <xf numFmtId="40" fontId="8" fillId="2" borderId="4" xfId="0" applyNumberFormat="1" applyFont="1" applyFill="1" applyBorder="1" applyProtection="1">
      <protection hidden="1"/>
    </xf>
    <xf numFmtId="40" fontId="8" fillId="2" borderId="5" xfId="0" applyNumberFormat="1" applyFont="1" applyFill="1" applyBorder="1" applyProtection="1">
      <protection hidden="1"/>
    </xf>
    <xf numFmtId="40" fontId="8" fillId="3" borderId="3" xfId="0" applyNumberFormat="1" applyFont="1" applyFill="1" applyBorder="1" applyProtection="1">
      <protection hidden="1"/>
    </xf>
    <xf numFmtId="40" fontId="8" fillId="3" borderId="4" xfId="0" applyNumberFormat="1" applyFont="1" applyFill="1" applyBorder="1" applyProtection="1">
      <protection hidden="1"/>
    </xf>
    <xf numFmtId="40" fontId="8" fillId="3" borderId="5" xfId="0" applyNumberFormat="1" applyFont="1" applyFill="1" applyBorder="1" applyProtection="1">
      <protection hidden="1"/>
    </xf>
    <xf numFmtId="0" fontId="1" fillId="0" borderId="6" xfId="0" applyFont="1" applyFill="1" applyBorder="1" applyAlignment="1" applyProtection="1">
      <alignment horizontal="center"/>
      <protection hidden="1"/>
    </xf>
    <xf numFmtId="0" fontId="1" fillId="0" borderId="7" xfId="0" applyFont="1" applyFill="1" applyBorder="1" applyAlignment="1" applyProtection="1">
      <alignment horizontal="center"/>
      <protection hidden="1"/>
    </xf>
    <xf numFmtId="0" fontId="4" fillId="0" borderId="8" xfId="0" applyFont="1" applyFill="1" applyBorder="1" applyAlignment="1" applyProtection="1">
      <alignment horizontal="center"/>
      <protection hidden="1"/>
    </xf>
    <xf numFmtId="0" fontId="4" fillId="0" borderId="9" xfId="0" applyFont="1" applyFill="1" applyBorder="1" applyAlignment="1" applyProtection="1">
      <alignment horizontal="center"/>
      <protection hidden="1"/>
    </xf>
    <xf numFmtId="0" fontId="1" fillId="0" borderId="10" xfId="0" applyFont="1" applyFill="1" applyBorder="1" applyAlignment="1" applyProtection="1">
      <alignment horizontal="left"/>
      <protection hidden="1"/>
    </xf>
    <xf numFmtId="0" fontId="3" fillId="0" borderId="5" xfId="0" quotePrefix="1" applyFont="1" applyFill="1" applyBorder="1" applyAlignment="1" applyProtection="1">
      <alignment horizontal="center"/>
      <protection hidden="1"/>
    </xf>
    <xf numFmtId="0" fontId="3" fillId="0" borderId="8" xfId="0" applyFont="1" applyFill="1" applyBorder="1" applyProtection="1">
      <protection hidden="1"/>
    </xf>
    <xf numFmtId="0" fontId="3" fillId="0" borderId="11" xfId="0" quotePrefix="1" applyFont="1" applyFill="1" applyBorder="1" applyAlignment="1" applyProtection="1">
      <alignment horizontal="center"/>
      <protection hidden="1"/>
    </xf>
    <xf numFmtId="0" fontId="3" fillId="0" borderId="10" xfId="0" applyFont="1" applyFill="1" applyBorder="1" applyProtection="1">
      <protection hidden="1"/>
    </xf>
    <xf numFmtId="0" fontId="1" fillId="0" borderId="12" xfId="0" applyFont="1" applyFill="1" applyBorder="1" applyAlignment="1" applyProtection="1">
      <alignment horizontal="left"/>
      <protection hidden="1"/>
    </xf>
    <xf numFmtId="0" fontId="10" fillId="0" borderId="0" xfId="0" applyFont="1"/>
    <xf numFmtId="0" fontId="1" fillId="0" borderId="0" xfId="0" applyFont="1" applyFill="1" applyBorder="1"/>
    <xf numFmtId="0" fontId="12" fillId="0" borderId="0" xfId="0" applyFont="1" applyFill="1"/>
    <xf numFmtId="0" fontId="12" fillId="0" borderId="0" xfId="0" applyFont="1" applyFill="1" applyBorder="1"/>
    <xf numFmtId="0" fontId="10" fillId="0" borderId="0" xfId="0" applyFont="1" applyFill="1" applyBorder="1"/>
    <xf numFmtId="0" fontId="0" fillId="0" borderId="0" xfId="0" applyBorder="1"/>
    <xf numFmtId="0" fontId="10" fillId="0" borderId="0" xfId="0" applyFont="1" applyBorder="1"/>
    <xf numFmtId="14" fontId="0" fillId="0" borderId="0" xfId="0" applyNumberFormat="1"/>
    <xf numFmtId="0" fontId="19" fillId="4" borderId="27" xfId="0" applyFont="1" applyFill="1" applyBorder="1"/>
    <xf numFmtId="0" fontId="20" fillId="5" borderId="28" xfId="0" applyFont="1" applyFill="1" applyBorder="1"/>
    <xf numFmtId="0" fontId="20" fillId="6" borderId="28" xfId="0" applyFont="1" applyFill="1" applyBorder="1"/>
    <xf numFmtId="0" fontId="20" fillId="5" borderId="29" xfId="0" applyFont="1" applyFill="1" applyBorder="1"/>
    <xf numFmtId="40" fontId="8" fillId="0" borderId="3" xfId="0" applyNumberFormat="1" applyFont="1" applyFill="1" applyBorder="1" applyProtection="1">
      <protection locked="0" hidden="1"/>
    </xf>
    <xf numFmtId="0" fontId="1" fillId="0" borderId="0" xfId="0" applyFont="1" applyFill="1" applyBorder="1" applyProtection="1">
      <protection hidden="1"/>
    </xf>
    <xf numFmtId="0" fontId="5" fillId="0" borderId="0" xfId="0" applyFont="1" applyFill="1" applyBorder="1" applyProtection="1">
      <protection hidden="1"/>
    </xf>
    <xf numFmtId="0" fontId="4" fillId="0" borderId="0" xfId="0" applyFont="1" applyFill="1" applyBorder="1" applyProtection="1">
      <protection hidden="1"/>
    </xf>
    <xf numFmtId="0" fontId="11" fillId="0" borderId="0" xfId="0" applyFont="1" applyFill="1" applyBorder="1" applyProtection="1">
      <protection hidden="1"/>
    </xf>
    <xf numFmtId="0" fontId="6" fillId="0" borderId="0" xfId="0" applyFont="1" applyFill="1" applyBorder="1" applyAlignment="1" applyProtection="1">
      <protection hidden="1"/>
    </xf>
    <xf numFmtId="0" fontId="1" fillId="0" borderId="0" xfId="0" applyFont="1" applyFill="1" applyBorder="1" applyAlignment="1" applyProtection="1">
      <protection hidden="1"/>
    </xf>
    <xf numFmtId="0" fontId="4" fillId="0" borderId="0" xfId="0" applyFont="1" applyFill="1" applyBorder="1" applyAlignment="1" applyProtection="1">
      <alignment horizontal="center"/>
      <protection hidden="1"/>
    </xf>
    <xf numFmtId="0" fontId="1" fillId="0" borderId="0" xfId="0" applyFont="1" applyFill="1" applyBorder="1" applyAlignment="1" applyProtection="1">
      <alignment horizontal="center"/>
      <protection hidden="1"/>
    </xf>
    <xf numFmtId="0" fontId="2" fillId="0" borderId="0" xfId="0" applyFont="1" applyFill="1" applyBorder="1" applyAlignment="1" applyProtection="1">
      <protection hidden="1"/>
    </xf>
    <xf numFmtId="0" fontId="5" fillId="0" borderId="13" xfId="0" applyFont="1" applyFill="1" applyBorder="1" applyProtection="1">
      <protection hidden="1"/>
    </xf>
    <xf numFmtId="0" fontId="3" fillId="0" borderId="14" xfId="0" applyFont="1" applyFill="1" applyBorder="1" applyProtection="1">
      <protection hidden="1"/>
    </xf>
    <xf numFmtId="0" fontId="3" fillId="0" borderId="14" xfId="0" applyFont="1" applyFill="1" applyBorder="1" applyAlignment="1" applyProtection="1">
      <alignment wrapText="1"/>
      <protection hidden="1"/>
    </xf>
    <xf numFmtId="0" fontId="3" fillId="0" borderId="0" xfId="0" applyFont="1" applyFill="1" applyBorder="1" applyProtection="1">
      <protection hidden="1"/>
    </xf>
    <xf numFmtId="0" fontId="3" fillId="0" borderId="0" xfId="0" quotePrefix="1" applyFont="1" applyFill="1" applyBorder="1" applyAlignment="1" applyProtection="1">
      <alignment horizontal="center"/>
      <protection hidden="1"/>
    </xf>
    <xf numFmtId="40" fontId="5" fillId="0" borderId="0" xfId="0" applyNumberFormat="1" applyFont="1" applyFill="1" applyBorder="1" applyProtection="1">
      <protection hidden="1"/>
    </xf>
    <xf numFmtId="0" fontId="9" fillId="0" borderId="0" xfId="0" applyFont="1" applyFill="1" applyProtection="1">
      <protection hidden="1"/>
    </xf>
    <xf numFmtId="0" fontId="5" fillId="0" borderId="0" xfId="0" applyFont="1" applyFill="1" applyProtection="1">
      <protection hidden="1"/>
    </xf>
    <xf numFmtId="0" fontId="4" fillId="0" borderId="0" xfId="0" applyFont="1" applyFill="1" applyProtection="1">
      <protection hidden="1"/>
    </xf>
    <xf numFmtId="0" fontId="0" fillId="0" borderId="0" xfId="0" applyProtection="1">
      <protection locked="0" hidden="1"/>
    </xf>
    <xf numFmtId="166" fontId="0" fillId="0" borderId="0" xfId="0" applyNumberFormat="1" applyProtection="1">
      <protection locked="0" hidden="1"/>
    </xf>
    <xf numFmtId="165" fontId="0" fillId="0" borderId="0" xfId="0" applyNumberFormat="1" applyProtection="1">
      <protection locked="0" hidden="1"/>
    </xf>
    <xf numFmtId="0" fontId="21" fillId="0" borderId="0" xfId="0" applyFont="1" applyProtection="1">
      <protection locked="0" hidden="1"/>
    </xf>
    <xf numFmtId="14" fontId="14" fillId="0" borderId="30" xfId="0" applyNumberFormat="1" applyFont="1" applyFill="1" applyBorder="1" applyProtection="1">
      <protection locked="0" hidden="1"/>
    </xf>
    <xf numFmtId="0" fontId="20" fillId="0" borderId="31" xfId="0" applyFont="1" applyFill="1" applyBorder="1" applyProtection="1">
      <protection locked="0" hidden="1"/>
    </xf>
    <xf numFmtId="0" fontId="20" fillId="0" borderId="0" xfId="0" applyFont="1" applyFill="1" applyProtection="1">
      <protection locked="0" hidden="1"/>
    </xf>
    <xf numFmtId="0" fontId="2" fillId="0" borderId="0" xfId="0" applyFont="1" applyFill="1" applyBorder="1" applyAlignment="1" applyProtection="1">
      <alignment horizontal="center"/>
      <protection hidden="1"/>
    </xf>
    <xf numFmtId="164" fontId="2" fillId="0" borderId="0" xfId="0" applyNumberFormat="1" applyFont="1" applyFill="1" applyBorder="1" applyAlignment="1" applyProtection="1">
      <alignment horizontal="center"/>
      <protection hidden="1"/>
    </xf>
    <xf numFmtId="14" fontId="22" fillId="7" borderId="0" xfId="0" applyNumberFormat="1" applyFont="1" applyFill="1" applyBorder="1" applyProtection="1">
      <protection hidden="1"/>
    </xf>
    <xf numFmtId="0" fontId="1" fillId="0" borderId="15" xfId="0" applyFont="1" applyFill="1" applyBorder="1" applyAlignment="1" applyProtection="1">
      <alignment horizontal="center"/>
      <protection hidden="1"/>
    </xf>
    <xf numFmtId="0" fontId="3" fillId="0" borderId="16" xfId="0" applyFont="1" applyFill="1" applyBorder="1" applyProtection="1">
      <protection hidden="1"/>
    </xf>
    <xf numFmtId="0" fontId="3" fillId="0" borderId="17" xfId="0" quotePrefix="1" applyFont="1" applyFill="1" applyBorder="1" applyAlignment="1" applyProtection="1">
      <alignment horizontal="center"/>
      <protection hidden="1"/>
    </xf>
    <xf numFmtId="40" fontId="8" fillId="0" borderId="18" xfId="0" applyNumberFormat="1" applyFont="1" applyFill="1" applyBorder="1" applyProtection="1">
      <protection locked="0"/>
    </xf>
    <xf numFmtId="40" fontId="8" fillId="0" borderId="19" xfId="0" applyNumberFormat="1" applyFont="1" applyFill="1" applyBorder="1" applyProtection="1">
      <protection locked="0"/>
    </xf>
    <xf numFmtId="40" fontId="8" fillId="0" borderId="4" xfId="0" applyNumberFormat="1" applyFont="1" applyFill="1" applyBorder="1" applyProtection="1">
      <protection locked="0" hidden="1"/>
    </xf>
    <xf numFmtId="0" fontId="1" fillId="0" borderId="20" xfId="0" applyFont="1" applyFill="1" applyBorder="1" applyAlignment="1" applyProtection="1">
      <alignment horizontal="center"/>
      <protection hidden="1"/>
    </xf>
    <xf numFmtId="0" fontId="16" fillId="0" borderId="0" xfId="0" applyNumberFormat="1" applyFont="1" applyFill="1" applyBorder="1" applyAlignment="1" applyProtection="1">
      <alignment shrinkToFit="1"/>
      <protection hidden="1"/>
    </xf>
    <xf numFmtId="169" fontId="16" fillId="0" borderId="0" xfId="0" applyNumberFormat="1" applyFont="1" applyFill="1" applyBorder="1" applyAlignment="1" applyProtection="1">
      <alignment horizontal="center"/>
      <protection locked="0"/>
    </xf>
    <xf numFmtId="40" fontId="8" fillId="0" borderId="3" xfId="0" applyNumberFormat="1" applyFont="1" applyFill="1" applyBorder="1" applyProtection="1">
      <protection hidden="1"/>
    </xf>
    <xf numFmtId="40" fontId="8" fillId="0" borderId="18" xfId="0" applyNumberFormat="1" applyFont="1" applyFill="1" applyBorder="1" applyProtection="1">
      <protection hidden="1"/>
    </xf>
    <xf numFmtId="40" fontId="8" fillId="0" borderId="17" xfId="0" applyNumberFormat="1" applyFont="1" applyFill="1" applyBorder="1" applyProtection="1">
      <protection hidden="1"/>
    </xf>
    <xf numFmtId="40" fontId="8" fillId="0" borderId="18" xfId="0" applyNumberFormat="1" applyFont="1" applyFill="1" applyBorder="1" applyProtection="1">
      <protection locked="0" hidden="1"/>
    </xf>
    <xf numFmtId="167" fontId="2" fillId="0" borderId="0" xfId="0" applyNumberFormat="1" applyFont="1" applyFill="1" applyBorder="1" applyAlignment="1" applyProtection="1">
      <alignment horizontal="center"/>
      <protection hidden="1"/>
    </xf>
    <xf numFmtId="0" fontId="1" fillId="0" borderId="0" xfId="0" applyFont="1" applyFill="1" applyProtection="1">
      <protection hidden="1"/>
    </xf>
    <xf numFmtId="0" fontId="1" fillId="0" borderId="0" xfId="0" applyFont="1" applyFill="1" applyAlignment="1" applyProtection="1">
      <alignment horizontal="right"/>
      <protection hidden="1"/>
    </xf>
    <xf numFmtId="49" fontId="16" fillId="0" borderId="0" xfId="0" applyNumberFormat="1" applyFont="1" applyFill="1" applyBorder="1" applyAlignment="1" applyProtection="1">
      <alignment horizontal="center"/>
      <protection hidden="1"/>
    </xf>
    <xf numFmtId="0" fontId="4" fillId="0" borderId="0" xfId="0" applyFont="1" applyFill="1" applyAlignment="1" applyProtection="1">
      <alignment horizontal="center"/>
      <protection hidden="1"/>
    </xf>
    <xf numFmtId="0" fontId="1" fillId="0" borderId="0" xfId="0" applyFont="1" applyFill="1" applyAlignment="1" applyProtection="1">
      <alignment horizontal="left" vertical="center"/>
      <protection hidden="1"/>
    </xf>
    <xf numFmtId="0" fontId="1" fillId="0" borderId="0" xfId="0" applyFont="1" applyFill="1" applyAlignment="1" applyProtection="1">
      <alignment horizontal="center"/>
      <protection hidden="1"/>
    </xf>
    <xf numFmtId="0" fontId="2" fillId="0" borderId="0" xfId="0" applyFont="1" applyFill="1" applyAlignment="1" applyProtection="1">
      <alignment horizontal="center"/>
      <protection hidden="1"/>
    </xf>
    <xf numFmtId="0" fontId="2" fillId="0" borderId="0" xfId="0" applyFont="1" applyFill="1" applyAlignment="1" applyProtection="1">
      <protection hidden="1"/>
    </xf>
    <xf numFmtId="168" fontId="2" fillId="0" borderId="13" xfId="0" applyNumberFormat="1" applyFont="1" applyFill="1" applyBorder="1" applyAlignment="1" applyProtection="1">
      <alignment horizontal="center"/>
      <protection hidden="1"/>
    </xf>
    <xf numFmtId="167" fontId="2" fillId="0" borderId="13" xfId="0" applyNumberFormat="1" applyFont="1" applyFill="1" applyBorder="1" applyAlignment="1" applyProtection="1">
      <alignment horizontal="center"/>
      <protection hidden="1"/>
    </xf>
    <xf numFmtId="167" fontId="2" fillId="0" borderId="0" xfId="0" applyNumberFormat="1" applyFont="1" applyFill="1" applyAlignment="1" applyProtection="1">
      <protection hidden="1"/>
    </xf>
    <xf numFmtId="0" fontId="4" fillId="0" borderId="21" xfId="0" applyFont="1" applyFill="1" applyBorder="1" applyAlignment="1" applyProtection="1">
      <alignment horizontal="center"/>
      <protection hidden="1"/>
    </xf>
    <xf numFmtId="0" fontId="4" fillId="0" borderId="1" xfId="0" applyFont="1" applyFill="1" applyBorder="1" applyAlignment="1" applyProtection="1">
      <alignment horizontal="center"/>
      <protection hidden="1"/>
    </xf>
    <xf numFmtId="0" fontId="4" fillId="0" borderId="2" xfId="0" applyFont="1" applyFill="1" applyBorder="1" applyAlignment="1" applyProtection="1">
      <alignment horizontal="center"/>
      <protection hidden="1"/>
    </xf>
    <xf numFmtId="40" fontId="8" fillId="0" borderId="4" xfId="0" applyNumberFormat="1" applyFont="1" applyFill="1" applyBorder="1" applyProtection="1">
      <protection hidden="1"/>
    </xf>
    <xf numFmtId="0" fontId="3" fillId="0" borderId="22" xfId="0" applyFont="1" applyFill="1" applyBorder="1" applyProtection="1">
      <protection hidden="1"/>
    </xf>
    <xf numFmtId="40" fontId="8" fillId="2" borderId="18" xfId="0" applyNumberFormat="1" applyFont="1" applyFill="1" applyBorder="1" applyProtection="1">
      <protection hidden="1"/>
    </xf>
    <xf numFmtId="40" fontId="8" fillId="2" borderId="19" xfId="0" applyNumberFormat="1" applyFont="1" applyFill="1" applyBorder="1" applyProtection="1">
      <protection hidden="1"/>
    </xf>
    <xf numFmtId="40" fontId="8" fillId="8" borderId="3" xfId="0" applyNumberFormat="1" applyFont="1" applyFill="1" applyBorder="1" applyProtection="1">
      <protection hidden="1"/>
    </xf>
    <xf numFmtId="0" fontId="18" fillId="0" borderId="0" xfId="0" applyFont="1" applyFill="1" applyBorder="1" applyProtection="1">
      <protection hidden="1"/>
    </xf>
    <xf numFmtId="0" fontId="5" fillId="0" borderId="0" xfId="0" applyNumberFormat="1" applyFont="1" applyFill="1" applyBorder="1" applyAlignment="1" applyProtection="1">
      <alignment horizontal="center"/>
      <protection locked="0" hidden="1"/>
    </xf>
    <xf numFmtId="0" fontId="5" fillId="0" borderId="0" xfId="0" applyNumberFormat="1" applyFont="1" applyFill="1" applyBorder="1" applyAlignment="1" applyProtection="1">
      <alignment horizontal="center"/>
      <protection hidden="1"/>
    </xf>
    <xf numFmtId="0" fontId="7" fillId="0" borderId="0" xfId="0" applyFont="1" applyFill="1" applyBorder="1" applyAlignment="1" applyProtection="1">
      <alignment horizontal="center"/>
      <protection hidden="1"/>
    </xf>
    <xf numFmtId="0" fontId="3" fillId="0" borderId="0" xfId="0" applyFont="1" applyFill="1" applyAlignment="1" applyProtection="1">
      <alignment horizontal="left"/>
      <protection hidden="1"/>
    </xf>
    <xf numFmtId="0" fontId="1" fillId="0" borderId="0" xfId="0" applyFont="1" applyFill="1" applyAlignment="1" applyProtection="1">
      <alignment horizontal="center"/>
      <protection hidden="1"/>
    </xf>
    <xf numFmtId="0" fontId="5" fillId="0" borderId="0" xfId="0" applyFont="1" applyFill="1" applyAlignment="1" applyProtection="1">
      <alignment horizontal="center"/>
      <protection hidden="1"/>
    </xf>
    <xf numFmtId="0" fontId="23" fillId="0" borderId="23" xfId="0" applyFont="1" applyFill="1" applyBorder="1" applyAlignment="1" applyProtection="1">
      <alignment horizontal="center" shrinkToFit="1"/>
      <protection hidden="1"/>
    </xf>
    <xf numFmtId="0" fontId="1" fillId="0" borderId="6" xfId="0" applyFont="1" applyFill="1" applyBorder="1" applyAlignment="1" applyProtection="1">
      <alignment horizontal="center" vertical="center"/>
      <protection hidden="1"/>
    </xf>
    <xf numFmtId="0" fontId="3" fillId="0" borderId="7" xfId="0" applyFont="1" applyFill="1" applyBorder="1" applyAlignment="1" applyProtection="1">
      <alignment horizontal="center" vertical="center"/>
      <protection hidden="1"/>
    </xf>
    <xf numFmtId="0" fontId="4" fillId="0" borderId="24" xfId="0" applyFont="1" applyFill="1" applyBorder="1" applyAlignment="1" applyProtection="1">
      <alignment horizontal="center"/>
      <protection hidden="1"/>
    </xf>
    <xf numFmtId="0" fontId="4" fillId="0" borderId="25" xfId="0" applyFont="1" applyFill="1" applyBorder="1" applyAlignment="1" applyProtection="1">
      <alignment horizontal="center"/>
      <protection hidden="1"/>
    </xf>
    <xf numFmtId="0" fontId="4" fillId="0" borderId="26" xfId="0" applyFont="1" applyFill="1" applyBorder="1" applyAlignment="1" applyProtection="1">
      <alignment horizontal="center"/>
      <protection hidden="1"/>
    </xf>
    <xf numFmtId="0" fontId="15" fillId="0" borderId="0" xfId="0" applyNumberFormat="1" applyFont="1" applyFill="1" applyBorder="1" applyAlignment="1" applyProtection="1">
      <alignment horizontal="center"/>
      <protection hidden="1"/>
    </xf>
    <xf numFmtId="0" fontId="2" fillId="0" borderId="0" xfId="0" applyFont="1" applyFill="1" applyAlignment="1" applyProtection="1">
      <alignment horizontal="center"/>
      <protection hidden="1"/>
    </xf>
    <xf numFmtId="0" fontId="4" fillId="0" borderId="0" xfId="0" applyFont="1" applyFill="1" applyAlignment="1" applyProtection="1">
      <alignment horizontal="center"/>
      <protection hidden="1"/>
    </xf>
    <xf numFmtId="0" fontId="5" fillId="0" borderId="0" xfId="0" applyFont="1" applyFill="1" applyAlignment="1" applyProtection="1">
      <alignment horizontal="center"/>
      <protection locked="0"/>
    </xf>
    <xf numFmtId="0" fontId="7" fillId="0" borderId="0" xfId="0" applyFont="1" applyFill="1" applyAlignment="1" applyProtection="1">
      <alignment horizontal="center"/>
      <protection hidden="1"/>
    </xf>
    <xf numFmtId="0" fontId="16" fillId="0" borderId="23" xfId="0" applyNumberFormat="1" applyFont="1" applyFill="1" applyBorder="1" applyAlignment="1" applyProtection="1">
      <alignment horizontal="center" shrinkToFit="1"/>
      <protection locked="0" hidden="1"/>
    </xf>
    <xf numFmtId="0" fontId="15" fillId="0" borderId="0" xfId="0" applyFont="1" applyFill="1" applyBorder="1" applyAlignment="1" applyProtection="1">
      <alignment horizontal="center"/>
      <protection hidden="1"/>
    </xf>
    <xf numFmtId="0" fontId="2" fillId="0" borderId="0" xfId="0" applyFont="1" applyFill="1" applyBorder="1" applyAlignment="1" applyProtection="1">
      <alignment horizontal="center"/>
      <protection hidden="1"/>
    </xf>
    <xf numFmtId="0" fontId="4" fillId="0" borderId="0" xfId="0" applyFont="1" applyFill="1" applyBorder="1" applyAlignment="1" applyProtection="1">
      <alignment horizontal="center"/>
      <protection hidden="1"/>
    </xf>
    <xf numFmtId="0" fontId="1" fillId="0" borderId="0" xfId="0" applyFont="1" applyFill="1" applyBorder="1" applyAlignment="1">
      <alignment horizontal="center"/>
    </xf>
    <xf numFmtId="0" fontId="1" fillId="0" borderId="0" xfId="0" applyFont="1" applyFill="1" applyBorder="1" applyAlignment="1" applyProtection="1">
      <alignment horizontal="center"/>
      <protection hidden="1"/>
    </xf>
  </cellXfs>
  <cellStyles count="1">
    <cellStyle name="Normal" xfId="0" builtinId="0"/>
  </cellStyles>
  <dxfs count="4">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844824</xdr:colOff>
      <xdr:row>40</xdr:row>
      <xdr:rowOff>28575</xdr:rowOff>
    </xdr:from>
    <xdr:to>
      <xdr:col>7</xdr:col>
      <xdr:colOff>622809</xdr:colOff>
      <xdr:row>40</xdr:row>
      <xdr:rowOff>33338</xdr:rowOff>
    </xdr:to>
    <xdr:cxnSp macro="">
      <xdr:nvCxnSpPr>
        <xdr:cNvPr id="13" name="Straight Connector 12"/>
        <xdr:cNvCxnSpPr/>
      </xdr:nvCxnSpPr>
      <xdr:spPr>
        <a:xfrm>
          <a:off x="10857150" y="8911191"/>
          <a:ext cx="3078508" cy="4763"/>
        </a:xfrm>
        <a:prstGeom prst="line">
          <a:avLst/>
        </a:prstGeom>
        <a:ln>
          <a:solidFill>
            <a:sysClr val="windowText" lastClr="000000"/>
          </a:solidFill>
        </a:ln>
      </xdr:spPr>
      <xdr:style>
        <a:lnRef idx="1">
          <a:schemeClr val="dk1"/>
        </a:lnRef>
        <a:fillRef idx="0">
          <a:schemeClr val="dk1"/>
        </a:fillRef>
        <a:effectRef idx="0">
          <a:schemeClr val="dk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467819</xdr:colOff>
      <xdr:row>15</xdr:row>
      <xdr:rowOff>191770</xdr:rowOff>
    </xdr:from>
    <xdr:to>
      <xdr:col>3</xdr:col>
      <xdr:colOff>675294</xdr:colOff>
      <xdr:row>16</xdr:row>
      <xdr:rowOff>176956</xdr:rowOff>
    </xdr:to>
    <xdr:sp macro="" textlink="">
      <xdr:nvSpPr>
        <xdr:cNvPr id="2" name="TextBox 1"/>
        <xdr:cNvSpPr txBox="1"/>
      </xdr:nvSpPr>
      <xdr:spPr>
        <a:xfrm>
          <a:off x="7517427" y="3752569"/>
          <a:ext cx="207475" cy="2233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a:t>
          </a:r>
        </a:p>
      </xdr:txBody>
    </xdr:sp>
    <xdr:clientData fPrintsWithSheet="0"/>
  </xdr:twoCellAnchor>
  <xdr:twoCellAnchor>
    <xdr:from>
      <xdr:col>3</xdr:col>
      <xdr:colOff>1329731</xdr:colOff>
      <xdr:row>15</xdr:row>
      <xdr:rowOff>194578</xdr:rowOff>
    </xdr:from>
    <xdr:to>
      <xdr:col>3</xdr:col>
      <xdr:colOff>1552997</xdr:colOff>
      <xdr:row>16</xdr:row>
      <xdr:rowOff>181908</xdr:rowOff>
    </xdr:to>
    <xdr:sp macro="" textlink="">
      <xdr:nvSpPr>
        <xdr:cNvPr id="3" name="TextBox 2"/>
        <xdr:cNvSpPr txBox="1"/>
      </xdr:nvSpPr>
      <xdr:spPr>
        <a:xfrm>
          <a:off x="8379339" y="3755377"/>
          <a:ext cx="223266" cy="2254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a:t>
          </a:r>
        </a:p>
      </xdr:txBody>
    </xdr:sp>
    <xdr:clientData fPrintsWithSheet="0"/>
  </xdr:twoCellAnchor>
  <mc:AlternateContent xmlns:mc="http://schemas.openxmlformats.org/markup-compatibility/2006">
    <mc:Choice xmlns:a14="http://schemas.microsoft.com/office/drawing/2010/main" Requires="a14">
      <xdr:twoCellAnchor editAs="oneCell">
        <xdr:from>
          <xdr:col>2</xdr:col>
          <xdr:colOff>1400175</xdr:colOff>
          <xdr:row>15</xdr:row>
          <xdr:rowOff>133350</xdr:rowOff>
        </xdr:from>
        <xdr:to>
          <xdr:col>3</xdr:col>
          <xdr:colOff>476250</xdr:colOff>
          <xdr:row>17</xdr:row>
          <xdr:rowOff>0</xdr:rowOff>
        </xdr:to>
        <xdr:sp macro="" textlink="">
          <xdr:nvSpPr>
            <xdr:cNvPr id="1041" name="Month" hidden="1">
              <a:extLst>
                <a:ext uri="{63B3BB69-23CF-44E3-9099-C40C66FF867C}">
                  <a14:compatExt spid="_x0000_s104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647700</xdr:colOff>
          <xdr:row>15</xdr:row>
          <xdr:rowOff>133350</xdr:rowOff>
        </xdr:from>
        <xdr:to>
          <xdr:col>3</xdr:col>
          <xdr:colOff>1352550</xdr:colOff>
          <xdr:row>17</xdr:row>
          <xdr:rowOff>0</xdr:rowOff>
        </xdr:to>
        <xdr:sp macro="" textlink="">
          <xdr:nvSpPr>
            <xdr:cNvPr id="1042" name="Day" hidden="1">
              <a:extLst>
                <a:ext uri="{63B3BB69-23CF-44E3-9099-C40C66FF867C}">
                  <a14:compatExt spid="_x0000_s104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1495425</xdr:colOff>
          <xdr:row>15</xdr:row>
          <xdr:rowOff>133350</xdr:rowOff>
        </xdr:from>
        <xdr:to>
          <xdr:col>4</xdr:col>
          <xdr:colOff>581025</xdr:colOff>
          <xdr:row>17</xdr:row>
          <xdr:rowOff>0</xdr:rowOff>
        </xdr:to>
        <xdr:sp macro="" textlink="">
          <xdr:nvSpPr>
            <xdr:cNvPr id="1043" name="Year" hidden="1">
              <a:extLst>
                <a:ext uri="{63B3BB69-23CF-44E3-9099-C40C66FF867C}">
                  <a14:compatExt spid="_x0000_s104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tables/table1.xml><?xml version="1.0" encoding="utf-8"?>
<table xmlns="http://schemas.openxmlformats.org/spreadsheetml/2006/main" id="22" name="Table22" displayName="Table22" ref="C8:C20" totalsRowShown="0" headerRowDxfId="3" dataDxfId="2">
  <autoFilter ref="C8:C20"/>
  <tableColumns count="1">
    <tableColumn id="1" name="Month" dataDxfId="1"/>
  </tableColumns>
  <tableStyleInfo name="TableStyleMedium9" showFirstColumn="0" showLastColumn="0" showRowStripes="1" showColumnStripes="0"/>
</table>
</file>

<file path=xl/tables/table2.xml><?xml version="1.0" encoding="utf-8"?>
<table xmlns="http://schemas.openxmlformats.org/spreadsheetml/2006/main" id="23" name="Table23" displayName="Table23" ref="D8:D39" totalsRowShown="0" headerRowDxfId="0">
  <autoFilter ref="D8:D39"/>
  <tableColumns count="1">
    <tableColumn id="1" name="Day"/>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4"/>
  <sheetViews>
    <sheetView showGridLines="0" view="pageBreakPreview" topLeftCell="B18" zoomScale="85" zoomScaleNormal="100" zoomScaleSheetLayoutView="85" workbookViewId="0">
      <selection activeCell="E40" sqref="E40:I40"/>
    </sheetView>
  </sheetViews>
  <sheetFormatPr defaultRowHeight="18" x14ac:dyDescent="0.25"/>
  <cols>
    <col min="1" max="1" width="68.42578125" style="51" customWidth="1"/>
    <col min="2" max="2" width="6.5703125" style="51" customWidth="1"/>
    <col min="3" max="3" width="26" style="51" customWidth="1"/>
    <col min="4" max="4" width="28.28515625" style="51" customWidth="1"/>
    <col min="5" max="5" width="20.7109375" style="51" customWidth="1"/>
    <col min="6" max="6" width="28.7109375" style="51" customWidth="1"/>
    <col min="7" max="9" width="20.7109375" style="51" customWidth="1"/>
    <col min="10" max="16384" width="9.140625" style="51"/>
  </cols>
  <sheetData>
    <row r="1" spans="1:9" ht="18.75" x14ac:dyDescent="0.3">
      <c r="A1" s="77"/>
      <c r="B1" s="77"/>
      <c r="C1" s="77"/>
      <c r="D1" s="77"/>
      <c r="G1" s="77"/>
      <c r="H1" s="78" t="s">
        <v>49</v>
      </c>
      <c r="I1" s="77" t="s">
        <v>51</v>
      </c>
    </row>
    <row r="2" spans="1:9" ht="18.75" x14ac:dyDescent="0.3">
      <c r="A2" s="77" t="s">
        <v>17</v>
      </c>
      <c r="B2" s="77"/>
      <c r="C2" s="77"/>
      <c r="D2" s="77"/>
      <c r="G2" s="77"/>
      <c r="H2" s="78"/>
      <c r="I2" s="77"/>
    </row>
    <row r="3" spans="1:9" ht="18.75" x14ac:dyDescent="0.3">
      <c r="G3" s="77"/>
      <c r="H3" s="78"/>
      <c r="I3" s="77"/>
    </row>
    <row r="4" spans="1:9" ht="18.75" x14ac:dyDescent="0.3">
      <c r="G4" s="77"/>
      <c r="H4" s="52"/>
    </row>
    <row r="5" spans="1:9" x14ac:dyDescent="0.25">
      <c r="C5" s="102"/>
      <c r="D5" s="102"/>
      <c r="F5" s="52"/>
    </row>
    <row r="6" spans="1:9" x14ac:dyDescent="0.25">
      <c r="F6" s="52"/>
    </row>
    <row r="7" spans="1:9" x14ac:dyDescent="0.25">
      <c r="F7" s="52"/>
    </row>
    <row r="8" spans="1:9" ht="20.25" x14ac:dyDescent="0.3">
      <c r="A8" s="39"/>
      <c r="B8" s="39"/>
      <c r="C8" s="103" t="str">
        <f>IF('WRRAR-Annex B'!C8:E8="","",'WRRAR-Annex B'!C8:E8)</f>
        <v>RB OF JAEN, INC.</v>
      </c>
      <c r="D8" s="103"/>
      <c r="E8" s="103"/>
      <c r="F8" s="39"/>
      <c r="G8" s="79">
        <f>'WRRAR-Annex B'!G8</f>
        <v>42345</v>
      </c>
      <c r="H8" s="80"/>
      <c r="I8" s="80"/>
    </row>
    <row r="9" spans="1:9" ht="18.75" x14ac:dyDescent="0.3">
      <c r="A9" s="77"/>
      <c r="B9" s="80"/>
      <c r="D9" s="81" t="s">
        <v>50</v>
      </c>
      <c r="G9" s="63" t="s">
        <v>0</v>
      </c>
      <c r="H9" s="80"/>
      <c r="I9" s="80"/>
    </row>
    <row r="10" spans="1:9" x14ac:dyDescent="0.25">
      <c r="A10" s="80"/>
      <c r="B10" s="80"/>
      <c r="D10" s="80"/>
      <c r="E10" s="80"/>
      <c r="F10" s="80"/>
      <c r="G10" s="80"/>
      <c r="H10" s="80"/>
      <c r="I10" s="80"/>
    </row>
    <row r="11" spans="1:9" x14ac:dyDescent="0.25">
      <c r="A11" s="80"/>
      <c r="B11" s="80"/>
      <c r="D11" s="80"/>
      <c r="E11" s="80"/>
      <c r="F11" s="80"/>
      <c r="G11" s="80"/>
      <c r="H11" s="80"/>
      <c r="I11" s="80"/>
    </row>
    <row r="12" spans="1:9" ht="20.25" x14ac:dyDescent="0.3">
      <c r="A12" s="109"/>
      <c r="B12" s="109"/>
      <c r="C12" s="109"/>
      <c r="D12" s="109"/>
      <c r="E12" s="109"/>
      <c r="F12" s="109"/>
      <c r="G12" s="109"/>
      <c r="H12" s="109"/>
      <c r="I12" s="80"/>
    </row>
    <row r="13" spans="1:9" ht="18.75" x14ac:dyDescent="0.3">
      <c r="A13" s="101"/>
      <c r="B13" s="101"/>
      <c r="C13" s="101"/>
      <c r="D13" s="101"/>
      <c r="E13" s="101"/>
      <c r="F13" s="101"/>
      <c r="G13" s="101"/>
      <c r="H13" s="101"/>
      <c r="I13" s="77"/>
    </row>
    <row r="14" spans="1:9" ht="18.75" x14ac:dyDescent="0.3">
      <c r="A14" s="77"/>
      <c r="B14" s="77"/>
      <c r="C14" s="77"/>
      <c r="D14" s="77"/>
      <c r="E14" s="77"/>
      <c r="F14" s="77"/>
      <c r="G14" s="77"/>
      <c r="H14" s="77"/>
      <c r="I14" s="77"/>
    </row>
    <row r="15" spans="1:9" ht="20.25" x14ac:dyDescent="0.3">
      <c r="A15" s="110" t="s">
        <v>39</v>
      </c>
      <c r="B15" s="110"/>
      <c r="C15" s="110"/>
      <c r="D15" s="110"/>
      <c r="E15" s="110"/>
      <c r="F15" s="110"/>
      <c r="G15" s="110"/>
      <c r="H15" s="110"/>
      <c r="I15" s="110"/>
    </row>
    <row r="16" spans="1:9" ht="18.75" x14ac:dyDescent="0.3">
      <c r="A16" s="82"/>
      <c r="B16" s="82"/>
      <c r="C16" s="82"/>
      <c r="D16" s="82"/>
      <c r="E16" s="82"/>
      <c r="F16" s="82"/>
      <c r="G16" s="82"/>
      <c r="H16" s="82"/>
      <c r="I16" s="82"/>
    </row>
    <row r="17" spans="1:9" ht="16.5" customHeight="1" thickBot="1" x14ac:dyDescent="0.35">
      <c r="C17" s="84" t="s">
        <v>40</v>
      </c>
      <c r="D17" s="85" t="str">
        <f>IF(AND(bank!C7="Month",bank!D7="Day",bank!E7="Year"),"",bank!C7&amp;"/"&amp;bank!D7&amp;"/"&amp;bank!E7)</f>
        <v/>
      </c>
      <c r="E17" s="83" t="s">
        <v>41</v>
      </c>
      <c r="F17" s="86" t="str">
        <f>IF(bank!G8="","",bank!G8)</f>
        <v/>
      </c>
      <c r="G17" s="84"/>
      <c r="H17" s="87"/>
      <c r="I17" s="84"/>
    </row>
    <row r="18" spans="1:9" ht="16.5" customHeight="1" x14ac:dyDescent="0.3">
      <c r="A18" s="82"/>
      <c r="B18" s="82"/>
      <c r="C18" s="82"/>
      <c r="D18" s="82" t="s">
        <v>42</v>
      </c>
      <c r="E18" s="82"/>
      <c r="F18" s="82" t="s">
        <v>42</v>
      </c>
      <c r="G18" s="82"/>
      <c r="H18" s="82"/>
      <c r="I18" s="82"/>
    </row>
    <row r="19" spans="1:9" ht="16.5" customHeight="1" x14ac:dyDescent="0.3">
      <c r="A19" s="82"/>
      <c r="B19" s="82"/>
      <c r="C19" s="82"/>
      <c r="D19" s="82"/>
      <c r="E19" s="82"/>
      <c r="F19" s="82"/>
      <c r="G19" s="82"/>
      <c r="H19" s="82"/>
      <c r="I19" s="82"/>
    </row>
    <row r="20" spans="1:9" x14ac:dyDescent="0.25">
      <c r="A20" s="111"/>
      <c r="B20" s="111"/>
      <c r="C20" s="111"/>
      <c r="D20" s="111"/>
      <c r="E20" s="111"/>
      <c r="F20" s="111"/>
      <c r="G20" s="111"/>
      <c r="H20" s="111"/>
      <c r="I20" s="111"/>
    </row>
    <row r="21" spans="1:9" ht="18.75" thickBot="1" x14ac:dyDescent="0.3"/>
    <row r="22" spans="1:9" ht="19.5" thickBot="1" x14ac:dyDescent="0.35">
      <c r="A22" s="104" t="s">
        <v>1</v>
      </c>
      <c r="B22" s="12" t="s">
        <v>2</v>
      </c>
      <c r="C22" s="106" t="s">
        <v>27</v>
      </c>
      <c r="D22" s="107"/>
      <c r="E22" s="107"/>
      <c r="F22" s="107"/>
      <c r="G22" s="107"/>
      <c r="H22" s="107"/>
      <c r="I22" s="108"/>
    </row>
    <row r="23" spans="1:9" ht="19.5" thickBot="1" x14ac:dyDescent="0.35">
      <c r="A23" s="105"/>
      <c r="B23" s="13" t="s">
        <v>3</v>
      </c>
      <c r="C23" s="13" t="s">
        <v>4</v>
      </c>
      <c r="D23" s="13" t="s">
        <v>5</v>
      </c>
      <c r="E23" s="13" t="s">
        <v>6</v>
      </c>
      <c r="F23" s="13" t="s">
        <v>7</v>
      </c>
      <c r="G23" s="13" t="s">
        <v>8</v>
      </c>
      <c r="H23" s="13" t="s">
        <v>9</v>
      </c>
      <c r="I23" s="13" t="s">
        <v>10</v>
      </c>
    </row>
    <row r="24" spans="1:9" x14ac:dyDescent="0.25">
      <c r="A24" s="88"/>
      <c r="B24" s="15"/>
      <c r="C24" s="89"/>
      <c r="D24" s="89"/>
      <c r="E24" s="89"/>
      <c r="F24" s="89"/>
      <c r="G24" s="89"/>
      <c r="H24" s="89"/>
      <c r="I24" s="90"/>
    </row>
    <row r="25" spans="1:9" ht="18.75" x14ac:dyDescent="0.3">
      <c r="A25" s="16" t="s">
        <v>26</v>
      </c>
      <c r="B25" s="17" t="s">
        <v>18</v>
      </c>
      <c r="C25" s="11">
        <f>'WRRAR-Annex B'!C25</f>
        <v>0</v>
      </c>
      <c r="D25" s="11">
        <f>'WRRAR-Annex B'!D25</f>
        <v>0</v>
      </c>
      <c r="E25" s="11">
        <f>'WRRAR-Annex B'!E25</f>
        <v>0</v>
      </c>
      <c r="F25" s="11">
        <f>'WRRAR-Annex B'!F25</f>
        <v>0</v>
      </c>
      <c r="G25" s="11">
        <f>'WRRAR-Annex B'!G25</f>
        <v>0</v>
      </c>
      <c r="H25" s="11">
        <f>'WRRAR-Annex B'!H25</f>
        <v>0</v>
      </c>
      <c r="I25" s="10">
        <f>'WRRAR-Annex B'!I25</f>
        <v>0</v>
      </c>
    </row>
    <row r="26" spans="1:9" ht="18.75" x14ac:dyDescent="0.3">
      <c r="A26" s="18" t="s">
        <v>11</v>
      </c>
      <c r="B26" s="19" t="s">
        <v>19</v>
      </c>
      <c r="C26" s="72">
        <f>'WRRAR-Annex B'!C26</f>
        <v>0</v>
      </c>
      <c r="D26" s="72">
        <f>'WRRAR-Annex B'!D26</f>
        <v>0</v>
      </c>
      <c r="E26" s="72">
        <f>'WRRAR-Annex B'!E26</f>
        <v>0</v>
      </c>
      <c r="F26" s="72">
        <f>'WRRAR-Annex B'!F26</f>
        <v>0</v>
      </c>
      <c r="G26" s="72">
        <f>'WRRAR-Annex B'!G26</f>
        <v>0</v>
      </c>
      <c r="H26" s="72">
        <f>'WRRAR-Annex B'!H26</f>
        <v>0</v>
      </c>
      <c r="I26" s="91">
        <f>'WRRAR-Annex B'!I26</f>
        <v>0</v>
      </c>
    </row>
    <row r="27" spans="1:9" ht="18.75" x14ac:dyDescent="0.3">
      <c r="A27" s="20" t="s">
        <v>12</v>
      </c>
      <c r="B27" s="19" t="s">
        <v>20</v>
      </c>
      <c r="C27" s="72">
        <f>'WRRAR-Annex B'!C27</f>
        <v>0</v>
      </c>
      <c r="D27" s="72">
        <f>'WRRAR-Annex B'!D27</f>
        <v>0</v>
      </c>
      <c r="E27" s="72">
        <f>'WRRAR-Annex B'!E27</f>
        <v>0</v>
      </c>
      <c r="F27" s="72">
        <f>'WRRAR-Annex B'!F27</f>
        <v>0</v>
      </c>
      <c r="G27" s="72">
        <f>'WRRAR-Annex B'!G27</f>
        <v>0</v>
      </c>
      <c r="H27" s="72">
        <f>'WRRAR-Annex B'!H27</f>
        <v>0</v>
      </c>
      <c r="I27" s="91">
        <f>'WRRAR-Annex B'!I27</f>
        <v>0</v>
      </c>
    </row>
    <row r="28" spans="1:9" ht="18.75" x14ac:dyDescent="0.3">
      <c r="A28" s="20" t="s">
        <v>61</v>
      </c>
      <c r="B28" s="19">
        <v>183</v>
      </c>
      <c r="C28" s="72">
        <f>'WRRAR-Annex B'!C28</f>
        <v>0</v>
      </c>
      <c r="D28" s="72">
        <f>'WRRAR-Annex B'!D28</f>
        <v>0</v>
      </c>
      <c r="E28" s="72">
        <f>'WRRAR-Annex B'!E28</f>
        <v>0</v>
      </c>
      <c r="F28" s="72">
        <f>'WRRAR-Annex B'!F28</f>
        <v>0</v>
      </c>
      <c r="G28" s="72">
        <f>'WRRAR-Annex B'!G28</f>
        <v>0</v>
      </c>
      <c r="H28" s="72">
        <f>'WRRAR-Annex B'!H28</f>
        <v>0</v>
      </c>
      <c r="I28" s="72">
        <f>'WRRAR-Annex B'!I28</f>
        <v>0</v>
      </c>
    </row>
    <row r="29" spans="1:9" ht="22.5" x14ac:dyDescent="0.3">
      <c r="A29" s="20" t="s">
        <v>68</v>
      </c>
      <c r="B29" s="19">
        <v>184</v>
      </c>
      <c r="C29" s="72">
        <f>'WRRAR-Annex B'!C29</f>
        <v>0</v>
      </c>
      <c r="D29" s="72">
        <f>'WRRAR-Annex B'!D29</f>
        <v>0</v>
      </c>
      <c r="E29" s="72">
        <f>'WRRAR-Annex B'!E29</f>
        <v>0</v>
      </c>
      <c r="F29" s="72">
        <f>'WRRAR-Annex B'!F29</f>
        <v>0</v>
      </c>
      <c r="G29" s="72">
        <f>'WRRAR-Annex B'!G29</f>
        <v>0</v>
      </c>
      <c r="H29" s="72">
        <f>'WRRAR-Annex B'!H29</f>
        <v>0</v>
      </c>
      <c r="I29" s="72">
        <f>'WRRAR-Annex B'!I29</f>
        <v>0</v>
      </c>
    </row>
    <row r="30" spans="1:9" ht="18.75" x14ac:dyDescent="0.3">
      <c r="A30" s="20" t="s">
        <v>13</v>
      </c>
      <c r="B30" s="17" t="s">
        <v>21</v>
      </c>
      <c r="C30" s="8">
        <f>'WRRAR-Annex B'!C30</f>
        <v>0</v>
      </c>
      <c r="D30" s="8">
        <f>'WRRAR-Annex B'!D30</f>
        <v>0</v>
      </c>
      <c r="E30" s="8">
        <f>'WRRAR-Annex B'!E30</f>
        <v>0</v>
      </c>
      <c r="F30" s="8">
        <f>'WRRAR-Annex B'!F30</f>
        <v>0</v>
      </c>
      <c r="G30" s="8">
        <f>'WRRAR-Annex B'!G30</f>
        <v>0</v>
      </c>
      <c r="H30" s="8">
        <f>'WRRAR-Annex B'!H30</f>
        <v>0</v>
      </c>
      <c r="I30" s="7">
        <f>'WRRAR-Annex B'!I30</f>
        <v>0</v>
      </c>
    </row>
    <row r="31" spans="1:9" ht="18.75" x14ac:dyDescent="0.3">
      <c r="A31" s="20" t="s">
        <v>25</v>
      </c>
      <c r="B31" s="17" t="s">
        <v>23</v>
      </c>
      <c r="C31" s="72">
        <f>'WRRAR-Annex B'!C36</f>
        <v>0</v>
      </c>
      <c r="D31" s="72">
        <f>'WRRAR-Annex B'!D36</f>
        <v>0</v>
      </c>
      <c r="E31" s="72">
        <f>'WRRAR-Annex B'!E36</f>
        <v>0</v>
      </c>
      <c r="F31" s="72">
        <f>'WRRAR-Annex B'!F36</f>
        <v>0</v>
      </c>
      <c r="G31" s="72">
        <f>'WRRAR-Annex B'!G36</f>
        <v>0</v>
      </c>
      <c r="H31" s="72">
        <f>'WRRAR-Annex B'!H36</f>
        <v>0</v>
      </c>
      <c r="I31" s="91">
        <f>'WRRAR-Annex B'!I36</f>
        <v>0</v>
      </c>
    </row>
    <row r="32" spans="1:9" ht="23.25" customHeight="1" x14ac:dyDescent="0.3">
      <c r="A32" s="21" t="s">
        <v>43</v>
      </c>
      <c r="B32" s="17" t="s">
        <v>24</v>
      </c>
      <c r="C32" s="9">
        <f>'WRRAR-Annex B'!C37</f>
        <v>0</v>
      </c>
      <c r="D32" s="9">
        <f>'WRRAR-Annex B'!D37</f>
        <v>0</v>
      </c>
      <c r="E32" s="9">
        <f>'WRRAR-Annex B'!E37</f>
        <v>0</v>
      </c>
      <c r="F32" s="9">
        <f>'WRRAR-Annex B'!F37</f>
        <v>0</v>
      </c>
      <c r="G32" s="9">
        <f>'WRRAR-Annex B'!G37</f>
        <v>0</v>
      </c>
      <c r="H32" s="9">
        <f>'WRRAR-Annex B'!H37</f>
        <v>0</v>
      </c>
      <c r="I32" s="10">
        <f>'WRRAR-Annex B'!I37</f>
        <v>0</v>
      </c>
    </row>
    <row r="33" spans="1:9" ht="18.75" x14ac:dyDescent="0.3">
      <c r="A33" s="20" t="s">
        <v>14</v>
      </c>
      <c r="B33" s="17" t="s">
        <v>15</v>
      </c>
      <c r="C33" s="72">
        <f>'WRRAR-Annex B'!C38</f>
        <v>0</v>
      </c>
      <c r="D33" s="72">
        <f>'WRRAR-Annex B'!D38</f>
        <v>0</v>
      </c>
      <c r="E33" s="72">
        <f>'WRRAR-Annex B'!E38</f>
        <v>0</v>
      </c>
      <c r="F33" s="72">
        <f>'WRRAR-Annex B'!F38</f>
        <v>0</v>
      </c>
      <c r="G33" s="72">
        <f>'WRRAR-Annex B'!G38</f>
        <v>0</v>
      </c>
      <c r="H33" s="72">
        <f>'WRRAR-Annex B'!H38</f>
        <v>0</v>
      </c>
      <c r="I33" s="91">
        <f>'WRRAR-Annex B'!I38</f>
        <v>0</v>
      </c>
    </row>
    <row r="34" spans="1:9" ht="19.5" thickBot="1" x14ac:dyDescent="0.35">
      <c r="A34" s="92" t="s">
        <v>16</v>
      </c>
      <c r="B34" s="65" t="s">
        <v>22</v>
      </c>
      <c r="C34" s="93">
        <f>'WRRAR-Annex B'!C39</f>
        <v>0</v>
      </c>
      <c r="D34" s="93">
        <f>'WRRAR-Annex B'!D39</f>
        <v>0</v>
      </c>
      <c r="E34" s="93">
        <f>'WRRAR-Annex B'!E39</f>
        <v>0</v>
      </c>
      <c r="F34" s="93">
        <f>'WRRAR-Annex B'!F39</f>
        <v>0</v>
      </c>
      <c r="G34" s="93">
        <f>'WRRAR-Annex B'!G39</f>
        <v>0</v>
      </c>
      <c r="H34" s="93">
        <f>'WRRAR-Annex B'!H39</f>
        <v>0</v>
      </c>
      <c r="I34" s="94">
        <f>'WRRAR-Annex B'!I39</f>
        <v>0</v>
      </c>
    </row>
    <row r="35" spans="1:9" ht="18.75" x14ac:dyDescent="0.3">
      <c r="A35" s="96" t="s">
        <v>60</v>
      </c>
      <c r="B35" s="48"/>
      <c r="C35" s="49"/>
      <c r="D35" s="49"/>
      <c r="E35" s="49"/>
      <c r="F35" s="49"/>
      <c r="G35" s="49"/>
      <c r="H35" s="49"/>
      <c r="I35" s="49"/>
    </row>
    <row r="36" spans="1:9" ht="18.75" x14ac:dyDescent="0.3">
      <c r="A36" s="47"/>
      <c r="B36" s="48"/>
      <c r="C36" s="49"/>
      <c r="D36" s="49"/>
      <c r="E36" s="49"/>
      <c r="F36" s="49"/>
      <c r="G36" s="49"/>
      <c r="H36" s="49"/>
      <c r="I36" s="49"/>
    </row>
    <row r="37" spans="1:9" ht="18.75" x14ac:dyDescent="0.3">
      <c r="A37" s="100" t="s">
        <v>56</v>
      </c>
      <c r="B37" s="100"/>
      <c r="C37" s="100"/>
      <c r="D37" s="100"/>
      <c r="E37" s="100"/>
      <c r="F37" s="100"/>
      <c r="G37" s="100"/>
      <c r="H37" s="100"/>
      <c r="I37" s="100"/>
    </row>
    <row r="40" spans="1:9" x14ac:dyDescent="0.25">
      <c r="E40" s="97"/>
      <c r="F40" s="97"/>
      <c r="G40" s="97"/>
      <c r="H40" s="97"/>
      <c r="I40" s="97"/>
    </row>
    <row r="41" spans="1:9" x14ac:dyDescent="0.25">
      <c r="E41" s="99" t="s">
        <v>55</v>
      </c>
      <c r="F41" s="99"/>
      <c r="G41" s="99"/>
      <c r="H41" s="99"/>
      <c r="I41" s="99"/>
    </row>
    <row r="43" spans="1:9" x14ac:dyDescent="0.25">
      <c r="E43" s="98" t="str">
        <f>IF('WRRAR-Annex B'!E49:I49="","",'WRRAR-Annex B'!E49:I49)</f>
        <v/>
      </c>
      <c r="F43" s="98"/>
      <c r="G43" s="98"/>
      <c r="H43" s="98"/>
      <c r="I43" s="98"/>
    </row>
    <row r="44" spans="1:9" x14ac:dyDescent="0.25">
      <c r="E44" s="99"/>
      <c r="F44" s="99"/>
      <c r="G44" s="99"/>
      <c r="H44" s="99"/>
      <c r="I44" s="99"/>
    </row>
  </sheetData>
  <sheetProtection password="8AAD" sheet="1" objects="1" scenarios="1" selectLockedCells="1"/>
  <mergeCells count="13">
    <mergeCell ref="A13:H13"/>
    <mergeCell ref="C5:D5"/>
    <mergeCell ref="C8:E8"/>
    <mergeCell ref="A22:A23"/>
    <mergeCell ref="C22:I22"/>
    <mergeCell ref="A12:H12"/>
    <mergeCell ref="A15:I15"/>
    <mergeCell ref="A20:I20"/>
    <mergeCell ref="E40:I40"/>
    <mergeCell ref="E43:I43"/>
    <mergeCell ref="E41:I41"/>
    <mergeCell ref="E44:I44"/>
    <mergeCell ref="A37:I37"/>
  </mergeCells>
  <phoneticPr fontId="0" type="noConversion"/>
  <pageMargins left="0.75" right="0.75" top="1" bottom="1" header="0.5" footer="0.5"/>
  <pageSetup paperSize="9" scale="55"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52"/>
  <sheetViews>
    <sheetView showGridLines="0" showZeros="0" tabSelected="1" view="pageBreakPreview" topLeftCell="A10" zoomScale="55" zoomScaleNormal="55" zoomScaleSheetLayoutView="55" workbookViewId="0">
      <selection activeCell="G8" sqref="G8"/>
    </sheetView>
  </sheetViews>
  <sheetFormatPr defaultRowHeight="18" x14ac:dyDescent="0.25"/>
  <cols>
    <col min="1" max="1" width="73.140625" style="1" customWidth="1"/>
    <col min="2" max="2" width="6.5703125" style="1" customWidth="1"/>
    <col min="3" max="3" width="26" style="1" customWidth="1"/>
    <col min="4" max="4" width="23.85546875" style="1" customWidth="1"/>
    <col min="5" max="5" width="20.7109375" style="1" customWidth="1"/>
    <col min="6" max="6" width="26.140625" style="1" customWidth="1"/>
    <col min="7" max="7" width="25.28515625" style="1" customWidth="1"/>
    <col min="8" max="9" width="20.7109375" style="1" customWidth="1"/>
    <col min="10" max="16384" width="9.140625" style="1"/>
  </cols>
  <sheetData>
    <row r="1" spans="1:9" ht="18.75" x14ac:dyDescent="0.3">
      <c r="A1" s="35"/>
      <c r="B1" s="35"/>
      <c r="C1" s="35"/>
      <c r="D1" s="35"/>
      <c r="E1" s="36"/>
      <c r="F1" s="35" t="s">
        <v>64</v>
      </c>
      <c r="G1" s="35"/>
      <c r="H1" s="35"/>
      <c r="I1" s="62">
        <f ca="1">TODAY()</f>
        <v>43342</v>
      </c>
    </row>
    <row r="2" spans="1:9" ht="18.75" x14ac:dyDescent="0.3">
      <c r="A2" s="35"/>
      <c r="B2" s="35"/>
      <c r="C2" s="35"/>
      <c r="D2" s="36"/>
      <c r="E2" s="36"/>
      <c r="F2" s="35" t="s">
        <v>65</v>
      </c>
      <c r="G2" s="35"/>
      <c r="H2" s="35"/>
      <c r="I2" s="35"/>
    </row>
    <row r="3" spans="1:9" ht="18.75" x14ac:dyDescent="0.3">
      <c r="A3" s="36"/>
      <c r="B3" s="36"/>
      <c r="C3" s="36"/>
      <c r="D3" s="36"/>
      <c r="E3" s="36"/>
      <c r="F3" s="35" t="s">
        <v>54</v>
      </c>
      <c r="G3" s="35"/>
      <c r="H3" s="37"/>
      <c r="I3" s="36"/>
    </row>
    <row r="4" spans="1:9" ht="18.75" x14ac:dyDescent="0.3">
      <c r="A4" s="36"/>
      <c r="B4" s="36"/>
      <c r="C4" s="36"/>
      <c r="D4" s="36"/>
      <c r="E4" s="36"/>
      <c r="F4" s="36"/>
      <c r="G4" s="35"/>
      <c r="H4" s="37"/>
      <c r="I4" s="36"/>
    </row>
    <row r="5" spans="1:9" ht="17.25" customHeight="1" x14ac:dyDescent="0.35">
      <c r="A5" s="36"/>
      <c r="B5" s="36"/>
      <c r="C5" s="38"/>
      <c r="D5" s="36"/>
      <c r="E5" s="36"/>
      <c r="F5" s="37"/>
      <c r="G5" s="36"/>
      <c r="H5" s="36"/>
      <c r="I5" s="36"/>
    </row>
    <row r="6" spans="1:9" x14ac:dyDescent="0.25">
      <c r="A6" s="36"/>
      <c r="B6" s="36"/>
      <c r="C6" s="36"/>
      <c r="D6" s="36"/>
      <c r="E6" s="36"/>
      <c r="F6" s="37"/>
      <c r="G6" s="36"/>
      <c r="H6" s="36"/>
      <c r="I6" s="36"/>
    </row>
    <row r="7" spans="1:9" x14ac:dyDescent="0.25">
      <c r="A7" s="36"/>
      <c r="B7" s="36"/>
      <c r="C7" s="36"/>
      <c r="D7" s="36"/>
      <c r="E7" s="36"/>
      <c r="F7" s="37"/>
      <c r="G7" s="36"/>
      <c r="H7" s="36"/>
      <c r="I7" s="36"/>
    </row>
    <row r="8" spans="1:9" ht="20.25" x14ac:dyDescent="0.3">
      <c r="A8" s="39"/>
      <c r="B8" s="70"/>
      <c r="C8" s="114" t="s">
        <v>70</v>
      </c>
      <c r="D8" s="114"/>
      <c r="E8" s="114"/>
      <c r="F8" s="39"/>
      <c r="G8" s="71">
        <v>42345</v>
      </c>
      <c r="H8" s="41"/>
      <c r="I8" s="41"/>
    </row>
    <row r="9" spans="1:9" ht="18.75" x14ac:dyDescent="0.3">
      <c r="A9" s="40"/>
      <c r="B9" s="40"/>
      <c r="C9" s="119" t="s">
        <v>52</v>
      </c>
      <c r="D9" s="119"/>
      <c r="E9" s="119"/>
      <c r="F9" s="36"/>
      <c r="G9" s="63" t="s">
        <v>0</v>
      </c>
      <c r="H9" s="41"/>
      <c r="I9" s="41"/>
    </row>
    <row r="10" spans="1:9" x14ac:dyDescent="0.25">
      <c r="A10" s="41"/>
      <c r="B10" s="41"/>
      <c r="C10" s="36"/>
      <c r="D10" s="41"/>
      <c r="E10" s="41"/>
      <c r="F10" s="41"/>
      <c r="G10" s="41"/>
      <c r="H10" s="41"/>
      <c r="I10" s="41"/>
    </row>
    <row r="11" spans="1:9" x14ac:dyDescent="0.25">
      <c r="A11" s="41"/>
      <c r="B11" s="41"/>
      <c r="C11" s="36"/>
      <c r="D11" s="41"/>
      <c r="E11" s="41"/>
      <c r="F11" s="41"/>
      <c r="G11" s="41"/>
      <c r="H11" s="41"/>
      <c r="I11" s="41"/>
    </row>
    <row r="12" spans="1:9" ht="20.25" x14ac:dyDescent="0.3">
      <c r="A12" s="115"/>
      <c r="B12" s="115"/>
      <c r="C12" s="115"/>
      <c r="D12" s="115"/>
      <c r="E12" s="115"/>
      <c r="F12" s="115"/>
      <c r="G12" s="115"/>
      <c r="H12" s="115"/>
      <c r="I12" s="41"/>
    </row>
    <row r="13" spans="1:9" ht="18.75" x14ac:dyDescent="0.3">
      <c r="A13" s="118"/>
      <c r="B13" s="118"/>
      <c r="C13" s="118"/>
      <c r="D13" s="118"/>
      <c r="E13" s="118"/>
      <c r="F13" s="118"/>
      <c r="G13" s="118"/>
      <c r="H13" s="118"/>
      <c r="I13" s="23"/>
    </row>
    <row r="14" spans="1:9" ht="18.75" x14ac:dyDescent="0.3">
      <c r="A14" s="23"/>
      <c r="B14" s="23"/>
      <c r="C14" s="23"/>
      <c r="D14" s="23"/>
      <c r="E14" s="23"/>
      <c r="F14" s="23"/>
      <c r="G14" s="23"/>
      <c r="H14" s="23"/>
      <c r="I14" s="23"/>
    </row>
    <row r="15" spans="1:9" ht="20.25" x14ac:dyDescent="0.3">
      <c r="A15" s="116" t="s">
        <v>39</v>
      </c>
      <c r="B15" s="116"/>
      <c r="C15" s="116"/>
      <c r="D15" s="116"/>
      <c r="E15" s="116"/>
      <c r="F15" s="116"/>
      <c r="G15" s="116"/>
      <c r="H15" s="116"/>
      <c r="I15" s="116"/>
    </row>
    <row r="16" spans="1:9" ht="18.75" x14ac:dyDescent="0.3">
      <c r="A16" s="42"/>
      <c r="B16" s="42"/>
      <c r="C16" s="42"/>
      <c r="D16" s="42"/>
      <c r="E16" s="42"/>
      <c r="F16" s="42"/>
      <c r="G16" s="42"/>
      <c r="H16" s="42"/>
      <c r="I16" s="42"/>
    </row>
    <row r="17" spans="1:9" ht="16.5" customHeight="1" thickBot="1" x14ac:dyDescent="0.35">
      <c r="A17" s="116" t="s">
        <v>66</v>
      </c>
      <c r="B17" s="116"/>
      <c r="C17" s="116"/>
      <c r="D17" s="61" t="str">
        <f>IF(AND(bank!C7="Month",bank!D7="Day",bank!E7="Year"),"",bank!C7&amp;"/"&amp;bank!D7&amp;"/"&amp;bank!E7)</f>
        <v/>
      </c>
      <c r="E17" s="60" t="s">
        <v>48</v>
      </c>
      <c r="F17" s="76">
        <f>bank!G8</f>
        <v>0</v>
      </c>
      <c r="G17" s="43"/>
      <c r="H17" s="43"/>
      <c r="I17" s="43"/>
    </row>
    <row r="18" spans="1:9" ht="16.5" customHeight="1" x14ac:dyDescent="0.3">
      <c r="A18" s="42"/>
      <c r="B18" s="42"/>
      <c r="C18" s="42"/>
      <c r="D18" s="69" t="s">
        <v>42</v>
      </c>
      <c r="E18" s="42"/>
      <c r="F18" s="69" t="s">
        <v>42</v>
      </c>
      <c r="G18" s="42"/>
      <c r="H18" s="42"/>
      <c r="I18" s="42"/>
    </row>
    <row r="19" spans="1:9" ht="16.5" customHeight="1" x14ac:dyDescent="0.3">
      <c r="A19" s="42" t="s">
        <v>53</v>
      </c>
      <c r="B19" s="42"/>
      <c r="C19" s="42"/>
      <c r="D19" s="42"/>
      <c r="E19" s="42"/>
      <c r="F19" s="42"/>
      <c r="G19" s="42"/>
      <c r="H19" s="42"/>
      <c r="I19" s="42"/>
    </row>
    <row r="20" spans="1:9" x14ac:dyDescent="0.25">
      <c r="A20" s="117"/>
      <c r="B20" s="117"/>
      <c r="C20" s="117"/>
      <c r="D20" s="117"/>
      <c r="E20" s="117"/>
      <c r="F20" s="117"/>
      <c r="G20" s="117"/>
      <c r="H20" s="117"/>
      <c r="I20" s="117"/>
    </row>
    <row r="21" spans="1:9" ht="18.75" thickBot="1" x14ac:dyDescent="0.3">
      <c r="A21" s="44"/>
      <c r="B21" s="44"/>
      <c r="C21" s="44"/>
      <c r="D21" s="44"/>
      <c r="E21" s="44"/>
      <c r="F21" s="44"/>
      <c r="G21" s="44"/>
      <c r="H21" s="44"/>
      <c r="I21" s="44"/>
    </row>
    <row r="22" spans="1:9" ht="19.5" thickBot="1" x14ac:dyDescent="0.35">
      <c r="A22" s="104" t="s">
        <v>1</v>
      </c>
      <c r="B22" s="12" t="s">
        <v>2</v>
      </c>
      <c r="C22" s="106" t="s">
        <v>27</v>
      </c>
      <c r="D22" s="107"/>
      <c r="E22" s="107"/>
      <c r="F22" s="107"/>
      <c r="G22" s="107"/>
      <c r="H22" s="107"/>
      <c r="I22" s="108"/>
    </row>
    <row r="23" spans="1:9" ht="19.5" thickBot="1" x14ac:dyDescent="0.35">
      <c r="A23" s="105"/>
      <c r="B23" s="13" t="s">
        <v>3</v>
      </c>
      <c r="C23" s="13" t="s">
        <v>4</v>
      </c>
      <c r="D23" s="13" t="s">
        <v>5</v>
      </c>
      <c r="E23" s="13" t="s">
        <v>6</v>
      </c>
      <c r="F23" s="13" t="s">
        <v>7</v>
      </c>
      <c r="G23" s="13" t="s">
        <v>8</v>
      </c>
      <c r="H23" s="13" t="s">
        <v>9</v>
      </c>
      <c r="I23" s="13" t="s">
        <v>10</v>
      </c>
    </row>
    <row r="24" spans="1:9" x14ac:dyDescent="0.25">
      <c r="A24" s="14"/>
      <c r="B24" s="15"/>
      <c r="C24" s="2"/>
      <c r="D24" s="2"/>
      <c r="E24" s="2"/>
      <c r="F24" s="2"/>
      <c r="G24" s="2"/>
      <c r="H24" s="2"/>
      <c r="I24" s="3"/>
    </row>
    <row r="25" spans="1:9" ht="18.75" x14ac:dyDescent="0.3">
      <c r="A25" s="16" t="s">
        <v>26</v>
      </c>
      <c r="B25" s="17" t="s">
        <v>18</v>
      </c>
      <c r="C25" s="11">
        <f t="shared" ref="C25:I25" si="0">SUM(C26,C27,C30,C36)</f>
        <v>0</v>
      </c>
      <c r="D25" s="11">
        <f>SUM(D26,D27,D30,D36)</f>
        <v>0</v>
      </c>
      <c r="E25" s="11">
        <f>SUM(E26,E27,E30,E36)</f>
        <v>0</v>
      </c>
      <c r="F25" s="11">
        <f t="shared" si="0"/>
        <v>0</v>
      </c>
      <c r="G25" s="11">
        <f t="shared" si="0"/>
        <v>0</v>
      </c>
      <c r="H25" s="11">
        <f t="shared" si="0"/>
        <v>0</v>
      </c>
      <c r="I25" s="10">
        <f t="shared" si="0"/>
        <v>0</v>
      </c>
    </row>
    <row r="26" spans="1:9" ht="18.75" x14ac:dyDescent="0.3">
      <c r="A26" s="18" t="s">
        <v>11</v>
      </c>
      <c r="B26" s="19" t="s">
        <v>19</v>
      </c>
      <c r="C26" s="34"/>
      <c r="D26" s="72">
        <f>C26</f>
        <v>0</v>
      </c>
      <c r="E26" s="72">
        <f>C26</f>
        <v>0</v>
      </c>
      <c r="F26" s="4"/>
      <c r="G26" s="4"/>
      <c r="H26" s="4"/>
      <c r="I26" s="68"/>
    </row>
    <row r="27" spans="1:9" ht="18.75" x14ac:dyDescent="0.3">
      <c r="A27" s="20" t="s">
        <v>12</v>
      </c>
      <c r="B27" s="19" t="s">
        <v>20</v>
      </c>
      <c r="C27" s="34"/>
      <c r="D27" s="72">
        <f>C27</f>
        <v>0</v>
      </c>
      <c r="E27" s="72">
        <f>C27</f>
        <v>0</v>
      </c>
      <c r="F27" s="4"/>
      <c r="G27" s="4"/>
      <c r="H27" s="4"/>
      <c r="I27" s="5"/>
    </row>
    <row r="28" spans="1:9" ht="18.75" x14ac:dyDescent="0.3">
      <c r="A28" s="20" t="s">
        <v>59</v>
      </c>
      <c r="B28" s="19">
        <v>183</v>
      </c>
      <c r="C28" s="34"/>
      <c r="D28" s="72">
        <f>C28</f>
        <v>0</v>
      </c>
      <c r="E28" s="72">
        <f>C28</f>
        <v>0</v>
      </c>
      <c r="F28" s="4"/>
      <c r="G28" s="4"/>
      <c r="H28" s="4"/>
      <c r="I28" s="5"/>
    </row>
    <row r="29" spans="1:9" ht="22.5" x14ac:dyDescent="0.3">
      <c r="A29" s="20" t="s">
        <v>67</v>
      </c>
      <c r="B29" s="19">
        <v>184</v>
      </c>
      <c r="C29" s="95">
        <f t="shared" ref="C29:I29" si="1">C27-C28</f>
        <v>0</v>
      </c>
      <c r="D29" s="95">
        <f t="shared" si="1"/>
        <v>0</v>
      </c>
      <c r="E29" s="95">
        <f t="shared" si="1"/>
        <v>0</v>
      </c>
      <c r="F29" s="95">
        <f t="shared" si="1"/>
        <v>0</v>
      </c>
      <c r="G29" s="95">
        <f t="shared" si="1"/>
        <v>0</v>
      </c>
      <c r="H29" s="95">
        <f t="shared" si="1"/>
        <v>0</v>
      </c>
      <c r="I29" s="95">
        <f t="shared" si="1"/>
        <v>0</v>
      </c>
    </row>
    <row r="30" spans="1:9" ht="18.75" x14ac:dyDescent="0.3">
      <c r="A30" s="20" t="s">
        <v>13</v>
      </c>
      <c r="B30" s="17" t="s">
        <v>21</v>
      </c>
      <c r="C30" s="8">
        <f t="shared" ref="C30:I30" si="2">SUM(C31,C34,C35)</f>
        <v>0</v>
      </c>
      <c r="D30" s="8">
        <f t="shared" si="2"/>
        <v>0</v>
      </c>
      <c r="E30" s="8">
        <f t="shared" si="2"/>
        <v>0</v>
      </c>
      <c r="F30" s="8">
        <f t="shared" si="2"/>
        <v>0</v>
      </c>
      <c r="G30" s="8">
        <f t="shared" si="2"/>
        <v>0</v>
      </c>
      <c r="H30" s="8">
        <f t="shared" si="2"/>
        <v>0</v>
      </c>
      <c r="I30" s="7">
        <f t="shared" si="2"/>
        <v>0</v>
      </c>
    </row>
    <row r="31" spans="1:9" ht="18.75" x14ac:dyDescent="0.3">
      <c r="A31" s="45" t="s">
        <v>28</v>
      </c>
      <c r="B31" s="17" t="s">
        <v>29</v>
      </c>
      <c r="C31" s="6">
        <f t="shared" ref="C31:I31" si="3">SUM(C32:C33)</f>
        <v>0</v>
      </c>
      <c r="D31" s="6">
        <f t="shared" si="3"/>
        <v>0</v>
      </c>
      <c r="E31" s="6">
        <f t="shared" si="3"/>
        <v>0</v>
      </c>
      <c r="F31" s="6">
        <f t="shared" si="3"/>
        <v>0</v>
      </c>
      <c r="G31" s="6">
        <f t="shared" si="3"/>
        <v>0</v>
      </c>
      <c r="H31" s="6">
        <f t="shared" si="3"/>
        <v>0</v>
      </c>
      <c r="I31" s="7">
        <f t="shared" si="3"/>
        <v>0</v>
      </c>
    </row>
    <row r="32" spans="1:9" ht="42" customHeight="1" x14ac:dyDescent="0.3">
      <c r="A32" s="46" t="s">
        <v>58</v>
      </c>
      <c r="B32" s="17">
        <v>416</v>
      </c>
      <c r="C32" s="34"/>
      <c r="D32" s="72">
        <f>C32</f>
        <v>0</v>
      </c>
      <c r="E32" s="72">
        <f>C32</f>
        <v>0</v>
      </c>
      <c r="F32" s="4"/>
      <c r="G32" s="4"/>
      <c r="H32" s="4"/>
      <c r="I32" s="5"/>
    </row>
    <row r="33" spans="1:9" ht="18.75" x14ac:dyDescent="0.3">
      <c r="A33" s="46" t="s">
        <v>38</v>
      </c>
      <c r="B33" s="17">
        <v>417</v>
      </c>
      <c r="C33" s="34"/>
      <c r="D33" s="72">
        <f>C33</f>
        <v>0</v>
      </c>
      <c r="E33" s="72">
        <f>C33</f>
        <v>0</v>
      </c>
      <c r="F33" s="4"/>
      <c r="G33" s="4"/>
      <c r="H33" s="4"/>
      <c r="I33" s="5"/>
    </row>
    <row r="34" spans="1:9" ht="18.75" x14ac:dyDescent="0.3">
      <c r="A34" s="20" t="s">
        <v>30</v>
      </c>
      <c r="B34" s="17" t="s">
        <v>31</v>
      </c>
      <c r="C34" s="34"/>
      <c r="D34" s="72">
        <f>C34</f>
        <v>0</v>
      </c>
      <c r="E34" s="72">
        <f>C34</f>
        <v>0</v>
      </c>
      <c r="F34" s="4"/>
      <c r="G34" s="4"/>
      <c r="H34" s="4"/>
      <c r="I34" s="5"/>
    </row>
    <row r="35" spans="1:9" ht="18.75" x14ac:dyDescent="0.3">
      <c r="A35" s="20" t="s">
        <v>32</v>
      </c>
      <c r="B35" s="17" t="s">
        <v>33</v>
      </c>
      <c r="C35" s="34"/>
      <c r="D35" s="72">
        <f>C35</f>
        <v>0</v>
      </c>
      <c r="E35" s="72">
        <f>C35</f>
        <v>0</v>
      </c>
      <c r="F35" s="4"/>
      <c r="G35" s="4"/>
      <c r="H35" s="4"/>
      <c r="I35" s="5"/>
    </row>
    <row r="36" spans="1:9" ht="18.75" x14ac:dyDescent="0.3">
      <c r="A36" s="20" t="s">
        <v>25</v>
      </c>
      <c r="B36" s="17" t="s">
        <v>23</v>
      </c>
      <c r="C36" s="34"/>
      <c r="D36" s="72">
        <f>C36</f>
        <v>0</v>
      </c>
      <c r="E36" s="72">
        <f>C36</f>
        <v>0</v>
      </c>
      <c r="F36" s="4"/>
      <c r="G36" s="4"/>
      <c r="H36" s="4"/>
      <c r="I36" s="5"/>
    </row>
    <row r="37" spans="1:9" ht="23.25" customHeight="1" x14ac:dyDescent="0.3">
      <c r="A37" s="21" t="s">
        <v>43</v>
      </c>
      <c r="B37" s="17" t="s">
        <v>24</v>
      </c>
      <c r="C37" s="9">
        <f>SUM(C38:C39)</f>
        <v>0</v>
      </c>
      <c r="D37" s="9">
        <f t="shared" ref="D37:I37" si="4">SUM(D38:D39)</f>
        <v>0</v>
      </c>
      <c r="E37" s="9">
        <f t="shared" si="4"/>
        <v>0</v>
      </c>
      <c r="F37" s="9">
        <f t="shared" si="4"/>
        <v>0</v>
      </c>
      <c r="G37" s="9">
        <f t="shared" si="4"/>
        <v>0</v>
      </c>
      <c r="H37" s="9">
        <f t="shared" si="4"/>
        <v>0</v>
      </c>
      <c r="I37" s="10">
        <f t="shared" si="4"/>
        <v>0</v>
      </c>
    </row>
    <row r="38" spans="1:9" ht="18.75" x14ac:dyDescent="0.3">
      <c r="A38" s="20" t="s">
        <v>14</v>
      </c>
      <c r="B38" s="17" t="s">
        <v>15</v>
      </c>
      <c r="C38" s="34"/>
      <c r="D38" s="72">
        <f>C38</f>
        <v>0</v>
      </c>
      <c r="E38" s="72">
        <f>C38</f>
        <v>0</v>
      </c>
      <c r="F38" s="4"/>
      <c r="G38" s="4"/>
      <c r="H38" s="4"/>
      <c r="I38" s="5"/>
    </row>
    <row r="39" spans="1:9" ht="18.75" x14ac:dyDescent="0.3">
      <c r="A39" s="18" t="s">
        <v>16</v>
      </c>
      <c r="B39" s="17" t="s">
        <v>22</v>
      </c>
      <c r="C39" s="6">
        <f>C40+C41</f>
        <v>0</v>
      </c>
      <c r="D39" s="6">
        <f t="shared" ref="D39:I39" si="5">D40+D41</f>
        <v>0</v>
      </c>
      <c r="E39" s="6">
        <f t="shared" si="5"/>
        <v>0</v>
      </c>
      <c r="F39" s="6">
        <f t="shared" si="5"/>
        <v>0</v>
      </c>
      <c r="G39" s="6">
        <f t="shared" si="5"/>
        <v>0</v>
      </c>
      <c r="H39" s="6">
        <f t="shared" si="5"/>
        <v>0</v>
      </c>
      <c r="I39" s="6">
        <f t="shared" si="5"/>
        <v>0</v>
      </c>
    </row>
    <row r="40" spans="1:9" ht="18.75" x14ac:dyDescent="0.3">
      <c r="A40" s="20" t="s">
        <v>34</v>
      </c>
      <c r="B40" s="17" t="s">
        <v>35</v>
      </c>
      <c r="C40" s="34"/>
      <c r="D40" s="72">
        <f>C40</f>
        <v>0</v>
      </c>
      <c r="E40" s="72">
        <f>C40</f>
        <v>0</v>
      </c>
      <c r="F40" s="4"/>
      <c r="G40" s="4"/>
      <c r="H40" s="4"/>
      <c r="I40" s="5"/>
    </row>
    <row r="41" spans="1:9" ht="19.5" thickBot="1" x14ac:dyDescent="0.35">
      <c r="A41" s="64" t="s">
        <v>36</v>
      </c>
      <c r="B41" s="65" t="s">
        <v>37</v>
      </c>
      <c r="C41" s="75"/>
      <c r="D41" s="73">
        <f>C41</f>
        <v>0</v>
      </c>
      <c r="E41" s="74">
        <f>C41</f>
        <v>0</v>
      </c>
      <c r="F41" s="66"/>
      <c r="G41" s="66"/>
      <c r="H41" s="66"/>
      <c r="I41" s="67"/>
    </row>
    <row r="42" spans="1:9" ht="18.75" x14ac:dyDescent="0.3">
      <c r="A42" s="47"/>
      <c r="B42" s="48"/>
      <c r="C42" s="49"/>
      <c r="D42" s="49"/>
      <c r="E42" s="49"/>
      <c r="F42" s="49"/>
      <c r="G42" s="49"/>
      <c r="H42" s="49"/>
      <c r="I42" s="49"/>
    </row>
    <row r="43" spans="1:9" x14ac:dyDescent="0.25">
      <c r="A43" s="50" t="s">
        <v>69</v>
      </c>
      <c r="B43" s="51"/>
      <c r="C43" s="51"/>
      <c r="D43" s="51"/>
      <c r="E43" s="51"/>
      <c r="F43" s="52"/>
      <c r="G43" s="51"/>
      <c r="H43" s="51"/>
      <c r="I43" s="51"/>
    </row>
    <row r="44" spans="1:9" x14ac:dyDescent="0.25">
      <c r="A44" s="50" t="s">
        <v>57</v>
      </c>
      <c r="B44" s="51"/>
      <c r="C44" s="51"/>
      <c r="D44" s="51"/>
      <c r="E44" s="51"/>
      <c r="F44" s="51"/>
      <c r="G44" s="51"/>
      <c r="H44" s="51"/>
      <c r="I44" s="51"/>
    </row>
    <row r="45" spans="1:9" x14ac:dyDescent="0.25">
      <c r="A45" s="51"/>
      <c r="B45" s="51"/>
      <c r="C45" s="51"/>
      <c r="D45" s="51"/>
      <c r="E45" s="51"/>
      <c r="F45" s="51"/>
      <c r="G45" s="51"/>
      <c r="H45" s="51"/>
      <c r="I45" s="51"/>
    </row>
    <row r="46" spans="1:9" x14ac:dyDescent="0.25">
      <c r="A46" s="51"/>
      <c r="B46" s="51"/>
      <c r="C46" s="51"/>
      <c r="D46" s="51"/>
      <c r="E46" s="112"/>
      <c r="F46" s="112"/>
      <c r="G46" s="112"/>
      <c r="H46" s="112"/>
      <c r="I46" s="112"/>
    </row>
    <row r="47" spans="1:9" x14ac:dyDescent="0.25">
      <c r="A47" s="51" t="s">
        <v>47</v>
      </c>
      <c r="B47" s="51"/>
      <c r="C47" s="51"/>
      <c r="D47" s="51"/>
      <c r="E47" s="113"/>
      <c r="F47" s="113"/>
      <c r="G47" s="113"/>
      <c r="H47" s="113"/>
      <c r="I47" s="113"/>
    </row>
    <row r="48" spans="1:9" x14ac:dyDescent="0.25">
      <c r="A48" s="51"/>
      <c r="B48" s="51"/>
      <c r="C48" s="51"/>
      <c r="D48" s="51"/>
      <c r="E48" s="51"/>
      <c r="F48" s="51"/>
      <c r="H48" s="51"/>
      <c r="I48" s="51"/>
    </row>
    <row r="49" spans="1:9" x14ac:dyDescent="0.25">
      <c r="A49" s="51"/>
      <c r="B49" s="51"/>
      <c r="C49" s="51"/>
      <c r="D49" s="51"/>
      <c r="E49" s="112"/>
      <c r="F49" s="112"/>
      <c r="G49" s="112"/>
      <c r="H49" s="112"/>
      <c r="I49" s="112"/>
    </row>
    <row r="50" spans="1:9" x14ac:dyDescent="0.25">
      <c r="A50" s="51"/>
      <c r="B50" s="51"/>
      <c r="C50" s="51"/>
      <c r="D50" s="51"/>
      <c r="E50" s="113"/>
      <c r="F50" s="113"/>
      <c r="G50" s="113"/>
      <c r="H50" s="113"/>
      <c r="I50" s="113"/>
    </row>
    <row r="51" spans="1:9" x14ac:dyDescent="0.25">
      <c r="A51" s="51"/>
      <c r="B51" s="51"/>
      <c r="C51" s="51"/>
      <c r="D51" s="51"/>
      <c r="E51" s="51"/>
      <c r="F51" s="51"/>
      <c r="G51" s="51"/>
      <c r="H51" s="51"/>
      <c r="I51" s="51"/>
    </row>
    <row r="52" spans="1:9" x14ac:dyDescent="0.25">
      <c r="A52" s="51"/>
      <c r="B52" s="51"/>
      <c r="C52" s="51"/>
      <c r="D52" s="51"/>
      <c r="E52" s="51"/>
      <c r="F52" s="51"/>
      <c r="G52" s="51"/>
      <c r="H52" s="51"/>
      <c r="I52" s="51"/>
    </row>
  </sheetData>
  <sheetProtection password="DAA2" sheet="1" objects="1" scenarios="1" selectLockedCells="1"/>
  <mergeCells count="13">
    <mergeCell ref="E46:I46"/>
    <mergeCell ref="E49:I49"/>
    <mergeCell ref="E47:I47"/>
    <mergeCell ref="E50:I50"/>
    <mergeCell ref="C8:E8"/>
    <mergeCell ref="A12:H12"/>
    <mergeCell ref="C22:I22"/>
    <mergeCell ref="A22:A23"/>
    <mergeCell ref="A15:I15"/>
    <mergeCell ref="A20:I20"/>
    <mergeCell ref="A17:C17"/>
    <mergeCell ref="A13:H13"/>
    <mergeCell ref="C9:E9"/>
  </mergeCells>
  <phoneticPr fontId="0" type="noConversion"/>
  <dataValidations xWindow="1016" yWindow="277" count="3">
    <dataValidation type="list" allowBlank="1" showDropDown="1" showInputMessage="1" showErrorMessage="1" sqref="C5">
      <formula1>bankNames</formula1>
    </dataValidation>
    <dataValidation type="decimal" allowBlank="1" showInputMessage="1" showErrorMessage="1" errorTitle="Invalid Value" error="This amount only accepts positive numeric values" sqref="C40:I41 C32:I36 C38:I38 C26:I29">
      <formula1>0</formula1>
      <formula2>9999999999</formula2>
    </dataValidation>
    <dataValidation type="whole" allowBlank="1" showInputMessage="1" showErrorMessage="1" errorTitle="Attention!" error="Kindly enter your 6 digit bank code: ex. 049999" prompt="Enter your 6 digit bank code here. ex. 049999" sqref="G8">
      <formula1>0</formula1>
      <formula2>999999</formula2>
    </dataValidation>
  </dataValidations>
  <printOptions horizontalCentered="1"/>
  <pageMargins left="0" right="0.3" top="0.52" bottom="0.13" header="0.25" footer="0"/>
  <pageSetup scale="55" orientation="landscape" horizontalDpi="4294967295" verticalDpi="180" r:id="rId1"/>
  <headerFooter alignWithMargins="0">
    <oddHeader>&amp;R&amp;"Book Antiqua,Bold"&amp;16Annex B</oddHeader>
  </headerFooter>
  <drawing r:id="rId2"/>
  <legacyDrawing r:id="rId3"/>
  <controls>
    <mc:AlternateContent xmlns:mc="http://schemas.openxmlformats.org/markup-compatibility/2006">
      <mc:Choice Requires="x14">
        <control shapeId="1041" r:id="rId4" name="Month">
          <controlPr print="0" autoFill="0" autoLine="0" linkedCell="bank!C7" listFillRange="Month" r:id="rId5">
            <anchor moveWithCells="1">
              <from>
                <xdr:col>2</xdr:col>
                <xdr:colOff>1400175</xdr:colOff>
                <xdr:row>15</xdr:row>
                <xdr:rowOff>133350</xdr:rowOff>
              </from>
              <to>
                <xdr:col>3</xdr:col>
                <xdr:colOff>476250</xdr:colOff>
                <xdr:row>17</xdr:row>
                <xdr:rowOff>0</xdr:rowOff>
              </to>
            </anchor>
          </controlPr>
        </control>
      </mc:Choice>
      <mc:Fallback>
        <control shapeId="1041" r:id="rId4" name="Month"/>
      </mc:Fallback>
    </mc:AlternateContent>
    <mc:AlternateContent xmlns:mc="http://schemas.openxmlformats.org/markup-compatibility/2006">
      <mc:Choice Requires="x14">
        <control shapeId="1042" r:id="rId6" name="Day">
          <controlPr print="0" autoFill="0" autoLine="0" linkedCell="bank!D7" listFillRange="Day" r:id="rId7">
            <anchor moveWithCells="1">
              <from>
                <xdr:col>3</xdr:col>
                <xdr:colOff>647700</xdr:colOff>
                <xdr:row>15</xdr:row>
                <xdr:rowOff>133350</xdr:rowOff>
              </from>
              <to>
                <xdr:col>3</xdr:col>
                <xdr:colOff>1352550</xdr:colOff>
                <xdr:row>17</xdr:row>
                <xdr:rowOff>0</xdr:rowOff>
              </to>
            </anchor>
          </controlPr>
        </control>
      </mc:Choice>
      <mc:Fallback>
        <control shapeId="1042" r:id="rId6" name="Day"/>
      </mc:Fallback>
    </mc:AlternateContent>
    <mc:AlternateContent xmlns:mc="http://schemas.openxmlformats.org/markup-compatibility/2006">
      <mc:Choice Requires="x14">
        <control shapeId="1043" r:id="rId8" name="Year">
          <controlPr print="0" autoFill="0" autoLine="0" linkedCell="bank!E7" listFillRange="Year2" r:id="rId9">
            <anchor moveWithCells="1">
              <from>
                <xdr:col>3</xdr:col>
                <xdr:colOff>1495425</xdr:colOff>
                <xdr:row>15</xdr:row>
                <xdr:rowOff>133350</xdr:rowOff>
              </from>
              <to>
                <xdr:col>4</xdr:col>
                <xdr:colOff>581025</xdr:colOff>
                <xdr:row>17</xdr:row>
                <xdr:rowOff>0</xdr:rowOff>
              </to>
            </anchor>
          </controlPr>
        </control>
      </mc:Choice>
      <mc:Fallback>
        <control shapeId="1043" r:id="rId8" name="Year"/>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790"/>
  <sheetViews>
    <sheetView topLeftCell="A4" workbookViewId="0">
      <selection activeCell="A13" sqref="A13"/>
    </sheetView>
  </sheetViews>
  <sheetFormatPr defaultRowHeight="12.75" x14ac:dyDescent="0.2"/>
  <cols>
    <col min="1" max="1" width="63.85546875" bestFit="1" customWidth="1"/>
    <col min="3" max="3" width="11.140625" customWidth="1"/>
    <col min="6" max="6" width="13.140625" customWidth="1"/>
    <col min="7" max="7" width="20.85546875" customWidth="1"/>
  </cols>
  <sheetData>
    <row r="1" spans="1:9" x14ac:dyDescent="0.2">
      <c r="A1" s="29"/>
    </row>
    <row r="3" spans="1:9" x14ac:dyDescent="0.2">
      <c r="F3" s="29"/>
    </row>
    <row r="6" spans="1:9" x14ac:dyDescent="0.2">
      <c r="C6" s="53"/>
      <c r="D6" s="53"/>
      <c r="E6" s="53"/>
      <c r="F6" s="53">
        <f>IF(IF(ISERROR(G7),ERROR.TYPE(G7)=3),1,0)</f>
        <v>1</v>
      </c>
      <c r="G6" s="53"/>
    </row>
    <row r="7" spans="1:9" x14ac:dyDescent="0.2">
      <c r="B7" t="s">
        <v>62</v>
      </c>
      <c r="C7" s="53" t="s">
        <v>44</v>
      </c>
      <c r="D7" s="53" t="s">
        <v>45</v>
      </c>
      <c r="E7" s="54" t="s">
        <v>46</v>
      </c>
      <c r="F7" s="55" t="e">
        <f>D7&amp;"-"&amp;CHOOSE(C7, "Jan", "Feb"," Mar", "Apr"," May", "Jun", "July", "Aug"," Sep"," Oct", "Nov", "Dec")&amp;"-"&amp;RIGHT(E7,2)</f>
        <v>#VALUE!</v>
      </c>
      <c r="G7" s="56" t="e">
        <f>WEEKDAY(F7)</f>
        <v>#VALUE!</v>
      </c>
    </row>
    <row r="8" spans="1:9" ht="15.75" thickBot="1" x14ac:dyDescent="0.3">
      <c r="A8" s="24" t="s">
        <v>63</v>
      </c>
      <c r="B8" s="24">
        <v>1.03</v>
      </c>
      <c r="C8" s="22" t="s">
        <v>44</v>
      </c>
      <c r="D8" s="22" t="s">
        <v>45</v>
      </c>
      <c r="E8" s="30" t="s">
        <v>46</v>
      </c>
      <c r="F8" s="30"/>
      <c r="G8" s="57"/>
    </row>
    <row r="9" spans="1:9" ht="15.75" thickTop="1" x14ac:dyDescent="0.25">
      <c r="B9" s="24"/>
      <c r="C9" s="22">
        <v>1</v>
      </c>
      <c r="D9">
        <v>1</v>
      </c>
      <c r="E9" s="31">
        <v>2017</v>
      </c>
      <c r="F9" s="31"/>
      <c r="G9" s="58"/>
    </row>
    <row r="10" spans="1:9" ht="15" x14ac:dyDescent="0.25">
      <c r="B10" s="24"/>
      <c r="C10" s="22">
        <v>2</v>
      </c>
      <c r="D10">
        <v>2</v>
      </c>
      <c r="E10" s="32">
        <v>2018</v>
      </c>
      <c r="F10" s="32"/>
      <c r="G10" s="58"/>
    </row>
    <row r="11" spans="1:9" ht="15" x14ac:dyDescent="0.25">
      <c r="B11" s="24"/>
      <c r="C11" s="22">
        <v>3</v>
      </c>
      <c r="D11">
        <v>3</v>
      </c>
      <c r="E11" s="31">
        <v>2019</v>
      </c>
      <c r="F11" s="31"/>
      <c r="G11" s="58"/>
    </row>
    <row r="12" spans="1:9" ht="15" x14ac:dyDescent="0.25">
      <c r="B12" s="24"/>
      <c r="C12" s="22">
        <v>4</v>
      </c>
      <c r="D12">
        <v>4</v>
      </c>
      <c r="E12" s="32">
        <v>2020</v>
      </c>
      <c r="F12" s="32"/>
      <c r="G12" s="58"/>
    </row>
    <row r="13" spans="1:9" ht="15" x14ac:dyDescent="0.25">
      <c r="B13" s="24"/>
      <c r="C13" s="22">
        <v>5</v>
      </c>
      <c r="D13">
        <v>5</v>
      </c>
      <c r="E13" s="31">
        <v>2021</v>
      </c>
      <c r="F13" s="31"/>
      <c r="G13" s="58"/>
      <c r="I13" s="22"/>
    </row>
    <row r="14" spans="1:9" ht="15" x14ac:dyDescent="0.25">
      <c r="B14" s="24"/>
      <c r="C14" s="22">
        <v>6</v>
      </c>
      <c r="D14">
        <v>6</v>
      </c>
      <c r="E14" s="32">
        <v>2022</v>
      </c>
      <c r="F14" s="32"/>
      <c r="G14" s="58"/>
    </row>
    <row r="15" spans="1:9" ht="15" x14ac:dyDescent="0.25">
      <c r="B15" s="24"/>
      <c r="C15" s="22">
        <v>7</v>
      </c>
      <c r="D15">
        <v>7</v>
      </c>
      <c r="E15" s="33"/>
      <c r="F15" s="33"/>
      <c r="G15" s="59"/>
    </row>
    <row r="16" spans="1:9" ht="15" x14ac:dyDescent="0.25">
      <c r="B16" s="24"/>
      <c r="C16" s="22">
        <v>8</v>
      </c>
      <c r="D16">
        <v>8</v>
      </c>
      <c r="E16" s="27"/>
    </row>
    <row r="17" spans="2:4" ht="15" x14ac:dyDescent="0.25">
      <c r="B17" s="24"/>
      <c r="C17" s="22">
        <v>9</v>
      </c>
      <c r="D17">
        <v>9</v>
      </c>
    </row>
    <row r="18" spans="2:4" ht="15" x14ac:dyDescent="0.25">
      <c r="B18" s="24"/>
      <c r="C18" s="22">
        <v>10</v>
      </c>
      <c r="D18">
        <v>10</v>
      </c>
    </row>
    <row r="19" spans="2:4" ht="15" x14ac:dyDescent="0.25">
      <c r="B19" s="24"/>
      <c r="C19" s="22">
        <v>11</v>
      </c>
      <c r="D19">
        <v>11</v>
      </c>
    </row>
    <row r="20" spans="2:4" ht="15" x14ac:dyDescent="0.25">
      <c r="B20" s="24"/>
      <c r="C20" s="22">
        <v>12</v>
      </c>
      <c r="D20">
        <v>12</v>
      </c>
    </row>
    <row r="21" spans="2:4" ht="15" x14ac:dyDescent="0.25">
      <c r="B21" s="24"/>
      <c r="C21" s="28"/>
      <c r="D21">
        <v>13</v>
      </c>
    </row>
    <row r="22" spans="2:4" ht="15" x14ac:dyDescent="0.25">
      <c r="B22" s="24"/>
      <c r="D22">
        <v>14</v>
      </c>
    </row>
    <row r="23" spans="2:4" ht="15" x14ac:dyDescent="0.25">
      <c r="B23" s="24"/>
      <c r="D23">
        <v>15</v>
      </c>
    </row>
    <row r="24" spans="2:4" ht="15" x14ac:dyDescent="0.25">
      <c r="B24" s="24"/>
      <c r="D24">
        <v>16</v>
      </c>
    </row>
    <row r="25" spans="2:4" ht="15" x14ac:dyDescent="0.25">
      <c r="B25" s="24"/>
      <c r="D25">
        <v>17</v>
      </c>
    </row>
    <row r="26" spans="2:4" ht="15" x14ac:dyDescent="0.25">
      <c r="B26" s="24"/>
      <c r="D26">
        <v>18</v>
      </c>
    </row>
    <row r="27" spans="2:4" ht="15" x14ac:dyDescent="0.25">
      <c r="B27" s="24"/>
      <c r="D27">
        <v>19</v>
      </c>
    </row>
    <row r="28" spans="2:4" ht="15" x14ac:dyDescent="0.25">
      <c r="B28" s="24"/>
      <c r="D28">
        <v>20</v>
      </c>
    </row>
    <row r="29" spans="2:4" ht="15" x14ac:dyDescent="0.25">
      <c r="B29" s="24"/>
      <c r="D29">
        <v>21</v>
      </c>
    </row>
    <row r="30" spans="2:4" ht="15" x14ac:dyDescent="0.25">
      <c r="B30" s="24"/>
      <c r="D30">
        <v>22</v>
      </c>
    </row>
    <row r="31" spans="2:4" ht="15" x14ac:dyDescent="0.25">
      <c r="B31" s="24"/>
      <c r="D31">
        <v>23</v>
      </c>
    </row>
    <row r="32" spans="2:4" ht="15" x14ac:dyDescent="0.25">
      <c r="B32" s="24"/>
      <c r="D32">
        <v>24</v>
      </c>
    </row>
    <row r="33" spans="2:4" ht="15" x14ac:dyDescent="0.25">
      <c r="B33" s="24"/>
      <c r="D33">
        <v>25</v>
      </c>
    </row>
    <row r="34" spans="2:4" ht="15" x14ac:dyDescent="0.25">
      <c r="B34" s="24"/>
      <c r="D34">
        <v>26</v>
      </c>
    </row>
    <row r="35" spans="2:4" ht="15" x14ac:dyDescent="0.25">
      <c r="B35" s="24"/>
      <c r="D35">
        <v>27</v>
      </c>
    </row>
    <row r="36" spans="2:4" ht="15" x14ac:dyDescent="0.25">
      <c r="B36" s="24"/>
      <c r="D36">
        <v>28</v>
      </c>
    </row>
    <row r="37" spans="2:4" ht="15" x14ac:dyDescent="0.25">
      <c r="B37" s="24"/>
      <c r="D37">
        <v>29</v>
      </c>
    </row>
    <row r="38" spans="2:4" ht="15" x14ac:dyDescent="0.25">
      <c r="B38" s="24"/>
      <c r="D38">
        <v>30</v>
      </c>
    </row>
    <row r="39" spans="2:4" ht="15" x14ac:dyDescent="0.25">
      <c r="B39" s="24"/>
      <c r="D39">
        <v>31</v>
      </c>
    </row>
    <row r="40" spans="2:4" ht="15" x14ac:dyDescent="0.25">
      <c r="B40" s="24"/>
    </row>
    <row r="41" spans="2:4" ht="15" x14ac:dyDescent="0.25">
      <c r="B41" s="24"/>
    </row>
    <row r="42" spans="2:4" ht="15" x14ac:dyDescent="0.25">
      <c r="B42" s="24"/>
    </row>
    <row r="43" spans="2:4" ht="15" x14ac:dyDescent="0.25">
      <c r="B43" s="24"/>
    </row>
    <row r="44" spans="2:4" ht="15" x14ac:dyDescent="0.25">
      <c r="B44" s="24"/>
    </row>
    <row r="45" spans="2:4" ht="15" x14ac:dyDescent="0.25">
      <c r="B45" s="24"/>
    </row>
    <row r="46" spans="2:4" ht="15" x14ac:dyDescent="0.25">
      <c r="B46" s="24"/>
    </row>
    <row r="47" spans="2:4" ht="15" x14ac:dyDescent="0.25">
      <c r="B47" s="24"/>
    </row>
    <row r="48" spans="2:4" ht="15" x14ac:dyDescent="0.25">
      <c r="B48" s="24"/>
    </row>
    <row r="49" spans="2:2" ht="15" x14ac:dyDescent="0.25">
      <c r="B49" s="24"/>
    </row>
    <row r="50" spans="2:2" ht="15" x14ac:dyDescent="0.25">
      <c r="B50" s="24"/>
    </row>
    <row r="51" spans="2:2" ht="15" x14ac:dyDescent="0.25">
      <c r="B51" s="24"/>
    </row>
    <row r="52" spans="2:2" ht="15" x14ac:dyDescent="0.25">
      <c r="B52" s="24"/>
    </row>
    <row r="53" spans="2:2" ht="15" x14ac:dyDescent="0.25">
      <c r="B53" s="24"/>
    </row>
    <row r="54" spans="2:2" ht="15" x14ac:dyDescent="0.25">
      <c r="B54" s="24"/>
    </row>
    <row r="55" spans="2:2" ht="15" x14ac:dyDescent="0.25">
      <c r="B55" s="24"/>
    </row>
    <row r="56" spans="2:2" ht="15" x14ac:dyDescent="0.25">
      <c r="B56" s="24"/>
    </row>
    <row r="57" spans="2:2" ht="15" x14ac:dyDescent="0.25">
      <c r="B57" s="24"/>
    </row>
    <row r="58" spans="2:2" ht="15" x14ac:dyDescent="0.25">
      <c r="B58" s="24"/>
    </row>
    <row r="59" spans="2:2" ht="15" x14ac:dyDescent="0.25">
      <c r="B59" s="24"/>
    </row>
    <row r="60" spans="2:2" ht="15" x14ac:dyDescent="0.25">
      <c r="B60" s="24"/>
    </row>
    <row r="61" spans="2:2" ht="15" x14ac:dyDescent="0.25">
      <c r="B61" s="24"/>
    </row>
    <row r="62" spans="2:2" ht="15" x14ac:dyDescent="0.25">
      <c r="B62" s="24"/>
    </row>
    <row r="63" spans="2:2" ht="15" x14ac:dyDescent="0.25">
      <c r="B63" s="24"/>
    </row>
    <row r="64" spans="2:2" ht="15" x14ac:dyDescent="0.25">
      <c r="B64" s="24"/>
    </row>
    <row r="65" spans="2:2" ht="15" x14ac:dyDescent="0.25">
      <c r="B65" s="24"/>
    </row>
    <row r="66" spans="2:2" ht="15" x14ac:dyDescent="0.25">
      <c r="B66" s="24"/>
    </row>
    <row r="67" spans="2:2" ht="15" x14ac:dyDescent="0.25">
      <c r="B67" s="24"/>
    </row>
    <row r="68" spans="2:2" ht="15" x14ac:dyDescent="0.25">
      <c r="B68" s="24"/>
    </row>
    <row r="69" spans="2:2" ht="15" x14ac:dyDescent="0.25">
      <c r="B69" s="24"/>
    </row>
    <row r="70" spans="2:2" ht="15" x14ac:dyDescent="0.25">
      <c r="B70" s="24"/>
    </row>
    <row r="71" spans="2:2" ht="15" x14ac:dyDescent="0.25">
      <c r="B71" s="24"/>
    </row>
    <row r="72" spans="2:2" ht="15" x14ac:dyDescent="0.25">
      <c r="B72" s="24"/>
    </row>
    <row r="73" spans="2:2" ht="15" x14ac:dyDescent="0.25">
      <c r="B73" s="24"/>
    </row>
    <row r="74" spans="2:2" ht="15" x14ac:dyDescent="0.25">
      <c r="B74" s="24"/>
    </row>
    <row r="75" spans="2:2" ht="15" x14ac:dyDescent="0.25">
      <c r="B75" s="24"/>
    </row>
    <row r="76" spans="2:2" ht="15" x14ac:dyDescent="0.25">
      <c r="B76" s="24"/>
    </row>
    <row r="77" spans="2:2" ht="15" x14ac:dyDescent="0.25">
      <c r="B77" s="24"/>
    </row>
    <row r="78" spans="2:2" ht="15" x14ac:dyDescent="0.25">
      <c r="B78" s="24"/>
    </row>
    <row r="79" spans="2:2" ht="15" x14ac:dyDescent="0.25">
      <c r="B79" s="24"/>
    </row>
    <row r="80" spans="2:2" ht="15" x14ac:dyDescent="0.25">
      <c r="B80" s="24"/>
    </row>
    <row r="81" spans="2:2" ht="15" x14ac:dyDescent="0.25">
      <c r="B81" s="24"/>
    </row>
    <row r="82" spans="2:2" ht="15" x14ac:dyDescent="0.25">
      <c r="B82" s="24"/>
    </row>
    <row r="83" spans="2:2" ht="15" x14ac:dyDescent="0.25">
      <c r="B83" s="24"/>
    </row>
    <row r="84" spans="2:2" ht="15" x14ac:dyDescent="0.25">
      <c r="B84" s="24"/>
    </row>
    <row r="85" spans="2:2" ht="15" x14ac:dyDescent="0.25">
      <c r="B85" s="24"/>
    </row>
    <row r="86" spans="2:2" ht="15" x14ac:dyDescent="0.25">
      <c r="B86" s="24"/>
    </row>
    <row r="87" spans="2:2" ht="15" x14ac:dyDescent="0.25">
      <c r="B87" s="24"/>
    </row>
    <row r="88" spans="2:2" ht="15" x14ac:dyDescent="0.25">
      <c r="B88" s="24"/>
    </row>
    <row r="89" spans="2:2" ht="15" x14ac:dyDescent="0.25">
      <c r="B89" s="24"/>
    </row>
    <row r="90" spans="2:2" ht="15" x14ac:dyDescent="0.25">
      <c r="B90" s="24"/>
    </row>
    <row r="91" spans="2:2" ht="15" x14ac:dyDescent="0.25">
      <c r="B91" s="24"/>
    </row>
    <row r="92" spans="2:2" ht="15" x14ac:dyDescent="0.25">
      <c r="B92" s="24"/>
    </row>
    <row r="93" spans="2:2" ht="15" x14ac:dyDescent="0.25">
      <c r="B93" s="24"/>
    </row>
    <row r="94" spans="2:2" ht="15" x14ac:dyDescent="0.25">
      <c r="B94" s="24"/>
    </row>
    <row r="95" spans="2:2" ht="15" x14ac:dyDescent="0.25">
      <c r="B95" s="24"/>
    </row>
    <row r="96" spans="2:2" ht="15" x14ac:dyDescent="0.25">
      <c r="B96" s="24"/>
    </row>
    <row r="97" spans="2:2" ht="15" x14ac:dyDescent="0.25">
      <c r="B97" s="24"/>
    </row>
    <row r="98" spans="2:2" ht="15" x14ac:dyDescent="0.25">
      <c r="B98" s="24"/>
    </row>
    <row r="99" spans="2:2" ht="15" x14ac:dyDescent="0.25">
      <c r="B99" s="24"/>
    </row>
    <row r="100" spans="2:2" ht="15" x14ac:dyDescent="0.25">
      <c r="B100" s="24"/>
    </row>
    <row r="101" spans="2:2" ht="15" x14ac:dyDescent="0.25">
      <c r="B101" s="24"/>
    </row>
    <row r="102" spans="2:2" ht="15" x14ac:dyDescent="0.25">
      <c r="B102" s="24"/>
    </row>
    <row r="103" spans="2:2" ht="15" x14ac:dyDescent="0.25">
      <c r="B103" s="24"/>
    </row>
    <row r="104" spans="2:2" ht="15" x14ac:dyDescent="0.25">
      <c r="B104" s="24"/>
    </row>
    <row r="105" spans="2:2" ht="15" x14ac:dyDescent="0.25">
      <c r="B105" s="24"/>
    </row>
    <row r="106" spans="2:2" ht="15" x14ac:dyDescent="0.25">
      <c r="B106" s="24"/>
    </row>
    <row r="107" spans="2:2" ht="15" x14ac:dyDescent="0.25">
      <c r="B107" s="24"/>
    </row>
    <row r="108" spans="2:2" ht="15" x14ac:dyDescent="0.25">
      <c r="B108" s="24"/>
    </row>
    <row r="109" spans="2:2" ht="15" x14ac:dyDescent="0.25">
      <c r="B109" s="24"/>
    </row>
    <row r="110" spans="2:2" ht="15" x14ac:dyDescent="0.25">
      <c r="B110" s="24"/>
    </row>
    <row r="111" spans="2:2" ht="15" x14ac:dyDescent="0.25">
      <c r="B111" s="24"/>
    </row>
    <row r="112" spans="2:2" ht="15" x14ac:dyDescent="0.25">
      <c r="B112" s="24"/>
    </row>
    <row r="113" spans="2:2" ht="15" x14ac:dyDescent="0.25">
      <c r="B113" s="24"/>
    </row>
    <row r="114" spans="2:2" ht="15" x14ac:dyDescent="0.25">
      <c r="B114" s="24"/>
    </row>
    <row r="115" spans="2:2" ht="15" x14ac:dyDescent="0.25">
      <c r="B115" s="24"/>
    </row>
    <row r="116" spans="2:2" ht="15" x14ac:dyDescent="0.25">
      <c r="B116" s="24"/>
    </row>
    <row r="117" spans="2:2" ht="15" x14ac:dyDescent="0.25">
      <c r="B117" s="24"/>
    </row>
    <row r="118" spans="2:2" ht="15" x14ac:dyDescent="0.25">
      <c r="B118" s="24"/>
    </row>
    <row r="119" spans="2:2" ht="15" x14ac:dyDescent="0.25">
      <c r="B119" s="24"/>
    </row>
    <row r="120" spans="2:2" ht="15" x14ac:dyDescent="0.25">
      <c r="B120" s="24"/>
    </row>
    <row r="121" spans="2:2" ht="15" x14ac:dyDescent="0.25">
      <c r="B121" s="24"/>
    </row>
    <row r="122" spans="2:2" ht="15" x14ac:dyDescent="0.25">
      <c r="B122" s="24"/>
    </row>
    <row r="123" spans="2:2" ht="15" x14ac:dyDescent="0.25">
      <c r="B123" s="24"/>
    </row>
    <row r="124" spans="2:2" ht="15" x14ac:dyDescent="0.25">
      <c r="B124" s="24"/>
    </row>
    <row r="125" spans="2:2" ht="15" x14ac:dyDescent="0.25">
      <c r="B125" s="24"/>
    </row>
    <row r="126" spans="2:2" ht="15" x14ac:dyDescent="0.25">
      <c r="B126" s="24"/>
    </row>
    <row r="127" spans="2:2" ht="15" x14ac:dyDescent="0.25">
      <c r="B127" s="24"/>
    </row>
    <row r="128" spans="2:2" ht="15" x14ac:dyDescent="0.25">
      <c r="B128" s="24"/>
    </row>
    <row r="129" spans="2:2" ht="15" x14ac:dyDescent="0.25">
      <c r="B129" s="24"/>
    </row>
    <row r="130" spans="2:2" ht="15" x14ac:dyDescent="0.25">
      <c r="B130" s="24"/>
    </row>
    <row r="131" spans="2:2" ht="15" x14ac:dyDescent="0.25">
      <c r="B131" s="24"/>
    </row>
    <row r="132" spans="2:2" ht="15" x14ac:dyDescent="0.25">
      <c r="B132" s="24"/>
    </row>
    <row r="133" spans="2:2" ht="15" x14ac:dyDescent="0.25">
      <c r="B133" s="24"/>
    </row>
    <row r="134" spans="2:2" ht="15" x14ac:dyDescent="0.25">
      <c r="B134" s="24"/>
    </row>
    <row r="135" spans="2:2" ht="15" x14ac:dyDescent="0.25">
      <c r="B135" s="24"/>
    </row>
    <row r="136" spans="2:2" ht="15" x14ac:dyDescent="0.25">
      <c r="B136" s="24"/>
    </row>
    <row r="137" spans="2:2" ht="15" x14ac:dyDescent="0.25">
      <c r="B137" s="24"/>
    </row>
    <row r="138" spans="2:2" ht="15" x14ac:dyDescent="0.25">
      <c r="B138" s="24"/>
    </row>
    <row r="139" spans="2:2" ht="15" x14ac:dyDescent="0.25">
      <c r="B139" s="24"/>
    </row>
    <row r="140" spans="2:2" ht="15" x14ac:dyDescent="0.25">
      <c r="B140" s="24"/>
    </row>
    <row r="141" spans="2:2" ht="15" x14ac:dyDescent="0.25">
      <c r="B141" s="24"/>
    </row>
    <row r="142" spans="2:2" ht="15" x14ac:dyDescent="0.25">
      <c r="B142" s="24"/>
    </row>
    <row r="143" spans="2:2" ht="15" x14ac:dyDescent="0.25">
      <c r="B143" s="24"/>
    </row>
    <row r="144" spans="2:2" ht="15" x14ac:dyDescent="0.25">
      <c r="B144" s="24"/>
    </row>
    <row r="145" spans="2:2" ht="15" x14ac:dyDescent="0.25">
      <c r="B145" s="24"/>
    </row>
    <row r="146" spans="2:2" ht="15" x14ac:dyDescent="0.25">
      <c r="B146" s="24"/>
    </row>
    <row r="147" spans="2:2" ht="15" x14ac:dyDescent="0.25">
      <c r="B147" s="24"/>
    </row>
    <row r="148" spans="2:2" ht="15" x14ac:dyDescent="0.25">
      <c r="B148" s="24"/>
    </row>
    <row r="149" spans="2:2" ht="15" x14ac:dyDescent="0.25">
      <c r="B149" s="24"/>
    </row>
    <row r="150" spans="2:2" ht="15" x14ac:dyDescent="0.25">
      <c r="B150" s="24"/>
    </row>
    <row r="151" spans="2:2" ht="15" x14ac:dyDescent="0.25">
      <c r="B151" s="24"/>
    </row>
    <row r="152" spans="2:2" ht="15" x14ac:dyDescent="0.25">
      <c r="B152" s="24"/>
    </row>
    <row r="153" spans="2:2" ht="15" x14ac:dyDescent="0.25">
      <c r="B153" s="24"/>
    </row>
    <row r="154" spans="2:2" ht="15" x14ac:dyDescent="0.25">
      <c r="B154" s="24"/>
    </row>
    <row r="155" spans="2:2" ht="15" x14ac:dyDescent="0.25">
      <c r="B155" s="24"/>
    </row>
    <row r="156" spans="2:2" ht="15" x14ac:dyDescent="0.25">
      <c r="B156" s="24"/>
    </row>
    <row r="157" spans="2:2" ht="15" x14ac:dyDescent="0.25">
      <c r="B157" s="24"/>
    </row>
    <row r="158" spans="2:2" ht="15" x14ac:dyDescent="0.25">
      <c r="B158" s="24"/>
    </row>
    <row r="159" spans="2:2" ht="15" x14ac:dyDescent="0.25">
      <c r="B159" s="24"/>
    </row>
    <row r="160" spans="2:2" ht="15" x14ac:dyDescent="0.25">
      <c r="B160" s="24"/>
    </row>
    <row r="161" spans="2:2" ht="15" x14ac:dyDescent="0.25">
      <c r="B161" s="24"/>
    </row>
    <row r="162" spans="2:2" ht="15" x14ac:dyDescent="0.25">
      <c r="B162" s="24"/>
    </row>
    <row r="163" spans="2:2" ht="15" x14ac:dyDescent="0.25">
      <c r="B163" s="24"/>
    </row>
    <row r="164" spans="2:2" ht="15" x14ac:dyDescent="0.25">
      <c r="B164" s="24"/>
    </row>
    <row r="165" spans="2:2" ht="15" x14ac:dyDescent="0.25">
      <c r="B165" s="24"/>
    </row>
    <row r="166" spans="2:2" ht="15" x14ac:dyDescent="0.25">
      <c r="B166" s="24"/>
    </row>
    <row r="167" spans="2:2" ht="15" x14ac:dyDescent="0.25">
      <c r="B167" s="24"/>
    </row>
    <row r="168" spans="2:2" ht="15" x14ac:dyDescent="0.25">
      <c r="B168" s="24"/>
    </row>
    <row r="169" spans="2:2" ht="15" x14ac:dyDescent="0.25">
      <c r="B169" s="24"/>
    </row>
    <row r="170" spans="2:2" ht="15" x14ac:dyDescent="0.25">
      <c r="B170" s="24"/>
    </row>
    <row r="171" spans="2:2" ht="15" x14ac:dyDescent="0.25">
      <c r="B171" s="24"/>
    </row>
    <row r="172" spans="2:2" ht="15" x14ac:dyDescent="0.25">
      <c r="B172" s="24"/>
    </row>
    <row r="173" spans="2:2" ht="15" x14ac:dyDescent="0.25">
      <c r="B173" s="25"/>
    </row>
    <row r="174" spans="2:2" ht="15" x14ac:dyDescent="0.25">
      <c r="B174" s="24"/>
    </row>
    <row r="175" spans="2:2" ht="15" x14ac:dyDescent="0.25">
      <c r="B175" s="24"/>
    </row>
    <row r="176" spans="2:2" ht="15" x14ac:dyDescent="0.25">
      <c r="B176" s="24"/>
    </row>
    <row r="177" spans="2:2" ht="15" x14ac:dyDescent="0.25">
      <c r="B177" s="24"/>
    </row>
    <row r="178" spans="2:2" ht="15" x14ac:dyDescent="0.25">
      <c r="B178" s="24"/>
    </row>
    <row r="179" spans="2:2" ht="15" x14ac:dyDescent="0.25">
      <c r="B179" s="24"/>
    </row>
    <row r="180" spans="2:2" ht="15" x14ac:dyDescent="0.25">
      <c r="B180" s="24"/>
    </row>
    <row r="181" spans="2:2" ht="15" x14ac:dyDescent="0.25">
      <c r="B181" s="24"/>
    </row>
    <row r="182" spans="2:2" ht="15" x14ac:dyDescent="0.25">
      <c r="B182" s="24"/>
    </row>
    <row r="183" spans="2:2" ht="15" x14ac:dyDescent="0.25">
      <c r="B183" s="24"/>
    </row>
    <row r="184" spans="2:2" ht="15" x14ac:dyDescent="0.25">
      <c r="B184" s="24"/>
    </row>
    <row r="185" spans="2:2" ht="15" x14ac:dyDescent="0.25">
      <c r="B185" s="24"/>
    </row>
    <row r="186" spans="2:2" ht="15" x14ac:dyDescent="0.25">
      <c r="B186" s="24"/>
    </row>
    <row r="187" spans="2:2" ht="15" x14ac:dyDescent="0.25">
      <c r="B187" s="24"/>
    </row>
    <row r="188" spans="2:2" ht="15" x14ac:dyDescent="0.25">
      <c r="B188" s="24"/>
    </row>
    <row r="189" spans="2:2" ht="15" x14ac:dyDescent="0.25">
      <c r="B189" s="24"/>
    </row>
    <row r="190" spans="2:2" ht="15" x14ac:dyDescent="0.25">
      <c r="B190" s="24"/>
    </row>
    <row r="191" spans="2:2" ht="15" x14ac:dyDescent="0.25">
      <c r="B191" s="24"/>
    </row>
    <row r="192" spans="2:2" ht="15" x14ac:dyDescent="0.25">
      <c r="B192" s="24"/>
    </row>
    <row r="193" spans="2:2" ht="15" x14ac:dyDescent="0.25">
      <c r="B193" s="24"/>
    </row>
    <row r="194" spans="2:2" ht="15" x14ac:dyDescent="0.25">
      <c r="B194" s="24"/>
    </row>
    <row r="195" spans="2:2" ht="15" x14ac:dyDescent="0.25">
      <c r="B195" s="24"/>
    </row>
    <row r="196" spans="2:2" ht="15" x14ac:dyDescent="0.25">
      <c r="B196" s="24"/>
    </row>
    <row r="197" spans="2:2" ht="15" x14ac:dyDescent="0.25">
      <c r="B197" s="24"/>
    </row>
    <row r="198" spans="2:2" ht="15" x14ac:dyDescent="0.25">
      <c r="B198" s="24"/>
    </row>
    <row r="199" spans="2:2" ht="15" x14ac:dyDescent="0.25">
      <c r="B199" s="24"/>
    </row>
    <row r="200" spans="2:2" ht="15" x14ac:dyDescent="0.25">
      <c r="B200" s="24"/>
    </row>
    <row r="201" spans="2:2" ht="15" x14ac:dyDescent="0.25">
      <c r="B201" s="24"/>
    </row>
    <row r="202" spans="2:2" ht="15" x14ac:dyDescent="0.25">
      <c r="B202" s="24"/>
    </row>
    <row r="203" spans="2:2" ht="15" x14ac:dyDescent="0.25">
      <c r="B203" s="24"/>
    </row>
    <row r="204" spans="2:2" ht="15" x14ac:dyDescent="0.25">
      <c r="B204" s="24"/>
    </row>
    <row r="205" spans="2:2" ht="15" x14ac:dyDescent="0.25">
      <c r="B205" s="24"/>
    </row>
    <row r="206" spans="2:2" ht="15" x14ac:dyDescent="0.25">
      <c r="B206" s="24"/>
    </row>
    <row r="207" spans="2:2" ht="15" x14ac:dyDescent="0.25">
      <c r="B207" s="24"/>
    </row>
    <row r="208" spans="2:2" ht="15" x14ac:dyDescent="0.25">
      <c r="B208" s="24"/>
    </row>
    <row r="209" spans="2:2" ht="15" x14ac:dyDescent="0.25">
      <c r="B209" s="24"/>
    </row>
    <row r="210" spans="2:2" ht="15" x14ac:dyDescent="0.25">
      <c r="B210" s="24"/>
    </row>
    <row r="211" spans="2:2" ht="15" x14ac:dyDescent="0.25">
      <c r="B211" s="24"/>
    </row>
    <row r="212" spans="2:2" ht="15" x14ac:dyDescent="0.25">
      <c r="B212" s="24"/>
    </row>
    <row r="213" spans="2:2" ht="15" x14ac:dyDescent="0.25">
      <c r="B213" s="24"/>
    </row>
    <row r="214" spans="2:2" ht="15" x14ac:dyDescent="0.25">
      <c r="B214" s="24"/>
    </row>
    <row r="215" spans="2:2" ht="15" x14ac:dyDescent="0.25">
      <c r="B215" s="24"/>
    </row>
    <row r="216" spans="2:2" ht="15" x14ac:dyDescent="0.25">
      <c r="B216" s="24"/>
    </row>
    <row r="217" spans="2:2" ht="15" x14ac:dyDescent="0.25">
      <c r="B217" s="24"/>
    </row>
    <row r="218" spans="2:2" ht="15" x14ac:dyDescent="0.25">
      <c r="B218" s="24"/>
    </row>
    <row r="219" spans="2:2" ht="15" x14ac:dyDescent="0.25">
      <c r="B219" s="24"/>
    </row>
    <row r="220" spans="2:2" ht="15" x14ac:dyDescent="0.25">
      <c r="B220" s="24"/>
    </row>
    <row r="221" spans="2:2" ht="15" x14ac:dyDescent="0.25">
      <c r="B221" s="24"/>
    </row>
    <row r="222" spans="2:2" ht="15" x14ac:dyDescent="0.25">
      <c r="B222" s="24"/>
    </row>
    <row r="223" spans="2:2" ht="15" x14ac:dyDescent="0.25">
      <c r="B223" s="24"/>
    </row>
    <row r="224" spans="2:2" ht="15" x14ac:dyDescent="0.25">
      <c r="B224" s="24"/>
    </row>
    <row r="225" spans="2:2" ht="15" x14ac:dyDescent="0.25">
      <c r="B225" s="24"/>
    </row>
    <row r="226" spans="2:2" ht="15" x14ac:dyDescent="0.25">
      <c r="B226" s="24"/>
    </row>
    <row r="227" spans="2:2" ht="15" x14ac:dyDescent="0.25">
      <c r="B227" s="24"/>
    </row>
    <row r="228" spans="2:2" ht="15" x14ac:dyDescent="0.25">
      <c r="B228" s="24"/>
    </row>
    <row r="229" spans="2:2" ht="15" x14ac:dyDescent="0.25">
      <c r="B229" s="24"/>
    </row>
    <row r="230" spans="2:2" ht="15" x14ac:dyDescent="0.25">
      <c r="B230" s="24"/>
    </row>
    <row r="231" spans="2:2" ht="15" x14ac:dyDescent="0.25">
      <c r="B231" s="24"/>
    </row>
    <row r="232" spans="2:2" ht="15" x14ac:dyDescent="0.25">
      <c r="B232" s="24"/>
    </row>
    <row r="233" spans="2:2" ht="15" x14ac:dyDescent="0.25">
      <c r="B233" s="24"/>
    </row>
    <row r="234" spans="2:2" ht="15" x14ac:dyDescent="0.25">
      <c r="B234" s="24"/>
    </row>
    <row r="235" spans="2:2" ht="15" x14ac:dyDescent="0.25">
      <c r="B235" s="24"/>
    </row>
    <row r="236" spans="2:2" ht="15" x14ac:dyDescent="0.25">
      <c r="B236" s="24"/>
    </row>
    <row r="237" spans="2:2" ht="15" x14ac:dyDescent="0.25">
      <c r="B237" s="24"/>
    </row>
    <row r="238" spans="2:2" ht="15" x14ac:dyDescent="0.25">
      <c r="B238" s="24"/>
    </row>
    <row r="239" spans="2:2" ht="15" x14ac:dyDescent="0.25">
      <c r="B239" s="24"/>
    </row>
    <row r="240" spans="2:2" ht="15" x14ac:dyDescent="0.25">
      <c r="B240" s="24"/>
    </row>
    <row r="241" spans="2:2" ht="15" x14ac:dyDescent="0.25">
      <c r="B241" s="24"/>
    </row>
    <row r="242" spans="2:2" ht="15" x14ac:dyDescent="0.25">
      <c r="B242" s="24"/>
    </row>
    <row r="243" spans="2:2" ht="15" x14ac:dyDescent="0.25">
      <c r="B243" s="24"/>
    </row>
    <row r="244" spans="2:2" ht="15" x14ac:dyDescent="0.25">
      <c r="B244" s="24"/>
    </row>
    <row r="245" spans="2:2" ht="15" x14ac:dyDescent="0.25">
      <c r="B245" s="24"/>
    </row>
    <row r="246" spans="2:2" ht="15" x14ac:dyDescent="0.25">
      <c r="B246" s="24"/>
    </row>
    <row r="247" spans="2:2" ht="15" x14ac:dyDescent="0.25">
      <c r="B247" s="24"/>
    </row>
    <row r="248" spans="2:2" ht="15" x14ac:dyDescent="0.25">
      <c r="B248" s="24"/>
    </row>
    <row r="249" spans="2:2" ht="15" x14ac:dyDescent="0.25">
      <c r="B249" s="24"/>
    </row>
    <row r="250" spans="2:2" ht="15" x14ac:dyDescent="0.25">
      <c r="B250" s="24"/>
    </row>
    <row r="251" spans="2:2" ht="15" x14ac:dyDescent="0.25">
      <c r="B251" s="24"/>
    </row>
    <row r="252" spans="2:2" ht="15" x14ac:dyDescent="0.25">
      <c r="B252" s="24"/>
    </row>
    <row r="253" spans="2:2" ht="15" x14ac:dyDescent="0.25">
      <c r="B253" s="24"/>
    </row>
    <row r="254" spans="2:2" ht="15" x14ac:dyDescent="0.25">
      <c r="B254" s="24"/>
    </row>
    <row r="255" spans="2:2" ht="15" x14ac:dyDescent="0.25">
      <c r="B255" s="24"/>
    </row>
    <row r="256" spans="2:2" ht="15" x14ac:dyDescent="0.25">
      <c r="B256" s="24"/>
    </row>
    <row r="257" spans="2:2" ht="15" x14ac:dyDescent="0.25">
      <c r="B257" s="24"/>
    </row>
    <row r="258" spans="2:2" ht="15" x14ac:dyDescent="0.25">
      <c r="B258" s="24"/>
    </row>
    <row r="259" spans="2:2" ht="15" x14ac:dyDescent="0.25">
      <c r="B259" s="24"/>
    </row>
    <row r="260" spans="2:2" ht="15" x14ac:dyDescent="0.25">
      <c r="B260" s="24"/>
    </row>
    <row r="261" spans="2:2" ht="15" x14ac:dyDescent="0.25">
      <c r="B261" s="24"/>
    </row>
    <row r="262" spans="2:2" ht="15" x14ac:dyDescent="0.25">
      <c r="B262" s="24"/>
    </row>
    <row r="263" spans="2:2" ht="15" x14ac:dyDescent="0.25">
      <c r="B263" s="24"/>
    </row>
    <row r="264" spans="2:2" ht="15" x14ac:dyDescent="0.25">
      <c r="B264" s="24"/>
    </row>
    <row r="265" spans="2:2" ht="15" x14ac:dyDescent="0.25">
      <c r="B265" s="24"/>
    </row>
    <row r="266" spans="2:2" ht="15" x14ac:dyDescent="0.25">
      <c r="B266" s="24"/>
    </row>
    <row r="267" spans="2:2" ht="15" x14ac:dyDescent="0.25">
      <c r="B267" s="24"/>
    </row>
    <row r="268" spans="2:2" ht="15" x14ac:dyDescent="0.25">
      <c r="B268" s="24"/>
    </row>
    <row r="269" spans="2:2" ht="15" x14ac:dyDescent="0.25">
      <c r="B269" s="24"/>
    </row>
    <row r="270" spans="2:2" ht="15" x14ac:dyDescent="0.25">
      <c r="B270" s="24"/>
    </row>
    <row r="271" spans="2:2" ht="15" x14ac:dyDescent="0.25">
      <c r="B271" s="24"/>
    </row>
    <row r="272" spans="2:2" ht="15" x14ac:dyDescent="0.25">
      <c r="B272" s="24"/>
    </row>
    <row r="273" spans="2:2" ht="15" x14ac:dyDescent="0.25">
      <c r="B273" s="24"/>
    </row>
    <row r="274" spans="2:2" ht="15" x14ac:dyDescent="0.25">
      <c r="B274" s="24"/>
    </row>
    <row r="275" spans="2:2" ht="15" x14ac:dyDescent="0.25">
      <c r="B275" s="24"/>
    </row>
    <row r="276" spans="2:2" ht="15" x14ac:dyDescent="0.25">
      <c r="B276" s="24"/>
    </row>
    <row r="277" spans="2:2" ht="15" x14ac:dyDescent="0.25">
      <c r="B277" s="24"/>
    </row>
    <row r="278" spans="2:2" ht="15" x14ac:dyDescent="0.25">
      <c r="B278" s="24"/>
    </row>
    <row r="279" spans="2:2" ht="15" x14ac:dyDescent="0.25">
      <c r="B279" s="24"/>
    </row>
    <row r="280" spans="2:2" ht="15" x14ac:dyDescent="0.25">
      <c r="B280" s="24"/>
    </row>
    <row r="281" spans="2:2" ht="15" x14ac:dyDescent="0.25">
      <c r="B281" s="24"/>
    </row>
    <row r="282" spans="2:2" ht="15" x14ac:dyDescent="0.25">
      <c r="B282" s="24"/>
    </row>
    <row r="283" spans="2:2" ht="15" x14ac:dyDescent="0.25">
      <c r="B283" s="24"/>
    </row>
    <row r="284" spans="2:2" ht="15" x14ac:dyDescent="0.25">
      <c r="B284" s="24"/>
    </row>
    <row r="285" spans="2:2" ht="15" x14ac:dyDescent="0.25">
      <c r="B285" s="24"/>
    </row>
    <row r="286" spans="2:2" ht="15" x14ac:dyDescent="0.25">
      <c r="B286" s="24"/>
    </row>
    <row r="287" spans="2:2" ht="15" x14ac:dyDescent="0.25">
      <c r="B287" s="24"/>
    </row>
    <row r="288" spans="2:2" ht="15" x14ac:dyDescent="0.25">
      <c r="B288" s="24"/>
    </row>
    <row r="289" spans="2:2" ht="15" x14ac:dyDescent="0.25">
      <c r="B289" s="24"/>
    </row>
    <row r="290" spans="2:2" ht="15" x14ac:dyDescent="0.25">
      <c r="B290" s="24"/>
    </row>
    <row r="291" spans="2:2" ht="15" x14ac:dyDescent="0.25">
      <c r="B291" s="24"/>
    </row>
    <row r="292" spans="2:2" ht="15" x14ac:dyDescent="0.25">
      <c r="B292" s="24"/>
    </row>
    <row r="293" spans="2:2" ht="15" x14ac:dyDescent="0.25">
      <c r="B293" s="24"/>
    </row>
    <row r="294" spans="2:2" ht="15" x14ac:dyDescent="0.25">
      <c r="B294" s="24"/>
    </row>
    <row r="295" spans="2:2" ht="15" x14ac:dyDescent="0.25">
      <c r="B295" s="24"/>
    </row>
    <row r="296" spans="2:2" ht="15" x14ac:dyDescent="0.25">
      <c r="B296" s="24"/>
    </row>
    <row r="297" spans="2:2" ht="15" x14ac:dyDescent="0.25">
      <c r="B297" s="24"/>
    </row>
    <row r="298" spans="2:2" ht="15" x14ac:dyDescent="0.25">
      <c r="B298" s="24"/>
    </row>
    <row r="299" spans="2:2" ht="15" x14ac:dyDescent="0.25">
      <c r="B299" s="24"/>
    </row>
    <row r="300" spans="2:2" ht="15" x14ac:dyDescent="0.25">
      <c r="B300" s="24"/>
    </row>
    <row r="301" spans="2:2" ht="15" x14ac:dyDescent="0.25">
      <c r="B301" s="24"/>
    </row>
    <row r="302" spans="2:2" ht="15" x14ac:dyDescent="0.25">
      <c r="B302" s="24"/>
    </row>
    <row r="303" spans="2:2" ht="15" x14ac:dyDescent="0.25">
      <c r="B303" s="24"/>
    </row>
    <row r="304" spans="2:2" ht="15" x14ac:dyDescent="0.25">
      <c r="B304" s="24"/>
    </row>
    <row r="305" spans="2:2" ht="15" x14ac:dyDescent="0.25">
      <c r="B305" s="24"/>
    </row>
    <row r="306" spans="2:2" ht="15" x14ac:dyDescent="0.25">
      <c r="B306" s="24"/>
    </row>
    <row r="307" spans="2:2" ht="15" x14ac:dyDescent="0.25">
      <c r="B307" s="24"/>
    </row>
    <row r="308" spans="2:2" ht="15" x14ac:dyDescent="0.25">
      <c r="B308" s="24"/>
    </row>
    <row r="309" spans="2:2" ht="15" x14ac:dyDescent="0.25">
      <c r="B309" s="24"/>
    </row>
    <row r="310" spans="2:2" ht="15" x14ac:dyDescent="0.25">
      <c r="B310" s="24"/>
    </row>
    <row r="311" spans="2:2" ht="15" x14ac:dyDescent="0.25">
      <c r="B311" s="24"/>
    </row>
    <row r="312" spans="2:2" ht="15" x14ac:dyDescent="0.25">
      <c r="B312" s="24"/>
    </row>
    <row r="313" spans="2:2" ht="15" x14ac:dyDescent="0.25">
      <c r="B313" s="24"/>
    </row>
    <row r="314" spans="2:2" ht="15" x14ac:dyDescent="0.25">
      <c r="B314" s="24"/>
    </row>
    <row r="315" spans="2:2" ht="15" x14ac:dyDescent="0.25">
      <c r="B315" s="24"/>
    </row>
    <row r="316" spans="2:2" ht="15" x14ac:dyDescent="0.25">
      <c r="B316" s="24"/>
    </row>
    <row r="317" spans="2:2" ht="15" x14ac:dyDescent="0.25">
      <c r="B317" s="24"/>
    </row>
    <row r="318" spans="2:2" ht="15" x14ac:dyDescent="0.25">
      <c r="B318" s="24"/>
    </row>
    <row r="319" spans="2:2" ht="15" x14ac:dyDescent="0.25">
      <c r="B319" s="24"/>
    </row>
    <row r="320" spans="2:2" ht="15" x14ac:dyDescent="0.25">
      <c r="B320" s="24"/>
    </row>
    <row r="321" spans="2:2" ht="15" x14ac:dyDescent="0.25">
      <c r="B321" s="24"/>
    </row>
    <row r="322" spans="2:2" x14ac:dyDescent="0.2">
      <c r="B322" s="26"/>
    </row>
    <row r="323" spans="2:2" ht="15" x14ac:dyDescent="0.25">
      <c r="B323" s="24"/>
    </row>
    <row r="324" spans="2:2" ht="15" x14ac:dyDescent="0.25">
      <c r="B324" s="24"/>
    </row>
    <row r="325" spans="2:2" ht="15" x14ac:dyDescent="0.25">
      <c r="B325" s="24"/>
    </row>
    <row r="326" spans="2:2" ht="15" x14ac:dyDescent="0.25">
      <c r="B326" s="24"/>
    </row>
    <row r="327" spans="2:2" ht="15" x14ac:dyDescent="0.25">
      <c r="B327" s="24"/>
    </row>
    <row r="328" spans="2:2" ht="15" x14ac:dyDescent="0.25">
      <c r="B328" s="24"/>
    </row>
    <row r="329" spans="2:2" ht="15" x14ac:dyDescent="0.25">
      <c r="B329" s="24"/>
    </row>
    <row r="330" spans="2:2" ht="15" x14ac:dyDescent="0.25">
      <c r="B330" s="24"/>
    </row>
    <row r="331" spans="2:2" ht="15" x14ac:dyDescent="0.25">
      <c r="B331" s="24"/>
    </row>
    <row r="332" spans="2:2" ht="15" x14ac:dyDescent="0.25">
      <c r="B332" s="24"/>
    </row>
    <row r="333" spans="2:2" ht="15" x14ac:dyDescent="0.25">
      <c r="B333" s="24"/>
    </row>
    <row r="334" spans="2:2" ht="15" x14ac:dyDescent="0.25">
      <c r="B334" s="24"/>
    </row>
    <row r="335" spans="2:2" ht="15" x14ac:dyDescent="0.25">
      <c r="B335" s="24"/>
    </row>
    <row r="336" spans="2:2" ht="15" x14ac:dyDescent="0.25">
      <c r="B336" s="24"/>
    </row>
    <row r="337" spans="2:2" ht="15" x14ac:dyDescent="0.25">
      <c r="B337" s="24"/>
    </row>
    <row r="338" spans="2:2" ht="15" x14ac:dyDescent="0.25">
      <c r="B338" s="24"/>
    </row>
    <row r="339" spans="2:2" ht="15" x14ac:dyDescent="0.25">
      <c r="B339" s="24"/>
    </row>
    <row r="340" spans="2:2" x14ac:dyDescent="0.2">
      <c r="B340" s="26"/>
    </row>
    <row r="341" spans="2:2" ht="15" x14ac:dyDescent="0.25">
      <c r="B341" s="24"/>
    </row>
    <row r="342" spans="2:2" ht="15" x14ac:dyDescent="0.25">
      <c r="B342" s="24"/>
    </row>
    <row r="343" spans="2:2" ht="15" x14ac:dyDescent="0.25">
      <c r="B343" s="24"/>
    </row>
    <row r="344" spans="2:2" ht="15" x14ac:dyDescent="0.25">
      <c r="B344" s="24"/>
    </row>
    <row r="345" spans="2:2" ht="15" x14ac:dyDescent="0.25">
      <c r="B345" s="24"/>
    </row>
    <row r="346" spans="2:2" ht="15" x14ac:dyDescent="0.25">
      <c r="B346" s="24"/>
    </row>
    <row r="347" spans="2:2" ht="15" x14ac:dyDescent="0.25">
      <c r="B347" s="24"/>
    </row>
    <row r="348" spans="2:2" ht="15" x14ac:dyDescent="0.25">
      <c r="B348" s="24"/>
    </row>
    <row r="349" spans="2:2" ht="15" x14ac:dyDescent="0.25">
      <c r="B349" s="24"/>
    </row>
    <row r="350" spans="2:2" ht="15" x14ac:dyDescent="0.25">
      <c r="B350" s="24"/>
    </row>
    <row r="351" spans="2:2" ht="15" x14ac:dyDescent="0.25">
      <c r="B351" s="24"/>
    </row>
    <row r="352" spans="2:2" ht="15" x14ac:dyDescent="0.25">
      <c r="B352" s="24"/>
    </row>
    <row r="353" spans="2:2" ht="15" x14ac:dyDescent="0.25">
      <c r="B353" s="24"/>
    </row>
    <row r="354" spans="2:2" ht="15" x14ac:dyDescent="0.25">
      <c r="B354" s="24"/>
    </row>
    <row r="355" spans="2:2" ht="15" x14ac:dyDescent="0.25">
      <c r="B355" s="24"/>
    </row>
    <row r="356" spans="2:2" ht="15" x14ac:dyDescent="0.25">
      <c r="B356" s="24"/>
    </row>
    <row r="357" spans="2:2" ht="15" x14ac:dyDescent="0.25">
      <c r="B357" s="24"/>
    </row>
    <row r="358" spans="2:2" ht="15" x14ac:dyDescent="0.25">
      <c r="B358" s="24"/>
    </row>
    <row r="359" spans="2:2" ht="15" x14ac:dyDescent="0.25">
      <c r="B359" s="24"/>
    </row>
    <row r="360" spans="2:2" ht="15" x14ac:dyDescent="0.25">
      <c r="B360" s="24"/>
    </row>
    <row r="361" spans="2:2" ht="15" x14ac:dyDescent="0.25">
      <c r="B361" s="24"/>
    </row>
    <row r="362" spans="2:2" ht="15" x14ac:dyDescent="0.25">
      <c r="B362" s="24"/>
    </row>
    <row r="363" spans="2:2" ht="15" x14ac:dyDescent="0.25">
      <c r="B363" s="24"/>
    </row>
    <row r="364" spans="2:2" ht="15" x14ac:dyDescent="0.25">
      <c r="B364" s="24"/>
    </row>
    <row r="365" spans="2:2" ht="15" x14ac:dyDescent="0.25">
      <c r="B365" s="24"/>
    </row>
    <row r="366" spans="2:2" ht="15" x14ac:dyDescent="0.25">
      <c r="B366" s="24"/>
    </row>
    <row r="367" spans="2:2" ht="15" x14ac:dyDescent="0.25">
      <c r="B367" s="24"/>
    </row>
    <row r="368" spans="2:2" ht="15" x14ac:dyDescent="0.25">
      <c r="B368" s="24"/>
    </row>
    <row r="369" spans="2:2" ht="15" x14ac:dyDescent="0.25">
      <c r="B369" s="24"/>
    </row>
    <row r="370" spans="2:2" ht="15" x14ac:dyDescent="0.25">
      <c r="B370" s="24"/>
    </row>
    <row r="371" spans="2:2" ht="15" x14ac:dyDescent="0.25">
      <c r="B371" s="24"/>
    </row>
    <row r="372" spans="2:2" ht="15" x14ac:dyDescent="0.25">
      <c r="B372" s="24"/>
    </row>
    <row r="373" spans="2:2" ht="15" x14ac:dyDescent="0.25">
      <c r="B373" s="24"/>
    </row>
    <row r="374" spans="2:2" ht="15" x14ac:dyDescent="0.25">
      <c r="B374" s="24"/>
    </row>
    <row r="375" spans="2:2" ht="15" x14ac:dyDescent="0.25">
      <c r="B375" s="24"/>
    </row>
    <row r="376" spans="2:2" ht="15" x14ac:dyDescent="0.25">
      <c r="B376" s="24"/>
    </row>
    <row r="377" spans="2:2" ht="15" x14ac:dyDescent="0.25">
      <c r="B377" s="24"/>
    </row>
    <row r="378" spans="2:2" ht="15" x14ac:dyDescent="0.25">
      <c r="B378" s="24"/>
    </row>
    <row r="379" spans="2:2" ht="15" x14ac:dyDescent="0.25">
      <c r="B379" s="24"/>
    </row>
    <row r="380" spans="2:2" ht="15" x14ac:dyDescent="0.25">
      <c r="B380" s="24"/>
    </row>
    <row r="381" spans="2:2" ht="15" x14ac:dyDescent="0.25">
      <c r="B381" s="24"/>
    </row>
    <row r="382" spans="2:2" ht="15" x14ac:dyDescent="0.25">
      <c r="B382" s="24"/>
    </row>
    <row r="383" spans="2:2" ht="15" x14ac:dyDescent="0.25">
      <c r="B383" s="24"/>
    </row>
    <row r="384" spans="2:2" ht="15" x14ac:dyDescent="0.25">
      <c r="B384" s="24"/>
    </row>
    <row r="385" spans="2:2" ht="15" x14ac:dyDescent="0.25">
      <c r="B385" s="24"/>
    </row>
    <row r="386" spans="2:2" ht="15" x14ac:dyDescent="0.25">
      <c r="B386" s="24"/>
    </row>
    <row r="387" spans="2:2" ht="15" x14ac:dyDescent="0.25">
      <c r="B387" s="24"/>
    </row>
    <row r="388" spans="2:2" ht="15" x14ac:dyDescent="0.25">
      <c r="B388" s="24"/>
    </row>
    <row r="389" spans="2:2" ht="15" x14ac:dyDescent="0.25">
      <c r="B389" s="24"/>
    </row>
    <row r="390" spans="2:2" ht="15" x14ac:dyDescent="0.25">
      <c r="B390" s="24"/>
    </row>
    <row r="391" spans="2:2" ht="15" x14ac:dyDescent="0.25">
      <c r="B391" s="24"/>
    </row>
    <row r="392" spans="2:2" ht="15" x14ac:dyDescent="0.25">
      <c r="B392" s="24"/>
    </row>
    <row r="393" spans="2:2" ht="15" x14ac:dyDescent="0.25">
      <c r="B393" s="24"/>
    </row>
    <row r="394" spans="2:2" ht="15" x14ac:dyDescent="0.25">
      <c r="B394" s="24"/>
    </row>
    <row r="395" spans="2:2" ht="15" x14ac:dyDescent="0.25">
      <c r="B395" s="24"/>
    </row>
    <row r="396" spans="2:2" ht="15" x14ac:dyDescent="0.25">
      <c r="B396" s="24"/>
    </row>
    <row r="397" spans="2:2" ht="15" x14ac:dyDescent="0.25">
      <c r="B397" s="24"/>
    </row>
    <row r="398" spans="2:2" ht="15" x14ac:dyDescent="0.25">
      <c r="B398" s="24"/>
    </row>
    <row r="399" spans="2:2" ht="15" x14ac:dyDescent="0.25">
      <c r="B399" s="24"/>
    </row>
    <row r="400" spans="2:2" ht="15" x14ac:dyDescent="0.25">
      <c r="B400" s="24"/>
    </row>
    <row r="401" spans="2:2" ht="15" x14ac:dyDescent="0.25">
      <c r="B401" s="24"/>
    </row>
    <row r="402" spans="2:2" ht="15" x14ac:dyDescent="0.25">
      <c r="B402" s="24"/>
    </row>
    <row r="403" spans="2:2" ht="15" x14ac:dyDescent="0.25">
      <c r="B403" s="24"/>
    </row>
    <row r="404" spans="2:2" ht="15" x14ac:dyDescent="0.25">
      <c r="B404" s="24"/>
    </row>
    <row r="405" spans="2:2" ht="15" x14ac:dyDescent="0.25">
      <c r="B405" s="24"/>
    </row>
    <row r="406" spans="2:2" ht="15" x14ac:dyDescent="0.25">
      <c r="B406" s="24"/>
    </row>
    <row r="407" spans="2:2" ht="15" x14ac:dyDescent="0.25">
      <c r="B407" s="24"/>
    </row>
    <row r="408" spans="2:2" ht="15" x14ac:dyDescent="0.25">
      <c r="B408" s="24"/>
    </row>
    <row r="409" spans="2:2" ht="15" x14ac:dyDescent="0.25">
      <c r="B409" s="24"/>
    </row>
    <row r="410" spans="2:2" ht="15" x14ac:dyDescent="0.25">
      <c r="B410" s="24"/>
    </row>
    <row r="411" spans="2:2" ht="15" x14ac:dyDescent="0.25">
      <c r="B411" s="24"/>
    </row>
    <row r="412" spans="2:2" ht="15" x14ac:dyDescent="0.25">
      <c r="B412" s="24"/>
    </row>
    <row r="413" spans="2:2" ht="15" x14ac:dyDescent="0.25">
      <c r="B413" s="24"/>
    </row>
    <row r="414" spans="2:2" ht="15" x14ac:dyDescent="0.25">
      <c r="B414" s="24"/>
    </row>
    <row r="415" spans="2:2" ht="15" x14ac:dyDescent="0.25">
      <c r="B415" s="24"/>
    </row>
    <row r="416" spans="2:2" ht="15" x14ac:dyDescent="0.25">
      <c r="B416" s="24"/>
    </row>
    <row r="417" spans="2:2" ht="15" x14ac:dyDescent="0.25">
      <c r="B417" s="24"/>
    </row>
    <row r="418" spans="2:2" ht="15" x14ac:dyDescent="0.25">
      <c r="B418" s="24"/>
    </row>
    <row r="419" spans="2:2" ht="15" x14ac:dyDescent="0.25">
      <c r="B419" s="24"/>
    </row>
    <row r="420" spans="2:2" ht="15" x14ac:dyDescent="0.25">
      <c r="B420" s="24"/>
    </row>
    <row r="421" spans="2:2" ht="15" x14ac:dyDescent="0.25">
      <c r="B421" s="24"/>
    </row>
    <row r="422" spans="2:2" ht="15" x14ac:dyDescent="0.25">
      <c r="B422" s="24"/>
    </row>
    <row r="423" spans="2:2" ht="15" x14ac:dyDescent="0.25">
      <c r="B423" s="24"/>
    </row>
    <row r="424" spans="2:2" ht="15" x14ac:dyDescent="0.25">
      <c r="B424" s="24"/>
    </row>
    <row r="425" spans="2:2" ht="15" x14ac:dyDescent="0.25">
      <c r="B425" s="24"/>
    </row>
    <row r="426" spans="2:2" ht="15" x14ac:dyDescent="0.25">
      <c r="B426" s="24"/>
    </row>
    <row r="427" spans="2:2" ht="15" x14ac:dyDescent="0.25">
      <c r="B427" s="24"/>
    </row>
    <row r="428" spans="2:2" ht="15" x14ac:dyDescent="0.25">
      <c r="B428" s="24"/>
    </row>
    <row r="429" spans="2:2" ht="15" x14ac:dyDescent="0.25">
      <c r="B429" s="24"/>
    </row>
    <row r="430" spans="2:2" ht="15" x14ac:dyDescent="0.25">
      <c r="B430" s="24"/>
    </row>
    <row r="431" spans="2:2" ht="15" x14ac:dyDescent="0.25">
      <c r="B431" s="24"/>
    </row>
    <row r="432" spans="2:2" ht="15" x14ac:dyDescent="0.25">
      <c r="B432" s="24"/>
    </row>
    <row r="433" spans="2:2" ht="15" x14ac:dyDescent="0.25">
      <c r="B433" s="24"/>
    </row>
    <row r="434" spans="2:2" ht="15" x14ac:dyDescent="0.25">
      <c r="B434" s="24"/>
    </row>
    <row r="435" spans="2:2" ht="15" x14ac:dyDescent="0.25">
      <c r="B435" s="24"/>
    </row>
    <row r="436" spans="2:2" ht="15" x14ac:dyDescent="0.25">
      <c r="B436" s="24"/>
    </row>
    <row r="437" spans="2:2" ht="15" x14ac:dyDescent="0.25">
      <c r="B437" s="24"/>
    </row>
    <row r="438" spans="2:2" ht="15" x14ac:dyDescent="0.25">
      <c r="B438" s="24"/>
    </row>
    <row r="439" spans="2:2" ht="15" x14ac:dyDescent="0.25">
      <c r="B439" s="24"/>
    </row>
    <row r="440" spans="2:2" ht="15" x14ac:dyDescent="0.25">
      <c r="B440" s="24"/>
    </row>
    <row r="441" spans="2:2" ht="15" x14ac:dyDescent="0.25">
      <c r="B441" s="24"/>
    </row>
    <row r="442" spans="2:2" ht="15" x14ac:dyDescent="0.25">
      <c r="B442" s="24"/>
    </row>
    <row r="443" spans="2:2" ht="15" x14ac:dyDescent="0.25">
      <c r="B443" s="24"/>
    </row>
    <row r="444" spans="2:2" ht="15" x14ac:dyDescent="0.25">
      <c r="B444" s="24"/>
    </row>
    <row r="445" spans="2:2" ht="15" x14ac:dyDescent="0.25">
      <c r="B445" s="24"/>
    </row>
    <row r="446" spans="2:2" ht="15" x14ac:dyDescent="0.25">
      <c r="B446" s="24"/>
    </row>
    <row r="447" spans="2:2" ht="15" x14ac:dyDescent="0.25">
      <c r="B447" s="24"/>
    </row>
    <row r="448" spans="2:2" ht="15" x14ac:dyDescent="0.25">
      <c r="B448" s="24"/>
    </row>
    <row r="449" spans="2:2" ht="15" x14ac:dyDescent="0.25">
      <c r="B449" s="24"/>
    </row>
    <row r="450" spans="2:2" ht="15" x14ac:dyDescent="0.25">
      <c r="B450" s="24"/>
    </row>
    <row r="451" spans="2:2" ht="15" x14ac:dyDescent="0.25">
      <c r="B451" s="24"/>
    </row>
    <row r="452" spans="2:2" ht="15" x14ac:dyDescent="0.25">
      <c r="B452" s="24"/>
    </row>
    <row r="453" spans="2:2" ht="15" x14ac:dyDescent="0.25">
      <c r="B453" s="24"/>
    </row>
    <row r="454" spans="2:2" ht="15" x14ac:dyDescent="0.25">
      <c r="B454" s="24"/>
    </row>
    <row r="455" spans="2:2" ht="15" x14ac:dyDescent="0.25">
      <c r="B455" s="24"/>
    </row>
    <row r="456" spans="2:2" ht="15" x14ac:dyDescent="0.25">
      <c r="B456" s="24"/>
    </row>
    <row r="457" spans="2:2" ht="15" x14ac:dyDescent="0.25">
      <c r="B457" s="24"/>
    </row>
    <row r="458" spans="2:2" ht="15" x14ac:dyDescent="0.25">
      <c r="B458" s="24"/>
    </row>
    <row r="459" spans="2:2" ht="15" x14ac:dyDescent="0.25">
      <c r="B459" s="24"/>
    </row>
    <row r="460" spans="2:2" ht="15" x14ac:dyDescent="0.25">
      <c r="B460" s="24"/>
    </row>
    <row r="461" spans="2:2" ht="15" x14ac:dyDescent="0.25">
      <c r="B461" s="24"/>
    </row>
    <row r="462" spans="2:2" ht="15" x14ac:dyDescent="0.25">
      <c r="B462" s="24"/>
    </row>
    <row r="463" spans="2:2" ht="15" x14ac:dyDescent="0.25">
      <c r="B463" s="24"/>
    </row>
    <row r="464" spans="2:2" ht="15" x14ac:dyDescent="0.25">
      <c r="B464" s="24"/>
    </row>
    <row r="465" spans="2:2" ht="15" x14ac:dyDescent="0.25">
      <c r="B465" s="24"/>
    </row>
    <row r="466" spans="2:2" ht="15" x14ac:dyDescent="0.25">
      <c r="B466" s="24"/>
    </row>
    <row r="467" spans="2:2" ht="15" x14ac:dyDescent="0.25">
      <c r="B467" s="24"/>
    </row>
    <row r="468" spans="2:2" ht="15" x14ac:dyDescent="0.25">
      <c r="B468" s="24"/>
    </row>
    <row r="469" spans="2:2" ht="15" x14ac:dyDescent="0.25">
      <c r="B469" s="24"/>
    </row>
    <row r="470" spans="2:2" ht="15" x14ac:dyDescent="0.25">
      <c r="B470" s="24"/>
    </row>
    <row r="471" spans="2:2" ht="15" x14ac:dyDescent="0.25">
      <c r="B471" s="24"/>
    </row>
    <row r="472" spans="2:2" ht="15" x14ac:dyDescent="0.25">
      <c r="B472" s="24"/>
    </row>
    <row r="473" spans="2:2" ht="15" x14ac:dyDescent="0.25">
      <c r="B473" s="24"/>
    </row>
    <row r="474" spans="2:2" ht="15" x14ac:dyDescent="0.25">
      <c r="B474" s="24"/>
    </row>
    <row r="475" spans="2:2" ht="15" x14ac:dyDescent="0.25">
      <c r="B475" s="24"/>
    </row>
    <row r="476" spans="2:2" ht="15" x14ac:dyDescent="0.25">
      <c r="B476" s="24"/>
    </row>
    <row r="477" spans="2:2" ht="15" x14ac:dyDescent="0.25">
      <c r="B477" s="24"/>
    </row>
    <row r="478" spans="2:2" ht="15" x14ac:dyDescent="0.25">
      <c r="B478" s="24"/>
    </row>
    <row r="479" spans="2:2" ht="15" x14ac:dyDescent="0.25">
      <c r="B479" s="24"/>
    </row>
    <row r="480" spans="2:2" ht="15" x14ac:dyDescent="0.25">
      <c r="B480" s="24"/>
    </row>
    <row r="481" spans="2:2" ht="15" x14ac:dyDescent="0.25">
      <c r="B481" s="24"/>
    </row>
    <row r="482" spans="2:2" ht="15" x14ac:dyDescent="0.25">
      <c r="B482" s="24"/>
    </row>
    <row r="483" spans="2:2" ht="15" x14ac:dyDescent="0.25">
      <c r="B483" s="24"/>
    </row>
    <row r="484" spans="2:2" ht="15" x14ac:dyDescent="0.25">
      <c r="B484" s="24"/>
    </row>
    <row r="485" spans="2:2" ht="15" x14ac:dyDescent="0.25">
      <c r="B485" s="24"/>
    </row>
    <row r="486" spans="2:2" ht="15" x14ac:dyDescent="0.25">
      <c r="B486" s="24"/>
    </row>
    <row r="487" spans="2:2" ht="15" x14ac:dyDescent="0.25">
      <c r="B487" s="24"/>
    </row>
    <row r="488" spans="2:2" ht="15" x14ac:dyDescent="0.25">
      <c r="B488" s="24"/>
    </row>
    <row r="489" spans="2:2" ht="15" x14ac:dyDescent="0.25">
      <c r="B489" s="24"/>
    </row>
    <row r="490" spans="2:2" ht="15" x14ac:dyDescent="0.25">
      <c r="B490" s="24"/>
    </row>
    <row r="491" spans="2:2" ht="15" x14ac:dyDescent="0.25">
      <c r="B491" s="24"/>
    </row>
    <row r="492" spans="2:2" ht="15" x14ac:dyDescent="0.25">
      <c r="B492" s="24"/>
    </row>
    <row r="493" spans="2:2" ht="15" x14ac:dyDescent="0.25">
      <c r="B493" s="24"/>
    </row>
    <row r="494" spans="2:2" ht="15" x14ac:dyDescent="0.25">
      <c r="B494" s="24"/>
    </row>
    <row r="495" spans="2:2" ht="15" x14ac:dyDescent="0.25">
      <c r="B495" s="24"/>
    </row>
    <row r="496" spans="2:2" ht="15" x14ac:dyDescent="0.25">
      <c r="B496" s="24"/>
    </row>
    <row r="497" spans="2:2" ht="15" x14ac:dyDescent="0.25">
      <c r="B497" s="24"/>
    </row>
    <row r="498" spans="2:2" ht="15" x14ac:dyDescent="0.25">
      <c r="B498" s="24"/>
    </row>
    <row r="499" spans="2:2" ht="15" x14ac:dyDescent="0.25">
      <c r="B499" s="24"/>
    </row>
    <row r="500" spans="2:2" ht="15" x14ac:dyDescent="0.25">
      <c r="B500" s="24"/>
    </row>
    <row r="501" spans="2:2" ht="15" x14ac:dyDescent="0.25">
      <c r="B501" s="24"/>
    </row>
    <row r="502" spans="2:2" ht="15" x14ac:dyDescent="0.25">
      <c r="B502" s="24"/>
    </row>
    <row r="503" spans="2:2" ht="15" x14ac:dyDescent="0.25">
      <c r="B503" s="24"/>
    </row>
    <row r="504" spans="2:2" ht="15" x14ac:dyDescent="0.25">
      <c r="B504" s="24"/>
    </row>
    <row r="505" spans="2:2" ht="15" x14ac:dyDescent="0.25">
      <c r="B505" s="24"/>
    </row>
    <row r="506" spans="2:2" ht="15" x14ac:dyDescent="0.25">
      <c r="B506" s="24"/>
    </row>
    <row r="507" spans="2:2" ht="15" x14ac:dyDescent="0.25">
      <c r="B507" s="24"/>
    </row>
    <row r="508" spans="2:2" ht="15" x14ac:dyDescent="0.25">
      <c r="B508" s="24"/>
    </row>
    <row r="509" spans="2:2" ht="15" x14ac:dyDescent="0.25">
      <c r="B509" s="24"/>
    </row>
    <row r="510" spans="2:2" ht="15" x14ac:dyDescent="0.25">
      <c r="B510" s="24"/>
    </row>
    <row r="511" spans="2:2" ht="15" x14ac:dyDescent="0.25">
      <c r="B511" s="24"/>
    </row>
    <row r="512" spans="2:2" ht="15" x14ac:dyDescent="0.25">
      <c r="B512" s="24"/>
    </row>
    <row r="513" spans="2:2" ht="15" x14ac:dyDescent="0.25">
      <c r="B513" s="24"/>
    </row>
    <row r="514" spans="2:2" ht="15" x14ac:dyDescent="0.25">
      <c r="B514" s="24"/>
    </row>
    <row r="515" spans="2:2" ht="15" x14ac:dyDescent="0.25">
      <c r="B515" s="24"/>
    </row>
    <row r="516" spans="2:2" ht="15" x14ac:dyDescent="0.25">
      <c r="B516" s="24"/>
    </row>
    <row r="517" spans="2:2" ht="15" x14ac:dyDescent="0.25">
      <c r="B517" s="24"/>
    </row>
    <row r="518" spans="2:2" ht="15" x14ac:dyDescent="0.25">
      <c r="B518" s="24"/>
    </row>
    <row r="519" spans="2:2" ht="15" x14ac:dyDescent="0.25">
      <c r="B519" s="24"/>
    </row>
    <row r="520" spans="2:2" ht="15" x14ac:dyDescent="0.25">
      <c r="B520" s="24"/>
    </row>
    <row r="521" spans="2:2" ht="15" x14ac:dyDescent="0.25">
      <c r="B521" s="24"/>
    </row>
    <row r="522" spans="2:2" ht="15" x14ac:dyDescent="0.25">
      <c r="B522" s="24"/>
    </row>
    <row r="523" spans="2:2" ht="15" x14ac:dyDescent="0.25">
      <c r="B523" s="24"/>
    </row>
    <row r="524" spans="2:2" ht="15" x14ac:dyDescent="0.25">
      <c r="B524" s="24"/>
    </row>
    <row r="525" spans="2:2" ht="15" x14ac:dyDescent="0.25">
      <c r="B525" s="24"/>
    </row>
    <row r="526" spans="2:2" ht="15" x14ac:dyDescent="0.25">
      <c r="B526" s="24"/>
    </row>
    <row r="527" spans="2:2" ht="15" x14ac:dyDescent="0.25">
      <c r="B527" s="24"/>
    </row>
    <row r="528" spans="2:2" ht="15" x14ac:dyDescent="0.25">
      <c r="B528" s="24"/>
    </row>
    <row r="529" spans="2:2" ht="15" x14ac:dyDescent="0.25">
      <c r="B529" s="24"/>
    </row>
    <row r="530" spans="2:2" ht="15" x14ac:dyDescent="0.25">
      <c r="B530" s="24"/>
    </row>
    <row r="531" spans="2:2" ht="15" x14ac:dyDescent="0.25">
      <c r="B531" s="24"/>
    </row>
    <row r="532" spans="2:2" ht="15" x14ac:dyDescent="0.25">
      <c r="B532" s="24"/>
    </row>
    <row r="533" spans="2:2" ht="15" x14ac:dyDescent="0.25">
      <c r="B533" s="24"/>
    </row>
    <row r="534" spans="2:2" ht="15" x14ac:dyDescent="0.25">
      <c r="B534" s="24"/>
    </row>
    <row r="535" spans="2:2" ht="15" x14ac:dyDescent="0.25">
      <c r="B535" s="24"/>
    </row>
    <row r="536" spans="2:2" ht="15" x14ac:dyDescent="0.25">
      <c r="B536" s="24"/>
    </row>
    <row r="537" spans="2:2" ht="15" x14ac:dyDescent="0.25">
      <c r="B537" s="24"/>
    </row>
    <row r="538" spans="2:2" ht="15" x14ac:dyDescent="0.25">
      <c r="B538" s="24"/>
    </row>
    <row r="539" spans="2:2" ht="15" x14ac:dyDescent="0.25">
      <c r="B539" s="24"/>
    </row>
    <row r="540" spans="2:2" ht="15" x14ac:dyDescent="0.25">
      <c r="B540" s="24"/>
    </row>
    <row r="541" spans="2:2" ht="15" x14ac:dyDescent="0.25">
      <c r="B541" s="24"/>
    </row>
    <row r="542" spans="2:2" ht="15" x14ac:dyDescent="0.25">
      <c r="B542" s="24"/>
    </row>
    <row r="543" spans="2:2" ht="15" x14ac:dyDescent="0.25">
      <c r="B543" s="24"/>
    </row>
    <row r="544" spans="2:2" ht="15" x14ac:dyDescent="0.25">
      <c r="B544" s="24"/>
    </row>
    <row r="545" spans="2:2" ht="15" x14ac:dyDescent="0.25">
      <c r="B545" s="24"/>
    </row>
    <row r="546" spans="2:2" ht="15" x14ac:dyDescent="0.25">
      <c r="B546" s="24"/>
    </row>
    <row r="547" spans="2:2" ht="15" x14ac:dyDescent="0.25">
      <c r="B547" s="24"/>
    </row>
    <row r="548" spans="2:2" ht="15" x14ac:dyDescent="0.25">
      <c r="B548" s="24"/>
    </row>
    <row r="549" spans="2:2" ht="15" x14ac:dyDescent="0.25">
      <c r="B549" s="24"/>
    </row>
    <row r="550" spans="2:2" ht="15" x14ac:dyDescent="0.25">
      <c r="B550" s="24"/>
    </row>
    <row r="551" spans="2:2" ht="15" x14ac:dyDescent="0.25">
      <c r="B551" s="24"/>
    </row>
    <row r="552" spans="2:2" ht="15" x14ac:dyDescent="0.25">
      <c r="B552" s="24"/>
    </row>
    <row r="553" spans="2:2" ht="15" x14ac:dyDescent="0.25">
      <c r="B553" s="24"/>
    </row>
    <row r="554" spans="2:2" ht="15" x14ac:dyDescent="0.25">
      <c r="B554" s="24"/>
    </row>
    <row r="555" spans="2:2" ht="15" x14ac:dyDescent="0.25">
      <c r="B555" s="24"/>
    </row>
    <row r="556" spans="2:2" ht="15" x14ac:dyDescent="0.25">
      <c r="B556" s="24"/>
    </row>
    <row r="557" spans="2:2" ht="15" x14ac:dyDescent="0.25">
      <c r="B557" s="24"/>
    </row>
    <row r="558" spans="2:2" ht="15" x14ac:dyDescent="0.25">
      <c r="B558" s="24"/>
    </row>
    <row r="559" spans="2:2" ht="15" x14ac:dyDescent="0.25">
      <c r="B559" s="24"/>
    </row>
    <row r="560" spans="2:2" ht="15" x14ac:dyDescent="0.25">
      <c r="B560" s="24"/>
    </row>
    <row r="561" spans="2:2" ht="15" x14ac:dyDescent="0.25">
      <c r="B561" s="24"/>
    </row>
    <row r="562" spans="2:2" ht="15" x14ac:dyDescent="0.25">
      <c r="B562" s="24"/>
    </row>
    <row r="563" spans="2:2" ht="15" x14ac:dyDescent="0.25">
      <c r="B563" s="24"/>
    </row>
    <row r="564" spans="2:2" ht="15" x14ac:dyDescent="0.25">
      <c r="B564" s="24"/>
    </row>
    <row r="565" spans="2:2" ht="15" x14ac:dyDescent="0.25">
      <c r="B565" s="24"/>
    </row>
    <row r="566" spans="2:2" ht="15" x14ac:dyDescent="0.25">
      <c r="B566" s="24"/>
    </row>
    <row r="567" spans="2:2" ht="15" x14ac:dyDescent="0.25">
      <c r="B567" s="24"/>
    </row>
    <row r="568" spans="2:2" ht="15" x14ac:dyDescent="0.25">
      <c r="B568" s="24"/>
    </row>
    <row r="569" spans="2:2" ht="15" x14ac:dyDescent="0.25">
      <c r="B569" s="24"/>
    </row>
    <row r="570" spans="2:2" ht="15" x14ac:dyDescent="0.25">
      <c r="B570" s="24"/>
    </row>
    <row r="571" spans="2:2" ht="15" x14ac:dyDescent="0.25">
      <c r="B571" s="24"/>
    </row>
    <row r="572" spans="2:2" ht="15" x14ac:dyDescent="0.25">
      <c r="B572" s="24"/>
    </row>
    <row r="573" spans="2:2" ht="15" x14ac:dyDescent="0.25">
      <c r="B573" s="24"/>
    </row>
    <row r="574" spans="2:2" ht="15" x14ac:dyDescent="0.25">
      <c r="B574" s="24"/>
    </row>
    <row r="575" spans="2:2" ht="15" x14ac:dyDescent="0.25">
      <c r="B575" s="24"/>
    </row>
    <row r="576" spans="2:2" ht="15" x14ac:dyDescent="0.25">
      <c r="B576" s="24"/>
    </row>
    <row r="577" spans="2:2" ht="15" x14ac:dyDescent="0.25">
      <c r="B577" s="24"/>
    </row>
    <row r="578" spans="2:2" ht="15" x14ac:dyDescent="0.25">
      <c r="B578" s="24"/>
    </row>
    <row r="579" spans="2:2" ht="15" x14ac:dyDescent="0.25">
      <c r="B579" s="24"/>
    </row>
    <row r="580" spans="2:2" ht="15" x14ac:dyDescent="0.25">
      <c r="B580" s="24"/>
    </row>
    <row r="581" spans="2:2" ht="15" x14ac:dyDescent="0.25">
      <c r="B581" s="24"/>
    </row>
    <row r="582" spans="2:2" ht="15" x14ac:dyDescent="0.25">
      <c r="B582" s="24"/>
    </row>
    <row r="583" spans="2:2" ht="15" x14ac:dyDescent="0.25">
      <c r="B583" s="24"/>
    </row>
    <row r="584" spans="2:2" ht="15" x14ac:dyDescent="0.25">
      <c r="B584" s="24"/>
    </row>
    <row r="585" spans="2:2" ht="15" x14ac:dyDescent="0.25">
      <c r="B585" s="24"/>
    </row>
    <row r="586" spans="2:2" ht="15" x14ac:dyDescent="0.25">
      <c r="B586" s="24"/>
    </row>
    <row r="587" spans="2:2" ht="15" x14ac:dyDescent="0.25">
      <c r="B587" s="24"/>
    </row>
    <row r="588" spans="2:2" ht="15" x14ac:dyDescent="0.25">
      <c r="B588" s="24"/>
    </row>
    <row r="589" spans="2:2" ht="15" x14ac:dyDescent="0.25">
      <c r="B589" s="24"/>
    </row>
    <row r="590" spans="2:2" ht="15" x14ac:dyDescent="0.25">
      <c r="B590" s="24"/>
    </row>
    <row r="591" spans="2:2" ht="15" x14ac:dyDescent="0.25">
      <c r="B591" s="24"/>
    </row>
    <row r="592" spans="2:2" ht="15" x14ac:dyDescent="0.25">
      <c r="B592" s="24"/>
    </row>
    <row r="593" spans="2:2" ht="15" x14ac:dyDescent="0.25">
      <c r="B593" s="24"/>
    </row>
    <row r="594" spans="2:2" ht="15" x14ac:dyDescent="0.25">
      <c r="B594" s="24"/>
    </row>
    <row r="595" spans="2:2" ht="15" x14ac:dyDescent="0.25">
      <c r="B595" s="24"/>
    </row>
    <row r="596" spans="2:2" ht="15" x14ac:dyDescent="0.25">
      <c r="B596" s="24"/>
    </row>
    <row r="597" spans="2:2" ht="15" x14ac:dyDescent="0.25">
      <c r="B597" s="24"/>
    </row>
    <row r="598" spans="2:2" ht="15" x14ac:dyDescent="0.25">
      <c r="B598" s="24"/>
    </row>
    <row r="599" spans="2:2" ht="15" x14ac:dyDescent="0.25">
      <c r="B599" s="24"/>
    </row>
    <row r="600" spans="2:2" ht="15" x14ac:dyDescent="0.25">
      <c r="B600" s="24"/>
    </row>
    <row r="601" spans="2:2" ht="15" x14ac:dyDescent="0.25">
      <c r="B601" s="24"/>
    </row>
    <row r="602" spans="2:2" ht="15" x14ac:dyDescent="0.25">
      <c r="B602" s="24"/>
    </row>
    <row r="603" spans="2:2" ht="15" x14ac:dyDescent="0.25">
      <c r="B603" s="24"/>
    </row>
    <row r="604" spans="2:2" ht="15" x14ac:dyDescent="0.25">
      <c r="B604" s="24"/>
    </row>
    <row r="605" spans="2:2" ht="15" x14ac:dyDescent="0.25">
      <c r="B605" s="24"/>
    </row>
    <row r="606" spans="2:2" ht="15" x14ac:dyDescent="0.25">
      <c r="B606" s="24"/>
    </row>
    <row r="607" spans="2:2" ht="15" x14ac:dyDescent="0.25">
      <c r="B607" s="24"/>
    </row>
    <row r="608" spans="2:2" ht="15" x14ac:dyDescent="0.25">
      <c r="B608" s="24"/>
    </row>
    <row r="609" spans="2:2" ht="15" x14ac:dyDescent="0.25">
      <c r="B609" s="24"/>
    </row>
    <row r="610" spans="2:2" ht="15" x14ac:dyDescent="0.25">
      <c r="B610" s="24"/>
    </row>
    <row r="611" spans="2:2" ht="15" x14ac:dyDescent="0.25">
      <c r="B611" s="24"/>
    </row>
    <row r="612" spans="2:2" ht="15" x14ac:dyDescent="0.25">
      <c r="B612" s="24"/>
    </row>
    <row r="613" spans="2:2" ht="15" x14ac:dyDescent="0.25">
      <c r="B613" s="24"/>
    </row>
    <row r="614" spans="2:2" ht="15" x14ac:dyDescent="0.25">
      <c r="B614" s="24"/>
    </row>
    <row r="615" spans="2:2" ht="15" x14ac:dyDescent="0.25">
      <c r="B615" s="24"/>
    </row>
    <row r="616" spans="2:2" ht="15" x14ac:dyDescent="0.25">
      <c r="B616" s="24"/>
    </row>
    <row r="617" spans="2:2" ht="15" x14ac:dyDescent="0.25">
      <c r="B617" s="24"/>
    </row>
    <row r="618" spans="2:2" ht="15" x14ac:dyDescent="0.25">
      <c r="B618" s="24"/>
    </row>
    <row r="619" spans="2:2" ht="15" x14ac:dyDescent="0.25">
      <c r="B619" s="24"/>
    </row>
    <row r="620" spans="2:2" ht="15" x14ac:dyDescent="0.25">
      <c r="B620" s="24"/>
    </row>
    <row r="621" spans="2:2" ht="15" x14ac:dyDescent="0.25">
      <c r="B621" s="24"/>
    </row>
    <row r="622" spans="2:2" ht="15" x14ac:dyDescent="0.25">
      <c r="B622" s="24"/>
    </row>
    <row r="623" spans="2:2" ht="15" x14ac:dyDescent="0.25">
      <c r="B623" s="24"/>
    </row>
    <row r="624" spans="2:2" ht="15" x14ac:dyDescent="0.25">
      <c r="B624" s="24"/>
    </row>
    <row r="625" spans="2:2" ht="15" x14ac:dyDescent="0.25">
      <c r="B625" s="24"/>
    </row>
    <row r="626" spans="2:2" ht="15" x14ac:dyDescent="0.25">
      <c r="B626" s="24"/>
    </row>
    <row r="627" spans="2:2" ht="15" x14ac:dyDescent="0.25">
      <c r="B627" s="24"/>
    </row>
    <row r="628" spans="2:2" ht="15" x14ac:dyDescent="0.25">
      <c r="B628" s="24"/>
    </row>
    <row r="629" spans="2:2" ht="15" x14ac:dyDescent="0.25">
      <c r="B629" s="24"/>
    </row>
    <row r="630" spans="2:2" ht="15" x14ac:dyDescent="0.25">
      <c r="B630" s="24"/>
    </row>
    <row r="631" spans="2:2" ht="15" x14ac:dyDescent="0.25">
      <c r="B631" s="24"/>
    </row>
    <row r="632" spans="2:2" ht="15" x14ac:dyDescent="0.25">
      <c r="B632" s="24"/>
    </row>
    <row r="633" spans="2:2" ht="15" x14ac:dyDescent="0.25">
      <c r="B633" s="24"/>
    </row>
    <row r="634" spans="2:2" ht="15" x14ac:dyDescent="0.25">
      <c r="B634" s="24"/>
    </row>
    <row r="635" spans="2:2" ht="15" x14ac:dyDescent="0.25">
      <c r="B635" s="24"/>
    </row>
    <row r="636" spans="2:2" ht="15" x14ac:dyDescent="0.25">
      <c r="B636" s="24"/>
    </row>
    <row r="637" spans="2:2" ht="15" x14ac:dyDescent="0.25">
      <c r="B637" s="24"/>
    </row>
    <row r="638" spans="2:2" ht="15" x14ac:dyDescent="0.25">
      <c r="B638" s="24"/>
    </row>
    <row r="639" spans="2:2" ht="15" x14ac:dyDescent="0.25">
      <c r="B639" s="24"/>
    </row>
    <row r="640" spans="2:2" ht="15" x14ac:dyDescent="0.25">
      <c r="B640" s="24"/>
    </row>
    <row r="641" spans="2:2" ht="15" x14ac:dyDescent="0.25">
      <c r="B641" s="24"/>
    </row>
    <row r="642" spans="2:2" ht="15" x14ac:dyDescent="0.25">
      <c r="B642" s="24"/>
    </row>
    <row r="643" spans="2:2" ht="15" x14ac:dyDescent="0.25">
      <c r="B643" s="24"/>
    </row>
    <row r="644" spans="2:2" ht="15" x14ac:dyDescent="0.25">
      <c r="B644" s="24"/>
    </row>
    <row r="645" spans="2:2" ht="15" x14ac:dyDescent="0.25">
      <c r="B645" s="24"/>
    </row>
    <row r="646" spans="2:2" ht="15" x14ac:dyDescent="0.25">
      <c r="B646" s="24"/>
    </row>
    <row r="647" spans="2:2" ht="15" x14ac:dyDescent="0.25">
      <c r="B647" s="24"/>
    </row>
    <row r="648" spans="2:2" ht="15" x14ac:dyDescent="0.25">
      <c r="B648" s="24"/>
    </row>
    <row r="649" spans="2:2" ht="15" x14ac:dyDescent="0.25">
      <c r="B649" s="24"/>
    </row>
    <row r="650" spans="2:2" ht="15" x14ac:dyDescent="0.25">
      <c r="B650" s="24"/>
    </row>
    <row r="651" spans="2:2" ht="15" x14ac:dyDescent="0.25">
      <c r="B651" s="24"/>
    </row>
    <row r="652" spans="2:2" ht="15" x14ac:dyDescent="0.25">
      <c r="B652" s="24"/>
    </row>
    <row r="653" spans="2:2" ht="15" x14ac:dyDescent="0.25">
      <c r="B653" s="24"/>
    </row>
    <row r="654" spans="2:2" ht="15" x14ac:dyDescent="0.25">
      <c r="B654" s="24"/>
    </row>
    <row r="655" spans="2:2" ht="15" x14ac:dyDescent="0.25">
      <c r="B655" s="24"/>
    </row>
    <row r="656" spans="2:2" ht="15" x14ac:dyDescent="0.25">
      <c r="B656" s="24"/>
    </row>
    <row r="657" spans="2:2" ht="15" x14ac:dyDescent="0.25">
      <c r="B657" s="24"/>
    </row>
    <row r="658" spans="2:2" ht="15" x14ac:dyDescent="0.25">
      <c r="B658" s="24"/>
    </row>
    <row r="659" spans="2:2" ht="15" x14ac:dyDescent="0.25">
      <c r="B659" s="24"/>
    </row>
    <row r="660" spans="2:2" ht="15" x14ac:dyDescent="0.25">
      <c r="B660" s="24"/>
    </row>
    <row r="661" spans="2:2" ht="15" x14ac:dyDescent="0.25">
      <c r="B661" s="24"/>
    </row>
    <row r="662" spans="2:2" ht="15" x14ac:dyDescent="0.25">
      <c r="B662" s="24"/>
    </row>
    <row r="663" spans="2:2" ht="15" x14ac:dyDescent="0.25">
      <c r="B663" s="24"/>
    </row>
    <row r="664" spans="2:2" ht="15" x14ac:dyDescent="0.25">
      <c r="B664" s="24"/>
    </row>
    <row r="665" spans="2:2" ht="15" x14ac:dyDescent="0.25">
      <c r="B665" s="24"/>
    </row>
    <row r="666" spans="2:2" ht="15" x14ac:dyDescent="0.25">
      <c r="B666" s="24"/>
    </row>
    <row r="667" spans="2:2" ht="15" x14ac:dyDescent="0.25">
      <c r="B667" s="24"/>
    </row>
    <row r="668" spans="2:2" ht="15" x14ac:dyDescent="0.25">
      <c r="B668" s="24"/>
    </row>
    <row r="669" spans="2:2" ht="15" x14ac:dyDescent="0.25">
      <c r="B669" s="24"/>
    </row>
    <row r="670" spans="2:2" ht="15" x14ac:dyDescent="0.25">
      <c r="B670" s="24"/>
    </row>
    <row r="671" spans="2:2" ht="15" x14ac:dyDescent="0.25">
      <c r="B671" s="24"/>
    </row>
    <row r="672" spans="2:2" ht="15" x14ac:dyDescent="0.25">
      <c r="B672" s="24"/>
    </row>
    <row r="673" spans="2:2" ht="15" x14ac:dyDescent="0.25">
      <c r="B673" s="24"/>
    </row>
    <row r="674" spans="2:2" ht="15" x14ac:dyDescent="0.25">
      <c r="B674" s="24"/>
    </row>
    <row r="675" spans="2:2" ht="15" x14ac:dyDescent="0.25">
      <c r="B675" s="24"/>
    </row>
    <row r="676" spans="2:2" ht="15" x14ac:dyDescent="0.25">
      <c r="B676" s="24"/>
    </row>
    <row r="677" spans="2:2" ht="15" x14ac:dyDescent="0.25">
      <c r="B677" s="24"/>
    </row>
    <row r="678" spans="2:2" ht="15" x14ac:dyDescent="0.25">
      <c r="B678" s="24"/>
    </row>
    <row r="679" spans="2:2" ht="15" x14ac:dyDescent="0.25">
      <c r="B679" s="24"/>
    </row>
    <row r="680" spans="2:2" ht="15" x14ac:dyDescent="0.25">
      <c r="B680" s="24"/>
    </row>
    <row r="681" spans="2:2" ht="15" x14ac:dyDescent="0.25">
      <c r="B681" s="24"/>
    </row>
    <row r="682" spans="2:2" ht="15" x14ac:dyDescent="0.25">
      <c r="B682" s="24"/>
    </row>
    <row r="683" spans="2:2" ht="15" x14ac:dyDescent="0.25">
      <c r="B683" s="24"/>
    </row>
    <row r="684" spans="2:2" ht="15" x14ac:dyDescent="0.25">
      <c r="B684" s="24"/>
    </row>
    <row r="685" spans="2:2" ht="15" x14ac:dyDescent="0.25">
      <c r="B685" s="24"/>
    </row>
    <row r="686" spans="2:2" ht="15" x14ac:dyDescent="0.25">
      <c r="B686" s="24"/>
    </row>
    <row r="687" spans="2:2" ht="15" x14ac:dyDescent="0.25">
      <c r="B687" s="24"/>
    </row>
    <row r="688" spans="2:2" ht="15" x14ac:dyDescent="0.25">
      <c r="B688" s="24"/>
    </row>
    <row r="689" spans="2:2" ht="15" x14ac:dyDescent="0.25">
      <c r="B689" s="24"/>
    </row>
    <row r="690" spans="2:2" ht="15" x14ac:dyDescent="0.25">
      <c r="B690" s="24"/>
    </row>
    <row r="691" spans="2:2" ht="15" x14ac:dyDescent="0.25">
      <c r="B691" s="24"/>
    </row>
    <row r="692" spans="2:2" ht="15" x14ac:dyDescent="0.25">
      <c r="B692" s="24"/>
    </row>
    <row r="693" spans="2:2" ht="15" x14ac:dyDescent="0.25">
      <c r="B693" s="24"/>
    </row>
    <row r="694" spans="2:2" ht="15" x14ac:dyDescent="0.25">
      <c r="B694" s="24"/>
    </row>
    <row r="695" spans="2:2" ht="15" x14ac:dyDescent="0.25">
      <c r="B695" s="24"/>
    </row>
    <row r="696" spans="2:2" ht="15" x14ac:dyDescent="0.25">
      <c r="B696" s="24"/>
    </row>
    <row r="697" spans="2:2" ht="15" x14ac:dyDescent="0.25">
      <c r="B697" s="24"/>
    </row>
    <row r="698" spans="2:2" ht="15" x14ac:dyDescent="0.25">
      <c r="B698" s="24"/>
    </row>
    <row r="699" spans="2:2" ht="15" x14ac:dyDescent="0.25">
      <c r="B699" s="24"/>
    </row>
    <row r="700" spans="2:2" ht="15" x14ac:dyDescent="0.25">
      <c r="B700" s="24"/>
    </row>
    <row r="701" spans="2:2" ht="15" x14ac:dyDescent="0.25">
      <c r="B701" s="24"/>
    </row>
    <row r="702" spans="2:2" ht="15" x14ac:dyDescent="0.25">
      <c r="B702" s="24"/>
    </row>
    <row r="703" spans="2:2" ht="15" x14ac:dyDescent="0.25">
      <c r="B703" s="24"/>
    </row>
    <row r="704" spans="2:2" ht="15" x14ac:dyDescent="0.25">
      <c r="B704" s="24"/>
    </row>
    <row r="705" spans="2:2" ht="15" x14ac:dyDescent="0.25">
      <c r="B705" s="24"/>
    </row>
    <row r="706" spans="2:2" ht="15" x14ac:dyDescent="0.25">
      <c r="B706" s="24"/>
    </row>
    <row r="707" spans="2:2" ht="15" x14ac:dyDescent="0.25">
      <c r="B707" s="24"/>
    </row>
    <row r="708" spans="2:2" ht="15" x14ac:dyDescent="0.25">
      <c r="B708" s="24"/>
    </row>
    <row r="709" spans="2:2" ht="15" x14ac:dyDescent="0.25">
      <c r="B709" s="24"/>
    </row>
    <row r="710" spans="2:2" ht="15" x14ac:dyDescent="0.25">
      <c r="B710" s="24"/>
    </row>
    <row r="711" spans="2:2" ht="15" x14ac:dyDescent="0.25">
      <c r="B711" s="24"/>
    </row>
    <row r="712" spans="2:2" ht="15" x14ac:dyDescent="0.25">
      <c r="B712" s="24"/>
    </row>
    <row r="713" spans="2:2" ht="15" x14ac:dyDescent="0.25">
      <c r="B713" s="24"/>
    </row>
    <row r="714" spans="2:2" ht="15" x14ac:dyDescent="0.25">
      <c r="B714" s="24"/>
    </row>
    <row r="715" spans="2:2" ht="15" x14ac:dyDescent="0.25">
      <c r="B715" s="24"/>
    </row>
    <row r="716" spans="2:2" ht="15" x14ac:dyDescent="0.25">
      <c r="B716" s="24"/>
    </row>
    <row r="717" spans="2:2" ht="15" x14ac:dyDescent="0.25">
      <c r="B717" s="24"/>
    </row>
    <row r="718" spans="2:2" ht="15" x14ac:dyDescent="0.25">
      <c r="B718" s="24"/>
    </row>
    <row r="719" spans="2:2" ht="15" x14ac:dyDescent="0.25">
      <c r="B719" s="24"/>
    </row>
    <row r="720" spans="2:2" ht="15" x14ac:dyDescent="0.25">
      <c r="B720" s="24"/>
    </row>
    <row r="721" spans="2:2" ht="15" x14ac:dyDescent="0.25">
      <c r="B721" s="24"/>
    </row>
    <row r="722" spans="2:2" ht="15" x14ac:dyDescent="0.25">
      <c r="B722" s="24"/>
    </row>
    <row r="723" spans="2:2" ht="15" x14ac:dyDescent="0.25">
      <c r="B723" s="24"/>
    </row>
    <row r="724" spans="2:2" ht="15" x14ac:dyDescent="0.25">
      <c r="B724" s="24"/>
    </row>
    <row r="725" spans="2:2" ht="15" x14ac:dyDescent="0.25">
      <c r="B725" s="24"/>
    </row>
    <row r="726" spans="2:2" ht="15" x14ac:dyDescent="0.25">
      <c r="B726" s="24"/>
    </row>
    <row r="727" spans="2:2" ht="15" x14ac:dyDescent="0.25">
      <c r="B727" s="24"/>
    </row>
    <row r="728" spans="2:2" ht="15" x14ac:dyDescent="0.25">
      <c r="B728" s="24"/>
    </row>
    <row r="729" spans="2:2" ht="15" x14ac:dyDescent="0.25">
      <c r="B729" s="24"/>
    </row>
    <row r="730" spans="2:2" ht="15" x14ac:dyDescent="0.25">
      <c r="B730" s="24"/>
    </row>
    <row r="731" spans="2:2" ht="15" x14ac:dyDescent="0.25">
      <c r="B731" s="24"/>
    </row>
    <row r="732" spans="2:2" ht="15" x14ac:dyDescent="0.25">
      <c r="B732" s="24"/>
    </row>
    <row r="733" spans="2:2" ht="15" x14ac:dyDescent="0.25">
      <c r="B733" s="24"/>
    </row>
    <row r="734" spans="2:2" ht="15" x14ac:dyDescent="0.25">
      <c r="B734" s="24"/>
    </row>
    <row r="735" spans="2:2" ht="15" x14ac:dyDescent="0.25">
      <c r="B735" s="24"/>
    </row>
    <row r="736" spans="2:2" ht="15" x14ac:dyDescent="0.25">
      <c r="B736" s="24"/>
    </row>
    <row r="737" spans="2:2" ht="15" x14ac:dyDescent="0.25">
      <c r="B737" s="24"/>
    </row>
    <row r="738" spans="2:2" ht="15" x14ac:dyDescent="0.25">
      <c r="B738" s="24"/>
    </row>
    <row r="739" spans="2:2" ht="15" x14ac:dyDescent="0.25">
      <c r="B739" s="24"/>
    </row>
    <row r="740" spans="2:2" ht="15" x14ac:dyDescent="0.25">
      <c r="B740" s="24"/>
    </row>
    <row r="741" spans="2:2" ht="15" x14ac:dyDescent="0.25">
      <c r="B741" s="24"/>
    </row>
    <row r="742" spans="2:2" ht="15" x14ac:dyDescent="0.25">
      <c r="B742" s="24"/>
    </row>
    <row r="743" spans="2:2" ht="15" x14ac:dyDescent="0.25">
      <c r="B743" s="24"/>
    </row>
    <row r="744" spans="2:2" ht="15" x14ac:dyDescent="0.25">
      <c r="B744" s="24"/>
    </row>
    <row r="745" spans="2:2" ht="15" x14ac:dyDescent="0.25">
      <c r="B745" s="24"/>
    </row>
    <row r="746" spans="2:2" ht="15" x14ac:dyDescent="0.25">
      <c r="B746" s="24"/>
    </row>
    <row r="747" spans="2:2" ht="15" x14ac:dyDescent="0.25">
      <c r="B747" s="24"/>
    </row>
    <row r="748" spans="2:2" ht="15" x14ac:dyDescent="0.25">
      <c r="B748" s="24"/>
    </row>
    <row r="749" spans="2:2" ht="15" x14ac:dyDescent="0.25">
      <c r="B749" s="24"/>
    </row>
    <row r="750" spans="2:2" ht="15" x14ac:dyDescent="0.25">
      <c r="B750" s="24"/>
    </row>
    <row r="751" spans="2:2" ht="15" x14ac:dyDescent="0.25">
      <c r="B751" s="24"/>
    </row>
    <row r="752" spans="2:2" ht="15" x14ac:dyDescent="0.25">
      <c r="B752" s="24"/>
    </row>
    <row r="753" spans="2:2" ht="15" x14ac:dyDescent="0.25">
      <c r="B753" s="24"/>
    </row>
    <row r="754" spans="2:2" ht="15" x14ac:dyDescent="0.25">
      <c r="B754" s="24"/>
    </row>
    <row r="755" spans="2:2" ht="15" x14ac:dyDescent="0.25">
      <c r="B755" s="24"/>
    </row>
    <row r="756" spans="2:2" ht="15" x14ac:dyDescent="0.25">
      <c r="B756" s="24"/>
    </row>
    <row r="757" spans="2:2" ht="15" x14ac:dyDescent="0.25">
      <c r="B757" s="24"/>
    </row>
    <row r="758" spans="2:2" ht="15" x14ac:dyDescent="0.25">
      <c r="B758" s="24"/>
    </row>
    <row r="759" spans="2:2" ht="15" x14ac:dyDescent="0.25">
      <c r="B759" s="24"/>
    </row>
    <row r="760" spans="2:2" ht="15" x14ac:dyDescent="0.25">
      <c r="B760" s="24"/>
    </row>
    <row r="761" spans="2:2" ht="15" x14ac:dyDescent="0.25">
      <c r="B761" s="24"/>
    </row>
    <row r="762" spans="2:2" ht="15" x14ac:dyDescent="0.25">
      <c r="B762" s="24"/>
    </row>
    <row r="763" spans="2:2" ht="15" x14ac:dyDescent="0.25">
      <c r="B763" s="24"/>
    </row>
    <row r="764" spans="2:2" ht="15" x14ac:dyDescent="0.25">
      <c r="B764" s="24"/>
    </row>
    <row r="765" spans="2:2" ht="15" x14ac:dyDescent="0.25">
      <c r="B765" s="24"/>
    </row>
    <row r="766" spans="2:2" ht="15" x14ac:dyDescent="0.25">
      <c r="B766" s="24"/>
    </row>
    <row r="767" spans="2:2" ht="15" x14ac:dyDescent="0.25">
      <c r="B767" s="24"/>
    </row>
    <row r="768" spans="2:2" ht="15" x14ac:dyDescent="0.25">
      <c r="B768" s="24"/>
    </row>
    <row r="769" spans="2:2" ht="15" x14ac:dyDescent="0.25">
      <c r="B769" s="24"/>
    </row>
    <row r="770" spans="2:2" ht="15" x14ac:dyDescent="0.25">
      <c r="B770" s="24"/>
    </row>
    <row r="771" spans="2:2" ht="15" x14ac:dyDescent="0.25">
      <c r="B771" s="24"/>
    </row>
    <row r="772" spans="2:2" ht="15" x14ac:dyDescent="0.25">
      <c r="B772" s="24"/>
    </row>
    <row r="773" spans="2:2" ht="15" x14ac:dyDescent="0.25">
      <c r="B773" s="24"/>
    </row>
    <row r="774" spans="2:2" ht="15" x14ac:dyDescent="0.25">
      <c r="B774" s="24"/>
    </row>
    <row r="775" spans="2:2" ht="15" x14ac:dyDescent="0.25">
      <c r="B775" s="24"/>
    </row>
    <row r="776" spans="2:2" ht="15" x14ac:dyDescent="0.25">
      <c r="B776" s="24"/>
    </row>
    <row r="777" spans="2:2" ht="15" x14ac:dyDescent="0.25">
      <c r="B777" s="24"/>
    </row>
    <row r="778" spans="2:2" ht="15" x14ac:dyDescent="0.25">
      <c r="B778" s="24"/>
    </row>
    <row r="779" spans="2:2" ht="15" x14ac:dyDescent="0.25">
      <c r="B779" s="24"/>
    </row>
    <row r="780" spans="2:2" ht="15" x14ac:dyDescent="0.25">
      <c r="B780" s="24"/>
    </row>
    <row r="781" spans="2:2" ht="15" x14ac:dyDescent="0.25">
      <c r="B781" s="24"/>
    </row>
    <row r="782" spans="2:2" ht="15" x14ac:dyDescent="0.25">
      <c r="B782" s="24"/>
    </row>
    <row r="783" spans="2:2" ht="15" x14ac:dyDescent="0.25">
      <c r="B783" s="24"/>
    </row>
    <row r="784" spans="2:2" ht="15" x14ac:dyDescent="0.25">
      <c r="B784" s="24"/>
    </row>
    <row r="785" spans="2:2" ht="15" x14ac:dyDescent="0.25">
      <c r="B785" s="24"/>
    </row>
    <row r="786" spans="2:2" ht="15" x14ac:dyDescent="0.25">
      <c r="B786" s="24"/>
    </row>
    <row r="787" spans="2:2" ht="15" x14ac:dyDescent="0.25">
      <c r="B787" s="24"/>
    </row>
    <row r="788" spans="2:2" ht="15" x14ac:dyDescent="0.25">
      <c r="B788" s="24"/>
    </row>
    <row r="789" spans="2:2" ht="15" x14ac:dyDescent="0.25">
      <c r="B789" s="24"/>
    </row>
    <row r="790" spans="2:2" ht="15" x14ac:dyDescent="0.25">
      <c r="B790" s="24"/>
    </row>
  </sheetData>
  <sheetProtection password="D625" sheet="1" selectLockedCells="1" selectUnlockedCells="1"/>
  <dataValidations count="1">
    <dataValidation type="list" allowBlank="1" showInputMessage="1" showErrorMessage="1" sqref="B2:B7">
      <formula1>bankNames</formula1>
    </dataValidation>
  </dataValidations>
  <pageMargins left="0.7" right="0.7" top="0.75" bottom="0.75" header="0.3" footer="0.3"/>
  <pageSetup paperSize="9" orientation="portrait" r:id="rId1"/>
  <legacyDrawing r:id="rId2"/>
  <tableParts count="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7</vt:i4>
      </vt:variant>
    </vt:vector>
  </HeadingPairs>
  <TitlesOfParts>
    <vt:vector size="10" baseType="lpstr">
      <vt:lpstr>WRRAR-Prooflist</vt:lpstr>
      <vt:lpstr>WRRAR-Annex B</vt:lpstr>
      <vt:lpstr>bank</vt:lpstr>
      <vt:lpstr>Day</vt:lpstr>
      <vt:lpstr>FINAME</vt:lpstr>
      <vt:lpstr>Month</vt:lpstr>
      <vt:lpstr>'WRRAR-Annex B'!Print_Area</vt:lpstr>
      <vt:lpstr>'WRRAR-Prooflist'!Print_Area</vt:lpstr>
      <vt:lpstr>'WRRAR-Annex B'!Print_Titles</vt:lpstr>
      <vt:lpstr>Year2</vt:lpstr>
    </vt:vector>
  </TitlesOfParts>
  <Company>BANGKO SENTRAL NG PILIPINAS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SRSO-CREDEX</dc:creator>
  <cp:lastModifiedBy>Melissa</cp:lastModifiedBy>
  <cp:lastPrinted>2013-06-11T05:39:36Z</cp:lastPrinted>
  <dcterms:created xsi:type="dcterms:W3CDTF">2000-03-01T02:53:48Z</dcterms:created>
  <dcterms:modified xsi:type="dcterms:W3CDTF">2018-08-30T09:47:59Z</dcterms:modified>
</cp:coreProperties>
</file>