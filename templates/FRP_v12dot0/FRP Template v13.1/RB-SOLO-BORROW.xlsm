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4" activeTab="4"/>
  </bookViews>
  <sheets>
    <sheet name="23" sheetId="7" state="hidden" r:id="rId1"/>
    <sheet name="24" sheetId="9" state="hidden" r:id="rId2"/>
    <sheet name="25" sheetId="5" state="hidden" r:id="rId3"/>
    <sheet name="27" sheetId="4" state="hidden" r:id="rId4"/>
    <sheet name="Bank" sheetId="6" r:id="rId5"/>
  </sheets>
  <definedNames>
    <definedName name="_xlnm.Print_Area" localSheetId="0">'23'!$A$1:$P$29</definedName>
    <definedName name="_xlnm.Print_Area" localSheetId="2">'25'!$A$1:$AF$29</definedName>
    <definedName name="_xlnm.Print_Area" localSheetId="3">'27'!$A$1:$L$31</definedName>
    <definedName name="_xlnm.Print_Titles" localSheetId="0">'23'!$A:$H,'23'!$1:$9</definedName>
    <definedName name="_xlnm.Print_Titles" localSheetId="2">'25'!$A:$H,'25'!$1:$9</definedName>
    <definedName name="_xlnm.Print_Titles" localSheetId="3">'27'!$A:$H,'27'!$1:$9</definedName>
  </definedNames>
  <calcPr calcId="152511" fullCalcOnLoad="1"/>
</workbook>
</file>

<file path=xl/calcChain.xml><?xml version="1.0" encoding="utf-8"?>
<calcChain xmlns="http://schemas.openxmlformats.org/spreadsheetml/2006/main">
  <c r="P19" i="7" l="1"/>
  <c r="M11" i="9"/>
  <c r="L11" i="9"/>
  <c r="K11" i="9"/>
  <c r="P11" i="9"/>
  <c r="J11" i="9"/>
  <c r="I11" i="9"/>
  <c r="P14" i="9"/>
  <c r="AC30" i="5"/>
  <c r="AB30" i="5"/>
  <c r="AC29" i="5"/>
  <c r="AF29" i="5"/>
  <c r="AB29" i="5"/>
  <c r="AA29" i="5"/>
  <c r="Z29" i="5"/>
  <c r="U29" i="5"/>
  <c r="X29" i="5"/>
  <c r="T29" i="5"/>
  <c r="S29" i="5"/>
  <c r="R29" i="5"/>
  <c r="M29" i="5"/>
  <c r="L29" i="5"/>
  <c r="K29" i="5"/>
  <c r="P29" i="5"/>
  <c r="J29" i="5"/>
  <c r="P28" i="9"/>
  <c r="J79" i="9"/>
  <c r="K79" i="9"/>
  <c r="L79" i="9"/>
  <c r="M79" i="9"/>
  <c r="P80" i="9"/>
  <c r="L28" i="4"/>
  <c r="K28" i="4"/>
  <c r="J28" i="4"/>
  <c r="Y24" i="5"/>
  <c r="Q24" i="5"/>
  <c r="I24" i="5"/>
  <c r="O82" i="9"/>
  <c r="O81" i="9"/>
  <c r="O79" i="9"/>
  <c r="O86" i="9"/>
  <c r="N82" i="9"/>
  <c r="N81" i="9"/>
  <c r="N79" i="9"/>
  <c r="N86" i="9"/>
  <c r="I82" i="9"/>
  <c r="I86" i="9"/>
  <c r="M102" i="9"/>
  <c r="K102" i="9"/>
  <c r="O102" i="9"/>
  <c r="P103" i="9"/>
  <c r="P104" i="9"/>
  <c r="L102" i="9"/>
  <c r="N102" i="9"/>
  <c r="J102" i="9"/>
  <c r="J26" i="9"/>
  <c r="K26" i="9"/>
  <c r="L26" i="9"/>
  <c r="M26" i="9"/>
  <c r="N26" i="9"/>
  <c r="O26" i="9"/>
  <c r="I26" i="9"/>
  <c r="J23" i="9"/>
  <c r="K23" i="9"/>
  <c r="L23" i="9"/>
  <c r="M23" i="9"/>
  <c r="P23" i="9"/>
  <c r="N23" i="9"/>
  <c r="O23" i="9"/>
  <c r="I23" i="9"/>
  <c r="J20" i="9"/>
  <c r="J19" i="9"/>
  <c r="J18" i="9"/>
  <c r="K20" i="9"/>
  <c r="K19" i="9"/>
  <c r="K18" i="9"/>
  <c r="L20" i="9"/>
  <c r="M20" i="9"/>
  <c r="M19" i="9"/>
  <c r="M18" i="9"/>
  <c r="M17" i="9"/>
  <c r="M10" i="9"/>
  <c r="M122" i="9"/>
  <c r="N20" i="9"/>
  <c r="N19" i="9"/>
  <c r="N18" i="9"/>
  <c r="O20" i="9"/>
  <c r="O19" i="9"/>
  <c r="O18" i="9"/>
  <c r="I20" i="9"/>
  <c r="J32" i="9"/>
  <c r="J35" i="9"/>
  <c r="J31" i="9"/>
  <c r="J30" i="9"/>
  <c r="J38" i="9"/>
  <c r="J46" i="9"/>
  <c r="J45" i="9"/>
  <c r="J50" i="9"/>
  <c r="J56" i="9"/>
  <c r="J55" i="9"/>
  <c r="J54" i="9"/>
  <c r="J60" i="9"/>
  <c r="J66" i="9"/>
  <c r="J65" i="9"/>
  <c r="J70" i="9"/>
  <c r="J92" i="9"/>
  <c r="J91" i="9"/>
  <c r="J96" i="9"/>
  <c r="J90" i="9"/>
  <c r="K32" i="9"/>
  <c r="K35" i="9"/>
  <c r="K31" i="9"/>
  <c r="K30" i="9"/>
  <c r="K17" i="9"/>
  <c r="K38" i="9"/>
  <c r="K46" i="9"/>
  <c r="K45" i="9"/>
  <c r="K50" i="9"/>
  <c r="K56" i="9"/>
  <c r="K55" i="9"/>
  <c r="K54" i="9"/>
  <c r="K60" i="9"/>
  <c r="K66" i="9"/>
  <c r="K65" i="9"/>
  <c r="K70" i="9"/>
  <c r="K92" i="9"/>
  <c r="K91" i="9"/>
  <c r="K96" i="9"/>
  <c r="L19" i="9"/>
  <c r="L18" i="9"/>
  <c r="L32" i="9"/>
  <c r="L31" i="9"/>
  <c r="L30" i="9"/>
  <c r="L35" i="9"/>
  <c r="L38" i="9"/>
  <c r="L46" i="9"/>
  <c r="L45" i="9"/>
  <c r="L44" i="9"/>
  <c r="L50" i="9"/>
  <c r="L56" i="9"/>
  <c r="L55" i="9"/>
  <c r="L54" i="9"/>
  <c r="L60" i="9"/>
  <c r="L66" i="9"/>
  <c r="L65" i="9"/>
  <c r="L64" i="9"/>
  <c r="L70" i="9"/>
  <c r="L92" i="9"/>
  <c r="L91" i="9"/>
  <c r="L96" i="9"/>
  <c r="M32" i="9"/>
  <c r="M35" i="9"/>
  <c r="M38" i="9"/>
  <c r="M46" i="9"/>
  <c r="M45" i="9"/>
  <c r="M44" i="9"/>
  <c r="M42" i="9"/>
  <c r="M50" i="9"/>
  <c r="M56" i="9"/>
  <c r="M55" i="9"/>
  <c r="M54" i="9"/>
  <c r="M60" i="9"/>
  <c r="M66" i="9"/>
  <c r="M65" i="9"/>
  <c r="M64" i="9"/>
  <c r="M70" i="9"/>
  <c r="M92" i="9"/>
  <c r="M91" i="9"/>
  <c r="M90" i="9"/>
  <c r="M96" i="9"/>
  <c r="N32" i="9"/>
  <c r="N35" i="9"/>
  <c r="N31" i="9"/>
  <c r="N30" i="9"/>
  <c r="N38" i="9"/>
  <c r="N46" i="9"/>
  <c r="N45" i="9"/>
  <c r="N44" i="9"/>
  <c r="N50" i="9"/>
  <c r="N56" i="9"/>
  <c r="N55" i="9"/>
  <c r="N54" i="9"/>
  <c r="N60" i="9"/>
  <c r="N66" i="9"/>
  <c r="N65" i="9"/>
  <c r="N64" i="9"/>
  <c r="N70" i="9"/>
  <c r="N75" i="9"/>
  <c r="N74" i="9"/>
  <c r="N92" i="9"/>
  <c r="N91" i="9"/>
  <c r="N90" i="9"/>
  <c r="N96" i="9"/>
  <c r="N11" i="9"/>
  <c r="O32" i="9"/>
  <c r="O31" i="9"/>
  <c r="O30" i="9"/>
  <c r="O35" i="9"/>
  <c r="O38" i="9"/>
  <c r="O46" i="9"/>
  <c r="O45" i="9"/>
  <c r="O44" i="9"/>
  <c r="O50" i="9"/>
  <c r="O56" i="9"/>
  <c r="O55" i="9"/>
  <c r="O54" i="9"/>
  <c r="O42" i="9"/>
  <c r="O10" i="9"/>
  <c r="O122" i="9"/>
  <c r="O60" i="9"/>
  <c r="O66" i="9"/>
  <c r="O65" i="9"/>
  <c r="O70" i="9"/>
  <c r="O75" i="9"/>
  <c r="O74" i="9"/>
  <c r="O92" i="9"/>
  <c r="O91" i="9"/>
  <c r="P91" i="9"/>
  <c r="O96" i="9"/>
  <c r="O11" i="9"/>
  <c r="I19" i="9"/>
  <c r="I18" i="9"/>
  <c r="I32" i="9"/>
  <c r="I31" i="9"/>
  <c r="I35" i="9"/>
  <c r="I38" i="9"/>
  <c r="P38" i="9"/>
  <c r="I46" i="9"/>
  <c r="I45" i="9"/>
  <c r="P45" i="9"/>
  <c r="I50" i="9"/>
  <c r="I56" i="9"/>
  <c r="I55" i="9"/>
  <c r="I54" i="9"/>
  <c r="I60" i="9"/>
  <c r="I66" i="9"/>
  <c r="I65" i="9"/>
  <c r="I70" i="9"/>
  <c r="I75" i="9"/>
  <c r="P75" i="9"/>
  <c r="I92" i="9"/>
  <c r="I91" i="9"/>
  <c r="I90" i="9"/>
  <c r="I96" i="9"/>
  <c r="P96" i="9"/>
  <c r="P132" i="9"/>
  <c r="P131" i="9"/>
  <c r="P130" i="9"/>
  <c r="P129" i="9"/>
  <c r="I128" i="9"/>
  <c r="K128" i="9"/>
  <c r="M128" i="9"/>
  <c r="P128" i="9"/>
  <c r="O128" i="9"/>
  <c r="N128" i="9"/>
  <c r="L128" i="9"/>
  <c r="J128" i="9"/>
  <c r="P127" i="9"/>
  <c r="P126" i="9"/>
  <c r="P125" i="9"/>
  <c r="I124" i="9"/>
  <c r="P124" i="9"/>
  <c r="K124" i="9"/>
  <c r="M124" i="9"/>
  <c r="O124" i="9"/>
  <c r="N124" i="9"/>
  <c r="L124" i="9"/>
  <c r="J124" i="9"/>
  <c r="I109" i="9"/>
  <c r="I108" i="9"/>
  <c r="I112" i="9"/>
  <c r="I115" i="9"/>
  <c r="I118" i="9"/>
  <c r="P118" i="9"/>
  <c r="K105" i="9"/>
  <c r="K109" i="9"/>
  <c r="K112" i="9"/>
  <c r="K115" i="9"/>
  <c r="P115" i="9"/>
  <c r="K118" i="9"/>
  <c r="M105" i="9"/>
  <c r="M109" i="9"/>
  <c r="M108" i="9"/>
  <c r="M112" i="9"/>
  <c r="M115" i="9"/>
  <c r="M118" i="9"/>
  <c r="O105" i="9"/>
  <c r="O109" i="9"/>
  <c r="O112" i="9"/>
  <c r="O108" i="9"/>
  <c r="O101" i="9"/>
  <c r="O115" i="9"/>
  <c r="O118" i="9"/>
  <c r="N105" i="9"/>
  <c r="N109" i="9"/>
  <c r="N108" i="9"/>
  <c r="N101" i="9"/>
  <c r="N112" i="9"/>
  <c r="N115" i="9"/>
  <c r="N118" i="9"/>
  <c r="L105" i="9"/>
  <c r="L109" i="9"/>
  <c r="L108" i="9"/>
  <c r="L112" i="9"/>
  <c r="L115" i="9"/>
  <c r="L118" i="9"/>
  <c r="J105" i="9"/>
  <c r="J109" i="9"/>
  <c r="J112" i="9"/>
  <c r="J115" i="9"/>
  <c r="J118" i="9"/>
  <c r="P121" i="9"/>
  <c r="P120" i="9"/>
  <c r="P119" i="9"/>
  <c r="P117" i="9"/>
  <c r="P116" i="9"/>
  <c r="P114" i="9"/>
  <c r="P113" i="9"/>
  <c r="P111" i="9"/>
  <c r="P110" i="9"/>
  <c r="P107" i="9"/>
  <c r="P106" i="9"/>
  <c r="P100" i="9"/>
  <c r="P99" i="9"/>
  <c r="P98" i="9"/>
  <c r="P97" i="9"/>
  <c r="P95" i="9"/>
  <c r="P94" i="9"/>
  <c r="P93" i="9"/>
  <c r="P89" i="9"/>
  <c r="P88" i="9"/>
  <c r="P87" i="9"/>
  <c r="P86" i="9"/>
  <c r="P85" i="9"/>
  <c r="P84" i="9"/>
  <c r="P83" i="9"/>
  <c r="P78" i="9"/>
  <c r="P77" i="9"/>
  <c r="P76" i="9"/>
  <c r="P73" i="9"/>
  <c r="P72" i="9"/>
  <c r="P71" i="9"/>
  <c r="P70" i="9"/>
  <c r="P69" i="9"/>
  <c r="P68" i="9"/>
  <c r="P67" i="9"/>
  <c r="P66" i="9"/>
  <c r="P63" i="9"/>
  <c r="P62" i="9"/>
  <c r="P61" i="9"/>
  <c r="P60" i="9"/>
  <c r="P59" i="9"/>
  <c r="P58" i="9"/>
  <c r="P57" i="9"/>
  <c r="P56" i="9"/>
  <c r="P53" i="9"/>
  <c r="P52" i="9"/>
  <c r="P51" i="9"/>
  <c r="P50" i="9"/>
  <c r="P49" i="9"/>
  <c r="P48" i="9"/>
  <c r="P47" i="9"/>
  <c r="P46" i="9"/>
  <c r="P43" i="9"/>
  <c r="P41" i="9"/>
  <c r="P40" i="9"/>
  <c r="P39" i="9"/>
  <c r="P37" i="9"/>
  <c r="P36" i="9"/>
  <c r="P35" i="9"/>
  <c r="P34" i="9"/>
  <c r="P33" i="9"/>
  <c r="P29" i="9"/>
  <c r="P27" i="9"/>
  <c r="P25" i="9"/>
  <c r="P24" i="9"/>
  <c r="P22" i="9"/>
  <c r="P21" i="9"/>
  <c r="P16" i="9"/>
  <c r="P15" i="9"/>
  <c r="P13" i="9"/>
  <c r="P12" i="9"/>
  <c r="P29" i="7"/>
  <c r="P28" i="7"/>
  <c r="P27" i="7"/>
  <c r="I26" i="7"/>
  <c r="P26" i="7"/>
  <c r="K26" i="7"/>
  <c r="M26" i="7"/>
  <c r="O26" i="7"/>
  <c r="N26" i="7"/>
  <c r="L26" i="7"/>
  <c r="J26" i="7"/>
  <c r="I12" i="7"/>
  <c r="I15" i="7"/>
  <c r="P15" i="7"/>
  <c r="I20" i="7"/>
  <c r="K12" i="7"/>
  <c r="K15" i="7"/>
  <c r="K11" i="7"/>
  <c r="K10" i="7"/>
  <c r="K24" i="7"/>
  <c r="M12" i="7"/>
  <c r="M11" i="7"/>
  <c r="M10" i="7"/>
  <c r="M24" i="7"/>
  <c r="M15" i="7"/>
  <c r="O12" i="7"/>
  <c r="O11" i="7"/>
  <c r="O10" i="7"/>
  <c r="O15" i="7"/>
  <c r="O20" i="7"/>
  <c r="N12" i="7"/>
  <c r="N11" i="7"/>
  <c r="N10" i="7"/>
  <c r="N24" i="7"/>
  <c r="N15" i="7"/>
  <c r="N20" i="7"/>
  <c r="L12" i="7"/>
  <c r="L11" i="7"/>
  <c r="L10" i="7"/>
  <c r="L24" i="7"/>
  <c r="L15" i="7"/>
  <c r="J12" i="7"/>
  <c r="J11" i="7"/>
  <c r="J10" i="7"/>
  <c r="J24" i="7"/>
  <c r="J15" i="7"/>
  <c r="P23" i="7"/>
  <c r="P22" i="7"/>
  <c r="P18" i="7"/>
  <c r="P17" i="7"/>
  <c r="P16" i="7"/>
  <c r="P14" i="7"/>
  <c r="P13" i="7"/>
  <c r="AD11" i="5"/>
  <c r="AD16" i="5"/>
  <c r="AD15" i="5"/>
  <c r="AD20" i="5"/>
  <c r="AD10" i="5"/>
  <c r="AD27" i="5"/>
  <c r="AD24" i="5"/>
  <c r="AE24" i="5"/>
  <c r="AE20" i="5"/>
  <c r="AE10" i="5"/>
  <c r="AE27" i="5"/>
  <c r="AE16" i="5"/>
  <c r="AE15" i="5"/>
  <c r="AE11" i="5"/>
  <c r="AA11" i="5"/>
  <c r="Y11" i="5"/>
  <c r="AF12" i="5"/>
  <c r="AF13" i="5"/>
  <c r="AF14" i="5"/>
  <c r="AA16" i="5"/>
  <c r="AA15" i="5"/>
  <c r="Y16" i="5"/>
  <c r="AF17" i="5"/>
  <c r="AF18" i="5"/>
  <c r="AF19" i="5"/>
  <c r="AA20" i="5"/>
  <c r="AA10" i="5"/>
  <c r="AA27" i="5"/>
  <c r="Y20" i="5"/>
  <c r="AF20" i="5"/>
  <c r="AF21" i="5"/>
  <c r="AF22" i="5"/>
  <c r="AF23" i="5"/>
  <c r="AA24" i="5"/>
  <c r="AF24" i="5"/>
  <c r="AF25" i="5"/>
  <c r="AF26" i="5"/>
  <c r="Q11" i="5"/>
  <c r="S11" i="5"/>
  <c r="U11" i="5"/>
  <c r="X11" i="5"/>
  <c r="W11" i="5"/>
  <c r="X12" i="5"/>
  <c r="X13" i="5"/>
  <c r="X14" i="5"/>
  <c r="Q16" i="5"/>
  <c r="Q15" i="5"/>
  <c r="S16" i="5"/>
  <c r="S15" i="5"/>
  <c r="S10" i="5"/>
  <c r="S27" i="5"/>
  <c r="S30" i="5"/>
  <c r="X30" i="5"/>
  <c r="U16" i="5"/>
  <c r="U15" i="5"/>
  <c r="U10" i="5"/>
  <c r="U27" i="5"/>
  <c r="U30" i="5"/>
  <c r="W16" i="5"/>
  <c r="W15" i="5"/>
  <c r="W10" i="5"/>
  <c r="X17" i="5"/>
  <c r="X18" i="5"/>
  <c r="X19" i="5"/>
  <c r="Q20" i="5"/>
  <c r="X20" i="5"/>
  <c r="S20" i="5"/>
  <c r="U20" i="5"/>
  <c r="W20" i="5"/>
  <c r="X21" i="5"/>
  <c r="X22" i="5"/>
  <c r="X23" i="5"/>
  <c r="S24" i="5"/>
  <c r="X24" i="5"/>
  <c r="U24" i="5"/>
  <c r="W24" i="5"/>
  <c r="X25" i="5"/>
  <c r="X26" i="5"/>
  <c r="V24" i="5"/>
  <c r="V20" i="5"/>
  <c r="V16" i="5"/>
  <c r="V15" i="5"/>
  <c r="V11" i="5"/>
  <c r="I11" i="5"/>
  <c r="K11" i="5"/>
  <c r="M11" i="5"/>
  <c r="O11" i="5"/>
  <c r="P12" i="5"/>
  <c r="P13" i="5"/>
  <c r="P14" i="5"/>
  <c r="I16" i="5"/>
  <c r="I15" i="5"/>
  <c r="K16" i="5"/>
  <c r="K15" i="5"/>
  <c r="K10" i="5"/>
  <c r="K27" i="5"/>
  <c r="K30" i="5"/>
  <c r="M16" i="5"/>
  <c r="M15" i="5"/>
  <c r="O16" i="5"/>
  <c r="O15" i="5"/>
  <c r="P16" i="5"/>
  <c r="P17" i="5"/>
  <c r="P18" i="5"/>
  <c r="P19" i="5"/>
  <c r="I20" i="5"/>
  <c r="K20" i="5"/>
  <c r="M20" i="5"/>
  <c r="O20" i="5"/>
  <c r="O10" i="5"/>
  <c r="O27" i="5"/>
  <c r="P21" i="5"/>
  <c r="P22" i="5"/>
  <c r="P23" i="5"/>
  <c r="K24" i="5"/>
  <c r="P24" i="5"/>
  <c r="M24" i="5"/>
  <c r="O24" i="5"/>
  <c r="P25" i="5"/>
  <c r="P26" i="5"/>
  <c r="N11" i="5"/>
  <c r="N10" i="5"/>
  <c r="N27" i="5"/>
  <c r="N16" i="5"/>
  <c r="N15" i="5"/>
  <c r="N20" i="5"/>
  <c r="N24" i="5"/>
  <c r="Z11" i="5"/>
  <c r="Z16" i="5"/>
  <c r="Z15" i="5"/>
  <c r="Z20" i="5"/>
  <c r="Z24" i="5"/>
  <c r="T11" i="5"/>
  <c r="T16" i="5"/>
  <c r="T15" i="5"/>
  <c r="T20" i="5"/>
  <c r="T24" i="5"/>
  <c r="R11" i="5"/>
  <c r="R16" i="5"/>
  <c r="R15" i="5"/>
  <c r="R20" i="5"/>
  <c r="R24" i="5"/>
  <c r="L11" i="5"/>
  <c r="L16" i="5"/>
  <c r="L15" i="5"/>
  <c r="L10" i="5"/>
  <c r="L27" i="5"/>
  <c r="L30" i="5"/>
  <c r="L20" i="5"/>
  <c r="L24" i="5"/>
  <c r="J11" i="5"/>
  <c r="J16" i="5"/>
  <c r="J15" i="5"/>
  <c r="J10" i="5"/>
  <c r="J27" i="5"/>
  <c r="J30" i="5"/>
  <c r="J20" i="5"/>
  <c r="J24" i="5"/>
  <c r="J25" i="4"/>
  <c r="J10" i="4"/>
  <c r="K10" i="4"/>
  <c r="L10" i="4"/>
  <c r="H12" i="4"/>
  <c r="L13" i="4"/>
  <c r="L16" i="4"/>
  <c r="L19" i="4"/>
  <c r="L22" i="4"/>
  <c r="L25" i="4"/>
  <c r="K13" i="4"/>
  <c r="K16" i="4"/>
  <c r="K19" i="4"/>
  <c r="K22" i="4"/>
  <c r="K25" i="4"/>
  <c r="J22" i="4"/>
  <c r="J19" i="4"/>
  <c r="J16" i="4"/>
  <c r="J13" i="4"/>
  <c r="H27" i="4"/>
  <c r="H24" i="4"/>
  <c r="H21" i="4"/>
  <c r="H18" i="4"/>
  <c r="H15" i="4"/>
  <c r="P55" i="9"/>
  <c r="K44" i="9"/>
  <c r="X16" i="5"/>
  <c r="P20" i="5"/>
  <c r="W27" i="5"/>
  <c r="AF11" i="5"/>
  <c r="AA30" i="5"/>
  <c r="AF30" i="5"/>
  <c r="P20" i="9"/>
  <c r="P112" i="9"/>
  <c r="P102" i="9"/>
  <c r="M101" i="9"/>
  <c r="K64" i="9"/>
  <c r="K42" i="9"/>
  <c r="O17" i="9"/>
  <c r="P92" i="9"/>
  <c r="O64" i="9"/>
  <c r="L90" i="9"/>
  <c r="L42" i="9"/>
  <c r="P82" i="9"/>
  <c r="I81" i="9"/>
  <c r="P81" i="9"/>
  <c r="P105" i="9"/>
  <c r="L17" i="9"/>
  <c r="L10" i="9"/>
  <c r="P19" i="9"/>
  <c r="P26" i="9"/>
  <c r="Q10" i="5"/>
  <c r="J108" i="9"/>
  <c r="J101" i="9"/>
  <c r="I101" i="9"/>
  <c r="M31" i="9"/>
  <c r="M30" i="9"/>
  <c r="P32" i="9"/>
  <c r="K90" i="9"/>
  <c r="P90" i="9"/>
  <c r="J64" i="9"/>
  <c r="J44" i="9"/>
  <c r="J42" i="9"/>
  <c r="O90" i="9"/>
  <c r="Q27" i="5"/>
  <c r="I79" i="9"/>
  <c r="P79" i="9"/>
  <c r="K10" i="9"/>
  <c r="P30" i="5"/>
  <c r="X27" i="5"/>
  <c r="X10" i="5"/>
  <c r="I30" i="9"/>
  <c r="P31" i="9"/>
  <c r="L101" i="9"/>
  <c r="L122" i="9"/>
  <c r="Z10" i="5"/>
  <c r="Z27" i="5"/>
  <c r="Z30" i="5"/>
  <c r="P11" i="5"/>
  <c r="I10" i="5"/>
  <c r="I64" i="9"/>
  <c r="P64" i="9"/>
  <c r="P65" i="9"/>
  <c r="P18" i="9"/>
  <c r="L31" i="4"/>
  <c r="R10" i="5"/>
  <c r="R27" i="5"/>
  <c r="R30" i="5"/>
  <c r="T10" i="5"/>
  <c r="T27" i="5"/>
  <c r="T30" i="5"/>
  <c r="V10" i="5"/>
  <c r="V27" i="5"/>
  <c r="X15" i="5"/>
  <c r="AF16" i="5"/>
  <c r="Y15" i="5"/>
  <c r="N42" i="9"/>
  <c r="P15" i="5"/>
  <c r="I11" i="7"/>
  <c r="P12" i="7"/>
  <c r="I44" i="9"/>
  <c r="J31" i="4"/>
  <c r="K31" i="4"/>
  <c r="M10" i="5"/>
  <c r="M27" i="5"/>
  <c r="M30" i="5"/>
  <c r="O24" i="7"/>
  <c r="P20" i="7"/>
  <c r="P54" i="9"/>
  <c r="N17" i="9"/>
  <c r="J17" i="9"/>
  <c r="J10" i="9"/>
  <c r="J122" i="9"/>
  <c r="K108" i="9"/>
  <c r="K101" i="9"/>
  <c r="P101" i="9"/>
  <c r="P109" i="9"/>
  <c r="I74" i="9"/>
  <c r="P74" i="9"/>
  <c r="I42" i="9"/>
  <c r="P42" i="9"/>
  <c r="P44" i="9"/>
  <c r="I10" i="7"/>
  <c r="P11" i="7"/>
  <c r="P10" i="5"/>
  <c r="I27" i="5"/>
  <c r="P27" i="5"/>
  <c r="I17" i="9"/>
  <c r="P30" i="9"/>
  <c r="P108" i="9"/>
  <c r="N10" i="9"/>
  <c r="N122" i="9"/>
  <c r="AF15" i="5"/>
  <c r="Y10" i="5"/>
  <c r="K122" i="9"/>
  <c r="I10" i="9"/>
  <c r="P17" i="9"/>
  <c r="I24" i="7"/>
  <c r="P24" i="7"/>
  <c r="P10" i="7"/>
  <c r="Y27" i="5"/>
  <c r="AF27" i="5"/>
  <c r="AF10" i="5"/>
  <c r="I122" i="9"/>
  <c r="P122" i="9"/>
  <c r="P10" i="9"/>
</calcChain>
</file>

<file path=xl/sharedStrings.xml><?xml version="1.0" encoding="utf-8"?>
<sst xmlns="http://schemas.openxmlformats.org/spreadsheetml/2006/main" count="1221" uniqueCount="941">
  <si>
    <t>Due to Other Banks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</si>
  <si>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</si>
  <si>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</si>
  <si>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</si>
  <si>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</si>
  <si>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</si>
  <si>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</si>
  <si>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</si>
  <si>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</si>
  <si>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</si>
  <si>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(1)</t>
  </si>
  <si>
    <t>UBs/KBs</t>
  </si>
  <si>
    <t>(a)</t>
  </si>
  <si>
    <t>Government Banks</t>
  </si>
  <si>
    <t>(i)</t>
  </si>
  <si>
    <t>Local Currency</t>
  </si>
  <si>
    <t>(ii)</t>
  </si>
  <si>
    <t>Foreign Currency</t>
  </si>
  <si>
    <t>(b)</t>
  </si>
  <si>
    <t>Non-Government Banks</t>
  </si>
  <si>
    <t>(2)</t>
  </si>
  <si>
    <t>Other Banks</t>
  </si>
  <si>
    <t>B.</t>
  </si>
  <si>
    <t>Due to Non-Resident Banks - Working Capital</t>
  </si>
  <si>
    <t>in Local Currency</t>
  </si>
  <si>
    <t>OBUs</t>
  </si>
  <si>
    <t>Additional Information</t>
  </si>
  <si>
    <t>1.</t>
  </si>
  <si>
    <t>Classified as to Original Term</t>
  </si>
  <si>
    <t>Short Term (one year or less)</t>
  </si>
  <si>
    <t>Medium Term (&gt;1 year to 5 years)</t>
  </si>
  <si>
    <t>C.</t>
  </si>
  <si>
    <t>Long Term (&gt;5  years)</t>
  </si>
  <si>
    <t>2.</t>
  </si>
  <si>
    <t>(3)</t>
  </si>
  <si>
    <t>(4)</t>
  </si>
  <si>
    <t>Bills Payable</t>
  </si>
  <si>
    <t>Resident</t>
  </si>
  <si>
    <t>Bangko Sentral ng Pilipinas</t>
  </si>
  <si>
    <t>Rediscounting</t>
  </si>
  <si>
    <t>Emergency Advances</t>
  </si>
  <si>
    <t>(c)</t>
  </si>
  <si>
    <t>Overdrafts</t>
  </si>
  <si>
    <t>(d)</t>
  </si>
  <si>
    <t>Others</t>
  </si>
  <si>
    <t>Interbank Loans Payable</t>
  </si>
  <si>
    <t>Interbank Call Loans</t>
  </si>
  <si>
    <t>(a.1)</t>
  </si>
  <si>
    <t>(a.2)</t>
  </si>
  <si>
    <t>(a.3)</t>
  </si>
  <si>
    <t>Interbank Term Loans</t>
  </si>
  <si>
    <t>(b.1)</t>
  </si>
  <si>
    <t>(b.1a)</t>
  </si>
  <si>
    <t>RBU</t>
  </si>
  <si>
    <t>(b.1b)</t>
  </si>
  <si>
    <t>(b.2)</t>
  </si>
  <si>
    <t>(b.3)</t>
  </si>
  <si>
    <t xml:space="preserve"> Other Deposit Substitutes</t>
  </si>
  <si>
    <t>Repurchase Agreements with BSP</t>
  </si>
  <si>
    <t>Repurchase Agreements</t>
  </si>
  <si>
    <t>Banks</t>
  </si>
  <si>
    <t>(i.a)</t>
  </si>
  <si>
    <t>(i.b)</t>
  </si>
  <si>
    <t>Private Corporations</t>
  </si>
  <si>
    <t>Financial</t>
  </si>
  <si>
    <t>Non-Financial</t>
  </si>
  <si>
    <t>Individuals</t>
  </si>
  <si>
    <t>Certificates of Assignment/Participation with Recourse</t>
  </si>
  <si>
    <t>(c.1)</t>
  </si>
  <si>
    <t>(c.2)</t>
  </si>
  <si>
    <t>(c.3)</t>
  </si>
  <si>
    <t>Securities Lending/Borrowing Agreement</t>
  </si>
  <si>
    <t>(d.1)</t>
  </si>
  <si>
    <t>(d.2)</t>
  </si>
  <si>
    <t>(d.3)</t>
  </si>
  <si>
    <t>(e)</t>
  </si>
  <si>
    <t>Time Certificates of Deposit-Special Financing</t>
  </si>
  <si>
    <t>(e.1)</t>
  </si>
  <si>
    <t>(e.2)</t>
  </si>
  <si>
    <t>(f)</t>
  </si>
  <si>
    <t>(f.1)</t>
  </si>
  <si>
    <t>(f.2)</t>
  </si>
  <si>
    <t>(f.3)</t>
  </si>
  <si>
    <t>(g)</t>
  </si>
  <si>
    <t>(g.1)</t>
  </si>
  <si>
    <t>(g.2)</t>
  </si>
  <si>
    <t>(g.3)</t>
  </si>
  <si>
    <t>Non-Resident</t>
  </si>
  <si>
    <t>Other Deposit Substitutes</t>
  </si>
  <si>
    <t>Taxable Borrowings</t>
  </si>
  <si>
    <t>Interbank Borrowings</t>
  </si>
  <si>
    <t>Deposit Substitutes</t>
  </si>
  <si>
    <t>D.</t>
  </si>
  <si>
    <t>Bonds Payable, Unsecured Subordinated Debt and Redeemable Preferred Shares</t>
  </si>
  <si>
    <t>Peso Accts</t>
  </si>
  <si>
    <t>FCDU/ EFCDU</t>
  </si>
  <si>
    <t>GOCCs</t>
  </si>
  <si>
    <t>Social Security Institutions</t>
  </si>
  <si>
    <t>Other Financial</t>
  </si>
  <si>
    <t>(iii)</t>
  </si>
  <si>
    <t xml:space="preserve">Financial </t>
  </si>
  <si>
    <t>Taxable</t>
  </si>
  <si>
    <t>Financial Liabilities Associated with Transferred Assets</t>
  </si>
  <si>
    <t>Nature of the Assets</t>
  </si>
  <si>
    <t>Sequence No.</t>
  </si>
  <si>
    <t>Nature of risks and rewards to which the bank remains exposed</t>
  </si>
  <si>
    <t>Carrying Amounts</t>
  </si>
  <si>
    <t>Assets</t>
  </si>
  <si>
    <t>Associated Liability</t>
  </si>
  <si>
    <t>Part of the asset still recognized (continuing involvement)</t>
  </si>
  <si>
    <t>Held for Trading</t>
  </si>
  <si>
    <t>Designated at Fair Value through Profit or Loss</t>
  </si>
  <si>
    <t>Financial Assets Available-for-Sale</t>
  </si>
  <si>
    <t>Held-to-Maturity Financial Assets</t>
  </si>
  <si>
    <t>Unquoted Debt Securities Classified as Loans</t>
  </si>
  <si>
    <t>Loans and Receivables</t>
  </si>
  <si>
    <t>220050000500100000</t>
  </si>
  <si>
    <t>220050000500141000</t>
  </si>
  <si>
    <t>220050000500141100</t>
  </si>
  <si>
    <t>220050000500141101</t>
  </si>
  <si>
    <t>220050000500141102</t>
  </si>
  <si>
    <t>220050000500141200</t>
  </si>
  <si>
    <t>220050000500141201</t>
  </si>
  <si>
    <t>220050000500141202</t>
  </si>
  <si>
    <t>220050000500142000</t>
  </si>
  <si>
    <t>220050001000231000</t>
  </si>
  <si>
    <t>220050001000232000</t>
  </si>
  <si>
    <t>220050000000000000</t>
  </si>
  <si>
    <t>220050000000610000</t>
  </si>
  <si>
    <t>220050000000611000</t>
  </si>
  <si>
    <t>220100000000100000</t>
  </si>
  <si>
    <t>220100001500100000</t>
  </si>
  <si>
    <t>220100001505100000</t>
  </si>
  <si>
    <t>220100001510100000</t>
  </si>
  <si>
    <t>220100001515100000</t>
  </si>
  <si>
    <t>220100001595100000</t>
  </si>
  <si>
    <t>220100002000100000</t>
  </si>
  <si>
    <t>220100002005100000</t>
  </si>
  <si>
    <t>220100002005141000</t>
  </si>
  <si>
    <t>220100002005141100</t>
  </si>
  <si>
    <t>220100002005141200</t>
  </si>
  <si>
    <t>220100002005142000</t>
  </si>
  <si>
    <t>220100002005143000</t>
  </si>
  <si>
    <t>220100002010100000</t>
  </si>
  <si>
    <t>220100002010141000</t>
  </si>
  <si>
    <t>220100002010141100</t>
  </si>
  <si>
    <t>220100002010141110</t>
  </si>
  <si>
    <t>220100002010141120</t>
  </si>
  <si>
    <t>220100002010141200</t>
  </si>
  <si>
    <t>220100002010141210</t>
  </si>
  <si>
    <t>220100002010141220</t>
  </si>
  <si>
    <t>220100002010142000</t>
  </si>
  <si>
    <t>220100002010142010</t>
  </si>
  <si>
    <t>220100002010142020</t>
  </si>
  <si>
    <t>220100002010143000</t>
  </si>
  <si>
    <t>220100002500100000</t>
  </si>
  <si>
    <t>220100002505100000</t>
  </si>
  <si>
    <t>220100002510100000</t>
  </si>
  <si>
    <t>220100002510140000</t>
  </si>
  <si>
    <t>220100002510141000</t>
  </si>
  <si>
    <t>220100002510141100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</si>
  <si>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</si>
  <si>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</si>
  <si>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</si>
  <si>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</si>
  <si>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</si>
  <si>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</si>
  <si>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220100002515100000</t>
  </si>
  <si>
    <t>220100002515140000</t>
  </si>
  <si>
    <t>220100002515141000</t>
  </si>
  <si>
    <t>220100002515141100</t>
  </si>
  <si>
    <t>220100002515141200</t>
  </si>
  <si>
    <t>220100002515142000</t>
  </si>
  <si>
    <t>220100002515160000</t>
  </si>
  <si>
    <t>220100002515161000</t>
  </si>
  <si>
    <t>220100002515162000</t>
  </si>
  <si>
    <t>220100002515170000</t>
  </si>
  <si>
    <t>220100002520100000</t>
  </si>
  <si>
    <t>220100002520140000</t>
  </si>
  <si>
    <t>220100002520141000</t>
  </si>
  <si>
    <t>220100002520141100</t>
  </si>
  <si>
    <t>220100002520141200</t>
  </si>
  <si>
    <t>220100002520142000</t>
  </si>
  <si>
    <t>220100002520160000</t>
  </si>
  <si>
    <t>220100002520161000</t>
  </si>
  <si>
    <t>220100002520162000</t>
  </si>
  <si>
    <t>220100002520170000</t>
  </si>
  <si>
    <t>220100002525100000</t>
  </si>
  <si>
    <t>220100002525160000</t>
  </si>
  <si>
    <t>220100002525161000</t>
  </si>
  <si>
    <t>220100002525162000</t>
  </si>
  <si>
    <t>220100002530100000</t>
  </si>
  <si>
    <t>220100002530140000</t>
  </si>
  <si>
    <t>220100002530141000</t>
  </si>
  <si>
    <t>220100002530141100</t>
  </si>
  <si>
    <t>220100002530141200</t>
  </si>
  <si>
    <t>220100002530142000</t>
  </si>
  <si>
    <t>220100002530160000</t>
  </si>
  <si>
    <t>220100002530161000</t>
  </si>
  <si>
    <t>220100002530162000</t>
  </si>
  <si>
    <t>220100002530170000</t>
  </si>
  <si>
    <t>220100002595100000</t>
  </si>
  <si>
    <t>220100002595140000</t>
  </si>
  <si>
    <t>220100002595141000</t>
  </si>
  <si>
    <t>220100002595141100</t>
  </si>
  <si>
    <t>220100002595141200</t>
  </si>
  <si>
    <t>220100002595142000</t>
  </si>
  <si>
    <t>220100002595160000</t>
  </si>
  <si>
    <t>220100002595161000</t>
  </si>
  <si>
    <t>220100002595162000</t>
  </si>
  <si>
    <t>220100002595170000</t>
  </si>
  <si>
    <t>220100000000200000</t>
  </si>
  <si>
    <t>220100002010200000</t>
  </si>
  <si>
    <t>220100002010201000</t>
  </si>
  <si>
    <t>220100002010202000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</si>
  <si>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</si>
  <si>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</si>
  <si>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</si>
  <si>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</si>
  <si>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</si>
  <si>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</si>
  <si>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</si>
  <si>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</si>
  <si>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</si>
  <si>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</si>
  <si>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</si>
  <si>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</si>
  <si>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</si>
  <si>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220100000000000000</t>
  </si>
  <si>
    <t>220100000000610000</t>
  </si>
  <si>
    <t>220100000000611000</t>
  </si>
  <si>
    <t>220100000000612100</t>
  </si>
  <si>
    <t>220100000000612200</t>
  </si>
  <si>
    <t>220100000000651000</t>
  </si>
  <si>
    <t>220100001500651000</t>
  </si>
  <si>
    <t>220100002500651000</t>
  </si>
  <si>
    <t>220100099500651000</t>
  </si>
  <si>
    <t>220350000000100000</t>
  </si>
  <si>
    <t>220350000000123000</t>
  </si>
  <si>
    <t>220350000000143000</t>
  </si>
  <si>
    <t>220350000000141000</t>
  </si>
  <si>
    <t>220350000000142000</t>
  </si>
  <si>
    <t>220350000000160000</t>
  </si>
  <si>
    <t>220350000000161000</t>
  </si>
  <si>
    <t>220350000000162000</t>
  </si>
  <si>
    <t>220350000000170000</t>
  </si>
  <si>
    <t>220350000000200000</t>
  </si>
  <si>
    <t>220350000000231000</t>
  </si>
  <si>
    <t>220350000000232000</t>
  </si>
  <si>
    <t>220350000000000000</t>
  </si>
  <si>
    <t>220350000000651000</t>
  </si>
  <si>
    <t>225051000000000000</t>
  </si>
  <si>
    <t>225052000000000000</t>
  </si>
  <si>
    <t>225053000000000000</t>
  </si>
  <si>
    <t>225054000000000000</t>
  </si>
  <si>
    <t/>
  </si>
  <si>
    <t>225056000000000000</t>
  </si>
  <si>
    <t>225050000000000000</t>
  </si>
  <si>
    <t>220350000000141100</t>
  </si>
  <si>
    <t>220350000000141200</t>
  </si>
  <si>
    <t>$$$</t>
  </si>
  <si>
    <t>x</t>
  </si>
  <si>
    <t>TOTAL</t>
  </si>
  <si>
    <t>220050000000612100</t>
  </si>
  <si>
    <t>220050000000612200</t>
  </si>
  <si>
    <t>220350000000123100</t>
  </si>
  <si>
    <t>220350000000123200</t>
  </si>
  <si>
    <t>220350000000123300</t>
  </si>
  <si>
    <t>Foreign Offices</t>
  </si>
  <si>
    <t>FCDU</t>
  </si>
  <si>
    <t>_a</t>
  </si>
  <si>
    <t>_b</t>
  </si>
  <si>
    <t>_c</t>
  </si>
  <si>
    <t>_d</t>
  </si>
  <si>
    <t>_e</t>
  </si>
  <si>
    <t>_f</t>
  </si>
  <si>
    <t>225055000000000000</t>
  </si>
  <si>
    <t>220050001000200000</t>
  </si>
  <si>
    <t>Solo Reports</t>
  </si>
  <si>
    <t>Bonds Payable                                                                                               (amortized cost)</t>
  </si>
  <si>
    <t>Unsecured Subordinated Debt                                                                                                   (amortized cost)</t>
  </si>
  <si>
    <t>Redeemable Preferred Shares                                                     (amortized cost)</t>
  </si>
  <si>
    <t>(a.1a)</t>
  </si>
  <si>
    <t>220100002005141110</t>
  </si>
  <si>
    <t>220100002005141120</t>
  </si>
  <si>
    <t>(a.1b)</t>
  </si>
  <si>
    <t>220100002005141210</t>
  </si>
  <si>
    <t>220100002005141220</t>
  </si>
  <si>
    <t>220100002005142010</t>
  </si>
  <si>
    <t>220100002005142020</t>
  </si>
  <si>
    <t>NBQBs</t>
  </si>
  <si>
    <t>220100002005200000</t>
  </si>
  <si>
    <t>220100002005202000</t>
  </si>
  <si>
    <t>220100002525170000</t>
  </si>
  <si>
    <t>220100003000100000</t>
  </si>
  <si>
    <t>220100002005201000</t>
  </si>
  <si>
    <t>220100003000200000</t>
  </si>
  <si>
    <t>220100002000651000</t>
  </si>
  <si>
    <t>Reverse Repurchase Agreements with BSP-Sold to Clients</t>
  </si>
  <si>
    <t>Real and Other Properties Acquired</t>
  </si>
  <si>
    <t>225057000000000000</t>
  </si>
  <si>
    <t>_g</t>
  </si>
  <si>
    <t>GOCC</t>
  </si>
  <si>
    <t>220100002530123000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</si>
  <si>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</si>
  <si>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</si>
  <si>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</si>
  <si>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</si>
  <si>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</si>
  <si>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</si>
  <si>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</si>
  <si>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</si>
  <si>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</si>
  <si>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</si>
  <si>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</si>
  <si>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</si>
  <si>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</si>
  <si>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</si>
  <si>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</si>
  <si>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</si>
  <si>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</si>
  <si>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</si>
  <si>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</si>
  <si>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</si>
  <si>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</si>
  <si>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</si>
  <si>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</si>
  <si>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</si>
  <si>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</si>
  <si>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</si>
  <si>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</si>
  <si>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</si>
  <si>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</si>
  <si>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</si>
  <si>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</si>
  <si>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</si>
  <si>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</si>
  <si>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</si>
  <si>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</si>
  <si>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</si>
  <si>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</si>
  <si>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</si>
  <si>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</si>
  <si>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</si>
  <si>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</si>
  <si>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</si>
  <si>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</si>
  <si>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</si>
  <si>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</si>
  <si>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</si>
  <si>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</si>
  <si>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</si>
  <si>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</si>
  <si>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</si>
  <si>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</si>
  <si>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</si>
  <si>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</si>
  <si>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</si>
  <si>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</si>
  <si>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</si>
  <si>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</si>
  <si>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</si>
  <si>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</si>
  <si>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</si>
  <si>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</si>
  <si>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</si>
  <si>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</si>
  <si>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</si>
  <si>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</si>
  <si>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</si>
  <si>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</si>
  <si>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</si>
  <si>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</si>
  <si>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</si>
  <si>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</si>
  <si>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</si>
  <si>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</si>
  <si>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</si>
  <si>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</si>
  <si>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</si>
  <si>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</si>
  <si>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</si>
  <si>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</si>
  <si>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</si>
  <si>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</si>
  <si>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</si>
  <si>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</si>
  <si>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</si>
  <si>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</si>
  <si>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</si>
  <si>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</si>
  <si>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</si>
  <si>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</si>
  <si>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</si>
  <si>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</si>
  <si>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</si>
  <si>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</si>
  <si>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</si>
  <si>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</si>
  <si>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</si>
  <si>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</si>
  <si>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</si>
  <si>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</si>
  <si>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</si>
  <si>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</si>
  <si>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</si>
  <si>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</si>
  <si>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</si>
  <si>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</si>
  <si>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</si>
  <si>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</si>
  <si>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</si>
  <si>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</si>
  <si>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</si>
  <si>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</si>
  <si>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</si>
  <si>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</si>
  <si>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</si>
  <si>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</si>
  <si>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</si>
  <si>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</si>
  <si>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</si>
  <si>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</si>
  <si>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</si>
  <si>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</si>
  <si>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</si>
  <si>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</si>
  <si>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</si>
  <si>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</si>
  <si>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</si>
  <si>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</si>
  <si>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</si>
  <si>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</si>
  <si>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</si>
  <si>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</si>
  <si>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</si>
  <si>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</si>
  <si>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</si>
  <si>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</si>
  <si>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</si>
  <si>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</si>
  <si>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</si>
  <si>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</si>
  <si>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</si>
  <si>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</si>
  <si>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</si>
  <si>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</si>
  <si>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</si>
  <si>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</si>
  <si>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</si>
  <si>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</si>
  <si>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</si>
  <si>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</si>
  <si>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</si>
  <si>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</si>
  <si>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</si>
  <si>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</si>
  <si>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</si>
  <si>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</si>
  <si>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</si>
  <si>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</si>
  <si>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</si>
  <si>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</si>
  <si>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</si>
  <si>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</si>
  <si>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</si>
  <si>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</si>
  <si>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</si>
  <si>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</si>
  <si>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</si>
  <si>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</si>
  <si>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</si>
  <si>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</si>
  <si>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</si>
  <si>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</si>
  <si>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</si>
  <si>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</si>
  <si>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</si>
  <si>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</si>
  <si>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</si>
  <si>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</si>
  <si>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</si>
  <si>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</si>
  <si>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</si>
  <si>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</si>
  <si>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</si>
  <si>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</si>
  <si>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</si>
  <si>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</si>
  <si>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</si>
  <si>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</si>
  <si>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</si>
  <si>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</si>
  <si>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</si>
  <si>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</si>
  <si>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</si>
  <si>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</si>
  <si>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</si>
  <si>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</si>
  <si>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</si>
  <si>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</si>
  <si>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</si>
  <si>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</si>
  <si>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</si>
  <si>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</si>
  <si>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</si>
  <si>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</si>
  <si>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</si>
  <si>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</si>
  <si>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</si>
  <si>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</si>
  <si>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</si>
  <si>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</si>
  <si>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</si>
  <si>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</si>
  <si>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</si>
  <si>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</si>
  <si>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</si>
  <si>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</si>
  <si>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</si>
  <si>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</si>
  <si>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</si>
  <si>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</si>
  <si>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</si>
  <si>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</si>
  <si>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</si>
  <si>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</si>
  <si>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</si>
  <si>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</si>
  <si>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</si>
  <si>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</si>
  <si>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</si>
  <si>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</si>
  <si>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</si>
  <si>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</si>
  <si>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</si>
  <si>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</si>
  <si>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</si>
  <si>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</si>
  <si>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</si>
  <si>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</si>
  <si>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</si>
  <si>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</si>
  <si>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</si>
  <si>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</si>
  <si>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</si>
  <si>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</si>
  <si>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</si>
  <si>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</si>
  <si>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</si>
  <si>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</si>
  <si>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</si>
  <si>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</si>
  <si>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</si>
  <si>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</si>
  <si>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</si>
  <si>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</si>
  <si>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</si>
  <si>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</si>
  <si>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</si>
  <si>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(f.4)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</si>
  <si>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</si>
  <si>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</si>
  <si>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</si>
  <si>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</si>
  <si>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</si>
  <si>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</si>
  <si>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</si>
  <si>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</si>
  <si>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</si>
  <si>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</si>
  <si>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</si>
  <si>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</si>
  <si>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</si>
  <si>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</si>
  <si>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</si>
  <si>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</si>
  <si>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</si>
  <si>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</si>
  <si>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</si>
  <si>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</si>
  <si>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</si>
  <si>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</si>
  <si>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</si>
  <si>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</si>
  <si>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</si>
  <si>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</si>
  <si>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</si>
  <si>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</si>
  <si>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</si>
  <si>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</si>
  <si>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</si>
  <si>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</si>
  <si>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</si>
  <si>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</si>
  <si>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</si>
  <si>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</si>
  <si>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</si>
  <si>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</si>
  <si>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</si>
  <si>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</si>
  <si>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</si>
  <si>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</si>
  <si>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</si>
  <si>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</si>
  <si>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</si>
  <si>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</si>
  <si>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</si>
  <si>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</si>
  <si>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</si>
  <si>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</si>
  <si>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</si>
  <si>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</si>
  <si>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</si>
  <si>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</si>
  <si>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</si>
  <si>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</si>
  <si>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</si>
  <si>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</si>
  <si>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</si>
  <si>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</si>
  <si>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</si>
  <si>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</si>
  <si>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</si>
  <si>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</si>
  <si>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</si>
  <si>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</si>
  <si>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</si>
  <si>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</si>
  <si>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</si>
  <si>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</si>
  <si>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</si>
  <si>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</si>
  <si>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</si>
  <si>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</si>
  <si>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</si>
  <si>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</si>
  <si>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</si>
  <si>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</si>
  <si>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</si>
  <si>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</si>
  <si>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</si>
  <si>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</si>
  <si>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</si>
  <si>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</si>
  <si>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</si>
  <si>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</si>
  <si>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</si>
  <si>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</si>
  <si>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</si>
  <si>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</si>
  <si>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</si>
  <si>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</si>
  <si>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</si>
  <si>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</si>
  <si>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</si>
  <si>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</si>
  <si>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</si>
  <si>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</si>
  <si>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</si>
  <si>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</si>
  <si>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</si>
  <si>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</si>
  <si>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</si>
  <si>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</si>
  <si>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</si>
  <si>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</si>
  <si>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</si>
  <si>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</si>
  <si>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</si>
  <si>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</si>
  <si>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</si>
  <si>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</si>
  <si>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</si>
  <si>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</si>
  <si>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</si>
  <si>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</si>
  <si>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</si>
  <si>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</si>
  <si>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</si>
  <si>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</si>
  <si>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</si>
  <si>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</si>
  <si>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</si>
  <si>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</si>
  <si>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</si>
  <si>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</si>
  <si>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</si>
  <si>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</si>
  <si>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</si>
  <si>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</si>
  <si>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</si>
  <si>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</si>
  <si>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</si>
  <si>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</si>
  <si>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</si>
  <si>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</si>
  <si>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</si>
  <si>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</si>
  <si>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</si>
  <si>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</si>
  <si>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</si>
  <si>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</si>
  <si>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</si>
  <si>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</si>
  <si>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</si>
  <si>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</si>
  <si>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</si>
  <si>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</si>
  <si>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</si>
  <si>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</si>
  <si>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</si>
  <si>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</si>
  <si>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</si>
  <si>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</si>
  <si>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</si>
  <si>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</si>
  <si>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</si>
  <si>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</si>
  <si>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</si>
  <si>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</si>
  <si>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</si>
  <si>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</si>
  <si>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</si>
  <si>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</si>
  <si>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</si>
  <si>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</si>
  <si>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</si>
  <si>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</si>
  <si>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</si>
  <si>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</si>
  <si>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</si>
  <si>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</si>
  <si>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</si>
  <si>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</si>
  <si>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</si>
  <si>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</si>
  <si>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</si>
  <si>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</si>
  <si>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</si>
  <si>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</si>
  <si>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</si>
  <si>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</si>
  <si>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</si>
  <si>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</si>
  <si>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</si>
  <si>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</si>
  <si>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</si>
  <si>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</si>
  <si>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</si>
  <si>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</si>
  <si>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</si>
  <si>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</si>
  <si>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</si>
  <si>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</si>
  <si>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</si>
  <si>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</si>
  <si>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</si>
  <si>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</si>
  <si>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</si>
  <si>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</si>
  <si>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</si>
  <si>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</si>
  <si>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</si>
  <si>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</si>
  <si>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</si>
  <si>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</si>
  <si>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</si>
  <si>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</si>
  <si>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</si>
  <si>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</si>
  <si>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</si>
  <si>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</si>
  <si>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</si>
  <si>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</si>
  <si>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</si>
  <si>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</si>
  <si>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</si>
  <si>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</si>
  <si>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</si>
  <si>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</si>
  <si>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</si>
  <si>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</si>
  <si>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</si>
  <si>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</si>
  <si>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</si>
  <si>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</si>
  <si>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</si>
  <si>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</si>
  <si>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</si>
  <si>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</si>
  <si>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</si>
  <si>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</si>
  <si>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</si>
  <si>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</si>
  <si>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</si>
  <si>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</si>
  <si>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</si>
  <si>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</si>
  <si>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</si>
  <si>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</si>
  <si>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</si>
  <si>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</si>
  <si>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</si>
  <si>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</si>
  <si>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</si>
  <si>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</si>
  <si>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</si>
  <si>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</si>
  <si>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</si>
  <si>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</si>
  <si>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</si>
  <si>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</si>
  <si>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</si>
  <si>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</si>
  <si>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</si>
  <si>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</si>
  <si>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</si>
  <si>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</si>
  <si>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</si>
  <si>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</si>
  <si>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</si>
  <si>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</si>
  <si>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</si>
  <si>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</si>
  <si>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</si>
  <si>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</si>
  <si>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</si>
  <si>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</si>
  <si>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</si>
  <si>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</si>
  <si>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</si>
  <si>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</si>
  <si>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</si>
  <si>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</si>
  <si>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</si>
  <si>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</si>
  <si>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</si>
  <si>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</si>
  <si>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</si>
  <si>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</si>
  <si>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</si>
  <si>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</si>
  <si>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</si>
  <si>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</si>
  <si>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</si>
  <si>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</si>
  <si>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</si>
  <si>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</si>
  <si>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</si>
  <si>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</si>
  <si>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</si>
  <si>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</si>
  <si>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</si>
  <si>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</si>
  <si>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</si>
  <si>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</si>
  <si>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</si>
  <si>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</si>
  <si>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</si>
  <si>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</si>
  <si>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</si>
  <si>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</si>
  <si>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</si>
  <si>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</si>
  <si>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</si>
  <si>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</si>
  <si>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</si>
  <si>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</si>
  <si>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</si>
  <si>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</si>
  <si>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</si>
  <si>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</si>
  <si>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</si>
  <si>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</si>
  <si>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</si>
  <si>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</si>
  <si>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</si>
  <si>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</si>
  <si>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</si>
  <si>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</si>
  <si>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</si>
  <si>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</si>
  <si>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</si>
  <si>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</si>
  <si>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</si>
  <si>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</si>
  <si>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</si>
  <si>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</si>
  <si>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</si>
  <si>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</si>
  <si>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</si>
  <si>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</si>
  <si>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</si>
  <si>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</si>
  <si>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</si>
  <si>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</si>
  <si>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</si>
  <si>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</si>
  <si>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</si>
  <si>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</si>
  <si>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</si>
  <si>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</si>
  <si>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</si>
  <si>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</si>
  <si>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</si>
  <si>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</si>
  <si>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</si>
  <si>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</si>
  <si>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</si>
  <si>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</si>
  <si>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</si>
  <si>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</si>
  <si>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</si>
  <si>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BORROW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</si>
  <si>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</si>
  <si>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</si>
  <si>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</si>
  <si>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</si>
  <si>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</si>
  <si>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</si>
  <si>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</si>
  <si>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</si>
  <si>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</si>
  <si>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</si>
  <si>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</si>
  <si>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</si>
  <si>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</si>
  <si>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 xml:space="preserve">Personal Equity and Retirement Account </t>
  </si>
  <si>
    <t>220350000000651100</t>
  </si>
  <si>
    <t>Overnight Borrowings</t>
  </si>
  <si>
    <t>220100001512100000</t>
  </si>
  <si>
    <t>v13.1</t>
  </si>
  <si>
    <t>Due to Non-Resident Banks - Clearing and Settlement Accounts</t>
  </si>
  <si>
    <t>220050000500200000</t>
  </si>
  <si>
    <t>Due to Resident Banks - Clearing and Settlement Accounts</t>
  </si>
  <si>
    <t>RB OF JAEN, INC.</t>
  </si>
  <si>
    <t>4</t>
  </si>
  <si>
    <t>042345</t>
  </si>
  <si>
    <t>8888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</si>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</sst>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5" formatCode="00000#"/>
    <numFmt numFmtId="169" formatCode="00000000000#"/>
    <numFmt numFmtId="173" formatCode="0\-00\-00\-00\-000\-00\-0\-0\-0\-0\-0\-0"/>
  </numFmts>
  <fonts count="16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8"/>
      <color indexed="55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243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73" fontId="3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73" fontId="4" fillId="0" borderId="0" xfId="0" applyNumberFormat="1" applyFont="1"/>
    <xf numFmtId="173" fontId="3" fillId="0" borderId="0" xfId="0" applyNumberFormat="1" applyFont="1"/>
    <xf numFmtId="0" fontId="3" fillId="0" borderId="0" xfId="0" applyFont="1" applyAlignment="1">
      <alignment horizontal="left" vertical="top"/>
    </xf>
    <xf numFmtId="0" fontId="1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65" fontId="1" fillId="0" borderId="1" xfId="0" applyNumberFormat="1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Fill="1"/>
    <xf numFmtId="4" fontId="6" fillId="0" borderId="1" xfId="0" applyNumberFormat="1" applyFont="1" applyBorder="1" applyProtection="1">
      <protection hidden="1"/>
    </xf>
    <xf numFmtId="4" fontId="6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Border="1" applyProtection="1">
      <protection hidden="1"/>
    </xf>
    <xf numFmtId="4" fontId="7" fillId="0" borderId="1" xfId="0" applyNumberFormat="1" applyFont="1" applyFill="1" applyBorder="1" applyProtection="1">
      <protection hidden="1"/>
    </xf>
    <xf numFmtId="4" fontId="7" fillId="2" borderId="1" xfId="0" applyNumberFormat="1" applyFont="1" applyFill="1" applyBorder="1" applyProtection="1">
      <protection hidden="1"/>
    </xf>
    <xf numFmtId="0" fontId="8" fillId="0" borderId="0" xfId="0" applyFont="1" applyAlignment="1">
      <alignment horizontal="center"/>
    </xf>
    <xf numFmtId="173" fontId="2" fillId="0" borderId="3" xfId="0" applyNumberFormat="1" applyFont="1" applyBorder="1" applyAlignment="1">
      <alignment horizontal="center" vertical="center"/>
    </xf>
    <xf numFmtId="173" fontId="2" fillId="0" borderId="5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169" fontId="2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4" fillId="0" borderId="6" xfId="0" applyFont="1" applyFill="1" applyBorder="1" applyAlignment="1">
      <alignment horizontal="center"/>
    </xf>
    <xf numFmtId="0" fontId="4" fillId="0" borderId="0" xfId="0" applyFont="1"/>
    <xf numFmtId="0" fontId="9" fillId="0" borderId="0" xfId="0" applyFont="1" applyAlignment="1"/>
    <xf numFmtId="0" fontId="9" fillId="0" borderId="0" xfId="0" applyFont="1"/>
    <xf numFmtId="0" fontId="1" fillId="0" borderId="0" xfId="0" applyFont="1" applyProtection="1"/>
    <xf numFmtId="0" fontId="1" fillId="0" borderId="7" xfId="0" applyFont="1" applyFill="1" applyBorder="1" applyProtection="1"/>
    <xf numFmtId="0" fontId="1" fillId="0" borderId="5" xfId="0" applyFont="1" applyFill="1" applyBorder="1" applyProtection="1"/>
    <xf numFmtId="2" fontId="1" fillId="0" borderId="5" xfId="0" applyNumberFormat="1" applyFont="1" applyFill="1" applyBorder="1" applyProtection="1"/>
    <xf numFmtId="4" fontId="1" fillId="0" borderId="5" xfId="0" applyNumberFormat="1" applyFont="1" applyFill="1" applyBorder="1" applyProtection="1"/>
    <xf numFmtId="0" fontId="1" fillId="0" borderId="0" xfId="0" applyFont="1" applyFill="1" applyProtection="1"/>
    <xf numFmtId="49" fontId="10" fillId="3" borderId="0" xfId="0" applyNumberFormat="1" applyFont="1" applyFill="1"/>
    <xf numFmtId="0" fontId="10" fillId="3" borderId="0" xfId="0" applyFont="1" applyFill="1"/>
    <xf numFmtId="0" fontId="1" fillId="0" borderId="8" xfId="0" applyFont="1" applyBorder="1" applyAlignment="1">
      <alignment horizontal="center" vertical="center" wrapText="1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4" fontId="6" fillId="0" borderId="1" xfId="0" applyNumberFormat="1" applyFont="1" applyFill="1" applyBorder="1" applyAlignment="1" applyProtection="1">
      <alignment horizontal="right"/>
      <protection hidden="1"/>
    </xf>
    <xf numFmtId="4" fontId="6" fillId="0" borderId="1" xfId="0" applyNumberFormat="1" applyFont="1" applyBorder="1" applyAlignment="1" applyProtection="1">
      <alignment horizontal="right" vertical="center"/>
      <protection hidden="1"/>
    </xf>
    <xf numFmtId="4" fontId="6" fillId="0" borderId="1" xfId="0" applyNumberFormat="1" applyFont="1" applyBorder="1" applyAlignment="1" applyProtection="1">
      <alignment horizontal="right" vertical="center" wrapText="1"/>
      <protection hidden="1"/>
    </xf>
    <xf numFmtId="173" fontId="3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>
      <alignment horizontal="center" vertical="top"/>
    </xf>
    <xf numFmtId="173" fontId="4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 wrapText="1"/>
    </xf>
    <xf numFmtId="165" fontId="3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wrapText="1"/>
    </xf>
    <xf numFmtId="0" fontId="1" fillId="0" borderId="1" xfId="0" applyFont="1" applyBorder="1" applyAlignment="1" applyProtection="1">
      <alignment wrapText="1"/>
    </xf>
    <xf numFmtId="0" fontId="1" fillId="0" borderId="1" xfId="0" applyFont="1" applyBorder="1" applyAlignment="1">
      <alignment wrapText="1"/>
    </xf>
    <xf numFmtId="0" fontId="1" fillId="0" borderId="8" xfId="0" applyFont="1" applyFill="1" applyBorder="1" applyProtection="1">
      <protection locked="0"/>
    </xf>
    <xf numFmtId="0" fontId="1" fillId="0" borderId="8" xfId="0" applyFont="1" applyFill="1" applyBorder="1" applyProtection="1"/>
    <xf numFmtId="2" fontId="1" fillId="0" borderId="8" xfId="0" applyNumberFormat="1" applyFont="1" applyFill="1" applyBorder="1" applyProtection="1"/>
    <xf numFmtId="4" fontId="1" fillId="0" borderId="8" xfId="0" applyNumberFormat="1" applyFont="1" applyFill="1" applyBorder="1" applyProtection="1"/>
    <xf numFmtId="4" fontId="1" fillId="0" borderId="8" xfId="0" applyNumberFormat="1" applyFont="1" applyFill="1" applyBorder="1" applyProtection="1">
      <protection locked="0"/>
    </xf>
    <xf numFmtId="0" fontId="3" fillId="0" borderId="1" xfId="0" applyFont="1" applyFill="1" applyBorder="1" applyAlignment="1">
      <alignment horizontal="center" vertical="center" wrapText="1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4" fontId="3" fillId="0" borderId="1" xfId="0" applyNumberFormat="1" applyFont="1" applyFill="1" applyBorder="1" applyAlignment="1" applyProtection="1"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7" fillId="0" borderId="3" xfId="0" applyNumberFormat="1" applyFont="1" applyFill="1" applyBorder="1" applyProtection="1"/>
    <xf numFmtId="0" fontId="11" fillId="0" borderId="2" xfId="0" applyFont="1" applyFill="1" applyBorder="1" applyAlignment="1" applyProtection="1">
      <alignment horizontal="right"/>
    </xf>
    <xf numFmtId="0" fontId="11" fillId="0" borderId="4" xfId="0" applyFont="1" applyFill="1" applyBorder="1" applyAlignment="1" applyProtection="1">
      <alignment horizontal="right"/>
    </xf>
    <xf numFmtId="0" fontId="1" fillId="0" borderId="9" xfId="0" applyFont="1" applyFill="1" applyBorder="1" applyProtection="1">
      <protection locked="0"/>
    </xf>
    <xf numFmtId="4" fontId="6" fillId="0" borderId="1" xfId="0" applyNumberFormat="1" applyFont="1" applyBorder="1" applyProtection="1"/>
    <xf numFmtId="0" fontId="1" fillId="0" borderId="0" xfId="0" applyFont="1" applyAlignment="1">
      <alignment horizontal="left"/>
    </xf>
    <xf numFmtId="0" fontId="3" fillId="0" borderId="4" xfId="0" applyFont="1" applyFill="1" applyBorder="1" applyAlignment="1" applyProtection="1">
      <alignment horizontal="right"/>
    </xf>
    <xf numFmtId="0" fontId="4" fillId="0" borderId="6" xfId="0" applyFont="1" applyFill="1" applyBorder="1" applyAlignment="1" applyProtection="1">
      <alignment horizontal="center"/>
    </xf>
    <xf numFmtId="0" fontId="1" fillId="0" borderId="3" xfId="0" applyFont="1" applyFill="1" applyBorder="1" applyProtection="1"/>
    <xf numFmtId="0" fontId="3" fillId="0" borderId="2" xfId="0" applyFont="1" applyFill="1" applyBorder="1" applyAlignment="1" applyProtection="1">
      <alignment horizontal="right" wrapText="1"/>
    </xf>
    <xf numFmtId="0" fontId="1" fillId="0" borderId="5" xfId="0" applyFont="1" applyFill="1" applyBorder="1" applyAlignment="1" applyProtection="1">
      <alignment vertical="center" wrapText="1"/>
    </xf>
    <xf numFmtId="4" fontId="7" fillId="0" borderId="5" xfId="0" applyNumberFormat="1" applyFont="1" applyFill="1" applyBorder="1" applyAlignment="1" applyProtection="1">
      <alignment vertical="center" wrapText="1"/>
    </xf>
    <xf numFmtId="4" fontId="1" fillId="0" borderId="1" xfId="0" applyNumberFormat="1" applyFont="1" applyBorder="1" applyProtection="1">
      <protection locked="0"/>
    </xf>
    <xf numFmtId="4" fontId="7" fillId="0" borderId="1" xfId="0" applyNumberFormat="1" applyFont="1" applyBorder="1" applyProtection="1"/>
    <xf numFmtId="4" fontId="1" fillId="0" borderId="1" xfId="0" applyNumberFormat="1" applyFont="1" applyFill="1" applyBorder="1" applyProtection="1">
      <protection locked="0"/>
    </xf>
    <xf numFmtId="4" fontId="1" fillId="2" borderId="1" xfId="0" applyNumberFormat="1" applyFont="1" applyFill="1" applyBorder="1" applyProtection="1"/>
    <xf numFmtId="4" fontId="7" fillId="0" borderId="1" xfId="0" applyNumberFormat="1" applyFont="1" applyFill="1" applyBorder="1" applyProtection="1"/>
    <xf numFmtId="4" fontId="7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3" fillId="0" borderId="1" xfId="0" applyNumberFormat="1" applyFont="1" applyBorder="1" applyProtection="1">
      <protection locked="0"/>
    </xf>
    <xf numFmtId="4" fontId="3" fillId="2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6" fillId="0" borderId="1" xfId="0" applyNumberFormat="1" applyFont="1" applyFill="1" applyBorder="1" applyProtection="1"/>
    <xf numFmtId="4" fontId="6" fillId="2" borderId="1" xfId="0" applyNumberFormat="1" applyFont="1" applyFill="1" applyBorder="1" applyProtection="1"/>
    <xf numFmtId="4" fontId="3" fillId="0" borderId="1" xfId="0" applyNumberFormat="1" applyFont="1" applyBorder="1" applyProtection="1"/>
    <xf numFmtId="4" fontId="3" fillId="2" borderId="1" xfId="0" applyNumberFormat="1" applyFont="1" applyFill="1" applyBorder="1" applyAlignment="1" applyProtection="1">
      <alignment horizontal="right"/>
    </xf>
    <xf numFmtId="4" fontId="3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Border="1" applyAlignment="1" applyProtection="1">
      <alignment horizontal="right" vertical="center"/>
      <protection locked="0"/>
    </xf>
    <xf numFmtId="4" fontId="3" fillId="0" borderId="1" xfId="0" applyNumberFormat="1" applyFont="1" applyBorder="1" applyAlignment="1" applyProtection="1">
      <alignment horizontal="right"/>
      <protection locked="0"/>
    </xf>
    <xf numFmtId="4" fontId="6" fillId="0" borderId="1" xfId="0" applyNumberFormat="1" applyFont="1" applyFill="1" applyBorder="1" applyAlignment="1" applyProtection="1">
      <alignment horizontal="right"/>
    </xf>
    <xf numFmtId="4" fontId="6" fillId="0" borderId="1" xfId="0" applyNumberFormat="1" applyFont="1" applyBorder="1" applyAlignment="1" applyProtection="1">
      <alignment horizontal="right" vertical="center"/>
    </xf>
    <xf numFmtId="4" fontId="6" fillId="0" borderId="1" xfId="0" applyNumberFormat="1" applyFont="1" applyBorder="1" applyAlignment="1" applyProtection="1">
      <alignment horizontal="right"/>
    </xf>
    <xf numFmtId="4" fontId="6" fillId="2" borderId="1" xfId="0" applyNumberFormat="1" applyFont="1" applyFill="1" applyBorder="1" applyAlignment="1" applyProtection="1">
      <alignment horizontal="right"/>
    </xf>
    <xf numFmtId="4" fontId="6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Fill="1" applyBorder="1" applyAlignment="1" applyProtection="1">
      <alignment horizontal="right"/>
    </xf>
    <xf numFmtId="4" fontId="3" fillId="0" borderId="1" xfId="0" applyNumberFormat="1" applyFont="1" applyBorder="1" applyAlignment="1" applyProtection="1">
      <alignment horizontal="right"/>
    </xf>
    <xf numFmtId="4" fontId="7" fillId="0" borderId="1" xfId="0" applyNumberFormat="1" applyFont="1" applyBorder="1" applyAlignment="1" applyProtection="1">
      <alignment horizontal="right" vertical="top" wrapText="1"/>
    </xf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Border="1" applyAlignment="1" applyProtection="1">
      <alignment horizontal="right" vertical="top" wrapText="1"/>
      <protection locked="0"/>
    </xf>
    <xf numFmtId="4" fontId="3" fillId="2" borderId="1" xfId="0" applyNumberFormat="1" applyFont="1" applyFill="1" applyBorder="1" applyProtection="1">
      <protection hidden="1"/>
    </xf>
    <xf numFmtId="0" fontId="8" fillId="0" borderId="0" xfId="0" applyFont="1" applyAlignment="1">
      <alignment horizontal="left"/>
    </xf>
    <xf numFmtId="0" fontId="11" fillId="0" borderId="10" xfId="0" applyFont="1" applyFill="1" applyBorder="1" applyAlignment="1" applyProtection="1">
      <alignment horizontal="right"/>
    </xf>
    <xf numFmtId="0" fontId="3" fillId="0" borderId="9" xfId="0" applyFont="1" applyFill="1" applyBorder="1" applyAlignment="1" applyProtection="1">
      <alignment horizontal="right"/>
    </xf>
    <xf numFmtId="0" fontId="11" fillId="0" borderId="7" xfId="0" applyFont="1" applyFill="1" applyBorder="1" applyAlignment="1" applyProtection="1">
      <alignment horizontal="right"/>
    </xf>
    <xf numFmtId="0" fontId="1" fillId="0" borderId="10" xfId="0" applyFont="1" applyFill="1" applyBorder="1" applyProtection="1"/>
    <xf numFmtId="2" fontId="1" fillId="0" borderId="7" xfId="0" applyNumberFormat="1" applyFont="1" applyFill="1" applyBorder="1" applyProtection="1"/>
    <xf numFmtId="4" fontId="1" fillId="0" borderId="9" xfId="0" applyNumberFormat="1" applyFont="1" applyFill="1" applyBorder="1" applyProtection="1">
      <protection locked="0"/>
    </xf>
    <xf numFmtId="0" fontId="1" fillId="0" borderId="9" xfId="0" applyNumberFormat="1" applyFont="1" applyFill="1" applyBorder="1" applyProtection="1">
      <protection locked="0"/>
    </xf>
    <xf numFmtId="4" fontId="12" fillId="2" borderId="1" xfId="0" applyNumberFormat="1" applyFont="1" applyFill="1" applyBorder="1" applyProtection="1">
      <protection hidden="1"/>
    </xf>
    <xf numFmtId="4" fontId="12" fillId="2" borderId="1" xfId="0" applyNumberFormat="1" applyFont="1" applyFill="1" applyBorder="1" applyProtection="1"/>
    <xf numFmtId="4" fontId="12" fillId="2" borderId="1" xfId="0" applyNumberFormat="1" applyFont="1" applyFill="1" applyBorder="1" applyAlignment="1" applyProtection="1">
      <alignment horizontal="right"/>
    </xf>
    <xf numFmtId="4" fontId="13" fillId="2" borderId="1" xfId="0" applyNumberFormat="1" applyFont="1" applyFill="1" applyBorder="1" applyProtection="1">
      <protection hidden="1"/>
    </xf>
    <xf numFmtId="4" fontId="13" fillId="2" borderId="1" xfId="0" applyNumberFormat="1" applyFont="1" applyFill="1" applyBorder="1" applyProtection="1"/>
    <xf numFmtId="4" fontId="13" fillId="2" borderId="3" xfId="0" applyNumberFormat="1" applyFont="1" applyFill="1" applyBorder="1" applyProtection="1"/>
    <xf numFmtId="0" fontId="13" fillId="2" borderId="3" xfId="0" applyFont="1" applyFill="1" applyBorder="1" applyProtection="1"/>
    <xf numFmtId="0" fontId="13" fillId="2" borderId="8" xfId="0" applyFont="1" applyFill="1" applyBorder="1" applyProtection="1"/>
    <xf numFmtId="4" fontId="13" fillId="2" borderId="8" xfId="0" applyNumberFormat="1" applyFont="1" applyFill="1" applyBorder="1" applyProtection="1"/>
    <xf numFmtId="49" fontId="14" fillId="3" borderId="0" xfId="0" applyNumberFormat="1" applyFont="1" applyFill="1" applyProtection="1">
      <protection locked="0"/>
    </xf>
    <xf numFmtId="0" fontId="14" fillId="3" borderId="0" xfId="0" applyFont="1" applyFill="1" applyProtection="1">
      <protection locked="0"/>
    </xf>
    <xf numFmtId="0" fontId="14" fillId="3" borderId="0" xfId="0" applyFont="1" applyFill="1"/>
    <xf numFmtId="1" fontId="14" fillId="3" borderId="0" xfId="0" applyNumberFormat="1" applyFont="1" applyFill="1"/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Protection="1"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3" fillId="0" borderId="1" xfId="0" applyFont="1" applyBorder="1" applyProtection="1">
      <protection hidden="1"/>
    </xf>
    <xf numFmtId="164" fontId="3" fillId="0" borderId="1" xfId="0" quotePrefix="1" applyNumberFormat="1" applyFont="1" applyFill="1" applyBorder="1" applyProtection="1">
      <protection hidden="1"/>
    </xf>
    <xf numFmtId="164" fontId="3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Border="1" applyAlignment="1" applyProtection="1">
      <alignment vertical="top" wrapText="1"/>
      <protection hidden="1"/>
    </xf>
    <xf numFmtId="0" fontId="1" fillId="0" borderId="1" xfId="0" applyFont="1" applyBorder="1" applyAlignment="1" applyProtection="1">
      <alignment horizontal="left" vertical="top" wrapText="1"/>
      <protection hidden="1"/>
    </xf>
    <xf numFmtId="49" fontId="3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1" xfId="0" applyBorder="1" applyProtection="1">
      <protection hidden="1"/>
    </xf>
    <xf numFmtId="0" fontId="1" fillId="0" borderId="1" xfId="0" applyFont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1" xfId="0" quotePrefix="1" applyFont="1" applyFill="1" applyBorder="1" applyAlignment="1" applyProtection="1">
      <alignment horizontal="left" vertical="top"/>
      <protection hidden="1"/>
    </xf>
    <xf numFmtId="0" fontId="1" fillId="0" borderId="1" xfId="0" applyFont="1" applyFill="1" applyBorder="1" applyAlignment="1" applyProtection="1">
      <alignment horizontal="left"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quotePrefix="1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0" applyNumberFormat="1" applyFont="1" applyFill="1" applyBorder="1" applyAlignment="1" applyProtection="1">
      <alignment horizontal="left" vertical="top"/>
      <protection hidden="1"/>
    </xf>
    <xf numFmtId="164" fontId="1" fillId="0" borderId="1" xfId="0" applyNumberFormat="1" applyFont="1" applyFill="1" applyBorder="1" applyAlignment="1" applyProtection="1">
      <alignment horizontal="left" vertical="top"/>
      <protection hidden="1"/>
    </xf>
    <xf numFmtId="0" fontId="0" fillId="0" borderId="1" xfId="0" applyFill="1" applyBorder="1" applyAlignment="1" applyProtection="1">
      <alignment horizontal="left" vertical="top"/>
      <protection hidden="1"/>
    </xf>
    <xf numFmtId="0" fontId="5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0" fontId="1" fillId="0" borderId="1" xfId="0" quotePrefix="1" applyFont="1" applyFill="1" applyBorder="1" applyProtection="1">
      <protection hidden="1"/>
    </xf>
    <xf numFmtId="49" fontId="1" fillId="0" borderId="1" xfId="0" quotePrefix="1" applyNumberFormat="1" applyFont="1" applyFill="1" applyBorder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1" fillId="0" borderId="9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49" fontId="3" fillId="0" borderId="8" xfId="0" applyNumberFormat="1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wrapText="1"/>
      <protection hidden="1"/>
    </xf>
    <xf numFmtId="0" fontId="2" fillId="0" borderId="11" xfId="0" applyFont="1" applyFill="1" applyBorder="1" applyAlignment="1" applyProtection="1">
      <alignment wrapText="1"/>
      <protection hidden="1"/>
    </xf>
    <xf numFmtId="0" fontId="1" fillId="0" borderId="7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49" fontId="3" fillId="0" borderId="5" xfId="0" applyNumberFormat="1" applyFont="1" applyFill="1" applyBorder="1" applyAlignment="1" applyProtection="1">
      <alignment horizontal="center"/>
      <protection hidden="1"/>
    </xf>
    <xf numFmtId="49" fontId="3" fillId="0" borderId="8" xfId="0" quotePrefix="1" applyNumberFormat="1" applyFont="1" applyFill="1" applyBorder="1" applyAlignment="1" applyProtection="1">
      <alignment horizontal="center"/>
      <protection hidden="1"/>
    </xf>
    <xf numFmtId="49" fontId="3" fillId="0" borderId="9" xfId="0" quotePrefix="1" applyNumberFormat="1" applyFont="1" applyFill="1" applyBorder="1" applyAlignment="1" applyProtection="1">
      <alignment horizontal="center"/>
      <protection hidden="1"/>
    </xf>
    <xf numFmtId="49" fontId="3" fillId="0" borderId="9" xfId="0" applyNumberFormat="1" applyFont="1" applyFill="1" applyBorder="1" applyAlignment="1" applyProtection="1">
      <alignment horizontal="center"/>
      <protection hidden="1"/>
    </xf>
    <xf numFmtId="49" fontId="3" fillId="0" borderId="7" xfId="0" applyNumberFormat="1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Alignment="1" applyProtection="1">
      <alignment vertical="center" wrapText="1"/>
      <protection hidden="1"/>
    </xf>
    <xf numFmtId="0" fontId="2" fillId="0" borderId="12" xfId="0" applyFont="1" applyFill="1" applyBorder="1" applyAlignment="1" applyProtection="1">
      <alignment vertical="center" wrapText="1"/>
      <protection hidden="1"/>
    </xf>
    <xf numFmtId="49" fontId="3" fillId="0" borderId="5" xfId="0" quotePrefix="1" applyNumberFormat="1" applyFont="1" applyFill="1" applyBorder="1" applyAlignment="1" applyProtection="1">
      <alignment horizontal="center"/>
      <protection hidden="1"/>
    </xf>
    <xf numFmtId="0" fontId="1" fillId="0" borderId="1" xfId="1" applyFont="1" applyFill="1" applyBorder="1" applyProtection="1">
      <protection hidden="1"/>
    </xf>
    <xf numFmtId="49" fontId="1" fillId="0" borderId="1" xfId="1" quotePrefix="1" applyNumberFormat="1" applyFont="1" applyFill="1" applyBorder="1" applyAlignment="1" applyProtection="1">
      <alignment horizontal="center"/>
      <protection hidden="1"/>
    </xf>
    <xf numFmtId="164" fontId="1" fillId="0" borderId="1" xfId="1" quotePrefix="1" applyNumberFormat="1" applyFont="1" applyFill="1" applyBorder="1" applyProtection="1">
      <protection hidden="1"/>
    </xf>
    <xf numFmtId="173" fontId="2" fillId="0" borderId="3" xfId="0" applyNumberFormat="1" applyFont="1" applyBorder="1" applyAlignment="1" applyProtection="1">
      <alignment horizontal="center" vertical="center"/>
      <protection hidden="1"/>
    </xf>
    <xf numFmtId="173" fontId="2" fillId="0" borderId="5" xfId="0" applyNumberFormat="1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1" fillId="0" borderId="1" xfId="0" applyFont="1" applyBorder="1" applyAlignment="1" applyProtection="1">
      <alignment horizontal="left" vertical="top" wrapText="1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5" xfId="0" applyFont="1" applyFill="1" applyBorder="1" applyAlignment="1" applyProtection="1">
      <alignment horizontal="left" vertical="top" wrapText="1"/>
      <protection hidden="1"/>
    </xf>
    <xf numFmtId="0" fontId="3" fillId="0" borderId="14" xfId="0" applyFont="1" applyFill="1" applyBorder="1" applyAlignment="1" applyProtection="1">
      <alignment horizontal="left" vertical="top" wrapText="1"/>
      <protection hidden="1"/>
    </xf>
    <xf numFmtId="0" fontId="2" fillId="0" borderId="12" xfId="0" applyFont="1" applyBorder="1" applyAlignment="1">
      <alignment horizontal="center"/>
    </xf>
    <xf numFmtId="169" fontId="2" fillId="0" borderId="3" xfId="0" applyNumberFormat="1" applyFont="1" applyBorder="1" applyAlignment="1" applyProtection="1">
      <alignment horizontal="center" vertical="center"/>
      <protection hidden="1"/>
    </xf>
    <xf numFmtId="169" fontId="2" fillId="0" borderId="5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169" fontId="2" fillId="0" borderId="8" xfId="0" applyNumberFormat="1" applyFont="1" applyBorder="1" applyAlignment="1" applyProtection="1">
      <alignment horizontal="center" vertical="center"/>
      <protection hidden="1"/>
    </xf>
    <xf numFmtId="169" fontId="2" fillId="0" borderId="3" xfId="0" applyNumberFormat="1" applyFont="1" applyBorder="1" applyAlignment="1">
      <alignment horizontal="center" vertical="center" wrapText="1"/>
    </xf>
    <xf numFmtId="169" fontId="2" fillId="0" borderId="8" xfId="0" applyNumberFormat="1" applyFont="1" applyBorder="1" applyAlignment="1">
      <alignment horizontal="center" vertical="center" wrapText="1"/>
    </xf>
    <xf numFmtId="169" fontId="2" fillId="0" borderId="5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11" xfId="0" applyFill="1" applyBorder="1" applyAlignment="1" applyProtection="1">
      <alignment horizontal="center" vertical="center" wrapText="1"/>
      <protection hidden="1"/>
    </xf>
    <xf numFmtId="0" fontId="0" fillId="0" borderId="6" xfId="0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0" fillId="0" borderId="4" xfId="0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26</xdr:row>
          <xdr:rowOff>9525</xdr:rowOff>
        </xdr:from>
        <xdr:to>
          <xdr:col>7</xdr:col>
          <xdr:colOff>676275</xdr:colOff>
          <xdr:row>26</xdr:row>
          <xdr:rowOff>123825</xdr:rowOff>
        </xdr:to>
        <xdr:sp macro="" textlink="">
          <xdr:nvSpPr>
            <xdr:cNvPr id="1025" name="Label_f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19050</xdr:rowOff>
        </xdr:from>
        <xdr:to>
          <xdr:col>7</xdr:col>
          <xdr:colOff>676275</xdr:colOff>
          <xdr:row>11</xdr:row>
          <xdr:rowOff>133350</xdr:rowOff>
        </xdr:to>
        <xdr:sp macro="" textlink="">
          <xdr:nvSpPr>
            <xdr:cNvPr id="1026" name="Label_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9525</xdr:rowOff>
        </xdr:from>
        <xdr:to>
          <xdr:col>7</xdr:col>
          <xdr:colOff>676275</xdr:colOff>
          <xdr:row>14</xdr:row>
          <xdr:rowOff>123825</xdr:rowOff>
        </xdr:to>
        <xdr:sp macro="" textlink="">
          <xdr:nvSpPr>
            <xdr:cNvPr id="1027" name="Label_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28575</xdr:rowOff>
        </xdr:from>
        <xdr:to>
          <xdr:col>7</xdr:col>
          <xdr:colOff>676275</xdr:colOff>
          <xdr:row>18</xdr:row>
          <xdr:rowOff>0</xdr:rowOff>
        </xdr:to>
        <xdr:sp macro="" textlink="">
          <xdr:nvSpPr>
            <xdr:cNvPr id="1028" name="Label_c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19050</xdr:rowOff>
        </xdr:from>
        <xdr:to>
          <xdr:col>7</xdr:col>
          <xdr:colOff>676275</xdr:colOff>
          <xdr:row>20</xdr:row>
          <xdr:rowOff>133350</xdr:rowOff>
        </xdr:to>
        <xdr:sp macro="" textlink="">
          <xdr:nvSpPr>
            <xdr:cNvPr id="1029" name="Label_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23</xdr:row>
          <xdr:rowOff>9525</xdr:rowOff>
        </xdr:from>
        <xdr:to>
          <xdr:col>7</xdr:col>
          <xdr:colOff>676275</xdr:colOff>
          <xdr:row>23</xdr:row>
          <xdr:rowOff>123825</xdr:rowOff>
        </xdr:to>
        <xdr:sp macro="" textlink="">
          <xdr:nvSpPr>
            <xdr:cNvPr id="1030" name="Label_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29</xdr:row>
          <xdr:rowOff>9525</xdr:rowOff>
        </xdr:from>
        <xdr:to>
          <xdr:col>7</xdr:col>
          <xdr:colOff>676275</xdr:colOff>
          <xdr:row>29</xdr:row>
          <xdr:rowOff>123825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4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.28515625" style="1" customWidth="1"/>
    <col min="2" max="2" width="3.5703125" style="1" customWidth="1"/>
    <col min="3" max="4" width="3" style="1" customWidth="1"/>
    <col min="5" max="5" width="36.7109375" style="1" customWidth="1"/>
    <col min="6" max="6" width="31.42578125" style="1" hidden="1" customWidth="1"/>
    <col min="7" max="7" width="18.7109375" style="42" customWidth="1"/>
    <col min="8" max="8" width="1.5703125" style="7" hidden="1" customWidth="1"/>
    <col min="9" max="9" width="20.7109375" style="1" customWidth="1"/>
    <col min="10" max="10" width="15.7109375" style="1" customWidth="1"/>
    <col min="11" max="11" width="18.7109375" style="1" customWidth="1"/>
    <col min="12" max="12" width="15.7109375" style="1" customWidth="1"/>
    <col min="13" max="13" width="18.7109375" style="1" customWidth="1"/>
    <col min="14" max="15" width="18.7109375" style="1" hidden="1" customWidth="1"/>
    <col min="16" max="16" width="20.7109375" style="1" customWidth="1"/>
    <col min="17" max="17" width="9.140625" style="1"/>
    <col min="18" max="18" width="15.7109375" style="1" customWidth="1"/>
    <col min="19" max="16384" width="9.140625" style="1"/>
  </cols>
  <sheetData>
    <row r="1" spans="1:16" ht="12.75" x14ac:dyDescent="0.2">
      <c r="A1" s="198" t="s">
        <v>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</row>
    <row r="2" spans="1:16" ht="12.75" hidden="1" x14ac:dyDescent="0.2">
      <c r="A2" s="199"/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</row>
    <row r="3" spans="1:16" ht="12.75" hidden="1" x14ac:dyDescent="0.2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</row>
    <row r="4" spans="1:16" ht="12.75" hidden="1" x14ac:dyDescent="0.2">
      <c r="A4" s="199"/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</row>
    <row r="5" spans="1:16" ht="12.75" hidden="1" x14ac:dyDescent="0.2">
      <c r="A5" s="199"/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</row>
    <row r="6" spans="1:16" ht="12.75" hidden="1" x14ac:dyDescent="0.2">
      <c r="A6" s="199"/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</row>
    <row r="7" spans="1:16" ht="12.75" x14ac:dyDescent="0.2">
      <c r="A7" s="199"/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</row>
    <row r="8" spans="1:16" x14ac:dyDescent="0.2">
      <c r="A8" s="201" t="s">
        <v>1</v>
      </c>
      <c r="B8" s="202"/>
      <c r="C8" s="202"/>
      <c r="D8" s="202"/>
      <c r="E8" s="203"/>
      <c r="F8" s="127"/>
      <c r="G8" s="187" t="s">
        <v>2</v>
      </c>
      <c r="H8" s="23"/>
      <c r="I8" s="189" t="s">
        <v>3</v>
      </c>
      <c r="J8" s="191" t="s">
        <v>4</v>
      </c>
      <c r="K8" s="192"/>
      <c r="L8" s="193" t="s">
        <v>5</v>
      </c>
      <c r="M8" s="194"/>
      <c r="N8" s="195" t="s">
        <v>268</v>
      </c>
      <c r="O8" s="195"/>
      <c r="P8" s="196" t="s">
        <v>6</v>
      </c>
    </row>
    <row r="9" spans="1:16" x14ac:dyDescent="0.2">
      <c r="A9" s="204"/>
      <c r="B9" s="205"/>
      <c r="C9" s="205"/>
      <c r="D9" s="205"/>
      <c r="E9" s="206"/>
      <c r="F9" s="128"/>
      <c r="G9" s="188"/>
      <c r="H9" s="24"/>
      <c r="I9" s="190"/>
      <c r="J9" s="2" t="s">
        <v>7</v>
      </c>
      <c r="K9" s="3" t="s">
        <v>8</v>
      </c>
      <c r="L9" s="2" t="s">
        <v>7</v>
      </c>
      <c r="M9" s="3" t="s">
        <v>8</v>
      </c>
      <c r="N9" s="2" t="s">
        <v>7</v>
      </c>
      <c r="O9" s="2" t="s">
        <v>8</v>
      </c>
      <c r="P9" s="197"/>
    </row>
    <row r="10" spans="1:16" x14ac:dyDescent="0.2">
      <c r="A10" s="129" t="s">
        <v>9</v>
      </c>
      <c r="B10" s="184" t="s">
        <v>935</v>
      </c>
      <c r="C10" s="158"/>
      <c r="D10" s="158"/>
      <c r="E10" s="158"/>
      <c r="F10" s="129"/>
      <c r="G10" s="130" t="s">
        <v>116</v>
      </c>
      <c r="H10" s="4"/>
      <c r="I10" s="43">
        <f t="shared" ref="I10:O10" si="0" xml:space="preserve"> (I11 + I18)</f>
        <v>0</v>
      </c>
      <c r="J10" s="43">
        <f t="shared" si="0"/>
        <v>0</v>
      </c>
      <c r="K10" s="44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45">
        <f>I10+K10+M10+O10</f>
        <v>0</v>
      </c>
    </row>
    <row r="11" spans="1:16" x14ac:dyDescent="0.2">
      <c r="A11" s="129"/>
      <c r="B11" s="131" t="s">
        <v>10</v>
      </c>
      <c r="C11" s="132" t="s">
        <v>11</v>
      </c>
      <c r="D11" s="129"/>
      <c r="E11" s="129"/>
      <c r="F11" s="129"/>
      <c r="G11" s="130" t="s">
        <v>117</v>
      </c>
      <c r="H11" s="4"/>
      <c r="I11" s="43">
        <f t="shared" ref="I11:O11" si="1" xml:space="preserve"> (I12 + I15)</f>
        <v>0</v>
      </c>
      <c r="J11" s="43">
        <f t="shared" si="1"/>
        <v>0</v>
      </c>
      <c r="K11" s="44">
        <f t="shared" si="1"/>
        <v>0</v>
      </c>
      <c r="L11" s="18">
        <f t="shared" si="1"/>
        <v>0</v>
      </c>
      <c r="M11" s="18">
        <f t="shared" si="1"/>
        <v>0</v>
      </c>
      <c r="N11" s="18">
        <f t="shared" si="1"/>
        <v>0</v>
      </c>
      <c r="O11" s="18">
        <f t="shared" si="1"/>
        <v>0</v>
      </c>
      <c r="P11" s="45">
        <f t="shared" ref="P11:P29" si="2">I11+K11+M11+O11</f>
        <v>0</v>
      </c>
    </row>
    <row r="12" spans="1:16" x14ac:dyDescent="0.2">
      <c r="A12" s="129"/>
      <c r="B12" s="131"/>
      <c r="C12" s="129" t="s">
        <v>12</v>
      </c>
      <c r="D12" s="129" t="s">
        <v>13</v>
      </c>
      <c r="E12" s="129"/>
      <c r="F12" s="129"/>
      <c r="G12" s="130" t="s">
        <v>118</v>
      </c>
      <c r="H12" s="4"/>
      <c r="I12" s="43">
        <f t="shared" ref="I12:O12" si="3" xml:space="preserve"> (I13 + I14)</f>
        <v>0</v>
      </c>
      <c r="J12" s="43">
        <f t="shared" si="3"/>
        <v>0</v>
      </c>
      <c r="K12" s="44">
        <f t="shared" si="3"/>
        <v>0</v>
      </c>
      <c r="L12" s="18">
        <f t="shared" si="3"/>
        <v>0</v>
      </c>
      <c r="M12" s="18">
        <f t="shared" si="3"/>
        <v>0</v>
      </c>
      <c r="N12" s="18">
        <f t="shared" si="3"/>
        <v>0</v>
      </c>
      <c r="O12" s="18">
        <f t="shared" si="3"/>
        <v>0</v>
      </c>
      <c r="P12" s="45">
        <f t="shared" si="2"/>
        <v>0</v>
      </c>
    </row>
    <row r="13" spans="1:16" x14ac:dyDescent="0.2">
      <c r="A13" s="129"/>
      <c r="B13" s="131"/>
      <c r="C13" s="133"/>
      <c r="D13" s="133" t="s">
        <v>14</v>
      </c>
      <c r="E13" s="129" t="s">
        <v>15</v>
      </c>
      <c r="F13" s="129"/>
      <c r="G13" s="130" t="s">
        <v>119</v>
      </c>
      <c r="H13" s="4"/>
      <c r="I13" s="63"/>
      <c r="J13" s="91"/>
      <c r="K13" s="92"/>
      <c r="L13" s="91"/>
      <c r="M13" s="91"/>
      <c r="N13" s="64"/>
      <c r="O13" s="64"/>
      <c r="P13" s="45">
        <f t="shared" si="2"/>
        <v>0</v>
      </c>
    </row>
    <row r="14" spans="1:16" x14ac:dyDescent="0.2">
      <c r="A14" s="129"/>
      <c r="B14" s="134"/>
      <c r="C14" s="133"/>
      <c r="D14" s="133" t="s">
        <v>16</v>
      </c>
      <c r="E14" s="129" t="s">
        <v>17</v>
      </c>
      <c r="F14" s="129"/>
      <c r="G14" s="130" t="s">
        <v>120</v>
      </c>
      <c r="H14" s="4"/>
      <c r="I14" s="91"/>
      <c r="J14" s="63"/>
      <c r="K14" s="93"/>
      <c r="L14" s="94"/>
      <c r="M14" s="94"/>
      <c r="N14" s="94"/>
      <c r="O14" s="94"/>
      <c r="P14" s="45">
        <f t="shared" si="2"/>
        <v>0</v>
      </c>
    </row>
    <row r="15" spans="1:16" x14ac:dyDescent="0.2">
      <c r="A15" s="129"/>
      <c r="B15" s="134"/>
      <c r="C15" s="133" t="s">
        <v>18</v>
      </c>
      <c r="D15" s="129" t="s">
        <v>19</v>
      </c>
      <c r="E15" s="129"/>
      <c r="F15" s="129"/>
      <c r="G15" s="130" t="s">
        <v>121</v>
      </c>
      <c r="H15" s="4"/>
      <c r="I15" s="95">
        <f t="shared" ref="I15:O15" si="4" xml:space="preserve"> (I16 + I17)</f>
        <v>0</v>
      </c>
      <c r="J15" s="95">
        <f t="shared" si="4"/>
        <v>0</v>
      </c>
      <c r="K15" s="96">
        <f t="shared" si="4"/>
        <v>0</v>
      </c>
      <c r="L15" s="97">
        <f t="shared" si="4"/>
        <v>0</v>
      </c>
      <c r="M15" s="97">
        <f t="shared" si="4"/>
        <v>0</v>
      </c>
      <c r="N15" s="97">
        <f t="shared" si="4"/>
        <v>0</v>
      </c>
      <c r="O15" s="97">
        <f t="shared" si="4"/>
        <v>0</v>
      </c>
      <c r="P15" s="45">
        <f t="shared" si="2"/>
        <v>0</v>
      </c>
    </row>
    <row r="16" spans="1:16" x14ac:dyDescent="0.2">
      <c r="A16" s="129"/>
      <c r="B16" s="134"/>
      <c r="C16" s="133"/>
      <c r="D16" s="133" t="s">
        <v>14</v>
      </c>
      <c r="E16" s="129" t="s">
        <v>15</v>
      </c>
      <c r="F16" s="129"/>
      <c r="G16" s="130" t="s">
        <v>122</v>
      </c>
      <c r="H16" s="4"/>
      <c r="I16" s="63"/>
      <c r="J16" s="91"/>
      <c r="K16" s="92"/>
      <c r="L16" s="91"/>
      <c r="M16" s="91"/>
      <c r="N16" s="64"/>
      <c r="O16" s="64"/>
      <c r="P16" s="45">
        <f t="shared" si="2"/>
        <v>0</v>
      </c>
    </row>
    <row r="17" spans="1:16" x14ac:dyDescent="0.2">
      <c r="A17" s="129"/>
      <c r="B17" s="134"/>
      <c r="C17" s="133"/>
      <c r="D17" s="133" t="s">
        <v>16</v>
      </c>
      <c r="E17" s="129" t="s">
        <v>17</v>
      </c>
      <c r="F17" s="129"/>
      <c r="G17" s="130" t="s">
        <v>123</v>
      </c>
      <c r="H17" s="4"/>
      <c r="I17" s="91"/>
      <c r="J17" s="63"/>
      <c r="K17" s="93"/>
      <c r="L17" s="94"/>
      <c r="M17" s="94"/>
      <c r="N17" s="94"/>
      <c r="O17" s="94"/>
      <c r="P17" s="45">
        <f t="shared" si="2"/>
        <v>0</v>
      </c>
    </row>
    <row r="18" spans="1:16" x14ac:dyDescent="0.2">
      <c r="A18" s="129"/>
      <c r="B18" s="134" t="s">
        <v>20</v>
      </c>
      <c r="C18" s="133" t="s">
        <v>21</v>
      </c>
      <c r="D18" s="133"/>
      <c r="E18" s="129"/>
      <c r="F18" s="129"/>
      <c r="G18" s="130" t="s">
        <v>124</v>
      </c>
      <c r="H18" s="4"/>
      <c r="I18" s="63"/>
      <c r="J18" s="63"/>
      <c r="K18" s="93"/>
      <c r="L18" s="94"/>
      <c r="M18" s="94"/>
      <c r="N18" s="94"/>
      <c r="O18" s="94"/>
      <c r="P18" s="45">
        <f t="shared" si="2"/>
        <v>0</v>
      </c>
    </row>
    <row r="19" spans="1:16" x14ac:dyDescent="0.2">
      <c r="A19" s="184" t="s">
        <v>22</v>
      </c>
      <c r="B19" s="186" t="s">
        <v>933</v>
      </c>
      <c r="C19" s="184"/>
      <c r="D19" s="184"/>
      <c r="E19" s="184"/>
      <c r="F19" s="184"/>
      <c r="G19" s="185" t="s">
        <v>934</v>
      </c>
      <c r="H19" s="4"/>
      <c r="I19" s="91"/>
      <c r="J19" s="63"/>
      <c r="K19" s="93"/>
      <c r="L19" s="94"/>
      <c r="M19" s="94"/>
      <c r="N19" s="94"/>
      <c r="O19" s="94"/>
      <c r="P19" s="45">
        <f>I19+K19+M19+O19</f>
        <v>0</v>
      </c>
    </row>
    <row r="20" spans="1:16" x14ac:dyDescent="0.2">
      <c r="A20" s="158" t="s">
        <v>31</v>
      </c>
      <c r="B20" s="135" t="s">
        <v>23</v>
      </c>
      <c r="C20" s="129"/>
      <c r="D20" s="129"/>
      <c r="E20" s="129"/>
      <c r="F20" s="129"/>
      <c r="G20" s="130" t="s">
        <v>277</v>
      </c>
      <c r="H20" s="4"/>
      <c r="I20" s="95">
        <f t="shared" ref="I20:O20" si="5" xml:space="preserve"> (I22  + I23)</f>
        <v>0</v>
      </c>
      <c r="J20" s="98"/>
      <c r="K20" s="99"/>
      <c r="L20" s="98"/>
      <c r="M20" s="98"/>
      <c r="N20" s="97">
        <f t="shared" si="5"/>
        <v>0</v>
      </c>
      <c r="O20" s="97">
        <f t="shared" si="5"/>
        <v>0</v>
      </c>
      <c r="P20" s="45">
        <f t="shared" si="2"/>
        <v>0</v>
      </c>
    </row>
    <row r="21" spans="1:16" x14ac:dyDescent="0.2">
      <c r="A21" s="129"/>
      <c r="B21" s="135" t="s">
        <v>24</v>
      </c>
      <c r="C21" s="129"/>
      <c r="D21" s="129"/>
      <c r="E21" s="129"/>
      <c r="F21" s="129"/>
      <c r="G21" s="136"/>
      <c r="H21" s="46"/>
      <c r="I21" s="100"/>
      <c r="J21" s="91"/>
      <c r="K21" s="92"/>
      <c r="L21" s="91"/>
      <c r="M21" s="91"/>
      <c r="N21" s="101"/>
      <c r="O21" s="101"/>
      <c r="P21" s="45"/>
    </row>
    <row r="22" spans="1:16" x14ac:dyDescent="0.2">
      <c r="A22" s="129"/>
      <c r="B22" s="134" t="s">
        <v>10</v>
      </c>
      <c r="C22" s="129" t="s">
        <v>25</v>
      </c>
      <c r="D22" s="129"/>
      <c r="E22" s="129"/>
      <c r="F22" s="129"/>
      <c r="G22" s="130" t="s">
        <v>125</v>
      </c>
      <c r="H22" s="4"/>
      <c r="I22" s="63"/>
      <c r="J22" s="91"/>
      <c r="K22" s="92"/>
      <c r="L22" s="91"/>
      <c r="M22" s="91"/>
      <c r="N22" s="63"/>
      <c r="O22" s="63"/>
      <c r="P22" s="45">
        <f t="shared" si="2"/>
        <v>0</v>
      </c>
    </row>
    <row r="23" spans="1:16" x14ac:dyDescent="0.2">
      <c r="A23" s="129"/>
      <c r="B23" s="134" t="s">
        <v>20</v>
      </c>
      <c r="C23" s="129" t="s">
        <v>21</v>
      </c>
      <c r="D23" s="129"/>
      <c r="E23" s="129"/>
      <c r="F23" s="129"/>
      <c r="G23" s="130" t="s">
        <v>126</v>
      </c>
      <c r="H23" s="4"/>
      <c r="I23" s="63"/>
      <c r="J23" s="91"/>
      <c r="K23" s="92"/>
      <c r="L23" s="91"/>
      <c r="M23" s="91"/>
      <c r="N23" s="63"/>
      <c r="O23" s="63"/>
      <c r="P23" s="45">
        <f t="shared" si="2"/>
        <v>0</v>
      </c>
    </row>
    <row r="24" spans="1:16" x14ac:dyDescent="0.2">
      <c r="A24" s="137" t="s">
        <v>262</v>
      </c>
      <c r="B24" s="133"/>
      <c r="C24" s="137"/>
      <c r="D24" s="137"/>
      <c r="E24" s="137"/>
      <c r="F24" s="137"/>
      <c r="G24" s="130" t="s">
        <v>127</v>
      </c>
      <c r="H24" s="4"/>
      <c r="I24" s="97">
        <f xml:space="preserve"> (I10+I19+I20)</f>
        <v>0</v>
      </c>
      <c r="J24" s="97">
        <f xml:space="preserve"> (J10+J19+J20)</f>
        <v>0</v>
      </c>
      <c r="K24" s="97">
        <f xml:space="preserve"> (K10+K19+K20)</f>
        <v>0</v>
      </c>
      <c r="L24" s="97">
        <f xml:space="preserve"> (L10+L19+L20)</f>
        <v>0</v>
      </c>
      <c r="M24" s="97">
        <f xml:space="preserve"> (M10+M19+M20)</f>
        <v>0</v>
      </c>
      <c r="N24" s="97">
        <f xml:space="preserve"> (N10 + N20)</f>
        <v>0</v>
      </c>
      <c r="O24" s="97">
        <f xml:space="preserve"> (O10 + O20)</f>
        <v>0</v>
      </c>
      <c r="P24" s="45">
        <f t="shared" si="2"/>
        <v>0</v>
      </c>
    </row>
    <row r="25" spans="1:16" x14ac:dyDescent="0.2">
      <c r="A25" s="137" t="s">
        <v>26</v>
      </c>
      <c r="B25" s="133"/>
      <c r="C25" s="133"/>
      <c r="D25" s="133"/>
      <c r="E25" s="133"/>
      <c r="F25" s="133"/>
      <c r="G25" s="138"/>
      <c r="H25" s="47"/>
      <c r="I25" s="101"/>
      <c r="J25" s="101"/>
      <c r="K25" s="101"/>
      <c r="L25" s="101"/>
      <c r="M25" s="101"/>
      <c r="N25" s="101"/>
      <c r="O25" s="101"/>
      <c r="P25" s="45"/>
    </row>
    <row r="26" spans="1:16" x14ac:dyDescent="0.2">
      <c r="A26" s="139" t="s">
        <v>27</v>
      </c>
      <c r="B26" s="200" t="s">
        <v>28</v>
      </c>
      <c r="C26" s="200"/>
      <c r="D26" s="200"/>
      <c r="E26" s="200"/>
      <c r="F26" s="140"/>
      <c r="G26" s="141" t="s">
        <v>128</v>
      </c>
      <c r="H26" s="48"/>
      <c r="I26" s="102">
        <f t="shared" ref="I26:O26" si="6" xml:space="preserve"> (I27 + I28 + I29)</f>
        <v>0</v>
      </c>
      <c r="J26" s="102">
        <f t="shared" si="6"/>
        <v>0</v>
      </c>
      <c r="K26" s="97">
        <f t="shared" si="6"/>
        <v>0</v>
      </c>
      <c r="L26" s="97">
        <f t="shared" si="6"/>
        <v>0</v>
      </c>
      <c r="M26" s="97">
        <f t="shared" si="6"/>
        <v>0</v>
      </c>
      <c r="N26" s="97">
        <f t="shared" si="6"/>
        <v>0</v>
      </c>
      <c r="O26" s="97">
        <f t="shared" si="6"/>
        <v>0</v>
      </c>
      <c r="P26" s="45">
        <f t="shared" si="2"/>
        <v>0</v>
      </c>
    </row>
    <row r="27" spans="1:16" ht="12.75" x14ac:dyDescent="0.2">
      <c r="A27" s="142"/>
      <c r="B27" s="142" t="s">
        <v>9</v>
      </c>
      <c r="C27" s="143" t="s">
        <v>29</v>
      </c>
      <c r="D27" s="143"/>
      <c r="E27" s="144"/>
      <c r="F27" s="144"/>
      <c r="G27" s="130" t="s">
        <v>129</v>
      </c>
      <c r="H27" s="49"/>
      <c r="I27" s="103"/>
      <c r="J27" s="103"/>
      <c r="K27" s="103"/>
      <c r="L27" s="103"/>
      <c r="M27" s="103"/>
      <c r="N27" s="103"/>
      <c r="O27" s="103"/>
      <c r="P27" s="45">
        <f t="shared" si="2"/>
        <v>0</v>
      </c>
    </row>
    <row r="28" spans="1:16" x14ac:dyDescent="0.2">
      <c r="A28" s="142"/>
      <c r="B28" s="142" t="s">
        <v>22</v>
      </c>
      <c r="C28" s="145" t="s">
        <v>30</v>
      </c>
      <c r="D28" s="145"/>
      <c r="E28" s="140"/>
      <c r="F28" s="140"/>
      <c r="G28" s="130" t="s">
        <v>263</v>
      </c>
      <c r="H28" s="49"/>
      <c r="I28" s="104"/>
      <c r="J28" s="94"/>
      <c r="K28" s="94"/>
      <c r="L28" s="94"/>
      <c r="M28" s="94"/>
      <c r="N28" s="94"/>
      <c r="O28" s="94"/>
      <c r="P28" s="45">
        <f t="shared" si="2"/>
        <v>0</v>
      </c>
    </row>
    <row r="29" spans="1:16" x14ac:dyDescent="0.2">
      <c r="A29" s="142"/>
      <c r="B29" s="142" t="s">
        <v>31</v>
      </c>
      <c r="C29" s="145" t="s">
        <v>32</v>
      </c>
      <c r="D29" s="145"/>
      <c r="E29" s="145"/>
      <c r="F29" s="145"/>
      <c r="G29" s="130" t="s">
        <v>264</v>
      </c>
      <c r="H29" s="49"/>
      <c r="I29" s="103"/>
      <c r="J29" s="94"/>
      <c r="K29" s="94"/>
      <c r="L29" s="94"/>
      <c r="M29" s="94"/>
      <c r="N29" s="94"/>
      <c r="O29" s="94"/>
      <c r="P29" s="45">
        <f t="shared" si="2"/>
        <v>0</v>
      </c>
    </row>
    <row r="30" spans="1:16" x14ac:dyDescent="0.2">
      <c r="G30" s="41" t="s">
        <v>260</v>
      </c>
      <c r="H30" s="6"/>
    </row>
    <row r="31" spans="1:16" x14ac:dyDescent="0.2">
      <c r="G31" s="41"/>
      <c r="H31" s="6"/>
    </row>
    <row r="32" spans="1:16" x14ac:dyDescent="0.2">
      <c r="G32" s="41"/>
      <c r="H32" s="6"/>
    </row>
    <row r="33" spans="7:8" x14ac:dyDescent="0.2">
      <c r="G33" s="41">
        <v>1</v>
      </c>
      <c r="H33" s="6"/>
    </row>
    <row r="34" spans="7:8" x14ac:dyDescent="0.2">
      <c r="G34" s="41"/>
      <c r="H34" s="6"/>
    </row>
    <row r="35" spans="7:8" x14ac:dyDescent="0.2">
      <c r="G35" s="41"/>
      <c r="H35" s="6"/>
    </row>
    <row r="36" spans="7:8" x14ac:dyDescent="0.2">
      <c r="G36" s="41"/>
      <c r="H36" s="6"/>
    </row>
    <row r="37" spans="7:8" x14ac:dyDescent="0.2">
      <c r="G37" s="41"/>
      <c r="H37" s="6"/>
    </row>
    <row r="38" spans="7:8" x14ac:dyDescent="0.2">
      <c r="G38" s="41"/>
      <c r="H38" s="6"/>
    </row>
    <row r="39" spans="7:8" x14ac:dyDescent="0.2">
      <c r="G39" s="41"/>
      <c r="H39" s="6"/>
    </row>
    <row r="40" spans="7:8" x14ac:dyDescent="0.2">
      <c r="G40" s="41"/>
      <c r="H40" s="6"/>
    </row>
    <row r="41" spans="7:8" x14ac:dyDescent="0.2">
      <c r="G41" s="41"/>
      <c r="H41" s="6"/>
    </row>
    <row r="42" spans="7:8" x14ac:dyDescent="0.2">
      <c r="G42" s="41"/>
      <c r="H42" s="6"/>
    </row>
    <row r="43" spans="7:8" x14ac:dyDescent="0.2">
      <c r="G43" s="41"/>
      <c r="H43" s="6"/>
    </row>
    <row r="44" spans="7:8" x14ac:dyDescent="0.2">
      <c r="G44" s="41"/>
      <c r="H44" s="6"/>
    </row>
  </sheetData>
  <sheetProtection sheet="1" objects="1" scenarios="1" selectLockedCells="1"/>
  <mergeCells count="15">
    <mergeCell ref="A1:P1"/>
    <mergeCell ref="A2:P2"/>
    <mergeCell ref="A3:P3"/>
    <mergeCell ref="A4:P4"/>
    <mergeCell ref="B26:E26"/>
    <mergeCell ref="A5:P5"/>
    <mergeCell ref="A6:P6"/>
    <mergeCell ref="A7:P7"/>
    <mergeCell ref="A8:E9"/>
    <mergeCell ref="G8:G9"/>
    <mergeCell ref="I8:I9"/>
    <mergeCell ref="J8:K8"/>
    <mergeCell ref="L8:M8"/>
    <mergeCell ref="N8:O8"/>
    <mergeCell ref="P8:P9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P29">
      <formula1>0</formula1>
    </dataValidation>
  </dataValidations>
  <pageMargins left="0.25" right="0.25" top="1" bottom="0.5" header="0.5" footer="0.5"/>
  <pageSetup paperSize="9" orientation="landscape" horizontalDpi="300" verticalDpi="300" r:id="rId1"/>
  <headerFooter alignWithMargins="0">
    <oddHeader>&amp;R&amp;"Arial,Bold"&amp;9&amp;USchedule 23&amp;U
  &amp;P of &amp;N&amp;C&amp;"Arial,Bold"&amp;8 ADVANCE BANK INC (RB)  [ 04-000000 ]
 As of: January 31, 2005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3"/>
  <sheetViews>
    <sheetView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width="3.85546875" customWidth="1"/>
    <col min="2" max="3" width="4.140625" customWidth="1"/>
    <col min="4" max="4" width="4.7109375" customWidth="1"/>
    <col min="5" max="5" width="3.42578125" customWidth="1"/>
    <col min="6" max="6" width="22.42578125" customWidth="1"/>
    <col min="7" max="7" width="18.42578125" bestFit="1" customWidth="1"/>
    <col min="8" max="8" width="0" hidden="1" customWidth="1"/>
    <col min="9" max="13" width="20.7109375" customWidth="1"/>
    <col min="14" max="15" width="20.7109375" hidden="1" customWidth="1"/>
    <col min="16" max="16" width="20.7109375" customWidth="1"/>
  </cols>
  <sheetData>
    <row r="1" spans="1:16" x14ac:dyDescent="0.2">
      <c r="A1" s="216" t="s">
        <v>36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</row>
    <row r="2" spans="1:16" hidden="1" x14ac:dyDescent="0.2">
      <c r="A2" s="199"/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</row>
    <row r="3" spans="1:16" hidden="1" x14ac:dyDescent="0.2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</row>
    <row r="4" spans="1:16" hidden="1" x14ac:dyDescent="0.2">
      <c r="A4" s="199"/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</row>
    <row r="5" spans="1:16" hidden="1" x14ac:dyDescent="0.2">
      <c r="A5" s="199"/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</row>
    <row r="6" spans="1:16" hidden="1" x14ac:dyDescent="0.2">
      <c r="A6" s="199"/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</row>
    <row r="7" spans="1:16" x14ac:dyDescent="0.2">
      <c r="A7" s="212"/>
      <c r="B7" s="212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</row>
    <row r="8" spans="1:16" x14ac:dyDescent="0.2">
      <c r="A8" s="201" t="s">
        <v>1</v>
      </c>
      <c r="B8" s="202"/>
      <c r="C8" s="202"/>
      <c r="D8" s="202"/>
      <c r="E8" s="202"/>
      <c r="F8" s="202"/>
      <c r="G8" s="213" t="s">
        <v>2</v>
      </c>
      <c r="H8" s="25"/>
      <c r="I8" s="189" t="s">
        <v>3</v>
      </c>
      <c r="J8" s="191" t="s">
        <v>4</v>
      </c>
      <c r="K8" s="192"/>
      <c r="L8" s="191" t="s">
        <v>5</v>
      </c>
      <c r="M8" s="192"/>
      <c r="N8" s="195" t="s">
        <v>268</v>
      </c>
      <c r="O8" s="195"/>
      <c r="P8" s="196" t="s">
        <v>6</v>
      </c>
    </row>
    <row r="9" spans="1:16" x14ac:dyDescent="0.2">
      <c r="A9" s="204"/>
      <c r="B9" s="205"/>
      <c r="C9" s="205"/>
      <c r="D9" s="205"/>
      <c r="E9" s="205"/>
      <c r="F9" s="205"/>
      <c r="G9" s="214"/>
      <c r="H9" s="26"/>
      <c r="I9" s="215"/>
      <c r="J9" s="2" t="s">
        <v>7</v>
      </c>
      <c r="K9" s="3" t="s">
        <v>8</v>
      </c>
      <c r="L9" s="2" t="s">
        <v>7</v>
      </c>
      <c r="M9" s="3" t="s">
        <v>8</v>
      </c>
      <c r="N9" s="53" t="s">
        <v>7</v>
      </c>
      <c r="O9" s="3" t="s">
        <v>8</v>
      </c>
      <c r="P9" s="197"/>
    </row>
    <row r="10" spans="1:16" x14ac:dyDescent="0.2">
      <c r="A10" s="146" t="s">
        <v>37</v>
      </c>
      <c r="B10" s="147"/>
      <c r="C10" s="147"/>
      <c r="D10" s="147"/>
      <c r="E10" s="147"/>
      <c r="F10" s="147"/>
      <c r="G10" s="130" t="s">
        <v>130</v>
      </c>
      <c r="H10" s="5"/>
      <c r="I10" s="17">
        <f t="shared" ref="I10:O10" si="0">I11+I17+I42+I100</f>
        <v>0</v>
      </c>
      <c r="J10" s="114">
        <f t="shared" si="0"/>
        <v>0</v>
      </c>
      <c r="K10" s="114">
        <f t="shared" si="0"/>
        <v>0</v>
      </c>
      <c r="L10" s="114">
        <f t="shared" si="0"/>
        <v>0</v>
      </c>
      <c r="M10" s="114">
        <f t="shared" si="0"/>
        <v>0</v>
      </c>
      <c r="N10" s="17">
        <f t="shared" si="0"/>
        <v>0</v>
      </c>
      <c r="O10" s="17">
        <f t="shared" si="0"/>
        <v>0</v>
      </c>
      <c r="P10" s="70">
        <f>I10+K10+M10+O10</f>
        <v>0</v>
      </c>
    </row>
    <row r="11" spans="1:16" x14ac:dyDescent="0.2">
      <c r="A11" s="148" t="s">
        <v>10</v>
      </c>
      <c r="B11" s="147" t="s">
        <v>38</v>
      </c>
      <c r="C11" s="147"/>
      <c r="D11" s="147"/>
      <c r="E11" s="147"/>
      <c r="F11" s="147"/>
      <c r="G11" s="130" t="s">
        <v>131</v>
      </c>
      <c r="H11" s="5"/>
      <c r="I11" s="17">
        <f>I12+I13+I15+I16+I14</f>
        <v>0</v>
      </c>
      <c r="J11" s="114">
        <f>J12+J13+J15+J16+J14</f>
        <v>0</v>
      </c>
      <c r="K11" s="114">
        <f>K12+K13+K15+K16+K14</f>
        <v>0</v>
      </c>
      <c r="L11" s="114">
        <f>L12+L13+L15+L16+L14</f>
        <v>0</v>
      </c>
      <c r="M11" s="114">
        <f>M12+M13+M15+M16+M14</f>
        <v>0</v>
      </c>
      <c r="N11" s="17">
        <f>N12+N13+N15+N16</f>
        <v>0</v>
      </c>
      <c r="O11" s="17">
        <f>O12+O13+O15+O16</f>
        <v>0</v>
      </c>
      <c r="P11" s="70">
        <f t="shared" ref="P11:P75" si="1">I11+K11+M11+O11</f>
        <v>0</v>
      </c>
    </row>
    <row r="12" spans="1:16" x14ac:dyDescent="0.2">
      <c r="A12" s="148"/>
      <c r="B12" s="147" t="s">
        <v>12</v>
      </c>
      <c r="C12" s="147" t="s">
        <v>39</v>
      </c>
      <c r="D12" s="147"/>
      <c r="E12" s="147"/>
      <c r="F12" s="147"/>
      <c r="G12" s="130" t="s">
        <v>132</v>
      </c>
      <c r="H12" s="5"/>
      <c r="I12" s="85"/>
      <c r="J12" s="86"/>
      <c r="K12" s="86"/>
      <c r="L12" s="115"/>
      <c r="M12" s="115"/>
      <c r="N12" s="87"/>
      <c r="O12" s="87"/>
      <c r="P12" s="70">
        <f t="shared" si="1"/>
        <v>0</v>
      </c>
    </row>
    <row r="13" spans="1:16" x14ac:dyDescent="0.2">
      <c r="A13" s="148"/>
      <c r="B13" s="147" t="s">
        <v>18</v>
      </c>
      <c r="C13" s="147" t="s">
        <v>40</v>
      </c>
      <c r="D13" s="147"/>
      <c r="E13" s="147"/>
      <c r="F13" s="147"/>
      <c r="G13" s="130" t="s">
        <v>133</v>
      </c>
      <c r="H13" s="5"/>
      <c r="I13" s="85"/>
      <c r="J13" s="86"/>
      <c r="K13" s="86"/>
      <c r="L13" s="86"/>
      <c r="M13" s="86"/>
      <c r="N13" s="63"/>
      <c r="O13" s="63"/>
      <c r="P13" s="70">
        <f t="shared" si="1"/>
        <v>0</v>
      </c>
    </row>
    <row r="14" spans="1:16" x14ac:dyDescent="0.2">
      <c r="A14" s="148"/>
      <c r="B14" s="147" t="s">
        <v>41</v>
      </c>
      <c r="C14" s="149" t="s">
        <v>930</v>
      </c>
      <c r="D14" s="147"/>
      <c r="E14" s="147"/>
      <c r="F14" s="147"/>
      <c r="G14" s="130" t="s">
        <v>931</v>
      </c>
      <c r="H14" s="5"/>
      <c r="I14" s="85"/>
      <c r="J14" s="86"/>
      <c r="K14" s="86"/>
      <c r="L14" s="86"/>
      <c r="M14" s="86"/>
      <c r="N14" s="63"/>
      <c r="O14" s="63"/>
      <c r="P14" s="70">
        <f t="shared" si="1"/>
        <v>0</v>
      </c>
    </row>
    <row r="15" spans="1:16" x14ac:dyDescent="0.2">
      <c r="A15" s="148"/>
      <c r="B15" s="149" t="s">
        <v>43</v>
      </c>
      <c r="C15" s="147" t="s">
        <v>42</v>
      </c>
      <c r="D15" s="147"/>
      <c r="E15" s="147"/>
      <c r="F15" s="147"/>
      <c r="G15" s="130" t="s">
        <v>134</v>
      </c>
      <c r="H15" s="5"/>
      <c r="I15" s="85"/>
      <c r="J15" s="86"/>
      <c r="K15" s="86"/>
      <c r="L15" s="86"/>
      <c r="M15" s="86"/>
      <c r="N15" s="63"/>
      <c r="O15" s="63"/>
      <c r="P15" s="70">
        <f t="shared" si="1"/>
        <v>0</v>
      </c>
    </row>
    <row r="16" spans="1:16" x14ac:dyDescent="0.2">
      <c r="A16" s="148"/>
      <c r="B16" s="149" t="s">
        <v>75</v>
      </c>
      <c r="C16" s="147" t="s">
        <v>44</v>
      </c>
      <c r="D16" s="147"/>
      <c r="E16" s="147"/>
      <c r="F16" s="147"/>
      <c r="G16" s="130" t="s">
        <v>135</v>
      </c>
      <c r="H16" s="5"/>
      <c r="I16" s="85"/>
      <c r="J16" s="115"/>
      <c r="K16" s="115"/>
      <c r="L16" s="115"/>
      <c r="M16" s="115"/>
      <c r="N16" s="63"/>
      <c r="O16" s="63"/>
      <c r="P16" s="70">
        <f t="shared" si="1"/>
        <v>0</v>
      </c>
    </row>
    <row r="17" spans="1:16" x14ac:dyDescent="0.2">
      <c r="A17" s="148" t="s">
        <v>20</v>
      </c>
      <c r="B17" s="147" t="s">
        <v>45</v>
      </c>
      <c r="C17" s="147"/>
      <c r="D17" s="147"/>
      <c r="E17" s="147"/>
      <c r="F17" s="147"/>
      <c r="G17" s="130" t="s">
        <v>136</v>
      </c>
      <c r="H17" s="5"/>
      <c r="I17" s="70">
        <f t="shared" ref="I17:O17" si="2" xml:space="preserve"> (I18 + I30)</f>
        <v>0</v>
      </c>
      <c r="J17" s="115">
        <f t="shared" si="2"/>
        <v>0</v>
      </c>
      <c r="K17" s="115">
        <f t="shared" si="2"/>
        <v>0</v>
      </c>
      <c r="L17" s="115">
        <f t="shared" si="2"/>
        <v>0</v>
      </c>
      <c r="M17" s="115">
        <f t="shared" si="2"/>
        <v>0</v>
      </c>
      <c r="N17" s="88">
        <f t="shared" si="2"/>
        <v>0</v>
      </c>
      <c r="O17" s="88">
        <f t="shared" si="2"/>
        <v>0</v>
      </c>
      <c r="P17" s="70">
        <f t="shared" si="1"/>
        <v>0</v>
      </c>
    </row>
    <row r="18" spans="1:16" x14ac:dyDescent="0.2">
      <c r="A18" s="147"/>
      <c r="B18" s="147" t="s">
        <v>12</v>
      </c>
      <c r="C18" s="147" t="s">
        <v>46</v>
      </c>
      <c r="D18" s="147"/>
      <c r="E18" s="147"/>
      <c r="F18" s="147"/>
      <c r="G18" s="130" t="s">
        <v>137</v>
      </c>
      <c r="H18" s="5"/>
      <c r="I18" s="70">
        <f t="shared" ref="I18:O18" si="3" xml:space="preserve"> (I19 + I26 + I29)</f>
        <v>0</v>
      </c>
      <c r="J18" s="115">
        <f t="shared" si="3"/>
        <v>0</v>
      </c>
      <c r="K18" s="115">
        <f t="shared" si="3"/>
        <v>0</v>
      </c>
      <c r="L18" s="115">
        <f t="shared" si="3"/>
        <v>0</v>
      </c>
      <c r="M18" s="115">
        <f t="shared" si="3"/>
        <v>0</v>
      </c>
      <c r="N18" s="70">
        <f t="shared" si="3"/>
        <v>0</v>
      </c>
      <c r="O18" s="70">
        <f t="shared" si="3"/>
        <v>0</v>
      </c>
      <c r="P18" s="70">
        <f t="shared" si="1"/>
        <v>0</v>
      </c>
    </row>
    <row r="19" spans="1:16" x14ac:dyDescent="0.2">
      <c r="A19" s="147"/>
      <c r="B19" s="147"/>
      <c r="C19" s="147" t="s">
        <v>47</v>
      </c>
      <c r="D19" s="149" t="s">
        <v>11</v>
      </c>
      <c r="E19" s="147"/>
      <c r="F19" s="147"/>
      <c r="G19" s="130" t="s">
        <v>138</v>
      </c>
      <c r="H19" s="5"/>
      <c r="I19" s="70">
        <f t="shared" ref="I19:O19" si="4" xml:space="preserve"> (I20 + I23)</f>
        <v>0</v>
      </c>
      <c r="J19" s="115">
        <f t="shared" si="4"/>
        <v>0</v>
      </c>
      <c r="K19" s="115">
        <f t="shared" si="4"/>
        <v>0</v>
      </c>
      <c r="L19" s="115">
        <f t="shared" si="4"/>
        <v>0</v>
      </c>
      <c r="M19" s="115">
        <f t="shared" si="4"/>
        <v>0</v>
      </c>
      <c r="N19" s="70">
        <f t="shared" si="4"/>
        <v>0</v>
      </c>
      <c r="O19" s="70">
        <f t="shared" si="4"/>
        <v>0</v>
      </c>
      <c r="P19" s="70">
        <f t="shared" si="1"/>
        <v>0</v>
      </c>
    </row>
    <row r="20" spans="1:16" x14ac:dyDescent="0.2">
      <c r="A20" s="147"/>
      <c r="B20" s="147"/>
      <c r="C20" s="147"/>
      <c r="D20" s="147" t="s">
        <v>282</v>
      </c>
      <c r="E20" s="147" t="s">
        <v>13</v>
      </c>
      <c r="F20" s="147"/>
      <c r="G20" s="130" t="s">
        <v>139</v>
      </c>
      <c r="H20" s="5"/>
      <c r="I20" s="17">
        <f>I21+I22</f>
        <v>0</v>
      </c>
      <c r="J20" s="114">
        <f t="shared" ref="J20:O20" si="5">J21+J22</f>
        <v>0</v>
      </c>
      <c r="K20" s="114">
        <f t="shared" si="5"/>
        <v>0</v>
      </c>
      <c r="L20" s="114">
        <f t="shared" si="5"/>
        <v>0</v>
      </c>
      <c r="M20" s="114">
        <f t="shared" si="5"/>
        <v>0</v>
      </c>
      <c r="N20" s="17">
        <f t="shared" si="5"/>
        <v>0</v>
      </c>
      <c r="O20" s="17">
        <f t="shared" si="5"/>
        <v>0</v>
      </c>
      <c r="P20" s="70">
        <f t="shared" si="1"/>
        <v>0</v>
      </c>
    </row>
    <row r="21" spans="1:16" x14ac:dyDescent="0.2">
      <c r="A21" s="147"/>
      <c r="B21" s="147"/>
      <c r="C21" s="147"/>
      <c r="D21" s="147"/>
      <c r="E21" s="147" t="s">
        <v>14</v>
      </c>
      <c r="F21" s="147" t="s">
        <v>53</v>
      </c>
      <c r="G21" s="130" t="s">
        <v>283</v>
      </c>
      <c r="H21" s="5"/>
      <c r="I21" s="85"/>
      <c r="J21" s="116"/>
      <c r="K21" s="116"/>
      <c r="L21" s="86"/>
      <c r="M21" s="86"/>
      <c r="N21" s="63"/>
      <c r="O21" s="63"/>
      <c r="P21" s="70">
        <f t="shared" si="1"/>
        <v>0</v>
      </c>
    </row>
    <row r="22" spans="1:16" x14ac:dyDescent="0.2">
      <c r="A22" s="147"/>
      <c r="B22" s="147"/>
      <c r="C22" s="147"/>
      <c r="D22" s="147"/>
      <c r="E22" s="147" t="s">
        <v>16</v>
      </c>
      <c r="F22" s="147" t="s">
        <v>269</v>
      </c>
      <c r="G22" s="130" t="s">
        <v>284</v>
      </c>
      <c r="H22" s="5"/>
      <c r="I22" s="105"/>
      <c r="J22" s="116"/>
      <c r="K22" s="116"/>
      <c r="L22" s="115"/>
      <c r="M22" s="115"/>
      <c r="N22" s="63"/>
      <c r="O22" s="63"/>
      <c r="P22" s="115">
        <f t="shared" si="1"/>
        <v>0</v>
      </c>
    </row>
    <row r="23" spans="1:16" x14ac:dyDescent="0.2">
      <c r="A23" s="147"/>
      <c r="B23" s="147"/>
      <c r="C23" s="147"/>
      <c r="D23" s="147" t="s">
        <v>285</v>
      </c>
      <c r="E23" s="147" t="s">
        <v>19</v>
      </c>
      <c r="F23" s="147"/>
      <c r="G23" s="130" t="s">
        <v>140</v>
      </c>
      <c r="H23" s="5"/>
      <c r="I23" s="17">
        <f>I24+I25</f>
        <v>0</v>
      </c>
      <c r="J23" s="114">
        <f t="shared" ref="J23:O23" si="6">J24+J25</f>
        <v>0</v>
      </c>
      <c r="K23" s="114">
        <f t="shared" si="6"/>
        <v>0</v>
      </c>
      <c r="L23" s="114">
        <f t="shared" si="6"/>
        <v>0</v>
      </c>
      <c r="M23" s="114">
        <f t="shared" si="6"/>
        <v>0</v>
      </c>
      <c r="N23" s="17">
        <f t="shared" si="6"/>
        <v>0</v>
      </c>
      <c r="O23" s="17">
        <f t="shared" si="6"/>
        <v>0</v>
      </c>
      <c r="P23" s="70">
        <f t="shared" si="1"/>
        <v>0</v>
      </c>
    </row>
    <row r="24" spans="1:16" x14ac:dyDescent="0.2">
      <c r="A24" s="147"/>
      <c r="B24" s="147"/>
      <c r="C24" s="147"/>
      <c r="D24" s="147"/>
      <c r="E24" s="147" t="s">
        <v>14</v>
      </c>
      <c r="F24" s="147" t="s">
        <v>53</v>
      </c>
      <c r="G24" s="130" t="s">
        <v>286</v>
      </c>
      <c r="H24" s="5"/>
      <c r="I24" s="85"/>
      <c r="J24" s="116"/>
      <c r="K24" s="116"/>
      <c r="L24" s="86"/>
      <c r="M24" s="86"/>
      <c r="N24" s="63"/>
      <c r="O24" s="63"/>
      <c r="P24" s="70">
        <f t="shared" si="1"/>
        <v>0</v>
      </c>
    </row>
    <row r="25" spans="1:16" x14ac:dyDescent="0.2">
      <c r="A25" s="147"/>
      <c r="B25" s="147"/>
      <c r="C25" s="147"/>
      <c r="D25" s="147"/>
      <c r="E25" s="147" t="s">
        <v>16</v>
      </c>
      <c r="F25" s="147" t="s">
        <v>269</v>
      </c>
      <c r="G25" s="130" t="s">
        <v>287</v>
      </c>
      <c r="H25" s="5"/>
      <c r="I25" s="105"/>
      <c r="J25" s="116"/>
      <c r="K25" s="116"/>
      <c r="L25" s="115"/>
      <c r="M25" s="115"/>
      <c r="N25" s="63"/>
      <c r="O25" s="63"/>
      <c r="P25" s="115">
        <f t="shared" si="1"/>
        <v>0</v>
      </c>
    </row>
    <row r="26" spans="1:16" x14ac:dyDescent="0.2">
      <c r="A26" s="147"/>
      <c r="B26" s="147"/>
      <c r="C26" s="147" t="s">
        <v>48</v>
      </c>
      <c r="D26" s="147" t="s">
        <v>21</v>
      </c>
      <c r="E26" s="147"/>
      <c r="F26" s="147"/>
      <c r="G26" s="130" t="s">
        <v>141</v>
      </c>
      <c r="H26" s="5"/>
      <c r="I26" s="17">
        <f>I27+I28</f>
        <v>0</v>
      </c>
      <c r="J26" s="114">
        <f t="shared" ref="J26:O26" si="7">J27+J28</f>
        <v>0</v>
      </c>
      <c r="K26" s="114">
        <f t="shared" si="7"/>
        <v>0</v>
      </c>
      <c r="L26" s="114">
        <f t="shared" si="7"/>
        <v>0</v>
      </c>
      <c r="M26" s="114">
        <f t="shared" si="7"/>
        <v>0</v>
      </c>
      <c r="N26" s="17">
        <f t="shared" si="7"/>
        <v>0</v>
      </c>
      <c r="O26" s="17">
        <f t="shared" si="7"/>
        <v>0</v>
      </c>
      <c r="P26" s="70">
        <f t="shared" si="1"/>
        <v>0</v>
      </c>
    </row>
    <row r="27" spans="1:16" x14ac:dyDescent="0.2">
      <c r="A27" s="147"/>
      <c r="B27" s="147"/>
      <c r="C27" s="147"/>
      <c r="D27" s="147" t="s">
        <v>14</v>
      </c>
      <c r="E27" s="147" t="s">
        <v>53</v>
      </c>
      <c r="F27" s="147"/>
      <c r="G27" s="130" t="s">
        <v>288</v>
      </c>
      <c r="H27" s="5"/>
      <c r="I27" s="85"/>
      <c r="J27" s="116"/>
      <c r="K27" s="116"/>
      <c r="L27" s="86"/>
      <c r="M27" s="86"/>
      <c r="N27" s="63"/>
      <c r="O27" s="63"/>
      <c r="P27" s="70">
        <f t="shared" si="1"/>
        <v>0</v>
      </c>
    </row>
    <row r="28" spans="1:16" x14ac:dyDescent="0.2">
      <c r="A28" s="147"/>
      <c r="B28" s="147"/>
      <c r="C28" s="147"/>
      <c r="D28" s="147" t="s">
        <v>16</v>
      </c>
      <c r="E28" s="147" t="s">
        <v>269</v>
      </c>
      <c r="F28" s="147"/>
      <c r="G28" s="130" t="s">
        <v>289</v>
      </c>
      <c r="H28" s="5"/>
      <c r="I28" s="105"/>
      <c r="J28" s="116"/>
      <c r="K28" s="116"/>
      <c r="L28" s="115"/>
      <c r="M28" s="115"/>
      <c r="N28" s="63"/>
      <c r="O28" s="63"/>
      <c r="P28" s="115">
        <f>I28+K28+M28+O28</f>
        <v>0</v>
      </c>
    </row>
    <row r="29" spans="1:16" x14ac:dyDescent="0.2">
      <c r="A29" s="147"/>
      <c r="B29" s="147"/>
      <c r="C29" s="147" t="s">
        <v>49</v>
      </c>
      <c r="D29" s="147" t="s">
        <v>290</v>
      </c>
      <c r="E29" s="147"/>
      <c r="F29" s="147"/>
      <c r="G29" s="130" t="s">
        <v>142</v>
      </c>
      <c r="H29" s="5"/>
      <c r="I29" s="85"/>
      <c r="J29" s="116"/>
      <c r="K29" s="116"/>
      <c r="L29" s="86"/>
      <c r="M29" s="86"/>
      <c r="N29" s="63"/>
      <c r="O29" s="63"/>
      <c r="P29" s="70">
        <f t="shared" si="1"/>
        <v>0</v>
      </c>
    </row>
    <row r="30" spans="1:16" x14ac:dyDescent="0.2">
      <c r="A30" s="147"/>
      <c r="B30" s="147" t="s">
        <v>18</v>
      </c>
      <c r="C30" s="147" t="s">
        <v>50</v>
      </c>
      <c r="D30" s="147"/>
      <c r="E30" s="147"/>
      <c r="F30" s="147"/>
      <c r="G30" s="130" t="s">
        <v>143</v>
      </c>
      <c r="H30" s="5"/>
      <c r="I30" s="70">
        <f t="shared" ref="I30:O30" si="8" xml:space="preserve"> (I31 + I38 + I41)</f>
        <v>0</v>
      </c>
      <c r="J30" s="115">
        <f t="shared" si="8"/>
        <v>0</v>
      </c>
      <c r="K30" s="115">
        <f t="shared" si="8"/>
        <v>0</v>
      </c>
      <c r="L30" s="115">
        <f t="shared" si="8"/>
        <v>0</v>
      </c>
      <c r="M30" s="115">
        <f t="shared" si="8"/>
        <v>0</v>
      </c>
      <c r="N30" s="88">
        <f t="shared" si="8"/>
        <v>0</v>
      </c>
      <c r="O30" s="88">
        <f t="shared" si="8"/>
        <v>0</v>
      </c>
      <c r="P30" s="70">
        <f t="shared" si="1"/>
        <v>0</v>
      </c>
    </row>
    <row r="31" spans="1:16" x14ac:dyDescent="0.2">
      <c r="A31" s="147"/>
      <c r="B31" s="147"/>
      <c r="C31" s="147" t="s">
        <v>51</v>
      </c>
      <c r="D31" s="149" t="s">
        <v>11</v>
      </c>
      <c r="E31" s="147"/>
      <c r="F31" s="147"/>
      <c r="G31" s="130" t="s">
        <v>144</v>
      </c>
      <c r="H31" s="5"/>
      <c r="I31" s="70">
        <f t="shared" ref="I31:O31" si="9" xml:space="preserve"> (I32 + I35)</f>
        <v>0</v>
      </c>
      <c r="J31" s="115">
        <f t="shared" si="9"/>
        <v>0</v>
      </c>
      <c r="K31" s="115">
        <f t="shared" si="9"/>
        <v>0</v>
      </c>
      <c r="L31" s="115">
        <f t="shared" si="9"/>
        <v>0</v>
      </c>
      <c r="M31" s="115">
        <f t="shared" si="9"/>
        <v>0</v>
      </c>
      <c r="N31" s="88">
        <f t="shared" si="9"/>
        <v>0</v>
      </c>
      <c r="O31" s="88">
        <f t="shared" si="9"/>
        <v>0</v>
      </c>
      <c r="P31" s="70">
        <f t="shared" si="1"/>
        <v>0</v>
      </c>
    </row>
    <row r="32" spans="1:16" x14ac:dyDescent="0.2">
      <c r="A32" s="147"/>
      <c r="B32" s="147"/>
      <c r="C32" s="147"/>
      <c r="D32" s="147" t="s">
        <v>52</v>
      </c>
      <c r="E32" s="147" t="s">
        <v>13</v>
      </c>
      <c r="F32" s="147"/>
      <c r="G32" s="130" t="s">
        <v>145</v>
      </c>
      <c r="H32" s="5"/>
      <c r="I32" s="70">
        <f t="shared" ref="I32:O32" si="10" xml:space="preserve"> (I33 + I34)</f>
        <v>0</v>
      </c>
      <c r="J32" s="115">
        <f t="shared" si="10"/>
        <v>0</v>
      </c>
      <c r="K32" s="115">
        <f t="shared" si="10"/>
        <v>0</v>
      </c>
      <c r="L32" s="115">
        <f t="shared" si="10"/>
        <v>0</v>
      </c>
      <c r="M32" s="115">
        <f t="shared" si="10"/>
        <v>0</v>
      </c>
      <c r="N32" s="88">
        <f t="shared" si="10"/>
        <v>0</v>
      </c>
      <c r="O32" s="88">
        <f t="shared" si="10"/>
        <v>0</v>
      </c>
      <c r="P32" s="70">
        <f t="shared" si="1"/>
        <v>0</v>
      </c>
    </row>
    <row r="33" spans="1:16" x14ac:dyDescent="0.2">
      <c r="A33" s="147"/>
      <c r="B33" s="147"/>
      <c r="C33" s="147"/>
      <c r="D33" s="147"/>
      <c r="E33" s="147" t="s">
        <v>14</v>
      </c>
      <c r="F33" s="147" t="s">
        <v>53</v>
      </c>
      <c r="G33" s="130" t="s">
        <v>146</v>
      </c>
      <c r="H33" s="5"/>
      <c r="I33" s="85"/>
      <c r="J33" s="115"/>
      <c r="K33" s="115"/>
      <c r="L33" s="86"/>
      <c r="M33" s="86"/>
      <c r="N33" s="63"/>
      <c r="O33" s="63"/>
      <c r="P33" s="70">
        <f t="shared" si="1"/>
        <v>0</v>
      </c>
    </row>
    <row r="34" spans="1:16" x14ac:dyDescent="0.2">
      <c r="A34" s="147"/>
      <c r="B34" s="147"/>
      <c r="C34" s="147"/>
      <c r="D34" s="147"/>
      <c r="E34" s="147" t="s">
        <v>16</v>
      </c>
      <c r="F34" s="147" t="s">
        <v>269</v>
      </c>
      <c r="G34" s="130" t="s">
        <v>147</v>
      </c>
      <c r="H34" s="5"/>
      <c r="I34" s="86"/>
      <c r="J34" s="115"/>
      <c r="K34" s="115"/>
      <c r="L34" s="115"/>
      <c r="M34" s="115"/>
      <c r="N34" s="87"/>
      <c r="O34" s="87"/>
      <c r="P34" s="115">
        <f t="shared" si="1"/>
        <v>0</v>
      </c>
    </row>
    <row r="35" spans="1:16" x14ac:dyDescent="0.2">
      <c r="A35" s="147"/>
      <c r="B35" s="147"/>
      <c r="C35" s="147"/>
      <c r="D35" s="147" t="s">
        <v>54</v>
      </c>
      <c r="E35" s="147" t="s">
        <v>19</v>
      </c>
      <c r="F35" s="147"/>
      <c r="G35" s="130" t="s">
        <v>148</v>
      </c>
      <c r="H35" s="5"/>
      <c r="I35" s="70">
        <f t="shared" ref="I35:O35" si="11" xml:space="preserve"> (I36 + I37)</f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88">
        <f t="shared" si="11"/>
        <v>0</v>
      </c>
      <c r="O35" s="88">
        <f t="shared" si="11"/>
        <v>0</v>
      </c>
      <c r="P35" s="70">
        <f t="shared" si="1"/>
        <v>0</v>
      </c>
    </row>
    <row r="36" spans="1:16" x14ac:dyDescent="0.2">
      <c r="A36" s="147"/>
      <c r="B36" s="147"/>
      <c r="C36" s="147"/>
      <c r="D36" s="147"/>
      <c r="E36" s="147" t="s">
        <v>14</v>
      </c>
      <c r="F36" s="147" t="s">
        <v>53</v>
      </c>
      <c r="G36" s="130" t="s">
        <v>149</v>
      </c>
      <c r="H36" s="5"/>
      <c r="I36" s="85"/>
      <c r="J36" s="115"/>
      <c r="K36" s="115"/>
      <c r="L36" s="86"/>
      <c r="M36" s="86"/>
      <c r="N36" s="63"/>
      <c r="O36" s="63"/>
      <c r="P36" s="70">
        <f t="shared" si="1"/>
        <v>0</v>
      </c>
    </row>
    <row r="37" spans="1:16" x14ac:dyDescent="0.2">
      <c r="A37" s="147"/>
      <c r="B37" s="147"/>
      <c r="C37" s="147"/>
      <c r="D37" s="147"/>
      <c r="E37" s="147" t="s">
        <v>16</v>
      </c>
      <c r="F37" s="147" t="s">
        <v>269</v>
      </c>
      <c r="G37" s="130" t="s">
        <v>150</v>
      </c>
      <c r="H37" s="5"/>
      <c r="I37" s="86"/>
      <c r="J37" s="115"/>
      <c r="K37" s="115"/>
      <c r="L37" s="115"/>
      <c r="M37" s="115"/>
      <c r="N37" s="87"/>
      <c r="O37" s="87"/>
      <c r="P37" s="115">
        <f t="shared" si="1"/>
        <v>0</v>
      </c>
    </row>
    <row r="38" spans="1:16" x14ac:dyDescent="0.2">
      <c r="A38" s="147"/>
      <c r="B38" s="147"/>
      <c r="C38" s="147" t="s">
        <v>55</v>
      </c>
      <c r="D38" s="147" t="s">
        <v>21</v>
      </c>
      <c r="E38" s="147"/>
      <c r="F38" s="147"/>
      <c r="G38" s="130" t="s">
        <v>151</v>
      </c>
      <c r="H38" s="5"/>
      <c r="I38" s="70">
        <f t="shared" ref="I38:O38" si="12" xml:space="preserve"> (I39 + I40)</f>
        <v>0</v>
      </c>
      <c r="J38" s="115">
        <f t="shared" si="12"/>
        <v>0</v>
      </c>
      <c r="K38" s="115">
        <f t="shared" si="12"/>
        <v>0</v>
      </c>
      <c r="L38" s="115">
        <f t="shared" si="12"/>
        <v>0</v>
      </c>
      <c r="M38" s="115">
        <f t="shared" si="12"/>
        <v>0</v>
      </c>
      <c r="N38" s="88">
        <f t="shared" si="12"/>
        <v>0</v>
      </c>
      <c r="O38" s="88">
        <f t="shared" si="12"/>
        <v>0</v>
      </c>
      <c r="P38" s="70">
        <f t="shared" si="1"/>
        <v>0</v>
      </c>
    </row>
    <row r="39" spans="1:16" x14ac:dyDescent="0.2">
      <c r="A39" s="147"/>
      <c r="B39" s="147"/>
      <c r="C39" s="147"/>
      <c r="D39" s="147" t="s">
        <v>14</v>
      </c>
      <c r="E39" s="147" t="s">
        <v>53</v>
      </c>
      <c r="F39" s="147"/>
      <c r="G39" s="130" t="s">
        <v>152</v>
      </c>
      <c r="H39" s="5"/>
      <c r="I39" s="85"/>
      <c r="J39" s="115"/>
      <c r="K39" s="115"/>
      <c r="L39" s="86"/>
      <c r="M39" s="86"/>
      <c r="N39" s="63"/>
      <c r="O39" s="63"/>
      <c r="P39" s="70">
        <f t="shared" si="1"/>
        <v>0</v>
      </c>
    </row>
    <row r="40" spans="1:16" x14ac:dyDescent="0.2">
      <c r="A40" s="147"/>
      <c r="B40" s="147"/>
      <c r="C40" s="147"/>
      <c r="D40" s="147" t="s">
        <v>16</v>
      </c>
      <c r="E40" s="147" t="s">
        <v>269</v>
      </c>
      <c r="F40" s="147"/>
      <c r="G40" s="130" t="s">
        <v>153</v>
      </c>
      <c r="H40" s="5"/>
      <c r="I40" s="86"/>
      <c r="J40" s="115"/>
      <c r="K40" s="115"/>
      <c r="L40" s="115"/>
      <c r="M40" s="115"/>
      <c r="N40" s="87"/>
      <c r="O40" s="87"/>
      <c r="P40" s="115">
        <f t="shared" si="1"/>
        <v>0</v>
      </c>
    </row>
    <row r="41" spans="1:16" x14ac:dyDescent="0.2">
      <c r="A41" s="147"/>
      <c r="B41" s="147"/>
      <c r="C41" s="147" t="s">
        <v>56</v>
      </c>
      <c r="D41" s="147" t="s">
        <v>290</v>
      </c>
      <c r="E41" s="147"/>
      <c r="F41" s="147"/>
      <c r="G41" s="130" t="s">
        <v>154</v>
      </c>
      <c r="H41" s="5"/>
      <c r="I41" s="87"/>
      <c r="J41" s="115"/>
      <c r="K41" s="115"/>
      <c r="L41" s="115"/>
      <c r="M41" s="115"/>
      <c r="N41" s="63"/>
      <c r="O41" s="63"/>
      <c r="P41" s="70">
        <f t="shared" si="1"/>
        <v>0</v>
      </c>
    </row>
    <row r="42" spans="1:16" x14ac:dyDescent="0.2">
      <c r="A42" s="148" t="s">
        <v>34</v>
      </c>
      <c r="B42" s="147" t="s">
        <v>57</v>
      </c>
      <c r="C42" s="147"/>
      <c r="D42" s="147"/>
      <c r="E42" s="147"/>
      <c r="F42" s="147"/>
      <c r="G42" s="130" t="s">
        <v>155</v>
      </c>
      <c r="H42" s="5"/>
      <c r="I42" s="70">
        <f t="shared" ref="I42:O42" si="13" xml:space="preserve"> (I43 + I44 + I54 + I64 + I74 + I79 + I90)</f>
        <v>0</v>
      </c>
      <c r="J42" s="115">
        <f t="shared" si="13"/>
        <v>0</v>
      </c>
      <c r="K42" s="115">
        <f t="shared" si="13"/>
        <v>0</v>
      </c>
      <c r="L42" s="115">
        <f t="shared" si="13"/>
        <v>0</v>
      </c>
      <c r="M42" s="115">
        <f t="shared" si="13"/>
        <v>0</v>
      </c>
      <c r="N42" s="88">
        <f t="shared" si="13"/>
        <v>0</v>
      </c>
      <c r="O42" s="88">
        <f t="shared" si="13"/>
        <v>0</v>
      </c>
      <c r="P42" s="70">
        <f t="shared" si="1"/>
        <v>0</v>
      </c>
    </row>
    <row r="43" spans="1:16" x14ac:dyDescent="0.2">
      <c r="A43" s="147"/>
      <c r="B43" s="148" t="s">
        <v>12</v>
      </c>
      <c r="C43" s="208" t="s">
        <v>58</v>
      </c>
      <c r="D43" s="208"/>
      <c r="E43" s="208"/>
      <c r="F43" s="208"/>
      <c r="G43" s="150" t="s">
        <v>156</v>
      </c>
      <c r="H43" s="50"/>
      <c r="I43" s="85"/>
      <c r="J43" s="86"/>
      <c r="K43" s="86"/>
      <c r="L43" s="86"/>
      <c r="M43" s="86"/>
      <c r="N43" s="63"/>
      <c r="O43" s="63"/>
      <c r="P43" s="70">
        <f t="shared" si="1"/>
        <v>0</v>
      </c>
    </row>
    <row r="44" spans="1:16" x14ac:dyDescent="0.2">
      <c r="A44" s="147"/>
      <c r="B44" s="147" t="s">
        <v>18</v>
      </c>
      <c r="C44" s="147" t="s">
        <v>59</v>
      </c>
      <c r="D44" s="147"/>
      <c r="E44" s="147"/>
      <c r="F44" s="147"/>
      <c r="G44" s="130" t="s">
        <v>157</v>
      </c>
      <c r="H44" s="5"/>
      <c r="I44" s="115">
        <f t="shared" ref="I44:O44" si="14" xml:space="preserve"> (I45 + I50 + I53)</f>
        <v>0</v>
      </c>
      <c r="J44" s="115">
        <f t="shared" si="14"/>
        <v>0</v>
      </c>
      <c r="K44" s="115">
        <f t="shared" si="14"/>
        <v>0</v>
      </c>
      <c r="L44" s="115">
        <f t="shared" si="14"/>
        <v>0</v>
      </c>
      <c r="M44" s="115">
        <f t="shared" si="14"/>
        <v>0</v>
      </c>
      <c r="N44" s="115">
        <f t="shared" si="14"/>
        <v>0</v>
      </c>
      <c r="O44" s="115">
        <f t="shared" si="14"/>
        <v>0</v>
      </c>
      <c r="P44" s="115">
        <f t="shared" si="1"/>
        <v>0</v>
      </c>
    </row>
    <row r="45" spans="1:16" x14ac:dyDescent="0.2">
      <c r="A45" s="147"/>
      <c r="B45" s="147"/>
      <c r="C45" s="147" t="s">
        <v>51</v>
      </c>
      <c r="D45" s="147" t="s">
        <v>60</v>
      </c>
      <c r="E45" s="147"/>
      <c r="F45" s="147"/>
      <c r="G45" s="130" t="s">
        <v>158</v>
      </c>
      <c r="H45" s="5"/>
      <c r="I45" s="115">
        <f t="shared" ref="I45:O45" si="15" xml:space="preserve"> (I46 + I49)</f>
        <v>0</v>
      </c>
      <c r="J45" s="115">
        <f t="shared" si="15"/>
        <v>0</v>
      </c>
      <c r="K45" s="115">
        <f t="shared" si="15"/>
        <v>0</v>
      </c>
      <c r="L45" s="115">
        <f t="shared" si="15"/>
        <v>0</v>
      </c>
      <c r="M45" s="115">
        <f t="shared" si="15"/>
        <v>0</v>
      </c>
      <c r="N45" s="115">
        <f t="shared" si="15"/>
        <v>0</v>
      </c>
      <c r="O45" s="115">
        <f t="shared" si="15"/>
        <v>0</v>
      </c>
      <c r="P45" s="115">
        <f t="shared" si="1"/>
        <v>0</v>
      </c>
    </row>
    <row r="46" spans="1:16" x14ac:dyDescent="0.2">
      <c r="A46" s="147"/>
      <c r="B46" s="147"/>
      <c r="C46" s="147"/>
      <c r="D46" s="147" t="s">
        <v>14</v>
      </c>
      <c r="E46" s="149" t="s">
        <v>11</v>
      </c>
      <c r="F46" s="147"/>
      <c r="G46" s="130" t="s">
        <v>159</v>
      </c>
      <c r="H46" s="5"/>
      <c r="I46" s="115">
        <f t="shared" ref="I46:O46" si="16" xml:space="preserve"> (I47 + I48)</f>
        <v>0</v>
      </c>
      <c r="J46" s="115">
        <f t="shared" si="16"/>
        <v>0</v>
      </c>
      <c r="K46" s="115">
        <f t="shared" si="16"/>
        <v>0</v>
      </c>
      <c r="L46" s="115">
        <f t="shared" si="16"/>
        <v>0</v>
      </c>
      <c r="M46" s="115">
        <f t="shared" si="16"/>
        <v>0</v>
      </c>
      <c r="N46" s="115">
        <f t="shared" si="16"/>
        <v>0</v>
      </c>
      <c r="O46" s="115">
        <f t="shared" si="16"/>
        <v>0</v>
      </c>
      <c r="P46" s="115">
        <f t="shared" si="1"/>
        <v>0</v>
      </c>
    </row>
    <row r="47" spans="1:16" x14ac:dyDescent="0.2">
      <c r="A47" s="147"/>
      <c r="B47" s="147"/>
      <c r="C47" s="147"/>
      <c r="D47" s="147"/>
      <c r="E47" s="147" t="s">
        <v>61</v>
      </c>
      <c r="F47" s="147" t="s">
        <v>13</v>
      </c>
      <c r="G47" s="130" t="s">
        <v>160</v>
      </c>
      <c r="H47" s="5"/>
      <c r="I47" s="115"/>
      <c r="J47" s="115"/>
      <c r="K47" s="115"/>
      <c r="L47" s="115"/>
      <c r="M47" s="115"/>
      <c r="N47" s="115"/>
      <c r="O47" s="115"/>
      <c r="P47" s="115">
        <f t="shared" si="1"/>
        <v>0</v>
      </c>
    </row>
    <row r="48" spans="1:16" x14ac:dyDescent="0.2">
      <c r="A48" s="147"/>
      <c r="B48" s="147"/>
      <c r="C48" s="147"/>
      <c r="D48" s="147"/>
      <c r="E48" s="147" t="s">
        <v>62</v>
      </c>
      <c r="F48" s="147" t="s">
        <v>19</v>
      </c>
      <c r="G48" s="130" t="s">
        <v>161</v>
      </c>
      <c r="H48" s="5"/>
      <c r="I48" s="115"/>
      <c r="J48" s="115"/>
      <c r="K48" s="115"/>
      <c r="L48" s="115"/>
      <c r="M48" s="115"/>
      <c r="N48" s="115"/>
      <c r="O48" s="115"/>
      <c r="P48" s="115">
        <f t="shared" si="1"/>
        <v>0</v>
      </c>
    </row>
    <row r="49" spans="1:16" x14ac:dyDescent="0.2">
      <c r="A49" s="147"/>
      <c r="B49" s="147"/>
      <c r="C49" s="147"/>
      <c r="D49" s="147" t="s">
        <v>16</v>
      </c>
      <c r="E49" s="147" t="s">
        <v>21</v>
      </c>
      <c r="F49" s="147"/>
      <c r="G49" s="130" t="s">
        <v>162</v>
      </c>
      <c r="H49" s="5"/>
      <c r="I49" s="115"/>
      <c r="J49" s="115"/>
      <c r="K49" s="115"/>
      <c r="L49" s="115"/>
      <c r="M49" s="115"/>
      <c r="N49" s="115"/>
      <c r="O49" s="115"/>
      <c r="P49" s="115">
        <f t="shared" si="1"/>
        <v>0</v>
      </c>
    </row>
    <row r="50" spans="1:16" x14ac:dyDescent="0.2">
      <c r="A50" s="147"/>
      <c r="B50" s="147"/>
      <c r="C50" s="147" t="s">
        <v>55</v>
      </c>
      <c r="D50" s="147" t="s">
        <v>63</v>
      </c>
      <c r="E50" s="147"/>
      <c r="F50" s="147"/>
      <c r="G50" s="130" t="s">
        <v>163</v>
      </c>
      <c r="H50" s="5"/>
      <c r="I50" s="115">
        <f t="shared" ref="I50:O50" si="17" xml:space="preserve"> (I51 + I52)</f>
        <v>0</v>
      </c>
      <c r="J50" s="115">
        <f t="shared" si="17"/>
        <v>0</v>
      </c>
      <c r="K50" s="115">
        <f t="shared" si="17"/>
        <v>0</v>
      </c>
      <c r="L50" s="115">
        <f t="shared" si="17"/>
        <v>0</v>
      </c>
      <c r="M50" s="115">
        <f t="shared" si="17"/>
        <v>0</v>
      </c>
      <c r="N50" s="115">
        <f t="shared" si="17"/>
        <v>0</v>
      </c>
      <c r="O50" s="115">
        <f t="shared" si="17"/>
        <v>0</v>
      </c>
      <c r="P50" s="115">
        <f t="shared" si="1"/>
        <v>0</v>
      </c>
    </row>
    <row r="51" spans="1:16" x14ac:dyDescent="0.2">
      <c r="A51" s="147"/>
      <c r="B51" s="147"/>
      <c r="C51" s="147"/>
      <c r="D51" s="147" t="s">
        <v>14</v>
      </c>
      <c r="E51" s="147" t="s">
        <v>64</v>
      </c>
      <c r="F51" s="147"/>
      <c r="G51" s="130" t="s">
        <v>164</v>
      </c>
      <c r="H51" s="5"/>
      <c r="I51" s="115"/>
      <c r="J51" s="115"/>
      <c r="K51" s="115"/>
      <c r="L51" s="115"/>
      <c r="M51" s="115"/>
      <c r="N51" s="115"/>
      <c r="O51" s="115"/>
      <c r="P51" s="115">
        <f t="shared" si="1"/>
        <v>0</v>
      </c>
    </row>
    <row r="52" spans="1:16" x14ac:dyDescent="0.2">
      <c r="A52" s="147"/>
      <c r="B52" s="147"/>
      <c r="C52" s="147"/>
      <c r="D52" s="147" t="s">
        <v>16</v>
      </c>
      <c r="E52" s="147" t="s">
        <v>65</v>
      </c>
      <c r="F52" s="147"/>
      <c r="G52" s="130" t="s">
        <v>165</v>
      </c>
      <c r="H52" s="5"/>
      <c r="I52" s="115"/>
      <c r="J52" s="115"/>
      <c r="K52" s="115"/>
      <c r="L52" s="115"/>
      <c r="M52" s="115"/>
      <c r="N52" s="115"/>
      <c r="O52" s="115"/>
      <c r="P52" s="115">
        <f t="shared" si="1"/>
        <v>0</v>
      </c>
    </row>
    <row r="53" spans="1:16" x14ac:dyDescent="0.2">
      <c r="A53" s="147"/>
      <c r="B53" s="147"/>
      <c r="C53" s="147" t="s">
        <v>56</v>
      </c>
      <c r="D53" s="147" t="s">
        <v>66</v>
      </c>
      <c r="E53" s="147"/>
      <c r="F53" s="147"/>
      <c r="G53" s="130" t="s">
        <v>166</v>
      </c>
      <c r="H53" s="5"/>
      <c r="I53" s="115"/>
      <c r="J53" s="115"/>
      <c r="K53" s="115"/>
      <c r="L53" s="115"/>
      <c r="M53" s="115"/>
      <c r="N53" s="115"/>
      <c r="O53" s="115"/>
      <c r="P53" s="115">
        <f t="shared" si="1"/>
        <v>0</v>
      </c>
    </row>
    <row r="54" spans="1:16" x14ac:dyDescent="0.2">
      <c r="A54" s="147"/>
      <c r="B54" s="148" t="s">
        <v>41</v>
      </c>
      <c r="C54" s="208" t="s">
        <v>67</v>
      </c>
      <c r="D54" s="208"/>
      <c r="E54" s="208"/>
      <c r="F54" s="208"/>
      <c r="G54" s="150" t="s">
        <v>167</v>
      </c>
      <c r="H54" s="50"/>
      <c r="I54" s="115">
        <f t="shared" ref="I54:O54" si="18" xml:space="preserve"> (I55 + I60 + I63)</f>
        <v>0</v>
      </c>
      <c r="J54" s="115">
        <f xml:space="preserve"> (J55 + J60 + J63)</f>
        <v>0</v>
      </c>
      <c r="K54" s="115">
        <f t="shared" si="18"/>
        <v>0</v>
      </c>
      <c r="L54" s="115">
        <f t="shared" si="18"/>
        <v>0</v>
      </c>
      <c r="M54" s="115">
        <f t="shared" si="18"/>
        <v>0</v>
      </c>
      <c r="N54" s="115">
        <f t="shared" si="18"/>
        <v>0</v>
      </c>
      <c r="O54" s="115">
        <f t="shared" si="18"/>
        <v>0</v>
      </c>
      <c r="P54" s="115">
        <f t="shared" si="1"/>
        <v>0</v>
      </c>
    </row>
    <row r="55" spans="1:16" x14ac:dyDescent="0.2">
      <c r="A55" s="147"/>
      <c r="B55" s="147"/>
      <c r="C55" s="147" t="s">
        <v>68</v>
      </c>
      <c r="D55" s="147" t="s">
        <v>60</v>
      </c>
      <c r="E55" s="147"/>
      <c r="F55" s="147"/>
      <c r="G55" s="130" t="s">
        <v>168</v>
      </c>
      <c r="H55" s="5"/>
      <c r="I55" s="115">
        <f t="shared" ref="I55:O55" si="19" xml:space="preserve"> (I56 + I59)</f>
        <v>0</v>
      </c>
      <c r="J55" s="115">
        <f t="shared" si="19"/>
        <v>0</v>
      </c>
      <c r="K55" s="115">
        <f t="shared" si="19"/>
        <v>0</v>
      </c>
      <c r="L55" s="115">
        <f t="shared" si="19"/>
        <v>0</v>
      </c>
      <c r="M55" s="115">
        <f t="shared" si="19"/>
        <v>0</v>
      </c>
      <c r="N55" s="115">
        <f t="shared" si="19"/>
        <v>0</v>
      </c>
      <c r="O55" s="115">
        <f t="shared" si="19"/>
        <v>0</v>
      </c>
      <c r="P55" s="115">
        <f t="shared" si="1"/>
        <v>0</v>
      </c>
    </row>
    <row r="56" spans="1:16" x14ac:dyDescent="0.2">
      <c r="A56" s="147"/>
      <c r="B56" s="147"/>
      <c r="C56" s="147"/>
      <c r="D56" s="147" t="s">
        <v>14</v>
      </c>
      <c r="E56" s="149" t="s">
        <v>11</v>
      </c>
      <c r="F56" s="147"/>
      <c r="G56" s="130" t="s">
        <v>169</v>
      </c>
      <c r="H56" s="5"/>
      <c r="I56" s="115">
        <f t="shared" ref="I56:O56" si="20" xml:space="preserve"> (I57 + I58)</f>
        <v>0</v>
      </c>
      <c r="J56" s="115">
        <f t="shared" si="20"/>
        <v>0</v>
      </c>
      <c r="K56" s="115">
        <f t="shared" si="20"/>
        <v>0</v>
      </c>
      <c r="L56" s="115">
        <f t="shared" si="20"/>
        <v>0</v>
      </c>
      <c r="M56" s="115">
        <f t="shared" si="20"/>
        <v>0</v>
      </c>
      <c r="N56" s="115">
        <f t="shared" si="20"/>
        <v>0</v>
      </c>
      <c r="O56" s="115">
        <f t="shared" si="20"/>
        <v>0</v>
      </c>
      <c r="P56" s="115">
        <f t="shared" si="1"/>
        <v>0</v>
      </c>
    </row>
    <row r="57" spans="1:16" x14ac:dyDescent="0.2">
      <c r="A57" s="147"/>
      <c r="B57" s="147"/>
      <c r="C57" s="147"/>
      <c r="D57" s="147"/>
      <c r="E57" s="149" t="s">
        <v>61</v>
      </c>
      <c r="F57" s="147" t="s">
        <v>13</v>
      </c>
      <c r="G57" s="130" t="s">
        <v>170</v>
      </c>
      <c r="H57" s="5"/>
      <c r="I57" s="115"/>
      <c r="J57" s="115"/>
      <c r="K57" s="115"/>
      <c r="L57" s="115"/>
      <c r="M57" s="115"/>
      <c r="N57" s="115"/>
      <c r="O57" s="115"/>
      <c r="P57" s="115">
        <f t="shared" si="1"/>
        <v>0</v>
      </c>
    </row>
    <row r="58" spans="1:16" x14ac:dyDescent="0.2">
      <c r="A58" s="147"/>
      <c r="B58" s="147"/>
      <c r="C58" s="147"/>
      <c r="D58" s="147"/>
      <c r="E58" s="149" t="s">
        <v>62</v>
      </c>
      <c r="F58" s="147" t="s">
        <v>19</v>
      </c>
      <c r="G58" s="130" t="s">
        <v>171</v>
      </c>
      <c r="H58" s="5"/>
      <c r="I58" s="115"/>
      <c r="J58" s="115"/>
      <c r="K58" s="115"/>
      <c r="L58" s="115"/>
      <c r="M58" s="115"/>
      <c r="N58" s="115"/>
      <c r="O58" s="115"/>
      <c r="P58" s="115">
        <f t="shared" si="1"/>
        <v>0</v>
      </c>
    </row>
    <row r="59" spans="1:16" x14ac:dyDescent="0.2">
      <c r="A59" s="147"/>
      <c r="B59" s="147"/>
      <c r="C59" s="147"/>
      <c r="D59" s="147" t="s">
        <v>16</v>
      </c>
      <c r="E59" s="147" t="s">
        <v>21</v>
      </c>
      <c r="F59" s="147"/>
      <c r="G59" s="130" t="s">
        <v>172</v>
      </c>
      <c r="H59" s="5"/>
      <c r="I59" s="115"/>
      <c r="J59" s="115"/>
      <c r="K59" s="115"/>
      <c r="L59" s="115"/>
      <c r="M59" s="115"/>
      <c r="N59" s="115"/>
      <c r="O59" s="115"/>
      <c r="P59" s="115">
        <f t="shared" si="1"/>
        <v>0</v>
      </c>
    </row>
    <row r="60" spans="1:16" x14ac:dyDescent="0.2">
      <c r="A60" s="147"/>
      <c r="B60" s="147"/>
      <c r="C60" s="147" t="s">
        <v>69</v>
      </c>
      <c r="D60" s="147" t="s">
        <v>63</v>
      </c>
      <c r="E60" s="147"/>
      <c r="F60" s="147"/>
      <c r="G60" s="130" t="s">
        <v>173</v>
      </c>
      <c r="H60" s="5"/>
      <c r="I60" s="115">
        <f t="shared" ref="I60:O60" si="21" xml:space="preserve"> (I61 + I62)</f>
        <v>0</v>
      </c>
      <c r="J60" s="115">
        <f t="shared" si="21"/>
        <v>0</v>
      </c>
      <c r="K60" s="115">
        <f t="shared" si="21"/>
        <v>0</v>
      </c>
      <c r="L60" s="115">
        <f t="shared" si="21"/>
        <v>0</v>
      </c>
      <c r="M60" s="115">
        <f t="shared" si="21"/>
        <v>0</v>
      </c>
      <c r="N60" s="115">
        <f t="shared" si="21"/>
        <v>0</v>
      </c>
      <c r="O60" s="115">
        <f t="shared" si="21"/>
        <v>0</v>
      </c>
      <c r="P60" s="115">
        <f t="shared" si="1"/>
        <v>0</v>
      </c>
    </row>
    <row r="61" spans="1:16" x14ac:dyDescent="0.2">
      <c r="A61" s="147"/>
      <c r="B61" s="147"/>
      <c r="C61" s="147"/>
      <c r="D61" s="147" t="s">
        <v>14</v>
      </c>
      <c r="E61" s="147" t="s">
        <v>64</v>
      </c>
      <c r="F61" s="147"/>
      <c r="G61" s="130" t="s">
        <v>174</v>
      </c>
      <c r="H61" s="5"/>
      <c r="I61" s="115"/>
      <c r="J61" s="115"/>
      <c r="K61" s="115"/>
      <c r="L61" s="115"/>
      <c r="M61" s="115"/>
      <c r="N61" s="115"/>
      <c r="O61" s="115"/>
      <c r="P61" s="115">
        <f t="shared" si="1"/>
        <v>0</v>
      </c>
    </row>
    <row r="62" spans="1:16" x14ac:dyDescent="0.2">
      <c r="A62" s="147"/>
      <c r="B62" s="147"/>
      <c r="C62" s="147"/>
      <c r="D62" s="147" t="s">
        <v>16</v>
      </c>
      <c r="E62" s="147" t="s">
        <v>65</v>
      </c>
      <c r="F62" s="147"/>
      <c r="G62" s="130" t="s">
        <v>175</v>
      </c>
      <c r="H62" s="5"/>
      <c r="I62" s="115"/>
      <c r="J62" s="115"/>
      <c r="K62" s="115"/>
      <c r="L62" s="115"/>
      <c r="M62" s="115"/>
      <c r="N62" s="115"/>
      <c r="O62" s="115"/>
      <c r="P62" s="115">
        <f t="shared" si="1"/>
        <v>0</v>
      </c>
    </row>
    <row r="63" spans="1:16" x14ac:dyDescent="0.2">
      <c r="A63" s="147"/>
      <c r="B63" s="147"/>
      <c r="C63" s="147" t="s">
        <v>70</v>
      </c>
      <c r="D63" s="147" t="s">
        <v>66</v>
      </c>
      <c r="E63" s="147"/>
      <c r="F63" s="147"/>
      <c r="G63" s="130" t="s">
        <v>176</v>
      </c>
      <c r="H63" s="5"/>
      <c r="I63" s="115"/>
      <c r="J63" s="115"/>
      <c r="K63" s="115"/>
      <c r="L63" s="115"/>
      <c r="M63" s="115"/>
      <c r="N63" s="115"/>
      <c r="O63" s="115"/>
      <c r="P63" s="115">
        <f t="shared" si="1"/>
        <v>0</v>
      </c>
    </row>
    <row r="64" spans="1:16" x14ac:dyDescent="0.2">
      <c r="A64" s="147"/>
      <c r="B64" s="147" t="s">
        <v>43</v>
      </c>
      <c r="C64" s="147" t="s">
        <v>71</v>
      </c>
      <c r="D64" s="147"/>
      <c r="E64" s="147"/>
      <c r="F64" s="147"/>
      <c r="G64" s="130" t="s">
        <v>177</v>
      </c>
      <c r="H64" s="5"/>
      <c r="I64" s="115">
        <f>SUM(I65,I70,I73)</f>
        <v>0</v>
      </c>
      <c r="J64" s="115">
        <f t="shared" ref="J64:O64" si="22">SUM(J65,J70,J73)</f>
        <v>0</v>
      </c>
      <c r="K64" s="115">
        <f t="shared" si="22"/>
        <v>0</v>
      </c>
      <c r="L64" s="115">
        <f t="shared" si="22"/>
        <v>0</v>
      </c>
      <c r="M64" s="115">
        <f t="shared" si="22"/>
        <v>0</v>
      </c>
      <c r="N64" s="115">
        <f t="shared" si="22"/>
        <v>0</v>
      </c>
      <c r="O64" s="115">
        <f t="shared" si="22"/>
        <v>0</v>
      </c>
      <c r="P64" s="115">
        <f t="shared" si="1"/>
        <v>0</v>
      </c>
    </row>
    <row r="65" spans="1:16" x14ac:dyDescent="0.2">
      <c r="A65" s="147"/>
      <c r="B65" s="147"/>
      <c r="C65" s="147" t="s">
        <v>72</v>
      </c>
      <c r="D65" s="147" t="s">
        <v>60</v>
      </c>
      <c r="E65" s="147"/>
      <c r="F65" s="147"/>
      <c r="G65" s="130" t="s">
        <v>178</v>
      </c>
      <c r="H65" s="5"/>
      <c r="I65" s="115">
        <f>SUM(I66,I69)</f>
        <v>0</v>
      </c>
      <c r="J65" s="115">
        <f t="shared" ref="J65:O65" si="23">SUM(J66,J69)</f>
        <v>0</v>
      </c>
      <c r="K65" s="115">
        <f t="shared" si="23"/>
        <v>0</v>
      </c>
      <c r="L65" s="115">
        <f t="shared" si="23"/>
        <v>0</v>
      </c>
      <c r="M65" s="115">
        <f t="shared" si="23"/>
        <v>0</v>
      </c>
      <c r="N65" s="115">
        <f t="shared" si="23"/>
        <v>0</v>
      </c>
      <c r="O65" s="115">
        <f t="shared" si="23"/>
        <v>0</v>
      </c>
      <c r="P65" s="115">
        <f t="shared" si="1"/>
        <v>0</v>
      </c>
    </row>
    <row r="66" spans="1:16" x14ac:dyDescent="0.2">
      <c r="A66" s="147"/>
      <c r="B66" s="147"/>
      <c r="C66" s="147"/>
      <c r="D66" s="147" t="s">
        <v>14</v>
      </c>
      <c r="E66" s="149" t="s">
        <v>11</v>
      </c>
      <c r="F66" s="147"/>
      <c r="G66" s="130" t="s">
        <v>179</v>
      </c>
      <c r="H66" s="5"/>
      <c r="I66" s="115">
        <f>SUM(I67,I68)</f>
        <v>0</v>
      </c>
      <c r="J66" s="115">
        <f t="shared" ref="J66:O66" si="24">SUM(J67,J68)</f>
        <v>0</v>
      </c>
      <c r="K66" s="115">
        <f t="shared" si="24"/>
        <v>0</v>
      </c>
      <c r="L66" s="115">
        <f t="shared" si="24"/>
        <v>0</v>
      </c>
      <c r="M66" s="115">
        <f t="shared" si="24"/>
        <v>0</v>
      </c>
      <c r="N66" s="115">
        <f t="shared" si="24"/>
        <v>0</v>
      </c>
      <c r="O66" s="115">
        <f t="shared" si="24"/>
        <v>0</v>
      </c>
      <c r="P66" s="115">
        <f t="shared" si="1"/>
        <v>0</v>
      </c>
    </row>
    <row r="67" spans="1:16" x14ac:dyDescent="0.2">
      <c r="A67" s="147"/>
      <c r="B67" s="147"/>
      <c r="C67" s="147"/>
      <c r="D67" s="147"/>
      <c r="E67" s="149" t="s">
        <v>61</v>
      </c>
      <c r="F67" s="147" t="s">
        <v>13</v>
      </c>
      <c r="G67" s="130" t="s">
        <v>180</v>
      </c>
      <c r="H67" s="5"/>
      <c r="I67" s="115"/>
      <c r="J67" s="115"/>
      <c r="K67" s="115"/>
      <c r="L67" s="115"/>
      <c r="M67" s="115"/>
      <c r="N67" s="116"/>
      <c r="O67" s="116"/>
      <c r="P67" s="115">
        <f t="shared" si="1"/>
        <v>0</v>
      </c>
    </row>
    <row r="68" spans="1:16" x14ac:dyDescent="0.2">
      <c r="A68" s="147"/>
      <c r="B68" s="147"/>
      <c r="C68" s="147"/>
      <c r="D68" s="147"/>
      <c r="E68" s="149" t="s">
        <v>62</v>
      </c>
      <c r="F68" s="147" t="s">
        <v>19</v>
      </c>
      <c r="G68" s="130" t="s">
        <v>181</v>
      </c>
      <c r="H68" s="5"/>
      <c r="I68" s="115"/>
      <c r="J68" s="115"/>
      <c r="K68" s="115"/>
      <c r="L68" s="115"/>
      <c r="M68" s="115"/>
      <c r="N68" s="116"/>
      <c r="O68" s="116"/>
      <c r="P68" s="115">
        <f t="shared" si="1"/>
        <v>0</v>
      </c>
    </row>
    <row r="69" spans="1:16" x14ac:dyDescent="0.2">
      <c r="A69" s="147"/>
      <c r="B69" s="147"/>
      <c r="C69" s="147"/>
      <c r="D69" s="147" t="s">
        <v>16</v>
      </c>
      <c r="E69" s="147" t="s">
        <v>21</v>
      </c>
      <c r="F69" s="147"/>
      <c r="G69" s="130" t="s">
        <v>182</v>
      </c>
      <c r="H69" s="5"/>
      <c r="I69" s="115"/>
      <c r="J69" s="115"/>
      <c r="K69" s="115"/>
      <c r="L69" s="115"/>
      <c r="M69" s="115"/>
      <c r="N69" s="116"/>
      <c r="O69" s="116"/>
      <c r="P69" s="115">
        <f t="shared" si="1"/>
        <v>0</v>
      </c>
    </row>
    <row r="70" spans="1:16" x14ac:dyDescent="0.2">
      <c r="A70" s="147"/>
      <c r="B70" s="147"/>
      <c r="C70" s="147" t="s">
        <v>73</v>
      </c>
      <c r="D70" s="147" t="s">
        <v>63</v>
      </c>
      <c r="E70" s="147"/>
      <c r="F70" s="147"/>
      <c r="G70" s="130" t="s">
        <v>183</v>
      </c>
      <c r="H70" s="5"/>
      <c r="I70" s="115">
        <f t="shared" ref="I70:O70" si="25">SUM(I71,I72)</f>
        <v>0</v>
      </c>
      <c r="J70" s="115">
        <f t="shared" si="25"/>
        <v>0</v>
      </c>
      <c r="K70" s="115">
        <f t="shared" si="25"/>
        <v>0</v>
      </c>
      <c r="L70" s="115">
        <f t="shared" si="25"/>
        <v>0</v>
      </c>
      <c r="M70" s="115">
        <f t="shared" si="25"/>
        <v>0</v>
      </c>
      <c r="N70" s="115">
        <f t="shared" si="25"/>
        <v>0</v>
      </c>
      <c r="O70" s="115">
        <f t="shared" si="25"/>
        <v>0</v>
      </c>
      <c r="P70" s="115">
        <f t="shared" si="1"/>
        <v>0</v>
      </c>
    </row>
    <row r="71" spans="1:16" x14ac:dyDescent="0.2">
      <c r="A71" s="147"/>
      <c r="B71" s="147"/>
      <c r="C71" s="147"/>
      <c r="D71" s="147" t="s">
        <v>14</v>
      </c>
      <c r="E71" s="147" t="s">
        <v>64</v>
      </c>
      <c r="F71" s="147"/>
      <c r="G71" s="130" t="s">
        <v>184</v>
      </c>
      <c r="H71" s="5"/>
      <c r="I71" s="115"/>
      <c r="J71" s="115"/>
      <c r="K71" s="115"/>
      <c r="L71" s="115"/>
      <c r="M71" s="115"/>
      <c r="N71" s="116"/>
      <c r="O71" s="116"/>
      <c r="P71" s="115">
        <f t="shared" si="1"/>
        <v>0</v>
      </c>
    </row>
    <row r="72" spans="1:16" x14ac:dyDescent="0.2">
      <c r="A72" s="147"/>
      <c r="B72" s="147"/>
      <c r="C72" s="147"/>
      <c r="D72" s="147" t="s">
        <v>16</v>
      </c>
      <c r="E72" s="147" t="s">
        <v>65</v>
      </c>
      <c r="F72" s="147"/>
      <c r="G72" s="130" t="s">
        <v>185</v>
      </c>
      <c r="H72" s="5"/>
      <c r="I72" s="115"/>
      <c r="J72" s="115"/>
      <c r="K72" s="115"/>
      <c r="L72" s="115"/>
      <c r="M72" s="115"/>
      <c r="N72" s="116"/>
      <c r="O72" s="116"/>
      <c r="P72" s="115">
        <f t="shared" si="1"/>
        <v>0</v>
      </c>
    </row>
    <row r="73" spans="1:16" x14ac:dyDescent="0.2">
      <c r="A73" s="147"/>
      <c r="B73" s="147"/>
      <c r="C73" s="147" t="s">
        <v>74</v>
      </c>
      <c r="D73" s="147" t="s">
        <v>66</v>
      </c>
      <c r="E73" s="147"/>
      <c r="F73" s="147"/>
      <c r="G73" s="130" t="s">
        <v>186</v>
      </c>
      <c r="H73" s="5"/>
      <c r="I73" s="115"/>
      <c r="J73" s="115"/>
      <c r="K73" s="115"/>
      <c r="L73" s="115"/>
      <c r="M73" s="115"/>
      <c r="N73" s="116"/>
      <c r="O73" s="116"/>
      <c r="P73" s="115">
        <f t="shared" si="1"/>
        <v>0</v>
      </c>
    </row>
    <row r="74" spans="1:16" x14ac:dyDescent="0.2">
      <c r="A74" s="147"/>
      <c r="B74" s="148" t="s">
        <v>75</v>
      </c>
      <c r="C74" s="208" t="s">
        <v>76</v>
      </c>
      <c r="D74" s="208"/>
      <c r="E74" s="208"/>
      <c r="F74" s="208"/>
      <c r="G74" s="150" t="s">
        <v>187</v>
      </c>
      <c r="H74" s="50"/>
      <c r="I74" s="88">
        <f xml:space="preserve"> (I75 + I78)</f>
        <v>0</v>
      </c>
      <c r="J74" s="89"/>
      <c r="K74" s="89"/>
      <c r="L74" s="89"/>
      <c r="M74" s="89"/>
      <c r="N74" s="88">
        <f xml:space="preserve"> (N75 + N78)</f>
        <v>0</v>
      </c>
      <c r="O74" s="88">
        <f xml:space="preserve"> (O75 + O78)</f>
        <v>0</v>
      </c>
      <c r="P74" s="70">
        <f t="shared" si="1"/>
        <v>0</v>
      </c>
    </row>
    <row r="75" spans="1:16" x14ac:dyDescent="0.2">
      <c r="A75" s="147"/>
      <c r="B75" s="148"/>
      <c r="C75" s="147" t="s">
        <v>77</v>
      </c>
      <c r="D75" s="147" t="s">
        <v>63</v>
      </c>
      <c r="E75" s="147"/>
      <c r="F75" s="147"/>
      <c r="G75" s="130" t="s">
        <v>188</v>
      </c>
      <c r="H75" s="5"/>
      <c r="I75" s="88">
        <f xml:space="preserve"> (I76 + I77)</f>
        <v>0</v>
      </c>
      <c r="J75" s="89"/>
      <c r="K75" s="89"/>
      <c r="L75" s="89"/>
      <c r="M75" s="89"/>
      <c r="N75" s="88">
        <f xml:space="preserve"> (N76 + N77)</f>
        <v>0</v>
      </c>
      <c r="O75" s="88">
        <f xml:space="preserve"> (O76 + O77)</f>
        <v>0</v>
      </c>
      <c r="P75" s="70">
        <f t="shared" si="1"/>
        <v>0</v>
      </c>
    </row>
    <row r="76" spans="1:16" x14ac:dyDescent="0.2">
      <c r="A76" s="147"/>
      <c r="B76" s="148"/>
      <c r="C76" s="147"/>
      <c r="D76" s="147" t="s">
        <v>14</v>
      </c>
      <c r="E76" s="147" t="s">
        <v>64</v>
      </c>
      <c r="F76" s="147"/>
      <c r="G76" s="130" t="s">
        <v>189</v>
      </c>
      <c r="H76" s="5"/>
      <c r="I76" s="87"/>
      <c r="J76" s="86"/>
      <c r="K76" s="86"/>
      <c r="L76" s="86"/>
      <c r="M76" s="86"/>
      <c r="N76" s="63"/>
      <c r="O76" s="63"/>
      <c r="P76" s="70">
        <f t="shared" ref="P76:P132" si="26">I76+K76+M76+O76</f>
        <v>0</v>
      </c>
    </row>
    <row r="77" spans="1:16" x14ac:dyDescent="0.2">
      <c r="A77" s="147"/>
      <c r="B77" s="148"/>
      <c r="C77" s="147"/>
      <c r="D77" s="147" t="s">
        <v>16</v>
      </c>
      <c r="E77" s="147" t="s">
        <v>65</v>
      </c>
      <c r="F77" s="147"/>
      <c r="G77" s="130" t="s">
        <v>190</v>
      </c>
      <c r="H77" s="5"/>
      <c r="I77" s="87"/>
      <c r="J77" s="86"/>
      <c r="K77" s="86"/>
      <c r="L77" s="86"/>
      <c r="M77" s="86"/>
      <c r="N77" s="63"/>
      <c r="O77" s="63"/>
      <c r="P77" s="70">
        <f t="shared" si="26"/>
        <v>0</v>
      </c>
    </row>
    <row r="78" spans="1:16" x14ac:dyDescent="0.2">
      <c r="A78" s="147"/>
      <c r="B78" s="148"/>
      <c r="C78" s="147" t="s">
        <v>78</v>
      </c>
      <c r="D78" s="147" t="s">
        <v>66</v>
      </c>
      <c r="E78" s="147"/>
      <c r="F78" s="147"/>
      <c r="G78" s="130" t="s">
        <v>293</v>
      </c>
      <c r="H78" s="5"/>
      <c r="I78" s="87"/>
      <c r="J78" s="86"/>
      <c r="K78" s="86"/>
      <c r="L78" s="86"/>
      <c r="M78" s="86"/>
      <c r="N78" s="63"/>
      <c r="O78" s="63"/>
      <c r="P78" s="70">
        <f t="shared" si="26"/>
        <v>0</v>
      </c>
    </row>
    <row r="79" spans="1:16" x14ac:dyDescent="0.2">
      <c r="A79" s="147"/>
      <c r="B79" s="147" t="s">
        <v>79</v>
      </c>
      <c r="C79" s="208" t="s">
        <v>298</v>
      </c>
      <c r="D79" s="208"/>
      <c r="E79" s="208"/>
      <c r="F79" s="208"/>
      <c r="G79" s="150" t="s">
        <v>191</v>
      </c>
      <c r="H79" s="50"/>
      <c r="I79" s="115">
        <f t="shared" ref="I79:O79" si="27" xml:space="preserve"> (I80+I81 + I86 + I89)</f>
        <v>0</v>
      </c>
      <c r="J79" s="115">
        <f t="shared" si="27"/>
        <v>0</v>
      </c>
      <c r="K79" s="115">
        <f t="shared" si="27"/>
        <v>0</v>
      </c>
      <c r="L79" s="115">
        <f t="shared" si="27"/>
        <v>0</v>
      </c>
      <c r="M79" s="115">
        <f t="shared" si="27"/>
        <v>0</v>
      </c>
      <c r="N79" s="115">
        <f t="shared" si="27"/>
        <v>0</v>
      </c>
      <c r="O79" s="115">
        <f t="shared" si="27"/>
        <v>0</v>
      </c>
      <c r="P79" s="115">
        <f t="shared" si="26"/>
        <v>0</v>
      </c>
    </row>
    <row r="80" spans="1:16" ht="12.75" customHeight="1" x14ac:dyDescent="0.2">
      <c r="A80" s="147"/>
      <c r="B80" s="147"/>
      <c r="C80" s="147" t="s">
        <v>80</v>
      </c>
      <c r="D80" s="209" t="s">
        <v>302</v>
      </c>
      <c r="E80" s="210"/>
      <c r="F80" s="211"/>
      <c r="G80" s="150" t="s">
        <v>303</v>
      </c>
      <c r="H80" s="50"/>
      <c r="I80" s="115"/>
      <c r="J80" s="115"/>
      <c r="K80" s="115"/>
      <c r="L80" s="115"/>
      <c r="M80" s="115"/>
      <c r="N80" s="115"/>
      <c r="O80" s="115"/>
      <c r="P80" s="115">
        <f t="shared" si="26"/>
        <v>0</v>
      </c>
    </row>
    <row r="81" spans="1:16" x14ac:dyDescent="0.2">
      <c r="A81" s="147"/>
      <c r="B81" s="147"/>
      <c r="C81" s="147" t="s">
        <v>81</v>
      </c>
      <c r="D81" s="147" t="s">
        <v>60</v>
      </c>
      <c r="E81" s="147"/>
      <c r="F81" s="147"/>
      <c r="G81" s="130" t="s">
        <v>192</v>
      </c>
      <c r="H81" s="5"/>
      <c r="I81" s="115">
        <f xml:space="preserve"> (I82 + I85)</f>
        <v>0</v>
      </c>
      <c r="J81" s="89"/>
      <c r="K81" s="89"/>
      <c r="L81" s="89"/>
      <c r="M81" s="89"/>
      <c r="N81" s="70">
        <f xml:space="preserve"> (N82 + N85)</f>
        <v>0</v>
      </c>
      <c r="O81" s="70">
        <f xml:space="preserve"> (O82 + O85)</f>
        <v>0</v>
      </c>
      <c r="P81" s="115">
        <f t="shared" si="26"/>
        <v>0</v>
      </c>
    </row>
    <row r="82" spans="1:16" x14ac:dyDescent="0.2">
      <c r="A82" s="147"/>
      <c r="B82" s="147"/>
      <c r="C82" s="147"/>
      <c r="D82" s="147" t="s">
        <v>14</v>
      </c>
      <c r="E82" s="149" t="s">
        <v>11</v>
      </c>
      <c r="F82" s="147"/>
      <c r="G82" s="130" t="s">
        <v>193</v>
      </c>
      <c r="H82" s="5"/>
      <c r="I82" s="115">
        <f xml:space="preserve"> (I83 + I84)</f>
        <v>0</v>
      </c>
      <c r="J82" s="89"/>
      <c r="K82" s="89"/>
      <c r="L82" s="89"/>
      <c r="M82" s="89"/>
      <c r="N82" s="70">
        <f xml:space="preserve"> (N83 + N84)</f>
        <v>0</v>
      </c>
      <c r="O82" s="70">
        <f xml:space="preserve"> (O83 + O84)</f>
        <v>0</v>
      </c>
      <c r="P82" s="115">
        <f t="shared" si="26"/>
        <v>0</v>
      </c>
    </row>
    <row r="83" spans="1:16" x14ac:dyDescent="0.2">
      <c r="A83" s="147"/>
      <c r="B83" s="147"/>
      <c r="C83" s="147"/>
      <c r="D83" s="147"/>
      <c r="E83" s="147" t="s">
        <v>61</v>
      </c>
      <c r="F83" s="147" t="s">
        <v>13</v>
      </c>
      <c r="G83" s="130" t="s">
        <v>194</v>
      </c>
      <c r="H83" s="5"/>
      <c r="I83" s="115"/>
      <c r="J83" s="86"/>
      <c r="K83" s="86"/>
      <c r="L83" s="86"/>
      <c r="M83" s="86"/>
      <c r="N83" s="63"/>
      <c r="O83" s="63"/>
      <c r="P83" s="115">
        <f t="shared" si="26"/>
        <v>0</v>
      </c>
    </row>
    <row r="84" spans="1:16" x14ac:dyDescent="0.2">
      <c r="A84" s="147"/>
      <c r="B84" s="147"/>
      <c r="C84" s="147"/>
      <c r="D84" s="147"/>
      <c r="E84" s="147" t="s">
        <v>62</v>
      </c>
      <c r="F84" s="147" t="s">
        <v>19</v>
      </c>
      <c r="G84" s="130" t="s">
        <v>195</v>
      </c>
      <c r="H84" s="5"/>
      <c r="I84" s="115"/>
      <c r="J84" s="86"/>
      <c r="K84" s="86"/>
      <c r="L84" s="86"/>
      <c r="M84" s="86"/>
      <c r="N84" s="63"/>
      <c r="O84" s="63"/>
      <c r="P84" s="115">
        <f t="shared" si="26"/>
        <v>0</v>
      </c>
    </row>
    <row r="85" spans="1:16" x14ac:dyDescent="0.2">
      <c r="A85" s="147"/>
      <c r="B85" s="147"/>
      <c r="C85" s="147"/>
      <c r="D85" s="147" t="s">
        <v>16</v>
      </c>
      <c r="E85" s="147" t="s">
        <v>21</v>
      </c>
      <c r="F85" s="147"/>
      <c r="G85" s="130" t="s">
        <v>196</v>
      </c>
      <c r="H85" s="5"/>
      <c r="I85" s="115"/>
      <c r="J85" s="86"/>
      <c r="K85" s="86"/>
      <c r="L85" s="86"/>
      <c r="M85" s="86"/>
      <c r="N85" s="63"/>
      <c r="O85" s="63"/>
      <c r="P85" s="115">
        <f t="shared" si="26"/>
        <v>0</v>
      </c>
    </row>
    <row r="86" spans="1:16" x14ac:dyDescent="0.2">
      <c r="A86" s="147"/>
      <c r="B86" s="147"/>
      <c r="C86" s="147" t="s">
        <v>82</v>
      </c>
      <c r="D86" s="147" t="s">
        <v>63</v>
      </c>
      <c r="E86" s="147"/>
      <c r="F86" s="147"/>
      <c r="G86" s="130" t="s">
        <v>197</v>
      </c>
      <c r="H86" s="5"/>
      <c r="I86" s="115">
        <f xml:space="preserve"> (I87 + I88)</f>
        <v>0</v>
      </c>
      <c r="J86" s="89"/>
      <c r="K86" s="89"/>
      <c r="L86" s="89"/>
      <c r="M86" s="89"/>
      <c r="N86" s="70">
        <f xml:space="preserve"> (N87 + N88)</f>
        <v>0</v>
      </c>
      <c r="O86" s="70">
        <f xml:space="preserve"> (O87 + O88)</f>
        <v>0</v>
      </c>
      <c r="P86" s="115">
        <f t="shared" si="26"/>
        <v>0</v>
      </c>
    </row>
    <row r="87" spans="1:16" x14ac:dyDescent="0.2">
      <c r="A87" s="147"/>
      <c r="B87" s="147"/>
      <c r="C87" s="147"/>
      <c r="D87" s="147" t="s">
        <v>14</v>
      </c>
      <c r="E87" s="147" t="s">
        <v>64</v>
      </c>
      <c r="F87" s="147"/>
      <c r="G87" s="130" t="s">
        <v>198</v>
      </c>
      <c r="H87" s="5"/>
      <c r="I87" s="115"/>
      <c r="J87" s="86"/>
      <c r="K87" s="86"/>
      <c r="L87" s="86"/>
      <c r="M87" s="86"/>
      <c r="N87" s="63"/>
      <c r="O87" s="63"/>
      <c r="P87" s="115">
        <f t="shared" si="26"/>
        <v>0</v>
      </c>
    </row>
    <row r="88" spans="1:16" x14ac:dyDescent="0.2">
      <c r="A88" s="147"/>
      <c r="B88" s="147"/>
      <c r="C88" s="147"/>
      <c r="D88" s="147" t="s">
        <v>16</v>
      </c>
      <c r="E88" s="147" t="s">
        <v>65</v>
      </c>
      <c r="F88" s="147"/>
      <c r="G88" s="130" t="s">
        <v>199</v>
      </c>
      <c r="H88" s="5"/>
      <c r="I88" s="115"/>
      <c r="J88" s="86"/>
      <c r="K88" s="86"/>
      <c r="L88" s="86"/>
      <c r="M88" s="86"/>
      <c r="N88" s="63"/>
      <c r="O88" s="63"/>
      <c r="P88" s="115">
        <f t="shared" si="26"/>
        <v>0</v>
      </c>
    </row>
    <row r="89" spans="1:16" x14ac:dyDescent="0.2">
      <c r="A89" s="147"/>
      <c r="B89" s="147"/>
      <c r="C89" s="147" t="s">
        <v>560</v>
      </c>
      <c r="D89" s="147" t="s">
        <v>66</v>
      </c>
      <c r="E89" s="147"/>
      <c r="F89" s="147"/>
      <c r="G89" s="130" t="s">
        <v>200</v>
      </c>
      <c r="H89" s="5"/>
      <c r="I89" s="115"/>
      <c r="J89" s="86"/>
      <c r="K89" s="86"/>
      <c r="L89" s="86"/>
      <c r="M89" s="86"/>
      <c r="N89" s="63"/>
      <c r="O89" s="63"/>
      <c r="P89" s="115">
        <f t="shared" si="26"/>
        <v>0</v>
      </c>
    </row>
    <row r="90" spans="1:16" x14ac:dyDescent="0.2">
      <c r="A90" s="147"/>
      <c r="B90" s="148" t="s">
        <v>83</v>
      </c>
      <c r="C90" s="208" t="s">
        <v>44</v>
      </c>
      <c r="D90" s="208"/>
      <c r="E90" s="208"/>
      <c r="F90" s="208"/>
      <c r="G90" s="150" t="s">
        <v>201</v>
      </c>
      <c r="H90" s="50"/>
      <c r="I90" s="115">
        <f t="shared" ref="I90:O90" si="28" xml:space="preserve"> (I91 + I96 + I99)</f>
        <v>0</v>
      </c>
      <c r="J90" s="115">
        <f t="shared" si="28"/>
        <v>0</v>
      </c>
      <c r="K90" s="115">
        <f t="shared" si="28"/>
        <v>0</v>
      </c>
      <c r="L90" s="115">
        <f t="shared" si="28"/>
        <v>0</v>
      </c>
      <c r="M90" s="115">
        <f t="shared" si="28"/>
        <v>0</v>
      </c>
      <c r="N90" s="115">
        <f t="shared" si="28"/>
        <v>0</v>
      </c>
      <c r="O90" s="115">
        <f t="shared" si="28"/>
        <v>0</v>
      </c>
      <c r="P90" s="115">
        <f t="shared" si="26"/>
        <v>0</v>
      </c>
    </row>
    <row r="91" spans="1:16" x14ac:dyDescent="0.2">
      <c r="A91" s="147"/>
      <c r="B91" s="148"/>
      <c r="C91" s="147" t="s">
        <v>84</v>
      </c>
      <c r="D91" s="147" t="s">
        <v>60</v>
      </c>
      <c r="E91" s="147"/>
      <c r="F91" s="147"/>
      <c r="G91" s="130" t="s">
        <v>202</v>
      </c>
      <c r="H91" s="5"/>
      <c r="I91" s="115">
        <f t="shared" ref="I91:O91" si="29" xml:space="preserve"> (I92 + I95)</f>
        <v>0</v>
      </c>
      <c r="J91" s="115">
        <f t="shared" si="29"/>
        <v>0</v>
      </c>
      <c r="K91" s="115">
        <f t="shared" si="29"/>
        <v>0</v>
      </c>
      <c r="L91" s="115">
        <f t="shared" si="29"/>
        <v>0</v>
      </c>
      <c r="M91" s="115">
        <f t="shared" si="29"/>
        <v>0</v>
      </c>
      <c r="N91" s="115">
        <f t="shared" si="29"/>
        <v>0</v>
      </c>
      <c r="O91" s="115">
        <f t="shared" si="29"/>
        <v>0</v>
      </c>
      <c r="P91" s="115">
        <f t="shared" si="26"/>
        <v>0</v>
      </c>
    </row>
    <row r="92" spans="1:16" x14ac:dyDescent="0.2">
      <c r="A92" s="147"/>
      <c r="B92" s="148"/>
      <c r="C92" s="147"/>
      <c r="D92" s="147" t="s">
        <v>14</v>
      </c>
      <c r="E92" s="149" t="s">
        <v>11</v>
      </c>
      <c r="F92" s="147"/>
      <c r="G92" s="130" t="s">
        <v>203</v>
      </c>
      <c r="H92" s="5"/>
      <c r="I92" s="115">
        <f t="shared" ref="I92:O92" si="30" xml:space="preserve"> (I93 + I94)</f>
        <v>0</v>
      </c>
      <c r="J92" s="115">
        <f t="shared" si="30"/>
        <v>0</v>
      </c>
      <c r="K92" s="115">
        <f t="shared" si="30"/>
        <v>0</v>
      </c>
      <c r="L92" s="115">
        <f t="shared" si="30"/>
        <v>0</v>
      </c>
      <c r="M92" s="115">
        <f t="shared" si="30"/>
        <v>0</v>
      </c>
      <c r="N92" s="115">
        <f t="shared" si="30"/>
        <v>0</v>
      </c>
      <c r="O92" s="115">
        <f t="shared" si="30"/>
        <v>0</v>
      </c>
      <c r="P92" s="115">
        <f t="shared" si="26"/>
        <v>0</v>
      </c>
    </row>
    <row r="93" spans="1:16" x14ac:dyDescent="0.2">
      <c r="A93" s="147"/>
      <c r="B93" s="148"/>
      <c r="C93" s="147"/>
      <c r="D93" s="147"/>
      <c r="E93" s="147" t="s">
        <v>61</v>
      </c>
      <c r="F93" s="147" t="s">
        <v>13</v>
      </c>
      <c r="G93" s="130" t="s">
        <v>204</v>
      </c>
      <c r="H93" s="5"/>
      <c r="I93" s="115"/>
      <c r="J93" s="115"/>
      <c r="K93" s="115"/>
      <c r="L93" s="115"/>
      <c r="M93" s="115"/>
      <c r="N93" s="115"/>
      <c r="O93" s="115"/>
      <c r="P93" s="115">
        <f t="shared" si="26"/>
        <v>0</v>
      </c>
    </row>
    <row r="94" spans="1:16" x14ac:dyDescent="0.2">
      <c r="A94" s="147"/>
      <c r="B94" s="148"/>
      <c r="C94" s="147"/>
      <c r="D94" s="147"/>
      <c r="E94" s="147" t="s">
        <v>62</v>
      </c>
      <c r="F94" s="147" t="s">
        <v>19</v>
      </c>
      <c r="G94" s="130" t="s">
        <v>205</v>
      </c>
      <c r="H94" s="5"/>
      <c r="I94" s="115"/>
      <c r="J94" s="115"/>
      <c r="K94" s="115"/>
      <c r="L94" s="115"/>
      <c r="M94" s="115"/>
      <c r="N94" s="115"/>
      <c r="O94" s="115"/>
      <c r="P94" s="115">
        <f t="shared" si="26"/>
        <v>0</v>
      </c>
    </row>
    <row r="95" spans="1:16" x14ac:dyDescent="0.2">
      <c r="A95" s="147"/>
      <c r="B95" s="148"/>
      <c r="C95" s="147"/>
      <c r="D95" s="147" t="s">
        <v>16</v>
      </c>
      <c r="E95" s="147" t="s">
        <v>21</v>
      </c>
      <c r="F95" s="147"/>
      <c r="G95" s="130" t="s">
        <v>206</v>
      </c>
      <c r="H95" s="5"/>
      <c r="I95" s="115"/>
      <c r="J95" s="115"/>
      <c r="K95" s="115"/>
      <c r="L95" s="115"/>
      <c r="M95" s="115"/>
      <c r="N95" s="115"/>
      <c r="O95" s="115"/>
      <c r="P95" s="115">
        <f t="shared" si="26"/>
        <v>0</v>
      </c>
    </row>
    <row r="96" spans="1:16" x14ac:dyDescent="0.2">
      <c r="A96" s="147"/>
      <c r="B96" s="148"/>
      <c r="C96" s="147" t="s">
        <v>85</v>
      </c>
      <c r="D96" s="147" t="s">
        <v>63</v>
      </c>
      <c r="E96" s="147"/>
      <c r="F96" s="147"/>
      <c r="G96" s="130" t="s">
        <v>207</v>
      </c>
      <c r="H96" s="5"/>
      <c r="I96" s="115">
        <f t="shared" ref="I96:O96" si="31" xml:space="preserve"> (I97 + I98)</f>
        <v>0</v>
      </c>
      <c r="J96" s="115">
        <f t="shared" si="31"/>
        <v>0</v>
      </c>
      <c r="K96" s="115">
        <f t="shared" si="31"/>
        <v>0</v>
      </c>
      <c r="L96" s="115">
        <f t="shared" si="31"/>
        <v>0</v>
      </c>
      <c r="M96" s="115">
        <f t="shared" si="31"/>
        <v>0</v>
      </c>
      <c r="N96" s="115">
        <f t="shared" si="31"/>
        <v>0</v>
      </c>
      <c r="O96" s="115">
        <f t="shared" si="31"/>
        <v>0</v>
      </c>
      <c r="P96" s="115">
        <f t="shared" si="26"/>
        <v>0</v>
      </c>
    </row>
    <row r="97" spans="1:16" x14ac:dyDescent="0.2">
      <c r="A97" s="147"/>
      <c r="B97" s="148"/>
      <c r="C97" s="147"/>
      <c r="D97" s="147" t="s">
        <v>14</v>
      </c>
      <c r="E97" s="147" t="s">
        <v>64</v>
      </c>
      <c r="F97" s="147"/>
      <c r="G97" s="130" t="s">
        <v>208</v>
      </c>
      <c r="H97" s="5"/>
      <c r="I97" s="115"/>
      <c r="J97" s="115"/>
      <c r="K97" s="115"/>
      <c r="L97" s="115"/>
      <c r="M97" s="115"/>
      <c r="N97" s="115"/>
      <c r="O97" s="115"/>
      <c r="P97" s="115">
        <f t="shared" si="26"/>
        <v>0</v>
      </c>
    </row>
    <row r="98" spans="1:16" x14ac:dyDescent="0.2">
      <c r="A98" s="147"/>
      <c r="B98" s="148"/>
      <c r="C98" s="147"/>
      <c r="D98" s="147" t="s">
        <v>16</v>
      </c>
      <c r="E98" s="147" t="s">
        <v>65</v>
      </c>
      <c r="F98" s="147"/>
      <c r="G98" s="130" t="s">
        <v>209</v>
      </c>
      <c r="H98" s="5"/>
      <c r="I98" s="115"/>
      <c r="J98" s="115"/>
      <c r="K98" s="115"/>
      <c r="L98" s="115"/>
      <c r="M98" s="115"/>
      <c r="N98" s="115"/>
      <c r="O98" s="115"/>
      <c r="P98" s="115">
        <f t="shared" si="26"/>
        <v>0</v>
      </c>
    </row>
    <row r="99" spans="1:16" x14ac:dyDescent="0.2">
      <c r="A99" s="147"/>
      <c r="B99" s="148"/>
      <c r="C99" s="147" t="s">
        <v>86</v>
      </c>
      <c r="D99" s="147" t="s">
        <v>66</v>
      </c>
      <c r="E99" s="147"/>
      <c r="F99" s="147"/>
      <c r="G99" s="130" t="s">
        <v>210</v>
      </c>
      <c r="H99" s="5"/>
      <c r="I99" s="115"/>
      <c r="J99" s="115"/>
      <c r="K99" s="115"/>
      <c r="L99" s="115"/>
      <c r="M99" s="115"/>
      <c r="N99" s="115"/>
      <c r="O99" s="115"/>
      <c r="P99" s="115">
        <f t="shared" si="26"/>
        <v>0</v>
      </c>
    </row>
    <row r="100" spans="1:16" x14ac:dyDescent="0.2">
      <c r="A100" s="148" t="s">
        <v>35</v>
      </c>
      <c r="B100" s="147" t="s">
        <v>44</v>
      </c>
      <c r="C100" s="147"/>
      <c r="D100" s="147"/>
      <c r="E100" s="147"/>
      <c r="F100" s="147"/>
      <c r="G100" s="130" t="s">
        <v>294</v>
      </c>
      <c r="H100" s="5"/>
      <c r="I100" s="87"/>
      <c r="J100" s="115"/>
      <c r="K100" s="115"/>
      <c r="L100" s="115"/>
      <c r="M100" s="115"/>
      <c r="N100" s="85"/>
      <c r="O100" s="85"/>
      <c r="P100" s="70">
        <f t="shared" si="26"/>
        <v>0</v>
      </c>
    </row>
    <row r="101" spans="1:16" x14ac:dyDescent="0.2">
      <c r="A101" s="146" t="s">
        <v>87</v>
      </c>
      <c r="B101" s="147"/>
      <c r="C101" s="147"/>
      <c r="D101" s="147"/>
      <c r="E101" s="147"/>
      <c r="F101" s="147"/>
      <c r="G101" s="130" t="s">
        <v>211</v>
      </c>
      <c r="H101" s="5"/>
      <c r="I101" s="115">
        <f xml:space="preserve"> (I102+I105 + I108 + I121)</f>
        <v>0</v>
      </c>
      <c r="J101" s="115">
        <f t="shared" ref="J101:O101" si="32" xml:space="preserve"> (J102+J105 + J108 + J121)</f>
        <v>0</v>
      </c>
      <c r="K101" s="115">
        <f t="shared" si="32"/>
        <v>0</v>
      </c>
      <c r="L101" s="115">
        <f t="shared" si="32"/>
        <v>0</v>
      </c>
      <c r="M101" s="115">
        <f t="shared" si="32"/>
        <v>0</v>
      </c>
      <c r="N101" s="70">
        <f t="shared" si="32"/>
        <v>0</v>
      </c>
      <c r="O101" s="70">
        <f t="shared" si="32"/>
        <v>0</v>
      </c>
      <c r="P101" s="115">
        <f t="shared" si="26"/>
        <v>0</v>
      </c>
    </row>
    <row r="102" spans="1:16" x14ac:dyDescent="0.2">
      <c r="A102" s="148" t="s">
        <v>10</v>
      </c>
      <c r="B102" s="147" t="s">
        <v>46</v>
      </c>
      <c r="C102" s="147"/>
      <c r="D102" s="147"/>
      <c r="E102" s="147"/>
      <c r="F102" s="147"/>
      <c r="G102" s="130" t="s">
        <v>291</v>
      </c>
      <c r="H102" s="5"/>
      <c r="I102" s="89"/>
      <c r="J102" s="114">
        <f t="shared" ref="J102:O102" si="33">J103+J104</f>
        <v>0</v>
      </c>
      <c r="K102" s="114">
        <f t="shared" si="33"/>
        <v>0</v>
      </c>
      <c r="L102" s="114">
        <f t="shared" si="33"/>
        <v>0</v>
      </c>
      <c r="M102" s="114">
        <f t="shared" si="33"/>
        <v>0</v>
      </c>
      <c r="N102" s="17">
        <f t="shared" si="33"/>
        <v>0</v>
      </c>
      <c r="O102" s="17">
        <f t="shared" si="33"/>
        <v>0</v>
      </c>
      <c r="P102" s="115">
        <f t="shared" si="26"/>
        <v>0</v>
      </c>
    </row>
    <row r="103" spans="1:16" x14ac:dyDescent="0.2">
      <c r="A103" s="147"/>
      <c r="B103" s="147" t="s">
        <v>12</v>
      </c>
      <c r="C103" s="147" t="s">
        <v>25</v>
      </c>
      <c r="D103" s="147"/>
      <c r="E103" s="147"/>
      <c r="F103" s="147"/>
      <c r="G103" s="130" t="s">
        <v>295</v>
      </c>
      <c r="H103" s="5"/>
      <c r="I103" s="89"/>
      <c r="J103" s="115"/>
      <c r="K103" s="115"/>
      <c r="L103" s="115"/>
      <c r="M103" s="115"/>
      <c r="N103" s="85"/>
      <c r="O103" s="85"/>
      <c r="P103" s="115">
        <f t="shared" si="26"/>
        <v>0</v>
      </c>
    </row>
    <row r="104" spans="1:16" x14ac:dyDescent="0.2">
      <c r="A104" s="147"/>
      <c r="B104" s="147" t="s">
        <v>18</v>
      </c>
      <c r="C104" s="147" t="s">
        <v>21</v>
      </c>
      <c r="D104" s="147"/>
      <c r="E104" s="147"/>
      <c r="F104" s="147"/>
      <c r="G104" s="130" t="s">
        <v>292</v>
      </c>
      <c r="H104" s="5"/>
      <c r="I104" s="89"/>
      <c r="J104" s="115"/>
      <c r="K104" s="115"/>
      <c r="L104" s="115"/>
      <c r="M104" s="115"/>
      <c r="N104" s="85"/>
      <c r="O104" s="85"/>
      <c r="P104" s="115">
        <f t="shared" si="26"/>
        <v>0</v>
      </c>
    </row>
    <row r="105" spans="1:16" x14ac:dyDescent="0.2">
      <c r="A105" s="148" t="s">
        <v>20</v>
      </c>
      <c r="B105" s="147" t="s">
        <v>50</v>
      </c>
      <c r="C105" s="147"/>
      <c r="D105" s="147"/>
      <c r="E105" s="147"/>
      <c r="F105" s="147"/>
      <c r="G105" s="130" t="s">
        <v>212</v>
      </c>
      <c r="H105" s="5"/>
      <c r="I105" s="89"/>
      <c r="J105" s="115">
        <f t="shared" ref="J105:O105" si="34" xml:space="preserve"> (J106 + J107)</f>
        <v>0</v>
      </c>
      <c r="K105" s="115">
        <f t="shared" si="34"/>
        <v>0</v>
      </c>
      <c r="L105" s="115">
        <f t="shared" si="34"/>
        <v>0</v>
      </c>
      <c r="M105" s="115">
        <f t="shared" si="34"/>
        <v>0</v>
      </c>
      <c r="N105" s="70">
        <f t="shared" si="34"/>
        <v>0</v>
      </c>
      <c r="O105" s="70">
        <f t="shared" si="34"/>
        <v>0</v>
      </c>
      <c r="P105" s="115">
        <f t="shared" si="26"/>
        <v>0</v>
      </c>
    </row>
    <row r="106" spans="1:16" x14ac:dyDescent="0.2">
      <c r="A106" s="147"/>
      <c r="B106" s="147" t="s">
        <v>12</v>
      </c>
      <c r="C106" s="147" t="s">
        <v>25</v>
      </c>
      <c r="D106" s="147"/>
      <c r="E106" s="147"/>
      <c r="F106" s="147"/>
      <c r="G106" s="130" t="s">
        <v>213</v>
      </c>
      <c r="H106" s="5"/>
      <c r="I106" s="86"/>
      <c r="J106" s="115"/>
      <c r="K106" s="115"/>
      <c r="L106" s="115"/>
      <c r="M106" s="115"/>
      <c r="N106" s="85"/>
      <c r="O106" s="85"/>
      <c r="P106" s="115">
        <f t="shared" si="26"/>
        <v>0</v>
      </c>
    </row>
    <row r="107" spans="1:16" x14ac:dyDescent="0.2">
      <c r="A107" s="147"/>
      <c r="B107" s="147" t="s">
        <v>18</v>
      </c>
      <c r="C107" s="147" t="s">
        <v>21</v>
      </c>
      <c r="D107" s="147"/>
      <c r="E107" s="147"/>
      <c r="F107" s="147"/>
      <c r="G107" s="130" t="s">
        <v>214</v>
      </c>
      <c r="H107" s="5"/>
      <c r="I107" s="86"/>
      <c r="J107" s="115"/>
      <c r="K107" s="115"/>
      <c r="L107" s="115"/>
      <c r="M107" s="115"/>
      <c r="N107" s="85"/>
      <c r="O107" s="85"/>
      <c r="P107" s="115">
        <f t="shared" si="26"/>
        <v>0</v>
      </c>
    </row>
    <row r="108" spans="1:16" x14ac:dyDescent="0.2">
      <c r="A108" s="148" t="s">
        <v>34</v>
      </c>
      <c r="B108" s="147" t="s">
        <v>88</v>
      </c>
      <c r="C108" s="147"/>
      <c r="D108" s="147"/>
      <c r="E108" s="147"/>
      <c r="F108" s="147"/>
      <c r="G108" s="130" t="s">
        <v>215</v>
      </c>
      <c r="H108" s="5"/>
      <c r="I108" s="115">
        <f xml:space="preserve"> (I109 + I112 + I115 + I118)</f>
        <v>0</v>
      </c>
      <c r="J108" s="115">
        <f t="shared" ref="J108:O108" si="35" xml:space="preserve"> (J109 + J112 + J115 + J118)</f>
        <v>0</v>
      </c>
      <c r="K108" s="115">
        <f t="shared" si="35"/>
        <v>0</v>
      </c>
      <c r="L108" s="115">
        <f t="shared" si="35"/>
        <v>0</v>
      </c>
      <c r="M108" s="115">
        <f t="shared" si="35"/>
        <v>0</v>
      </c>
      <c r="N108" s="70">
        <f t="shared" si="35"/>
        <v>0</v>
      </c>
      <c r="O108" s="70">
        <f t="shared" si="35"/>
        <v>0</v>
      </c>
      <c r="P108" s="115">
        <f t="shared" si="26"/>
        <v>0</v>
      </c>
    </row>
    <row r="109" spans="1:16" x14ac:dyDescent="0.2">
      <c r="A109" s="147"/>
      <c r="B109" s="147" t="s">
        <v>12</v>
      </c>
      <c r="C109" s="147" t="s">
        <v>59</v>
      </c>
      <c r="D109" s="147"/>
      <c r="E109" s="147"/>
      <c r="F109" s="147"/>
      <c r="G109" s="130" t="s">
        <v>216</v>
      </c>
      <c r="H109" s="5"/>
      <c r="I109" s="115">
        <f xml:space="preserve"> (I110 + I111)</f>
        <v>0</v>
      </c>
      <c r="J109" s="115">
        <f t="shared" ref="J109:O109" si="36" xml:space="preserve"> (J110 + J111)</f>
        <v>0</v>
      </c>
      <c r="K109" s="115">
        <f t="shared" si="36"/>
        <v>0</v>
      </c>
      <c r="L109" s="115">
        <f t="shared" si="36"/>
        <v>0</v>
      </c>
      <c r="M109" s="115">
        <f t="shared" si="36"/>
        <v>0</v>
      </c>
      <c r="N109" s="70">
        <f t="shared" si="36"/>
        <v>0</v>
      </c>
      <c r="O109" s="70">
        <f t="shared" si="36"/>
        <v>0</v>
      </c>
      <c r="P109" s="115">
        <f t="shared" si="26"/>
        <v>0</v>
      </c>
    </row>
    <row r="110" spans="1:16" x14ac:dyDescent="0.2">
      <c r="A110" s="147"/>
      <c r="B110" s="147"/>
      <c r="C110" s="147" t="s">
        <v>47</v>
      </c>
      <c r="D110" s="147" t="s">
        <v>25</v>
      </c>
      <c r="E110" s="147"/>
      <c r="F110" s="147"/>
      <c r="G110" s="130" t="s">
        <v>217</v>
      </c>
      <c r="H110" s="5"/>
      <c r="I110" s="115"/>
      <c r="J110" s="115"/>
      <c r="K110" s="115"/>
      <c r="L110" s="115"/>
      <c r="M110" s="115"/>
      <c r="N110" s="85"/>
      <c r="O110" s="85"/>
      <c r="P110" s="115">
        <f t="shared" si="26"/>
        <v>0</v>
      </c>
    </row>
    <row r="111" spans="1:16" x14ac:dyDescent="0.2">
      <c r="A111" s="147"/>
      <c r="B111" s="147"/>
      <c r="C111" s="147" t="s">
        <v>48</v>
      </c>
      <c r="D111" s="147" t="s">
        <v>44</v>
      </c>
      <c r="E111" s="147"/>
      <c r="F111" s="147"/>
      <c r="G111" s="130" t="s">
        <v>218</v>
      </c>
      <c r="H111" s="5"/>
      <c r="I111" s="115"/>
      <c r="J111" s="115"/>
      <c r="K111" s="115"/>
      <c r="L111" s="115"/>
      <c r="M111" s="115"/>
      <c r="N111" s="85"/>
      <c r="O111" s="85"/>
      <c r="P111" s="115">
        <f t="shared" si="26"/>
        <v>0</v>
      </c>
    </row>
    <row r="112" spans="1:16" x14ac:dyDescent="0.2">
      <c r="A112" s="147"/>
      <c r="B112" s="148" t="s">
        <v>18</v>
      </c>
      <c r="C112" s="208" t="s">
        <v>67</v>
      </c>
      <c r="D112" s="208"/>
      <c r="E112" s="208"/>
      <c r="F112" s="208"/>
      <c r="G112" s="150" t="s">
        <v>219</v>
      </c>
      <c r="H112" s="50"/>
      <c r="I112" s="115">
        <f t="shared" ref="I112:O112" si="37" xml:space="preserve"> (I113 + I114)</f>
        <v>0</v>
      </c>
      <c r="J112" s="115">
        <f t="shared" si="37"/>
        <v>0</v>
      </c>
      <c r="K112" s="115">
        <f t="shared" si="37"/>
        <v>0</v>
      </c>
      <c r="L112" s="115">
        <f t="shared" si="37"/>
        <v>0</v>
      </c>
      <c r="M112" s="115">
        <f t="shared" si="37"/>
        <v>0</v>
      </c>
      <c r="N112" s="70">
        <f t="shared" si="37"/>
        <v>0</v>
      </c>
      <c r="O112" s="70">
        <f t="shared" si="37"/>
        <v>0</v>
      </c>
      <c r="P112" s="115">
        <f t="shared" si="26"/>
        <v>0</v>
      </c>
    </row>
    <row r="113" spans="1:16" x14ac:dyDescent="0.2">
      <c r="A113" s="147"/>
      <c r="B113" s="147"/>
      <c r="C113" s="147" t="s">
        <v>51</v>
      </c>
      <c r="D113" s="147" t="s">
        <v>25</v>
      </c>
      <c r="E113" s="147"/>
      <c r="F113" s="147"/>
      <c r="G113" s="130" t="s">
        <v>220</v>
      </c>
      <c r="H113" s="5"/>
      <c r="I113" s="115"/>
      <c r="J113" s="115"/>
      <c r="K113" s="115"/>
      <c r="L113" s="115"/>
      <c r="M113" s="115"/>
      <c r="N113" s="85"/>
      <c r="O113" s="85"/>
      <c r="P113" s="115">
        <f t="shared" si="26"/>
        <v>0</v>
      </c>
    </row>
    <row r="114" spans="1:16" x14ac:dyDescent="0.2">
      <c r="A114" s="147"/>
      <c r="B114" s="147"/>
      <c r="C114" s="147" t="s">
        <v>55</v>
      </c>
      <c r="D114" s="147" t="s">
        <v>44</v>
      </c>
      <c r="E114" s="147"/>
      <c r="F114" s="147"/>
      <c r="G114" s="130" t="s">
        <v>221</v>
      </c>
      <c r="H114" s="5"/>
      <c r="I114" s="115"/>
      <c r="J114" s="115"/>
      <c r="K114" s="115"/>
      <c r="L114" s="115"/>
      <c r="M114" s="115"/>
      <c r="N114" s="85"/>
      <c r="O114" s="85"/>
      <c r="P114" s="115">
        <f t="shared" si="26"/>
        <v>0</v>
      </c>
    </row>
    <row r="115" spans="1:16" x14ac:dyDescent="0.2">
      <c r="A115" s="147"/>
      <c r="B115" s="148" t="s">
        <v>41</v>
      </c>
      <c r="C115" s="208" t="s">
        <v>71</v>
      </c>
      <c r="D115" s="208"/>
      <c r="E115" s="208"/>
      <c r="F115" s="208"/>
      <c r="G115" s="150" t="s">
        <v>222</v>
      </c>
      <c r="H115" s="50"/>
      <c r="I115" s="115">
        <f t="shared" ref="I115:O115" si="38" xml:space="preserve"> (I116 + I117)</f>
        <v>0</v>
      </c>
      <c r="J115" s="115">
        <f t="shared" si="38"/>
        <v>0</v>
      </c>
      <c r="K115" s="115">
        <f t="shared" si="38"/>
        <v>0</v>
      </c>
      <c r="L115" s="115">
        <f t="shared" si="38"/>
        <v>0</v>
      </c>
      <c r="M115" s="115">
        <f t="shared" si="38"/>
        <v>0</v>
      </c>
      <c r="N115" s="70">
        <f t="shared" si="38"/>
        <v>0</v>
      </c>
      <c r="O115" s="70">
        <f t="shared" si="38"/>
        <v>0</v>
      </c>
      <c r="P115" s="115">
        <f t="shared" si="26"/>
        <v>0</v>
      </c>
    </row>
    <row r="116" spans="1:16" x14ac:dyDescent="0.2">
      <c r="A116" s="147"/>
      <c r="B116" s="148"/>
      <c r="C116" s="147" t="s">
        <v>68</v>
      </c>
      <c r="D116" s="147" t="s">
        <v>25</v>
      </c>
      <c r="E116" s="147"/>
      <c r="F116" s="147"/>
      <c r="G116" s="130" t="s">
        <v>223</v>
      </c>
      <c r="H116" s="5"/>
      <c r="I116" s="115"/>
      <c r="J116" s="115"/>
      <c r="K116" s="115"/>
      <c r="L116" s="115"/>
      <c r="M116" s="115"/>
      <c r="N116" s="85"/>
      <c r="O116" s="85"/>
      <c r="P116" s="115">
        <f t="shared" si="26"/>
        <v>0</v>
      </c>
    </row>
    <row r="117" spans="1:16" x14ac:dyDescent="0.2">
      <c r="A117" s="147"/>
      <c r="B117" s="147"/>
      <c r="C117" s="147" t="s">
        <v>69</v>
      </c>
      <c r="D117" s="147" t="s">
        <v>44</v>
      </c>
      <c r="E117" s="147"/>
      <c r="F117" s="147"/>
      <c r="G117" s="130" t="s">
        <v>224</v>
      </c>
      <c r="H117" s="5"/>
      <c r="I117" s="115"/>
      <c r="J117" s="115"/>
      <c r="K117" s="115"/>
      <c r="L117" s="115"/>
      <c r="M117" s="115"/>
      <c r="N117" s="85"/>
      <c r="O117" s="85"/>
      <c r="P117" s="115">
        <f t="shared" si="26"/>
        <v>0</v>
      </c>
    </row>
    <row r="118" spans="1:16" x14ac:dyDescent="0.2">
      <c r="A118" s="147"/>
      <c r="B118" s="147" t="s">
        <v>43</v>
      </c>
      <c r="C118" s="147" t="s">
        <v>44</v>
      </c>
      <c r="D118" s="147"/>
      <c r="E118" s="147"/>
      <c r="F118" s="147"/>
      <c r="G118" s="130" t="s">
        <v>225</v>
      </c>
      <c r="H118" s="5"/>
      <c r="I118" s="115">
        <f t="shared" ref="I118:O118" si="39" xml:space="preserve"> (I119 + I120)</f>
        <v>0</v>
      </c>
      <c r="J118" s="115">
        <f t="shared" si="39"/>
        <v>0</v>
      </c>
      <c r="K118" s="115">
        <f t="shared" si="39"/>
        <v>0</v>
      </c>
      <c r="L118" s="115">
        <f t="shared" si="39"/>
        <v>0</v>
      </c>
      <c r="M118" s="115">
        <f t="shared" si="39"/>
        <v>0</v>
      </c>
      <c r="N118" s="70">
        <f t="shared" si="39"/>
        <v>0</v>
      </c>
      <c r="O118" s="70">
        <f t="shared" si="39"/>
        <v>0</v>
      </c>
      <c r="P118" s="115">
        <f t="shared" si="26"/>
        <v>0</v>
      </c>
    </row>
    <row r="119" spans="1:16" x14ac:dyDescent="0.2">
      <c r="A119" s="147"/>
      <c r="B119" s="147"/>
      <c r="C119" s="147" t="s">
        <v>72</v>
      </c>
      <c r="D119" s="147" t="s">
        <v>25</v>
      </c>
      <c r="E119" s="147"/>
      <c r="F119" s="147"/>
      <c r="G119" s="130" t="s">
        <v>226</v>
      </c>
      <c r="H119" s="5"/>
      <c r="I119" s="115"/>
      <c r="J119" s="115"/>
      <c r="K119" s="115"/>
      <c r="L119" s="115"/>
      <c r="M119" s="115"/>
      <c r="N119" s="85"/>
      <c r="O119" s="85"/>
      <c r="P119" s="115">
        <f t="shared" si="26"/>
        <v>0</v>
      </c>
    </row>
    <row r="120" spans="1:16" x14ac:dyDescent="0.2">
      <c r="A120" s="147"/>
      <c r="B120" s="147"/>
      <c r="C120" s="147" t="s">
        <v>73</v>
      </c>
      <c r="D120" s="147" t="s">
        <v>44</v>
      </c>
      <c r="E120" s="147"/>
      <c r="F120" s="147"/>
      <c r="G120" s="130" t="s">
        <v>227</v>
      </c>
      <c r="H120" s="5"/>
      <c r="I120" s="115"/>
      <c r="J120" s="115"/>
      <c r="K120" s="115"/>
      <c r="L120" s="115"/>
      <c r="M120" s="115"/>
      <c r="N120" s="85"/>
      <c r="O120" s="85"/>
      <c r="P120" s="115">
        <f t="shared" si="26"/>
        <v>0</v>
      </c>
    </row>
    <row r="121" spans="1:16" x14ac:dyDescent="0.2">
      <c r="A121" s="148" t="s">
        <v>35</v>
      </c>
      <c r="B121" s="147" t="s">
        <v>44</v>
      </c>
      <c r="C121" s="147"/>
      <c r="D121" s="147"/>
      <c r="E121" s="147"/>
      <c r="F121" s="147"/>
      <c r="G121" s="130" t="s">
        <v>296</v>
      </c>
      <c r="H121" s="5"/>
      <c r="I121" s="115"/>
      <c r="J121" s="115"/>
      <c r="K121" s="115"/>
      <c r="L121" s="115"/>
      <c r="M121" s="115"/>
      <c r="N121" s="85"/>
      <c r="O121" s="85"/>
      <c r="P121" s="115">
        <f t="shared" si="26"/>
        <v>0</v>
      </c>
    </row>
    <row r="122" spans="1:16" x14ac:dyDescent="0.2">
      <c r="A122" s="146" t="s">
        <v>262</v>
      </c>
      <c r="B122" s="146"/>
      <c r="C122" s="147"/>
      <c r="D122" s="147"/>
      <c r="E122" s="147"/>
      <c r="F122" s="147"/>
      <c r="G122" s="130" t="s">
        <v>228</v>
      </c>
      <c r="H122" s="5"/>
      <c r="I122" s="88">
        <f t="shared" ref="I122:O122" si="40" xml:space="preserve"> (I10 + I101)</f>
        <v>0</v>
      </c>
      <c r="J122" s="115">
        <f t="shared" si="40"/>
        <v>0</v>
      </c>
      <c r="K122" s="115">
        <f t="shared" si="40"/>
        <v>0</v>
      </c>
      <c r="L122" s="115">
        <f t="shared" si="40"/>
        <v>0</v>
      </c>
      <c r="M122" s="115">
        <f t="shared" si="40"/>
        <v>0</v>
      </c>
      <c r="N122" s="70">
        <f t="shared" si="40"/>
        <v>0</v>
      </c>
      <c r="O122" s="70">
        <f t="shared" si="40"/>
        <v>0</v>
      </c>
      <c r="P122" s="88">
        <f t="shared" si="26"/>
        <v>0</v>
      </c>
    </row>
    <row r="123" spans="1:16" x14ac:dyDescent="0.2">
      <c r="A123" s="146" t="s">
        <v>26</v>
      </c>
      <c r="B123" s="147"/>
      <c r="C123" s="147"/>
      <c r="D123" s="147"/>
      <c r="E123" s="147"/>
      <c r="F123" s="147"/>
      <c r="G123" s="136"/>
      <c r="H123" s="51"/>
      <c r="I123" s="90"/>
      <c r="J123" s="90"/>
      <c r="K123" s="90"/>
      <c r="L123" s="90"/>
      <c r="M123" s="90"/>
      <c r="N123" s="90"/>
      <c r="O123" s="90"/>
      <c r="P123" s="70"/>
    </row>
    <row r="124" spans="1:16" x14ac:dyDescent="0.2">
      <c r="A124" s="151" t="s">
        <v>27</v>
      </c>
      <c r="B124" s="207" t="s">
        <v>28</v>
      </c>
      <c r="C124" s="207"/>
      <c r="D124" s="207"/>
      <c r="E124" s="207"/>
      <c r="F124" s="207"/>
      <c r="G124" s="153" t="s">
        <v>229</v>
      </c>
      <c r="H124" s="52"/>
      <c r="I124" s="70">
        <f t="shared" ref="I124:O124" si="41" xml:space="preserve"> (I125 + I126 + I127)</f>
        <v>0</v>
      </c>
      <c r="J124" s="115">
        <f t="shared" si="41"/>
        <v>0</v>
      </c>
      <c r="K124" s="115">
        <f t="shared" si="41"/>
        <v>0</v>
      </c>
      <c r="L124" s="115">
        <f t="shared" si="41"/>
        <v>0</v>
      </c>
      <c r="M124" s="115">
        <f t="shared" si="41"/>
        <v>0</v>
      </c>
      <c r="N124" s="70">
        <f t="shared" si="41"/>
        <v>0</v>
      </c>
      <c r="O124" s="70">
        <f t="shared" si="41"/>
        <v>0</v>
      </c>
      <c r="P124" s="70">
        <f t="shared" si="26"/>
        <v>0</v>
      </c>
    </row>
    <row r="125" spans="1:16" x14ac:dyDescent="0.2">
      <c r="A125" s="154"/>
      <c r="B125" s="154" t="s">
        <v>9</v>
      </c>
      <c r="C125" s="155" t="s">
        <v>29</v>
      </c>
      <c r="D125" s="156"/>
      <c r="E125" s="156"/>
      <c r="F125" s="147"/>
      <c r="G125" s="130" t="s">
        <v>230</v>
      </c>
      <c r="H125" s="5"/>
      <c r="I125" s="85"/>
      <c r="J125" s="115"/>
      <c r="K125" s="115"/>
      <c r="L125" s="115"/>
      <c r="M125" s="115"/>
      <c r="N125" s="85"/>
      <c r="O125" s="85"/>
      <c r="P125" s="70">
        <f t="shared" si="26"/>
        <v>0</v>
      </c>
    </row>
    <row r="126" spans="1:16" x14ac:dyDescent="0.2">
      <c r="A126" s="154"/>
      <c r="B126" s="154" t="s">
        <v>22</v>
      </c>
      <c r="C126" s="149" t="s">
        <v>30</v>
      </c>
      <c r="D126" s="152"/>
      <c r="E126" s="152"/>
      <c r="F126" s="147"/>
      <c r="G126" s="130" t="s">
        <v>231</v>
      </c>
      <c r="H126" s="5"/>
      <c r="I126" s="85"/>
      <c r="J126" s="115"/>
      <c r="K126" s="115"/>
      <c r="L126" s="115"/>
      <c r="M126" s="115"/>
      <c r="N126" s="85"/>
      <c r="O126" s="85"/>
      <c r="P126" s="70">
        <f t="shared" si="26"/>
        <v>0</v>
      </c>
    </row>
    <row r="127" spans="1:16" x14ac:dyDescent="0.2">
      <c r="A127" s="154"/>
      <c r="B127" s="154" t="s">
        <v>31</v>
      </c>
      <c r="C127" s="149" t="s">
        <v>32</v>
      </c>
      <c r="D127" s="149"/>
      <c r="E127" s="149"/>
      <c r="F127" s="147"/>
      <c r="G127" s="130" t="s">
        <v>232</v>
      </c>
      <c r="H127" s="5"/>
      <c r="I127" s="85"/>
      <c r="J127" s="115"/>
      <c r="K127" s="115"/>
      <c r="L127" s="115"/>
      <c r="M127" s="115"/>
      <c r="N127" s="85"/>
      <c r="O127" s="85"/>
      <c r="P127" s="70">
        <f t="shared" si="26"/>
        <v>0</v>
      </c>
    </row>
    <row r="128" spans="1:16" x14ac:dyDescent="0.2">
      <c r="A128" s="148" t="s">
        <v>33</v>
      </c>
      <c r="B128" s="147" t="s">
        <v>89</v>
      </c>
      <c r="C128" s="147"/>
      <c r="D128" s="147"/>
      <c r="E128" s="147"/>
      <c r="F128" s="147"/>
      <c r="G128" s="130" t="s">
        <v>233</v>
      </c>
      <c r="H128" s="5"/>
      <c r="I128" s="70">
        <f t="shared" ref="I128:O128" si="42" xml:space="preserve"> (I129 + I130 + I131 + I132)</f>
        <v>0</v>
      </c>
      <c r="J128" s="115">
        <f t="shared" si="42"/>
        <v>0</v>
      </c>
      <c r="K128" s="115">
        <f t="shared" si="42"/>
        <v>0</v>
      </c>
      <c r="L128" s="115">
        <f t="shared" si="42"/>
        <v>0</v>
      </c>
      <c r="M128" s="115">
        <f t="shared" si="42"/>
        <v>0</v>
      </c>
      <c r="N128" s="70">
        <f t="shared" si="42"/>
        <v>0</v>
      </c>
      <c r="O128" s="70">
        <f t="shared" si="42"/>
        <v>0</v>
      </c>
      <c r="P128" s="70">
        <f t="shared" si="26"/>
        <v>0</v>
      </c>
    </row>
    <row r="129" spans="1:16" x14ac:dyDescent="0.2">
      <c r="A129" s="154"/>
      <c r="B129" s="147" t="s">
        <v>9</v>
      </c>
      <c r="C129" s="147" t="s">
        <v>38</v>
      </c>
      <c r="D129" s="147"/>
      <c r="E129" s="147"/>
      <c r="F129" s="147"/>
      <c r="G129" s="130" t="s">
        <v>234</v>
      </c>
      <c r="H129" s="5"/>
      <c r="I129" s="85"/>
      <c r="J129" s="115"/>
      <c r="K129" s="115"/>
      <c r="L129" s="115"/>
      <c r="M129" s="115"/>
      <c r="N129" s="85"/>
      <c r="O129" s="85"/>
      <c r="P129" s="70">
        <f t="shared" si="26"/>
        <v>0</v>
      </c>
    </row>
    <row r="130" spans="1:16" x14ac:dyDescent="0.2">
      <c r="A130" s="154"/>
      <c r="B130" s="147" t="s">
        <v>22</v>
      </c>
      <c r="C130" s="147" t="s">
        <v>90</v>
      </c>
      <c r="D130" s="147"/>
      <c r="E130" s="147"/>
      <c r="F130" s="147"/>
      <c r="G130" s="130" t="s">
        <v>297</v>
      </c>
      <c r="H130" s="5"/>
      <c r="I130" s="85"/>
      <c r="J130" s="115"/>
      <c r="K130" s="115"/>
      <c r="L130" s="115"/>
      <c r="M130" s="115"/>
      <c r="N130" s="85"/>
      <c r="O130" s="85"/>
      <c r="P130" s="70">
        <f t="shared" si="26"/>
        <v>0</v>
      </c>
    </row>
    <row r="131" spans="1:16" x14ac:dyDescent="0.2">
      <c r="A131" s="154"/>
      <c r="B131" s="147" t="s">
        <v>31</v>
      </c>
      <c r="C131" s="147" t="s">
        <v>91</v>
      </c>
      <c r="D131" s="147"/>
      <c r="E131" s="147"/>
      <c r="F131" s="147"/>
      <c r="G131" s="130" t="s">
        <v>235</v>
      </c>
      <c r="H131" s="5"/>
      <c r="I131" s="85"/>
      <c r="J131" s="115"/>
      <c r="K131" s="115"/>
      <c r="L131" s="115"/>
      <c r="M131" s="115"/>
      <c r="N131" s="85"/>
      <c r="O131" s="85"/>
      <c r="P131" s="70">
        <f t="shared" si="26"/>
        <v>0</v>
      </c>
    </row>
    <row r="132" spans="1:16" x14ac:dyDescent="0.2">
      <c r="A132" s="154"/>
      <c r="B132" s="147" t="s">
        <v>92</v>
      </c>
      <c r="C132" s="147" t="s">
        <v>44</v>
      </c>
      <c r="D132" s="147"/>
      <c r="E132" s="147"/>
      <c r="F132" s="147"/>
      <c r="G132" s="130" t="s">
        <v>236</v>
      </c>
      <c r="H132" s="5"/>
      <c r="I132" s="85"/>
      <c r="J132" s="115"/>
      <c r="K132" s="115"/>
      <c r="L132" s="115"/>
      <c r="M132" s="115"/>
      <c r="N132" s="85"/>
      <c r="O132" s="85"/>
      <c r="P132" s="70">
        <f t="shared" si="26"/>
        <v>0</v>
      </c>
    </row>
    <row r="133" spans="1:16" x14ac:dyDescent="0.2">
      <c r="A133" s="8"/>
      <c r="B133" s="8"/>
      <c r="C133" s="8"/>
      <c r="D133" s="8"/>
      <c r="E133" s="8"/>
      <c r="F133" s="8"/>
      <c r="G133" s="29" t="s">
        <v>260</v>
      </c>
      <c r="H133" s="1"/>
      <c r="I133" s="1"/>
      <c r="J133" s="1"/>
      <c r="K133" s="1"/>
      <c r="L133" s="1"/>
      <c r="M133" s="1"/>
      <c r="N133" s="1"/>
      <c r="O133" s="1"/>
      <c r="P133" s="1"/>
    </row>
  </sheetData>
  <sheetProtection sheet="1" objects="1" scenarios="1" selectLockedCells="1"/>
  <mergeCells count="23">
    <mergeCell ref="A1:P1"/>
    <mergeCell ref="A2:P2"/>
    <mergeCell ref="A3:P3"/>
    <mergeCell ref="A4:P4"/>
    <mergeCell ref="A5:P5"/>
    <mergeCell ref="A6:P6"/>
    <mergeCell ref="A7:P7"/>
    <mergeCell ref="A8:F9"/>
    <mergeCell ref="G8:G9"/>
    <mergeCell ref="I8:I9"/>
    <mergeCell ref="J8:K8"/>
    <mergeCell ref="L8:M8"/>
    <mergeCell ref="N8:O8"/>
    <mergeCell ref="P8:P9"/>
    <mergeCell ref="B124:F124"/>
    <mergeCell ref="C43:F43"/>
    <mergeCell ref="C54:F54"/>
    <mergeCell ref="C74:F74"/>
    <mergeCell ref="C79:F79"/>
    <mergeCell ref="D80:F80"/>
    <mergeCell ref="C90:F90"/>
    <mergeCell ref="C112:F112"/>
    <mergeCell ref="C115:F115"/>
  </mergeCells>
  <phoneticPr fontId="1" type="noConversion"/>
  <dataValidations count="3">
    <dataValidation allowBlank="1" showInputMessage="1" showErrorMessage="1" sqref="J118:P118 J122:P122 J115:P115 J112:P112 J108:O109 P51:P59 J96:P96 J90:O92 J128:P128 P97:P111 P129:P132 J101:O105 P119:P121 P113:P114 P116:P117 P61:P85 P123 P125:P127 J60:P60 J10:O11 P90:P95 J24:O25 J21:O22 J54:O56 J50:P50 J44:O46 J42:P43 J38:P38 L41:P41 J64:O85 L39:P39 J35:P35 L36:P36 J86:P89 J17:O19 L33:P33 J27:O32 L13:O16 J12:K16 J124:P124 P34 P37 P40 P44:P49 P10:P32"/>
    <dataValidation type="decimal" operator="greaterThanOrEqual" allowBlank="1" showInputMessage="1" showErrorMessage="1" errorTitle="Invalid Entry" error="The value you entered is not valid." sqref="J125:O127 J123:O123 J97:O100 J119:O121 J116:O117 J113:O114 J110:O111 J106:O107 J93:O95 J34:O34 J26:O26 J20:O20 J23:O23 J61:O63 J57:O59 J51:O53 J47:O49 L12:O12 J41:K41 J39:K39 J40:O40 J36:K36 J37:O37 J33:K33 J129:O132">
      <formula1>0</formula1>
    </dataValidation>
    <dataValidation type="decimal" operator="greaterThanOrEqual" allowBlank="1" showInputMessage="1" showErrorMessage="1" errorTitle="Invalid entry!" error="Accepts greater than or equal to zero only." sqref="I10:I132">
      <formula1>0</formula1>
    </dataValidation>
  </dataValidations>
  <pageMargins left="0.75" right="0.75" top="1" bottom="1" header="0.5" footer="0.5"/>
  <pageSetup orientation="portrait" r:id="rId1"/>
  <headerFooter alignWithMargins="0">
    <oddHeader>&amp;C&amp;"Arial,Bold"&amp;8 RB OF JAEN, INC.  [ 04-042345 ]
 As of: September 30, 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zoomScale="80" zoomScaleNormal="100" workbookViewId="0">
      <pane xSplit="8" ySplit="9" topLeftCell="I10" activePane="bottomRight" state="frozen"/>
      <selection pane="topRight" activeCell="I1" sqref="I1"/>
      <selection pane="bottomLeft" activeCell="A6" sqref="A6"/>
      <selection pane="bottomRight" activeCell="I12" sqref="I12"/>
    </sheetView>
  </sheetViews>
  <sheetFormatPr defaultRowHeight="11.25" x14ac:dyDescent="0.2"/>
  <cols>
    <col min="1" max="1" width="3.28515625" style="9" customWidth="1"/>
    <col min="2" max="2" width="2.85546875" style="9" customWidth="1"/>
    <col min="3" max="3" width="3.140625" style="9" customWidth="1"/>
    <col min="4" max="5" width="2.28515625" style="9" customWidth="1"/>
    <col min="6" max="6" width="21.42578125" style="9" customWidth="1"/>
    <col min="7" max="7" width="19.7109375" style="9" customWidth="1"/>
    <col min="8" max="8" width="41.85546875" style="14" hidden="1" customWidth="1"/>
    <col min="9" max="9" width="18.7109375" style="9" customWidth="1"/>
    <col min="10" max="10" width="15.7109375" style="9" customWidth="1"/>
    <col min="11" max="11" width="18.7109375" style="9" customWidth="1"/>
    <col min="12" max="12" width="15.7109375" style="9" customWidth="1"/>
    <col min="13" max="13" width="18.7109375" style="9" customWidth="1"/>
    <col min="14" max="15" width="18.7109375" style="9" hidden="1" customWidth="1"/>
    <col min="16" max="16" width="20.7109375" style="9" customWidth="1"/>
    <col min="17" max="17" width="18.7109375" style="9" customWidth="1"/>
    <col min="18" max="18" width="15.7109375" style="9" customWidth="1"/>
    <col min="19" max="19" width="18.7109375" style="9" customWidth="1"/>
    <col min="20" max="20" width="15.7109375" style="9" customWidth="1"/>
    <col min="21" max="21" width="18.7109375" style="9" customWidth="1"/>
    <col min="22" max="23" width="18.7109375" style="9" hidden="1" customWidth="1"/>
    <col min="24" max="24" width="20.7109375" style="9" customWidth="1"/>
    <col min="25" max="25" width="18.7109375" style="9" customWidth="1"/>
    <col min="26" max="26" width="15.7109375" style="9" customWidth="1"/>
    <col min="27" max="27" width="18.7109375" style="9" customWidth="1"/>
    <col min="28" max="28" width="15.7109375" style="9" customWidth="1"/>
    <col min="29" max="29" width="18.7109375" style="9" customWidth="1"/>
    <col min="30" max="31" width="18.7109375" style="9" hidden="1" customWidth="1"/>
    <col min="32" max="32" width="20.7109375" style="9" customWidth="1"/>
    <col min="33" max="33" width="9.140625" style="9"/>
    <col min="34" max="34" width="37" style="9" customWidth="1"/>
    <col min="35" max="16384" width="9.140625" style="9"/>
  </cols>
  <sheetData>
    <row r="1" spans="1:32" s="71" customFormat="1" ht="12.75" x14ac:dyDescent="0.2">
      <c r="A1" s="216" t="s">
        <v>93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</row>
    <row r="2" spans="1:32" s="71" customFormat="1" ht="12.75" hidden="1" x14ac:dyDescent="0.2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</row>
    <row r="3" spans="1:32" s="71" customFormat="1" ht="12.75" hidden="1" x14ac:dyDescent="0.2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</row>
    <row r="4" spans="1:32" s="71" customFormat="1" ht="12.75" hidden="1" x14ac:dyDescent="0.2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</row>
    <row r="5" spans="1:32" s="71" customFormat="1" ht="12.75" hidden="1" x14ac:dyDescent="0.2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</row>
    <row r="7" spans="1:32" s="10" customFormat="1" ht="11.25" customHeight="1" x14ac:dyDescent="0.2">
      <c r="A7" s="217" t="s">
        <v>1</v>
      </c>
      <c r="B7" s="218"/>
      <c r="C7" s="218"/>
      <c r="D7" s="218"/>
      <c r="E7" s="218"/>
      <c r="F7" s="219"/>
      <c r="G7" s="213" t="s">
        <v>2</v>
      </c>
      <c r="H7" s="230"/>
      <c r="I7" s="191" t="s">
        <v>279</v>
      </c>
      <c r="J7" s="227"/>
      <c r="K7" s="227"/>
      <c r="L7" s="227"/>
      <c r="M7" s="227"/>
      <c r="N7" s="227"/>
      <c r="O7" s="227"/>
      <c r="P7" s="192"/>
      <c r="Q7" s="191" t="s">
        <v>280</v>
      </c>
      <c r="R7" s="227"/>
      <c r="S7" s="227"/>
      <c r="T7" s="227"/>
      <c r="U7" s="227"/>
      <c r="V7" s="227"/>
      <c r="W7" s="227"/>
      <c r="X7" s="192"/>
      <c r="Y7" s="191" t="s">
        <v>281</v>
      </c>
      <c r="Z7" s="227"/>
      <c r="AA7" s="227"/>
      <c r="AB7" s="227"/>
      <c r="AC7" s="227"/>
      <c r="AD7" s="227"/>
      <c r="AE7" s="227"/>
      <c r="AF7" s="192"/>
    </row>
    <row r="8" spans="1:32" x14ac:dyDescent="0.2">
      <c r="A8" s="220"/>
      <c r="B8" s="221"/>
      <c r="C8" s="221"/>
      <c r="D8" s="221"/>
      <c r="E8" s="221"/>
      <c r="F8" s="222"/>
      <c r="G8" s="229"/>
      <c r="H8" s="231"/>
      <c r="I8" s="189" t="s">
        <v>94</v>
      </c>
      <c r="J8" s="191" t="s">
        <v>4</v>
      </c>
      <c r="K8" s="192"/>
      <c r="L8" s="191" t="s">
        <v>95</v>
      </c>
      <c r="M8" s="192"/>
      <c r="N8" s="195" t="s">
        <v>268</v>
      </c>
      <c r="O8" s="195"/>
      <c r="P8" s="196" t="s">
        <v>6</v>
      </c>
      <c r="Q8" s="189" t="s">
        <v>94</v>
      </c>
      <c r="R8" s="191" t="s">
        <v>4</v>
      </c>
      <c r="S8" s="192"/>
      <c r="T8" s="191" t="s">
        <v>95</v>
      </c>
      <c r="U8" s="192"/>
      <c r="V8" s="195" t="s">
        <v>268</v>
      </c>
      <c r="W8" s="195"/>
      <c r="X8" s="196" t="s">
        <v>6</v>
      </c>
      <c r="Y8" s="189" t="s">
        <v>94</v>
      </c>
      <c r="Z8" s="191" t="s">
        <v>4</v>
      </c>
      <c r="AA8" s="192"/>
      <c r="AB8" s="191" t="s">
        <v>95</v>
      </c>
      <c r="AC8" s="192"/>
      <c r="AD8" s="195" t="s">
        <v>268</v>
      </c>
      <c r="AE8" s="195"/>
      <c r="AF8" s="196" t="s">
        <v>6</v>
      </c>
    </row>
    <row r="9" spans="1:32" x14ac:dyDescent="0.2">
      <c r="A9" s="223"/>
      <c r="B9" s="224"/>
      <c r="C9" s="224"/>
      <c r="D9" s="224"/>
      <c r="E9" s="224"/>
      <c r="F9" s="225"/>
      <c r="G9" s="214"/>
      <c r="H9" s="232"/>
      <c r="I9" s="233"/>
      <c r="J9" s="11" t="s">
        <v>7</v>
      </c>
      <c r="K9" s="12" t="s">
        <v>8</v>
      </c>
      <c r="L9" s="11" t="s">
        <v>7</v>
      </c>
      <c r="M9" s="12" t="s">
        <v>8</v>
      </c>
      <c r="N9" s="40" t="s">
        <v>7</v>
      </c>
      <c r="O9" s="12" t="s">
        <v>8</v>
      </c>
      <c r="P9" s="226"/>
      <c r="Q9" s="228"/>
      <c r="R9" s="11" t="s">
        <v>7</v>
      </c>
      <c r="S9" s="12" t="s">
        <v>8</v>
      </c>
      <c r="T9" s="11" t="s">
        <v>7</v>
      </c>
      <c r="U9" s="12" t="s">
        <v>8</v>
      </c>
      <c r="V9" s="40" t="s">
        <v>7</v>
      </c>
      <c r="W9" s="12" t="s">
        <v>8</v>
      </c>
      <c r="X9" s="197"/>
      <c r="Y9" s="228"/>
      <c r="Z9" s="11" t="s">
        <v>7</v>
      </c>
      <c r="AA9" s="12" t="s">
        <v>8</v>
      </c>
      <c r="AB9" s="11" t="s">
        <v>7</v>
      </c>
      <c r="AC9" s="12" t="s">
        <v>8</v>
      </c>
      <c r="AD9" s="40" t="s">
        <v>7</v>
      </c>
      <c r="AE9" s="12" t="s">
        <v>8</v>
      </c>
      <c r="AF9" s="197"/>
    </row>
    <row r="10" spans="1:32" x14ac:dyDescent="0.2">
      <c r="A10" s="157" t="s">
        <v>37</v>
      </c>
      <c r="B10" s="158"/>
      <c r="C10" s="158"/>
      <c r="D10" s="158"/>
      <c r="E10" s="158"/>
      <c r="F10" s="158"/>
      <c r="G10" s="159" t="s">
        <v>237</v>
      </c>
      <c r="H10" s="54"/>
      <c r="I10" s="19">
        <f t="shared" ref="I10:O10" si="0" xml:space="preserve"> (I11 + I15 + I20 + I23)</f>
        <v>0</v>
      </c>
      <c r="J10" s="117">
        <f t="shared" si="0"/>
        <v>0</v>
      </c>
      <c r="K10" s="117">
        <f t="shared" si="0"/>
        <v>0</v>
      </c>
      <c r="L10" s="117">
        <f t="shared" si="0"/>
        <v>0</v>
      </c>
      <c r="M10" s="117">
        <f t="shared" si="0"/>
        <v>0</v>
      </c>
      <c r="N10" s="19">
        <f t="shared" si="0"/>
        <v>0</v>
      </c>
      <c r="O10" s="19">
        <f t="shared" si="0"/>
        <v>0</v>
      </c>
      <c r="P10" s="19">
        <f>I10+K10+M10+O10</f>
        <v>0</v>
      </c>
      <c r="Q10" s="19">
        <f t="shared" ref="Q10:W10" si="1" xml:space="preserve"> (Q11 + Q15 + Q20 + Q23)</f>
        <v>0</v>
      </c>
      <c r="R10" s="117">
        <f t="shared" si="1"/>
        <v>0</v>
      </c>
      <c r="S10" s="117">
        <f t="shared" si="1"/>
        <v>0</v>
      </c>
      <c r="T10" s="117">
        <f t="shared" si="1"/>
        <v>0</v>
      </c>
      <c r="U10" s="117">
        <f t="shared" si="1"/>
        <v>0</v>
      </c>
      <c r="V10" s="19">
        <f t="shared" si="1"/>
        <v>0</v>
      </c>
      <c r="W10" s="19">
        <f t="shared" si="1"/>
        <v>0</v>
      </c>
      <c r="X10" s="19">
        <f>Q10+S10+U10+W10</f>
        <v>0</v>
      </c>
      <c r="Y10" s="19">
        <f xml:space="preserve"> (Y11 + Y15 + Y20 + Y23)</f>
        <v>0</v>
      </c>
      <c r="Z10" s="117">
        <f xml:space="preserve"> (Z11 + Z15 + Z20 + Z23)</f>
        <v>0</v>
      </c>
      <c r="AA10" s="117">
        <f xml:space="preserve"> (AA11 + AA15 + AA20 + AA23)</f>
        <v>0</v>
      </c>
      <c r="AB10" s="21"/>
      <c r="AC10" s="21"/>
      <c r="AD10" s="20">
        <f xml:space="preserve"> (AD11 + AD15 + AD20 + AD23)</f>
        <v>0</v>
      </c>
      <c r="AE10" s="20">
        <f xml:space="preserve"> (AE11 + AE15 + AE20 + AE23)</f>
        <v>0</v>
      </c>
      <c r="AF10" s="19">
        <f t="shared" ref="AF10:AF23" si="2">Y10+AA10+AC10+AE10</f>
        <v>0</v>
      </c>
    </row>
    <row r="11" spans="1:32" x14ac:dyDescent="0.2">
      <c r="A11" s="157"/>
      <c r="B11" s="160" t="s">
        <v>10</v>
      </c>
      <c r="C11" s="158" t="s">
        <v>96</v>
      </c>
      <c r="D11" s="158"/>
      <c r="E11" s="158"/>
      <c r="F11" s="158"/>
      <c r="G11" s="159" t="s">
        <v>238</v>
      </c>
      <c r="H11" s="50"/>
      <c r="I11" s="19">
        <f t="shared" ref="I11:O11" si="3" xml:space="preserve"> (I12 + I13 + I14)</f>
        <v>0</v>
      </c>
      <c r="J11" s="117">
        <f t="shared" si="3"/>
        <v>0</v>
      </c>
      <c r="K11" s="117">
        <f t="shared" si="3"/>
        <v>0</v>
      </c>
      <c r="L11" s="117">
        <f t="shared" si="3"/>
        <v>0</v>
      </c>
      <c r="M11" s="117">
        <f t="shared" si="3"/>
        <v>0</v>
      </c>
      <c r="N11" s="19">
        <f t="shared" si="3"/>
        <v>0</v>
      </c>
      <c r="O11" s="19">
        <f t="shared" si="3"/>
        <v>0</v>
      </c>
      <c r="P11" s="19">
        <f t="shared" ref="P11:P29" si="4">I11+K11+M11+O11</f>
        <v>0</v>
      </c>
      <c r="Q11" s="19">
        <f t="shared" ref="Q11:W11" si="5" xml:space="preserve"> (Q12 + Q13 + Q14)</f>
        <v>0</v>
      </c>
      <c r="R11" s="117">
        <f t="shared" si="5"/>
        <v>0</v>
      </c>
      <c r="S11" s="117">
        <f t="shared" si="5"/>
        <v>0</v>
      </c>
      <c r="T11" s="117">
        <f t="shared" si="5"/>
        <v>0</v>
      </c>
      <c r="U11" s="117">
        <f t="shared" si="5"/>
        <v>0</v>
      </c>
      <c r="V11" s="19">
        <f t="shared" si="5"/>
        <v>0</v>
      </c>
      <c r="W11" s="19">
        <f t="shared" si="5"/>
        <v>0</v>
      </c>
      <c r="X11" s="19">
        <f t="shared" ref="X11:X29" si="6">Q11+S11+U11+W11</f>
        <v>0</v>
      </c>
      <c r="Y11" s="19">
        <f xml:space="preserve"> (Y12 + Y13 + Y14)</f>
        <v>0</v>
      </c>
      <c r="Z11" s="117">
        <f xml:space="preserve"> (Z12 + Z13 + Z14)</f>
        <v>0</v>
      </c>
      <c r="AA11" s="117">
        <f xml:space="preserve"> (AA12 + AA13 + AA14)</f>
        <v>0</v>
      </c>
      <c r="AB11" s="21"/>
      <c r="AC11" s="21"/>
      <c r="AD11" s="20">
        <f xml:space="preserve"> (AD12 + AD13 + AD14)</f>
        <v>0</v>
      </c>
      <c r="AE11" s="20">
        <f xml:space="preserve"> (AE12 + AE13 + AE14)</f>
        <v>0</v>
      </c>
      <c r="AF11" s="19">
        <f t="shared" si="2"/>
        <v>0</v>
      </c>
    </row>
    <row r="12" spans="1:32" x14ac:dyDescent="0.2">
      <c r="A12" s="157"/>
      <c r="B12" s="160"/>
      <c r="C12" s="158" t="s">
        <v>14</v>
      </c>
      <c r="D12" s="158" t="s">
        <v>97</v>
      </c>
      <c r="E12" s="158"/>
      <c r="F12" s="158"/>
      <c r="G12" s="159" t="s">
        <v>265</v>
      </c>
      <c r="H12" s="54"/>
      <c r="I12" s="78"/>
      <c r="J12" s="118"/>
      <c r="K12" s="118"/>
      <c r="L12" s="118"/>
      <c r="M12" s="118"/>
      <c r="N12" s="78"/>
      <c r="O12" s="78"/>
      <c r="P12" s="79">
        <f t="shared" si="4"/>
        <v>0</v>
      </c>
      <c r="Q12" s="78"/>
      <c r="R12" s="118"/>
      <c r="S12" s="118"/>
      <c r="T12" s="118"/>
      <c r="U12" s="118"/>
      <c r="V12" s="78"/>
      <c r="W12" s="78"/>
      <c r="X12" s="79">
        <f t="shared" si="6"/>
        <v>0</v>
      </c>
      <c r="Y12" s="78"/>
      <c r="Z12" s="118"/>
      <c r="AA12" s="118"/>
      <c r="AB12" s="81"/>
      <c r="AC12" s="81"/>
      <c r="AD12" s="65"/>
      <c r="AE12" s="65"/>
      <c r="AF12" s="79">
        <f t="shared" si="2"/>
        <v>0</v>
      </c>
    </row>
    <row r="13" spans="1:32" x14ac:dyDescent="0.2">
      <c r="A13" s="157"/>
      <c r="B13" s="158"/>
      <c r="C13" s="158" t="s">
        <v>16</v>
      </c>
      <c r="D13" s="158" t="s">
        <v>98</v>
      </c>
      <c r="E13" s="158"/>
      <c r="F13" s="158"/>
      <c r="G13" s="159" t="s">
        <v>266</v>
      </c>
      <c r="H13" s="54"/>
      <c r="I13" s="78"/>
      <c r="J13" s="118"/>
      <c r="K13" s="118"/>
      <c r="L13" s="118"/>
      <c r="M13" s="118"/>
      <c r="N13" s="78"/>
      <c r="O13" s="78"/>
      <c r="P13" s="79">
        <f t="shared" si="4"/>
        <v>0</v>
      </c>
      <c r="Q13" s="78"/>
      <c r="R13" s="118"/>
      <c r="S13" s="118"/>
      <c r="T13" s="118"/>
      <c r="U13" s="118"/>
      <c r="V13" s="78"/>
      <c r="W13" s="78"/>
      <c r="X13" s="79">
        <f t="shared" si="6"/>
        <v>0</v>
      </c>
      <c r="Y13" s="78"/>
      <c r="Z13" s="118"/>
      <c r="AA13" s="118"/>
      <c r="AB13" s="81"/>
      <c r="AC13" s="81"/>
      <c r="AD13" s="65"/>
      <c r="AE13" s="65"/>
      <c r="AF13" s="79">
        <f t="shared" si="2"/>
        <v>0</v>
      </c>
    </row>
    <row r="14" spans="1:32" x14ac:dyDescent="0.2">
      <c r="A14" s="157"/>
      <c r="B14" s="158"/>
      <c r="C14" s="158" t="s">
        <v>99</v>
      </c>
      <c r="D14" s="158" t="s">
        <v>65</v>
      </c>
      <c r="E14" s="158"/>
      <c r="F14" s="158"/>
      <c r="G14" s="159" t="s">
        <v>267</v>
      </c>
      <c r="H14" s="54"/>
      <c r="I14" s="78"/>
      <c r="J14" s="118"/>
      <c r="K14" s="118"/>
      <c r="L14" s="118"/>
      <c r="M14" s="118"/>
      <c r="N14" s="78"/>
      <c r="O14" s="78"/>
      <c r="P14" s="79">
        <f t="shared" si="4"/>
        <v>0</v>
      </c>
      <c r="Q14" s="78"/>
      <c r="R14" s="118"/>
      <c r="S14" s="118"/>
      <c r="T14" s="118"/>
      <c r="U14" s="118"/>
      <c r="V14" s="78"/>
      <c r="W14" s="78"/>
      <c r="X14" s="79">
        <f t="shared" si="6"/>
        <v>0</v>
      </c>
      <c r="Y14" s="78"/>
      <c r="Z14" s="118"/>
      <c r="AA14" s="118"/>
      <c r="AB14" s="81"/>
      <c r="AC14" s="81"/>
      <c r="AD14" s="65"/>
      <c r="AE14" s="65"/>
      <c r="AF14" s="79">
        <f t="shared" si="2"/>
        <v>0</v>
      </c>
    </row>
    <row r="15" spans="1:32" x14ac:dyDescent="0.2">
      <c r="A15" s="158"/>
      <c r="B15" s="161" t="s">
        <v>20</v>
      </c>
      <c r="C15" s="158" t="s">
        <v>60</v>
      </c>
      <c r="D15" s="158"/>
      <c r="E15" s="158"/>
      <c r="F15" s="158"/>
      <c r="G15" s="159" t="s">
        <v>239</v>
      </c>
      <c r="H15" s="54"/>
      <c r="I15" s="79">
        <f t="shared" ref="I15:O15" si="7" xml:space="preserve"> (I16 + I19)</f>
        <v>0</v>
      </c>
      <c r="J15" s="118">
        <f t="shared" si="7"/>
        <v>0</v>
      </c>
      <c r="K15" s="118">
        <f t="shared" si="7"/>
        <v>0</v>
      </c>
      <c r="L15" s="118">
        <f t="shared" si="7"/>
        <v>0</v>
      </c>
      <c r="M15" s="118">
        <f t="shared" si="7"/>
        <v>0</v>
      </c>
      <c r="N15" s="79">
        <f t="shared" si="7"/>
        <v>0</v>
      </c>
      <c r="O15" s="79">
        <f t="shared" si="7"/>
        <v>0</v>
      </c>
      <c r="P15" s="79">
        <f t="shared" si="4"/>
        <v>0</v>
      </c>
      <c r="Q15" s="79">
        <f t="shared" ref="Q15:W15" si="8" xml:space="preserve"> (Q16 + Q19)</f>
        <v>0</v>
      </c>
      <c r="R15" s="118">
        <f t="shared" si="8"/>
        <v>0</v>
      </c>
      <c r="S15" s="118">
        <f t="shared" si="8"/>
        <v>0</v>
      </c>
      <c r="T15" s="118">
        <f t="shared" si="8"/>
        <v>0</v>
      </c>
      <c r="U15" s="118">
        <f t="shared" si="8"/>
        <v>0</v>
      </c>
      <c r="V15" s="79">
        <f t="shared" si="8"/>
        <v>0</v>
      </c>
      <c r="W15" s="79">
        <f t="shared" si="8"/>
        <v>0</v>
      </c>
      <c r="X15" s="79">
        <f t="shared" si="6"/>
        <v>0</v>
      </c>
      <c r="Y15" s="79">
        <f xml:space="preserve"> (Y16 + Y19)</f>
        <v>0</v>
      </c>
      <c r="Z15" s="118">
        <f xml:space="preserve"> (Z16 + Z19)</f>
        <v>0</v>
      </c>
      <c r="AA15" s="118">
        <f xml:space="preserve"> (AA16 + AA19)</f>
        <v>0</v>
      </c>
      <c r="AB15" s="83"/>
      <c r="AC15" s="83"/>
      <c r="AD15" s="82">
        <f xml:space="preserve"> (AD16 + AD19)</f>
        <v>0</v>
      </c>
      <c r="AE15" s="82">
        <f xml:space="preserve"> (AE16 + AE19)</f>
        <v>0</v>
      </c>
      <c r="AF15" s="79">
        <f t="shared" si="2"/>
        <v>0</v>
      </c>
    </row>
    <row r="16" spans="1:32" x14ac:dyDescent="0.2">
      <c r="A16" s="158"/>
      <c r="B16" s="161"/>
      <c r="C16" s="158" t="s">
        <v>14</v>
      </c>
      <c r="D16" s="132" t="s">
        <v>11</v>
      </c>
      <c r="E16" s="132"/>
      <c r="F16" s="158"/>
      <c r="G16" s="159" t="s">
        <v>240</v>
      </c>
      <c r="H16" s="50"/>
      <c r="I16" s="79">
        <f t="shared" ref="I16:O16" si="9" xml:space="preserve"> (I17 + I18)</f>
        <v>0</v>
      </c>
      <c r="J16" s="118">
        <f t="shared" si="9"/>
        <v>0</v>
      </c>
      <c r="K16" s="118">
        <f t="shared" si="9"/>
        <v>0</v>
      </c>
      <c r="L16" s="118">
        <f t="shared" si="9"/>
        <v>0</v>
      </c>
      <c r="M16" s="118">
        <f t="shared" si="9"/>
        <v>0</v>
      </c>
      <c r="N16" s="79">
        <f t="shared" si="9"/>
        <v>0</v>
      </c>
      <c r="O16" s="79">
        <f t="shared" si="9"/>
        <v>0</v>
      </c>
      <c r="P16" s="79">
        <f t="shared" si="4"/>
        <v>0</v>
      </c>
      <c r="Q16" s="79">
        <f t="shared" ref="Q16:W16" si="10" xml:space="preserve"> (Q17 + Q18)</f>
        <v>0</v>
      </c>
      <c r="R16" s="118">
        <f t="shared" si="10"/>
        <v>0</v>
      </c>
      <c r="S16" s="118">
        <f t="shared" si="10"/>
        <v>0</v>
      </c>
      <c r="T16" s="118">
        <f t="shared" si="10"/>
        <v>0</v>
      </c>
      <c r="U16" s="118">
        <f t="shared" si="10"/>
        <v>0</v>
      </c>
      <c r="V16" s="79">
        <f t="shared" si="10"/>
        <v>0</v>
      </c>
      <c r="W16" s="79">
        <f t="shared" si="10"/>
        <v>0</v>
      </c>
      <c r="X16" s="79">
        <f t="shared" si="6"/>
        <v>0</v>
      </c>
      <c r="Y16" s="79">
        <f xml:space="preserve"> (Y17 + Y18)</f>
        <v>0</v>
      </c>
      <c r="Z16" s="118">
        <f xml:space="preserve"> (Z17 + Z18)</f>
        <v>0</v>
      </c>
      <c r="AA16" s="118">
        <f xml:space="preserve"> (AA17 + AA18)</f>
        <v>0</v>
      </c>
      <c r="AB16" s="83"/>
      <c r="AC16" s="83"/>
      <c r="AD16" s="82">
        <f xml:space="preserve"> (AD17 + AD18)</f>
        <v>0</v>
      </c>
      <c r="AE16" s="82">
        <f xml:space="preserve"> (AE17 + AE18)</f>
        <v>0</v>
      </c>
      <c r="AF16" s="79">
        <f t="shared" si="2"/>
        <v>0</v>
      </c>
    </row>
    <row r="17" spans="1:32" x14ac:dyDescent="0.2">
      <c r="A17" s="158"/>
      <c r="B17" s="161"/>
      <c r="C17" s="158"/>
      <c r="D17" s="160" t="s">
        <v>27</v>
      </c>
      <c r="E17" s="160"/>
      <c r="F17" s="158" t="s">
        <v>13</v>
      </c>
      <c r="G17" s="159" t="s">
        <v>258</v>
      </c>
      <c r="H17" s="54"/>
      <c r="I17" s="78"/>
      <c r="J17" s="118"/>
      <c r="K17" s="118"/>
      <c r="L17" s="118"/>
      <c r="M17" s="118"/>
      <c r="N17" s="78"/>
      <c r="O17" s="78"/>
      <c r="P17" s="79">
        <f t="shared" si="4"/>
        <v>0</v>
      </c>
      <c r="Q17" s="78"/>
      <c r="R17" s="118"/>
      <c r="S17" s="118"/>
      <c r="T17" s="118"/>
      <c r="U17" s="118"/>
      <c r="V17" s="78"/>
      <c r="W17" s="78"/>
      <c r="X17" s="79">
        <f t="shared" si="6"/>
        <v>0</v>
      </c>
      <c r="Y17" s="78"/>
      <c r="Z17" s="118"/>
      <c r="AA17" s="118"/>
      <c r="AB17" s="81"/>
      <c r="AC17" s="81"/>
      <c r="AD17" s="65"/>
      <c r="AE17" s="65"/>
      <c r="AF17" s="79">
        <f t="shared" si="2"/>
        <v>0</v>
      </c>
    </row>
    <row r="18" spans="1:32" x14ac:dyDescent="0.2">
      <c r="A18" s="158"/>
      <c r="B18" s="161"/>
      <c r="C18" s="158"/>
      <c r="D18" s="160" t="s">
        <v>33</v>
      </c>
      <c r="E18" s="160"/>
      <c r="F18" s="158" t="s">
        <v>19</v>
      </c>
      <c r="G18" s="159" t="s">
        <v>259</v>
      </c>
      <c r="H18" s="54"/>
      <c r="I18" s="78"/>
      <c r="J18" s="118"/>
      <c r="K18" s="118"/>
      <c r="L18" s="118"/>
      <c r="M18" s="118"/>
      <c r="N18" s="78"/>
      <c r="O18" s="78"/>
      <c r="P18" s="79">
        <f t="shared" si="4"/>
        <v>0</v>
      </c>
      <c r="Q18" s="78"/>
      <c r="R18" s="118"/>
      <c r="S18" s="118"/>
      <c r="T18" s="118"/>
      <c r="U18" s="118"/>
      <c r="V18" s="78"/>
      <c r="W18" s="78"/>
      <c r="X18" s="79">
        <f t="shared" si="6"/>
        <v>0</v>
      </c>
      <c r="Y18" s="78"/>
      <c r="Z18" s="118"/>
      <c r="AA18" s="118"/>
      <c r="AB18" s="81"/>
      <c r="AC18" s="81"/>
      <c r="AD18" s="65"/>
      <c r="AE18" s="65"/>
      <c r="AF18" s="79">
        <f t="shared" si="2"/>
        <v>0</v>
      </c>
    </row>
    <row r="19" spans="1:32" x14ac:dyDescent="0.2">
      <c r="A19" s="158"/>
      <c r="B19" s="161"/>
      <c r="C19" s="158" t="s">
        <v>16</v>
      </c>
      <c r="D19" s="158" t="s">
        <v>21</v>
      </c>
      <c r="E19" s="158"/>
      <c r="F19" s="158"/>
      <c r="G19" s="159" t="s">
        <v>241</v>
      </c>
      <c r="H19" s="54"/>
      <c r="I19" s="78"/>
      <c r="J19" s="118"/>
      <c r="K19" s="118"/>
      <c r="L19" s="118"/>
      <c r="M19" s="118"/>
      <c r="N19" s="78"/>
      <c r="O19" s="78"/>
      <c r="P19" s="79">
        <f t="shared" si="4"/>
        <v>0</v>
      </c>
      <c r="Q19" s="78"/>
      <c r="R19" s="118"/>
      <c r="S19" s="118"/>
      <c r="T19" s="118"/>
      <c r="U19" s="118"/>
      <c r="V19" s="78"/>
      <c r="W19" s="78"/>
      <c r="X19" s="79">
        <f t="shared" si="6"/>
        <v>0</v>
      </c>
      <c r="Y19" s="78"/>
      <c r="Z19" s="118"/>
      <c r="AA19" s="118"/>
      <c r="AB19" s="81"/>
      <c r="AC19" s="81"/>
      <c r="AD19" s="65"/>
      <c r="AE19" s="65"/>
      <c r="AF19" s="79">
        <f t="shared" si="2"/>
        <v>0</v>
      </c>
    </row>
    <row r="20" spans="1:32" x14ac:dyDescent="0.2">
      <c r="A20" s="158"/>
      <c r="B20" s="161" t="s">
        <v>34</v>
      </c>
      <c r="C20" s="158" t="s">
        <v>63</v>
      </c>
      <c r="D20" s="158"/>
      <c r="E20" s="158"/>
      <c r="F20" s="158"/>
      <c r="G20" s="159" t="s">
        <v>242</v>
      </c>
      <c r="H20" s="50"/>
      <c r="I20" s="79">
        <f t="shared" ref="I20:O20" si="11" xml:space="preserve"> (I21 + I22)</f>
        <v>0</v>
      </c>
      <c r="J20" s="118">
        <f t="shared" si="11"/>
        <v>0</v>
      </c>
      <c r="K20" s="118">
        <f t="shared" si="11"/>
        <v>0</v>
      </c>
      <c r="L20" s="118">
        <f t="shared" si="11"/>
        <v>0</v>
      </c>
      <c r="M20" s="118">
        <f t="shared" si="11"/>
        <v>0</v>
      </c>
      <c r="N20" s="79">
        <f t="shared" si="11"/>
        <v>0</v>
      </c>
      <c r="O20" s="79">
        <f t="shared" si="11"/>
        <v>0</v>
      </c>
      <c r="P20" s="79">
        <f t="shared" si="4"/>
        <v>0</v>
      </c>
      <c r="Q20" s="79">
        <f t="shared" ref="Q20:W20" si="12" xml:space="preserve"> (Q21 + Q22)</f>
        <v>0</v>
      </c>
      <c r="R20" s="118">
        <f t="shared" si="12"/>
        <v>0</v>
      </c>
      <c r="S20" s="118">
        <f t="shared" si="12"/>
        <v>0</v>
      </c>
      <c r="T20" s="118">
        <f t="shared" si="12"/>
        <v>0</v>
      </c>
      <c r="U20" s="118">
        <f t="shared" si="12"/>
        <v>0</v>
      </c>
      <c r="V20" s="79">
        <f t="shared" si="12"/>
        <v>0</v>
      </c>
      <c r="W20" s="79">
        <f t="shared" si="12"/>
        <v>0</v>
      </c>
      <c r="X20" s="79">
        <f t="shared" si="6"/>
        <v>0</v>
      </c>
      <c r="Y20" s="79">
        <f xml:space="preserve"> (Y21 + Y22)</f>
        <v>0</v>
      </c>
      <c r="Z20" s="118">
        <f xml:space="preserve"> (Z21 + Z22)</f>
        <v>0</v>
      </c>
      <c r="AA20" s="118">
        <f xml:space="preserve"> (AA21 + AA22)</f>
        <v>0</v>
      </c>
      <c r="AB20" s="83"/>
      <c r="AC20" s="83"/>
      <c r="AD20" s="82">
        <f xml:space="preserve"> (AD21 + AD22)</f>
        <v>0</v>
      </c>
      <c r="AE20" s="82">
        <f xml:space="preserve"> (AE21 + AE22)</f>
        <v>0</v>
      </c>
      <c r="AF20" s="79">
        <f t="shared" si="2"/>
        <v>0</v>
      </c>
    </row>
    <row r="21" spans="1:32" x14ac:dyDescent="0.2">
      <c r="A21" s="158"/>
      <c r="B21" s="161"/>
      <c r="C21" s="158" t="s">
        <v>14</v>
      </c>
      <c r="D21" s="158" t="s">
        <v>100</v>
      </c>
      <c r="E21" s="158"/>
      <c r="F21" s="158"/>
      <c r="G21" s="159" t="s">
        <v>243</v>
      </c>
      <c r="H21" s="54"/>
      <c r="I21" s="78"/>
      <c r="J21" s="118"/>
      <c r="K21" s="118"/>
      <c r="L21" s="118"/>
      <c r="M21" s="118"/>
      <c r="N21" s="78"/>
      <c r="O21" s="78"/>
      <c r="P21" s="79">
        <f t="shared" si="4"/>
        <v>0</v>
      </c>
      <c r="Q21" s="78"/>
      <c r="R21" s="118"/>
      <c r="S21" s="118"/>
      <c r="T21" s="118"/>
      <c r="U21" s="118"/>
      <c r="V21" s="78"/>
      <c r="W21" s="78"/>
      <c r="X21" s="79">
        <f t="shared" si="6"/>
        <v>0</v>
      </c>
      <c r="Y21" s="78"/>
      <c r="Z21" s="118"/>
      <c r="AA21" s="118"/>
      <c r="AB21" s="81"/>
      <c r="AC21" s="81"/>
      <c r="AD21" s="65"/>
      <c r="AE21" s="65"/>
      <c r="AF21" s="79">
        <f t="shared" si="2"/>
        <v>0</v>
      </c>
    </row>
    <row r="22" spans="1:32" x14ac:dyDescent="0.2">
      <c r="A22" s="158"/>
      <c r="B22" s="161"/>
      <c r="C22" s="158" t="s">
        <v>16</v>
      </c>
      <c r="D22" s="158" t="s">
        <v>65</v>
      </c>
      <c r="E22" s="158"/>
      <c r="F22" s="158"/>
      <c r="G22" s="159" t="s">
        <v>244</v>
      </c>
      <c r="H22" s="54"/>
      <c r="I22" s="78"/>
      <c r="J22" s="118"/>
      <c r="K22" s="118"/>
      <c r="L22" s="118"/>
      <c r="M22" s="118"/>
      <c r="N22" s="78"/>
      <c r="O22" s="78"/>
      <c r="P22" s="79">
        <f t="shared" si="4"/>
        <v>0</v>
      </c>
      <c r="Q22" s="78"/>
      <c r="R22" s="118"/>
      <c r="S22" s="118"/>
      <c r="T22" s="118"/>
      <c r="U22" s="118"/>
      <c r="V22" s="78"/>
      <c r="W22" s="78"/>
      <c r="X22" s="79">
        <f t="shared" si="6"/>
        <v>0</v>
      </c>
      <c r="Y22" s="78"/>
      <c r="Z22" s="118"/>
      <c r="AA22" s="118"/>
      <c r="AB22" s="81"/>
      <c r="AC22" s="81"/>
      <c r="AD22" s="65"/>
      <c r="AE22" s="65"/>
      <c r="AF22" s="79">
        <f t="shared" si="2"/>
        <v>0</v>
      </c>
    </row>
    <row r="23" spans="1:32" x14ac:dyDescent="0.2">
      <c r="A23" s="158"/>
      <c r="B23" s="161" t="s">
        <v>35</v>
      </c>
      <c r="C23" s="158" t="s">
        <v>66</v>
      </c>
      <c r="D23" s="158"/>
      <c r="E23" s="158"/>
      <c r="F23" s="158"/>
      <c r="G23" s="159" t="s">
        <v>245</v>
      </c>
      <c r="H23" s="54"/>
      <c r="I23" s="78"/>
      <c r="J23" s="118"/>
      <c r="K23" s="118"/>
      <c r="L23" s="118"/>
      <c r="M23" s="118"/>
      <c r="N23" s="78"/>
      <c r="O23" s="78"/>
      <c r="P23" s="79">
        <f t="shared" si="4"/>
        <v>0</v>
      </c>
      <c r="Q23" s="78"/>
      <c r="R23" s="118"/>
      <c r="S23" s="118"/>
      <c r="T23" s="118"/>
      <c r="U23" s="118"/>
      <c r="V23" s="78"/>
      <c r="W23" s="78"/>
      <c r="X23" s="79">
        <f t="shared" si="6"/>
        <v>0</v>
      </c>
      <c r="Y23" s="78"/>
      <c r="Z23" s="118"/>
      <c r="AA23" s="118"/>
      <c r="AB23" s="81"/>
      <c r="AC23" s="81"/>
      <c r="AD23" s="65"/>
      <c r="AE23" s="65"/>
      <c r="AF23" s="79">
        <f t="shared" si="2"/>
        <v>0</v>
      </c>
    </row>
    <row r="24" spans="1:32" x14ac:dyDescent="0.2">
      <c r="A24" s="157" t="s">
        <v>87</v>
      </c>
      <c r="B24" s="158"/>
      <c r="C24" s="158"/>
      <c r="D24" s="158"/>
      <c r="E24" s="158"/>
      <c r="F24" s="158"/>
      <c r="G24" s="159" t="s">
        <v>246</v>
      </c>
      <c r="H24" s="50"/>
      <c r="I24" s="118">
        <f t="shared" ref="I24:O24" si="13" xml:space="preserve"> (I25 + I26)</f>
        <v>0</v>
      </c>
      <c r="J24" s="118">
        <f t="shared" si="13"/>
        <v>0</v>
      </c>
      <c r="K24" s="118">
        <f t="shared" si="13"/>
        <v>0</v>
      </c>
      <c r="L24" s="118">
        <f t="shared" si="13"/>
        <v>0</v>
      </c>
      <c r="M24" s="118">
        <f t="shared" si="13"/>
        <v>0</v>
      </c>
      <c r="N24" s="79">
        <f t="shared" si="13"/>
        <v>0</v>
      </c>
      <c r="O24" s="79">
        <f t="shared" si="13"/>
        <v>0</v>
      </c>
      <c r="P24" s="118">
        <f t="shared" si="4"/>
        <v>0</v>
      </c>
      <c r="Q24" s="118">
        <f t="shared" ref="Q24:W24" si="14" xml:space="preserve"> (Q25 + Q26)</f>
        <v>0</v>
      </c>
      <c r="R24" s="118">
        <f t="shared" si="14"/>
        <v>0</v>
      </c>
      <c r="S24" s="118">
        <f t="shared" si="14"/>
        <v>0</v>
      </c>
      <c r="T24" s="118">
        <f t="shared" si="14"/>
        <v>0</v>
      </c>
      <c r="U24" s="118">
        <f t="shared" si="14"/>
        <v>0</v>
      </c>
      <c r="V24" s="79">
        <f t="shared" si="14"/>
        <v>0</v>
      </c>
      <c r="W24" s="79">
        <f t="shared" si="14"/>
        <v>0</v>
      </c>
      <c r="X24" s="118">
        <f t="shared" si="6"/>
        <v>0</v>
      </c>
      <c r="Y24" s="118">
        <f xml:space="preserve"> (Y25 + Y26)</f>
        <v>0</v>
      </c>
      <c r="Z24" s="118">
        <f xml:space="preserve"> (Z25 + Z26)</f>
        <v>0</v>
      </c>
      <c r="AA24" s="118">
        <f xml:space="preserve"> (AA25 + AA26)</f>
        <v>0</v>
      </c>
      <c r="AB24" s="83"/>
      <c r="AC24" s="83"/>
      <c r="AD24" s="82">
        <f xml:space="preserve"> (AD25 + AD26)</f>
        <v>0</v>
      </c>
      <c r="AE24" s="82">
        <f xml:space="preserve"> (AE25 + AE26)</f>
        <v>0</v>
      </c>
      <c r="AF24" s="118">
        <f t="shared" ref="AF24:AF30" si="15">Y24+AA24+AC24+AE24</f>
        <v>0</v>
      </c>
    </row>
    <row r="25" spans="1:32" x14ac:dyDescent="0.2">
      <c r="A25" s="158"/>
      <c r="B25" s="162" t="s">
        <v>10</v>
      </c>
      <c r="C25" s="129" t="s">
        <v>25</v>
      </c>
      <c r="D25" s="158"/>
      <c r="E25" s="158"/>
      <c r="F25" s="158"/>
      <c r="G25" s="159" t="s">
        <v>247</v>
      </c>
      <c r="H25" s="54"/>
      <c r="I25" s="118"/>
      <c r="J25" s="118"/>
      <c r="K25" s="118"/>
      <c r="L25" s="118"/>
      <c r="M25" s="118"/>
      <c r="N25" s="78"/>
      <c r="O25" s="78"/>
      <c r="P25" s="118">
        <f t="shared" si="4"/>
        <v>0</v>
      </c>
      <c r="Q25" s="118"/>
      <c r="R25" s="118"/>
      <c r="S25" s="118"/>
      <c r="T25" s="118"/>
      <c r="U25" s="118"/>
      <c r="V25" s="78"/>
      <c r="W25" s="78"/>
      <c r="X25" s="118">
        <f t="shared" si="6"/>
        <v>0</v>
      </c>
      <c r="Y25" s="118"/>
      <c r="Z25" s="118"/>
      <c r="AA25" s="118"/>
      <c r="AB25" s="81"/>
      <c r="AC25" s="81"/>
      <c r="AD25" s="65"/>
      <c r="AE25" s="65"/>
      <c r="AF25" s="118">
        <f t="shared" si="15"/>
        <v>0</v>
      </c>
    </row>
    <row r="26" spans="1:32" x14ac:dyDescent="0.2">
      <c r="A26" s="158"/>
      <c r="B26" s="162" t="s">
        <v>20</v>
      </c>
      <c r="C26" s="129" t="s">
        <v>44</v>
      </c>
      <c r="D26" s="158"/>
      <c r="E26" s="158"/>
      <c r="F26" s="158"/>
      <c r="G26" s="159" t="s">
        <v>248</v>
      </c>
      <c r="H26" s="54"/>
      <c r="I26" s="118"/>
      <c r="J26" s="118"/>
      <c r="K26" s="118"/>
      <c r="L26" s="118"/>
      <c r="M26" s="118"/>
      <c r="N26" s="78"/>
      <c r="O26" s="78"/>
      <c r="P26" s="118">
        <f t="shared" si="4"/>
        <v>0</v>
      </c>
      <c r="Q26" s="118"/>
      <c r="R26" s="118"/>
      <c r="S26" s="118"/>
      <c r="T26" s="118"/>
      <c r="U26" s="118"/>
      <c r="V26" s="78"/>
      <c r="W26" s="78"/>
      <c r="X26" s="118">
        <f t="shared" si="6"/>
        <v>0</v>
      </c>
      <c r="Y26" s="118"/>
      <c r="Z26" s="118"/>
      <c r="AA26" s="118"/>
      <c r="AB26" s="81"/>
      <c r="AC26" s="81"/>
      <c r="AD26" s="65"/>
      <c r="AE26" s="65"/>
      <c r="AF26" s="118">
        <f t="shared" si="15"/>
        <v>0</v>
      </c>
    </row>
    <row r="27" spans="1:32" x14ac:dyDescent="0.2">
      <c r="A27" s="163" t="s">
        <v>262</v>
      </c>
      <c r="B27" s="163"/>
      <c r="C27" s="158"/>
      <c r="D27" s="158"/>
      <c r="E27" s="158"/>
      <c r="F27" s="158"/>
      <c r="G27" s="164" t="s">
        <v>249</v>
      </c>
      <c r="H27" s="13"/>
      <c r="I27" s="79">
        <f t="shared" ref="I27:O27" si="16" xml:space="preserve"> (I10 + I24)</f>
        <v>0</v>
      </c>
      <c r="J27" s="118">
        <f t="shared" si="16"/>
        <v>0</v>
      </c>
      <c r="K27" s="118">
        <f t="shared" si="16"/>
        <v>0</v>
      </c>
      <c r="L27" s="118">
        <f t="shared" si="16"/>
        <v>0</v>
      </c>
      <c r="M27" s="118">
        <f t="shared" si="16"/>
        <v>0</v>
      </c>
      <c r="N27" s="79">
        <f t="shared" si="16"/>
        <v>0</v>
      </c>
      <c r="O27" s="79">
        <f t="shared" si="16"/>
        <v>0</v>
      </c>
      <c r="P27" s="79">
        <f t="shared" si="4"/>
        <v>0</v>
      </c>
      <c r="Q27" s="79">
        <f t="shared" ref="Q27:W27" si="17" xml:space="preserve"> (Q10 + Q24)</f>
        <v>0</v>
      </c>
      <c r="R27" s="118">
        <f t="shared" si="17"/>
        <v>0</v>
      </c>
      <c r="S27" s="118">
        <f t="shared" si="17"/>
        <v>0</v>
      </c>
      <c r="T27" s="118">
        <f t="shared" si="17"/>
        <v>0</v>
      </c>
      <c r="U27" s="118">
        <f t="shared" si="17"/>
        <v>0</v>
      </c>
      <c r="V27" s="79">
        <f t="shared" si="17"/>
        <v>0</v>
      </c>
      <c r="W27" s="79">
        <f t="shared" si="17"/>
        <v>0</v>
      </c>
      <c r="X27" s="79">
        <f t="shared" si="6"/>
        <v>0</v>
      </c>
      <c r="Y27" s="79">
        <f xml:space="preserve"> (Y10 + Y24)</f>
        <v>0</v>
      </c>
      <c r="Z27" s="118">
        <f xml:space="preserve"> (Z10 + Z24)</f>
        <v>0</v>
      </c>
      <c r="AA27" s="118">
        <f xml:space="preserve"> (AA10 + AA24)</f>
        <v>0</v>
      </c>
      <c r="AB27" s="83"/>
      <c r="AC27" s="83"/>
      <c r="AD27" s="82">
        <f xml:space="preserve"> (AD10 + AD24)</f>
        <v>0</v>
      </c>
      <c r="AE27" s="82">
        <f xml:space="preserve"> (AE10 + AE24)</f>
        <v>0</v>
      </c>
      <c r="AF27" s="79">
        <f t="shared" si="15"/>
        <v>0</v>
      </c>
    </row>
    <row r="28" spans="1:32" x14ac:dyDescent="0.2">
      <c r="A28" s="158" t="s">
        <v>26</v>
      </c>
      <c r="B28" s="158"/>
      <c r="C28" s="158"/>
      <c r="D28" s="158"/>
      <c r="E28" s="158"/>
      <c r="F28" s="158"/>
      <c r="G28" s="165"/>
      <c r="H28" s="55"/>
      <c r="I28" s="84"/>
      <c r="J28" s="84"/>
      <c r="K28" s="84"/>
      <c r="L28" s="84"/>
      <c r="M28" s="84"/>
      <c r="N28" s="84"/>
      <c r="O28" s="84"/>
      <c r="P28" s="79"/>
      <c r="Q28" s="84"/>
      <c r="R28" s="84"/>
      <c r="S28" s="84"/>
      <c r="T28" s="84"/>
      <c r="U28" s="84"/>
      <c r="V28" s="84"/>
      <c r="W28" s="84"/>
      <c r="X28" s="79"/>
      <c r="Y28" s="84"/>
      <c r="Z28" s="84"/>
      <c r="AA28" s="84"/>
      <c r="AB28" s="84"/>
      <c r="AC28" s="84"/>
      <c r="AD28" s="84"/>
      <c r="AE28" s="84"/>
      <c r="AF28" s="79"/>
    </row>
    <row r="29" spans="1:32" x14ac:dyDescent="0.2">
      <c r="A29" s="160" t="s">
        <v>10</v>
      </c>
      <c r="B29" s="158" t="s">
        <v>101</v>
      </c>
      <c r="C29" s="158"/>
      <c r="D29" s="158"/>
      <c r="E29" s="158"/>
      <c r="F29" s="158"/>
      <c r="G29" s="159" t="s">
        <v>250</v>
      </c>
      <c r="H29" s="56"/>
      <c r="I29" s="78"/>
      <c r="J29" s="118">
        <f t="shared" ref="J29:M30" si="18" xml:space="preserve"> (J12 + J26)</f>
        <v>0</v>
      </c>
      <c r="K29" s="118">
        <f t="shared" si="18"/>
        <v>0</v>
      </c>
      <c r="L29" s="118">
        <f t="shared" si="18"/>
        <v>0</v>
      </c>
      <c r="M29" s="118">
        <f t="shared" si="18"/>
        <v>0</v>
      </c>
      <c r="N29" s="78"/>
      <c r="O29" s="78"/>
      <c r="P29" s="79">
        <f t="shared" si="4"/>
        <v>0</v>
      </c>
      <c r="Q29" s="80"/>
      <c r="R29" s="118">
        <f t="shared" ref="R29:U30" si="19" xml:space="preserve"> (R12 + R26)</f>
        <v>0</v>
      </c>
      <c r="S29" s="118">
        <f t="shared" si="19"/>
        <v>0</v>
      </c>
      <c r="T29" s="118">
        <f t="shared" si="19"/>
        <v>0</v>
      </c>
      <c r="U29" s="118">
        <f t="shared" si="19"/>
        <v>0</v>
      </c>
      <c r="V29" s="80"/>
      <c r="W29" s="80"/>
      <c r="X29" s="79">
        <f t="shared" si="6"/>
        <v>0</v>
      </c>
      <c r="Y29" s="78"/>
      <c r="Z29" s="118">
        <f t="shared" ref="Z29:AC30" si="20" xml:space="preserve"> (Z12 + Z26)</f>
        <v>0</v>
      </c>
      <c r="AA29" s="118">
        <f t="shared" si="20"/>
        <v>0</v>
      </c>
      <c r="AB29" s="118">
        <f t="shared" si="20"/>
        <v>0</v>
      </c>
      <c r="AC29" s="118">
        <f t="shared" si="20"/>
        <v>0</v>
      </c>
      <c r="AD29" s="65"/>
      <c r="AE29" s="65"/>
      <c r="AF29" s="79">
        <f t="shared" si="15"/>
        <v>0</v>
      </c>
    </row>
    <row r="30" spans="1:32" x14ac:dyDescent="0.2">
      <c r="A30" s="160" t="s">
        <v>20</v>
      </c>
      <c r="B30" s="158" t="s">
        <v>928</v>
      </c>
      <c r="C30" s="158"/>
      <c r="D30" s="158"/>
      <c r="E30" s="158"/>
      <c r="F30" s="158"/>
      <c r="G30" s="159" t="s">
        <v>929</v>
      </c>
      <c r="H30" s="56"/>
      <c r="I30" s="78"/>
      <c r="J30" s="118">
        <f t="shared" si="18"/>
        <v>0</v>
      </c>
      <c r="K30" s="118">
        <f t="shared" si="18"/>
        <v>0</v>
      </c>
      <c r="L30" s="118">
        <f t="shared" si="18"/>
        <v>0</v>
      </c>
      <c r="M30" s="118">
        <f t="shared" si="18"/>
        <v>0</v>
      </c>
      <c r="N30" s="78"/>
      <c r="O30" s="78"/>
      <c r="P30" s="79">
        <f>I30+K30+M30+O30</f>
        <v>0</v>
      </c>
      <c r="Q30" s="80"/>
      <c r="R30" s="118">
        <f t="shared" si="19"/>
        <v>0</v>
      </c>
      <c r="S30" s="118">
        <f t="shared" si="19"/>
        <v>0</v>
      </c>
      <c r="T30" s="118">
        <f t="shared" si="19"/>
        <v>0</v>
      </c>
      <c r="U30" s="118">
        <f t="shared" si="19"/>
        <v>0</v>
      </c>
      <c r="V30" s="80"/>
      <c r="W30" s="80"/>
      <c r="X30" s="79">
        <f>Q30+S30+U30+W30</f>
        <v>0</v>
      </c>
      <c r="Y30" s="78"/>
      <c r="Z30" s="118">
        <f t="shared" si="20"/>
        <v>0</v>
      </c>
      <c r="AA30" s="118">
        <f t="shared" si="20"/>
        <v>0</v>
      </c>
      <c r="AB30" s="118">
        <f t="shared" si="20"/>
        <v>0</v>
      </c>
      <c r="AC30" s="118">
        <f t="shared" si="20"/>
        <v>0</v>
      </c>
      <c r="AD30" s="65"/>
      <c r="AE30" s="65"/>
      <c r="AF30" s="79">
        <f t="shared" si="15"/>
        <v>0</v>
      </c>
    </row>
    <row r="31" spans="1:32" x14ac:dyDescent="0.2">
      <c r="G31" s="30" t="s">
        <v>260</v>
      </c>
    </row>
  </sheetData>
  <sheetProtection sheet="1" objects="1" scenarios="1" selectLockedCells="1"/>
  <mergeCells count="22">
    <mergeCell ref="Y7:AF7"/>
    <mergeCell ref="Y8:Y9"/>
    <mergeCell ref="Z8:AA8"/>
    <mergeCell ref="AB8:AC8"/>
    <mergeCell ref="AF8:AF9"/>
    <mergeCell ref="AD8:AE8"/>
    <mergeCell ref="I8:I9"/>
    <mergeCell ref="J8:K8"/>
    <mergeCell ref="T8:U8"/>
    <mergeCell ref="X8:X9"/>
    <mergeCell ref="N8:O8"/>
    <mergeCell ref="V8:W8"/>
    <mergeCell ref="A1:AF1"/>
    <mergeCell ref="A7:F9"/>
    <mergeCell ref="L8:M8"/>
    <mergeCell ref="P8:P9"/>
    <mergeCell ref="I7:P7"/>
    <mergeCell ref="Q7:X7"/>
    <mergeCell ref="Q8:Q9"/>
    <mergeCell ref="R8:S8"/>
    <mergeCell ref="G7:G9"/>
    <mergeCell ref="H7:H9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F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25
&amp;U  &amp;P of &amp;N&amp;C&amp;"Arial,Bold"&amp;8 RB OF JAEN, INC.  [ 04-042345 ]
 As of: September 30, 2018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2"/>
  <sheetViews>
    <sheetView zoomScale="80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A11" sqref="A11"/>
    </sheetView>
  </sheetViews>
  <sheetFormatPr defaultRowHeight="11.25" x14ac:dyDescent="0.2"/>
  <cols>
    <col min="1" max="1" width="44.5703125" style="15" customWidth="1"/>
    <col min="2" max="2" width="4.85546875" style="15" hidden="1" customWidth="1"/>
    <col min="3" max="3" width="6.42578125" style="15" hidden="1" customWidth="1"/>
    <col min="4" max="4" width="6.5703125" style="15" hidden="1" customWidth="1"/>
    <col min="5" max="5" width="0.140625" style="15" hidden="1" customWidth="1"/>
    <col min="6" max="6" width="8.42578125" style="15" hidden="1" customWidth="1"/>
    <col min="7" max="7" width="17.140625" style="15" customWidth="1"/>
    <col min="8" max="8" width="10.28515625" style="27" customWidth="1"/>
    <col min="9" max="9" width="51.5703125" style="15" customWidth="1"/>
    <col min="10" max="10" width="16" style="15" customWidth="1"/>
    <col min="11" max="11" width="23" style="15" customWidth="1"/>
    <col min="12" max="12" width="17.85546875" style="15" customWidth="1"/>
    <col min="13" max="16384" width="9.140625" style="15"/>
  </cols>
  <sheetData>
    <row r="1" spans="1:12" s="71" customFormat="1" ht="12.75" x14ac:dyDescent="0.2">
      <c r="A1" s="216" t="s">
        <v>102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</row>
    <row r="2" spans="1:12" ht="12.75" hidden="1" x14ac:dyDescent="0.2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3" spans="1:12" ht="12.75" hidden="1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</row>
    <row r="4" spans="1:12" ht="12.75" hidden="1" x14ac:dyDescent="0.2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</row>
    <row r="5" spans="1:12" ht="12.75" hidden="1" x14ac:dyDescent="0.2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</row>
    <row r="7" spans="1:12" s="14" customFormat="1" ht="11.25" customHeight="1" x14ac:dyDescent="0.2">
      <c r="A7" s="217" t="s">
        <v>103</v>
      </c>
      <c r="B7" s="239"/>
      <c r="C7" s="239"/>
      <c r="D7" s="239"/>
      <c r="E7" s="239"/>
      <c r="F7" s="240"/>
      <c r="G7" s="234" t="s">
        <v>2</v>
      </c>
      <c r="H7" s="196" t="s">
        <v>104</v>
      </c>
      <c r="I7" s="236" t="s">
        <v>105</v>
      </c>
      <c r="J7" s="237" t="s">
        <v>106</v>
      </c>
      <c r="K7" s="238"/>
      <c r="L7" s="238"/>
    </row>
    <row r="8" spans="1:12" s="14" customFormat="1" x14ac:dyDescent="0.2">
      <c r="A8" s="220"/>
      <c r="B8" s="241"/>
      <c r="C8" s="241"/>
      <c r="D8" s="241"/>
      <c r="E8" s="241"/>
      <c r="F8" s="242"/>
      <c r="G8" s="234"/>
      <c r="H8" s="235"/>
      <c r="I8" s="236"/>
      <c r="J8" s="237" t="s">
        <v>107</v>
      </c>
      <c r="K8" s="238"/>
      <c r="L8" s="236" t="s">
        <v>108</v>
      </c>
    </row>
    <row r="9" spans="1:12" s="14" customFormat="1" ht="33.75" x14ac:dyDescent="0.2">
      <c r="A9" s="220"/>
      <c r="B9" s="241"/>
      <c r="C9" s="241"/>
      <c r="D9" s="241"/>
      <c r="E9" s="241"/>
      <c r="F9" s="242"/>
      <c r="G9" s="234"/>
      <c r="H9" s="197"/>
      <c r="I9" s="236"/>
      <c r="J9" s="62" t="s">
        <v>6</v>
      </c>
      <c r="K9" s="62" t="s">
        <v>109</v>
      </c>
      <c r="L9" s="236"/>
    </row>
    <row r="10" spans="1:12" x14ac:dyDescent="0.2">
      <c r="A10" s="166" t="s">
        <v>110</v>
      </c>
      <c r="B10" s="167"/>
      <c r="C10" s="167"/>
      <c r="D10" s="167"/>
      <c r="E10" s="167"/>
      <c r="F10" s="167"/>
      <c r="G10" s="168" t="s">
        <v>251</v>
      </c>
      <c r="H10" s="28" t="s">
        <v>270</v>
      </c>
      <c r="I10" s="120"/>
      <c r="J10" s="119">
        <f>SUM(J11:J12)</f>
        <v>0</v>
      </c>
      <c r="K10" s="119">
        <f>SUM(K11:K12)</f>
        <v>0</v>
      </c>
      <c r="L10" s="119">
        <f>SUM(L11:L12)</f>
        <v>0</v>
      </c>
    </row>
    <row r="11" spans="1:12" x14ac:dyDescent="0.2">
      <c r="A11" s="69"/>
      <c r="B11" s="170"/>
      <c r="C11" s="170"/>
      <c r="D11" s="170"/>
      <c r="E11" s="170"/>
      <c r="F11" s="170"/>
      <c r="G11" s="171"/>
      <c r="H11" s="72">
        <v>1</v>
      </c>
      <c r="I11" s="121"/>
      <c r="J11" s="122"/>
      <c r="K11" s="122"/>
      <c r="L11" s="122"/>
    </row>
    <row r="12" spans="1:12" s="32" customFormat="1" x14ac:dyDescent="0.2">
      <c r="A12" s="169"/>
      <c r="B12" s="170"/>
      <c r="C12" s="170"/>
      <c r="D12" s="170"/>
      <c r="E12" s="170"/>
      <c r="F12" s="170"/>
      <c r="G12" s="171"/>
      <c r="H12" s="67" t="str">
        <f>CHAR(132)</f>
        <v>„</v>
      </c>
      <c r="I12" s="58"/>
      <c r="J12" s="59"/>
      <c r="K12" s="59"/>
      <c r="L12" s="60"/>
    </row>
    <row r="13" spans="1:12" x14ac:dyDescent="0.2">
      <c r="A13" s="172" t="s">
        <v>111</v>
      </c>
      <c r="B13" s="173"/>
      <c r="C13" s="173"/>
      <c r="D13" s="173"/>
      <c r="E13" s="173"/>
      <c r="F13" s="173"/>
      <c r="G13" s="168" t="s">
        <v>252</v>
      </c>
      <c r="H13" s="73" t="s">
        <v>271</v>
      </c>
      <c r="I13" s="120"/>
      <c r="J13" s="119">
        <f>SUM(J14:J15)</f>
        <v>0</v>
      </c>
      <c r="K13" s="119">
        <f>SUM(K14:K15)</f>
        <v>0</v>
      </c>
      <c r="L13" s="119">
        <f>SUM(L14:L15)</f>
        <v>0</v>
      </c>
    </row>
    <row r="14" spans="1:12" x14ac:dyDescent="0.2">
      <c r="A14" s="69"/>
      <c r="B14" s="170"/>
      <c r="C14" s="170"/>
      <c r="D14" s="170"/>
      <c r="E14" s="170"/>
      <c r="F14" s="170"/>
      <c r="G14" s="171"/>
      <c r="H14" s="72">
        <v>1</v>
      </c>
      <c r="I14" s="121"/>
      <c r="J14" s="122"/>
      <c r="K14" s="122"/>
      <c r="L14" s="122"/>
    </row>
    <row r="15" spans="1:12" s="32" customFormat="1" x14ac:dyDescent="0.2">
      <c r="A15" s="174"/>
      <c r="B15" s="175"/>
      <c r="C15" s="175"/>
      <c r="D15" s="175"/>
      <c r="E15" s="175"/>
      <c r="F15" s="175"/>
      <c r="G15" s="176"/>
      <c r="H15" s="67" t="str">
        <f>CHAR(132)</f>
        <v>„</v>
      </c>
      <c r="I15" s="34"/>
      <c r="J15" s="35"/>
      <c r="K15" s="35"/>
      <c r="L15" s="36"/>
    </row>
    <row r="16" spans="1:12" x14ac:dyDescent="0.2">
      <c r="A16" s="172" t="s">
        <v>112</v>
      </c>
      <c r="B16" s="173"/>
      <c r="C16" s="173"/>
      <c r="D16" s="173"/>
      <c r="E16" s="173"/>
      <c r="F16" s="173"/>
      <c r="G16" s="168" t="s">
        <v>253</v>
      </c>
      <c r="H16" s="73" t="s">
        <v>272</v>
      </c>
      <c r="I16" s="74"/>
      <c r="J16" s="66">
        <f>SUM(J17:J18)</f>
        <v>0</v>
      </c>
      <c r="K16" s="66">
        <f>SUM(K17:K18)</f>
        <v>0</v>
      </c>
      <c r="L16" s="66">
        <f>SUM(L17:L18)</f>
        <v>0</v>
      </c>
    </row>
    <row r="17" spans="1:12" x14ac:dyDescent="0.2">
      <c r="A17" s="69"/>
      <c r="B17" s="170"/>
      <c r="C17" s="170"/>
      <c r="D17" s="170"/>
      <c r="E17" s="170"/>
      <c r="F17" s="170"/>
      <c r="G17" s="171"/>
      <c r="H17" s="72">
        <v>1</v>
      </c>
      <c r="I17" s="57"/>
      <c r="J17" s="61"/>
      <c r="K17" s="61"/>
      <c r="L17" s="61"/>
    </row>
    <row r="18" spans="1:12" s="32" customFormat="1" x14ac:dyDescent="0.2">
      <c r="A18" s="174"/>
      <c r="B18" s="175"/>
      <c r="C18" s="175"/>
      <c r="D18" s="175"/>
      <c r="E18" s="175"/>
      <c r="F18" s="175"/>
      <c r="G18" s="176"/>
      <c r="H18" s="67" t="str">
        <f>CHAR(132)</f>
        <v>„</v>
      </c>
      <c r="I18" s="34"/>
      <c r="J18" s="35"/>
      <c r="K18" s="35"/>
      <c r="L18" s="36"/>
    </row>
    <row r="19" spans="1:12" x14ac:dyDescent="0.2">
      <c r="A19" s="172" t="s">
        <v>113</v>
      </c>
      <c r="B19" s="173"/>
      <c r="C19" s="173"/>
      <c r="D19" s="173"/>
      <c r="E19" s="173"/>
      <c r="F19" s="173"/>
      <c r="G19" s="168" t="s">
        <v>254</v>
      </c>
      <c r="H19" s="73" t="s">
        <v>273</v>
      </c>
      <c r="I19" s="74"/>
      <c r="J19" s="66">
        <f>SUM(J20:J21)</f>
        <v>0</v>
      </c>
      <c r="K19" s="66">
        <f>SUM(K20:K21)</f>
        <v>0</v>
      </c>
      <c r="L19" s="66">
        <f>SUM(L20:L21)</f>
        <v>0</v>
      </c>
    </row>
    <row r="20" spans="1:12" x14ac:dyDescent="0.2">
      <c r="A20" s="69"/>
      <c r="B20" s="170"/>
      <c r="C20" s="170"/>
      <c r="D20" s="170"/>
      <c r="E20" s="170"/>
      <c r="F20" s="170"/>
      <c r="G20" s="171" t="s">
        <v>255</v>
      </c>
      <c r="H20" s="72">
        <v>1</v>
      </c>
      <c r="I20" s="57"/>
      <c r="J20" s="61"/>
      <c r="K20" s="61"/>
      <c r="L20" s="61"/>
    </row>
    <row r="21" spans="1:12" s="32" customFormat="1" x14ac:dyDescent="0.2">
      <c r="A21" s="169"/>
      <c r="B21" s="170"/>
      <c r="C21" s="170"/>
      <c r="D21" s="170"/>
      <c r="E21" s="170"/>
      <c r="F21" s="170"/>
      <c r="G21" s="176" t="s">
        <v>255</v>
      </c>
      <c r="H21" s="68" t="str">
        <f>CHAR(132)</f>
        <v>„</v>
      </c>
      <c r="I21" s="58"/>
      <c r="J21" s="59"/>
      <c r="K21" s="59"/>
      <c r="L21" s="60"/>
    </row>
    <row r="22" spans="1:12" x14ac:dyDescent="0.2">
      <c r="A22" s="172" t="s">
        <v>114</v>
      </c>
      <c r="B22" s="173"/>
      <c r="C22" s="173"/>
      <c r="D22" s="173"/>
      <c r="E22" s="173"/>
      <c r="F22" s="173"/>
      <c r="G22" s="168" t="s">
        <v>276</v>
      </c>
      <c r="H22" s="73" t="s">
        <v>274</v>
      </c>
      <c r="I22" s="74"/>
      <c r="J22" s="66">
        <f>SUM(J23:J24)</f>
        <v>0</v>
      </c>
      <c r="K22" s="66">
        <f>SUM(K23:K24)</f>
        <v>0</v>
      </c>
      <c r="L22" s="66">
        <f>SUM(L23:L24)</f>
        <v>0</v>
      </c>
    </row>
    <row r="23" spans="1:12" s="16" customFormat="1" x14ac:dyDescent="0.2">
      <c r="A23" s="69"/>
      <c r="B23" s="170"/>
      <c r="C23" s="170"/>
      <c r="D23" s="170"/>
      <c r="E23" s="170"/>
      <c r="F23" s="170"/>
      <c r="G23" s="171"/>
      <c r="H23" s="72">
        <v>1</v>
      </c>
      <c r="I23" s="57"/>
      <c r="J23" s="61"/>
      <c r="K23" s="61"/>
      <c r="L23" s="61"/>
    </row>
    <row r="24" spans="1:12" s="37" customFormat="1" x14ac:dyDescent="0.2">
      <c r="A24" s="174"/>
      <c r="B24" s="175"/>
      <c r="C24" s="175"/>
      <c r="D24" s="175"/>
      <c r="E24" s="175"/>
      <c r="F24" s="175"/>
      <c r="G24" s="176"/>
      <c r="H24" s="67" t="str">
        <f>CHAR(132)</f>
        <v>„</v>
      </c>
      <c r="I24" s="34"/>
      <c r="J24" s="35"/>
      <c r="K24" s="35"/>
      <c r="L24" s="36"/>
    </row>
    <row r="25" spans="1:12" x14ac:dyDescent="0.2">
      <c r="A25" s="166" t="s">
        <v>115</v>
      </c>
      <c r="B25" s="167"/>
      <c r="C25" s="167"/>
      <c r="D25" s="167"/>
      <c r="E25" s="167"/>
      <c r="F25" s="167"/>
      <c r="G25" s="177" t="s">
        <v>256</v>
      </c>
      <c r="H25" s="73" t="s">
        <v>275</v>
      </c>
      <c r="I25" s="74"/>
      <c r="J25" s="66">
        <f>SUM(J26:J27)</f>
        <v>0</v>
      </c>
      <c r="K25" s="66">
        <f>SUM(K26:K27)</f>
        <v>0</v>
      </c>
      <c r="L25" s="66">
        <f>SUM(L26:L27)</f>
        <v>0</v>
      </c>
    </row>
    <row r="26" spans="1:12" x14ac:dyDescent="0.2">
      <c r="A26" s="69"/>
      <c r="B26" s="170"/>
      <c r="C26" s="170"/>
      <c r="D26" s="170"/>
      <c r="E26" s="170"/>
      <c r="F26" s="170"/>
      <c r="G26" s="171"/>
      <c r="H26" s="72">
        <v>1</v>
      </c>
      <c r="I26" s="57"/>
      <c r="J26" s="61"/>
      <c r="K26" s="61"/>
      <c r="L26" s="61"/>
    </row>
    <row r="27" spans="1:12" s="32" customFormat="1" x14ac:dyDescent="0.2">
      <c r="A27" s="174"/>
      <c r="B27" s="175"/>
      <c r="C27" s="175"/>
      <c r="D27" s="175"/>
      <c r="E27" s="175"/>
      <c r="F27" s="175"/>
      <c r="G27" s="176"/>
      <c r="H27" s="68" t="str">
        <f>CHAR(132)</f>
        <v>„</v>
      </c>
      <c r="I27" s="58"/>
      <c r="J27" s="59"/>
      <c r="K27" s="59"/>
      <c r="L27" s="60"/>
    </row>
    <row r="28" spans="1:12" s="32" customFormat="1" x14ac:dyDescent="0.2">
      <c r="A28" s="166" t="s">
        <v>299</v>
      </c>
      <c r="B28" s="167"/>
      <c r="C28" s="167"/>
      <c r="D28" s="167"/>
      <c r="E28" s="167"/>
      <c r="F28" s="167"/>
      <c r="G28" s="178" t="s">
        <v>300</v>
      </c>
      <c r="H28" s="107" t="s">
        <v>301</v>
      </c>
      <c r="I28" s="110"/>
      <c r="J28" s="66">
        <f>SUM(J29:J30)</f>
        <v>0</v>
      </c>
      <c r="K28" s="66">
        <f>SUM(K29:K30)</f>
        <v>0</v>
      </c>
      <c r="L28" s="66">
        <f>SUM(L29:L30)</f>
        <v>0</v>
      </c>
    </row>
    <row r="29" spans="1:12" s="32" customFormat="1" x14ac:dyDescent="0.2">
      <c r="A29" s="69"/>
      <c r="B29" s="170"/>
      <c r="C29" s="170"/>
      <c r="D29" s="170"/>
      <c r="E29" s="170"/>
      <c r="F29" s="170"/>
      <c r="G29" s="179"/>
      <c r="H29" s="108">
        <v>1</v>
      </c>
      <c r="I29" s="113"/>
      <c r="J29" s="112"/>
      <c r="K29" s="112"/>
      <c r="L29" s="61"/>
    </row>
    <row r="30" spans="1:12" s="32" customFormat="1" x14ac:dyDescent="0.2">
      <c r="A30" s="174"/>
      <c r="B30" s="175"/>
      <c r="C30" s="175"/>
      <c r="D30" s="175"/>
      <c r="E30" s="175"/>
      <c r="F30" s="175"/>
      <c r="G30" s="180"/>
      <c r="H30" s="109"/>
      <c r="I30" s="33"/>
      <c r="J30" s="111"/>
      <c r="K30" s="111"/>
      <c r="L30" s="36"/>
    </row>
    <row r="31" spans="1:12" s="14" customFormat="1" x14ac:dyDescent="0.2">
      <c r="A31" s="181" t="s">
        <v>262</v>
      </c>
      <c r="B31" s="182"/>
      <c r="C31" s="182"/>
      <c r="D31" s="182"/>
      <c r="E31" s="182"/>
      <c r="F31" s="182"/>
      <c r="G31" s="183" t="s">
        <v>257</v>
      </c>
      <c r="H31" s="75"/>
      <c r="I31" s="76"/>
      <c r="J31" s="77">
        <f>J10+J13+J16+J19+J22+J25+J28</f>
        <v>0</v>
      </c>
      <c r="K31" s="77">
        <f>K10+K13+K16+K19+K22+K25+K28</f>
        <v>0</v>
      </c>
      <c r="L31" s="77">
        <f>L10+L13+L16+L19+L22+L25+L28</f>
        <v>0</v>
      </c>
    </row>
    <row r="32" spans="1:12" x14ac:dyDescent="0.2">
      <c r="G32" s="31" t="s">
        <v>260</v>
      </c>
    </row>
  </sheetData>
  <sheetProtection sheet="1" objects="1" scenarios="1" selectLockedCells="1"/>
  <mergeCells count="8">
    <mergeCell ref="G7:G9"/>
    <mergeCell ref="A1:L1"/>
    <mergeCell ref="H7:H9"/>
    <mergeCell ref="L8:L9"/>
    <mergeCell ref="J8:K8"/>
    <mergeCell ref="J7:L7"/>
    <mergeCell ref="I7:I9"/>
    <mergeCell ref="A7:F9"/>
  </mergeCells>
  <phoneticPr fontId="1" type="noConversion"/>
  <dataValidations count="2">
    <dataValidation allowBlank="1" showInputMessage="1" showErrorMessage="1" sqref="J31:L31"/>
    <dataValidation type="decimal" operator="greaterThanOrEqual" allowBlank="1" showInputMessage="1" showErrorMessage="1" errorTitle="Invalid entry!" error="Accepts greater than or equal to zero only." sqref="I10:L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27
&amp;U  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031" r:id="rId4" name="Label1">
          <controlPr defaultSize="0" autoLine="0" r:id="rId5">
            <anchor moveWithCells="1">
              <from>
                <xdr:col>7</xdr:col>
                <xdr:colOff>247650</xdr:colOff>
                <xdr:row>29</xdr:row>
                <xdr:rowOff>9525</xdr:rowOff>
              </from>
              <to>
                <xdr:col>7</xdr:col>
                <xdr:colOff>676275</xdr:colOff>
                <xdr:row>29</xdr:row>
                <xdr:rowOff>123825</xdr:rowOff>
              </to>
            </anchor>
          </controlPr>
        </control>
      </mc:Choice>
      <mc:Fallback>
        <control shapeId="1031" r:id="rId4" name="Label1"/>
      </mc:Fallback>
    </mc:AlternateContent>
    <mc:AlternateContent xmlns:mc="http://schemas.openxmlformats.org/markup-compatibility/2006">
      <mc:Choice Requires="x14">
        <control shapeId="1030" r:id="rId6" name="Label_e">
          <controlPr defaultSize="0" autoLine="0" r:id="rId7">
            <anchor moveWithCells="1">
              <from>
                <xdr:col>7</xdr:col>
                <xdr:colOff>247650</xdr:colOff>
                <xdr:row>23</xdr:row>
                <xdr:rowOff>9525</xdr:rowOff>
              </from>
              <to>
                <xdr:col>7</xdr:col>
                <xdr:colOff>676275</xdr:colOff>
                <xdr:row>23</xdr:row>
                <xdr:rowOff>123825</xdr:rowOff>
              </to>
            </anchor>
          </controlPr>
        </control>
      </mc:Choice>
      <mc:Fallback>
        <control shapeId="1030" r:id="rId6" name="Label_e"/>
      </mc:Fallback>
    </mc:AlternateContent>
    <mc:AlternateContent xmlns:mc="http://schemas.openxmlformats.org/markup-compatibility/2006">
      <mc:Choice Requires="x14">
        <control shapeId="1029" r:id="rId8" name="Label_d">
          <controlPr defaultSize="0" autoLine="0" r:id="rId9">
            <anchor moveWithCells="1">
              <from>
                <xdr:col>7</xdr:col>
                <xdr:colOff>247650</xdr:colOff>
                <xdr:row>20</xdr:row>
                <xdr:rowOff>19050</xdr:rowOff>
              </from>
              <to>
                <xdr:col>7</xdr:col>
                <xdr:colOff>676275</xdr:colOff>
                <xdr:row>20</xdr:row>
                <xdr:rowOff>133350</xdr:rowOff>
              </to>
            </anchor>
          </controlPr>
        </control>
      </mc:Choice>
      <mc:Fallback>
        <control shapeId="1029" r:id="rId8" name="Label_d"/>
      </mc:Fallback>
    </mc:AlternateContent>
    <mc:AlternateContent xmlns:mc="http://schemas.openxmlformats.org/markup-compatibility/2006">
      <mc:Choice Requires="x14">
        <control shapeId="1028" r:id="rId10" name="Label_c">
          <controlPr defaultSize="0" autoLine="0" r:id="rId11">
            <anchor moveWithCells="1">
              <from>
                <xdr:col>7</xdr:col>
                <xdr:colOff>247650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0</xdr:rowOff>
              </to>
            </anchor>
          </controlPr>
        </control>
      </mc:Choice>
      <mc:Fallback>
        <control shapeId="1028" r:id="rId10" name="Label_c"/>
      </mc:Fallback>
    </mc:AlternateContent>
    <mc:AlternateContent xmlns:mc="http://schemas.openxmlformats.org/markup-compatibility/2006">
      <mc:Choice Requires="x14">
        <control shapeId="1027" r:id="rId12" name="Label_b">
          <controlPr defaultSize="0" autoLine="0" r:id="rId13">
            <anchor moveWithCells="1">
              <from>
                <xdr:col>7</xdr:col>
                <xdr:colOff>247650</xdr:colOff>
                <xdr:row>14</xdr:row>
                <xdr:rowOff>9525</xdr:rowOff>
              </from>
              <to>
                <xdr:col>7</xdr:col>
                <xdr:colOff>676275</xdr:colOff>
                <xdr:row>14</xdr:row>
                <xdr:rowOff>123825</xdr:rowOff>
              </to>
            </anchor>
          </controlPr>
        </control>
      </mc:Choice>
      <mc:Fallback>
        <control shapeId="1027" r:id="rId12" name="Label_b"/>
      </mc:Fallback>
    </mc:AlternateContent>
    <mc:AlternateContent xmlns:mc="http://schemas.openxmlformats.org/markup-compatibility/2006">
      <mc:Choice Requires="x14">
        <control shapeId="1026" r:id="rId14" name="Label_a">
          <controlPr defaultSize="0" autoLine="0" r:id="rId15">
            <anchor moveWithCells="1">
              <from>
                <xdr:col>7</xdr:col>
                <xdr:colOff>247650</xdr:colOff>
                <xdr:row>11</xdr:row>
                <xdr:rowOff>19050</xdr:rowOff>
              </from>
              <to>
                <xdr:col>7</xdr:col>
                <xdr:colOff>676275</xdr:colOff>
                <xdr:row>11</xdr:row>
                <xdr:rowOff>133350</xdr:rowOff>
              </to>
            </anchor>
          </controlPr>
        </control>
      </mc:Choice>
      <mc:Fallback>
        <control shapeId="1026" r:id="rId14" name="Label_a"/>
      </mc:Fallback>
    </mc:AlternateContent>
    <mc:AlternateContent xmlns:mc="http://schemas.openxmlformats.org/markup-compatibility/2006">
      <mc:Choice Requires="x14">
        <control shapeId="1025" r:id="rId16" name="Label_f">
          <controlPr defaultSize="0" autoLine="0" r:id="rId17">
            <anchor moveWithCells="1">
              <from>
                <xdr:col>7</xdr:col>
                <xdr:colOff>247650</xdr:colOff>
                <xdr:row>26</xdr:row>
                <xdr:rowOff>9525</xdr:rowOff>
              </from>
              <to>
                <xdr:col>7</xdr:col>
                <xdr:colOff>676275</xdr:colOff>
                <xdr:row>26</xdr:row>
                <xdr:rowOff>123825</xdr:rowOff>
              </to>
            </anchor>
          </controlPr>
        </control>
      </mc:Choice>
      <mc:Fallback>
        <control shapeId="1025" r:id="rId16" name="Label_f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3"/>
  <sheetViews>
    <sheetView tabSelected="1" topLeftCell="B1" workbookViewId="0"/>
  </sheetViews>
  <sheetFormatPr defaultColWidth="5" defaultRowHeight="12.75" x14ac:dyDescent="0.2"/>
  <cols>
    <col min="1" max="1" width="43.42578125" style="39" hidden="1" customWidth="1"/>
    <col min="2" max="16384" width="5" style="39"/>
  </cols>
  <sheetData>
    <row r="1" spans="1:2" x14ac:dyDescent="0.2">
      <c r="A1" s="123" t="s">
        <v>936</v>
      </c>
      <c r="B1" s="38" t="s">
        <v>255</v>
      </c>
    </row>
    <row r="2" spans="1:2" x14ac:dyDescent="0.2">
      <c r="A2" s="123" t="s">
        <v>937</v>
      </c>
      <c r="B2" s="38" t="s">
        <v>255</v>
      </c>
    </row>
    <row r="3" spans="1:2" x14ac:dyDescent="0.2">
      <c r="A3" s="123" t="s">
        <v>938</v>
      </c>
      <c r="B3" s="38" t="s">
        <v>255</v>
      </c>
    </row>
    <row r="4" spans="1:2" x14ac:dyDescent="0.2">
      <c r="A4" s="123" t="s">
        <v>939</v>
      </c>
      <c r="B4" s="38" t="s">
        <v>255</v>
      </c>
    </row>
    <row r="5" spans="1:2" x14ac:dyDescent="0.2">
      <c r="A5" s="123">
        <v>8</v>
      </c>
      <c r="B5" s="38" t="s">
        <v>255</v>
      </c>
    </row>
    <row r="6" spans="1:2" x14ac:dyDescent="0.2">
      <c r="A6" s="123" t="s">
        <v>940</v>
      </c>
      <c r="B6" s="39" t="s">
        <v>255</v>
      </c>
    </row>
    <row r="7" spans="1:2" x14ac:dyDescent="0.2">
      <c r="A7" s="124">
        <v>20180930</v>
      </c>
      <c r="B7" s="39" t="s">
        <v>255</v>
      </c>
    </row>
    <row r="8" spans="1:2" x14ac:dyDescent="0.2">
      <c r="A8" s="125" t="s">
        <v>278</v>
      </c>
    </row>
    <row r="9" spans="1:2" x14ac:dyDescent="0.2">
      <c r="A9" s="125" t="s">
        <v>932</v>
      </c>
    </row>
    <row r="10" spans="1:2" x14ac:dyDescent="0.2">
      <c r="A10" s="126">
        <v>2</v>
      </c>
    </row>
    <row r="11" spans="1:2" x14ac:dyDescent="0.2">
      <c r="A11" s="125" t="s">
        <v>914</v>
      </c>
    </row>
    <row r="12" spans="1:2" x14ac:dyDescent="0.2">
      <c r="A12" s="125"/>
    </row>
    <row r="13" spans="1:2" x14ac:dyDescent="0.2">
      <c r="A13" s="125"/>
    </row>
    <row r="14" spans="1:2" x14ac:dyDescent="0.2">
      <c r="A14" s="125"/>
    </row>
    <row r="15" spans="1:2" x14ac:dyDescent="0.2">
      <c r="A15" s="125"/>
    </row>
    <row r="16" spans="1:2" x14ac:dyDescent="0.2">
      <c r="A16" s="125"/>
    </row>
    <row r="17" spans="1:1" x14ac:dyDescent="0.2">
      <c r="A17" s="125"/>
    </row>
    <row r="18" spans="1:1" x14ac:dyDescent="0.2">
      <c r="A18" s="125"/>
    </row>
    <row r="19" spans="1:1" x14ac:dyDescent="0.2">
      <c r="A19" s="125"/>
    </row>
    <row r="20" spans="1:1" x14ac:dyDescent="0.2">
      <c r="A20" s="125">
        <v>9</v>
      </c>
    </row>
    <row r="21" spans="1:1" x14ac:dyDescent="0.2">
      <c r="A21" s="125">
        <v>2017</v>
      </c>
    </row>
    <row r="22" spans="1:1" x14ac:dyDescent="0.2">
      <c r="A22" s="125"/>
    </row>
    <row r="23" spans="1:1" x14ac:dyDescent="0.2">
      <c r="A23" s="125"/>
    </row>
    <row r="24" spans="1:1" x14ac:dyDescent="0.2">
      <c r="A24" s="125"/>
    </row>
    <row r="25" spans="1:1" x14ac:dyDescent="0.2">
      <c r="A25" s="125"/>
    </row>
    <row r="26" spans="1:1" x14ac:dyDescent="0.2">
      <c r="A26" s="125"/>
    </row>
    <row r="27" spans="1:1" x14ac:dyDescent="0.2">
      <c r="A27" s="125"/>
    </row>
    <row r="28" spans="1:1" x14ac:dyDescent="0.2">
      <c r="A28" s="125"/>
    </row>
    <row r="29" spans="1:1" x14ac:dyDescent="0.2">
      <c r="A29" s="125"/>
    </row>
    <row r="30" spans="1:1" x14ac:dyDescent="0.2">
      <c r="A30" s="125"/>
    </row>
    <row r="31" spans="1:1" x14ac:dyDescent="0.2">
      <c r="A31" s="125"/>
    </row>
    <row r="32" spans="1:1" x14ac:dyDescent="0.2">
      <c r="A32" s="125"/>
    </row>
    <row r="33" spans="1:1" x14ac:dyDescent="0.2">
      <c r="A33" s="125"/>
    </row>
    <row r="34" spans="1:1" x14ac:dyDescent="0.2">
      <c r="A34" s="125"/>
    </row>
    <row r="35" spans="1:1" x14ac:dyDescent="0.2">
      <c r="A35" s="125"/>
    </row>
    <row r="36" spans="1:1" x14ac:dyDescent="0.2">
      <c r="A36" s="125"/>
    </row>
    <row r="37" spans="1:1" x14ac:dyDescent="0.2">
      <c r="A37" s="125"/>
    </row>
    <row r="38" spans="1:1" x14ac:dyDescent="0.2">
      <c r="A38" s="125"/>
    </row>
    <row r="39" spans="1:1" x14ac:dyDescent="0.2">
      <c r="A39" s="125"/>
    </row>
    <row r="40" spans="1:1" x14ac:dyDescent="0.2">
      <c r="A40" s="125"/>
    </row>
    <row r="41" spans="1:1" x14ac:dyDescent="0.2">
      <c r="A41" s="125"/>
    </row>
    <row r="42" spans="1:1" x14ac:dyDescent="0.2">
      <c r="A42" s="125"/>
    </row>
    <row r="43" spans="1:1" x14ac:dyDescent="0.2">
      <c r="A43" s="125"/>
    </row>
    <row r="44" spans="1:1" x14ac:dyDescent="0.2">
      <c r="A44" s="125"/>
    </row>
    <row r="45" spans="1:1" x14ac:dyDescent="0.2">
      <c r="A45" s="125"/>
    </row>
    <row r="46" spans="1:1" x14ac:dyDescent="0.2">
      <c r="A46" s="125"/>
    </row>
    <row r="47" spans="1:1" x14ac:dyDescent="0.2">
      <c r="A47" s="125"/>
    </row>
    <row r="48" spans="1:1" x14ac:dyDescent="0.2">
      <c r="A48" s="125"/>
    </row>
    <row r="49" spans="1:1" x14ac:dyDescent="0.2">
      <c r="A49" s="125"/>
    </row>
    <row r="50" spans="1:1" x14ac:dyDescent="0.2">
      <c r="A50" s="125" t="s">
        <v>596</v>
      </c>
    </row>
    <row r="51" spans="1:1" x14ac:dyDescent="0.2">
      <c r="A51" s="125" t="s">
        <v>558</v>
      </c>
    </row>
    <row r="52" spans="1:1" x14ac:dyDescent="0.2">
      <c r="A52" s="125" t="s">
        <v>559</v>
      </c>
    </row>
    <row r="53" spans="1:1" x14ac:dyDescent="0.2">
      <c r="A53" s="125" t="s">
        <v>604</v>
      </c>
    </row>
    <row r="54" spans="1:1" x14ac:dyDescent="0.2">
      <c r="A54" s="125" t="s">
        <v>628</v>
      </c>
    </row>
    <row r="55" spans="1:1" x14ac:dyDescent="0.2">
      <c r="A55" s="125" t="s">
        <v>629</v>
      </c>
    </row>
    <row r="56" spans="1:1" x14ac:dyDescent="0.2">
      <c r="A56" s="125" t="s">
        <v>917</v>
      </c>
    </row>
    <row r="57" spans="1:1" x14ac:dyDescent="0.2">
      <c r="A57" s="125" t="s">
        <v>630</v>
      </c>
    </row>
    <row r="58" spans="1:1" x14ac:dyDescent="0.2">
      <c r="A58" s="125" t="s">
        <v>631</v>
      </c>
    </row>
    <row r="59" spans="1:1" x14ac:dyDescent="0.2">
      <c r="A59" s="125" t="s">
        <v>605</v>
      </c>
    </row>
    <row r="60" spans="1:1" x14ac:dyDescent="0.2">
      <c r="A60" s="125" t="s">
        <v>632</v>
      </c>
    </row>
    <row r="61" spans="1:1" x14ac:dyDescent="0.2">
      <c r="A61" s="125" t="s">
        <v>304</v>
      </c>
    </row>
    <row r="62" spans="1:1" x14ac:dyDescent="0.2">
      <c r="A62" s="125" t="s">
        <v>595</v>
      </c>
    </row>
    <row r="63" spans="1:1" x14ac:dyDescent="0.2">
      <c r="A63" s="125" t="s">
        <v>305</v>
      </c>
    </row>
    <row r="64" spans="1:1" x14ac:dyDescent="0.2">
      <c r="A64" s="125" t="s">
        <v>633</v>
      </c>
    </row>
    <row r="65" spans="1:1" x14ac:dyDescent="0.2">
      <c r="A65" s="125" t="s">
        <v>306</v>
      </c>
    </row>
    <row r="66" spans="1:1" x14ac:dyDescent="0.2">
      <c r="A66" s="125" t="s">
        <v>307</v>
      </c>
    </row>
    <row r="67" spans="1:1" x14ac:dyDescent="0.2">
      <c r="A67" s="125" t="s">
        <v>606</v>
      </c>
    </row>
    <row r="68" spans="1:1" x14ac:dyDescent="0.2">
      <c r="A68" s="125" t="s">
        <v>308</v>
      </c>
    </row>
    <row r="69" spans="1:1" x14ac:dyDescent="0.2">
      <c r="A69" s="125" t="s">
        <v>309</v>
      </c>
    </row>
    <row r="70" spans="1:1" x14ac:dyDescent="0.2">
      <c r="A70" s="125" t="s">
        <v>568</v>
      </c>
    </row>
    <row r="71" spans="1:1" x14ac:dyDescent="0.2">
      <c r="A71" s="125" t="s">
        <v>616</v>
      </c>
    </row>
    <row r="72" spans="1:1" x14ac:dyDescent="0.2">
      <c r="A72" s="125" t="s">
        <v>569</v>
      </c>
    </row>
    <row r="73" spans="1:1" x14ac:dyDescent="0.2">
      <c r="A73" s="125" t="s">
        <v>920</v>
      </c>
    </row>
    <row r="74" spans="1:1" x14ac:dyDescent="0.2">
      <c r="A74" s="125" t="s">
        <v>597</v>
      </c>
    </row>
    <row r="75" spans="1:1" x14ac:dyDescent="0.2">
      <c r="A75" s="125" t="s">
        <v>611</v>
      </c>
    </row>
    <row r="76" spans="1:1" x14ac:dyDescent="0.2">
      <c r="A76" s="125" t="s">
        <v>909</v>
      </c>
    </row>
    <row r="77" spans="1:1" x14ac:dyDescent="0.2">
      <c r="A77" s="125" t="s">
        <v>310</v>
      </c>
    </row>
    <row r="78" spans="1:1" x14ac:dyDescent="0.2">
      <c r="A78" s="125" t="s">
        <v>311</v>
      </c>
    </row>
    <row r="79" spans="1:1" x14ac:dyDescent="0.2">
      <c r="A79" s="125" t="s">
        <v>636</v>
      </c>
    </row>
    <row r="80" spans="1:1" x14ac:dyDescent="0.2">
      <c r="A80" s="125" t="s">
        <v>637</v>
      </c>
    </row>
    <row r="81" spans="1:1" x14ac:dyDescent="0.2">
      <c r="A81" s="125" t="s">
        <v>860</v>
      </c>
    </row>
    <row r="82" spans="1:1" x14ac:dyDescent="0.2">
      <c r="A82" s="125" t="s">
        <v>570</v>
      </c>
    </row>
    <row r="83" spans="1:1" x14ac:dyDescent="0.2">
      <c r="A83" s="125" t="s">
        <v>607</v>
      </c>
    </row>
    <row r="84" spans="1:1" x14ac:dyDescent="0.2">
      <c r="A84" s="125" t="s">
        <v>312</v>
      </c>
    </row>
    <row r="85" spans="1:1" x14ac:dyDescent="0.2">
      <c r="A85" s="125" t="s">
        <v>313</v>
      </c>
    </row>
    <row r="86" spans="1:1" x14ac:dyDescent="0.2">
      <c r="A86" s="125" t="s">
        <v>571</v>
      </c>
    </row>
    <row r="87" spans="1:1" x14ac:dyDescent="0.2">
      <c r="A87" s="125" t="s">
        <v>926</v>
      </c>
    </row>
    <row r="88" spans="1:1" x14ac:dyDescent="0.2">
      <c r="A88" s="125" t="s">
        <v>640</v>
      </c>
    </row>
    <row r="89" spans="1:1" x14ac:dyDescent="0.2">
      <c r="A89" s="125" t="s">
        <v>314</v>
      </c>
    </row>
    <row r="90" spans="1:1" x14ac:dyDescent="0.2">
      <c r="A90" s="125" t="s">
        <v>315</v>
      </c>
    </row>
    <row r="91" spans="1:1" x14ac:dyDescent="0.2">
      <c r="A91" s="125" t="s">
        <v>316</v>
      </c>
    </row>
    <row r="92" spans="1:1" x14ac:dyDescent="0.2">
      <c r="A92" s="125" t="s">
        <v>641</v>
      </c>
    </row>
    <row r="93" spans="1:1" x14ac:dyDescent="0.2">
      <c r="A93" s="125" t="s">
        <v>598</v>
      </c>
    </row>
    <row r="94" spans="1:1" x14ac:dyDescent="0.2">
      <c r="A94" s="125" t="s">
        <v>642</v>
      </c>
    </row>
    <row r="95" spans="1:1" x14ac:dyDescent="0.2">
      <c r="A95" s="125" t="s">
        <v>317</v>
      </c>
    </row>
    <row r="96" spans="1:1" x14ac:dyDescent="0.2">
      <c r="A96" s="125" t="s">
        <v>908</v>
      </c>
    </row>
    <row r="97" spans="1:1" x14ac:dyDescent="0.2">
      <c r="A97" s="125" t="s">
        <v>318</v>
      </c>
    </row>
    <row r="98" spans="1:1" x14ac:dyDescent="0.2">
      <c r="A98" s="125" t="s">
        <v>621</v>
      </c>
    </row>
    <row r="99" spans="1:1" x14ac:dyDescent="0.2">
      <c r="A99" s="125" t="s">
        <v>643</v>
      </c>
    </row>
    <row r="100" spans="1:1" x14ac:dyDescent="0.2">
      <c r="A100" s="125" t="s">
        <v>922</v>
      </c>
    </row>
    <row r="101" spans="1:1" x14ac:dyDescent="0.2">
      <c r="A101" s="125" t="s">
        <v>644</v>
      </c>
    </row>
    <row r="102" spans="1:1" x14ac:dyDescent="0.2">
      <c r="A102" s="125" t="s">
        <v>319</v>
      </c>
    </row>
    <row r="103" spans="1:1" x14ac:dyDescent="0.2">
      <c r="A103" s="125" t="s">
        <v>320</v>
      </c>
    </row>
    <row r="104" spans="1:1" x14ac:dyDescent="0.2">
      <c r="A104" s="125" t="s">
        <v>567</v>
      </c>
    </row>
    <row r="105" spans="1:1" x14ac:dyDescent="0.2">
      <c r="A105" s="125" t="s">
        <v>321</v>
      </c>
    </row>
    <row r="106" spans="1:1" x14ac:dyDescent="0.2">
      <c r="A106" s="125" t="s">
        <v>322</v>
      </c>
    </row>
    <row r="107" spans="1:1" x14ac:dyDescent="0.2">
      <c r="A107" s="125" t="s">
        <v>323</v>
      </c>
    </row>
    <row r="108" spans="1:1" x14ac:dyDescent="0.2">
      <c r="A108" s="125" t="s">
        <v>324</v>
      </c>
    </row>
    <row r="109" spans="1:1" x14ac:dyDescent="0.2">
      <c r="A109" s="125" t="s">
        <v>325</v>
      </c>
    </row>
    <row r="110" spans="1:1" x14ac:dyDescent="0.2">
      <c r="A110" s="125" t="s">
        <v>564</v>
      </c>
    </row>
    <row r="111" spans="1:1" x14ac:dyDescent="0.2">
      <c r="A111" s="125" t="s">
        <v>645</v>
      </c>
    </row>
    <row r="112" spans="1:1" x14ac:dyDescent="0.2">
      <c r="A112" s="125" t="s">
        <v>646</v>
      </c>
    </row>
    <row r="113" spans="1:1" x14ac:dyDescent="0.2">
      <c r="A113" s="125" t="s">
        <v>663</v>
      </c>
    </row>
    <row r="114" spans="1:1" x14ac:dyDescent="0.2">
      <c r="A114" s="125" t="s">
        <v>326</v>
      </c>
    </row>
    <row r="115" spans="1:1" x14ac:dyDescent="0.2">
      <c r="A115" s="125" t="s">
        <v>327</v>
      </c>
    </row>
    <row r="116" spans="1:1" x14ac:dyDescent="0.2">
      <c r="A116" s="125" t="s">
        <v>328</v>
      </c>
    </row>
    <row r="117" spans="1:1" x14ac:dyDescent="0.2">
      <c r="A117" s="125" t="s">
        <v>329</v>
      </c>
    </row>
    <row r="118" spans="1:1" x14ac:dyDescent="0.2">
      <c r="A118" s="125" t="s">
        <v>572</v>
      </c>
    </row>
    <row r="119" spans="1:1" x14ac:dyDescent="0.2">
      <c r="A119" s="125" t="s">
        <v>573</v>
      </c>
    </row>
    <row r="120" spans="1:1" x14ac:dyDescent="0.2">
      <c r="A120" s="125" t="s">
        <v>330</v>
      </c>
    </row>
    <row r="121" spans="1:1" x14ac:dyDescent="0.2">
      <c r="A121" s="125" t="s">
        <v>574</v>
      </c>
    </row>
    <row r="122" spans="1:1" x14ac:dyDescent="0.2">
      <c r="A122" s="125" t="s">
        <v>918</v>
      </c>
    </row>
    <row r="123" spans="1:1" x14ac:dyDescent="0.2">
      <c r="A123" s="125" t="s">
        <v>331</v>
      </c>
    </row>
    <row r="124" spans="1:1" x14ac:dyDescent="0.2">
      <c r="A124" s="125" t="s">
        <v>626</v>
      </c>
    </row>
    <row r="125" spans="1:1" x14ac:dyDescent="0.2">
      <c r="A125" s="125" t="s">
        <v>332</v>
      </c>
    </row>
    <row r="126" spans="1:1" x14ac:dyDescent="0.2">
      <c r="A126" s="125" t="s">
        <v>333</v>
      </c>
    </row>
    <row r="127" spans="1:1" x14ac:dyDescent="0.2">
      <c r="A127" s="125" t="s">
        <v>647</v>
      </c>
    </row>
    <row r="128" spans="1:1" x14ac:dyDescent="0.2">
      <c r="A128" s="125" t="s">
        <v>334</v>
      </c>
    </row>
    <row r="129" spans="1:1" x14ac:dyDescent="0.2">
      <c r="A129" s="125" t="s">
        <v>335</v>
      </c>
    </row>
    <row r="130" spans="1:1" x14ac:dyDescent="0.2">
      <c r="A130" s="125" t="s">
        <v>612</v>
      </c>
    </row>
    <row r="131" spans="1:1" x14ac:dyDescent="0.2">
      <c r="A131" s="125" t="s">
        <v>648</v>
      </c>
    </row>
    <row r="132" spans="1:1" x14ac:dyDescent="0.2">
      <c r="A132" s="125" t="s">
        <v>649</v>
      </c>
    </row>
    <row r="133" spans="1:1" x14ac:dyDescent="0.2">
      <c r="A133" s="125" t="s">
        <v>650</v>
      </c>
    </row>
    <row r="134" spans="1:1" x14ac:dyDescent="0.2">
      <c r="A134" s="125" t="s">
        <v>634</v>
      </c>
    </row>
    <row r="135" spans="1:1" x14ac:dyDescent="0.2">
      <c r="A135" s="125" t="s">
        <v>651</v>
      </c>
    </row>
    <row r="136" spans="1:1" x14ac:dyDescent="0.2">
      <c r="A136" s="125" t="s">
        <v>652</v>
      </c>
    </row>
    <row r="137" spans="1:1" x14ac:dyDescent="0.2">
      <c r="A137" s="125" t="s">
        <v>653</v>
      </c>
    </row>
    <row r="138" spans="1:1" x14ac:dyDescent="0.2">
      <c r="A138" s="125" t="s">
        <v>655</v>
      </c>
    </row>
    <row r="139" spans="1:1" x14ac:dyDescent="0.2">
      <c r="A139" s="125" t="s">
        <v>656</v>
      </c>
    </row>
    <row r="140" spans="1:1" x14ac:dyDescent="0.2">
      <c r="A140" s="125" t="s">
        <v>657</v>
      </c>
    </row>
    <row r="141" spans="1:1" x14ac:dyDescent="0.2">
      <c r="A141" s="125" t="s">
        <v>658</v>
      </c>
    </row>
    <row r="142" spans="1:1" x14ac:dyDescent="0.2">
      <c r="A142" s="125" t="s">
        <v>915</v>
      </c>
    </row>
    <row r="143" spans="1:1" x14ac:dyDescent="0.2">
      <c r="A143" s="125" t="s">
        <v>336</v>
      </c>
    </row>
    <row r="144" spans="1:1" x14ac:dyDescent="0.2">
      <c r="A144" s="125" t="s">
        <v>337</v>
      </c>
    </row>
    <row r="145" spans="1:1" x14ac:dyDescent="0.2">
      <c r="A145" s="125" t="s">
        <v>659</v>
      </c>
    </row>
    <row r="146" spans="1:1" x14ac:dyDescent="0.2">
      <c r="A146" s="125" t="s">
        <v>660</v>
      </c>
    </row>
    <row r="147" spans="1:1" x14ac:dyDescent="0.2">
      <c r="A147" s="125" t="s">
        <v>338</v>
      </c>
    </row>
    <row r="148" spans="1:1" x14ac:dyDescent="0.2">
      <c r="A148" s="125" t="s">
        <v>339</v>
      </c>
    </row>
    <row r="149" spans="1:1" x14ac:dyDescent="0.2">
      <c r="A149" s="125" t="s">
        <v>575</v>
      </c>
    </row>
    <row r="150" spans="1:1" x14ac:dyDescent="0.2">
      <c r="A150" s="125" t="s">
        <v>664</v>
      </c>
    </row>
    <row r="151" spans="1:1" x14ac:dyDescent="0.2">
      <c r="A151" s="125" t="s">
        <v>340</v>
      </c>
    </row>
    <row r="152" spans="1:1" x14ac:dyDescent="0.2">
      <c r="A152" s="125" t="s">
        <v>562</v>
      </c>
    </row>
    <row r="153" spans="1:1" x14ac:dyDescent="0.2">
      <c r="A153" s="125" t="s">
        <v>341</v>
      </c>
    </row>
    <row r="154" spans="1:1" x14ac:dyDescent="0.2">
      <c r="A154" s="125" t="s">
        <v>342</v>
      </c>
    </row>
    <row r="155" spans="1:1" x14ac:dyDescent="0.2">
      <c r="A155" s="125" t="s">
        <v>343</v>
      </c>
    </row>
    <row r="156" spans="1:1" x14ac:dyDescent="0.2">
      <c r="A156" s="125" t="s">
        <v>666</v>
      </c>
    </row>
    <row r="157" spans="1:1" x14ac:dyDescent="0.2">
      <c r="A157" s="125" t="s">
        <v>344</v>
      </c>
    </row>
    <row r="158" spans="1:1" x14ac:dyDescent="0.2">
      <c r="A158" s="125" t="s">
        <v>345</v>
      </c>
    </row>
    <row r="159" spans="1:1" x14ac:dyDescent="0.2">
      <c r="A159" s="125" t="s">
        <v>346</v>
      </c>
    </row>
    <row r="160" spans="1:1" x14ac:dyDescent="0.2">
      <c r="A160" s="125" t="s">
        <v>347</v>
      </c>
    </row>
    <row r="161" spans="1:1" x14ac:dyDescent="0.2">
      <c r="A161" s="125" t="s">
        <v>623</v>
      </c>
    </row>
    <row r="162" spans="1:1" x14ac:dyDescent="0.2">
      <c r="A162" s="125" t="s">
        <v>348</v>
      </c>
    </row>
    <row r="163" spans="1:1" x14ac:dyDescent="0.2">
      <c r="A163" s="125" t="s">
        <v>662</v>
      </c>
    </row>
    <row r="164" spans="1:1" x14ac:dyDescent="0.2">
      <c r="A164" s="125" t="s">
        <v>661</v>
      </c>
    </row>
    <row r="165" spans="1:1" x14ac:dyDescent="0.2">
      <c r="A165" s="125" t="s">
        <v>576</v>
      </c>
    </row>
    <row r="166" spans="1:1" x14ac:dyDescent="0.2">
      <c r="A166" s="125" t="s">
        <v>577</v>
      </c>
    </row>
    <row r="167" spans="1:1" x14ac:dyDescent="0.2">
      <c r="A167" s="125" t="s">
        <v>624</v>
      </c>
    </row>
    <row r="168" spans="1:1" x14ac:dyDescent="0.2">
      <c r="A168" s="125" t="s">
        <v>667</v>
      </c>
    </row>
    <row r="169" spans="1:1" x14ac:dyDescent="0.2">
      <c r="A169" s="125" t="s">
        <v>919</v>
      </c>
    </row>
    <row r="170" spans="1:1" x14ac:dyDescent="0.2">
      <c r="A170" s="125" t="s">
        <v>668</v>
      </c>
    </row>
    <row r="171" spans="1:1" x14ac:dyDescent="0.2">
      <c r="A171" s="125" t="s">
        <v>625</v>
      </c>
    </row>
    <row r="172" spans="1:1" x14ac:dyDescent="0.2">
      <c r="A172" s="125" t="s">
        <v>578</v>
      </c>
    </row>
    <row r="173" spans="1:1" x14ac:dyDescent="0.2">
      <c r="A173" s="125" t="s">
        <v>349</v>
      </c>
    </row>
    <row r="174" spans="1:1" x14ac:dyDescent="0.2">
      <c r="A174" s="125" t="s">
        <v>599</v>
      </c>
    </row>
    <row r="175" spans="1:1" x14ac:dyDescent="0.2">
      <c r="A175" s="125" t="s">
        <v>350</v>
      </c>
    </row>
    <row r="176" spans="1:1" x14ac:dyDescent="0.2">
      <c r="A176" s="125" t="s">
        <v>600</v>
      </c>
    </row>
    <row r="177" spans="1:1" x14ac:dyDescent="0.2">
      <c r="A177" s="125" t="s">
        <v>351</v>
      </c>
    </row>
    <row r="178" spans="1:1" x14ac:dyDescent="0.2">
      <c r="A178" s="125" t="s">
        <v>352</v>
      </c>
    </row>
    <row r="179" spans="1:1" x14ac:dyDescent="0.2">
      <c r="A179" s="125" t="s">
        <v>353</v>
      </c>
    </row>
    <row r="180" spans="1:1" x14ac:dyDescent="0.2">
      <c r="A180" s="125" t="s">
        <v>670</v>
      </c>
    </row>
    <row r="181" spans="1:1" x14ac:dyDescent="0.2">
      <c r="A181" s="125" t="s">
        <v>923</v>
      </c>
    </row>
    <row r="182" spans="1:1" x14ac:dyDescent="0.2">
      <c r="A182" s="125" t="s">
        <v>671</v>
      </c>
    </row>
    <row r="183" spans="1:1" x14ac:dyDescent="0.2">
      <c r="A183" s="125" t="s">
        <v>354</v>
      </c>
    </row>
    <row r="184" spans="1:1" x14ac:dyDescent="0.2">
      <c r="A184" s="125" t="s">
        <v>355</v>
      </c>
    </row>
    <row r="185" spans="1:1" x14ac:dyDescent="0.2">
      <c r="A185" s="125" t="s">
        <v>672</v>
      </c>
    </row>
    <row r="186" spans="1:1" x14ac:dyDescent="0.2">
      <c r="A186" s="125" t="s">
        <v>356</v>
      </c>
    </row>
    <row r="187" spans="1:1" x14ac:dyDescent="0.2">
      <c r="A187" s="125" t="s">
        <v>608</v>
      </c>
    </row>
    <row r="188" spans="1:1" x14ac:dyDescent="0.2">
      <c r="A188" s="125" t="s">
        <v>673</v>
      </c>
    </row>
    <row r="189" spans="1:1" x14ac:dyDescent="0.2">
      <c r="A189" s="125" t="s">
        <v>357</v>
      </c>
    </row>
    <row r="190" spans="1:1" x14ac:dyDescent="0.2">
      <c r="A190" s="125" t="s">
        <v>358</v>
      </c>
    </row>
    <row r="191" spans="1:1" x14ac:dyDescent="0.2">
      <c r="A191" s="125" t="s">
        <v>674</v>
      </c>
    </row>
    <row r="192" spans="1:1" x14ac:dyDescent="0.2">
      <c r="A192" s="125" t="s">
        <v>359</v>
      </c>
    </row>
    <row r="193" spans="1:1" x14ac:dyDescent="0.2">
      <c r="A193" s="125" t="s">
        <v>360</v>
      </c>
    </row>
    <row r="194" spans="1:1" x14ac:dyDescent="0.2">
      <c r="A194" s="125" t="s">
        <v>361</v>
      </c>
    </row>
    <row r="195" spans="1:1" x14ac:dyDescent="0.2">
      <c r="A195" s="125" t="s">
        <v>687</v>
      </c>
    </row>
    <row r="196" spans="1:1" x14ac:dyDescent="0.2">
      <c r="A196" s="125" t="s">
        <v>601</v>
      </c>
    </row>
    <row r="197" spans="1:1" x14ac:dyDescent="0.2">
      <c r="A197" s="125" t="s">
        <v>675</v>
      </c>
    </row>
    <row r="198" spans="1:1" x14ac:dyDescent="0.2">
      <c r="A198" s="125" t="s">
        <v>362</v>
      </c>
    </row>
    <row r="199" spans="1:1" x14ac:dyDescent="0.2">
      <c r="A199" s="125" t="s">
        <v>363</v>
      </c>
    </row>
    <row r="200" spans="1:1" x14ac:dyDescent="0.2">
      <c r="A200" s="125" t="s">
        <v>676</v>
      </c>
    </row>
    <row r="201" spans="1:1" x14ac:dyDescent="0.2">
      <c r="A201" s="125" t="s">
        <v>579</v>
      </c>
    </row>
    <row r="202" spans="1:1" x14ac:dyDescent="0.2">
      <c r="A202" s="125" t="s">
        <v>364</v>
      </c>
    </row>
    <row r="203" spans="1:1" x14ac:dyDescent="0.2">
      <c r="A203" s="125" t="s">
        <v>563</v>
      </c>
    </row>
    <row r="204" spans="1:1" x14ac:dyDescent="0.2">
      <c r="A204" s="125" t="s">
        <v>365</v>
      </c>
    </row>
    <row r="205" spans="1:1" x14ac:dyDescent="0.2">
      <c r="A205" s="125" t="s">
        <v>366</v>
      </c>
    </row>
    <row r="206" spans="1:1" x14ac:dyDescent="0.2">
      <c r="A206" s="125" t="s">
        <v>367</v>
      </c>
    </row>
    <row r="207" spans="1:1" x14ac:dyDescent="0.2">
      <c r="A207" s="125" t="s">
        <v>602</v>
      </c>
    </row>
    <row r="208" spans="1:1" x14ac:dyDescent="0.2">
      <c r="A208" s="125" t="s">
        <v>368</v>
      </c>
    </row>
    <row r="209" spans="1:1" x14ac:dyDescent="0.2">
      <c r="A209" s="125" t="s">
        <v>369</v>
      </c>
    </row>
    <row r="210" spans="1:1" x14ac:dyDescent="0.2">
      <c r="A210" s="125" t="s">
        <v>677</v>
      </c>
    </row>
    <row r="211" spans="1:1" x14ac:dyDescent="0.2">
      <c r="A211" s="125" t="s">
        <v>370</v>
      </c>
    </row>
    <row r="212" spans="1:1" x14ac:dyDescent="0.2">
      <c r="A212" s="125" t="s">
        <v>371</v>
      </c>
    </row>
    <row r="213" spans="1:1" x14ac:dyDescent="0.2">
      <c r="A213" s="125" t="s">
        <v>678</v>
      </c>
    </row>
    <row r="214" spans="1:1" x14ac:dyDescent="0.2">
      <c r="A214" s="125" t="s">
        <v>679</v>
      </c>
    </row>
    <row r="215" spans="1:1" x14ac:dyDescent="0.2">
      <c r="A215" s="125" t="s">
        <v>372</v>
      </c>
    </row>
    <row r="216" spans="1:1" x14ac:dyDescent="0.2">
      <c r="A216" s="125" t="s">
        <v>373</v>
      </c>
    </row>
    <row r="217" spans="1:1" x14ac:dyDescent="0.2">
      <c r="A217" s="125" t="s">
        <v>580</v>
      </c>
    </row>
    <row r="218" spans="1:1" x14ac:dyDescent="0.2">
      <c r="A218" s="125" t="s">
        <v>374</v>
      </c>
    </row>
    <row r="219" spans="1:1" x14ac:dyDescent="0.2">
      <c r="A219" s="125" t="s">
        <v>375</v>
      </c>
    </row>
    <row r="220" spans="1:1" x14ac:dyDescent="0.2">
      <c r="A220" s="125" t="s">
        <v>376</v>
      </c>
    </row>
    <row r="221" spans="1:1" x14ac:dyDescent="0.2">
      <c r="A221" s="125" t="s">
        <v>680</v>
      </c>
    </row>
    <row r="222" spans="1:1" x14ac:dyDescent="0.2">
      <c r="A222" s="125" t="s">
        <v>377</v>
      </c>
    </row>
    <row r="223" spans="1:1" x14ac:dyDescent="0.2">
      <c r="A223" s="125" t="s">
        <v>581</v>
      </c>
    </row>
    <row r="224" spans="1:1" x14ac:dyDescent="0.2">
      <c r="A224" s="125" t="s">
        <v>681</v>
      </c>
    </row>
    <row r="225" spans="1:1" x14ac:dyDescent="0.2">
      <c r="A225" s="125" t="s">
        <v>378</v>
      </c>
    </row>
    <row r="226" spans="1:1" x14ac:dyDescent="0.2">
      <c r="A226" s="125" t="s">
        <v>609</v>
      </c>
    </row>
    <row r="227" spans="1:1" x14ac:dyDescent="0.2">
      <c r="A227" s="125" t="s">
        <v>379</v>
      </c>
    </row>
    <row r="228" spans="1:1" x14ac:dyDescent="0.2">
      <c r="A228" s="125" t="s">
        <v>617</v>
      </c>
    </row>
    <row r="229" spans="1:1" x14ac:dyDescent="0.2">
      <c r="A229" s="125" t="s">
        <v>927</v>
      </c>
    </row>
    <row r="230" spans="1:1" x14ac:dyDescent="0.2">
      <c r="A230" s="125" t="s">
        <v>380</v>
      </c>
    </row>
    <row r="231" spans="1:1" x14ac:dyDescent="0.2">
      <c r="A231" s="125" t="s">
        <v>381</v>
      </c>
    </row>
    <row r="232" spans="1:1" x14ac:dyDescent="0.2">
      <c r="A232" s="125" t="s">
        <v>382</v>
      </c>
    </row>
    <row r="233" spans="1:1" x14ac:dyDescent="0.2">
      <c r="A233" s="125" t="s">
        <v>682</v>
      </c>
    </row>
    <row r="234" spans="1:1" x14ac:dyDescent="0.2">
      <c r="A234" s="125" t="s">
        <v>383</v>
      </c>
    </row>
    <row r="235" spans="1:1" x14ac:dyDescent="0.2">
      <c r="A235" s="125" t="s">
        <v>384</v>
      </c>
    </row>
    <row r="236" spans="1:1" x14ac:dyDescent="0.2">
      <c r="A236" s="125" t="s">
        <v>385</v>
      </c>
    </row>
    <row r="237" spans="1:1" x14ac:dyDescent="0.2">
      <c r="A237" s="125" t="s">
        <v>683</v>
      </c>
    </row>
    <row r="238" spans="1:1" x14ac:dyDescent="0.2">
      <c r="A238" s="125" t="s">
        <v>925</v>
      </c>
    </row>
    <row r="239" spans="1:1" x14ac:dyDescent="0.2">
      <c r="A239" s="125" t="s">
        <v>684</v>
      </c>
    </row>
    <row r="240" spans="1:1" x14ac:dyDescent="0.2">
      <c r="A240" s="125" t="s">
        <v>582</v>
      </c>
    </row>
    <row r="241" spans="1:1" x14ac:dyDescent="0.2">
      <c r="A241" s="125" t="s">
        <v>685</v>
      </c>
    </row>
    <row r="242" spans="1:1" x14ac:dyDescent="0.2">
      <c r="A242" s="125" t="s">
        <v>686</v>
      </c>
    </row>
    <row r="243" spans="1:1" x14ac:dyDescent="0.2">
      <c r="A243" s="125" t="s">
        <v>386</v>
      </c>
    </row>
    <row r="244" spans="1:1" x14ac:dyDescent="0.2">
      <c r="A244" s="125" t="s">
        <v>893</v>
      </c>
    </row>
    <row r="245" spans="1:1" x14ac:dyDescent="0.2">
      <c r="A245" s="125" t="s">
        <v>387</v>
      </c>
    </row>
    <row r="246" spans="1:1" x14ac:dyDescent="0.2">
      <c r="A246" s="125" t="s">
        <v>614</v>
      </c>
    </row>
    <row r="247" spans="1:1" x14ac:dyDescent="0.2">
      <c r="A247" s="125" t="s">
        <v>388</v>
      </c>
    </row>
    <row r="248" spans="1:1" x14ac:dyDescent="0.2">
      <c r="A248" s="125" t="s">
        <v>635</v>
      </c>
    </row>
    <row r="249" spans="1:1" x14ac:dyDescent="0.2">
      <c r="A249" s="125" t="s">
        <v>583</v>
      </c>
    </row>
    <row r="250" spans="1:1" x14ac:dyDescent="0.2">
      <c r="A250" s="125" t="s">
        <v>688</v>
      </c>
    </row>
    <row r="251" spans="1:1" x14ac:dyDescent="0.2">
      <c r="A251" s="125" t="s">
        <v>689</v>
      </c>
    </row>
    <row r="252" spans="1:1" x14ac:dyDescent="0.2">
      <c r="A252" s="125" t="s">
        <v>584</v>
      </c>
    </row>
    <row r="253" spans="1:1" x14ac:dyDescent="0.2">
      <c r="A253" s="125" t="s">
        <v>654</v>
      </c>
    </row>
    <row r="254" spans="1:1" x14ac:dyDescent="0.2">
      <c r="A254" s="125" t="s">
        <v>389</v>
      </c>
    </row>
    <row r="255" spans="1:1" x14ac:dyDescent="0.2">
      <c r="A255" s="125" t="s">
        <v>561</v>
      </c>
    </row>
    <row r="256" spans="1:1" x14ac:dyDescent="0.2">
      <c r="A256" s="125" t="s">
        <v>585</v>
      </c>
    </row>
    <row r="257" spans="1:1" x14ac:dyDescent="0.2">
      <c r="A257" s="125" t="s">
        <v>390</v>
      </c>
    </row>
    <row r="258" spans="1:1" x14ac:dyDescent="0.2">
      <c r="A258" s="125" t="s">
        <v>690</v>
      </c>
    </row>
    <row r="259" spans="1:1" x14ac:dyDescent="0.2">
      <c r="A259" s="125" t="s">
        <v>391</v>
      </c>
    </row>
    <row r="260" spans="1:1" x14ac:dyDescent="0.2">
      <c r="A260" s="125" t="s">
        <v>392</v>
      </c>
    </row>
    <row r="261" spans="1:1" x14ac:dyDescent="0.2">
      <c r="A261" s="125" t="s">
        <v>586</v>
      </c>
    </row>
    <row r="262" spans="1:1" x14ac:dyDescent="0.2">
      <c r="A262" s="125" t="s">
        <v>393</v>
      </c>
    </row>
    <row r="263" spans="1:1" x14ac:dyDescent="0.2">
      <c r="A263" s="125" t="s">
        <v>691</v>
      </c>
    </row>
    <row r="264" spans="1:1" x14ac:dyDescent="0.2">
      <c r="A264" s="125" t="s">
        <v>394</v>
      </c>
    </row>
    <row r="265" spans="1:1" x14ac:dyDescent="0.2">
      <c r="A265" s="125" t="s">
        <v>613</v>
      </c>
    </row>
    <row r="266" spans="1:1" x14ac:dyDescent="0.2">
      <c r="A266" s="125" t="s">
        <v>692</v>
      </c>
    </row>
    <row r="267" spans="1:1" x14ac:dyDescent="0.2">
      <c r="A267" s="125" t="s">
        <v>693</v>
      </c>
    </row>
    <row r="268" spans="1:1" x14ac:dyDescent="0.2">
      <c r="A268" s="125" t="s">
        <v>610</v>
      </c>
    </row>
    <row r="269" spans="1:1" x14ac:dyDescent="0.2">
      <c r="A269" s="125" t="s">
        <v>924</v>
      </c>
    </row>
    <row r="270" spans="1:1" x14ac:dyDescent="0.2">
      <c r="A270" s="125" t="s">
        <v>395</v>
      </c>
    </row>
    <row r="271" spans="1:1" x14ac:dyDescent="0.2">
      <c r="A271" s="125" t="s">
        <v>694</v>
      </c>
    </row>
    <row r="272" spans="1:1" x14ac:dyDescent="0.2">
      <c r="A272" s="125" t="s">
        <v>587</v>
      </c>
    </row>
    <row r="273" spans="1:1" x14ac:dyDescent="0.2">
      <c r="A273" s="125" t="s">
        <v>695</v>
      </c>
    </row>
    <row r="274" spans="1:1" x14ac:dyDescent="0.2">
      <c r="A274" s="125" t="s">
        <v>622</v>
      </c>
    </row>
    <row r="275" spans="1:1" x14ac:dyDescent="0.2">
      <c r="A275" s="125" t="s">
        <v>396</v>
      </c>
    </row>
    <row r="276" spans="1:1" x14ac:dyDescent="0.2">
      <c r="A276" s="125" t="s">
        <v>588</v>
      </c>
    </row>
    <row r="277" spans="1:1" x14ac:dyDescent="0.2">
      <c r="A277" s="125" t="s">
        <v>696</v>
      </c>
    </row>
    <row r="278" spans="1:1" x14ac:dyDescent="0.2">
      <c r="A278" s="125" t="s">
        <v>697</v>
      </c>
    </row>
    <row r="279" spans="1:1" x14ac:dyDescent="0.2">
      <c r="A279" s="125" t="s">
        <v>397</v>
      </c>
    </row>
    <row r="280" spans="1:1" x14ac:dyDescent="0.2">
      <c r="A280" s="125" t="s">
        <v>589</v>
      </c>
    </row>
    <row r="281" spans="1:1" x14ac:dyDescent="0.2">
      <c r="A281" s="125" t="s">
        <v>398</v>
      </c>
    </row>
    <row r="282" spans="1:1" x14ac:dyDescent="0.2">
      <c r="A282" s="125" t="s">
        <v>698</v>
      </c>
    </row>
    <row r="283" spans="1:1" x14ac:dyDescent="0.2">
      <c r="A283" s="125" t="s">
        <v>399</v>
      </c>
    </row>
    <row r="284" spans="1:1" x14ac:dyDescent="0.2">
      <c r="A284" s="125" t="s">
        <v>400</v>
      </c>
    </row>
    <row r="285" spans="1:1" x14ac:dyDescent="0.2">
      <c r="A285" s="125" t="s">
        <v>565</v>
      </c>
    </row>
    <row r="286" spans="1:1" x14ac:dyDescent="0.2">
      <c r="A286" s="125" t="s">
        <v>699</v>
      </c>
    </row>
    <row r="287" spans="1:1" x14ac:dyDescent="0.2">
      <c r="A287" s="125" t="s">
        <v>700</v>
      </c>
    </row>
    <row r="288" spans="1:1" x14ac:dyDescent="0.2">
      <c r="A288" s="125" t="s">
        <v>401</v>
      </c>
    </row>
    <row r="289" spans="1:1" x14ac:dyDescent="0.2">
      <c r="A289" s="125" t="s">
        <v>701</v>
      </c>
    </row>
    <row r="290" spans="1:1" x14ac:dyDescent="0.2">
      <c r="A290" s="125" t="s">
        <v>702</v>
      </c>
    </row>
    <row r="291" spans="1:1" x14ac:dyDescent="0.2">
      <c r="A291" s="125" t="s">
        <v>402</v>
      </c>
    </row>
    <row r="292" spans="1:1" x14ac:dyDescent="0.2">
      <c r="A292" s="125" t="s">
        <v>403</v>
      </c>
    </row>
    <row r="293" spans="1:1" x14ac:dyDescent="0.2">
      <c r="A293" s="125" t="s">
        <v>703</v>
      </c>
    </row>
    <row r="294" spans="1:1" x14ac:dyDescent="0.2">
      <c r="A294" s="125" t="s">
        <v>704</v>
      </c>
    </row>
    <row r="295" spans="1:1" x14ac:dyDescent="0.2">
      <c r="A295" s="125" t="s">
        <v>404</v>
      </c>
    </row>
    <row r="296" spans="1:1" x14ac:dyDescent="0.2">
      <c r="A296" s="125" t="s">
        <v>705</v>
      </c>
    </row>
    <row r="297" spans="1:1" x14ac:dyDescent="0.2">
      <c r="A297" s="125" t="s">
        <v>405</v>
      </c>
    </row>
    <row r="298" spans="1:1" x14ac:dyDescent="0.2">
      <c r="A298" s="125" t="s">
        <v>706</v>
      </c>
    </row>
    <row r="299" spans="1:1" x14ac:dyDescent="0.2">
      <c r="A299" s="125" t="s">
        <v>707</v>
      </c>
    </row>
    <row r="300" spans="1:1" x14ac:dyDescent="0.2">
      <c r="A300" s="125" t="s">
        <v>708</v>
      </c>
    </row>
    <row r="301" spans="1:1" x14ac:dyDescent="0.2">
      <c r="A301" s="125" t="s">
        <v>406</v>
      </c>
    </row>
    <row r="302" spans="1:1" x14ac:dyDescent="0.2">
      <c r="A302" s="125" t="s">
        <v>407</v>
      </c>
    </row>
    <row r="303" spans="1:1" x14ac:dyDescent="0.2">
      <c r="A303" s="125" t="s">
        <v>408</v>
      </c>
    </row>
    <row r="304" spans="1:1" x14ac:dyDescent="0.2">
      <c r="A304" s="125" t="s">
        <v>409</v>
      </c>
    </row>
    <row r="305" spans="1:1" x14ac:dyDescent="0.2">
      <c r="A305" s="125" t="s">
        <v>410</v>
      </c>
    </row>
    <row r="306" spans="1:1" x14ac:dyDescent="0.2">
      <c r="A306" s="125" t="s">
        <v>411</v>
      </c>
    </row>
    <row r="307" spans="1:1" x14ac:dyDescent="0.2">
      <c r="A307" s="125" t="s">
        <v>412</v>
      </c>
    </row>
    <row r="308" spans="1:1" x14ac:dyDescent="0.2">
      <c r="A308" s="125" t="s">
        <v>709</v>
      </c>
    </row>
    <row r="309" spans="1:1" x14ac:dyDescent="0.2">
      <c r="A309" s="125" t="s">
        <v>413</v>
      </c>
    </row>
    <row r="310" spans="1:1" x14ac:dyDescent="0.2">
      <c r="A310" s="125" t="s">
        <v>710</v>
      </c>
    </row>
    <row r="311" spans="1:1" x14ac:dyDescent="0.2">
      <c r="A311" s="125" t="s">
        <v>711</v>
      </c>
    </row>
    <row r="312" spans="1:1" x14ac:dyDescent="0.2">
      <c r="A312" s="125" t="s">
        <v>712</v>
      </c>
    </row>
    <row r="313" spans="1:1" x14ac:dyDescent="0.2">
      <c r="A313" s="125" t="s">
        <v>713</v>
      </c>
    </row>
    <row r="314" spans="1:1" x14ac:dyDescent="0.2">
      <c r="A314" s="125" t="s">
        <v>414</v>
      </c>
    </row>
    <row r="315" spans="1:1" x14ac:dyDescent="0.2">
      <c r="A315" s="125" t="s">
        <v>714</v>
      </c>
    </row>
    <row r="316" spans="1:1" x14ac:dyDescent="0.2">
      <c r="A316" s="125" t="s">
        <v>715</v>
      </c>
    </row>
    <row r="317" spans="1:1" x14ac:dyDescent="0.2">
      <c r="A317" s="125" t="s">
        <v>716</v>
      </c>
    </row>
    <row r="318" spans="1:1" x14ac:dyDescent="0.2">
      <c r="A318" s="125" t="s">
        <v>717</v>
      </c>
    </row>
    <row r="319" spans="1:1" x14ac:dyDescent="0.2">
      <c r="A319" s="125" t="s">
        <v>718</v>
      </c>
    </row>
    <row r="320" spans="1:1" x14ac:dyDescent="0.2">
      <c r="A320" s="125" t="s">
        <v>719</v>
      </c>
    </row>
    <row r="321" spans="1:1" x14ac:dyDescent="0.2">
      <c r="A321" s="125" t="s">
        <v>720</v>
      </c>
    </row>
    <row r="322" spans="1:1" x14ac:dyDescent="0.2">
      <c r="A322" s="125" t="s">
        <v>721</v>
      </c>
    </row>
    <row r="323" spans="1:1" x14ac:dyDescent="0.2">
      <c r="A323" s="125" t="s">
        <v>722</v>
      </c>
    </row>
    <row r="324" spans="1:1" x14ac:dyDescent="0.2">
      <c r="A324" s="125" t="s">
        <v>415</v>
      </c>
    </row>
    <row r="325" spans="1:1" x14ac:dyDescent="0.2">
      <c r="A325" s="125" t="s">
        <v>723</v>
      </c>
    </row>
    <row r="326" spans="1:1" x14ac:dyDescent="0.2">
      <c r="A326" s="125" t="s">
        <v>724</v>
      </c>
    </row>
    <row r="327" spans="1:1" x14ac:dyDescent="0.2">
      <c r="A327" s="125" t="s">
        <v>725</v>
      </c>
    </row>
    <row r="328" spans="1:1" x14ac:dyDescent="0.2">
      <c r="A328" s="125" t="s">
        <v>416</v>
      </c>
    </row>
    <row r="329" spans="1:1" x14ac:dyDescent="0.2">
      <c r="A329" s="125" t="s">
        <v>726</v>
      </c>
    </row>
    <row r="330" spans="1:1" x14ac:dyDescent="0.2">
      <c r="A330" s="125" t="s">
        <v>417</v>
      </c>
    </row>
    <row r="331" spans="1:1" x14ac:dyDescent="0.2">
      <c r="A331" s="125" t="s">
        <v>418</v>
      </c>
    </row>
    <row r="332" spans="1:1" x14ac:dyDescent="0.2">
      <c r="A332" s="125" t="s">
        <v>727</v>
      </c>
    </row>
    <row r="333" spans="1:1" x14ac:dyDescent="0.2">
      <c r="A333" s="125" t="s">
        <v>728</v>
      </c>
    </row>
    <row r="334" spans="1:1" x14ac:dyDescent="0.2">
      <c r="A334" s="125" t="s">
        <v>419</v>
      </c>
    </row>
    <row r="335" spans="1:1" x14ac:dyDescent="0.2">
      <c r="A335" s="125" t="s">
        <v>729</v>
      </c>
    </row>
    <row r="336" spans="1:1" x14ac:dyDescent="0.2">
      <c r="A336" s="125" t="s">
        <v>730</v>
      </c>
    </row>
    <row r="337" spans="1:1" x14ac:dyDescent="0.2">
      <c r="A337" s="125" t="s">
        <v>906</v>
      </c>
    </row>
    <row r="338" spans="1:1" x14ac:dyDescent="0.2">
      <c r="A338" s="125" t="s">
        <v>731</v>
      </c>
    </row>
    <row r="339" spans="1:1" x14ac:dyDescent="0.2">
      <c r="A339" s="125" t="s">
        <v>732</v>
      </c>
    </row>
    <row r="340" spans="1:1" x14ac:dyDescent="0.2">
      <c r="A340" s="125" t="s">
        <v>733</v>
      </c>
    </row>
    <row r="341" spans="1:1" x14ac:dyDescent="0.2">
      <c r="A341" s="125" t="s">
        <v>734</v>
      </c>
    </row>
    <row r="342" spans="1:1" x14ac:dyDescent="0.2">
      <c r="A342" s="125" t="s">
        <v>735</v>
      </c>
    </row>
    <row r="343" spans="1:1" x14ac:dyDescent="0.2">
      <c r="A343" s="125" t="s">
        <v>736</v>
      </c>
    </row>
    <row r="344" spans="1:1" x14ac:dyDescent="0.2">
      <c r="A344" s="125" t="s">
        <v>737</v>
      </c>
    </row>
    <row r="345" spans="1:1" x14ac:dyDescent="0.2">
      <c r="A345" s="125" t="s">
        <v>738</v>
      </c>
    </row>
    <row r="346" spans="1:1" x14ac:dyDescent="0.2">
      <c r="A346" s="125" t="s">
        <v>420</v>
      </c>
    </row>
    <row r="347" spans="1:1" x14ac:dyDescent="0.2">
      <c r="A347" s="125" t="s">
        <v>421</v>
      </c>
    </row>
    <row r="348" spans="1:1" x14ac:dyDescent="0.2">
      <c r="A348" s="125" t="s">
        <v>739</v>
      </c>
    </row>
    <row r="349" spans="1:1" x14ac:dyDescent="0.2">
      <c r="A349" s="125" t="s">
        <v>740</v>
      </c>
    </row>
    <row r="350" spans="1:1" x14ac:dyDescent="0.2">
      <c r="A350" s="125" t="s">
        <v>741</v>
      </c>
    </row>
    <row r="351" spans="1:1" x14ac:dyDescent="0.2">
      <c r="A351" s="125" t="s">
        <v>422</v>
      </c>
    </row>
    <row r="352" spans="1:1" x14ac:dyDescent="0.2">
      <c r="A352" s="125" t="s">
        <v>742</v>
      </c>
    </row>
    <row r="353" spans="1:1" x14ac:dyDescent="0.2">
      <c r="A353" s="125" t="s">
        <v>423</v>
      </c>
    </row>
    <row r="354" spans="1:1" x14ac:dyDescent="0.2">
      <c r="A354" s="125" t="s">
        <v>424</v>
      </c>
    </row>
    <row r="355" spans="1:1" x14ac:dyDescent="0.2">
      <c r="A355" s="125" t="s">
        <v>425</v>
      </c>
    </row>
    <row r="356" spans="1:1" x14ac:dyDescent="0.2">
      <c r="A356" s="125" t="s">
        <v>743</v>
      </c>
    </row>
    <row r="357" spans="1:1" x14ac:dyDescent="0.2">
      <c r="A357" s="125" t="s">
        <v>426</v>
      </c>
    </row>
    <row r="358" spans="1:1" x14ac:dyDescent="0.2">
      <c r="A358" s="125" t="s">
        <v>427</v>
      </c>
    </row>
    <row r="359" spans="1:1" x14ac:dyDescent="0.2">
      <c r="A359" s="125" t="s">
        <v>428</v>
      </c>
    </row>
    <row r="360" spans="1:1" x14ac:dyDescent="0.2">
      <c r="A360" s="125" t="s">
        <v>744</v>
      </c>
    </row>
    <row r="361" spans="1:1" x14ac:dyDescent="0.2">
      <c r="A361" s="125" t="s">
        <v>429</v>
      </c>
    </row>
    <row r="362" spans="1:1" x14ac:dyDescent="0.2">
      <c r="A362" s="125" t="s">
        <v>745</v>
      </c>
    </row>
    <row r="363" spans="1:1" x14ac:dyDescent="0.2">
      <c r="A363" s="125" t="s">
        <v>746</v>
      </c>
    </row>
    <row r="364" spans="1:1" x14ac:dyDescent="0.2">
      <c r="A364" s="125" t="s">
        <v>747</v>
      </c>
    </row>
    <row r="365" spans="1:1" x14ac:dyDescent="0.2">
      <c r="A365" s="125" t="s">
        <v>748</v>
      </c>
    </row>
    <row r="366" spans="1:1" x14ac:dyDescent="0.2">
      <c r="A366" s="125" t="s">
        <v>749</v>
      </c>
    </row>
    <row r="367" spans="1:1" x14ac:dyDescent="0.2">
      <c r="A367" s="125" t="s">
        <v>750</v>
      </c>
    </row>
    <row r="368" spans="1:1" x14ac:dyDescent="0.2">
      <c r="A368" s="125" t="s">
        <v>751</v>
      </c>
    </row>
    <row r="369" spans="1:1" x14ac:dyDescent="0.2">
      <c r="A369" s="125" t="s">
        <v>752</v>
      </c>
    </row>
    <row r="370" spans="1:1" x14ac:dyDescent="0.2">
      <c r="A370" s="125" t="s">
        <v>753</v>
      </c>
    </row>
    <row r="371" spans="1:1" x14ac:dyDescent="0.2">
      <c r="A371" s="125" t="s">
        <v>754</v>
      </c>
    </row>
    <row r="372" spans="1:1" x14ac:dyDescent="0.2">
      <c r="A372" s="125" t="s">
        <v>755</v>
      </c>
    </row>
    <row r="373" spans="1:1" x14ac:dyDescent="0.2">
      <c r="A373" s="125" t="s">
        <v>430</v>
      </c>
    </row>
    <row r="374" spans="1:1" x14ac:dyDescent="0.2">
      <c r="A374" s="125" t="s">
        <v>756</v>
      </c>
    </row>
    <row r="375" spans="1:1" x14ac:dyDescent="0.2">
      <c r="A375" s="125" t="s">
        <v>431</v>
      </c>
    </row>
    <row r="376" spans="1:1" x14ac:dyDescent="0.2">
      <c r="A376" s="125" t="s">
        <v>757</v>
      </c>
    </row>
    <row r="377" spans="1:1" x14ac:dyDescent="0.2">
      <c r="A377" s="125" t="s">
        <v>432</v>
      </c>
    </row>
    <row r="378" spans="1:1" x14ac:dyDescent="0.2">
      <c r="A378" s="125" t="s">
        <v>433</v>
      </c>
    </row>
    <row r="379" spans="1:1" x14ac:dyDescent="0.2">
      <c r="A379" s="125" t="s">
        <v>434</v>
      </c>
    </row>
    <row r="380" spans="1:1" x14ac:dyDescent="0.2">
      <c r="A380" s="125" t="s">
        <v>435</v>
      </c>
    </row>
    <row r="381" spans="1:1" x14ac:dyDescent="0.2">
      <c r="A381" s="125" t="s">
        <v>758</v>
      </c>
    </row>
    <row r="382" spans="1:1" x14ac:dyDescent="0.2">
      <c r="A382" s="125" t="s">
        <v>759</v>
      </c>
    </row>
    <row r="383" spans="1:1" x14ac:dyDescent="0.2">
      <c r="A383" s="125" t="s">
        <v>760</v>
      </c>
    </row>
    <row r="384" spans="1:1" x14ac:dyDescent="0.2">
      <c r="A384" s="125" t="s">
        <v>436</v>
      </c>
    </row>
    <row r="385" spans="1:1" x14ac:dyDescent="0.2">
      <c r="A385" s="125" t="s">
        <v>761</v>
      </c>
    </row>
    <row r="386" spans="1:1" x14ac:dyDescent="0.2">
      <c r="A386" s="125" t="s">
        <v>762</v>
      </c>
    </row>
    <row r="387" spans="1:1" x14ac:dyDescent="0.2">
      <c r="A387" s="125" t="s">
        <v>763</v>
      </c>
    </row>
    <row r="388" spans="1:1" x14ac:dyDescent="0.2">
      <c r="A388" s="125" t="s">
        <v>764</v>
      </c>
    </row>
    <row r="389" spans="1:1" x14ac:dyDescent="0.2">
      <c r="A389" s="125" t="s">
        <v>765</v>
      </c>
    </row>
    <row r="390" spans="1:1" x14ac:dyDescent="0.2">
      <c r="A390" s="125" t="s">
        <v>766</v>
      </c>
    </row>
    <row r="391" spans="1:1" x14ac:dyDescent="0.2">
      <c r="A391" s="125" t="s">
        <v>767</v>
      </c>
    </row>
    <row r="392" spans="1:1" x14ac:dyDescent="0.2">
      <c r="A392" s="125" t="s">
        <v>768</v>
      </c>
    </row>
    <row r="393" spans="1:1" x14ac:dyDescent="0.2">
      <c r="A393" s="125" t="s">
        <v>437</v>
      </c>
    </row>
    <row r="394" spans="1:1" x14ac:dyDescent="0.2">
      <c r="A394" s="125" t="s">
        <v>438</v>
      </c>
    </row>
    <row r="395" spans="1:1" x14ac:dyDescent="0.2">
      <c r="A395" s="125" t="s">
        <v>769</v>
      </c>
    </row>
    <row r="396" spans="1:1" x14ac:dyDescent="0.2">
      <c r="A396" s="125" t="s">
        <v>770</v>
      </c>
    </row>
    <row r="397" spans="1:1" x14ac:dyDescent="0.2">
      <c r="A397" s="125" t="s">
        <v>439</v>
      </c>
    </row>
    <row r="398" spans="1:1" x14ac:dyDescent="0.2">
      <c r="A398" s="125" t="s">
        <v>771</v>
      </c>
    </row>
    <row r="399" spans="1:1" x14ac:dyDescent="0.2">
      <c r="A399" s="125" t="s">
        <v>440</v>
      </c>
    </row>
    <row r="400" spans="1:1" x14ac:dyDescent="0.2">
      <c r="A400" s="125" t="s">
        <v>772</v>
      </c>
    </row>
    <row r="401" spans="1:1" x14ac:dyDescent="0.2">
      <c r="A401" s="125" t="s">
        <v>773</v>
      </c>
    </row>
    <row r="402" spans="1:1" x14ac:dyDescent="0.2">
      <c r="A402" s="125" t="s">
        <v>774</v>
      </c>
    </row>
    <row r="403" spans="1:1" x14ac:dyDescent="0.2">
      <c r="A403" s="125" t="s">
        <v>441</v>
      </c>
    </row>
    <row r="404" spans="1:1" x14ac:dyDescent="0.2">
      <c r="A404" s="125" t="s">
        <v>775</v>
      </c>
    </row>
    <row r="405" spans="1:1" x14ac:dyDescent="0.2">
      <c r="A405" s="125" t="s">
        <v>776</v>
      </c>
    </row>
    <row r="406" spans="1:1" x14ac:dyDescent="0.2">
      <c r="A406" s="125" t="s">
        <v>442</v>
      </c>
    </row>
    <row r="407" spans="1:1" x14ac:dyDescent="0.2">
      <c r="A407" s="125" t="s">
        <v>443</v>
      </c>
    </row>
    <row r="408" spans="1:1" x14ac:dyDescent="0.2">
      <c r="A408" s="125" t="s">
        <v>777</v>
      </c>
    </row>
    <row r="409" spans="1:1" x14ac:dyDescent="0.2">
      <c r="A409" s="125" t="s">
        <v>444</v>
      </c>
    </row>
    <row r="410" spans="1:1" x14ac:dyDescent="0.2">
      <c r="A410" s="125" t="s">
        <v>445</v>
      </c>
    </row>
    <row r="411" spans="1:1" x14ac:dyDescent="0.2">
      <c r="A411" s="125" t="s">
        <v>778</v>
      </c>
    </row>
    <row r="412" spans="1:1" x14ac:dyDescent="0.2">
      <c r="A412" s="125" t="s">
        <v>446</v>
      </c>
    </row>
    <row r="413" spans="1:1" x14ac:dyDescent="0.2">
      <c r="A413" s="125" t="s">
        <v>779</v>
      </c>
    </row>
    <row r="414" spans="1:1" x14ac:dyDescent="0.2">
      <c r="A414" s="125" t="s">
        <v>447</v>
      </c>
    </row>
    <row r="415" spans="1:1" x14ac:dyDescent="0.2">
      <c r="A415" s="125" t="s">
        <v>780</v>
      </c>
    </row>
    <row r="416" spans="1:1" x14ac:dyDescent="0.2">
      <c r="A416" s="125" t="s">
        <v>781</v>
      </c>
    </row>
    <row r="417" spans="1:1" x14ac:dyDescent="0.2">
      <c r="A417" s="125" t="s">
        <v>782</v>
      </c>
    </row>
    <row r="418" spans="1:1" x14ac:dyDescent="0.2">
      <c r="A418" s="125" t="s">
        <v>783</v>
      </c>
    </row>
    <row r="419" spans="1:1" x14ac:dyDescent="0.2">
      <c r="A419" s="125" t="s">
        <v>784</v>
      </c>
    </row>
    <row r="420" spans="1:1" x14ac:dyDescent="0.2">
      <c r="A420" s="125" t="s">
        <v>785</v>
      </c>
    </row>
    <row r="421" spans="1:1" x14ac:dyDescent="0.2">
      <c r="A421" s="125" t="s">
        <v>786</v>
      </c>
    </row>
    <row r="422" spans="1:1" x14ac:dyDescent="0.2">
      <c r="A422" s="125" t="s">
        <v>448</v>
      </c>
    </row>
    <row r="423" spans="1:1" x14ac:dyDescent="0.2">
      <c r="A423" s="125" t="s">
        <v>787</v>
      </c>
    </row>
    <row r="424" spans="1:1" x14ac:dyDescent="0.2">
      <c r="A424" s="125" t="s">
        <v>788</v>
      </c>
    </row>
    <row r="425" spans="1:1" x14ac:dyDescent="0.2">
      <c r="A425" s="125" t="s">
        <v>789</v>
      </c>
    </row>
    <row r="426" spans="1:1" x14ac:dyDescent="0.2">
      <c r="A426" s="125" t="s">
        <v>790</v>
      </c>
    </row>
    <row r="427" spans="1:1" x14ac:dyDescent="0.2">
      <c r="A427" s="125" t="s">
        <v>449</v>
      </c>
    </row>
    <row r="428" spans="1:1" x14ac:dyDescent="0.2">
      <c r="A428" s="125" t="s">
        <v>791</v>
      </c>
    </row>
    <row r="429" spans="1:1" x14ac:dyDescent="0.2">
      <c r="A429" s="125" t="s">
        <v>450</v>
      </c>
    </row>
    <row r="430" spans="1:1" x14ac:dyDescent="0.2">
      <c r="A430" s="125" t="s">
        <v>792</v>
      </c>
    </row>
    <row r="431" spans="1:1" x14ac:dyDescent="0.2">
      <c r="A431" s="125" t="s">
        <v>793</v>
      </c>
    </row>
    <row r="432" spans="1:1" x14ac:dyDescent="0.2">
      <c r="A432" s="125" t="s">
        <v>794</v>
      </c>
    </row>
    <row r="433" spans="1:1" x14ac:dyDescent="0.2">
      <c r="A433" s="125" t="s">
        <v>795</v>
      </c>
    </row>
    <row r="434" spans="1:1" x14ac:dyDescent="0.2">
      <c r="A434" s="125" t="s">
        <v>796</v>
      </c>
    </row>
    <row r="435" spans="1:1" x14ac:dyDescent="0.2">
      <c r="A435" s="125" t="s">
        <v>797</v>
      </c>
    </row>
    <row r="436" spans="1:1" x14ac:dyDescent="0.2">
      <c r="A436" s="125" t="s">
        <v>798</v>
      </c>
    </row>
    <row r="437" spans="1:1" x14ac:dyDescent="0.2">
      <c r="A437" s="125" t="s">
        <v>799</v>
      </c>
    </row>
    <row r="438" spans="1:1" x14ac:dyDescent="0.2">
      <c r="A438" s="125" t="s">
        <v>451</v>
      </c>
    </row>
    <row r="439" spans="1:1" x14ac:dyDescent="0.2">
      <c r="A439" s="125" t="s">
        <v>800</v>
      </c>
    </row>
    <row r="440" spans="1:1" x14ac:dyDescent="0.2">
      <c r="A440" s="125" t="s">
        <v>801</v>
      </c>
    </row>
    <row r="441" spans="1:1" x14ac:dyDescent="0.2">
      <c r="A441" s="125" t="s">
        <v>802</v>
      </c>
    </row>
    <row r="442" spans="1:1" x14ac:dyDescent="0.2">
      <c r="A442" s="125" t="s">
        <v>803</v>
      </c>
    </row>
    <row r="443" spans="1:1" x14ac:dyDescent="0.2">
      <c r="A443" s="125" t="s">
        <v>804</v>
      </c>
    </row>
    <row r="444" spans="1:1" x14ac:dyDescent="0.2">
      <c r="A444" s="125" t="s">
        <v>805</v>
      </c>
    </row>
    <row r="445" spans="1:1" x14ac:dyDescent="0.2">
      <c r="A445" s="125" t="s">
        <v>452</v>
      </c>
    </row>
    <row r="446" spans="1:1" x14ac:dyDescent="0.2">
      <c r="A446" s="125" t="s">
        <v>453</v>
      </c>
    </row>
    <row r="447" spans="1:1" x14ac:dyDescent="0.2">
      <c r="A447" s="125" t="s">
        <v>454</v>
      </c>
    </row>
    <row r="448" spans="1:1" x14ac:dyDescent="0.2">
      <c r="A448" s="125" t="s">
        <v>455</v>
      </c>
    </row>
    <row r="449" spans="1:1" x14ac:dyDescent="0.2">
      <c r="A449" s="125" t="s">
        <v>456</v>
      </c>
    </row>
    <row r="450" spans="1:1" x14ac:dyDescent="0.2">
      <c r="A450" s="125" t="s">
        <v>806</v>
      </c>
    </row>
    <row r="451" spans="1:1" x14ac:dyDescent="0.2">
      <c r="A451" s="125" t="s">
        <v>807</v>
      </c>
    </row>
    <row r="452" spans="1:1" x14ac:dyDescent="0.2">
      <c r="A452" s="125" t="s">
        <v>808</v>
      </c>
    </row>
    <row r="453" spans="1:1" x14ac:dyDescent="0.2">
      <c r="A453" s="125" t="s">
        <v>809</v>
      </c>
    </row>
    <row r="454" spans="1:1" x14ac:dyDescent="0.2">
      <c r="A454" s="125" t="s">
        <v>810</v>
      </c>
    </row>
    <row r="455" spans="1:1" x14ac:dyDescent="0.2">
      <c r="A455" s="125" t="s">
        <v>811</v>
      </c>
    </row>
    <row r="456" spans="1:1" x14ac:dyDescent="0.2">
      <c r="A456" s="125" t="s">
        <v>812</v>
      </c>
    </row>
    <row r="457" spans="1:1" x14ac:dyDescent="0.2">
      <c r="A457" s="125" t="s">
        <v>457</v>
      </c>
    </row>
    <row r="458" spans="1:1" x14ac:dyDescent="0.2">
      <c r="A458" s="125" t="s">
        <v>813</v>
      </c>
    </row>
    <row r="459" spans="1:1" x14ac:dyDescent="0.2">
      <c r="A459" s="125" t="s">
        <v>458</v>
      </c>
    </row>
    <row r="460" spans="1:1" x14ac:dyDescent="0.2">
      <c r="A460" s="125" t="s">
        <v>814</v>
      </c>
    </row>
    <row r="461" spans="1:1" x14ac:dyDescent="0.2">
      <c r="A461" s="125" t="s">
        <v>459</v>
      </c>
    </row>
    <row r="462" spans="1:1" x14ac:dyDescent="0.2">
      <c r="A462" s="125" t="s">
        <v>460</v>
      </c>
    </row>
    <row r="463" spans="1:1" x14ac:dyDescent="0.2">
      <c r="A463" s="125" t="s">
        <v>815</v>
      </c>
    </row>
    <row r="464" spans="1:1" x14ac:dyDescent="0.2">
      <c r="A464" s="125" t="s">
        <v>566</v>
      </c>
    </row>
    <row r="465" spans="1:1" x14ac:dyDescent="0.2">
      <c r="A465" s="125" t="s">
        <v>816</v>
      </c>
    </row>
    <row r="466" spans="1:1" x14ac:dyDescent="0.2">
      <c r="A466" s="125" t="s">
        <v>817</v>
      </c>
    </row>
    <row r="467" spans="1:1" x14ac:dyDescent="0.2">
      <c r="A467" s="125" t="s">
        <v>818</v>
      </c>
    </row>
    <row r="468" spans="1:1" x14ac:dyDescent="0.2">
      <c r="A468" s="125" t="s">
        <v>461</v>
      </c>
    </row>
    <row r="469" spans="1:1" x14ac:dyDescent="0.2">
      <c r="A469" s="125" t="s">
        <v>819</v>
      </c>
    </row>
    <row r="470" spans="1:1" x14ac:dyDescent="0.2">
      <c r="A470" s="125" t="s">
        <v>462</v>
      </c>
    </row>
    <row r="471" spans="1:1" x14ac:dyDescent="0.2">
      <c r="A471" s="125" t="s">
        <v>820</v>
      </c>
    </row>
    <row r="472" spans="1:1" x14ac:dyDescent="0.2">
      <c r="A472" s="125" t="s">
        <v>463</v>
      </c>
    </row>
    <row r="473" spans="1:1" x14ac:dyDescent="0.2">
      <c r="A473" s="125" t="s">
        <v>464</v>
      </c>
    </row>
    <row r="474" spans="1:1" x14ac:dyDescent="0.2">
      <c r="A474" s="125" t="s">
        <v>821</v>
      </c>
    </row>
    <row r="475" spans="1:1" x14ac:dyDescent="0.2">
      <c r="A475" s="125" t="s">
        <v>465</v>
      </c>
    </row>
    <row r="476" spans="1:1" x14ac:dyDescent="0.2">
      <c r="A476" s="125" t="s">
        <v>466</v>
      </c>
    </row>
    <row r="477" spans="1:1" x14ac:dyDescent="0.2">
      <c r="A477" s="125" t="s">
        <v>822</v>
      </c>
    </row>
    <row r="478" spans="1:1" x14ac:dyDescent="0.2">
      <c r="A478" s="125" t="s">
        <v>467</v>
      </c>
    </row>
    <row r="479" spans="1:1" x14ac:dyDescent="0.2">
      <c r="A479" s="125" t="s">
        <v>823</v>
      </c>
    </row>
    <row r="480" spans="1:1" x14ac:dyDescent="0.2">
      <c r="A480" s="125" t="s">
        <v>468</v>
      </c>
    </row>
    <row r="481" spans="1:1" x14ac:dyDescent="0.2">
      <c r="A481" s="125" t="s">
        <v>824</v>
      </c>
    </row>
    <row r="482" spans="1:1" x14ac:dyDescent="0.2">
      <c r="A482" s="125" t="s">
        <v>825</v>
      </c>
    </row>
    <row r="483" spans="1:1" x14ac:dyDescent="0.2">
      <c r="A483" s="125" t="s">
        <v>469</v>
      </c>
    </row>
    <row r="484" spans="1:1" x14ac:dyDescent="0.2">
      <c r="A484" s="125" t="s">
        <v>470</v>
      </c>
    </row>
    <row r="485" spans="1:1" x14ac:dyDescent="0.2">
      <c r="A485" s="125" t="s">
        <v>471</v>
      </c>
    </row>
    <row r="486" spans="1:1" x14ac:dyDescent="0.2">
      <c r="A486" s="125" t="s">
        <v>472</v>
      </c>
    </row>
    <row r="487" spans="1:1" x14ac:dyDescent="0.2">
      <c r="A487" s="125" t="s">
        <v>826</v>
      </c>
    </row>
    <row r="488" spans="1:1" x14ac:dyDescent="0.2">
      <c r="A488" s="125" t="s">
        <v>827</v>
      </c>
    </row>
    <row r="489" spans="1:1" x14ac:dyDescent="0.2">
      <c r="A489" s="125" t="s">
        <v>828</v>
      </c>
    </row>
    <row r="490" spans="1:1" x14ac:dyDescent="0.2">
      <c r="A490" s="125" t="s">
        <v>473</v>
      </c>
    </row>
    <row r="491" spans="1:1" x14ac:dyDescent="0.2">
      <c r="A491" s="125" t="s">
        <v>829</v>
      </c>
    </row>
    <row r="492" spans="1:1" x14ac:dyDescent="0.2">
      <c r="A492" s="125" t="s">
        <v>830</v>
      </c>
    </row>
    <row r="493" spans="1:1" x14ac:dyDescent="0.2">
      <c r="A493" s="125" t="s">
        <v>831</v>
      </c>
    </row>
    <row r="494" spans="1:1" x14ac:dyDescent="0.2">
      <c r="A494" s="125" t="s">
        <v>474</v>
      </c>
    </row>
    <row r="495" spans="1:1" x14ac:dyDescent="0.2">
      <c r="A495" s="125" t="s">
        <v>916</v>
      </c>
    </row>
    <row r="496" spans="1:1" x14ac:dyDescent="0.2">
      <c r="A496" s="125" t="s">
        <v>475</v>
      </c>
    </row>
    <row r="497" spans="1:1" x14ac:dyDescent="0.2">
      <c r="A497" s="125" t="s">
        <v>476</v>
      </c>
    </row>
    <row r="498" spans="1:1" x14ac:dyDescent="0.2">
      <c r="A498" s="125" t="s">
        <v>477</v>
      </c>
    </row>
    <row r="499" spans="1:1" x14ac:dyDescent="0.2">
      <c r="A499" s="125" t="s">
        <v>478</v>
      </c>
    </row>
    <row r="500" spans="1:1" x14ac:dyDescent="0.2">
      <c r="A500" s="125" t="s">
        <v>479</v>
      </c>
    </row>
    <row r="501" spans="1:1" x14ac:dyDescent="0.2">
      <c r="A501" s="125" t="s">
        <v>832</v>
      </c>
    </row>
    <row r="502" spans="1:1" x14ac:dyDescent="0.2">
      <c r="A502" s="125" t="s">
        <v>480</v>
      </c>
    </row>
    <row r="503" spans="1:1" x14ac:dyDescent="0.2">
      <c r="A503" s="125" t="s">
        <v>833</v>
      </c>
    </row>
    <row r="504" spans="1:1" x14ac:dyDescent="0.2">
      <c r="A504" s="125" t="s">
        <v>834</v>
      </c>
    </row>
    <row r="505" spans="1:1" x14ac:dyDescent="0.2">
      <c r="A505" s="125" t="s">
        <v>835</v>
      </c>
    </row>
    <row r="506" spans="1:1" x14ac:dyDescent="0.2">
      <c r="A506" s="125" t="s">
        <v>836</v>
      </c>
    </row>
    <row r="507" spans="1:1" x14ac:dyDescent="0.2">
      <c r="A507" s="125" t="s">
        <v>481</v>
      </c>
    </row>
    <row r="508" spans="1:1" x14ac:dyDescent="0.2">
      <c r="A508" s="125" t="s">
        <v>482</v>
      </c>
    </row>
    <row r="509" spans="1:1" x14ac:dyDescent="0.2">
      <c r="A509" s="125" t="s">
        <v>483</v>
      </c>
    </row>
    <row r="510" spans="1:1" x14ac:dyDescent="0.2">
      <c r="A510" s="125" t="s">
        <v>590</v>
      </c>
    </row>
    <row r="511" spans="1:1" x14ac:dyDescent="0.2">
      <c r="A511" s="125" t="s">
        <v>484</v>
      </c>
    </row>
    <row r="512" spans="1:1" x14ac:dyDescent="0.2">
      <c r="A512" s="125" t="s">
        <v>485</v>
      </c>
    </row>
    <row r="513" spans="1:1" x14ac:dyDescent="0.2">
      <c r="A513" s="125" t="s">
        <v>837</v>
      </c>
    </row>
    <row r="514" spans="1:1" x14ac:dyDescent="0.2">
      <c r="A514" s="125" t="s">
        <v>838</v>
      </c>
    </row>
    <row r="515" spans="1:1" x14ac:dyDescent="0.2">
      <c r="A515" s="125" t="s">
        <v>839</v>
      </c>
    </row>
    <row r="516" spans="1:1" x14ac:dyDescent="0.2">
      <c r="A516" s="125" t="s">
        <v>486</v>
      </c>
    </row>
    <row r="517" spans="1:1" x14ac:dyDescent="0.2">
      <c r="A517" s="125" t="s">
        <v>487</v>
      </c>
    </row>
    <row r="518" spans="1:1" x14ac:dyDescent="0.2">
      <c r="A518" s="125" t="s">
        <v>840</v>
      </c>
    </row>
    <row r="519" spans="1:1" x14ac:dyDescent="0.2">
      <c r="A519" s="125" t="s">
        <v>841</v>
      </c>
    </row>
    <row r="520" spans="1:1" x14ac:dyDescent="0.2">
      <c r="A520" s="125" t="s">
        <v>842</v>
      </c>
    </row>
    <row r="521" spans="1:1" x14ac:dyDescent="0.2">
      <c r="A521" s="125" t="s">
        <v>488</v>
      </c>
    </row>
    <row r="522" spans="1:1" x14ac:dyDescent="0.2">
      <c r="A522" s="125" t="s">
        <v>489</v>
      </c>
    </row>
    <row r="523" spans="1:1" x14ac:dyDescent="0.2">
      <c r="A523" s="125" t="s">
        <v>843</v>
      </c>
    </row>
    <row r="524" spans="1:1" x14ac:dyDescent="0.2">
      <c r="A524" s="125" t="s">
        <v>844</v>
      </c>
    </row>
    <row r="525" spans="1:1" x14ac:dyDescent="0.2">
      <c r="A525" s="125" t="s">
        <v>845</v>
      </c>
    </row>
    <row r="526" spans="1:1" x14ac:dyDescent="0.2">
      <c r="A526" s="125" t="s">
        <v>846</v>
      </c>
    </row>
    <row r="527" spans="1:1" x14ac:dyDescent="0.2">
      <c r="A527" s="125" t="s">
        <v>490</v>
      </c>
    </row>
    <row r="528" spans="1:1" x14ac:dyDescent="0.2">
      <c r="A528" s="125" t="s">
        <v>491</v>
      </c>
    </row>
    <row r="529" spans="1:1" x14ac:dyDescent="0.2">
      <c r="A529" s="125" t="s">
        <v>492</v>
      </c>
    </row>
    <row r="530" spans="1:1" x14ac:dyDescent="0.2">
      <c r="A530" s="125" t="s">
        <v>493</v>
      </c>
    </row>
    <row r="531" spans="1:1" x14ac:dyDescent="0.2">
      <c r="A531" s="125" t="s">
        <v>847</v>
      </c>
    </row>
    <row r="532" spans="1:1" x14ac:dyDescent="0.2">
      <c r="A532" s="125" t="s">
        <v>848</v>
      </c>
    </row>
    <row r="533" spans="1:1" x14ac:dyDescent="0.2">
      <c r="A533" s="125" t="s">
        <v>849</v>
      </c>
    </row>
    <row r="534" spans="1:1" x14ac:dyDescent="0.2">
      <c r="A534" s="125" t="s">
        <v>494</v>
      </c>
    </row>
    <row r="535" spans="1:1" x14ac:dyDescent="0.2">
      <c r="A535" s="125" t="s">
        <v>850</v>
      </c>
    </row>
    <row r="536" spans="1:1" x14ac:dyDescent="0.2">
      <c r="A536" s="125" t="s">
        <v>851</v>
      </c>
    </row>
    <row r="537" spans="1:1" x14ac:dyDescent="0.2">
      <c r="A537" s="125" t="s">
        <v>852</v>
      </c>
    </row>
    <row r="538" spans="1:1" x14ac:dyDescent="0.2">
      <c r="A538" s="125" t="s">
        <v>495</v>
      </c>
    </row>
    <row r="539" spans="1:1" x14ac:dyDescent="0.2">
      <c r="A539" s="125" t="s">
        <v>853</v>
      </c>
    </row>
    <row r="540" spans="1:1" x14ac:dyDescent="0.2">
      <c r="A540" s="125" t="s">
        <v>854</v>
      </c>
    </row>
    <row r="541" spans="1:1" x14ac:dyDescent="0.2">
      <c r="A541" s="125" t="s">
        <v>496</v>
      </c>
    </row>
    <row r="542" spans="1:1" x14ac:dyDescent="0.2">
      <c r="A542" s="125" t="s">
        <v>497</v>
      </c>
    </row>
    <row r="543" spans="1:1" x14ac:dyDescent="0.2">
      <c r="A543" s="125" t="s">
        <v>855</v>
      </c>
    </row>
    <row r="544" spans="1:1" x14ac:dyDescent="0.2">
      <c r="A544" s="125" t="s">
        <v>498</v>
      </c>
    </row>
    <row r="545" spans="1:1" x14ac:dyDescent="0.2">
      <c r="A545" s="125" t="s">
        <v>499</v>
      </c>
    </row>
    <row r="546" spans="1:1" x14ac:dyDescent="0.2">
      <c r="A546" s="125" t="s">
        <v>500</v>
      </c>
    </row>
    <row r="547" spans="1:1" x14ac:dyDescent="0.2">
      <c r="A547" s="125" t="s">
        <v>501</v>
      </c>
    </row>
    <row r="548" spans="1:1" x14ac:dyDescent="0.2">
      <c r="A548" s="125" t="s">
        <v>502</v>
      </c>
    </row>
    <row r="549" spans="1:1" x14ac:dyDescent="0.2">
      <c r="A549" s="125" t="s">
        <v>503</v>
      </c>
    </row>
    <row r="550" spans="1:1" x14ac:dyDescent="0.2">
      <c r="A550" s="125" t="s">
        <v>504</v>
      </c>
    </row>
    <row r="551" spans="1:1" x14ac:dyDescent="0.2">
      <c r="A551" s="125" t="s">
        <v>505</v>
      </c>
    </row>
    <row r="552" spans="1:1" x14ac:dyDescent="0.2">
      <c r="A552" s="125" t="s">
        <v>506</v>
      </c>
    </row>
    <row r="553" spans="1:1" x14ac:dyDescent="0.2">
      <c r="A553" s="125" t="s">
        <v>856</v>
      </c>
    </row>
    <row r="554" spans="1:1" x14ac:dyDescent="0.2">
      <c r="A554" s="125" t="s">
        <v>507</v>
      </c>
    </row>
    <row r="555" spans="1:1" x14ac:dyDescent="0.2">
      <c r="A555" s="125" t="s">
        <v>857</v>
      </c>
    </row>
    <row r="556" spans="1:1" x14ac:dyDescent="0.2">
      <c r="A556" s="125" t="s">
        <v>508</v>
      </c>
    </row>
    <row r="557" spans="1:1" x14ac:dyDescent="0.2">
      <c r="A557" s="125" t="s">
        <v>509</v>
      </c>
    </row>
    <row r="558" spans="1:1" x14ac:dyDescent="0.2">
      <c r="A558" s="125" t="s">
        <v>858</v>
      </c>
    </row>
    <row r="559" spans="1:1" x14ac:dyDescent="0.2">
      <c r="A559" s="125" t="s">
        <v>859</v>
      </c>
    </row>
    <row r="560" spans="1:1" x14ac:dyDescent="0.2">
      <c r="A560" s="125" t="s">
        <v>872</v>
      </c>
    </row>
    <row r="561" spans="1:1" x14ac:dyDescent="0.2">
      <c r="A561" s="125" t="s">
        <v>510</v>
      </c>
    </row>
    <row r="562" spans="1:1" x14ac:dyDescent="0.2">
      <c r="A562" s="125" t="s">
        <v>861</v>
      </c>
    </row>
    <row r="563" spans="1:1" x14ac:dyDescent="0.2">
      <c r="A563" s="125" t="s">
        <v>862</v>
      </c>
    </row>
    <row r="564" spans="1:1" x14ac:dyDescent="0.2">
      <c r="A564" s="125" t="s">
        <v>863</v>
      </c>
    </row>
    <row r="565" spans="1:1" x14ac:dyDescent="0.2">
      <c r="A565" s="125" t="s">
        <v>864</v>
      </c>
    </row>
    <row r="566" spans="1:1" x14ac:dyDescent="0.2">
      <c r="A566" s="125" t="s">
        <v>865</v>
      </c>
    </row>
    <row r="567" spans="1:1" x14ac:dyDescent="0.2">
      <c r="A567" s="125" t="s">
        <v>511</v>
      </c>
    </row>
    <row r="568" spans="1:1" x14ac:dyDescent="0.2">
      <c r="A568" s="125" t="s">
        <v>866</v>
      </c>
    </row>
    <row r="569" spans="1:1" x14ac:dyDescent="0.2">
      <c r="A569" s="125" t="s">
        <v>867</v>
      </c>
    </row>
    <row r="570" spans="1:1" x14ac:dyDescent="0.2">
      <c r="A570" s="125" t="s">
        <v>868</v>
      </c>
    </row>
    <row r="571" spans="1:1" x14ac:dyDescent="0.2">
      <c r="A571" s="125" t="s">
        <v>869</v>
      </c>
    </row>
    <row r="572" spans="1:1" x14ac:dyDescent="0.2">
      <c r="A572" s="125" t="s">
        <v>512</v>
      </c>
    </row>
    <row r="573" spans="1:1" x14ac:dyDescent="0.2">
      <c r="A573" s="125" t="s">
        <v>870</v>
      </c>
    </row>
    <row r="574" spans="1:1" x14ac:dyDescent="0.2">
      <c r="A574" s="125" t="s">
        <v>871</v>
      </c>
    </row>
    <row r="575" spans="1:1" x14ac:dyDescent="0.2">
      <c r="A575" s="125" t="s">
        <v>873</v>
      </c>
    </row>
    <row r="576" spans="1:1" x14ac:dyDescent="0.2">
      <c r="A576" s="125" t="s">
        <v>874</v>
      </c>
    </row>
    <row r="577" spans="1:1" x14ac:dyDescent="0.2">
      <c r="A577" s="125" t="s">
        <v>513</v>
      </c>
    </row>
    <row r="578" spans="1:1" x14ac:dyDescent="0.2">
      <c r="A578" s="125" t="s">
        <v>514</v>
      </c>
    </row>
    <row r="579" spans="1:1" x14ac:dyDescent="0.2">
      <c r="A579" s="125" t="s">
        <v>875</v>
      </c>
    </row>
    <row r="580" spans="1:1" x14ac:dyDescent="0.2">
      <c r="A580" s="125" t="s">
        <v>921</v>
      </c>
    </row>
    <row r="581" spans="1:1" x14ac:dyDescent="0.2">
      <c r="A581" s="125" t="s">
        <v>515</v>
      </c>
    </row>
    <row r="582" spans="1:1" x14ac:dyDescent="0.2">
      <c r="A582" s="125" t="s">
        <v>876</v>
      </c>
    </row>
    <row r="583" spans="1:1" x14ac:dyDescent="0.2">
      <c r="A583" s="125" t="s">
        <v>516</v>
      </c>
    </row>
    <row r="584" spans="1:1" x14ac:dyDescent="0.2">
      <c r="A584" s="125" t="s">
        <v>877</v>
      </c>
    </row>
    <row r="585" spans="1:1" x14ac:dyDescent="0.2">
      <c r="A585" s="125" t="s">
        <v>878</v>
      </c>
    </row>
    <row r="586" spans="1:1" x14ac:dyDescent="0.2">
      <c r="A586" s="125" t="s">
        <v>517</v>
      </c>
    </row>
    <row r="587" spans="1:1" x14ac:dyDescent="0.2">
      <c r="A587" s="125" t="s">
        <v>518</v>
      </c>
    </row>
    <row r="588" spans="1:1" x14ac:dyDescent="0.2">
      <c r="A588" s="125" t="s">
        <v>519</v>
      </c>
    </row>
    <row r="589" spans="1:1" x14ac:dyDescent="0.2">
      <c r="A589" s="125" t="s">
        <v>619</v>
      </c>
    </row>
    <row r="590" spans="1:1" x14ac:dyDescent="0.2">
      <c r="A590" s="125" t="s">
        <v>880</v>
      </c>
    </row>
    <row r="591" spans="1:1" x14ac:dyDescent="0.2">
      <c r="A591" s="125" t="s">
        <v>881</v>
      </c>
    </row>
    <row r="592" spans="1:1" x14ac:dyDescent="0.2">
      <c r="A592" s="125" t="s">
        <v>520</v>
      </c>
    </row>
    <row r="593" spans="1:1" x14ac:dyDescent="0.2">
      <c r="A593" s="125" t="s">
        <v>521</v>
      </c>
    </row>
    <row r="594" spans="1:1" x14ac:dyDescent="0.2">
      <c r="A594" s="125" t="s">
        <v>882</v>
      </c>
    </row>
    <row r="595" spans="1:1" x14ac:dyDescent="0.2">
      <c r="A595" s="125" t="s">
        <v>883</v>
      </c>
    </row>
    <row r="596" spans="1:1" x14ac:dyDescent="0.2">
      <c r="A596" s="125" t="s">
        <v>884</v>
      </c>
    </row>
    <row r="597" spans="1:1" x14ac:dyDescent="0.2">
      <c r="A597" s="125" t="s">
        <v>885</v>
      </c>
    </row>
    <row r="598" spans="1:1" x14ac:dyDescent="0.2">
      <c r="A598" s="125" t="s">
        <v>886</v>
      </c>
    </row>
    <row r="599" spans="1:1" x14ac:dyDescent="0.2">
      <c r="A599" s="125" t="s">
        <v>887</v>
      </c>
    </row>
    <row r="600" spans="1:1" x14ac:dyDescent="0.2">
      <c r="A600" s="125" t="s">
        <v>522</v>
      </c>
    </row>
    <row r="601" spans="1:1" x14ac:dyDescent="0.2">
      <c r="A601" s="125" t="s">
        <v>523</v>
      </c>
    </row>
    <row r="602" spans="1:1" x14ac:dyDescent="0.2">
      <c r="A602" s="125" t="s">
        <v>524</v>
      </c>
    </row>
    <row r="603" spans="1:1" x14ac:dyDescent="0.2">
      <c r="A603" s="125" t="s">
        <v>888</v>
      </c>
    </row>
    <row r="604" spans="1:1" x14ac:dyDescent="0.2">
      <c r="A604" s="125" t="s">
        <v>889</v>
      </c>
    </row>
    <row r="605" spans="1:1" x14ac:dyDescent="0.2">
      <c r="A605" s="125" t="s">
        <v>890</v>
      </c>
    </row>
    <row r="606" spans="1:1" x14ac:dyDescent="0.2">
      <c r="A606" s="125" t="s">
        <v>603</v>
      </c>
    </row>
    <row r="607" spans="1:1" x14ac:dyDescent="0.2">
      <c r="A607" s="125" t="s">
        <v>591</v>
      </c>
    </row>
    <row r="608" spans="1:1" x14ac:dyDescent="0.2">
      <c r="A608" s="125" t="s">
        <v>891</v>
      </c>
    </row>
    <row r="609" spans="1:1" x14ac:dyDescent="0.2">
      <c r="A609" s="125" t="s">
        <v>592</v>
      </c>
    </row>
    <row r="610" spans="1:1" x14ac:dyDescent="0.2">
      <c r="A610" s="125" t="s">
        <v>525</v>
      </c>
    </row>
    <row r="611" spans="1:1" x14ac:dyDescent="0.2">
      <c r="A611" s="125" t="s">
        <v>618</v>
      </c>
    </row>
    <row r="612" spans="1:1" x14ac:dyDescent="0.2">
      <c r="A612" s="125" t="s">
        <v>593</v>
      </c>
    </row>
    <row r="613" spans="1:1" x14ac:dyDescent="0.2">
      <c r="A613" s="125" t="s">
        <v>594</v>
      </c>
    </row>
    <row r="614" spans="1:1" x14ac:dyDescent="0.2">
      <c r="A614" s="125" t="s">
        <v>615</v>
      </c>
    </row>
    <row r="615" spans="1:1" x14ac:dyDescent="0.2">
      <c r="A615" s="125" t="s">
        <v>638</v>
      </c>
    </row>
    <row r="616" spans="1:1" x14ac:dyDescent="0.2">
      <c r="A616" s="125" t="s">
        <v>639</v>
      </c>
    </row>
    <row r="617" spans="1:1" x14ac:dyDescent="0.2">
      <c r="A617" s="125" t="s">
        <v>669</v>
      </c>
    </row>
    <row r="618" spans="1:1" x14ac:dyDescent="0.2">
      <c r="A618" s="125" t="s">
        <v>892</v>
      </c>
    </row>
    <row r="619" spans="1:1" x14ac:dyDescent="0.2">
      <c r="A619" s="125" t="s">
        <v>526</v>
      </c>
    </row>
    <row r="620" spans="1:1" x14ac:dyDescent="0.2">
      <c r="A620" s="125" t="s">
        <v>527</v>
      </c>
    </row>
    <row r="621" spans="1:1" x14ac:dyDescent="0.2">
      <c r="A621" s="125" t="s">
        <v>528</v>
      </c>
    </row>
    <row r="622" spans="1:1" x14ac:dyDescent="0.2">
      <c r="A622" s="125" t="s">
        <v>529</v>
      </c>
    </row>
    <row r="623" spans="1:1" x14ac:dyDescent="0.2">
      <c r="A623" s="125" t="s">
        <v>530</v>
      </c>
    </row>
    <row r="624" spans="1:1" x14ac:dyDescent="0.2">
      <c r="A624" s="125" t="s">
        <v>531</v>
      </c>
    </row>
    <row r="625" spans="1:1" x14ac:dyDescent="0.2">
      <c r="A625" s="125" t="s">
        <v>894</v>
      </c>
    </row>
    <row r="626" spans="1:1" x14ac:dyDescent="0.2">
      <c r="A626" s="125" t="s">
        <v>895</v>
      </c>
    </row>
    <row r="627" spans="1:1" x14ac:dyDescent="0.2">
      <c r="A627" s="125" t="s">
        <v>532</v>
      </c>
    </row>
    <row r="628" spans="1:1" x14ac:dyDescent="0.2">
      <c r="A628" s="125" t="s">
        <v>627</v>
      </c>
    </row>
    <row r="629" spans="1:1" x14ac:dyDescent="0.2">
      <c r="A629" s="125" t="s">
        <v>896</v>
      </c>
    </row>
    <row r="630" spans="1:1" x14ac:dyDescent="0.2">
      <c r="A630" s="125" t="s">
        <v>897</v>
      </c>
    </row>
    <row r="631" spans="1:1" x14ac:dyDescent="0.2">
      <c r="A631" s="125" t="s">
        <v>898</v>
      </c>
    </row>
    <row r="632" spans="1:1" x14ac:dyDescent="0.2">
      <c r="A632" s="125" t="s">
        <v>533</v>
      </c>
    </row>
    <row r="633" spans="1:1" x14ac:dyDescent="0.2">
      <c r="A633" s="125" t="s">
        <v>534</v>
      </c>
    </row>
    <row r="634" spans="1:1" x14ac:dyDescent="0.2">
      <c r="A634" s="125" t="s">
        <v>899</v>
      </c>
    </row>
    <row r="635" spans="1:1" x14ac:dyDescent="0.2">
      <c r="A635" s="125" t="s">
        <v>900</v>
      </c>
    </row>
    <row r="636" spans="1:1" x14ac:dyDescent="0.2">
      <c r="A636" s="125" t="s">
        <v>535</v>
      </c>
    </row>
    <row r="637" spans="1:1" x14ac:dyDescent="0.2">
      <c r="A637" s="125" t="s">
        <v>901</v>
      </c>
    </row>
    <row r="638" spans="1:1" x14ac:dyDescent="0.2">
      <c r="A638" s="125" t="s">
        <v>902</v>
      </c>
    </row>
    <row r="639" spans="1:1" x14ac:dyDescent="0.2">
      <c r="A639" s="125" t="s">
        <v>903</v>
      </c>
    </row>
    <row r="640" spans="1:1" x14ac:dyDescent="0.2">
      <c r="A640" s="125" t="s">
        <v>904</v>
      </c>
    </row>
    <row r="641" spans="1:1" x14ac:dyDescent="0.2">
      <c r="A641" s="125" t="s">
        <v>536</v>
      </c>
    </row>
    <row r="642" spans="1:1" x14ac:dyDescent="0.2">
      <c r="A642" s="125" t="s">
        <v>537</v>
      </c>
    </row>
    <row r="643" spans="1:1" x14ac:dyDescent="0.2">
      <c r="A643" s="125" t="s">
        <v>538</v>
      </c>
    </row>
    <row r="644" spans="1:1" x14ac:dyDescent="0.2">
      <c r="A644" s="125" t="s">
        <v>905</v>
      </c>
    </row>
    <row r="645" spans="1:1" x14ac:dyDescent="0.2">
      <c r="A645" s="125" t="s">
        <v>539</v>
      </c>
    </row>
    <row r="646" spans="1:1" x14ac:dyDescent="0.2">
      <c r="A646" s="125" t="s">
        <v>540</v>
      </c>
    </row>
    <row r="647" spans="1:1" x14ac:dyDescent="0.2">
      <c r="A647" s="125" t="s">
        <v>541</v>
      </c>
    </row>
    <row r="648" spans="1:1" x14ac:dyDescent="0.2">
      <c r="A648" s="125" t="s">
        <v>879</v>
      </c>
    </row>
    <row r="649" spans="1:1" x14ac:dyDescent="0.2">
      <c r="A649" s="125" t="s">
        <v>542</v>
      </c>
    </row>
    <row r="650" spans="1:1" x14ac:dyDescent="0.2">
      <c r="A650" s="125" t="s">
        <v>543</v>
      </c>
    </row>
    <row r="651" spans="1:1" x14ac:dyDescent="0.2">
      <c r="A651" s="125" t="s">
        <v>544</v>
      </c>
    </row>
    <row r="652" spans="1:1" x14ac:dyDescent="0.2">
      <c r="A652" s="125" t="s">
        <v>910</v>
      </c>
    </row>
    <row r="653" spans="1:1" x14ac:dyDescent="0.2">
      <c r="A653" s="125" t="s">
        <v>545</v>
      </c>
    </row>
    <row r="654" spans="1:1" x14ac:dyDescent="0.2">
      <c r="A654" s="125" t="s">
        <v>546</v>
      </c>
    </row>
    <row r="655" spans="1:1" x14ac:dyDescent="0.2">
      <c r="A655" s="125" t="s">
        <v>547</v>
      </c>
    </row>
    <row r="656" spans="1:1" x14ac:dyDescent="0.2">
      <c r="A656" s="125" t="s">
        <v>548</v>
      </c>
    </row>
    <row r="657" spans="1:1" x14ac:dyDescent="0.2">
      <c r="A657" s="125" t="s">
        <v>549</v>
      </c>
    </row>
    <row r="658" spans="1:1" x14ac:dyDescent="0.2">
      <c r="A658" s="125" t="s">
        <v>911</v>
      </c>
    </row>
    <row r="659" spans="1:1" x14ac:dyDescent="0.2">
      <c r="A659" s="125" t="s">
        <v>550</v>
      </c>
    </row>
    <row r="660" spans="1:1" x14ac:dyDescent="0.2">
      <c r="A660" s="125" t="s">
        <v>551</v>
      </c>
    </row>
    <row r="661" spans="1:1" x14ac:dyDescent="0.2">
      <c r="A661" s="125" t="s">
        <v>620</v>
      </c>
    </row>
    <row r="662" spans="1:1" x14ac:dyDescent="0.2">
      <c r="A662" s="125" t="s">
        <v>552</v>
      </c>
    </row>
    <row r="663" spans="1:1" x14ac:dyDescent="0.2">
      <c r="A663" s="125" t="s">
        <v>553</v>
      </c>
    </row>
    <row r="664" spans="1:1" x14ac:dyDescent="0.2">
      <c r="A664" s="125" t="s">
        <v>912</v>
      </c>
    </row>
    <row r="665" spans="1:1" x14ac:dyDescent="0.2">
      <c r="A665" s="125" t="s">
        <v>554</v>
      </c>
    </row>
    <row r="666" spans="1:1" x14ac:dyDescent="0.2">
      <c r="A666" s="125" t="s">
        <v>555</v>
      </c>
    </row>
    <row r="667" spans="1:1" x14ac:dyDescent="0.2">
      <c r="A667" s="125" t="s">
        <v>907</v>
      </c>
    </row>
    <row r="668" spans="1:1" x14ac:dyDescent="0.2">
      <c r="A668" s="125" t="s">
        <v>556</v>
      </c>
    </row>
    <row r="669" spans="1:1" x14ac:dyDescent="0.2">
      <c r="A669" s="125" t="s">
        <v>913</v>
      </c>
    </row>
    <row r="670" spans="1:1" x14ac:dyDescent="0.2">
      <c r="A670" s="125" t="s">
        <v>557</v>
      </c>
    </row>
    <row r="671" spans="1:1" x14ac:dyDescent="0.2">
      <c r="A671" s="125" t="s">
        <v>665</v>
      </c>
    </row>
    <row r="672" spans="1:1" x14ac:dyDescent="0.2">
      <c r="A672" s="125" t="s">
        <v>261</v>
      </c>
    </row>
    <row r="673" spans="1:1" x14ac:dyDescent="0.2">
      <c r="A673" s="125"/>
    </row>
    <row r="674" spans="1:1" x14ac:dyDescent="0.2">
      <c r="A674" s="125"/>
    </row>
    <row r="675" spans="1:1" x14ac:dyDescent="0.2">
      <c r="A675" s="125"/>
    </row>
    <row r="676" spans="1:1" x14ac:dyDescent="0.2">
      <c r="A676" s="125"/>
    </row>
    <row r="677" spans="1:1" x14ac:dyDescent="0.2">
      <c r="A677" s="125"/>
    </row>
    <row r="678" spans="1:1" x14ac:dyDescent="0.2">
      <c r="A678" s="125"/>
    </row>
    <row r="679" spans="1:1" x14ac:dyDescent="0.2">
      <c r="A679" s="125"/>
    </row>
    <row r="680" spans="1:1" x14ac:dyDescent="0.2">
      <c r="A680" s="125"/>
    </row>
    <row r="681" spans="1:1" x14ac:dyDescent="0.2">
      <c r="A681" s="125"/>
    </row>
    <row r="682" spans="1:1" x14ac:dyDescent="0.2">
      <c r="A682" s="125"/>
    </row>
    <row r="683" spans="1:1" x14ac:dyDescent="0.2">
      <c r="A683" s="125"/>
    </row>
    <row r="684" spans="1:1" x14ac:dyDescent="0.2">
      <c r="A684" s="125"/>
    </row>
    <row r="685" spans="1:1" x14ac:dyDescent="0.2">
      <c r="A685" s="125"/>
    </row>
    <row r="686" spans="1:1" x14ac:dyDescent="0.2">
      <c r="A686" s="125"/>
    </row>
    <row r="687" spans="1:1" x14ac:dyDescent="0.2">
      <c r="A687" s="125"/>
    </row>
    <row r="688" spans="1:1" x14ac:dyDescent="0.2">
      <c r="A688" s="125"/>
    </row>
    <row r="689" spans="1:1" x14ac:dyDescent="0.2">
      <c r="A689" s="125"/>
    </row>
    <row r="690" spans="1:1" x14ac:dyDescent="0.2">
      <c r="A690" s="125"/>
    </row>
    <row r="691" spans="1:1" x14ac:dyDescent="0.2">
      <c r="A691" s="125"/>
    </row>
    <row r="692" spans="1:1" x14ac:dyDescent="0.2">
      <c r="A692" s="125"/>
    </row>
    <row r="693" spans="1:1" x14ac:dyDescent="0.2">
      <c r="A693" s="125"/>
    </row>
    <row r="694" spans="1:1" x14ac:dyDescent="0.2">
      <c r="A694" s="125"/>
    </row>
    <row r="695" spans="1:1" x14ac:dyDescent="0.2">
      <c r="A695" s="125"/>
    </row>
    <row r="696" spans="1:1" x14ac:dyDescent="0.2">
      <c r="A696" s="125"/>
    </row>
    <row r="697" spans="1:1" x14ac:dyDescent="0.2">
      <c r="A697" s="125"/>
    </row>
    <row r="698" spans="1:1" x14ac:dyDescent="0.2">
      <c r="A698" s="125"/>
    </row>
    <row r="699" spans="1:1" x14ac:dyDescent="0.2">
      <c r="A699" s="125"/>
    </row>
    <row r="700" spans="1:1" x14ac:dyDescent="0.2">
      <c r="A700" s="125"/>
    </row>
    <row r="701" spans="1:1" x14ac:dyDescent="0.2">
      <c r="A701" s="125"/>
    </row>
    <row r="702" spans="1:1" x14ac:dyDescent="0.2">
      <c r="A702" s="125"/>
    </row>
    <row r="703" spans="1:1" x14ac:dyDescent="0.2">
      <c r="A703" s="125"/>
    </row>
    <row r="704" spans="1:1" x14ac:dyDescent="0.2">
      <c r="A704" s="125"/>
    </row>
    <row r="705" spans="1:1" x14ac:dyDescent="0.2">
      <c r="A705" s="125"/>
    </row>
    <row r="706" spans="1:1" x14ac:dyDescent="0.2">
      <c r="A706" s="125"/>
    </row>
    <row r="707" spans="1:1" x14ac:dyDescent="0.2">
      <c r="A707" s="125"/>
    </row>
    <row r="708" spans="1:1" x14ac:dyDescent="0.2">
      <c r="A708" s="125"/>
    </row>
    <row r="709" spans="1:1" x14ac:dyDescent="0.2">
      <c r="A709" s="125"/>
    </row>
    <row r="710" spans="1:1" x14ac:dyDescent="0.2">
      <c r="A710" s="125"/>
    </row>
    <row r="711" spans="1:1" x14ac:dyDescent="0.2">
      <c r="A711" s="125"/>
    </row>
    <row r="712" spans="1:1" x14ac:dyDescent="0.2">
      <c r="A712" s="125"/>
    </row>
    <row r="713" spans="1:1" x14ac:dyDescent="0.2">
      <c r="A713" s="125"/>
    </row>
    <row r="714" spans="1:1" x14ac:dyDescent="0.2">
      <c r="A714" s="125"/>
    </row>
    <row r="715" spans="1:1" x14ac:dyDescent="0.2">
      <c r="A715" s="125"/>
    </row>
    <row r="716" spans="1:1" x14ac:dyDescent="0.2">
      <c r="A716" s="125"/>
    </row>
    <row r="717" spans="1:1" x14ac:dyDescent="0.2">
      <c r="A717" s="125"/>
    </row>
    <row r="718" spans="1:1" x14ac:dyDescent="0.2">
      <c r="A718" s="125"/>
    </row>
    <row r="719" spans="1:1" x14ac:dyDescent="0.2">
      <c r="A719" s="125"/>
    </row>
    <row r="720" spans="1:1" x14ac:dyDescent="0.2">
      <c r="A720" s="125"/>
    </row>
    <row r="721" spans="1:1" x14ac:dyDescent="0.2">
      <c r="A721" s="125"/>
    </row>
    <row r="722" spans="1:1" x14ac:dyDescent="0.2">
      <c r="A722" s="125"/>
    </row>
    <row r="723" spans="1:1" x14ac:dyDescent="0.2">
      <c r="A723" s="125"/>
    </row>
    <row r="724" spans="1:1" x14ac:dyDescent="0.2">
      <c r="A724" s="125"/>
    </row>
    <row r="725" spans="1:1" x14ac:dyDescent="0.2">
      <c r="A725" s="125"/>
    </row>
    <row r="726" spans="1:1" x14ac:dyDescent="0.2">
      <c r="A726" s="125"/>
    </row>
    <row r="727" spans="1:1" x14ac:dyDescent="0.2">
      <c r="A727" s="125"/>
    </row>
    <row r="728" spans="1:1" x14ac:dyDescent="0.2">
      <c r="A728" s="125"/>
    </row>
    <row r="729" spans="1:1" x14ac:dyDescent="0.2">
      <c r="A729" s="125"/>
    </row>
    <row r="730" spans="1:1" x14ac:dyDescent="0.2">
      <c r="A730" s="125"/>
    </row>
    <row r="731" spans="1:1" x14ac:dyDescent="0.2">
      <c r="A731" s="125"/>
    </row>
    <row r="732" spans="1:1" x14ac:dyDescent="0.2">
      <c r="A732" s="125"/>
    </row>
    <row r="733" spans="1:1" x14ac:dyDescent="0.2">
      <c r="A733" s="125"/>
    </row>
    <row r="734" spans="1:1" x14ac:dyDescent="0.2">
      <c r="A734" s="125"/>
    </row>
    <row r="735" spans="1:1" x14ac:dyDescent="0.2">
      <c r="A735" s="125"/>
    </row>
    <row r="736" spans="1:1" x14ac:dyDescent="0.2">
      <c r="A736" s="125"/>
    </row>
    <row r="737" spans="1:1" x14ac:dyDescent="0.2">
      <c r="A737" s="125"/>
    </row>
    <row r="738" spans="1:1" x14ac:dyDescent="0.2">
      <c r="A738" s="125"/>
    </row>
    <row r="739" spans="1:1" x14ac:dyDescent="0.2">
      <c r="A739" s="125"/>
    </row>
    <row r="740" spans="1:1" x14ac:dyDescent="0.2">
      <c r="A740" s="125"/>
    </row>
    <row r="741" spans="1:1" x14ac:dyDescent="0.2">
      <c r="A741" s="125"/>
    </row>
    <row r="742" spans="1:1" x14ac:dyDescent="0.2">
      <c r="A742" s="125"/>
    </row>
    <row r="743" spans="1:1" x14ac:dyDescent="0.2">
      <c r="A743" s="125"/>
    </row>
    <row r="744" spans="1:1" x14ac:dyDescent="0.2">
      <c r="A744" s="125"/>
    </row>
    <row r="745" spans="1:1" x14ac:dyDescent="0.2">
      <c r="A745" s="125"/>
    </row>
    <row r="746" spans="1:1" x14ac:dyDescent="0.2">
      <c r="A746" s="125"/>
    </row>
    <row r="747" spans="1:1" x14ac:dyDescent="0.2">
      <c r="A747" s="125"/>
    </row>
    <row r="748" spans="1:1" x14ac:dyDescent="0.2">
      <c r="A748" s="125"/>
    </row>
    <row r="749" spans="1:1" x14ac:dyDescent="0.2">
      <c r="A749" s="125"/>
    </row>
    <row r="750" spans="1:1" x14ac:dyDescent="0.2">
      <c r="A750" s="125"/>
    </row>
    <row r="751" spans="1:1" x14ac:dyDescent="0.2">
      <c r="A751" s="125"/>
    </row>
    <row r="752" spans="1:1" x14ac:dyDescent="0.2">
      <c r="A752" s="125"/>
    </row>
    <row r="753" spans="1:1" x14ac:dyDescent="0.2">
      <c r="A753" s="125"/>
    </row>
    <row r="754" spans="1:1" x14ac:dyDescent="0.2">
      <c r="A754" s="125"/>
    </row>
    <row r="755" spans="1:1" x14ac:dyDescent="0.2">
      <c r="A755" s="125"/>
    </row>
    <row r="756" spans="1:1" x14ac:dyDescent="0.2">
      <c r="A756" s="125"/>
    </row>
    <row r="757" spans="1:1" x14ac:dyDescent="0.2">
      <c r="A757" s="125"/>
    </row>
    <row r="758" spans="1:1" x14ac:dyDescent="0.2">
      <c r="A758" s="125"/>
    </row>
    <row r="759" spans="1:1" x14ac:dyDescent="0.2">
      <c r="A759" s="125"/>
    </row>
    <row r="760" spans="1:1" x14ac:dyDescent="0.2">
      <c r="A760" s="125"/>
    </row>
    <row r="761" spans="1:1" x14ac:dyDescent="0.2">
      <c r="A761" s="125"/>
    </row>
    <row r="762" spans="1:1" x14ac:dyDescent="0.2">
      <c r="A762" s="125"/>
    </row>
    <row r="763" spans="1:1" x14ac:dyDescent="0.2">
      <c r="A763" s="125"/>
    </row>
    <row r="764" spans="1:1" x14ac:dyDescent="0.2">
      <c r="A764" s="125"/>
    </row>
    <row r="765" spans="1:1" x14ac:dyDescent="0.2">
      <c r="A765" s="125"/>
    </row>
    <row r="766" spans="1:1" x14ac:dyDescent="0.2">
      <c r="A766" s="125"/>
    </row>
    <row r="767" spans="1:1" x14ac:dyDescent="0.2">
      <c r="A767" s="125"/>
    </row>
    <row r="768" spans="1:1" x14ac:dyDescent="0.2">
      <c r="A768" s="125"/>
    </row>
    <row r="769" spans="1:1" x14ac:dyDescent="0.2">
      <c r="A769" s="125"/>
    </row>
    <row r="770" spans="1:1" x14ac:dyDescent="0.2">
      <c r="A770" s="125"/>
    </row>
    <row r="771" spans="1:1" x14ac:dyDescent="0.2">
      <c r="A771" s="125"/>
    </row>
    <row r="772" spans="1:1" x14ac:dyDescent="0.2">
      <c r="A772" s="125"/>
    </row>
    <row r="773" spans="1:1" x14ac:dyDescent="0.2">
      <c r="A773" s="125"/>
    </row>
    <row r="774" spans="1:1" x14ac:dyDescent="0.2">
      <c r="A774" s="125"/>
    </row>
    <row r="775" spans="1:1" x14ac:dyDescent="0.2">
      <c r="A775" s="125"/>
    </row>
    <row r="776" spans="1:1" x14ac:dyDescent="0.2">
      <c r="A776" s="125"/>
    </row>
    <row r="777" spans="1:1" x14ac:dyDescent="0.2">
      <c r="A777" s="125"/>
    </row>
    <row r="778" spans="1:1" x14ac:dyDescent="0.2">
      <c r="A778" s="125"/>
    </row>
    <row r="779" spans="1:1" x14ac:dyDescent="0.2">
      <c r="A779" s="125"/>
    </row>
    <row r="780" spans="1:1" x14ac:dyDescent="0.2">
      <c r="A780" s="125"/>
    </row>
    <row r="781" spans="1:1" x14ac:dyDescent="0.2">
      <c r="A781" s="125"/>
    </row>
    <row r="782" spans="1:1" x14ac:dyDescent="0.2">
      <c r="A782" s="125"/>
    </row>
    <row r="783" spans="1:1" x14ac:dyDescent="0.2">
      <c r="A783" s="125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23</vt:lpstr>
      <vt:lpstr>24</vt:lpstr>
      <vt:lpstr>25</vt:lpstr>
      <vt:lpstr>27</vt:lpstr>
      <vt:lpstr>Bank</vt:lpstr>
      <vt:lpstr>'23'!Print_Area</vt:lpstr>
      <vt:lpstr>'25'!Print_Area</vt:lpstr>
      <vt:lpstr>'27'!Print_Area</vt:lpstr>
      <vt:lpstr>'23'!Print_Titles</vt:lpstr>
      <vt:lpstr>'25'!Print_Titles</vt:lpstr>
      <vt:lpstr>'27'!Print_Titles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2006-03-01T02:17:12Z</cp:lastPrinted>
  <dcterms:created xsi:type="dcterms:W3CDTF">2005-10-26T01:00:59Z</dcterms:created>
  <dcterms:modified xsi:type="dcterms:W3CDTF">2018-07-30T08:18:46Z</dcterms:modified>
</cp:coreProperties>
</file>