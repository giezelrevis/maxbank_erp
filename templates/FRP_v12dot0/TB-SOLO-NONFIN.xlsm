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5" activeTab="5"/>
  </bookViews>
  <sheets>
    <sheet name="16" sheetId="6" state="hidden" r:id="rId1"/>
    <sheet name="17" sheetId="2" state="hidden" r:id="rId2"/>
    <sheet name="19" sheetId="7" state="hidden" r:id="rId3"/>
    <sheet name="20" sheetId="4" state="hidden" r:id="rId4"/>
    <sheet name="42" sheetId="8" state="hidden" r:id="rId5"/>
    <sheet name="Bank" sheetId="5" r:id="rId6"/>
  </sheets>
  <definedNames>
    <definedName name="_xlnm.Print_Area" localSheetId="0">'16'!$A$1:$AN$39</definedName>
    <definedName name="_xlnm.Print_Area" localSheetId="1">'17'!$A$1:$AV$27</definedName>
    <definedName name="_xlnm.Print_Area" localSheetId="2">'19'!$A$1:$P$44</definedName>
    <definedName name="_xlnm.Print_Area" localSheetId="3">'20'!$A$1:$P$23</definedName>
    <definedName name="_xlnm.Print_Area" localSheetId="4">'42'!$A$1:$P$22</definedName>
    <definedName name="_xlnm.Print_Titles" localSheetId="0">'16'!$A:$H,'16'!$1:$9</definedName>
    <definedName name="_xlnm.Print_Titles" localSheetId="1">'17'!$A:$H,'17'!$1:$9</definedName>
    <definedName name="_xlnm.Print_Titles" localSheetId="2">'19'!$A:$H,'19'!$1:$9</definedName>
    <definedName name="_xlnm.Print_Titles" localSheetId="3">'20'!$A:$H,'20'!$1:$9</definedName>
  </definedNames>
  <calcPr calcId="152511" fullCalcOnLoad="1"/>
</workbook>
</file>

<file path=xl/calcChain.xml><?xml version="1.0" encoding="utf-8"?>
<calcChain xmlns="http://schemas.openxmlformats.org/spreadsheetml/2006/main">
  <c r="AG25" i="2" l="1"/>
  <c r="AG24" i="2" s="1"/>
  <c r="AJ25" i="2"/>
  <c r="AJ24" i="2"/>
  <c r="AK25" i="2"/>
  <c r="AL25" i="2"/>
  <c r="AM25" i="2"/>
  <c r="AM24" i="2"/>
  <c r="AM21" i="2" s="1"/>
  <c r="AM23" i="2"/>
  <c r="AM22" i="2"/>
  <c r="AL23" i="2"/>
  <c r="AL22" i="2"/>
  <c r="AL21" i="2" s="1"/>
  <c r="AK23" i="2"/>
  <c r="AK22" i="2"/>
  <c r="AK21" i="2" s="1"/>
  <c r="AJ23" i="2"/>
  <c r="AJ22" i="2"/>
  <c r="AJ21" i="2" s="1"/>
  <c r="AG23" i="2"/>
  <c r="AG22" i="2"/>
  <c r="AG21" i="2" s="1"/>
  <c r="AG18" i="2"/>
  <c r="AG17" i="2"/>
  <c r="AG19" i="2" s="1"/>
  <c r="AG16" i="2"/>
  <c r="AJ18" i="2"/>
  <c r="AJ17" i="2"/>
  <c r="AJ16" i="2"/>
  <c r="AJ19" i="2" s="1"/>
  <c r="AK18" i="2"/>
  <c r="AK17" i="2"/>
  <c r="AK16" i="2"/>
  <c r="AK19" i="2" s="1"/>
  <c r="AL18" i="2"/>
  <c r="AL17" i="2"/>
  <c r="AL16" i="2"/>
  <c r="AL19" i="2"/>
  <c r="AM18" i="2"/>
  <c r="AM17" i="2"/>
  <c r="AM16" i="2"/>
  <c r="AM13" i="2"/>
  <c r="AM14" i="2" s="1"/>
  <c r="AM12" i="2"/>
  <c r="AM11" i="2"/>
  <c r="AL13" i="2"/>
  <c r="AL12" i="2"/>
  <c r="AL14" i="2" s="1"/>
  <c r="AL11" i="2"/>
  <c r="AK13" i="2"/>
  <c r="AK12" i="2"/>
  <c r="AK14" i="2" s="1"/>
  <c r="AK11" i="2"/>
  <c r="AJ13" i="2"/>
  <c r="AJ12" i="2"/>
  <c r="AJ14" i="2"/>
  <c r="AJ11" i="2"/>
  <c r="AG13" i="2"/>
  <c r="AG12" i="2"/>
  <c r="AG11" i="2"/>
  <c r="AV25" i="2"/>
  <c r="AF25" i="2"/>
  <c r="AF24" i="2" s="1"/>
  <c r="AN24" i="2" s="1"/>
  <c r="X25" i="2"/>
  <c r="P25" i="2"/>
  <c r="AN25" i="2" s="1"/>
  <c r="AU24" i="2"/>
  <c r="AU21" i="2" s="1"/>
  <c r="AT24" i="2"/>
  <c r="AT21" i="2" s="1"/>
  <c r="AS24" i="2"/>
  <c r="AR24" i="2"/>
  <c r="AR21" i="2" s="1"/>
  <c r="AO24" i="2"/>
  <c r="AV24" i="2"/>
  <c r="AK24" i="2"/>
  <c r="AL24" i="2"/>
  <c r="AE24" i="2"/>
  <c r="AE21" i="2"/>
  <c r="AD24" i="2"/>
  <c r="AC24" i="2"/>
  <c r="AC21" i="2" s="1"/>
  <c r="AB24" i="2"/>
  <c r="AB21" i="2" s="1"/>
  <c r="Y24" i="2"/>
  <c r="Y21" i="2" s="1"/>
  <c r="X24" i="2"/>
  <c r="W24" i="2"/>
  <c r="W21" i="2" s="1"/>
  <c r="V24" i="2"/>
  <c r="U24" i="2"/>
  <c r="U21" i="2"/>
  <c r="T24" i="2"/>
  <c r="Q24" i="2"/>
  <c r="Q21" i="2"/>
  <c r="O24" i="2"/>
  <c r="O21" i="2" s="1"/>
  <c r="N24" i="2"/>
  <c r="N21" i="2" s="1"/>
  <c r="M24" i="2"/>
  <c r="L24" i="2"/>
  <c r="L21" i="2" s="1"/>
  <c r="I24" i="2"/>
  <c r="AV23" i="2"/>
  <c r="AF23" i="2"/>
  <c r="X23" i="2"/>
  <c r="X21" i="2" s="1"/>
  <c r="P23" i="2"/>
  <c r="AV22" i="2"/>
  <c r="AF22" i="2"/>
  <c r="P22" i="2"/>
  <c r="AN22" i="2" s="1"/>
  <c r="AS21" i="2"/>
  <c r="AO21" i="2"/>
  <c r="AV21" i="2" s="1"/>
  <c r="AD21" i="2"/>
  <c r="V21" i="2"/>
  <c r="T21" i="2"/>
  <c r="M21" i="2"/>
  <c r="I21" i="2"/>
  <c r="AV16" i="2"/>
  <c r="AV17" i="2"/>
  <c r="AV18" i="2"/>
  <c r="AU19" i="2"/>
  <c r="AT19" i="2"/>
  <c r="AS19" i="2"/>
  <c r="AR19" i="2"/>
  <c r="AO19" i="2"/>
  <c r="AV19" i="2"/>
  <c r="AM19" i="2"/>
  <c r="AF16" i="2"/>
  <c r="AN16" i="2" s="1"/>
  <c r="AF17" i="2"/>
  <c r="AF18" i="2"/>
  <c r="AE19" i="2"/>
  <c r="AD19" i="2"/>
  <c r="AC19" i="2"/>
  <c r="AB19" i="2"/>
  <c r="Y19" i="2"/>
  <c r="P16" i="2"/>
  <c r="P19" i="2" s="1"/>
  <c r="P17" i="2"/>
  <c r="AN17" i="2" s="1"/>
  <c r="P18" i="2"/>
  <c r="AN18" i="2" s="1"/>
  <c r="O19" i="2"/>
  <c r="N19" i="2"/>
  <c r="M19" i="2"/>
  <c r="L19" i="2"/>
  <c r="I19" i="2"/>
  <c r="AV11" i="2"/>
  <c r="AV12" i="2"/>
  <c r="AV13" i="2"/>
  <c r="AU14" i="2"/>
  <c r="AT14" i="2"/>
  <c r="AS14" i="2"/>
  <c r="AR14" i="2"/>
  <c r="AO14" i="2"/>
  <c r="AV14" i="2" s="1"/>
  <c r="AG14" i="2"/>
  <c r="AF11" i="2"/>
  <c r="AF12" i="2"/>
  <c r="AF13" i="2"/>
  <c r="AF14" i="2"/>
  <c r="AE14" i="2"/>
  <c r="AD14" i="2"/>
  <c r="AC14" i="2"/>
  <c r="AB14" i="2"/>
  <c r="Y14" i="2"/>
  <c r="X12" i="2"/>
  <c r="X13" i="2"/>
  <c r="X14" i="2" s="1"/>
  <c r="W14" i="2"/>
  <c r="V14" i="2"/>
  <c r="U14" i="2"/>
  <c r="T14" i="2"/>
  <c r="Q14" i="2"/>
  <c r="P11" i="2"/>
  <c r="AN11" i="2"/>
  <c r="P12" i="2"/>
  <c r="AN12" i="2" s="1"/>
  <c r="P13" i="2"/>
  <c r="AN13" i="2"/>
  <c r="P14" i="2"/>
  <c r="O14" i="2"/>
  <c r="N14" i="2"/>
  <c r="M14" i="2"/>
  <c r="L14" i="2"/>
  <c r="I14" i="2"/>
  <c r="O18" i="8"/>
  <c r="N18" i="8"/>
  <c r="M18" i="8"/>
  <c r="L18" i="8"/>
  <c r="K18" i="8"/>
  <c r="J18" i="8"/>
  <c r="I18" i="8"/>
  <c r="P11" i="8"/>
  <c r="P12" i="8"/>
  <c r="P13" i="8"/>
  <c r="O13" i="8"/>
  <c r="N13" i="8"/>
  <c r="M13" i="8"/>
  <c r="L13" i="8"/>
  <c r="K13" i="8"/>
  <c r="J13" i="8"/>
  <c r="I13" i="8"/>
  <c r="P16" i="8"/>
  <c r="P18" i="8" s="1"/>
  <c r="P17" i="8"/>
  <c r="M36" i="7"/>
  <c r="O36" i="7"/>
  <c r="P36" i="7" s="1"/>
  <c r="P37" i="7"/>
  <c r="P38" i="7"/>
  <c r="P39" i="7"/>
  <c r="P41" i="7"/>
  <c r="N36" i="7"/>
  <c r="L36" i="7"/>
  <c r="J21" i="7"/>
  <c r="K21" i="7"/>
  <c r="L21" i="7"/>
  <c r="M21" i="7"/>
  <c r="N21" i="7"/>
  <c r="O21" i="7"/>
  <c r="P22" i="7"/>
  <c r="P23" i="7"/>
  <c r="P24" i="7"/>
  <c r="I21" i="7"/>
  <c r="P21" i="7" s="1"/>
  <c r="I17" i="6"/>
  <c r="I31" i="6"/>
  <c r="I24" i="6" s="1"/>
  <c r="O17" i="6"/>
  <c r="O31" i="6"/>
  <c r="O24" i="6"/>
  <c r="O39" i="6" s="1"/>
  <c r="Q17" i="6"/>
  <c r="Q31" i="6"/>
  <c r="Q24" i="6" s="1"/>
  <c r="X24" i="6" s="1"/>
  <c r="W17" i="6"/>
  <c r="W31" i="6"/>
  <c r="W24" i="6" s="1"/>
  <c r="AM24" i="6" s="1"/>
  <c r="Y17" i="6"/>
  <c r="Y31" i="6"/>
  <c r="Y24" i="6"/>
  <c r="AF24" i="6" s="1"/>
  <c r="AE17" i="6"/>
  <c r="AE39" i="6" s="1"/>
  <c r="AE31" i="6"/>
  <c r="AE24" i="6"/>
  <c r="N17" i="6"/>
  <c r="N39" i="6" s="1"/>
  <c r="N31" i="6"/>
  <c r="N24" i="6"/>
  <c r="V17" i="6"/>
  <c r="V31" i="6"/>
  <c r="V24" i="6" s="1"/>
  <c r="V39" i="6" s="1"/>
  <c r="AD17" i="6"/>
  <c r="AD31" i="6"/>
  <c r="AD24" i="6" s="1"/>
  <c r="P38" i="6"/>
  <c r="AN38" i="6" s="1"/>
  <c r="X38" i="6"/>
  <c r="AF38" i="6"/>
  <c r="AM38" i="6"/>
  <c r="AL38" i="6"/>
  <c r="AG38" i="6"/>
  <c r="P37" i="6"/>
  <c r="X37" i="6"/>
  <c r="AN37" i="6" s="1"/>
  <c r="AF37" i="6"/>
  <c r="AM37" i="6"/>
  <c r="AL37" i="6"/>
  <c r="AG37" i="6"/>
  <c r="P36" i="6"/>
  <c r="AN36" i="6" s="1"/>
  <c r="X36" i="6"/>
  <c r="AF36" i="6"/>
  <c r="AM36" i="6"/>
  <c r="AL36" i="6"/>
  <c r="AG36" i="6"/>
  <c r="P35" i="6"/>
  <c r="AN35" i="6" s="1"/>
  <c r="X35" i="6"/>
  <c r="AF35" i="6"/>
  <c r="AM35" i="6"/>
  <c r="AL35" i="6"/>
  <c r="AG35" i="6"/>
  <c r="P34" i="6"/>
  <c r="AN34" i="6" s="1"/>
  <c r="X34" i="6"/>
  <c r="AF34" i="6"/>
  <c r="AM34" i="6"/>
  <c r="AL34" i="6"/>
  <c r="AG34" i="6"/>
  <c r="P33" i="6"/>
  <c r="AN33" i="6" s="1"/>
  <c r="X33" i="6"/>
  <c r="AF33" i="6"/>
  <c r="AM33" i="6"/>
  <c r="AL33" i="6"/>
  <c r="AG33" i="6"/>
  <c r="P32" i="6"/>
  <c r="X32" i="6"/>
  <c r="AN32" i="6" s="1"/>
  <c r="AF32" i="6"/>
  <c r="AM32" i="6"/>
  <c r="AL32" i="6"/>
  <c r="AG32" i="6"/>
  <c r="AL31" i="6"/>
  <c r="P30" i="6"/>
  <c r="AN30" i="6" s="1"/>
  <c r="X30" i="6"/>
  <c r="AF30" i="6"/>
  <c r="AM30" i="6"/>
  <c r="AL30" i="6"/>
  <c r="AG30" i="6"/>
  <c r="P29" i="6"/>
  <c r="AN29" i="6" s="1"/>
  <c r="X29" i="6"/>
  <c r="AF29" i="6"/>
  <c r="AM29" i="6"/>
  <c r="AL29" i="6"/>
  <c r="AG29" i="6"/>
  <c r="P28" i="6"/>
  <c r="X28" i="6"/>
  <c r="AN28" i="6" s="1"/>
  <c r="AF28" i="6"/>
  <c r="AM28" i="6"/>
  <c r="AL28" i="6"/>
  <c r="AG28" i="6"/>
  <c r="P27" i="6"/>
  <c r="X27" i="6"/>
  <c r="AF27" i="6"/>
  <c r="AN27" i="6" s="1"/>
  <c r="AM27" i="6"/>
  <c r="AL27" i="6"/>
  <c r="AG27" i="6"/>
  <c r="P26" i="6"/>
  <c r="AN26" i="6" s="1"/>
  <c r="X26" i="6"/>
  <c r="AF26" i="6"/>
  <c r="AM26" i="6"/>
  <c r="AL26" i="6"/>
  <c r="AG26" i="6"/>
  <c r="P25" i="6"/>
  <c r="AN25" i="6" s="1"/>
  <c r="X25" i="6"/>
  <c r="AF25" i="6"/>
  <c r="AM25" i="6"/>
  <c r="AL25" i="6"/>
  <c r="AG25" i="6"/>
  <c r="P23" i="6"/>
  <c r="AN23" i="6"/>
  <c r="X23" i="6"/>
  <c r="AF23" i="6"/>
  <c r="AM23" i="6"/>
  <c r="AL23" i="6"/>
  <c r="AG23" i="6"/>
  <c r="P22" i="6"/>
  <c r="X22" i="6"/>
  <c r="AN22" i="6" s="1"/>
  <c r="AF22" i="6"/>
  <c r="AM22" i="6"/>
  <c r="AL22" i="6"/>
  <c r="AG22" i="6"/>
  <c r="P21" i="6"/>
  <c r="AN21" i="6" s="1"/>
  <c r="X21" i="6"/>
  <c r="AF21" i="6"/>
  <c r="AM21" i="6"/>
  <c r="AL21" i="6"/>
  <c r="AG21" i="6"/>
  <c r="P20" i="6"/>
  <c r="AN20" i="6" s="1"/>
  <c r="X20" i="6"/>
  <c r="AF20" i="6"/>
  <c r="AM20" i="6"/>
  <c r="AL20" i="6"/>
  <c r="AG20" i="6"/>
  <c r="P19" i="6"/>
  <c r="AN19" i="6"/>
  <c r="X19" i="6"/>
  <c r="AF19" i="6"/>
  <c r="AM19" i="6"/>
  <c r="AL19" i="6"/>
  <c r="AG19" i="6"/>
  <c r="P18" i="6"/>
  <c r="X18" i="6"/>
  <c r="AN18" i="6" s="1"/>
  <c r="AF18" i="6"/>
  <c r="AM18" i="6"/>
  <c r="AL18" i="6"/>
  <c r="AG18" i="6"/>
  <c r="P17" i="6"/>
  <c r="AN17" i="6" s="1"/>
  <c r="X17" i="6"/>
  <c r="AF17" i="6"/>
  <c r="AM17" i="6"/>
  <c r="AG17" i="6"/>
  <c r="P16" i="6"/>
  <c r="AN16" i="6"/>
  <c r="X16" i="6"/>
  <c r="AF16" i="6"/>
  <c r="AM16" i="6"/>
  <c r="AL16" i="6"/>
  <c r="AG16" i="6"/>
  <c r="P15" i="6"/>
  <c r="X15" i="6"/>
  <c r="AN15" i="6" s="1"/>
  <c r="AF15" i="6"/>
  <c r="AM15" i="6"/>
  <c r="AL15" i="6"/>
  <c r="AG15" i="6"/>
  <c r="P14" i="6"/>
  <c r="X14" i="6"/>
  <c r="AF14" i="6"/>
  <c r="AN14" i="6"/>
  <c r="AM14" i="6"/>
  <c r="AL14" i="6"/>
  <c r="AG14" i="6"/>
  <c r="P13" i="6"/>
  <c r="AN13" i="6" s="1"/>
  <c r="X13" i="6"/>
  <c r="AF13" i="6"/>
  <c r="AM13" i="6"/>
  <c r="AL13" i="6"/>
  <c r="AG13" i="6"/>
  <c r="P12" i="6"/>
  <c r="AN12" i="6"/>
  <c r="X12" i="6"/>
  <c r="AF12" i="6"/>
  <c r="AM12" i="6"/>
  <c r="AL12" i="6"/>
  <c r="AG12" i="6"/>
  <c r="P11" i="6"/>
  <c r="X11" i="6"/>
  <c r="AN11" i="6" s="1"/>
  <c r="AF11" i="6"/>
  <c r="AM11" i="6"/>
  <c r="AL11" i="6"/>
  <c r="AG11" i="6"/>
  <c r="P10" i="6"/>
  <c r="X10" i="6"/>
  <c r="AF10" i="6"/>
  <c r="AN10" i="6"/>
  <c r="AM10" i="6"/>
  <c r="AL10" i="6"/>
  <c r="AG10" i="6"/>
  <c r="P30" i="7"/>
  <c r="I12" i="7"/>
  <c r="I15" i="7"/>
  <c r="I29" i="7"/>
  <c r="I32" i="7" s="1"/>
  <c r="K12" i="7"/>
  <c r="K15" i="7"/>
  <c r="P15" i="7" s="1"/>
  <c r="K29" i="7"/>
  <c r="K32" i="7" s="1"/>
  <c r="K34" i="7" s="1"/>
  <c r="M12" i="7"/>
  <c r="M29" i="7"/>
  <c r="M32" i="7" s="1"/>
  <c r="M34" i="7" s="1"/>
  <c r="O12" i="7"/>
  <c r="O32" i="7"/>
  <c r="O34" i="7" s="1"/>
  <c r="O15" i="7"/>
  <c r="O29" i="7"/>
  <c r="N12" i="7"/>
  <c r="N32" i="7" s="1"/>
  <c r="N34" i="7" s="1"/>
  <c r="N15" i="7"/>
  <c r="N29" i="7"/>
  <c r="L12" i="7"/>
  <c r="L32" i="7" s="1"/>
  <c r="L34" i="7" s="1"/>
  <c r="L29" i="7"/>
  <c r="J12" i="7"/>
  <c r="J32" i="7" s="1"/>
  <c r="J34" i="7" s="1"/>
  <c r="J15" i="7"/>
  <c r="J29" i="7"/>
  <c r="P33" i="7"/>
  <c r="P28" i="7"/>
  <c r="P27" i="7"/>
  <c r="P26" i="7"/>
  <c r="P25" i="7"/>
  <c r="P20" i="7"/>
  <c r="P19" i="7"/>
  <c r="P18" i="7"/>
  <c r="P17" i="7"/>
  <c r="P16" i="7"/>
  <c r="P14" i="7"/>
  <c r="P13" i="7"/>
  <c r="P12" i="7"/>
  <c r="P11" i="7"/>
  <c r="P10" i="7"/>
  <c r="P22" i="4"/>
  <c r="P15" i="4"/>
  <c r="P11" i="4"/>
  <c r="P12" i="4"/>
  <c r="P13" i="4"/>
  <c r="O14" i="4"/>
  <c r="O10" i="4"/>
  <c r="I14" i="4"/>
  <c r="P14" i="4" s="1"/>
  <c r="K14" i="4"/>
  <c r="M14" i="4"/>
  <c r="M10" i="4"/>
  <c r="I21" i="4"/>
  <c r="I17" i="4" s="1"/>
  <c r="P17" i="4" s="1"/>
  <c r="K21" i="4"/>
  <c r="K17" i="4"/>
  <c r="M21" i="4"/>
  <c r="M17" i="4" s="1"/>
  <c r="O21" i="4"/>
  <c r="O17" i="4"/>
  <c r="P18" i="4"/>
  <c r="P19" i="4"/>
  <c r="P20" i="4"/>
  <c r="I10" i="4"/>
  <c r="P10" i="4" s="1"/>
  <c r="K10" i="4"/>
  <c r="N21" i="4"/>
  <c r="N17" i="4"/>
  <c r="N14" i="4"/>
  <c r="N10" i="4" s="1"/>
  <c r="J21" i="4"/>
  <c r="J17" i="4"/>
  <c r="L21" i="4"/>
  <c r="L17" i="4" s="1"/>
  <c r="J14" i="4"/>
  <c r="L14" i="4"/>
  <c r="L10" i="4"/>
  <c r="J10" i="4"/>
  <c r="P29" i="7"/>
  <c r="P21" i="4"/>
  <c r="AF31" i="6"/>
  <c r="P24" i="2"/>
  <c r="P21" i="2"/>
  <c r="P32" i="7" l="1"/>
  <c r="I34" i="7"/>
  <c r="P34" i="7" s="1"/>
  <c r="AL24" i="6"/>
  <c r="Q39" i="6"/>
  <c r="X39" i="6" s="1"/>
  <c r="P24" i="6"/>
  <c r="AN24" i="6" s="1"/>
  <c r="AG24" i="6"/>
  <c r="I39" i="6"/>
  <c r="AN14" i="2"/>
  <c r="AD39" i="6"/>
  <c r="AM39" i="6"/>
  <c r="AF21" i="2"/>
  <c r="AN21" i="2" s="1"/>
  <c r="AL39" i="6"/>
  <c r="W39" i="6"/>
  <c r="AN19" i="2"/>
  <c r="P31" i="6"/>
  <c r="AN31" i="6" s="1"/>
  <c r="AG31" i="6"/>
  <c r="AN23" i="2"/>
  <c r="AL17" i="6"/>
  <c r="Y39" i="6"/>
  <c r="AF39" i="6" s="1"/>
  <c r="AM31" i="6"/>
  <c r="AF19" i="2"/>
  <c r="X31" i="6"/>
  <c r="AG39" i="6" l="1"/>
  <c r="P39" i="6"/>
  <c r="AN39" i="6" s="1"/>
</calcChain>
</file>

<file path=xl/sharedStrings.xml><?xml version="1.0" encoding="utf-8"?>
<sst xmlns="http://schemas.openxmlformats.org/spreadsheetml/2006/main" count="514" uniqueCount="284">
  <si>
    <t>Bank Premises, Furniture, Fixture and Equipment</t>
  </si>
  <si>
    <t>Particulars</t>
  </si>
  <si>
    <t>Account Code</t>
  </si>
  <si>
    <t>Cost</t>
  </si>
  <si>
    <t>Accumulated Depreciation</t>
  </si>
  <si>
    <t>Allowance for Losses</t>
  </si>
  <si>
    <t>Net Carrying Amount</t>
  </si>
  <si>
    <t>Peso Accts.</t>
  </si>
  <si>
    <t>Foreign Regular</t>
  </si>
  <si>
    <t>FCDU/EFCDU</t>
  </si>
  <si>
    <t>Total</t>
  </si>
  <si>
    <t>x</t>
  </si>
  <si>
    <t>In US $</t>
  </si>
  <si>
    <t>Peso Equiv.</t>
  </si>
  <si>
    <t>(1)</t>
  </si>
  <si>
    <t>Land</t>
  </si>
  <si>
    <t>(2)</t>
  </si>
  <si>
    <t>Buildings</t>
  </si>
  <si>
    <t>(3)</t>
  </si>
  <si>
    <t>Furniture and Fixtures</t>
  </si>
  <si>
    <t>(4)</t>
  </si>
  <si>
    <t>IT Equipment</t>
  </si>
  <si>
    <t>(5)</t>
  </si>
  <si>
    <t>Other Office Equipment</t>
  </si>
  <si>
    <t>(6)</t>
  </si>
  <si>
    <t>Transportation Equipment</t>
  </si>
  <si>
    <t>(7)</t>
  </si>
  <si>
    <t>Bank Premises, Furniture, Fixture and Equipment Under Finance Lease</t>
  </si>
  <si>
    <t>(a)</t>
  </si>
  <si>
    <t>(b)</t>
  </si>
  <si>
    <t>(c)</t>
  </si>
  <si>
    <t>(d)</t>
  </si>
  <si>
    <t>(e)</t>
  </si>
  <si>
    <t>(f)</t>
  </si>
  <si>
    <t>(8)</t>
  </si>
  <si>
    <t>Revaluation Increment</t>
  </si>
  <si>
    <t>(g)</t>
  </si>
  <si>
    <t>(9)</t>
  </si>
  <si>
    <t>Building Under Construction</t>
  </si>
  <si>
    <t>Real and Other Properties Acquired</t>
  </si>
  <si>
    <t>Other Properties Acquired</t>
  </si>
  <si>
    <t>Other Assets</t>
  </si>
  <si>
    <t>Peso Accounts</t>
  </si>
  <si>
    <t>Deferred Charges</t>
  </si>
  <si>
    <t xml:space="preserve">Servicing Assets </t>
  </si>
  <si>
    <t>Accounts Receivable</t>
  </si>
  <si>
    <t>a.</t>
  </si>
  <si>
    <t>Resident</t>
  </si>
  <si>
    <t>b.</t>
  </si>
  <si>
    <t>Non-Resident</t>
  </si>
  <si>
    <t>Dividends Receivable</t>
  </si>
  <si>
    <t>Loans to RBU by FCDU/EFCDU</t>
  </si>
  <si>
    <t>Deficiency Judgment Receivable</t>
  </si>
  <si>
    <t>Employee Benefits</t>
  </si>
  <si>
    <t>Prepaid expenses</t>
  </si>
  <si>
    <t>Shortages</t>
  </si>
  <si>
    <t>(10)</t>
  </si>
  <si>
    <t>Sundry Debits</t>
  </si>
  <si>
    <t>(11)</t>
  </si>
  <si>
    <t>Inter-Office Float Items</t>
  </si>
  <si>
    <t>(12)</t>
  </si>
  <si>
    <t>Others*</t>
  </si>
  <si>
    <t>Total Other Assets</t>
  </si>
  <si>
    <t xml:space="preserve">Other Assets - Net </t>
  </si>
  <si>
    <t>Account Description</t>
  </si>
  <si>
    <t>A.</t>
  </si>
  <si>
    <t>Demand Deposits and Working Balances maintained by Philippine Branch of Foreign Bank with its Head Office/Branches/Agencies Abroad</t>
  </si>
  <si>
    <t>Losses in Operation of Philippine Branch of Foreign Banks</t>
  </si>
  <si>
    <t>B.</t>
  </si>
  <si>
    <t>Unremitted Profits not yet approved by BSP</t>
  </si>
  <si>
    <t>150050002000000000</t>
  </si>
  <si>
    <t>150050002500000000</t>
  </si>
  <si>
    <t>150050003000000000</t>
  </si>
  <si>
    <t>150050003500000000</t>
  </si>
  <si>
    <t>150050004000000000</t>
  </si>
  <si>
    <t>150050004500000000</t>
  </si>
  <si>
    <t>150050005000000000</t>
  </si>
  <si>
    <t>150050005005000000</t>
  </si>
  <si>
    <t>150050005010000000</t>
  </si>
  <si>
    <t>150050005015000000</t>
  </si>
  <si>
    <t>150050005020000000</t>
  </si>
  <si>
    <t>150050005025000000</t>
  </si>
  <si>
    <t>150050005030000000</t>
  </si>
  <si>
    <t>150050005500000000</t>
  </si>
  <si>
    <t>150050005505000000</t>
  </si>
  <si>
    <t>150050005510000000</t>
  </si>
  <si>
    <t>150050005515000000</t>
  </si>
  <si>
    <t>150050005520000000</t>
  </si>
  <si>
    <t>150050005525000000</t>
  </si>
  <si>
    <t>150050005530000000</t>
  </si>
  <si>
    <t>150050005535000000</t>
  </si>
  <si>
    <t>150050005540000000</t>
  </si>
  <si>
    <t>150050005545000000</t>
  </si>
  <si>
    <t>150050005550000000</t>
  </si>
  <si>
    <t>150050005555000000</t>
  </si>
  <si>
    <t>150050005560000000</t>
  </si>
  <si>
    <t>150050005565000000</t>
  </si>
  <si>
    <t>150050006000000000</t>
  </si>
  <si>
    <t>150050000000000000</t>
  </si>
  <si>
    <t>$$$</t>
  </si>
  <si>
    <t>150100002000000000</t>
  </si>
  <si>
    <t>150100002500000000</t>
  </si>
  <si>
    <t>150100006000000000</t>
  </si>
  <si>
    <t>150100000000000000</t>
  </si>
  <si>
    <t>155100000500000000</t>
  </si>
  <si>
    <t>155100001000000000</t>
  </si>
  <si>
    <t>155100001500000000</t>
  </si>
  <si>
    <t>155100001500100000</t>
  </si>
  <si>
    <t>155100001500200000</t>
  </si>
  <si>
    <t>155100002000000000</t>
  </si>
  <si>
    <t>155100002000100000</t>
  </si>
  <si>
    <t>155100002000200000</t>
  </si>
  <si>
    <t>155100002500000000</t>
  </si>
  <si>
    <t>155100003000000000</t>
  </si>
  <si>
    <t>155100003500000000</t>
  </si>
  <si>
    <t>155100004000000000</t>
  </si>
  <si>
    <t>155100004500000000</t>
  </si>
  <si>
    <t>155100005000000000</t>
  </si>
  <si>
    <t>155100005500000000</t>
  </si>
  <si>
    <t>155100006000000000</t>
  </si>
  <si>
    <t>155100099500000000</t>
  </si>
  <si>
    <t>155100000000000000</t>
  </si>
  <si>
    <t>180100000000000000</t>
  </si>
  <si>
    <t>195551000000000000</t>
  </si>
  <si>
    <t>155250000000000000</t>
  </si>
  <si>
    <t>155250000005000000</t>
  </si>
  <si>
    <t>155250000010000000</t>
  </si>
  <si>
    <t>155250000015000000</t>
  </si>
  <si>
    <t>155250000095000000</t>
  </si>
  <si>
    <t>230850000000000000</t>
  </si>
  <si>
    <t>230850000005000000</t>
  </si>
  <si>
    <t>230850000010000000</t>
  </si>
  <si>
    <t>230850000015000000</t>
  </si>
  <si>
    <t>230850000095000000</t>
  </si>
  <si>
    <t>Seq. No.</t>
  </si>
  <si>
    <t>-</t>
  </si>
  <si>
    <t>(13)</t>
  </si>
  <si>
    <t xml:space="preserve">Others (indicate nature) </t>
  </si>
  <si>
    <t>Foreign Offices</t>
  </si>
  <si>
    <t>Breakdown of Due from and Due to Head Office/Branches/Agencies Abroad - Philippine Branch of Foreign Banks</t>
  </si>
  <si>
    <t>Due from Head Office/Branches/Agencies Abroad- Philippine Branch of Foreign Banks</t>
  </si>
  <si>
    <t>Placements/Investments/Loans</t>
  </si>
  <si>
    <t>Due to Head Office/Branches/Agencies Abroad- Philippine Branch of Foreign Banks</t>
  </si>
  <si>
    <t>Demand Deposits and Working Balances maintained by Head Office/Branches/Agencies Abroad with Philippine Branch of Foreign Banks</t>
  </si>
  <si>
    <t>Placement/Time Deposits/Borrowings</t>
  </si>
  <si>
    <t>Leasehold Rights &amp; Improvements</t>
  </si>
  <si>
    <t>TOTAL</t>
  </si>
  <si>
    <t>_a</t>
  </si>
  <si>
    <t>_b</t>
  </si>
  <si>
    <t>u</t>
  </si>
  <si>
    <t>Solo Reports</t>
  </si>
  <si>
    <t>Sinking Fund</t>
  </si>
  <si>
    <t>Bond</t>
  </si>
  <si>
    <t>Redeemable Preferred Stock</t>
  </si>
  <si>
    <t>c.</t>
  </si>
  <si>
    <t>Others</t>
  </si>
  <si>
    <t xml:space="preserve">*Specify the type of account under this category that comprise at least 25 percent of total other assets.  </t>
  </si>
  <si>
    <t>Items that do not comprise at least 25 percent of total other assets shall be aggregated and presented as a single line item</t>
  </si>
  <si>
    <t>155100004005000000</t>
  </si>
  <si>
    <t>155100004010000000</t>
  </si>
  <si>
    <t>155100004015000000</t>
  </si>
  <si>
    <t>150050006500000000</t>
  </si>
  <si>
    <t>(c )</t>
  </si>
  <si>
    <t>Others (pls specify)</t>
  </si>
  <si>
    <t>150100009000600000</t>
  </si>
  <si>
    <t>ROPA</t>
  </si>
  <si>
    <t>NCAHS</t>
  </si>
  <si>
    <t>Additional Information</t>
  </si>
  <si>
    <t>ROPAs contributed to a Joint Arrangement</t>
  </si>
  <si>
    <t xml:space="preserve">(a) </t>
  </si>
  <si>
    <t>Building</t>
  </si>
  <si>
    <t>150150002000000000</t>
  </si>
  <si>
    <t>150150002500000000</t>
  </si>
  <si>
    <t>150150006000000000</t>
  </si>
  <si>
    <t>150150000000000000</t>
  </si>
  <si>
    <t>150100000000600000</t>
  </si>
  <si>
    <t>150100002000600000</t>
  </si>
  <si>
    <t>150100002500600000</t>
  </si>
  <si>
    <t>Additional Information:</t>
  </si>
  <si>
    <t>1.</t>
  </si>
  <si>
    <t>Accounts Receivable Arising from Sale of Financial Assets under the Trade Date Accounting</t>
  </si>
  <si>
    <t>Accounts Receivable from Sale of Readily Marketable Debt Instruments</t>
  </si>
  <si>
    <t>Accounts Receivable from Sale of Financial Assets Other than Readily Marketable Debt Instruments</t>
  </si>
  <si>
    <t>2.</t>
  </si>
  <si>
    <t>Loans to RBU by FCDU/EFCDU outstanding for more than one year</t>
  </si>
  <si>
    <t>Disclosure of Inter-Office Float Items</t>
  </si>
  <si>
    <t>Due from Head Office/Branches/Agencies (Abroad)</t>
  </si>
  <si>
    <t>155100001505600000</t>
  </si>
  <si>
    <t>155100001510600000</t>
  </si>
  <si>
    <t>155100001515600000</t>
  </si>
  <si>
    <t>155100002505600000</t>
  </si>
  <si>
    <t>155100006005600000</t>
  </si>
  <si>
    <t>Disclosure of Due from FCDU/RBU and Due to FCDU/RBU</t>
  </si>
  <si>
    <t xml:space="preserve">Disclosure of Due from FCDU/RBU </t>
  </si>
  <si>
    <t>155300500000000000</t>
  </si>
  <si>
    <t>155300000000000000</t>
  </si>
  <si>
    <t xml:space="preserve">Disclosure of Due to FCDU/RBU </t>
  </si>
  <si>
    <t>230900500000000000</t>
  </si>
  <si>
    <t>230900000000000000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</si>
  <si>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</si>
  <si>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</si>
  <si>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</si>
  <si>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</si>
  <si>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</si>
  <si>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</si>
  <si>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</si>
  <si>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</si>
  <si>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</si>
  <si>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</si>
  <si>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</si>
  <si>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</si>
  <si>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</si>
  <si>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</si>
  <si>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</si>
  <si>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</si>
  <si>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</si>
  <si>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</si>
  <si>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</si>
  <si>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</si>
  <si>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</si>
  <si>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</si>
  <si>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</si>
  <si>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</si>
  <si>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</si>
  <si>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</si>
  <si>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</si>
  <si>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</si>
  <si>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</si>
  <si>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</si>
  <si>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</si>
  <si>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</si>
  <si>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</si>
  <si>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</si>
  <si>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</si>
  <si>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</si>
  <si>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</si>
  <si>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</si>
  <si>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</si>
  <si>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</si>
  <si>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</si>
  <si>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r>
      <t xml:space="preserve">Due from FCDU/EFCDU - FCDU/EFCDU Net Realized/Unrealized Losses Recognized in Profit or Loss and in Equity </t>
    </r>
    <r>
      <rPr>
        <u/>
        <vertAlign val="superscript"/>
        <sz val="8"/>
        <rFont val="Arial"/>
        <family val="2"/>
      </rPr>
      <t>1</t>
    </r>
    <r>
      <rPr>
        <sz val="8"/>
        <rFont val="Arial"/>
        <family val="2"/>
      </rPr>
      <t>/</t>
    </r>
  </si>
  <si>
    <t>155301200000000000</t>
  </si>
  <si>
    <t>230901200000000000</t>
  </si>
  <si>
    <t>1/ This account shall only apply to the RBU book</t>
  </si>
  <si>
    <t>2/ This account shall only apply to the FCDU/EFCDU book</t>
  </si>
  <si>
    <t>PRODUCERS SAVINGS BANK CORPORATION</t>
  </si>
  <si>
    <t>Due from FCDU/RBU - Clearing Account other than those disclosed in item 2.</t>
  </si>
  <si>
    <t>Due to FCDU/RBU - Clearing Account other than those disclosed in item 2.</t>
  </si>
  <si>
    <r>
      <t xml:space="preserve">Due to RBU - FCDU/EFCDU Net Realized/Unrealized Losses Recognized in Profit or Loss and in Equity </t>
    </r>
    <r>
      <rPr>
        <u/>
        <vertAlign val="superscript"/>
        <sz val="8"/>
        <rFont val="Arial"/>
        <family val="2"/>
      </rPr>
      <t>2</t>
    </r>
    <r>
      <rPr>
        <sz val="8"/>
        <rFont val="Arial"/>
        <family val="2"/>
      </rPr>
      <t>/</t>
    </r>
  </si>
  <si>
    <t>Fair Value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</si>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</sst>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0000#"/>
    <numFmt numFmtId="169" formatCode="00000000000#"/>
  </numFmts>
  <fonts count="14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sz val="8"/>
      <color indexed="9"/>
      <name val="Wingdings 3"/>
      <family val="1"/>
      <charset val="2"/>
    </font>
    <font>
      <sz val="8"/>
      <color indexed="9"/>
      <name val="Arial"/>
      <family val="2"/>
    </font>
    <font>
      <u/>
      <vertAlign val="superscript"/>
      <sz val="8"/>
      <name val="Arial"/>
      <family val="2"/>
    </font>
    <font>
      <sz val="10"/>
      <color rgb="FF00B0F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7">
    <xf numFmtId="0" fontId="0" fillId="0" borderId="0" xfId="0"/>
    <xf numFmtId="0" fontId="2" fillId="0" borderId="0" xfId="0" applyFont="1" applyFill="1" applyAlignment="1">
      <alignment horizontal="center" wrapText="1"/>
    </xf>
    <xf numFmtId="0" fontId="3" fillId="0" borderId="0" xfId="0" applyFont="1" applyFill="1"/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165" fontId="1" fillId="0" borderId="3" xfId="0" applyNumberFormat="1" applyFont="1" applyFill="1" applyBorder="1" applyAlignment="1">
      <alignment horizontal="center"/>
    </xf>
    <xf numFmtId="165" fontId="1" fillId="0" borderId="3" xfId="0" applyNumberFormat="1" applyFont="1" applyFill="1" applyBorder="1" applyAlignment="1">
      <alignment horizontal="center" wrapText="1"/>
    </xf>
    <xf numFmtId="0" fontId="5" fillId="0" borderId="0" xfId="0" applyFont="1" applyFill="1"/>
    <xf numFmtId="0" fontId="3" fillId="0" borderId="0" xfId="0" applyFont="1" applyFill="1" applyAlignment="1">
      <alignment wrapText="1"/>
    </xf>
    <xf numFmtId="0" fontId="2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0" xfId="0" applyFont="1" applyFill="1" applyBorder="1"/>
    <xf numFmtId="49" fontId="3" fillId="0" borderId="0" xfId="0" applyNumberFormat="1" applyFont="1" applyFill="1" applyBorder="1"/>
    <xf numFmtId="0" fontId="2" fillId="0" borderId="0" xfId="0" applyFont="1" applyFill="1"/>
    <xf numFmtId="0" fontId="3" fillId="0" borderId="3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7" fillId="0" borderId="0" xfId="0" applyFont="1"/>
    <xf numFmtId="0" fontId="2" fillId="0" borderId="3" xfId="0" applyFont="1" applyFill="1" applyBorder="1" applyAlignment="1"/>
    <xf numFmtId="4" fontId="9" fillId="0" borderId="3" xfId="0" applyNumberFormat="1" applyFont="1" applyFill="1" applyBorder="1" applyProtection="1">
      <protection hidden="1"/>
    </xf>
    <xf numFmtId="0" fontId="2" fillId="0" borderId="0" xfId="0" applyFont="1" applyFill="1" applyBorder="1"/>
    <xf numFmtId="4" fontId="9" fillId="0" borderId="0" xfId="0" applyNumberFormat="1" applyFont="1" applyFill="1" applyBorder="1" applyProtection="1">
      <protection hidden="1"/>
    </xf>
    <xf numFmtId="0" fontId="2" fillId="0" borderId="0" xfId="0" applyFont="1" applyFill="1" applyBorder="1" applyAlignment="1">
      <alignment horizontal="right"/>
    </xf>
    <xf numFmtId="0" fontId="3" fillId="0" borderId="0" xfId="0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3" xfId="0" applyFont="1" applyFill="1" applyBorder="1" applyAlignment="1">
      <alignment horizontal="left" vertical="top" wrapText="1"/>
    </xf>
    <xf numFmtId="0" fontId="1" fillId="0" borderId="3" xfId="0" quotePrefix="1" applyFont="1" applyFill="1" applyBorder="1"/>
    <xf numFmtId="0" fontId="3" fillId="0" borderId="3" xfId="0" applyFont="1" applyFill="1" applyBorder="1"/>
    <xf numFmtId="0" fontId="1" fillId="0" borderId="3" xfId="0" applyFont="1" applyFill="1" applyBorder="1"/>
    <xf numFmtId="0" fontId="1" fillId="0" borderId="3" xfId="0" applyFont="1" applyFill="1" applyBorder="1" applyAlignment="1">
      <alignment horizontal="left" wrapText="1"/>
    </xf>
    <xf numFmtId="0" fontId="1" fillId="0" borderId="3" xfId="0" quotePrefix="1" applyFont="1" applyFill="1" applyBorder="1" applyAlignment="1">
      <alignment vertical="top"/>
    </xf>
    <xf numFmtId="4" fontId="8" fillId="0" borderId="3" xfId="0" applyNumberFormat="1" applyFont="1" applyFill="1" applyBorder="1" applyProtection="1">
      <protection hidden="1"/>
    </xf>
    <xf numFmtId="0" fontId="1" fillId="0" borderId="3" xfId="0" applyFont="1" applyFill="1" applyBorder="1" applyAlignment="1">
      <alignment horizontal="left"/>
    </xf>
    <xf numFmtId="0" fontId="1" fillId="0" borderId="3" xfId="0" quotePrefix="1" applyFont="1" applyFill="1" applyBorder="1" applyAlignment="1">
      <alignment horizontal="left" wrapText="1"/>
    </xf>
    <xf numFmtId="0" fontId="1" fillId="0" borderId="3" xfId="0" quotePrefix="1" applyFont="1" applyFill="1" applyBorder="1" applyAlignment="1">
      <alignment horizontal="left"/>
    </xf>
    <xf numFmtId="0" fontId="1" fillId="0" borderId="3" xfId="0" applyFont="1" applyFill="1" applyBorder="1" applyAlignment="1"/>
    <xf numFmtId="0" fontId="1" fillId="0" borderId="3" xfId="0" applyFont="1" applyFill="1" applyBorder="1" applyAlignment="1">
      <alignment vertical="top"/>
    </xf>
    <xf numFmtId="0" fontId="1" fillId="0" borderId="3" xfId="0" applyFont="1" applyFill="1" applyBorder="1" applyAlignment="1">
      <alignment wrapText="1"/>
    </xf>
    <xf numFmtId="0" fontId="2" fillId="0" borderId="3" xfId="0" applyFont="1" applyFill="1" applyBorder="1"/>
    <xf numFmtId="0" fontId="3" fillId="0" borderId="6" xfId="0" applyFont="1" applyFill="1" applyBorder="1" applyAlignment="1">
      <alignment horizontal="center" vertical="center"/>
    </xf>
    <xf numFmtId="4" fontId="1" fillId="0" borderId="3" xfId="0" applyNumberFormat="1" applyFont="1" applyFill="1" applyBorder="1" applyProtection="1">
      <protection locked="0"/>
    </xf>
    <xf numFmtId="4" fontId="3" fillId="2" borderId="3" xfId="0" applyNumberFormat="1" applyFont="1" applyFill="1" applyBorder="1" applyProtection="1"/>
    <xf numFmtId="4" fontId="3" fillId="0" borderId="3" xfId="0" applyNumberFormat="1" applyFont="1" applyFill="1" applyBorder="1" applyProtection="1">
      <protection locked="0"/>
    </xf>
    <xf numFmtId="4" fontId="9" fillId="0" borderId="3" xfId="0" applyNumberFormat="1" applyFont="1" applyFill="1" applyBorder="1" applyProtection="1"/>
    <xf numFmtId="4" fontId="1" fillId="2" borderId="3" xfId="0" applyNumberFormat="1" applyFont="1" applyFill="1" applyBorder="1" applyProtection="1"/>
    <xf numFmtId="4" fontId="8" fillId="0" borderId="3" xfId="0" applyNumberFormat="1" applyFont="1" applyFill="1" applyBorder="1" applyProtection="1"/>
    <xf numFmtId="4" fontId="8" fillId="2" borderId="3" xfId="0" applyNumberFormat="1" applyFont="1" applyFill="1" applyBorder="1" applyProtection="1"/>
    <xf numFmtId="49" fontId="3" fillId="0" borderId="3" xfId="0" quotePrefix="1" applyNumberFormat="1" applyFont="1" applyFill="1" applyBorder="1"/>
    <xf numFmtId="0" fontId="3" fillId="0" borderId="3" xfId="0" applyFont="1" applyFill="1" applyBorder="1" applyAlignment="1">
      <alignment horizontal="right"/>
    </xf>
    <xf numFmtId="0" fontId="3" fillId="0" borderId="3" xfId="0" applyFont="1" applyFill="1" applyBorder="1" applyAlignment="1">
      <alignment horizontal="right" vertical="top"/>
    </xf>
    <xf numFmtId="49" fontId="3" fillId="0" borderId="3" xfId="0" quotePrefix="1" applyNumberFormat="1" applyFont="1" applyFill="1" applyBorder="1" applyAlignment="1">
      <alignment vertical="top" wrapText="1"/>
    </xf>
    <xf numFmtId="0" fontId="3" fillId="0" borderId="3" xfId="0" applyFont="1" applyFill="1" applyBorder="1" applyAlignment="1">
      <alignment horizontal="right" wrapText="1"/>
    </xf>
    <xf numFmtId="0" fontId="5" fillId="0" borderId="3" xfId="0" applyFont="1" applyFill="1" applyBorder="1" applyAlignment="1">
      <alignment horizontal="right"/>
    </xf>
    <xf numFmtId="49" fontId="3" fillId="0" borderId="3" xfId="0" applyNumberFormat="1" applyFont="1" applyFill="1" applyBorder="1"/>
    <xf numFmtId="0" fontId="2" fillId="0" borderId="3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49" fontId="3" fillId="0" borderId="3" xfId="0" applyNumberFormat="1" applyFont="1" applyFill="1" applyBorder="1" applyAlignment="1">
      <alignment vertical="top"/>
    </xf>
    <xf numFmtId="49" fontId="3" fillId="0" borderId="3" xfId="0" quotePrefix="1" applyNumberFormat="1" applyFont="1" applyFill="1" applyBorder="1" applyAlignment="1">
      <alignment vertical="top"/>
    </xf>
    <xf numFmtId="0" fontId="3" fillId="0" borderId="3" xfId="0" quotePrefix="1" applyFont="1" applyFill="1" applyBorder="1" applyAlignment="1">
      <alignment vertical="top" wrapText="1"/>
    </xf>
    <xf numFmtId="0" fontId="5" fillId="0" borderId="3" xfId="0" applyFont="1" applyFill="1" applyBorder="1" applyAlignment="1">
      <alignment horizontal="right" wrapText="1"/>
    </xf>
    <xf numFmtId="0" fontId="3" fillId="0" borderId="6" xfId="0" applyFont="1" applyFill="1" applyBorder="1" applyAlignment="1">
      <alignment horizontal="center"/>
    </xf>
    <xf numFmtId="4" fontId="3" fillId="0" borderId="3" xfId="0" applyNumberFormat="1" applyFont="1" applyFill="1" applyBorder="1" applyAlignment="1" applyProtection="1">
      <alignment horizontal="right"/>
      <protection locked="0"/>
    </xf>
    <xf numFmtId="0" fontId="3" fillId="0" borderId="3" xfId="0" quotePrefix="1" applyFont="1" applyFill="1" applyBorder="1" applyAlignment="1" applyProtection="1">
      <alignment vertical="top" wrapText="1"/>
    </xf>
    <xf numFmtId="0" fontId="3" fillId="0" borderId="3" xfId="0" quotePrefix="1" applyFont="1" applyFill="1" applyBorder="1" applyAlignment="1" applyProtection="1">
      <alignment wrapText="1"/>
    </xf>
    <xf numFmtId="0" fontId="10" fillId="0" borderId="3" xfId="0" applyFont="1" applyFill="1" applyBorder="1" applyAlignment="1">
      <alignment horizontal="right"/>
    </xf>
    <xf numFmtId="0" fontId="10" fillId="0" borderId="3" xfId="0" applyFont="1" applyFill="1" applyBorder="1" applyAlignment="1">
      <alignment horizontal="right" wrapText="1"/>
    </xf>
    <xf numFmtId="49" fontId="3" fillId="0" borderId="3" xfId="0" quotePrefix="1" applyNumberFormat="1" applyFont="1" applyFill="1" applyBorder="1" applyAlignment="1">
      <alignment horizontal="center" vertical="top"/>
    </xf>
    <xf numFmtId="0" fontId="3" fillId="0" borderId="3" xfId="0" quotePrefix="1" applyFont="1" applyFill="1" applyBorder="1" applyAlignment="1">
      <alignment wrapText="1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3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4" fontId="3" fillId="0" borderId="3" xfId="0" applyNumberFormat="1" applyFont="1" applyFill="1" applyBorder="1" applyProtection="1"/>
    <xf numFmtId="4" fontId="9" fillId="2" borderId="3" xfId="0" applyNumberFormat="1" applyFont="1" applyFill="1" applyBorder="1" applyProtection="1"/>
    <xf numFmtId="4" fontId="4" fillId="2" borderId="3" xfId="0" applyNumberFormat="1" applyFont="1" applyFill="1" applyBorder="1" applyProtection="1"/>
    <xf numFmtId="4" fontId="8" fillId="0" borderId="3" xfId="0" applyNumberFormat="1" applyFont="1" applyFill="1" applyBorder="1" applyAlignment="1" applyProtection="1">
      <alignment wrapText="1"/>
    </xf>
    <xf numFmtId="4" fontId="8" fillId="2" borderId="3" xfId="0" applyNumberFormat="1" applyFont="1" applyFill="1" applyBorder="1" applyAlignment="1" applyProtection="1">
      <alignment wrapText="1"/>
    </xf>
    <xf numFmtId="4" fontId="1" fillId="0" borderId="3" xfId="0" applyNumberFormat="1" applyFont="1" applyFill="1" applyBorder="1" applyAlignment="1" applyProtection="1">
      <alignment wrapText="1"/>
      <protection locked="0"/>
    </xf>
    <xf numFmtId="4" fontId="8" fillId="0" borderId="3" xfId="0" applyNumberFormat="1" applyFont="1" applyFill="1" applyBorder="1" applyAlignment="1" applyProtection="1">
      <alignment vertical="center"/>
    </xf>
    <xf numFmtId="4" fontId="8" fillId="2" borderId="3" xfId="0" applyNumberFormat="1" applyFont="1" applyFill="1" applyBorder="1" applyAlignment="1" applyProtection="1">
      <alignment vertical="center"/>
    </xf>
    <xf numFmtId="4" fontId="9" fillId="0" borderId="3" xfId="0" applyNumberFormat="1" applyFont="1" applyFill="1" applyBorder="1" applyAlignment="1" applyProtection="1">
      <alignment vertical="center"/>
    </xf>
    <xf numFmtId="4" fontId="9" fillId="2" borderId="3" xfId="0" applyNumberFormat="1" applyFont="1" applyFill="1" applyBorder="1" applyAlignment="1" applyProtection="1">
      <alignment vertical="center"/>
    </xf>
    <xf numFmtId="49" fontId="1" fillId="0" borderId="3" xfId="0" quotePrefix="1" applyNumberFormat="1" applyFont="1" applyFill="1" applyBorder="1" applyAlignment="1">
      <alignment horizontal="center"/>
    </xf>
    <xf numFmtId="49" fontId="1" fillId="0" borderId="3" xfId="0" quotePrefix="1" applyNumberFormat="1" applyFont="1" applyFill="1" applyBorder="1" applyAlignment="1">
      <alignment horizontal="center" wrapText="1"/>
    </xf>
    <xf numFmtId="49" fontId="3" fillId="0" borderId="3" xfId="0" quotePrefix="1" applyNumberFormat="1" applyFont="1" applyFill="1" applyBorder="1" applyAlignment="1">
      <alignment horizontal="center"/>
    </xf>
    <xf numFmtId="49" fontId="3" fillId="0" borderId="3" xfId="0" quotePrefix="1" applyNumberFormat="1" applyFont="1" applyFill="1" applyBorder="1" applyAlignment="1">
      <alignment horizontal="center" wrapText="1"/>
    </xf>
    <xf numFmtId="49" fontId="3" fillId="0" borderId="3" xfId="0" applyNumberFormat="1" applyFont="1" applyFill="1" applyBorder="1" applyAlignment="1">
      <alignment horizontal="center" wrapText="1"/>
    </xf>
    <xf numFmtId="0" fontId="0" fillId="0" borderId="3" xfId="0" applyBorder="1" applyAlignment="1"/>
    <xf numFmtId="0" fontId="2" fillId="0" borderId="6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 applyProtection="1">
      <alignment horizontal="center"/>
    </xf>
    <xf numFmtId="0" fontId="1" fillId="0" borderId="3" xfId="0" applyFont="1" applyFill="1" applyBorder="1" applyProtection="1">
      <protection locked="0"/>
    </xf>
    <xf numFmtId="165" fontId="1" fillId="0" borderId="3" xfId="0" applyNumberFormat="1" applyFont="1" applyFill="1" applyBorder="1" applyAlignment="1" applyProtection="1">
      <alignment horizontal="center"/>
    </xf>
    <xf numFmtId="4" fontId="9" fillId="2" borderId="3" xfId="0" applyNumberFormat="1" applyFont="1" applyFill="1" applyBorder="1" applyProtection="1">
      <protection hidden="1"/>
    </xf>
    <xf numFmtId="4" fontId="8" fillId="3" borderId="3" xfId="0" applyNumberFormat="1" applyFont="1" applyFill="1" applyBorder="1" applyProtection="1"/>
    <xf numFmtId="4" fontId="9" fillId="3" borderId="3" xfId="0" applyNumberFormat="1" applyFont="1" applyFill="1" applyBorder="1" applyProtection="1"/>
    <xf numFmtId="4" fontId="1" fillId="3" borderId="3" xfId="0" applyNumberFormat="1" applyFont="1" applyFill="1" applyBorder="1" applyProtection="1"/>
    <xf numFmtId="4" fontId="8" fillId="3" borderId="3" xfId="0" applyNumberFormat="1" applyFont="1" applyFill="1" applyBorder="1" applyProtection="1">
      <protection hidden="1"/>
    </xf>
    <xf numFmtId="4" fontId="9" fillId="3" borderId="3" xfId="0" applyNumberFormat="1" applyFont="1" applyFill="1" applyBorder="1" applyProtection="1">
      <protection hidden="1"/>
    </xf>
    <xf numFmtId="0" fontId="3" fillId="0" borderId="3" xfId="0" quotePrefix="1" applyFont="1" applyFill="1" applyBorder="1" applyAlignment="1">
      <alignment horizontal="center"/>
    </xf>
    <xf numFmtId="4" fontId="3" fillId="2" borderId="3" xfId="0" applyNumberFormat="1" applyFont="1" applyFill="1" applyBorder="1" applyProtection="1">
      <protection hidden="1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3" borderId="6" xfId="0" applyFont="1" applyFill="1" applyBorder="1" applyAlignment="1" applyProtection="1">
      <alignment horizontal="center" vertical="center" wrapText="1"/>
    </xf>
    <xf numFmtId="4" fontId="3" fillId="3" borderId="3" xfId="0" applyNumberFormat="1" applyFont="1" applyFill="1" applyBorder="1" applyProtection="1"/>
    <xf numFmtId="4" fontId="3" fillId="3" borderId="3" xfId="0" applyNumberFormat="1" applyFont="1" applyFill="1" applyBorder="1" applyAlignment="1" applyProtection="1">
      <alignment horizontal="right"/>
    </xf>
    <xf numFmtId="4" fontId="1" fillId="0" borderId="3" xfId="0" applyNumberFormat="1" applyFont="1" applyFill="1" applyBorder="1" applyProtection="1">
      <protection locked="0" hidden="1"/>
    </xf>
    <xf numFmtId="4" fontId="1" fillId="3" borderId="3" xfId="0" applyNumberFormat="1" applyFont="1" applyFill="1" applyBorder="1" applyProtection="1">
      <protection hidden="1"/>
    </xf>
    <xf numFmtId="0" fontId="1" fillId="0" borderId="0" xfId="0" applyFont="1" applyFill="1"/>
    <xf numFmtId="1" fontId="1" fillId="0" borderId="3" xfId="0" quotePrefix="1" applyNumberFormat="1" applyFont="1" applyFill="1" applyBorder="1" applyAlignment="1" applyProtection="1">
      <alignment horizontal="center"/>
    </xf>
    <xf numFmtId="4" fontId="1" fillId="0" borderId="3" xfId="0" applyNumberFormat="1" applyFont="1" applyFill="1" applyBorder="1" applyProtection="1"/>
    <xf numFmtId="0" fontId="2" fillId="0" borderId="3" xfId="0" applyFont="1" applyFill="1" applyBorder="1" applyProtection="1"/>
    <xf numFmtId="0" fontId="1" fillId="0" borderId="3" xfId="0" quotePrefix="1" applyFont="1" applyFill="1" applyBorder="1" applyAlignment="1" applyProtection="1">
      <alignment horizontal="left" wrapText="1"/>
    </xf>
    <xf numFmtId="0" fontId="1" fillId="0" borderId="3" xfId="0" applyFont="1" applyFill="1" applyBorder="1" applyProtection="1"/>
    <xf numFmtId="49" fontId="1" fillId="0" borderId="3" xfId="0" quotePrefix="1" applyNumberFormat="1" applyFont="1" applyFill="1" applyBorder="1" applyAlignment="1" applyProtection="1">
      <alignment horizontal="center"/>
    </xf>
    <xf numFmtId="49" fontId="3" fillId="0" borderId="3" xfId="0" quotePrefix="1" applyNumberFormat="1" applyFont="1" applyFill="1" applyBorder="1" applyProtection="1"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49" fontId="3" fillId="0" borderId="3" xfId="0" quotePrefix="1" applyNumberFormat="1" applyFont="1" applyFill="1" applyBorder="1" applyAlignment="1" applyProtection="1">
      <alignment horizontal="center"/>
      <protection hidden="1"/>
    </xf>
    <xf numFmtId="0" fontId="3" fillId="0" borderId="3" xfId="0" applyFont="1" applyFill="1" applyBorder="1" applyProtection="1">
      <protection hidden="1"/>
    </xf>
    <xf numFmtId="49" fontId="3" fillId="0" borderId="3" xfId="0" quotePrefix="1" applyNumberFormat="1" applyFont="1" applyFill="1" applyBorder="1" applyAlignment="1" applyProtection="1">
      <alignment vertical="top" wrapText="1"/>
      <protection hidden="1"/>
    </xf>
    <xf numFmtId="49" fontId="3" fillId="0" borderId="3" xfId="0" quotePrefix="1" applyNumberFormat="1" applyFont="1" applyFill="1" applyBorder="1" applyAlignment="1" applyProtection="1">
      <alignment horizontal="center" wrapText="1"/>
      <protection hidden="1"/>
    </xf>
    <xf numFmtId="49" fontId="3" fillId="0" borderId="3" xfId="0" applyNumberFormat="1" applyFont="1" applyFill="1" applyBorder="1" applyProtection="1">
      <protection hidden="1"/>
    </xf>
    <xf numFmtId="0" fontId="3" fillId="0" borderId="3" xfId="0" quotePrefix="1" applyFont="1" applyFill="1" applyBorder="1" applyProtection="1">
      <protection hidden="1"/>
    </xf>
    <xf numFmtId="49" fontId="3" fillId="0" borderId="3" xfId="0" applyNumberFormat="1" applyFont="1" applyFill="1" applyBorder="1" applyAlignment="1" applyProtection="1">
      <alignment horizontal="center"/>
      <protection hidden="1"/>
    </xf>
    <xf numFmtId="0" fontId="2" fillId="0" borderId="3" xfId="0" applyFont="1" applyFill="1" applyBorder="1" applyAlignment="1" applyProtection="1">
      <alignment horizontal="left"/>
      <protection hidden="1"/>
    </xf>
    <xf numFmtId="49" fontId="2" fillId="0" borderId="3" xfId="0" applyNumberFormat="1" applyFont="1" applyFill="1" applyBorder="1" applyProtection="1">
      <protection hidden="1"/>
    </xf>
    <xf numFmtId="0" fontId="13" fillId="4" borderId="0" xfId="0" applyFont="1" applyFill="1" applyProtection="1">
      <protection locked="0"/>
    </xf>
    <xf numFmtId="0" fontId="13" fillId="4" borderId="0" xfId="0" applyFont="1" applyFill="1"/>
    <xf numFmtId="1" fontId="13" fillId="4" borderId="0" xfId="0" applyNumberFormat="1" applyFont="1" applyFill="1"/>
    <xf numFmtId="0" fontId="1" fillId="0" borderId="3" xfId="0" applyFont="1" applyFill="1" applyBorder="1" applyAlignment="1">
      <alignment horizontal="left" wrapText="1"/>
    </xf>
    <xf numFmtId="0" fontId="1" fillId="0" borderId="3" xfId="0" applyFont="1" applyFill="1" applyBorder="1" applyAlignment="1">
      <alignment horizontal="left" vertical="top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2" fillId="0" borderId="1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0" borderId="15" xfId="0" applyBorder="1" applyAlignment="1"/>
    <xf numFmtId="0" fontId="0" fillId="0" borderId="6" xfId="0" applyBorder="1" applyAlignment="1"/>
    <xf numFmtId="0" fontId="2" fillId="0" borderId="15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 wrapText="1"/>
    </xf>
    <xf numFmtId="0" fontId="0" fillId="0" borderId="3" xfId="0" applyBorder="1" applyAlignment="1"/>
    <xf numFmtId="0" fontId="2" fillId="0" borderId="4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locked="0"/>
    </xf>
    <xf numFmtId="0" fontId="3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6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 vertical="center"/>
      <protection hidden="1"/>
    </xf>
    <xf numFmtId="169" fontId="2" fillId="0" borderId="3" xfId="0" applyNumberFormat="1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left" wrapText="1"/>
      <protection hidden="1"/>
    </xf>
    <xf numFmtId="0" fontId="3" fillId="0" borderId="8" xfId="0" applyFont="1" applyFill="1" applyBorder="1" applyAlignment="1" applyProtection="1">
      <alignment horizontal="left" wrapText="1"/>
      <protection hidden="1"/>
    </xf>
    <xf numFmtId="0" fontId="3" fillId="0" borderId="9" xfId="0" applyFont="1" applyFill="1" applyBorder="1" applyAlignment="1" applyProtection="1">
      <alignment horizontal="left" wrapText="1"/>
      <protection hidden="1"/>
    </xf>
    <xf numFmtId="0" fontId="6" fillId="0" borderId="0" xfId="0" applyFont="1" applyFill="1" applyBorder="1" applyAlignment="1">
      <alignment horizontal="left" wrapText="1"/>
    </xf>
    <xf numFmtId="0" fontId="3" fillId="0" borderId="7" xfId="0" applyFont="1" applyFill="1" applyBorder="1" applyAlignment="1">
      <alignment horizontal="center" wrapText="1"/>
    </xf>
    <xf numFmtId="0" fontId="3" fillId="0" borderId="8" xfId="0" applyFont="1" applyFill="1" applyBorder="1" applyAlignment="1">
      <alignment horizontal="center" wrapText="1"/>
    </xf>
    <xf numFmtId="0" fontId="3" fillId="0" borderId="9" xfId="0" applyFont="1" applyFill="1" applyBorder="1" applyAlignment="1">
      <alignment horizontal="center" wrapText="1"/>
    </xf>
    <xf numFmtId="0" fontId="3" fillId="0" borderId="3" xfId="0" applyFont="1" applyFill="1" applyBorder="1" applyAlignment="1">
      <alignment horizontal="left" vertical="top" wrapText="1"/>
    </xf>
    <xf numFmtId="49" fontId="3" fillId="0" borderId="8" xfId="0" quotePrefix="1" applyNumberFormat="1" applyFont="1" applyFill="1" applyBorder="1" applyAlignment="1">
      <alignment horizontal="center" vertical="top"/>
    </xf>
    <xf numFmtId="49" fontId="3" fillId="0" borderId="9" xfId="0" quotePrefix="1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69" fontId="2" fillId="0" borderId="4" xfId="0" applyNumberFormat="1" applyFont="1" applyFill="1" applyBorder="1" applyAlignment="1">
      <alignment horizontal="center" vertical="center"/>
    </xf>
    <xf numFmtId="169" fontId="2" fillId="0" borderId="6" xfId="0" applyNumberFormat="1" applyFont="1" applyFill="1" applyBorder="1" applyAlignment="1">
      <alignment horizontal="center" vertical="center"/>
    </xf>
    <xf numFmtId="169" fontId="2" fillId="0" borderId="3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left" vertical="top" wrapText="1"/>
    </xf>
    <xf numFmtId="0" fontId="3" fillId="0" borderId="8" xfId="0" applyFont="1" applyFill="1" applyBorder="1" applyAlignment="1">
      <alignment horizontal="left" vertical="top" wrapText="1"/>
    </xf>
    <xf numFmtId="0" fontId="3" fillId="0" borderId="9" xfId="0" applyFont="1" applyFill="1" applyBorder="1" applyAlignment="1">
      <alignment horizontal="left" vertical="top" wrapText="1"/>
    </xf>
    <xf numFmtId="0" fontId="3" fillId="0" borderId="7" xfId="0" applyFont="1" applyFill="1" applyBorder="1" applyAlignment="1">
      <alignment horizontal="left" wrapText="1"/>
    </xf>
    <xf numFmtId="0" fontId="3" fillId="0" borderId="8" xfId="0" applyFont="1" applyFill="1" applyBorder="1" applyAlignment="1">
      <alignment horizontal="left" wrapText="1"/>
    </xf>
    <xf numFmtId="0" fontId="3" fillId="0" borderId="9" xfId="0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1009650</xdr:colOff>
          <xdr:row>25</xdr:row>
          <xdr:rowOff>19050</xdr:rowOff>
        </xdr:from>
        <xdr:to>
          <xdr:col>7</xdr:col>
          <xdr:colOff>333375</xdr:colOff>
          <xdr:row>25</xdr:row>
          <xdr:rowOff>133350</xdr:rowOff>
        </xdr:to>
        <xdr:sp macro="" textlink="">
          <xdr:nvSpPr>
            <xdr:cNvPr id="3073" name="Label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9525</xdr:rowOff>
        </xdr:from>
        <xdr:to>
          <xdr:col>7</xdr:col>
          <xdr:colOff>381000</xdr:colOff>
          <xdr:row>30</xdr:row>
          <xdr:rowOff>133350</xdr:rowOff>
        </xdr:to>
        <xdr:sp macro="" textlink="">
          <xdr:nvSpPr>
            <xdr:cNvPr id="1027" name="Label_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438150</xdr:colOff>
          <xdr:row>16</xdr:row>
          <xdr:rowOff>9525</xdr:rowOff>
        </xdr:to>
        <xdr:sp macro="" textlink="">
          <xdr:nvSpPr>
            <xdr:cNvPr id="2050" name="Label_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22</xdr:row>
          <xdr:rowOff>19050</xdr:rowOff>
        </xdr:from>
        <xdr:to>
          <xdr:col>7</xdr:col>
          <xdr:colOff>438150</xdr:colOff>
          <xdr:row>23</xdr:row>
          <xdr:rowOff>19050</xdr:rowOff>
        </xdr:to>
        <xdr:sp macro="" textlink="">
          <xdr:nvSpPr>
            <xdr:cNvPr id="2051" name="Label_b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N1"/>
    </sheetView>
  </sheetViews>
  <sheetFormatPr defaultRowHeight="11.25" x14ac:dyDescent="0.2"/>
  <cols>
    <col min="1" max="1" width="3.140625" style="2" customWidth="1"/>
    <col min="2" max="2" width="3.7109375" style="2" customWidth="1"/>
    <col min="3" max="3" width="3.5703125" style="2" customWidth="1"/>
    <col min="4" max="4" width="24.28515625" style="2" customWidth="1"/>
    <col min="5" max="5" width="0.140625" style="2" hidden="1" customWidth="1"/>
    <col min="6" max="6" width="20.7109375" style="2" hidden="1" customWidth="1"/>
    <col min="7" max="7" width="17.28515625" style="2" customWidth="1"/>
    <col min="8" max="8" width="20.7109375" style="11" hidden="1" customWidth="1"/>
    <col min="9" max="13" width="20.7109375" style="2" customWidth="1"/>
    <col min="14" max="15" width="20.7109375" style="2" hidden="1" customWidth="1"/>
    <col min="16" max="21" width="20.7109375" style="2" customWidth="1"/>
    <col min="22" max="23" width="20.7109375" style="2" hidden="1" customWidth="1"/>
    <col min="24" max="29" width="20.7109375" style="2" customWidth="1"/>
    <col min="30" max="31" width="20.7109375" style="2" hidden="1" customWidth="1"/>
    <col min="32" max="37" width="20.7109375" style="2" customWidth="1"/>
    <col min="38" max="39" width="20.7109375" style="2" hidden="1" customWidth="1"/>
    <col min="40" max="46" width="20.7109375" style="2" customWidth="1"/>
    <col min="47" max="16384" width="9.140625" style="2"/>
  </cols>
  <sheetData>
    <row r="1" spans="1:46" s="76" customFormat="1" ht="12.75" customHeight="1" x14ac:dyDescent="0.2">
      <c r="A1" s="160" t="s">
        <v>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</row>
    <row r="2" spans="1:46" ht="12.75" customHeight="1" x14ac:dyDescent="0.2">
      <c r="A2" s="142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</row>
    <row r="3" spans="1:46" ht="12.75" hidden="1" customHeight="1" x14ac:dyDescent="0.2">
      <c r="A3" s="142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</row>
    <row r="4" spans="1:46" ht="12.75" hidden="1" customHeight="1" x14ac:dyDescent="0.2">
      <c r="A4" s="142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</row>
    <row r="5" spans="1:46" ht="12.75" hidden="1" customHeight="1" x14ac:dyDescent="0.2">
      <c r="A5" s="142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</row>
    <row r="6" spans="1:46" ht="12.75" hidden="1" customHeight="1" x14ac:dyDescent="0.2">
      <c r="A6" s="142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</row>
    <row r="7" spans="1:46" ht="12.75" customHeight="1" x14ac:dyDescent="0.2">
      <c r="A7" s="144" t="s">
        <v>1</v>
      </c>
      <c r="B7" s="145"/>
      <c r="C7" s="145"/>
      <c r="D7" s="146"/>
      <c r="E7" s="3"/>
      <c r="F7" s="3"/>
      <c r="G7" s="153" t="s">
        <v>2</v>
      </c>
      <c r="H7" s="139"/>
      <c r="I7" s="157" t="s">
        <v>3</v>
      </c>
      <c r="J7" s="158"/>
      <c r="K7" s="158"/>
      <c r="L7" s="158"/>
      <c r="M7" s="158"/>
      <c r="N7" s="158"/>
      <c r="O7" s="158"/>
      <c r="P7" s="159"/>
      <c r="Q7" s="157" t="s">
        <v>4</v>
      </c>
      <c r="R7" s="158"/>
      <c r="S7" s="158"/>
      <c r="T7" s="158"/>
      <c r="U7" s="158"/>
      <c r="V7" s="158"/>
      <c r="W7" s="158"/>
      <c r="X7" s="159"/>
      <c r="Y7" s="157" t="s">
        <v>5</v>
      </c>
      <c r="Z7" s="158"/>
      <c r="AA7" s="158"/>
      <c r="AB7" s="158"/>
      <c r="AC7" s="158"/>
      <c r="AD7" s="158"/>
      <c r="AE7" s="158"/>
      <c r="AF7" s="159"/>
      <c r="AG7" s="157" t="s">
        <v>6</v>
      </c>
      <c r="AH7" s="158"/>
      <c r="AI7" s="158"/>
      <c r="AJ7" s="158"/>
      <c r="AK7" s="158"/>
      <c r="AL7" s="158"/>
      <c r="AM7" s="158"/>
      <c r="AN7" s="159"/>
    </row>
    <row r="8" spans="1:46" ht="25.5" customHeight="1" x14ac:dyDescent="0.2">
      <c r="A8" s="147"/>
      <c r="B8" s="148"/>
      <c r="C8" s="148"/>
      <c r="D8" s="149"/>
      <c r="E8" s="3"/>
      <c r="F8" s="3"/>
      <c r="G8" s="154"/>
      <c r="H8" s="156"/>
      <c r="I8" s="139" t="s">
        <v>7</v>
      </c>
      <c r="J8" s="137" t="s">
        <v>8</v>
      </c>
      <c r="K8" s="138"/>
      <c r="L8" s="137" t="s">
        <v>9</v>
      </c>
      <c r="M8" s="138"/>
      <c r="N8" s="141" t="s">
        <v>138</v>
      </c>
      <c r="O8" s="141"/>
      <c r="P8" s="139" t="s">
        <v>10</v>
      </c>
      <c r="Q8" s="139" t="s">
        <v>7</v>
      </c>
      <c r="R8" s="137" t="s">
        <v>8</v>
      </c>
      <c r="S8" s="138"/>
      <c r="T8" s="137" t="s">
        <v>9</v>
      </c>
      <c r="U8" s="138"/>
      <c r="V8" s="141" t="s">
        <v>138</v>
      </c>
      <c r="W8" s="141"/>
      <c r="X8" s="139" t="s">
        <v>10</v>
      </c>
      <c r="Y8" s="139" t="s">
        <v>7</v>
      </c>
      <c r="Z8" s="137" t="s">
        <v>8</v>
      </c>
      <c r="AA8" s="138"/>
      <c r="AB8" s="137" t="s">
        <v>9</v>
      </c>
      <c r="AC8" s="138"/>
      <c r="AD8" s="141" t="s">
        <v>138</v>
      </c>
      <c r="AE8" s="141"/>
      <c r="AF8" s="139" t="s">
        <v>10</v>
      </c>
      <c r="AG8" s="139" t="s">
        <v>7</v>
      </c>
      <c r="AH8" s="137" t="s">
        <v>8</v>
      </c>
      <c r="AI8" s="138"/>
      <c r="AJ8" s="137" t="s">
        <v>9</v>
      </c>
      <c r="AK8" s="138"/>
      <c r="AL8" s="141" t="s">
        <v>138</v>
      </c>
      <c r="AM8" s="141"/>
      <c r="AN8" s="139" t="s">
        <v>10</v>
      </c>
    </row>
    <row r="9" spans="1:46" x14ac:dyDescent="0.2">
      <c r="A9" s="150"/>
      <c r="B9" s="151"/>
      <c r="C9" s="151"/>
      <c r="D9" s="152"/>
      <c r="E9" s="4"/>
      <c r="F9" s="4"/>
      <c r="G9" s="155"/>
      <c r="H9" s="140"/>
      <c r="I9" s="140"/>
      <c r="J9" s="6" t="s">
        <v>12</v>
      </c>
      <c r="K9" s="7" t="s">
        <v>13</v>
      </c>
      <c r="L9" s="6" t="s">
        <v>12</v>
      </c>
      <c r="M9" s="7" t="s">
        <v>13</v>
      </c>
      <c r="N9" s="43" t="s">
        <v>12</v>
      </c>
      <c r="O9" s="7" t="s">
        <v>13</v>
      </c>
      <c r="P9" s="140"/>
      <c r="Q9" s="140"/>
      <c r="R9" s="6" t="s">
        <v>12</v>
      </c>
      <c r="S9" s="7" t="s">
        <v>13</v>
      </c>
      <c r="T9" s="6" t="s">
        <v>12</v>
      </c>
      <c r="U9" s="7" t="s">
        <v>13</v>
      </c>
      <c r="V9" s="43" t="s">
        <v>12</v>
      </c>
      <c r="W9" s="7" t="s">
        <v>13</v>
      </c>
      <c r="X9" s="140"/>
      <c r="Y9" s="140"/>
      <c r="Z9" s="6" t="s">
        <v>12</v>
      </c>
      <c r="AA9" s="7" t="s">
        <v>13</v>
      </c>
      <c r="AB9" s="6" t="s">
        <v>12</v>
      </c>
      <c r="AC9" s="7" t="s">
        <v>13</v>
      </c>
      <c r="AD9" s="43" t="s">
        <v>12</v>
      </c>
      <c r="AE9" s="7" t="s">
        <v>13</v>
      </c>
      <c r="AF9" s="140"/>
      <c r="AG9" s="140"/>
      <c r="AH9" s="6" t="s">
        <v>12</v>
      </c>
      <c r="AI9" s="7" t="s">
        <v>13</v>
      </c>
      <c r="AJ9" s="6" t="s">
        <v>12</v>
      </c>
      <c r="AK9" s="7" t="s">
        <v>13</v>
      </c>
      <c r="AL9" s="43" t="s">
        <v>12</v>
      </c>
      <c r="AM9" s="7" t="s">
        <v>13</v>
      </c>
      <c r="AN9" s="140"/>
    </row>
    <row r="10" spans="1:46" ht="11.25" customHeight="1" x14ac:dyDescent="0.2">
      <c r="A10" s="30" t="s">
        <v>14</v>
      </c>
      <c r="B10" s="31" t="s">
        <v>15</v>
      </c>
      <c r="C10" s="31"/>
      <c r="D10" s="32"/>
      <c r="E10" s="32"/>
      <c r="F10" s="32"/>
      <c r="G10" s="88" t="s">
        <v>70</v>
      </c>
      <c r="H10" s="9"/>
      <c r="I10" s="44"/>
      <c r="J10" s="80"/>
      <c r="K10" s="80"/>
      <c r="L10" s="45"/>
      <c r="M10" s="45"/>
      <c r="N10" s="66"/>
      <c r="O10" s="66"/>
      <c r="P10" s="47">
        <f>I10+K10+M10+O10</f>
        <v>0</v>
      </c>
      <c r="Q10" s="48"/>
      <c r="R10" s="45"/>
      <c r="S10" s="45"/>
      <c r="T10" s="45"/>
      <c r="U10" s="45"/>
      <c r="V10" s="66"/>
      <c r="W10" s="66"/>
      <c r="X10" s="47">
        <f>Q10+S10+U10+W10</f>
        <v>0</v>
      </c>
      <c r="Y10" s="44"/>
      <c r="Z10" s="45"/>
      <c r="AA10" s="45"/>
      <c r="AB10" s="45"/>
      <c r="AC10" s="45"/>
      <c r="AD10" s="66"/>
      <c r="AE10" s="66"/>
      <c r="AF10" s="47">
        <f>Y10+AA10+AC10+AE10</f>
        <v>0</v>
      </c>
      <c r="AG10" s="49">
        <f>I10-Q10-Y10</f>
        <v>0</v>
      </c>
      <c r="AH10" s="50"/>
      <c r="AI10" s="50"/>
      <c r="AJ10" s="50"/>
      <c r="AK10" s="50"/>
      <c r="AL10" s="35">
        <f>N10-V10-AD10</f>
        <v>0</v>
      </c>
      <c r="AM10" s="35">
        <f>O10-W10-AE10</f>
        <v>0</v>
      </c>
      <c r="AN10" s="22">
        <f>P10-X10-AF10</f>
        <v>0</v>
      </c>
    </row>
    <row r="11" spans="1:46" ht="11.25" customHeight="1" x14ac:dyDescent="0.2">
      <c r="A11" s="30" t="s">
        <v>16</v>
      </c>
      <c r="B11" s="32" t="s">
        <v>17</v>
      </c>
      <c r="C11" s="32"/>
      <c r="D11" s="32"/>
      <c r="E11" s="32"/>
      <c r="F11" s="32"/>
      <c r="G11" s="88" t="s">
        <v>71</v>
      </c>
      <c r="H11" s="9"/>
      <c r="I11" s="44"/>
      <c r="J11" s="80"/>
      <c r="K11" s="80"/>
      <c r="L11" s="45"/>
      <c r="M11" s="45"/>
      <c r="N11" s="66"/>
      <c r="O11" s="66"/>
      <c r="P11" s="47">
        <f t="shared" ref="P11:P39" si="0">I11+K11+M11+O11</f>
        <v>0</v>
      </c>
      <c r="Q11" s="44"/>
      <c r="R11" s="45"/>
      <c r="S11" s="45"/>
      <c r="T11" s="45"/>
      <c r="U11" s="45"/>
      <c r="V11" s="66"/>
      <c r="W11" s="66"/>
      <c r="X11" s="47">
        <f t="shared" ref="X11:X39" si="1">Q11+S11+U11+W11</f>
        <v>0</v>
      </c>
      <c r="Y11" s="44"/>
      <c r="Z11" s="45"/>
      <c r="AA11" s="45"/>
      <c r="AB11" s="45"/>
      <c r="AC11" s="45"/>
      <c r="AD11" s="66"/>
      <c r="AE11" s="66"/>
      <c r="AF11" s="47">
        <f t="shared" ref="AF11:AF39" si="2">Y11+AA11+AC11+AE11</f>
        <v>0</v>
      </c>
      <c r="AG11" s="49">
        <f t="shared" ref="AG11:AG39" si="3">I11-Q11-Y11</f>
        <v>0</v>
      </c>
      <c r="AH11" s="45"/>
      <c r="AI11" s="45"/>
      <c r="AJ11" s="45"/>
      <c r="AK11" s="45"/>
      <c r="AL11" s="35">
        <f t="shared" ref="AL11:AN38" si="4">N11-V11-AD11</f>
        <v>0</v>
      </c>
      <c r="AM11" s="35">
        <f t="shared" si="4"/>
        <v>0</v>
      </c>
      <c r="AN11" s="22">
        <f t="shared" si="4"/>
        <v>0</v>
      </c>
    </row>
    <row r="12" spans="1:46" ht="11.25" customHeight="1" x14ac:dyDescent="0.2">
      <c r="A12" s="30" t="s">
        <v>18</v>
      </c>
      <c r="B12" s="32" t="s">
        <v>19</v>
      </c>
      <c r="C12" s="32"/>
      <c r="D12" s="32"/>
      <c r="E12" s="32"/>
      <c r="F12" s="32"/>
      <c r="G12" s="88" t="s">
        <v>72</v>
      </c>
      <c r="H12" s="9"/>
      <c r="I12" s="44"/>
      <c r="J12" s="80"/>
      <c r="K12" s="80"/>
      <c r="L12" s="45"/>
      <c r="M12" s="45"/>
      <c r="N12" s="66"/>
      <c r="O12" s="66"/>
      <c r="P12" s="47">
        <f t="shared" si="0"/>
        <v>0</v>
      </c>
      <c r="Q12" s="44"/>
      <c r="R12" s="45"/>
      <c r="S12" s="45"/>
      <c r="T12" s="45"/>
      <c r="U12" s="45"/>
      <c r="V12" s="66"/>
      <c r="W12" s="66"/>
      <c r="X12" s="47">
        <f t="shared" si="1"/>
        <v>0</v>
      </c>
      <c r="Y12" s="44"/>
      <c r="Z12" s="45"/>
      <c r="AA12" s="45"/>
      <c r="AB12" s="45"/>
      <c r="AC12" s="45"/>
      <c r="AD12" s="66"/>
      <c r="AE12" s="66"/>
      <c r="AF12" s="47">
        <f t="shared" si="2"/>
        <v>0</v>
      </c>
      <c r="AG12" s="49">
        <f t="shared" si="3"/>
        <v>0</v>
      </c>
      <c r="AH12" s="45"/>
      <c r="AI12" s="45"/>
      <c r="AJ12" s="45"/>
      <c r="AK12" s="45"/>
      <c r="AL12" s="35">
        <f t="shared" si="4"/>
        <v>0</v>
      </c>
      <c r="AM12" s="35">
        <f t="shared" si="4"/>
        <v>0</v>
      </c>
      <c r="AN12" s="22">
        <f t="shared" si="4"/>
        <v>0</v>
      </c>
    </row>
    <row r="13" spans="1:46" ht="11.25" customHeight="1" x14ac:dyDescent="0.2">
      <c r="A13" s="30" t="s">
        <v>20</v>
      </c>
      <c r="B13" s="32" t="s">
        <v>21</v>
      </c>
      <c r="C13" s="32"/>
      <c r="D13" s="32"/>
      <c r="E13" s="32"/>
      <c r="F13" s="32"/>
      <c r="G13" s="88" t="s">
        <v>73</v>
      </c>
      <c r="H13" s="9"/>
      <c r="I13" s="44"/>
      <c r="J13" s="80"/>
      <c r="K13" s="80"/>
      <c r="L13" s="45"/>
      <c r="M13" s="45"/>
      <c r="N13" s="66"/>
      <c r="O13" s="66"/>
      <c r="P13" s="47">
        <f t="shared" si="0"/>
        <v>0</v>
      </c>
      <c r="Q13" s="44"/>
      <c r="R13" s="45"/>
      <c r="S13" s="45"/>
      <c r="T13" s="45"/>
      <c r="U13" s="45"/>
      <c r="V13" s="66"/>
      <c r="W13" s="66"/>
      <c r="X13" s="47">
        <f t="shared" si="1"/>
        <v>0</v>
      </c>
      <c r="Y13" s="44"/>
      <c r="Z13" s="45"/>
      <c r="AA13" s="45"/>
      <c r="AB13" s="45"/>
      <c r="AC13" s="45"/>
      <c r="AD13" s="66"/>
      <c r="AE13" s="66"/>
      <c r="AF13" s="47">
        <f t="shared" si="2"/>
        <v>0</v>
      </c>
      <c r="AG13" s="49">
        <f t="shared" si="3"/>
        <v>0</v>
      </c>
      <c r="AH13" s="45"/>
      <c r="AI13" s="45"/>
      <c r="AJ13" s="45"/>
      <c r="AK13" s="45"/>
      <c r="AL13" s="35">
        <f t="shared" si="4"/>
        <v>0</v>
      </c>
      <c r="AM13" s="35">
        <f t="shared" si="4"/>
        <v>0</v>
      </c>
      <c r="AN13" s="22">
        <f t="shared" si="4"/>
        <v>0</v>
      </c>
    </row>
    <row r="14" spans="1:46" ht="11.25" customHeight="1" x14ac:dyDescent="0.2">
      <c r="A14" s="30" t="s">
        <v>22</v>
      </c>
      <c r="B14" s="32" t="s">
        <v>23</v>
      </c>
      <c r="C14" s="32"/>
      <c r="D14" s="32"/>
      <c r="E14" s="32"/>
      <c r="F14" s="32"/>
      <c r="G14" s="88" t="s">
        <v>74</v>
      </c>
      <c r="H14" s="9"/>
      <c r="I14" s="44"/>
      <c r="J14" s="80"/>
      <c r="K14" s="80"/>
      <c r="L14" s="45"/>
      <c r="M14" s="45"/>
      <c r="N14" s="66"/>
      <c r="O14" s="66"/>
      <c r="P14" s="47">
        <f t="shared" si="0"/>
        <v>0</v>
      </c>
      <c r="Q14" s="44"/>
      <c r="R14" s="45"/>
      <c r="S14" s="45"/>
      <c r="T14" s="45"/>
      <c r="U14" s="45"/>
      <c r="V14" s="66"/>
      <c r="W14" s="66"/>
      <c r="X14" s="47">
        <f t="shared" si="1"/>
        <v>0</v>
      </c>
      <c r="Y14" s="44"/>
      <c r="Z14" s="45"/>
      <c r="AA14" s="45"/>
      <c r="AB14" s="45"/>
      <c r="AC14" s="45"/>
      <c r="AD14" s="66"/>
      <c r="AE14" s="66"/>
      <c r="AF14" s="47">
        <f t="shared" si="2"/>
        <v>0</v>
      </c>
      <c r="AG14" s="49">
        <f t="shared" si="3"/>
        <v>0</v>
      </c>
      <c r="AH14" s="45"/>
      <c r="AI14" s="45"/>
      <c r="AJ14" s="45"/>
      <c r="AK14" s="45"/>
      <c r="AL14" s="35">
        <f t="shared" si="4"/>
        <v>0</v>
      </c>
      <c r="AM14" s="35">
        <f t="shared" si="4"/>
        <v>0</v>
      </c>
      <c r="AN14" s="22">
        <f t="shared" si="4"/>
        <v>0</v>
      </c>
    </row>
    <row r="15" spans="1:46" ht="11.25" customHeight="1" x14ac:dyDescent="0.2">
      <c r="A15" s="34" t="s">
        <v>24</v>
      </c>
      <c r="B15" s="32" t="s">
        <v>25</v>
      </c>
      <c r="C15" s="32"/>
      <c r="D15" s="32"/>
      <c r="E15" s="32"/>
      <c r="F15" s="32"/>
      <c r="G15" s="88" t="s">
        <v>75</v>
      </c>
      <c r="H15" s="9"/>
      <c r="I15" s="44"/>
      <c r="J15" s="80"/>
      <c r="K15" s="80"/>
      <c r="L15" s="45"/>
      <c r="M15" s="45"/>
      <c r="N15" s="66"/>
      <c r="O15" s="66"/>
      <c r="P15" s="47">
        <f t="shared" si="0"/>
        <v>0</v>
      </c>
      <c r="Q15" s="44"/>
      <c r="R15" s="45"/>
      <c r="S15" s="45"/>
      <c r="T15" s="45"/>
      <c r="U15" s="45"/>
      <c r="V15" s="66"/>
      <c r="W15" s="66"/>
      <c r="X15" s="47">
        <f t="shared" si="1"/>
        <v>0</v>
      </c>
      <c r="Y15" s="44"/>
      <c r="Z15" s="45"/>
      <c r="AA15" s="45"/>
      <c r="AB15" s="45"/>
      <c r="AC15" s="45"/>
      <c r="AD15" s="66"/>
      <c r="AE15" s="66"/>
      <c r="AF15" s="47">
        <f t="shared" si="2"/>
        <v>0</v>
      </c>
      <c r="AG15" s="49">
        <f t="shared" si="3"/>
        <v>0</v>
      </c>
      <c r="AH15" s="45"/>
      <c r="AI15" s="45"/>
      <c r="AJ15" s="45"/>
      <c r="AK15" s="45"/>
      <c r="AL15" s="35">
        <f t="shared" si="4"/>
        <v>0</v>
      </c>
      <c r="AM15" s="35">
        <f t="shared" si="4"/>
        <v>0</v>
      </c>
      <c r="AN15" s="22">
        <f t="shared" si="4"/>
        <v>0</v>
      </c>
    </row>
    <row r="16" spans="1:46" ht="11.25" customHeight="1" x14ac:dyDescent="0.2">
      <c r="A16" s="34" t="s">
        <v>26</v>
      </c>
      <c r="B16" s="135" t="s">
        <v>145</v>
      </c>
      <c r="C16" s="135"/>
      <c r="D16" s="135"/>
      <c r="E16" s="33"/>
      <c r="F16" s="33"/>
      <c r="G16" s="89" t="s">
        <v>161</v>
      </c>
      <c r="H16" s="9"/>
      <c r="I16" s="44"/>
      <c r="J16" s="50"/>
      <c r="K16" s="50"/>
      <c r="L16" s="50"/>
      <c r="M16" s="50"/>
      <c r="N16" s="66"/>
      <c r="O16" s="66"/>
      <c r="P16" s="47">
        <f>I16+K16+M16+O16</f>
        <v>0</v>
      </c>
      <c r="Q16" s="44"/>
      <c r="R16" s="50"/>
      <c r="S16" s="50"/>
      <c r="T16" s="50"/>
      <c r="U16" s="50"/>
      <c r="V16" s="66"/>
      <c r="W16" s="66"/>
      <c r="X16" s="47">
        <f>Q16+S16+U16+W16</f>
        <v>0</v>
      </c>
      <c r="Y16" s="44"/>
      <c r="Z16" s="45"/>
      <c r="AA16" s="45"/>
      <c r="AB16" s="45"/>
      <c r="AC16" s="45"/>
      <c r="AD16" s="66"/>
      <c r="AE16" s="66"/>
      <c r="AF16" s="47">
        <f>Y16+AA16+AC16+AE16</f>
        <v>0</v>
      </c>
      <c r="AG16" s="49">
        <f>I16-Q16-Y16</f>
        <v>0</v>
      </c>
      <c r="AH16" s="45"/>
      <c r="AI16" s="45"/>
      <c r="AJ16" s="45"/>
      <c r="AK16" s="45"/>
      <c r="AL16" s="35">
        <f>N16-V16-AD16</f>
        <v>0</v>
      </c>
      <c r="AM16" s="35">
        <f>O16-W16-AE16</f>
        <v>0</v>
      </c>
      <c r="AN16" s="22">
        <f>P16-X16-AF16</f>
        <v>0</v>
      </c>
    </row>
    <row r="17" spans="1:40" ht="24" customHeight="1" x14ac:dyDescent="0.2">
      <c r="A17" s="34" t="s">
        <v>34</v>
      </c>
      <c r="B17" s="135" t="s">
        <v>27</v>
      </c>
      <c r="C17" s="135"/>
      <c r="D17" s="135"/>
      <c r="E17" s="33"/>
      <c r="F17" s="33"/>
      <c r="G17" s="89" t="s">
        <v>76</v>
      </c>
      <c r="H17" s="9"/>
      <c r="I17" s="49">
        <f xml:space="preserve"> (I18 + I19 + I20 + I21 + I22 + I23)</f>
        <v>0</v>
      </c>
      <c r="J17" s="50"/>
      <c r="K17" s="50"/>
      <c r="L17" s="50"/>
      <c r="M17" s="50"/>
      <c r="N17" s="49">
        <f xml:space="preserve"> (N18 + N19 + N20 + N21 + N22 + N23)</f>
        <v>0</v>
      </c>
      <c r="O17" s="49">
        <f xml:space="preserve"> (O18 + O19 + O20 + O21 + O22 + O23)</f>
        <v>0</v>
      </c>
      <c r="P17" s="47">
        <f t="shared" si="0"/>
        <v>0</v>
      </c>
      <c r="Q17" s="49">
        <f xml:space="preserve"> (Q18 + Q19 + Q20 + Q21 + Q22 + Q23)</f>
        <v>0</v>
      </c>
      <c r="R17" s="50"/>
      <c r="S17" s="50"/>
      <c r="T17" s="50"/>
      <c r="U17" s="50"/>
      <c r="V17" s="49">
        <f xml:space="preserve"> (V18 + V19 + V20 + V21 + V22 + V23)</f>
        <v>0</v>
      </c>
      <c r="W17" s="49">
        <f xml:space="preserve"> (W18 + W19 + W20 + W21 + W22 + W23)</f>
        <v>0</v>
      </c>
      <c r="X17" s="47">
        <f t="shared" si="1"/>
        <v>0</v>
      </c>
      <c r="Y17" s="49">
        <f xml:space="preserve"> (Y18 + Y19 + Y20 + Y21 + Y22 + Y23)</f>
        <v>0</v>
      </c>
      <c r="Z17" s="50"/>
      <c r="AA17" s="50"/>
      <c r="AB17" s="50"/>
      <c r="AC17" s="50"/>
      <c r="AD17" s="49">
        <f xml:space="preserve"> (AD18 + AD19 + AD20 + AD21 + AD22 + AD23)</f>
        <v>0</v>
      </c>
      <c r="AE17" s="49">
        <f xml:space="preserve"> (AE18 + AE19 + AE20 + AE21 + AE22 + AE23)</f>
        <v>0</v>
      </c>
      <c r="AF17" s="47">
        <f t="shared" si="2"/>
        <v>0</v>
      </c>
      <c r="AG17" s="49">
        <f t="shared" si="3"/>
        <v>0</v>
      </c>
      <c r="AH17" s="79"/>
      <c r="AI17" s="79"/>
      <c r="AJ17" s="79"/>
      <c r="AK17" s="79"/>
      <c r="AL17" s="35">
        <f t="shared" si="4"/>
        <v>0</v>
      </c>
      <c r="AM17" s="35">
        <f t="shared" si="4"/>
        <v>0</v>
      </c>
      <c r="AN17" s="22">
        <f t="shared" si="4"/>
        <v>0</v>
      </c>
    </row>
    <row r="18" spans="1:40" ht="11.25" customHeight="1" x14ac:dyDescent="0.2">
      <c r="A18" s="34"/>
      <c r="B18" s="33" t="s">
        <v>28</v>
      </c>
      <c r="C18" s="36" t="s">
        <v>15</v>
      </c>
      <c r="D18" s="33"/>
      <c r="E18" s="33"/>
      <c r="F18" s="33"/>
      <c r="G18" s="89" t="s">
        <v>77</v>
      </c>
      <c r="H18" s="9"/>
      <c r="I18" s="44"/>
      <c r="J18" s="80"/>
      <c r="K18" s="80"/>
      <c r="L18" s="45"/>
      <c r="M18" s="45"/>
      <c r="N18" s="66"/>
      <c r="O18" s="66"/>
      <c r="P18" s="47">
        <f t="shared" si="0"/>
        <v>0</v>
      </c>
      <c r="Q18" s="48"/>
      <c r="R18" s="45"/>
      <c r="S18" s="45"/>
      <c r="T18" s="45"/>
      <c r="U18" s="45"/>
      <c r="V18" s="66"/>
      <c r="W18" s="66"/>
      <c r="X18" s="47">
        <f t="shared" si="1"/>
        <v>0</v>
      </c>
      <c r="Y18" s="44"/>
      <c r="Z18" s="45"/>
      <c r="AA18" s="45"/>
      <c r="AB18" s="45"/>
      <c r="AC18" s="45"/>
      <c r="AD18" s="66"/>
      <c r="AE18" s="66"/>
      <c r="AF18" s="47">
        <f t="shared" si="2"/>
        <v>0</v>
      </c>
      <c r="AG18" s="49">
        <f t="shared" si="3"/>
        <v>0</v>
      </c>
      <c r="AH18" s="45"/>
      <c r="AI18" s="45"/>
      <c r="AJ18" s="45"/>
      <c r="AK18" s="45"/>
      <c r="AL18" s="35">
        <f t="shared" si="4"/>
        <v>0</v>
      </c>
      <c r="AM18" s="35">
        <f t="shared" si="4"/>
        <v>0</v>
      </c>
      <c r="AN18" s="22">
        <f t="shared" si="4"/>
        <v>0</v>
      </c>
    </row>
    <row r="19" spans="1:40" ht="11.25" customHeight="1" x14ac:dyDescent="0.2">
      <c r="A19" s="34"/>
      <c r="B19" s="33" t="s">
        <v>29</v>
      </c>
      <c r="C19" s="36" t="s">
        <v>17</v>
      </c>
      <c r="D19" s="32"/>
      <c r="E19" s="32"/>
      <c r="F19" s="32"/>
      <c r="G19" s="88" t="s">
        <v>78</v>
      </c>
      <c r="H19" s="9"/>
      <c r="I19" s="44"/>
      <c r="J19" s="80"/>
      <c r="K19" s="80"/>
      <c r="L19" s="45"/>
      <c r="M19" s="45"/>
      <c r="N19" s="66"/>
      <c r="O19" s="66"/>
      <c r="P19" s="47">
        <f t="shared" si="0"/>
        <v>0</v>
      </c>
      <c r="Q19" s="44"/>
      <c r="R19" s="45"/>
      <c r="S19" s="45"/>
      <c r="T19" s="45"/>
      <c r="U19" s="45"/>
      <c r="V19" s="66"/>
      <c r="W19" s="66"/>
      <c r="X19" s="47">
        <f t="shared" si="1"/>
        <v>0</v>
      </c>
      <c r="Y19" s="44"/>
      <c r="Z19" s="45"/>
      <c r="AA19" s="45"/>
      <c r="AB19" s="45"/>
      <c r="AC19" s="45"/>
      <c r="AD19" s="66"/>
      <c r="AE19" s="66"/>
      <c r="AF19" s="47">
        <f t="shared" si="2"/>
        <v>0</v>
      </c>
      <c r="AG19" s="49">
        <f t="shared" si="3"/>
        <v>0</v>
      </c>
      <c r="AH19" s="45"/>
      <c r="AI19" s="45"/>
      <c r="AJ19" s="45"/>
      <c r="AK19" s="45"/>
      <c r="AL19" s="35">
        <f t="shared" si="4"/>
        <v>0</v>
      </c>
      <c r="AM19" s="35">
        <f t="shared" si="4"/>
        <v>0</v>
      </c>
      <c r="AN19" s="22">
        <f t="shared" si="4"/>
        <v>0</v>
      </c>
    </row>
    <row r="20" spans="1:40" ht="11.25" customHeight="1" x14ac:dyDescent="0.2">
      <c r="A20" s="34"/>
      <c r="B20" s="37" t="s">
        <v>30</v>
      </c>
      <c r="C20" s="38" t="s">
        <v>19</v>
      </c>
      <c r="D20" s="32"/>
      <c r="E20" s="32"/>
      <c r="F20" s="32"/>
      <c r="G20" s="88" t="s">
        <v>79</v>
      </c>
      <c r="H20" s="9"/>
      <c r="I20" s="44"/>
      <c r="J20" s="80"/>
      <c r="K20" s="80"/>
      <c r="L20" s="45"/>
      <c r="M20" s="45"/>
      <c r="N20" s="66"/>
      <c r="O20" s="66"/>
      <c r="P20" s="47">
        <f t="shared" si="0"/>
        <v>0</v>
      </c>
      <c r="Q20" s="44"/>
      <c r="R20" s="45"/>
      <c r="S20" s="45"/>
      <c r="T20" s="45"/>
      <c r="U20" s="45"/>
      <c r="V20" s="66"/>
      <c r="W20" s="66"/>
      <c r="X20" s="47">
        <f t="shared" si="1"/>
        <v>0</v>
      </c>
      <c r="Y20" s="44"/>
      <c r="Z20" s="45"/>
      <c r="AA20" s="45"/>
      <c r="AB20" s="45"/>
      <c r="AC20" s="45"/>
      <c r="AD20" s="66"/>
      <c r="AE20" s="66"/>
      <c r="AF20" s="47">
        <f t="shared" si="2"/>
        <v>0</v>
      </c>
      <c r="AG20" s="49">
        <f t="shared" si="3"/>
        <v>0</v>
      </c>
      <c r="AH20" s="45"/>
      <c r="AI20" s="45"/>
      <c r="AJ20" s="45"/>
      <c r="AK20" s="45"/>
      <c r="AL20" s="35">
        <f t="shared" si="4"/>
        <v>0</v>
      </c>
      <c r="AM20" s="35">
        <f t="shared" si="4"/>
        <v>0</v>
      </c>
      <c r="AN20" s="22">
        <f t="shared" si="4"/>
        <v>0</v>
      </c>
    </row>
    <row r="21" spans="1:40" ht="11.25" customHeight="1" x14ac:dyDescent="0.2">
      <c r="A21" s="34"/>
      <c r="B21" s="33" t="s">
        <v>31</v>
      </c>
      <c r="C21" s="36" t="s">
        <v>21</v>
      </c>
      <c r="D21" s="32"/>
      <c r="E21" s="32"/>
      <c r="F21" s="32"/>
      <c r="G21" s="88" t="s">
        <v>80</v>
      </c>
      <c r="H21" s="9"/>
      <c r="I21" s="44"/>
      <c r="J21" s="80"/>
      <c r="K21" s="80"/>
      <c r="L21" s="45"/>
      <c r="M21" s="45"/>
      <c r="N21" s="66"/>
      <c r="O21" s="66"/>
      <c r="P21" s="47">
        <f t="shared" si="0"/>
        <v>0</v>
      </c>
      <c r="Q21" s="44"/>
      <c r="R21" s="45"/>
      <c r="S21" s="45"/>
      <c r="T21" s="45"/>
      <c r="U21" s="45"/>
      <c r="V21" s="66"/>
      <c r="W21" s="66"/>
      <c r="X21" s="47">
        <f t="shared" si="1"/>
        <v>0</v>
      </c>
      <c r="Y21" s="44"/>
      <c r="Z21" s="45"/>
      <c r="AA21" s="45"/>
      <c r="AB21" s="45"/>
      <c r="AC21" s="45"/>
      <c r="AD21" s="66"/>
      <c r="AE21" s="66"/>
      <c r="AF21" s="47">
        <f t="shared" si="2"/>
        <v>0</v>
      </c>
      <c r="AG21" s="49">
        <f t="shared" si="3"/>
        <v>0</v>
      </c>
      <c r="AH21" s="45"/>
      <c r="AI21" s="45"/>
      <c r="AJ21" s="45"/>
      <c r="AK21" s="45"/>
      <c r="AL21" s="35">
        <f t="shared" si="4"/>
        <v>0</v>
      </c>
      <c r="AM21" s="35">
        <f t="shared" si="4"/>
        <v>0</v>
      </c>
      <c r="AN21" s="22">
        <f t="shared" si="4"/>
        <v>0</v>
      </c>
    </row>
    <row r="22" spans="1:40" ht="11.25" customHeight="1" x14ac:dyDescent="0.2">
      <c r="A22" s="34"/>
      <c r="B22" s="33" t="s">
        <v>32</v>
      </c>
      <c r="C22" s="36" t="s">
        <v>23</v>
      </c>
      <c r="D22" s="32"/>
      <c r="E22" s="32"/>
      <c r="F22" s="32"/>
      <c r="G22" s="88" t="s">
        <v>81</v>
      </c>
      <c r="H22" s="9"/>
      <c r="I22" s="44"/>
      <c r="J22" s="80"/>
      <c r="K22" s="80"/>
      <c r="L22" s="45"/>
      <c r="M22" s="45"/>
      <c r="N22" s="66"/>
      <c r="O22" s="66"/>
      <c r="P22" s="47">
        <f t="shared" si="0"/>
        <v>0</v>
      </c>
      <c r="Q22" s="44"/>
      <c r="R22" s="45"/>
      <c r="S22" s="45"/>
      <c r="T22" s="45"/>
      <c r="U22" s="45"/>
      <c r="V22" s="66"/>
      <c r="W22" s="66"/>
      <c r="X22" s="47">
        <f t="shared" si="1"/>
        <v>0</v>
      </c>
      <c r="Y22" s="44"/>
      <c r="Z22" s="45"/>
      <c r="AA22" s="45"/>
      <c r="AB22" s="45"/>
      <c r="AC22" s="45"/>
      <c r="AD22" s="66"/>
      <c r="AE22" s="66"/>
      <c r="AF22" s="47">
        <f t="shared" si="2"/>
        <v>0</v>
      </c>
      <c r="AG22" s="49">
        <f t="shared" si="3"/>
        <v>0</v>
      </c>
      <c r="AH22" s="45"/>
      <c r="AI22" s="45"/>
      <c r="AJ22" s="45"/>
      <c r="AK22" s="45"/>
      <c r="AL22" s="35">
        <f t="shared" si="4"/>
        <v>0</v>
      </c>
      <c r="AM22" s="35">
        <f t="shared" si="4"/>
        <v>0</v>
      </c>
      <c r="AN22" s="22">
        <f t="shared" si="4"/>
        <v>0</v>
      </c>
    </row>
    <row r="23" spans="1:40" ht="11.25" customHeight="1" x14ac:dyDescent="0.2">
      <c r="A23" s="34"/>
      <c r="B23" s="33" t="s">
        <v>33</v>
      </c>
      <c r="C23" s="36" t="s">
        <v>25</v>
      </c>
      <c r="D23" s="32"/>
      <c r="E23" s="32"/>
      <c r="F23" s="32"/>
      <c r="G23" s="88" t="s">
        <v>82</v>
      </c>
      <c r="H23" s="9"/>
      <c r="I23" s="44"/>
      <c r="J23" s="80"/>
      <c r="K23" s="80"/>
      <c r="L23" s="45"/>
      <c r="M23" s="45"/>
      <c r="N23" s="66"/>
      <c r="O23" s="66"/>
      <c r="P23" s="47">
        <f t="shared" si="0"/>
        <v>0</v>
      </c>
      <c r="Q23" s="44"/>
      <c r="R23" s="45"/>
      <c r="S23" s="45"/>
      <c r="T23" s="45"/>
      <c r="U23" s="45"/>
      <c r="V23" s="66"/>
      <c r="W23" s="66"/>
      <c r="X23" s="47">
        <f t="shared" si="1"/>
        <v>0</v>
      </c>
      <c r="Y23" s="44"/>
      <c r="Z23" s="45"/>
      <c r="AA23" s="45"/>
      <c r="AB23" s="45"/>
      <c r="AC23" s="45"/>
      <c r="AD23" s="66"/>
      <c r="AE23" s="66"/>
      <c r="AF23" s="47">
        <f t="shared" si="2"/>
        <v>0</v>
      </c>
      <c r="AG23" s="49">
        <f t="shared" si="3"/>
        <v>0</v>
      </c>
      <c r="AH23" s="45"/>
      <c r="AI23" s="45"/>
      <c r="AJ23" s="45"/>
      <c r="AK23" s="45"/>
      <c r="AL23" s="35">
        <f t="shared" si="4"/>
        <v>0</v>
      </c>
      <c r="AM23" s="35">
        <f t="shared" si="4"/>
        <v>0</v>
      </c>
      <c r="AN23" s="22">
        <f t="shared" si="4"/>
        <v>0</v>
      </c>
    </row>
    <row r="24" spans="1:40" ht="11.25" customHeight="1" x14ac:dyDescent="0.2">
      <c r="A24" s="30" t="s">
        <v>37</v>
      </c>
      <c r="B24" s="32" t="s">
        <v>35</v>
      </c>
      <c r="C24" s="39"/>
      <c r="D24" s="32"/>
      <c r="E24" s="32"/>
      <c r="F24" s="32"/>
      <c r="G24" s="88" t="s">
        <v>83</v>
      </c>
      <c r="H24" s="9"/>
      <c r="I24" s="49">
        <f xml:space="preserve"> (I25 + I26 + I27 + I28 + I29 + I30 + I31)</f>
        <v>0</v>
      </c>
      <c r="J24" s="50"/>
      <c r="K24" s="50"/>
      <c r="L24" s="50"/>
      <c r="M24" s="50"/>
      <c r="N24" s="49">
        <f xml:space="preserve"> (N25 + N26 + N27 + N28 + N29 + N30 + N31)</f>
        <v>0</v>
      </c>
      <c r="O24" s="49">
        <f xml:space="preserve"> (O25 + O26 + O27 + O28 + O29 + O30 + O31)</f>
        <v>0</v>
      </c>
      <c r="P24" s="47">
        <f t="shared" si="0"/>
        <v>0</v>
      </c>
      <c r="Q24" s="49">
        <f xml:space="preserve"> (Q25 + Q26 + Q27 + Q28 + Q29 + Q30 + Q31)</f>
        <v>0</v>
      </c>
      <c r="R24" s="50"/>
      <c r="S24" s="50"/>
      <c r="T24" s="50"/>
      <c r="U24" s="50"/>
      <c r="V24" s="49">
        <f xml:space="preserve"> (V25 + V26 + V27 + V28 + V29 + V30 + V31)</f>
        <v>0</v>
      </c>
      <c r="W24" s="49">
        <f xml:space="preserve"> (W25 + W26 + W27 + W28 + W29 + W30 + W31)</f>
        <v>0</v>
      </c>
      <c r="X24" s="47">
        <f t="shared" si="1"/>
        <v>0</v>
      </c>
      <c r="Y24" s="49">
        <f xml:space="preserve"> (Y25 + Y26 + Y27 + Y28 + Y29 + Y30 + Y31)</f>
        <v>0</v>
      </c>
      <c r="Z24" s="50"/>
      <c r="AA24" s="50"/>
      <c r="AB24" s="50"/>
      <c r="AC24" s="50"/>
      <c r="AD24" s="49">
        <f xml:space="preserve"> (AD25 + AD26 + AD27 + AD28 + AD29 + AD30 + AD31)</f>
        <v>0</v>
      </c>
      <c r="AE24" s="49">
        <f xml:space="preserve"> (AE25 + AE26 + AE27 + AE28 + AE29 + AE30 + AE31)</f>
        <v>0</v>
      </c>
      <c r="AF24" s="47">
        <f t="shared" si="2"/>
        <v>0</v>
      </c>
      <c r="AG24" s="49">
        <f t="shared" si="3"/>
        <v>0</v>
      </c>
      <c r="AH24" s="79"/>
      <c r="AI24" s="79"/>
      <c r="AJ24" s="79"/>
      <c r="AK24" s="79"/>
      <c r="AL24" s="35">
        <f t="shared" si="4"/>
        <v>0</v>
      </c>
      <c r="AM24" s="35">
        <f t="shared" si="4"/>
        <v>0</v>
      </c>
      <c r="AN24" s="22">
        <f t="shared" si="4"/>
        <v>0</v>
      </c>
    </row>
    <row r="25" spans="1:40" ht="11.25" customHeight="1" x14ac:dyDescent="0.2">
      <c r="A25" s="30"/>
      <c r="B25" s="33" t="s">
        <v>28</v>
      </c>
      <c r="C25" s="36" t="s">
        <v>15</v>
      </c>
      <c r="D25" s="32"/>
      <c r="E25" s="32"/>
      <c r="F25" s="32"/>
      <c r="G25" s="88" t="s">
        <v>84</v>
      </c>
      <c r="H25" s="9"/>
      <c r="I25" s="44"/>
      <c r="J25" s="80"/>
      <c r="K25" s="80"/>
      <c r="L25" s="45"/>
      <c r="M25" s="45"/>
      <c r="N25" s="66"/>
      <c r="O25" s="66"/>
      <c r="P25" s="47">
        <f t="shared" si="0"/>
        <v>0</v>
      </c>
      <c r="Q25" s="48"/>
      <c r="R25" s="45"/>
      <c r="S25" s="45"/>
      <c r="T25" s="45"/>
      <c r="U25" s="45"/>
      <c r="V25" s="66"/>
      <c r="W25" s="66"/>
      <c r="X25" s="47">
        <f t="shared" si="1"/>
        <v>0</v>
      </c>
      <c r="Y25" s="44"/>
      <c r="Z25" s="45"/>
      <c r="AA25" s="45"/>
      <c r="AB25" s="45"/>
      <c r="AC25" s="45"/>
      <c r="AD25" s="66"/>
      <c r="AE25" s="66"/>
      <c r="AF25" s="47">
        <f t="shared" si="2"/>
        <v>0</v>
      </c>
      <c r="AG25" s="49">
        <f t="shared" si="3"/>
        <v>0</v>
      </c>
      <c r="AH25" s="45"/>
      <c r="AI25" s="45"/>
      <c r="AJ25" s="45"/>
      <c r="AK25" s="45"/>
      <c r="AL25" s="35">
        <f t="shared" si="4"/>
        <v>0</v>
      </c>
      <c r="AM25" s="35">
        <f t="shared" si="4"/>
        <v>0</v>
      </c>
      <c r="AN25" s="22">
        <f t="shared" si="4"/>
        <v>0</v>
      </c>
    </row>
    <row r="26" spans="1:40" ht="11.25" customHeight="1" x14ac:dyDescent="0.2">
      <c r="A26" s="30"/>
      <c r="B26" s="33" t="s">
        <v>29</v>
      </c>
      <c r="C26" s="36" t="s">
        <v>17</v>
      </c>
      <c r="D26" s="32"/>
      <c r="E26" s="32"/>
      <c r="F26" s="32"/>
      <c r="G26" s="88" t="s">
        <v>85</v>
      </c>
      <c r="H26" s="9"/>
      <c r="I26" s="44"/>
      <c r="J26" s="80"/>
      <c r="K26" s="80"/>
      <c r="L26" s="45"/>
      <c r="M26" s="45"/>
      <c r="N26" s="66"/>
      <c r="O26" s="66"/>
      <c r="P26" s="47">
        <f t="shared" si="0"/>
        <v>0</v>
      </c>
      <c r="Q26" s="44"/>
      <c r="R26" s="45"/>
      <c r="S26" s="45"/>
      <c r="T26" s="45"/>
      <c r="U26" s="45"/>
      <c r="V26" s="66"/>
      <c r="W26" s="66"/>
      <c r="X26" s="47">
        <f t="shared" si="1"/>
        <v>0</v>
      </c>
      <c r="Y26" s="44"/>
      <c r="Z26" s="45"/>
      <c r="AA26" s="45"/>
      <c r="AB26" s="45"/>
      <c r="AC26" s="45"/>
      <c r="AD26" s="66"/>
      <c r="AE26" s="66"/>
      <c r="AF26" s="47">
        <f t="shared" si="2"/>
        <v>0</v>
      </c>
      <c r="AG26" s="49">
        <f t="shared" si="3"/>
        <v>0</v>
      </c>
      <c r="AH26" s="45"/>
      <c r="AI26" s="45"/>
      <c r="AJ26" s="45"/>
      <c r="AK26" s="45"/>
      <c r="AL26" s="35">
        <f t="shared" si="4"/>
        <v>0</v>
      </c>
      <c r="AM26" s="35">
        <f t="shared" si="4"/>
        <v>0</v>
      </c>
      <c r="AN26" s="22">
        <f t="shared" si="4"/>
        <v>0</v>
      </c>
    </row>
    <row r="27" spans="1:40" ht="11.25" customHeight="1" x14ac:dyDescent="0.2">
      <c r="A27" s="30"/>
      <c r="B27" s="33" t="s">
        <v>30</v>
      </c>
      <c r="C27" s="36" t="s">
        <v>19</v>
      </c>
      <c r="D27" s="32"/>
      <c r="E27" s="32"/>
      <c r="F27" s="32"/>
      <c r="G27" s="88" t="s">
        <v>86</v>
      </c>
      <c r="H27" s="9"/>
      <c r="I27" s="44"/>
      <c r="J27" s="80"/>
      <c r="K27" s="80"/>
      <c r="L27" s="45"/>
      <c r="M27" s="45"/>
      <c r="N27" s="66"/>
      <c r="O27" s="66"/>
      <c r="P27" s="47">
        <f t="shared" si="0"/>
        <v>0</v>
      </c>
      <c r="Q27" s="44"/>
      <c r="R27" s="45"/>
      <c r="S27" s="45"/>
      <c r="T27" s="45"/>
      <c r="U27" s="45"/>
      <c r="V27" s="66"/>
      <c r="W27" s="66"/>
      <c r="X27" s="47">
        <f t="shared" si="1"/>
        <v>0</v>
      </c>
      <c r="Y27" s="44"/>
      <c r="Z27" s="45"/>
      <c r="AA27" s="45"/>
      <c r="AB27" s="45"/>
      <c r="AC27" s="45"/>
      <c r="AD27" s="66"/>
      <c r="AE27" s="66"/>
      <c r="AF27" s="47">
        <f t="shared" si="2"/>
        <v>0</v>
      </c>
      <c r="AG27" s="49">
        <f t="shared" si="3"/>
        <v>0</v>
      </c>
      <c r="AH27" s="45"/>
      <c r="AI27" s="45"/>
      <c r="AJ27" s="45"/>
      <c r="AK27" s="45"/>
      <c r="AL27" s="35">
        <f t="shared" si="4"/>
        <v>0</v>
      </c>
      <c r="AM27" s="35">
        <f t="shared" si="4"/>
        <v>0</v>
      </c>
      <c r="AN27" s="22">
        <f t="shared" si="4"/>
        <v>0</v>
      </c>
    </row>
    <row r="28" spans="1:40" ht="11.25" customHeight="1" x14ac:dyDescent="0.2">
      <c r="A28" s="30"/>
      <c r="B28" s="33" t="s">
        <v>31</v>
      </c>
      <c r="C28" s="36" t="s">
        <v>21</v>
      </c>
      <c r="D28" s="32"/>
      <c r="E28" s="32"/>
      <c r="F28" s="32"/>
      <c r="G28" s="88" t="s">
        <v>87</v>
      </c>
      <c r="H28" s="9"/>
      <c r="I28" s="44"/>
      <c r="J28" s="80"/>
      <c r="K28" s="80"/>
      <c r="L28" s="45"/>
      <c r="M28" s="45"/>
      <c r="N28" s="66"/>
      <c r="O28" s="66"/>
      <c r="P28" s="47">
        <f t="shared" si="0"/>
        <v>0</v>
      </c>
      <c r="Q28" s="44"/>
      <c r="R28" s="45"/>
      <c r="S28" s="45"/>
      <c r="T28" s="45"/>
      <c r="U28" s="45"/>
      <c r="V28" s="66"/>
      <c r="W28" s="66"/>
      <c r="X28" s="47">
        <f t="shared" si="1"/>
        <v>0</v>
      </c>
      <c r="Y28" s="44"/>
      <c r="Z28" s="45"/>
      <c r="AA28" s="45"/>
      <c r="AB28" s="45"/>
      <c r="AC28" s="45"/>
      <c r="AD28" s="66"/>
      <c r="AE28" s="66"/>
      <c r="AF28" s="47">
        <f t="shared" si="2"/>
        <v>0</v>
      </c>
      <c r="AG28" s="49">
        <f t="shared" si="3"/>
        <v>0</v>
      </c>
      <c r="AH28" s="45"/>
      <c r="AI28" s="45"/>
      <c r="AJ28" s="45"/>
      <c r="AK28" s="45"/>
      <c r="AL28" s="35">
        <f t="shared" si="4"/>
        <v>0</v>
      </c>
      <c r="AM28" s="35">
        <f t="shared" si="4"/>
        <v>0</v>
      </c>
      <c r="AN28" s="22">
        <f t="shared" si="4"/>
        <v>0</v>
      </c>
    </row>
    <row r="29" spans="1:40" ht="11.25" customHeight="1" x14ac:dyDescent="0.2">
      <c r="A29" s="30"/>
      <c r="B29" s="33" t="s">
        <v>32</v>
      </c>
      <c r="C29" s="36" t="s">
        <v>23</v>
      </c>
      <c r="D29" s="32"/>
      <c r="E29" s="32"/>
      <c r="F29" s="32"/>
      <c r="G29" s="88" t="s">
        <v>88</v>
      </c>
      <c r="H29" s="9"/>
      <c r="I29" s="44"/>
      <c r="J29" s="80"/>
      <c r="K29" s="80"/>
      <c r="L29" s="45"/>
      <c r="M29" s="45"/>
      <c r="N29" s="66"/>
      <c r="O29" s="66"/>
      <c r="P29" s="47">
        <f t="shared" si="0"/>
        <v>0</v>
      </c>
      <c r="Q29" s="44"/>
      <c r="R29" s="45"/>
      <c r="S29" s="45"/>
      <c r="T29" s="45"/>
      <c r="U29" s="45"/>
      <c r="V29" s="66"/>
      <c r="W29" s="66"/>
      <c r="X29" s="47">
        <f t="shared" si="1"/>
        <v>0</v>
      </c>
      <c r="Y29" s="44"/>
      <c r="Z29" s="45"/>
      <c r="AA29" s="45"/>
      <c r="AB29" s="45"/>
      <c r="AC29" s="45"/>
      <c r="AD29" s="66"/>
      <c r="AE29" s="66"/>
      <c r="AF29" s="47">
        <f t="shared" si="2"/>
        <v>0</v>
      </c>
      <c r="AG29" s="49">
        <f t="shared" si="3"/>
        <v>0</v>
      </c>
      <c r="AH29" s="45"/>
      <c r="AI29" s="45"/>
      <c r="AJ29" s="45"/>
      <c r="AK29" s="45"/>
      <c r="AL29" s="35">
        <f t="shared" si="4"/>
        <v>0</v>
      </c>
      <c r="AM29" s="35">
        <f t="shared" si="4"/>
        <v>0</v>
      </c>
      <c r="AN29" s="22">
        <f t="shared" si="4"/>
        <v>0</v>
      </c>
    </row>
    <row r="30" spans="1:40" ht="11.25" customHeight="1" x14ac:dyDescent="0.2">
      <c r="A30" s="30"/>
      <c r="B30" s="40" t="s">
        <v>33</v>
      </c>
      <c r="C30" s="40" t="s">
        <v>25</v>
      </c>
      <c r="D30" s="32"/>
      <c r="E30" s="32"/>
      <c r="F30" s="32"/>
      <c r="G30" s="88" t="s">
        <v>89</v>
      </c>
      <c r="H30" s="9"/>
      <c r="I30" s="44"/>
      <c r="J30" s="80"/>
      <c r="K30" s="80"/>
      <c r="L30" s="45"/>
      <c r="M30" s="45"/>
      <c r="N30" s="66"/>
      <c r="O30" s="66"/>
      <c r="P30" s="47">
        <f t="shared" si="0"/>
        <v>0</v>
      </c>
      <c r="Q30" s="44"/>
      <c r="R30" s="45"/>
      <c r="S30" s="45"/>
      <c r="T30" s="45"/>
      <c r="U30" s="45"/>
      <c r="V30" s="66"/>
      <c r="W30" s="66"/>
      <c r="X30" s="47">
        <f t="shared" si="1"/>
        <v>0</v>
      </c>
      <c r="Y30" s="44"/>
      <c r="Z30" s="45"/>
      <c r="AA30" s="45"/>
      <c r="AB30" s="45"/>
      <c r="AC30" s="45"/>
      <c r="AD30" s="66"/>
      <c r="AE30" s="66"/>
      <c r="AF30" s="47">
        <f t="shared" si="2"/>
        <v>0</v>
      </c>
      <c r="AG30" s="49">
        <f t="shared" si="3"/>
        <v>0</v>
      </c>
      <c r="AH30" s="45"/>
      <c r="AI30" s="45"/>
      <c r="AJ30" s="45"/>
      <c r="AK30" s="45"/>
      <c r="AL30" s="35">
        <f t="shared" si="4"/>
        <v>0</v>
      </c>
      <c r="AM30" s="35">
        <f t="shared" si="4"/>
        <v>0</v>
      </c>
      <c r="AN30" s="22">
        <f t="shared" si="4"/>
        <v>0</v>
      </c>
    </row>
    <row r="31" spans="1:40" ht="22.5" customHeight="1" x14ac:dyDescent="0.2">
      <c r="A31" s="30"/>
      <c r="B31" s="40" t="s">
        <v>36</v>
      </c>
      <c r="C31" s="136" t="s">
        <v>27</v>
      </c>
      <c r="D31" s="136"/>
      <c r="E31" s="29"/>
      <c r="F31" s="29"/>
      <c r="G31" s="89" t="s">
        <v>90</v>
      </c>
      <c r="H31" s="9"/>
      <c r="I31" s="81">
        <f xml:space="preserve"> (I32 + I33 + I34 + I35 + I36 + I37)</f>
        <v>0</v>
      </c>
      <c r="J31" s="82"/>
      <c r="K31" s="82"/>
      <c r="L31" s="82"/>
      <c r="M31" s="82"/>
      <c r="N31" s="81">
        <f xml:space="preserve"> (N32 + N33 + N34 + N35 + N36 + N37)</f>
        <v>0</v>
      </c>
      <c r="O31" s="81">
        <f xml:space="preserve"> (O32 + O33 + O34 + O35 + O36 + O37)</f>
        <v>0</v>
      </c>
      <c r="P31" s="47">
        <f t="shared" si="0"/>
        <v>0</v>
      </c>
      <c r="Q31" s="81">
        <f xml:space="preserve"> (Q32 + Q33 + Q34 + Q35 + Q36 + Q37)</f>
        <v>0</v>
      </c>
      <c r="R31" s="82"/>
      <c r="S31" s="82"/>
      <c r="T31" s="82"/>
      <c r="U31" s="82"/>
      <c r="V31" s="81">
        <f xml:space="preserve"> (V32 + V33 + V34 + V35 + V36 + V37)</f>
        <v>0</v>
      </c>
      <c r="W31" s="81">
        <f xml:space="preserve"> (W32 + W33 + W34 + W35 + W36 + W37)</f>
        <v>0</v>
      </c>
      <c r="X31" s="47">
        <f t="shared" si="1"/>
        <v>0</v>
      </c>
      <c r="Y31" s="81">
        <f xml:space="preserve"> (Y32 + Y33 + Y34 + Y35 + Y36 + Y37)</f>
        <v>0</v>
      </c>
      <c r="Z31" s="82"/>
      <c r="AA31" s="82"/>
      <c r="AB31" s="82"/>
      <c r="AC31" s="82"/>
      <c r="AD31" s="81">
        <f xml:space="preserve"> (AD32 + AD33 + AD34 + AD35 + AD36 + AD37)</f>
        <v>0</v>
      </c>
      <c r="AE31" s="81">
        <f xml:space="preserve"> (AE32 + AE33 + AE34 + AE35 + AE36 + AE37)</f>
        <v>0</v>
      </c>
      <c r="AF31" s="47">
        <f t="shared" si="2"/>
        <v>0</v>
      </c>
      <c r="AG31" s="49">
        <f t="shared" si="3"/>
        <v>0</v>
      </c>
      <c r="AH31" s="79"/>
      <c r="AI31" s="79"/>
      <c r="AJ31" s="79"/>
      <c r="AK31" s="79"/>
      <c r="AL31" s="35">
        <f t="shared" si="4"/>
        <v>0</v>
      </c>
      <c r="AM31" s="35">
        <f t="shared" si="4"/>
        <v>0</v>
      </c>
      <c r="AN31" s="22">
        <f t="shared" si="4"/>
        <v>0</v>
      </c>
    </row>
    <row r="32" spans="1:40" ht="11.25" customHeight="1" x14ac:dyDescent="0.2">
      <c r="A32" s="30"/>
      <c r="B32" s="37"/>
      <c r="C32" s="37" t="s">
        <v>14</v>
      </c>
      <c r="D32" s="41" t="s">
        <v>15</v>
      </c>
      <c r="E32" s="41"/>
      <c r="F32" s="41"/>
      <c r="G32" s="89" t="s">
        <v>91</v>
      </c>
      <c r="H32" s="9"/>
      <c r="I32" s="83"/>
      <c r="J32" s="80"/>
      <c r="K32" s="80"/>
      <c r="L32" s="45"/>
      <c r="M32" s="45"/>
      <c r="N32" s="66"/>
      <c r="O32" s="66"/>
      <c r="P32" s="47">
        <f t="shared" si="0"/>
        <v>0</v>
      </c>
      <c r="Q32" s="48"/>
      <c r="R32" s="45"/>
      <c r="S32" s="45"/>
      <c r="T32" s="45"/>
      <c r="U32" s="45"/>
      <c r="V32" s="66"/>
      <c r="W32" s="66"/>
      <c r="X32" s="47">
        <f t="shared" si="1"/>
        <v>0</v>
      </c>
      <c r="Y32" s="83"/>
      <c r="Z32" s="45"/>
      <c r="AA32" s="45"/>
      <c r="AB32" s="45"/>
      <c r="AC32" s="45"/>
      <c r="AD32" s="66"/>
      <c r="AE32" s="66"/>
      <c r="AF32" s="47">
        <f t="shared" si="2"/>
        <v>0</v>
      </c>
      <c r="AG32" s="49">
        <f t="shared" si="3"/>
        <v>0</v>
      </c>
      <c r="AH32" s="45"/>
      <c r="AI32" s="45"/>
      <c r="AJ32" s="45"/>
      <c r="AK32" s="45"/>
      <c r="AL32" s="35">
        <f t="shared" si="4"/>
        <v>0</v>
      </c>
      <c r="AM32" s="35">
        <f t="shared" si="4"/>
        <v>0</v>
      </c>
      <c r="AN32" s="22">
        <f t="shared" si="4"/>
        <v>0</v>
      </c>
    </row>
    <row r="33" spans="1:40" ht="11.25" customHeight="1" x14ac:dyDescent="0.2">
      <c r="A33" s="30"/>
      <c r="B33" s="37"/>
      <c r="C33" s="37" t="s">
        <v>16</v>
      </c>
      <c r="D33" s="32" t="s">
        <v>17</v>
      </c>
      <c r="E33" s="32"/>
      <c r="F33" s="32"/>
      <c r="G33" s="88" t="s">
        <v>92</v>
      </c>
      <c r="H33" s="9"/>
      <c r="I33" s="44"/>
      <c r="J33" s="80"/>
      <c r="K33" s="80"/>
      <c r="L33" s="45"/>
      <c r="M33" s="45"/>
      <c r="N33" s="66"/>
      <c r="O33" s="66"/>
      <c r="P33" s="47">
        <f t="shared" si="0"/>
        <v>0</v>
      </c>
      <c r="Q33" s="44"/>
      <c r="R33" s="45"/>
      <c r="S33" s="45"/>
      <c r="T33" s="45"/>
      <c r="U33" s="45"/>
      <c r="V33" s="66"/>
      <c r="W33" s="66"/>
      <c r="X33" s="47">
        <f t="shared" si="1"/>
        <v>0</v>
      </c>
      <c r="Y33" s="44"/>
      <c r="Z33" s="45"/>
      <c r="AA33" s="45"/>
      <c r="AB33" s="45"/>
      <c r="AC33" s="45"/>
      <c r="AD33" s="66"/>
      <c r="AE33" s="66"/>
      <c r="AF33" s="47">
        <f t="shared" si="2"/>
        <v>0</v>
      </c>
      <c r="AG33" s="49">
        <f t="shared" si="3"/>
        <v>0</v>
      </c>
      <c r="AH33" s="45"/>
      <c r="AI33" s="45"/>
      <c r="AJ33" s="45"/>
      <c r="AK33" s="45"/>
      <c r="AL33" s="35">
        <f t="shared" si="4"/>
        <v>0</v>
      </c>
      <c r="AM33" s="35">
        <f t="shared" si="4"/>
        <v>0</v>
      </c>
      <c r="AN33" s="22">
        <f t="shared" si="4"/>
        <v>0</v>
      </c>
    </row>
    <row r="34" spans="1:40" ht="11.25" customHeight="1" x14ac:dyDescent="0.2">
      <c r="A34" s="30"/>
      <c r="B34" s="37"/>
      <c r="C34" s="37" t="s">
        <v>18</v>
      </c>
      <c r="D34" s="32" t="s">
        <v>19</v>
      </c>
      <c r="E34" s="32"/>
      <c r="F34" s="32"/>
      <c r="G34" s="88" t="s">
        <v>93</v>
      </c>
      <c r="H34" s="9"/>
      <c r="I34" s="44"/>
      <c r="J34" s="80"/>
      <c r="K34" s="80"/>
      <c r="L34" s="45"/>
      <c r="M34" s="45"/>
      <c r="N34" s="66"/>
      <c r="O34" s="66"/>
      <c r="P34" s="47">
        <f t="shared" si="0"/>
        <v>0</v>
      </c>
      <c r="Q34" s="44"/>
      <c r="R34" s="45"/>
      <c r="S34" s="45"/>
      <c r="T34" s="45"/>
      <c r="U34" s="45"/>
      <c r="V34" s="66"/>
      <c r="W34" s="66"/>
      <c r="X34" s="47">
        <f t="shared" si="1"/>
        <v>0</v>
      </c>
      <c r="Y34" s="44"/>
      <c r="Z34" s="45"/>
      <c r="AA34" s="45"/>
      <c r="AB34" s="45"/>
      <c r="AC34" s="45"/>
      <c r="AD34" s="66"/>
      <c r="AE34" s="66"/>
      <c r="AF34" s="47">
        <f t="shared" si="2"/>
        <v>0</v>
      </c>
      <c r="AG34" s="49">
        <f t="shared" si="3"/>
        <v>0</v>
      </c>
      <c r="AH34" s="45"/>
      <c r="AI34" s="45"/>
      <c r="AJ34" s="45"/>
      <c r="AK34" s="45"/>
      <c r="AL34" s="35">
        <f t="shared" si="4"/>
        <v>0</v>
      </c>
      <c r="AM34" s="35">
        <f t="shared" si="4"/>
        <v>0</v>
      </c>
      <c r="AN34" s="22">
        <f t="shared" si="4"/>
        <v>0</v>
      </c>
    </row>
    <row r="35" spans="1:40" ht="11.25" customHeight="1" x14ac:dyDescent="0.2">
      <c r="A35" s="30"/>
      <c r="B35" s="37"/>
      <c r="C35" s="37" t="s">
        <v>20</v>
      </c>
      <c r="D35" s="32" t="s">
        <v>21</v>
      </c>
      <c r="E35" s="32"/>
      <c r="F35" s="32"/>
      <c r="G35" s="88" t="s">
        <v>94</v>
      </c>
      <c r="H35" s="9"/>
      <c r="I35" s="44"/>
      <c r="J35" s="80"/>
      <c r="K35" s="80"/>
      <c r="L35" s="45"/>
      <c r="M35" s="45"/>
      <c r="N35" s="66"/>
      <c r="O35" s="66"/>
      <c r="P35" s="47">
        <f t="shared" si="0"/>
        <v>0</v>
      </c>
      <c r="Q35" s="44"/>
      <c r="R35" s="45"/>
      <c r="S35" s="45"/>
      <c r="T35" s="45"/>
      <c r="U35" s="45"/>
      <c r="V35" s="66"/>
      <c r="W35" s="66"/>
      <c r="X35" s="47">
        <f t="shared" si="1"/>
        <v>0</v>
      </c>
      <c r="Y35" s="44"/>
      <c r="Z35" s="45"/>
      <c r="AA35" s="45"/>
      <c r="AB35" s="45"/>
      <c r="AC35" s="45"/>
      <c r="AD35" s="66"/>
      <c r="AE35" s="66"/>
      <c r="AF35" s="47">
        <f t="shared" si="2"/>
        <v>0</v>
      </c>
      <c r="AG35" s="49">
        <f t="shared" si="3"/>
        <v>0</v>
      </c>
      <c r="AH35" s="45"/>
      <c r="AI35" s="45"/>
      <c r="AJ35" s="45"/>
      <c r="AK35" s="45"/>
      <c r="AL35" s="35">
        <f t="shared" si="4"/>
        <v>0</v>
      </c>
      <c r="AM35" s="35">
        <f t="shared" si="4"/>
        <v>0</v>
      </c>
      <c r="AN35" s="22">
        <f t="shared" si="4"/>
        <v>0</v>
      </c>
    </row>
    <row r="36" spans="1:40" ht="11.25" customHeight="1" x14ac:dyDescent="0.2">
      <c r="A36" s="30"/>
      <c r="B36" s="37"/>
      <c r="C36" s="37" t="s">
        <v>22</v>
      </c>
      <c r="D36" s="32" t="s">
        <v>23</v>
      </c>
      <c r="E36" s="32"/>
      <c r="F36" s="32"/>
      <c r="G36" s="88" t="s">
        <v>95</v>
      </c>
      <c r="H36" s="9"/>
      <c r="I36" s="44"/>
      <c r="J36" s="80"/>
      <c r="K36" s="80"/>
      <c r="L36" s="45"/>
      <c r="M36" s="45"/>
      <c r="N36" s="66"/>
      <c r="O36" s="66"/>
      <c r="P36" s="47">
        <f t="shared" si="0"/>
        <v>0</v>
      </c>
      <c r="Q36" s="44"/>
      <c r="R36" s="45"/>
      <c r="S36" s="45"/>
      <c r="T36" s="45"/>
      <c r="U36" s="45"/>
      <c r="V36" s="66"/>
      <c r="W36" s="66"/>
      <c r="X36" s="47">
        <f t="shared" si="1"/>
        <v>0</v>
      </c>
      <c r="Y36" s="44"/>
      <c r="Z36" s="45"/>
      <c r="AA36" s="45"/>
      <c r="AB36" s="45"/>
      <c r="AC36" s="45"/>
      <c r="AD36" s="66"/>
      <c r="AE36" s="66"/>
      <c r="AF36" s="47">
        <f t="shared" si="2"/>
        <v>0</v>
      </c>
      <c r="AG36" s="49">
        <f t="shared" si="3"/>
        <v>0</v>
      </c>
      <c r="AH36" s="45"/>
      <c r="AI36" s="45"/>
      <c r="AJ36" s="45"/>
      <c r="AK36" s="45"/>
      <c r="AL36" s="35">
        <f t="shared" si="4"/>
        <v>0</v>
      </c>
      <c r="AM36" s="35">
        <f t="shared" si="4"/>
        <v>0</v>
      </c>
      <c r="AN36" s="22">
        <f t="shared" si="4"/>
        <v>0</v>
      </c>
    </row>
    <row r="37" spans="1:40" ht="11.25" customHeight="1" x14ac:dyDescent="0.2">
      <c r="A37" s="30"/>
      <c r="B37" s="37"/>
      <c r="C37" s="37" t="s">
        <v>24</v>
      </c>
      <c r="D37" s="32" t="s">
        <v>25</v>
      </c>
      <c r="E37" s="32"/>
      <c r="F37" s="32"/>
      <c r="G37" s="88" t="s">
        <v>96</v>
      </c>
      <c r="H37" s="9"/>
      <c r="I37" s="44"/>
      <c r="J37" s="80"/>
      <c r="K37" s="80"/>
      <c r="L37" s="45"/>
      <c r="M37" s="45"/>
      <c r="N37" s="66"/>
      <c r="O37" s="66"/>
      <c r="P37" s="47">
        <f t="shared" si="0"/>
        <v>0</v>
      </c>
      <c r="Q37" s="44"/>
      <c r="R37" s="45"/>
      <c r="S37" s="45"/>
      <c r="T37" s="45"/>
      <c r="U37" s="45"/>
      <c r="V37" s="66"/>
      <c r="W37" s="66"/>
      <c r="X37" s="47">
        <f t="shared" si="1"/>
        <v>0</v>
      </c>
      <c r="Y37" s="44"/>
      <c r="Z37" s="45"/>
      <c r="AA37" s="45"/>
      <c r="AB37" s="45"/>
      <c r="AC37" s="45"/>
      <c r="AD37" s="66"/>
      <c r="AE37" s="66"/>
      <c r="AF37" s="47">
        <f t="shared" si="2"/>
        <v>0</v>
      </c>
      <c r="AG37" s="49">
        <f t="shared" si="3"/>
        <v>0</v>
      </c>
      <c r="AH37" s="45"/>
      <c r="AI37" s="45"/>
      <c r="AJ37" s="45"/>
      <c r="AK37" s="45"/>
      <c r="AL37" s="35">
        <f t="shared" si="4"/>
        <v>0</v>
      </c>
      <c r="AM37" s="35">
        <f t="shared" si="4"/>
        <v>0</v>
      </c>
      <c r="AN37" s="22">
        <f t="shared" si="4"/>
        <v>0</v>
      </c>
    </row>
    <row r="38" spans="1:40" ht="11.25" customHeight="1" x14ac:dyDescent="0.2">
      <c r="A38" s="30" t="s">
        <v>56</v>
      </c>
      <c r="B38" s="135" t="s">
        <v>38</v>
      </c>
      <c r="C38" s="135"/>
      <c r="D38" s="135"/>
      <c r="E38" s="33"/>
      <c r="F38" s="33"/>
      <c r="G38" s="90" t="s">
        <v>97</v>
      </c>
      <c r="H38" s="32"/>
      <c r="I38" s="44"/>
      <c r="J38" s="80"/>
      <c r="K38" s="80"/>
      <c r="L38" s="45"/>
      <c r="M38" s="45"/>
      <c r="N38" s="66"/>
      <c r="O38" s="66"/>
      <c r="P38" s="47">
        <f t="shared" si="0"/>
        <v>0</v>
      </c>
      <c r="Q38" s="44"/>
      <c r="R38" s="45"/>
      <c r="S38" s="45"/>
      <c r="T38" s="45"/>
      <c r="U38" s="45"/>
      <c r="V38" s="66"/>
      <c r="W38" s="66"/>
      <c r="X38" s="47">
        <f t="shared" si="1"/>
        <v>0</v>
      </c>
      <c r="Y38" s="44"/>
      <c r="Z38" s="45"/>
      <c r="AA38" s="45"/>
      <c r="AB38" s="45"/>
      <c r="AC38" s="45"/>
      <c r="AD38" s="66"/>
      <c r="AE38" s="66"/>
      <c r="AF38" s="47">
        <f t="shared" si="2"/>
        <v>0</v>
      </c>
      <c r="AG38" s="49">
        <f t="shared" si="3"/>
        <v>0</v>
      </c>
      <c r="AH38" s="45"/>
      <c r="AI38" s="45"/>
      <c r="AJ38" s="45"/>
      <c r="AK38" s="45"/>
      <c r="AL38" s="35">
        <f t="shared" si="4"/>
        <v>0</v>
      </c>
      <c r="AM38" s="35">
        <f t="shared" si="4"/>
        <v>0</v>
      </c>
      <c r="AN38" s="22">
        <f t="shared" si="4"/>
        <v>0</v>
      </c>
    </row>
    <row r="39" spans="1:40" ht="11.25" customHeight="1" x14ac:dyDescent="0.2">
      <c r="A39" s="42" t="s">
        <v>146</v>
      </c>
      <c r="B39" s="37"/>
      <c r="C39" s="37"/>
      <c r="D39" s="32"/>
      <c r="E39" s="32"/>
      <c r="F39" s="32"/>
      <c r="G39" s="88" t="s">
        <v>98</v>
      </c>
      <c r="H39" s="9"/>
      <c r="I39" s="84">
        <f xml:space="preserve"> (I10 + I11 + I12 + I13 + I14 + I15 + I16 + I17 + I24 + I38)</f>
        <v>0</v>
      </c>
      <c r="J39" s="85"/>
      <c r="K39" s="85"/>
      <c r="L39" s="85"/>
      <c r="M39" s="85"/>
      <c r="N39" s="84">
        <f xml:space="preserve"> (N10 + N11 + N12 + N13 + N14 + N15 + N16 + N17 + N24 + N38)</f>
        <v>0</v>
      </c>
      <c r="O39" s="84">
        <f xml:space="preserve"> (O10 + O11 + O12 + O13 + O14 + O15 + O16 + O17 + O24 + O38)</f>
        <v>0</v>
      </c>
      <c r="P39" s="47">
        <f t="shared" si="0"/>
        <v>0</v>
      </c>
      <c r="Q39" s="86">
        <f xml:space="preserve"> (Q10 + Q11 + Q12 + Q13 + Q14 + Q15 + Q16 + Q17 + Q24 + Q38)</f>
        <v>0</v>
      </c>
      <c r="R39" s="87"/>
      <c r="S39" s="87"/>
      <c r="T39" s="87"/>
      <c r="U39" s="87"/>
      <c r="V39" s="86">
        <f xml:space="preserve"> (V10 + V11 + V12 + V13 + V14 + V15 + V16 + V17 + V24 + V38)</f>
        <v>0</v>
      </c>
      <c r="W39" s="86">
        <f xml:space="preserve"> (W10 + W11 + W12 + W13 + W14 + W15 + W16 + W17 + W24 + W38)</f>
        <v>0</v>
      </c>
      <c r="X39" s="47">
        <f t="shared" si="1"/>
        <v>0</v>
      </c>
      <c r="Y39" s="86">
        <f xml:space="preserve"> (Y10 + Y11 + Y12 + Y13 + Y14 + Y15 + Y16 + Y17 + Y24 + Y38)</f>
        <v>0</v>
      </c>
      <c r="Z39" s="87"/>
      <c r="AA39" s="87"/>
      <c r="AB39" s="87"/>
      <c r="AC39" s="87"/>
      <c r="AD39" s="86">
        <f xml:space="preserve"> (AD10 + AD11 + AD12 + AD13 + AD14 + AD15 + AD16 + AD17 + AD24 + AD38)</f>
        <v>0</v>
      </c>
      <c r="AE39" s="86">
        <f xml:space="preserve"> (AE10 + AE11 + AE12 + AE13 + AE14 + AE15 + AE16 + AE17 + AE24 + AE38)</f>
        <v>0</v>
      </c>
      <c r="AF39" s="47">
        <f t="shared" si="2"/>
        <v>0</v>
      </c>
      <c r="AG39" s="49">
        <f t="shared" si="3"/>
        <v>0</v>
      </c>
      <c r="AH39" s="87"/>
      <c r="AI39" s="87"/>
      <c r="AJ39" s="87"/>
      <c r="AK39" s="87"/>
      <c r="AL39" s="35">
        <f>N39-V39-AD39</f>
        <v>0</v>
      </c>
      <c r="AM39" s="35">
        <f>O39-W39-AE39</f>
        <v>0</v>
      </c>
      <c r="AN39" s="22">
        <f>P39-X39-AF39</f>
        <v>0</v>
      </c>
    </row>
    <row r="40" spans="1:40" x14ac:dyDescent="0.2">
      <c r="G40" s="10" t="s">
        <v>99</v>
      </c>
    </row>
  </sheetData>
  <sheetProtection password="99D8" sheet="1" objects="1" scenarios="1" selectLockedCells="1"/>
  <mergeCells count="37">
    <mergeCell ref="Y7:AF7"/>
    <mergeCell ref="AG7:AN7"/>
    <mergeCell ref="I8:I9"/>
    <mergeCell ref="A1:AN1"/>
    <mergeCell ref="A2:AT2"/>
    <mergeCell ref="A3:AT3"/>
    <mergeCell ref="A4:AT4"/>
    <mergeCell ref="L8:M8"/>
    <mergeCell ref="N8:O8"/>
    <mergeCell ref="P8:P9"/>
    <mergeCell ref="A5:AT5"/>
    <mergeCell ref="A6:AT6"/>
    <mergeCell ref="A7:D9"/>
    <mergeCell ref="G7:G9"/>
    <mergeCell ref="H7:H9"/>
    <mergeCell ref="I7:P7"/>
    <mergeCell ref="Q7:X7"/>
    <mergeCell ref="AL8:AM8"/>
    <mergeCell ref="AN8:AN9"/>
    <mergeCell ref="AH8:AI8"/>
    <mergeCell ref="B16:D16"/>
    <mergeCell ref="AD8:AE8"/>
    <mergeCell ref="AF8:AF9"/>
    <mergeCell ref="AG8:AG9"/>
    <mergeCell ref="X8:X9"/>
    <mergeCell ref="Y8:Y9"/>
    <mergeCell ref="Z8:AA8"/>
    <mergeCell ref="B17:D17"/>
    <mergeCell ref="C31:D31"/>
    <mergeCell ref="B38:D38"/>
    <mergeCell ref="AJ8:AK8"/>
    <mergeCell ref="AB8:AC8"/>
    <mergeCell ref="Q8:Q9"/>
    <mergeCell ref="R8:S8"/>
    <mergeCell ref="T8:U8"/>
    <mergeCell ref="V8:W8"/>
    <mergeCell ref="J8:K8"/>
  </mergeCells>
  <phoneticPr fontId="1" type="noConversion"/>
  <dataValidations count="2">
    <dataValidation type="decimal" operator="greaterThanOrEqual" allowBlank="1" showInputMessage="1" showErrorMessage="1" errorTitle="Invalid Entry" error="The value you entered is not valid." sqref="Q11:Q16 Y10:Y16 I32:I38 I18:I23 Q19:Q23 Y18:Y23 Q33:Q38 I25:I30 Q26:Q30 Y25:Y30 Y32:Y38 AH10:AM10 I10:I15 AG10:AG39 AL11:AM39">
      <formula1>0</formula1>
    </dataValidation>
    <dataValidation allowBlank="1" showInputMessage="1" showErrorMessage="1" sqref="J10:Q10 Z32:AF38 I31:AF31 J32:Q32 J25:Q25 J18:Q18 J33:P38 R10:X15 J19:P23 J26:P30 J11:P15 R32:X38 I24:AF24 I39:AF39 Z10:AF16 R18:X23 R25:X30 Z18:AF23 Z25:AF30 V17:AF17 AN10:AN39 I16:M17 N16:P16 N17:Q17 R16:U17 AH11:AK39 V16:X16"/>
  </dataValidations>
  <pageMargins left="0.25" right="0.25" top="1" bottom="0.5" header="0.5" footer="0.5"/>
  <pageSetup paperSize="9" orientation="landscape" r:id="rId1"/>
  <headerFooter alignWithMargins="0">
    <oddHeader>&amp;R&amp;"Arial,Bold"&amp;9&amp;USchedule 16&amp;U
  &amp;P of &amp;N&amp;C&amp;"Arial,Bold"&amp;8 MAXIMUM SAVINGS BANK, INC.  [ 03-070011 ]
 As of: June 30, 2019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27"/>
  <sheetViews>
    <sheetView view="pageBreakPreview" zoomScaleNormal="75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x14ac:dyDescent="0.2"/>
  <cols>
    <col min="1" max="1" width="3.42578125" style="2" customWidth="1"/>
    <col min="2" max="2" width="3.140625" style="2" customWidth="1"/>
    <col min="3" max="3" width="3" style="2" customWidth="1"/>
    <col min="4" max="4" width="33.140625" style="2" customWidth="1"/>
    <col min="5" max="5" width="4.42578125" style="2" hidden="1" customWidth="1"/>
    <col min="6" max="6" width="4.85546875" style="2" hidden="1" customWidth="1"/>
    <col min="7" max="7" width="16.5703125" style="2" customWidth="1"/>
    <col min="8" max="8" width="5.85546875" style="2" customWidth="1"/>
    <col min="9" max="9" width="18.7109375" style="2" customWidth="1"/>
    <col min="10" max="10" width="15.85546875" style="2" customWidth="1"/>
    <col min="11" max="11" width="18.7109375" style="2" customWidth="1"/>
    <col min="12" max="12" width="15.7109375" style="2" customWidth="1"/>
    <col min="13" max="13" width="18.7109375" style="2" customWidth="1"/>
    <col min="14" max="15" width="18.7109375" style="2" hidden="1" customWidth="1"/>
    <col min="16" max="16" width="20.7109375" style="2" customWidth="1"/>
    <col min="17" max="17" width="18.7109375" style="2" customWidth="1"/>
    <col min="18" max="18" width="15.85546875" style="2" customWidth="1"/>
    <col min="19" max="19" width="18.7109375" style="2" customWidth="1"/>
    <col min="20" max="20" width="15.7109375" style="2" customWidth="1"/>
    <col min="21" max="21" width="18.7109375" style="2" customWidth="1"/>
    <col min="22" max="23" width="18.7109375" style="2" hidden="1" customWidth="1"/>
    <col min="24" max="24" width="20.7109375" style="2" customWidth="1"/>
    <col min="25" max="25" width="18.7109375" style="2" customWidth="1"/>
    <col min="26" max="26" width="15.85546875" style="2" customWidth="1"/>
    <col min="27" max="27" width="18.7109375" style="2" customWidth="1"/>
    <col min="28" max="28" width="15.7109375" style="2" customWidth="1"/>
    <col min="29" max="29" width="18.7109375" style="2" customWidth="1"/>
    <col min="30" max="31" width="18.7109375" style="2" hidden="1" customWidth="1"/>
    <col min="32" max="32" width="20.7109375" style="2" customWidth="1"/>
    <col min="33" max="33" width="18.7109375" style="2" customWidth="1"/>
    <col min="34" max="34" width="15.7109375" style="2" customWidth="1"/>
    <col min="35" max="35" width="18.7109375" style="2" customWidth="1"/>
    <col min="36" max="36" width="15.7109375" style="2" customWidth="1"/>
    <col min="37" max="37" width="18.7109375" style="2" customWidth="1"/>
    <col min="38" max="39" width="18.7109375" style="2" hidden="1" customWidth="1"/>
    <col min="40" max="40" width="20.7109375" style="2" customWidth="1"/>
    <col min="41" max="41" width="18.7109375" style="2" customWidth="1"/>
    <col min="42" max="42" width="15.7109375" style="2" customWidth="1"/>
    <col min="43" max="43" width="18.7109375" style="2" customWidth="1"/>
    <col min="44" max="44" width="15.7109375" style="2" customWidth="1"/>
    <col min="45" max="45" width="18.7109375" style="2" customWidth="1"/>
    <col min="46" max="47" width="18.7109375" style="2" hidden="1" customWidth="1"/>
    <col min="48" max="48" width="20.7109375" style="2" customWidth="1"/>
    <col min="49" max="16384" width="9.140625" style="2"/>
  </cols>
  <sheetData>
    <row r="1" spans="1:48" s="76" customFormat="1" ht="12.75" customHeight="1" x14ac:dyDescent="0.2">
      <c r="A1" s="160" t="s">
        <v>39</v>
      </c>
      <c r="B1" s="160"/>
      <c r="C1" s="160"/>
      <c r="D1" s="160"/>
      <c r="E1" s="160"/>
      <c r="F1" s="160"/>
      <c r="G1" s="160"/>
      <c r="H1" s="160"/>
    </row>
    <row r="2" spans="1:48" ht="12.75" hidden="1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ht="12.75" hidden="1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12.75" hidden="1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ht="12.75" hidden="1" customHeight="1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48" ht="12.7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48" ht="11.25" customHeight="1" x14ac:dyDescent="0.2">
      <c r="A7" s="144" t="s">
        <v>1</v>
      </c>
      <c r="B7" s="145"/>
      <c r="C7" s="145"/>
      <c r="D7" s="146"/>
      <c r="E7" s="21"/>
      <c r="F7" s="21"/>
      <c r="G7" s="141" t="s">
        <v>2</v>
      </c>
      <c r="H7" s="162"/>
      <c r="I7" s="157" t="s">
        <v>3</v>
      </c>
      <c r="J7" s="158"/>
      <c r="K7" s="158"/>
      <c r="L7" s="158"/>
      <c r="M7" s="158"/>
      <c r="N7" s="158"/>
      <c r="O7" s="158"/>
      <c r="P7" s="159"/>
      <c r="Q7" s="157" t="s">
        <v>4</v>
      </c>
      <c r="R7" s="158"/>
      <c r="S7" s="158"/>
      <c r="T7" s="158"/>
      <c r="U7" s="158"/>
      <c r="V7" s="158"/>
      <c r="W7" s="158"/>
      <c r="X7" s="159"/>
      <c r="Y7" s="157" t="s">
        <v>5</v>
      </c>
      <c r="Z7" s="158"/>
      <c r="AA7" s="158"/>
      <c r="AB7" s="158"/>
      <c r="AC7" s="158"/>
      <c r="AD7" s="158"/>
      <c r="AE7" s="158"/>
      <c r="AF7" s="159"/>
      <c r="AG7" s="157" t="s">
        <v>6</v>
      </c>
      <c r="AH7" s="158"/>
      <c r="AI7" s="158"/>
      <c r="AJ7" s="158"/>
      <c r="AK7" s="158"/>
      <c r="AL7" s="158"/>
      <c r="AM7" s="158"/>
      <c r="AN7" s="159"/>
      <c r="AO7" s="157" t="s">
        <v>249</v>
      </c>
      <c r="AP7" s="158"/>
      <c r="AQ7" s="158"/>
      <c r="AR7" s="158"/>
      <c r="AS7" s="158"/>
      <c r="AT7" s="158"/>
      <c r="AU7" s="158"/>
      <c r="AV7" s="159"/>
    </row>
    <row r="8" spans="1:48" ht="11.25" customHeight="1" x14ac:dyDescent="0.2">
      <c r="A8" s="147"/>
      <c r="B8" s="148"/>
      <c r="C8" s="148"/>
      <c r="D8" s="149"/>
      <c r="E8" s="12"/>
      <c r="F8" s="12"/>
      <c r="G8" s="161"/>
      <c r="H8" s="163"/>
      <c r="I8" s="139" t="s">
        <v>7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  <c r="Q8" s="139" t="s">
        <v>7</v>
      </c>
      <c r="R8" s="137" t="s">
        <v>8</v>
      </c>
      <c r="S8" s="138"/>
      <c r="T8" s="137" t="s">
        <v>9</v>
      </c>
      <c r="U8" s="138"/>
      <c r="V8" s="137" t="s">
        <v>138</v>
      </c>
      <c r="W8" s="138"/>
      <c r="X8" s="139" t="s">
        <v>10</v>
      </c>
      <c r="Y8" s="139" t="s">
        <v>7</v>
      </c>
      <c r="Z8" s="137" t="s">
        <v>8</v>
      </c>
      <c r="AA8" s="138"/>
      <c r="AB8" s="137" t="s">
        <v>9</v>
      </c>
      <c r="AC8" s="138"/>
      <c r="AD8" s="137" t="s">
        <v>138</v>
      </c>
      <c r="AE8" s="138"/>
      <c r="AF8" s="139" t="s">
        <v>10</v>
      </c>
      <c r="AG8" s="139" t="s">
        <v>7</v>
      </c>
      <c r="AH8" s="137" t="s">
        <v>8</v>
      </c>
      <c r="AI8" s="138"/>
      <c r="AJ8" s="137" t="s">
        <v>9</v>
      </c>
      <c r="AK8" s="138"/>
      <c r="AL8" s="137" t="s">
        <v>138</v>
      </c>
      <c r="AM8" s="138"/>
      <c r="AN8" s="139" t="s">
        <v>10</v>
      </c>
      <c r="AO8" s="139" t="s">
        <v>7</v>
      </c>
      <c r="AP8" s="137" t="s">
        <v>8</v>
      </c>
      <c r="AQ8" s="138"/>
      <c r="AR8" s="137" t="s">
        <v>9</v>
      </c>
      <c r="AS8" s="138"/>
      <c r="AT8" s="137" t="s">
        <v>138</v>
      </c>
      <c r="AU8" s="138"/>
      <c r="AV8" s="139" t="s">
        <v>10</v>
      </c>
    </row>
    <row r="9" spans="1:48" x14ac:dyDescent="0.2">
      <c r="A9" s="150"/>
      <c r="B9" s="151"/>
      <c r="C9" s="151"/>
      <c r="D9" s="152"/>
      <c r="E9" s="12"/>
      <c r="F9" s="12"/>
      <c r="G9" s="161"/>
      <c r="H9" s="164"/>
      <c r="I9" s="140"/>
      <c r="J9" s="6" t="s">
        <v>12</v>
      </c>
      <c r="K9" s="7" t="s">
        <v>13</v>
      </c>
      <c r="L9" s="6" t="s">
        <v>12</v>
      </c>
      <c r="M9" s="7" t="s">
        <v>13</v>
      </c>
      <c r="N9" s="6" t="s">
        <v>12</v>
      </c>
      <c r="O9" s="7" t="s">
        <v>13</v>
      </c>
      <c r="P9" s="140"/>
      <c r="Q9" s="140"/>
      <c r="R9" s="6" t="s">
        <v>12</v>
      </c>
      <c r="S9" s="7" t="s">
        <v>13</v>
      </c>
      <c r="T9" s="6" t="s">
        <v>12</v>
      </c>
      <c r="U9" s="7" t="s">
        <v>13</v>
      </c>
      <c r="V9" s="6" t="s">
        <v>12</v>
      </c>
      <c r="W9" s="7" t="s">
        <v>13</v>
      </c>
      <c r="X9" s="140"/>
      <c r="Y9" s="140"/>
      <c r="Z9" s="6" t="s">
        <v>12</v>
      </c>
      <c r="AA9" s="7" t="s">
        <v>13</v>
      </c>
      <c r="AB9" s="6" t="s">
        <v>12</v>
      </c>
      <c r="AC9" s="7" t="s">
        <v>13</v>
      </c>
      <c r="AD9" s="6" t="s">
        <v>12</v>
      </c>
      <c r="AE9" s="7" t="s">
        <v>13</v>
      </c>
      <c r="AF9" s="140"/>
      <c r="AG9" s="140"/>
      <c r="AH9" s="6" t="s">
        <v>12</v>
      </c>
      <c r="AI9" s="7" t="s">
        <v>13</v>
      </c>
      <c r="AJ9" s="6" t="s">
        <v>12</v>
      </c>
      <c r="AK9" s="7" t="s">
        <v>13</v>
      </c>
      <c r="AL9" s="6" t="s">
        <v>12</v>
      </c>
      <c r="AM9" s="7" t="s">
        <v>13</v>
      </c>
      <c r="AN9" s="140"/>
      <c r="AO9" s="140"/>
      <c r="AP9" s="6" t="s">
        <v>12</v>
      </c>
      <c r="AQ9" s="7" t="s">
        <v>13</v>
      </c>
      <c r="AR9" s="6" t="s">
        <v>12</v>
      </c>
      <c r="AS9" s="7" t="s">
        <v>13</v>
      </c>
      <c r="AT9" s="6" t="s">
        <v>12</v>
      </c>
      <c r="AU9" s="7" t="s">
        <v>13</v>
      </c>
      <c r="AV9" s="140"/>
    </row>
    <row r="10" spans="1:48" ht="12.75" x14ac:dyDescent="0.2">
      <c r="A10" s="95" t="s">
        <v>165</v>
      </c>
      <c r="B10" s="4"/>
      <c r="C10" s="4"/>
      <c r="D10" s="5"/>
      <c r="E10" s="12"/>
      <c r="F10" s="12"/>
      <c r="G10" s="93"/>
      <c r="H10" s="94"/>
      <c r="I10" s="109"/>
      <c r="J10" s="107"/>
      <c r="K10" s="108"/>
      <c r="L10" s="107"/>
      <c r="M10" s="108"/>
      <c r="N10" s="107"/>
      <c r="O10" s="108"/>
      <c r="P10" s="109"/>
      <c r="Q10" s="109"/>
      <c r="R10" s="107"/>
      <c r="S10" s="108"/>
      <c r="T10" s="107"/>
      <c r="U10" s="108"/>
      <c r="V10" s="107"/>
      <c r="W10" s="108"/>
      <c r="X10" s="109"/>
      <c r="Y10" s="109"/>
      <c r="Z10" s="107"/>
      <c r="AA10" s="108"/>
      <c r="AB10" s="107"/>
      <c r="AC10" s="108"/>
      <c r="AD10" s="107"/>
      <c r="AE10" s="108"/>
      <c r="AF10" s="109"/>
      <c r="AG10" s="109"/>
      <c r="AH10" s="107"/>
      <c r="AI10" s="108"/>
      <c r="AJ10" s="107"/>
      <c r="AK10" s="108"/>
      <c r="AL10" s="107"/>
      <c r="AM10" s="108"/>
      <c r="AN10" s="109"/>
      <c r="AO10" s="109"/>
      <c r="AP10" s="107"/>
      <c r="AQ10" s="108"/>
      <c r="AR10" s="107"/>
      <c r="AS10" s="108"/>
      <c r="AT10" s="107"/>
      <c r="AU10" s="108"/>
      <c r="AV10" s="109"/>
    </row>
    <row r="11" spans="1:48" x14ac:dyDescent="0.2">
      <c r="A11" s="30" t="s">
        <v>14</v>
      </c>
      <c r="B11" s="32" t="s">
        <v>15</v>
      </c>
      <c r="C11" s="32"/>
      <c r="D11" s="32"/>
      <c r="E11" s="32"/>
      <c r="F11" s="32"/>
      <c r="G11" s="88" t="s">
        <v>100</v>
      </c>
      <c r="H11" s="8"/>
      <c r="I11" s="44"/>
      <c r="J11" s="110"/>
      <c r="K11" s="110"/>
      <c r="L11" s="46"/>
      <c r="M11" s="46"/>
      <c r="N11" s="46"/>
      <c r="O11" s="46"/>
      <c r="P11" s="47">
        <f>I11+K11+M11+O11</f>
        <v>0</v>
      </c>
      <c r="Q11" s="102"/>
      <c r="R11" s="110"/>
      <c r="S11" s="110"/>
      <c r="T11" s="110"/>
      <c r="U11" s="110"/>
      <c r="V11" s="111"/>
      <c r="W11" s="111"/>
      <c r="X11" s="101"/>
      <c r="Y11" s="44"/>
      <c r="Z11" s="110"/>
      <c r="AA11" s="110"/>
      <c r="AB11" s="44"/>
      <c r="AC11" s="44"/>
      <c r="AD11" s="44"/>
      <c r="AE11" s="44"/>
      <c r="AF11" s="47">
        <f>Y11+AA11+AC11+AE11</f>
        <v>0</v>
      </c>
      <c r="AG11" s="49">
        <f>I11-Q11-Y11</f>
        <v>0</v>
      </c>
      <c r="AH11" s="110"/>
      <c r="AI11" s="110"/>
      <c r="AJ11" s="49">
        <f t="shared" ref="AJ11:AN14" si="0">L11-T11-AB11</f>
        <v>0</v>
      </c>
      <c r="AK11" s="49">
        <f t="shared" si="0"/>
        <v>0</v>
      </c>
      <c r="AL11" s="49">
        <f t="shared" si="0"/>
        <v>0</v>
      </c>
      <c r="AM11" s="49">
        <f t="shared" si="0"/>
        <v>0</v>
      </c>
      <c r="AN11" s="49">
        <f t="shared" si="0"/>
        <v>0</v>
      </c>
      <c r="AO11" s="44"/>
      <c r="AP11" s="102"/>
      <c r="AQ11" s="102"/>
      <c r="AR11" s="44"/>
      <c r="AS11" s="44"/>
      <c r="AT11" s="44"/>
      <c r="AU11" s="44"/>
      <c r="AV11" s="47">
        <f>AO11+AQ11+AS11+AU11</f>
        <v>0</v>
      </c>
    </row>
    <row r="12" spans="1:48" x14ac:dyDescent="0.2">
      <c r="A12" s="30" t="s">
        <v>16</v>
      </c>
      <c r="B12" s="32" t="s">
        <v>17</v>
      </c>
      <c r="C12" s="32"/>
      <c r="D12" s="32"/>
      <c r="E12" s="32"/>
      <c r="F12" s="32"/>
      <c r="G12" s="88" t="s">
        <v>101</v>
      </c>
      <c r="H12" s="8"/>
      <c r="I12" s="44"/>
      <c r="J12" s="110"/>
      <c r="K12" s="110"/>
      <c r="L12" s="46"/>
      <c r="M12" s="46"/>
      <c r="N12" s="46"/>
      <c r="O12" s="46"/>
      <c r="P12" s="47">
        <f>I12+K12+M12+O12</f>
        <v>0</v>
      </c>
      <c r="Q12" s="44"/>
      <c r="R12" s="110"/>
      <c r="S12" s="110"/>
      <c r="T12" s="44"/>
      <c r="U12" s="44"/>
      <c r="V12" s="44"/>
      <c r="W12" s="44"/>
      <c r="X12" s="47">
        <f>Q12+S12+U12+W12</f>
        <v>0</v>
      </c>
      <c r="Y12" s="44"/>
      <c r="Z12" s="110"/>
      <c r="AA12" s="110"/>
      <c r="AB12" s="44"/>
      <c r="AC12" s="44"/>
      <c r="AD12" s="44"/>
      <c r="AE12" s="44"/>
      <c r="AF12" s="47">
        <f>Y12+AA12+AC12+AE12</f>
        <v>0</v>
      </c>
      <c r="AG12" s="49">
        <f>I12-Q12-Y12</f>
        <v>0</v>
      </c>
      <c r="AH12" s="110"/>
      <c r="AI12" s="110"/>
      <c r="AJ12" s="49">
        <f t="shared" si="0"/>
        <v>0</v>
      </c>
      <c r="AK12" s="49">
        <f t="shared" si="0"/>
        <v>0</v>
      </c>
      <c r="AL12" s="49">
        <f t="shared" si="0"/>
        <v>0</v>
      </c>
      <c r="AM12" s="49">
        <f t="shared" si="0"/>
        <v>0</v>
      </c>
      <c r="AN12" s="49">
        <f t="shared" si="0"/>
        <v>0</v>
      </c>
      <c r="AO12" s="44"/>
      <c r="AP12" s="102"/>
      <c r="AQ12" s="102"/>
      <c r="AR12" s="44"/>
      <c r="AS12" s="44"/>
      <c r="AT12" s="44"/>
      <c r="AU12" s="44"/>
      <c r="AV12" s="47">
        <f>AO12+AQ12+AS12+AU12</f>
        <v>0</v>
      </c>
    </row>
    <row r="13" spans="1:48" ht="11.25" customHeight="1" x14ac:dyDescent="0.2">
      <c r="A13" s="30" t="s">
        <v>18</v>
      </c>
      <c r="B13" s="32" t="s">
        <v>40</v>
      </c>
      <c r="C13" s="32"/>
      <c r="D13" s="32"/>
      <c r="E13" s="32"/>
      <c r="F13" s="32"/>
      <c r="G13" s="88" t="s">
        <v>102</v>
      </c>
      <c r="H13" s="8"/>
      <c r="I13" s="44"/>
      <c r="J13" s="110"/>
      <c r="K13" s="110"/>
      <c r="L13" s="46"/>
      <c r="M13" s="46"/>
      <c r="N13" s="46"/>
      <c r="O13" s="46"/>
      <c r="P13" s="47">
        <f>I13+K13+M13+O13</f>
        <v>0</v>
      </c>
      <c r="Q13" s="44"/>
      <c r="R13" s="110"/>
      <c r="S13" s="110"/>
      <c r="T13" s="44"/>
      <c r="U13" s="44"/>
      <c r="V13" s="44"/>
      <c r="W13" s="44"/>
      <c r="X13" s="47">
        <f>Q13+S13+U13+W13</f>
        <v>0</v>
      </c>
      <c r="Y13" s="44"/>
      <c r="Z13" s="110"/>
      <c r="AA13" s="110"/>
      <c r="AB13" s="44"/>
      <c r="AC13" s="44"/>
      <c r="AD13" s="44"/>
      <c r="AE13" s="44"/>
      <c r="AF13" s="47">
        <f>Y13+AA13+AC13+AE13</f>
        <v>0</v>
      </c>
      <c r="AG13" s="49">
        <f>I13-Q13-Y13</f>
        <v>0</v>
      </c>
      <c r="AH13" s="110"/>
      <c r="AI13" s="110"/>
      <c r="AJ13" s="49">
        <f t="shared" si="0"/>
        <v>0</v>
      </c>
      <c r="AK13" s="49">
        <f t="shared" si="0"/>
        <v>0</v>
      </c>
      <c r="AL13" s="49">
        <f t="shared" si="0"/>
        <v>0</v>
      </c>
      <c r="AM13" s="49">
        <f t="shared" si="0"/>
        <v>0</v>
      </c>
      <c r="AN13" s="49">
        <f t="shared" si="0"/>
        <v>0</v>
      </c>
      <c r="AO13" s="44"/>
      <c r="AP13" s="102"/>
      <c r="AQ13" s="102"/>
      <c r="AR13" s="44"/>
      <c r="AS13" s="44"/>
      <c r="AT13" s="44"/>
      <c r="AU13" s="44"/>
      <c r="AV13" s="47">
        <f>AO13+AQ13+AS13+AU13</f>
        <v>0</v>
      </c>
    </row>
    <row r="14" spans="1:48" ht="11.25" customHeight="1" x14ac:dyDescent="0.2">
      <c r="A14" s="42" t="s">
        <v>146</v>
      </c>
      <c r="B14" s="37"/>
      <c r="C14" s="32"/>
      <c r="D14" s="32"/>
      <c r="E14" s="32"/>
      <c r="F14" s="32"/>
      <c r="G14" s="88" t="s">
        <v>103</v>
      </c>
      <c r="H14" s="8"/>
      <c r="I14" s="49">
        <f>I11+I12+I13</f>
        <v>0</v>
      </c>
      <c r="J14" s="100"/>
      <c r="K14" s="100"/>
      <c r="L14" s="49">
        <f t="shared" ref="L14:Q14" si="1">L11+L12+L13</f>
        <v>0</v>
      </c>
      <c r="M14" s="49">
        <f t="shared" si="1"/>
        <v>0</v>
      </c>
      <c r="N14" s="49">
        <f t="shared" si="1"/>
        <v>0</v>
      </c>
      <c r="O14" s="49">
        <f t="shared" si="1"/>
        <v>0</v>
      </c>
      <c r="P14" s="49">
        <f t="shared" si="1"/>
        <v>0</v>
      </c>
      <c r="Q14" s="49">
        <f t="shared" si="1"/>
        <v>0</v>
      </c>
      <c r="R14" s="100"/>
      <c r="S14" s="100"/>
      <c r="T14" s="49">
        <f t="shared" ref="T14:Y14" si="2">T11+T12+T13</f>
        <v>0</v>
      </c>
      <c r="U14" s="49">
        <f t="shared" si="2"/>
        <v>0</v>
      </c>
      <c r="V14" s="49">
        <f t="shared" si="2"/>
        <v>0</v>
      </c>
      <c r="W14" s="49">
        <f t="shared" si="2"/>
        <v>0</v>
      </c>
      <c r="X14" s="49">
        <f t="shared" si="2"/>
        <v>0</v>
      </c>
      <c r="Y14" s="49">
        <f t="shared" si="2"/>
        <v>0</v>
      </c>
      <c r="Z14" s="100"/>
      <c r="AA14" s="100"/>
      <c r="AB14" s="49">
        <f t="shared" ref="AB14:AG14" si="3">AB11+AB12+AB13</f>
        <v>0</v>
      </c>
      <c r="AC14" s="49">
        <f t="shared" si="3"/>
        <v>0</v>
      </c>
      <c r="AD14" s="49">
        <f t="shared" si="3"/>
        <v>0</v>
      </c>
      <c r="AE14" s="49">
        <f t="shared" si="3"/>
        <v>0</v>
      </c>
      <c r="AF14" s="49">
        <f t="shared" si="3"/>
        <v>0</v>
      </c>
      <c r="AG14" s="49">
        <f t="shared" si="3"/>
        <v>0</v>
      </c>
      <c r="AH14" s="100"/>
      <c r="AI14" s="100"/>
      <c r="AJ14" s="49">
        <f t="shared" ref="AJ14:AO14" si="4">AJ11+AJ12+AJ13</f>
        <v>0</v>
      </c>
      <c r="AK14" s="49">
        <f t="shared" si="4"/>
        <v>0</v>
      </c>
      <c r="AL14" s="49">
        <f t="shared" si="4"/>
        <v>0</v>
      </c>
      <c r="AM14" s="49">
        <f t="shared" si="4"/>
        <v>0</v>
      </c>
      <c r="AN14" s="49">
        <f t="shared" si="0"/>
        <v>0</v>
      </c>
      <c r="AO14" s="49">
        <f t="shared" si="4"/>
        <v>0</v>
      </c>
      <c r="AP14" s="100"/>
      <c r="AQ14" s="100"/>
      <c r="AR14" s="49">
        <f>AR11+AR12+AR13</f>
        <v>0</v>
      </c>
      <c r="AS14" s="49">
        <f>AS11+AS12+AS13</f>
        <v>0</v>
      </c>
      <c r="AT14" s="49">
        <f>AT11+AT12+AT13</f>
        <v>0</v>
      </c>
      <c r="AU14" s="49">
        <f>AU11+AU12+AU13</f>
        <v>0</v>
      </c>
      <c r="AV14" s="47">
        <f>AO14+AQ14+AS14+AU14</f>
        <v>0</v>
      </c>
    </row>
    <row r="15" spans="1:48" ht="11.25" customHeight="1" x14ac:dyDescent="0.2">
      <c r="A15" s="42" t="s">
        <v>166</v>
      </c>
      <c r="B15" s="37"/>
      <c r="C15" s="32"/>
      <c r="D15" s="32"/>
      <c r="E15" s="32"/>
      <c r="F15" s="32"/>
      <c r="G15" s="88"/>
      <c r="H15" s="8"/>
      <c r="I15" s="100"/>
      <c r="J15" s="102"/>
      <c r="K15" s="102"/>
      <c r="L15" s="100"/>
      <c r="M15" s="100"/>
      <c r="N15" s="100"/>
      <c r="O15" s="100"/>
      <c r="P15" s="101"/>
      <c r="Q15" s="100"/>
      <c r="R15" s="100"/>
      <c r="S15" s="100"/>
      <c r="T15" s="100"/>
      <c r="U15" s="100"/>
      <c r="V15" s="100"/>
      <c r="W15" s="100"/>
      <c r="X15" s="101"/>
      <c r="Y15" s="103"/>
      <c r="Z15" s="103"/>
      <c r="AA15" s="103"/>
      <c r="AB15" s="103"/>
      <c r="AC15" s="103"/>
      <c r="AD15" s="103"/>
      <c r="AE15" s="103"/>
      <c r="AF15" s="104"/>
      <c r="AG15" s="100"/>
      <c r="AH15" s="102"/>
      <c r="AI15" s="102"/>
      <c r="AJ15" s="100"/>
      <c r="AK15" s="100"/>
      <c r="AL15" s="100"/>
      <c r="AM15" s="100"/>
      <c r="AN15" s="100"/>
      <c r="AO15" s="100"/>
      <c r="AP15" s="102"/>
      <c r="AQ15" s="102"/>
      <c r="AR15" s="100"/>
      <c r="AS15" s="100"/>
      <c r="AT15" s="100"/>
      <c r="AU15" s="100"/>
      <c r="AV15" s="101"/>
    </row>
    <row r="16" spans="1:48" ht="11.25" customHeight="1" x14ac:dyDescent="0.2">
      <c r="A16" s="30" t="s">
        <v>14</v>
      </c>
      <c r="B16" s="32" t="s">
        <v>15</v>
      </c>
      <c r="C16" s="32"/>
      <c r="D16" s="32"/>
      <c r="E16" s="32"/>
      <c r="F16" s="32"/>
      <c r="G16" s="88" t="s">
        <v>171</v>
      </c>
      <c r="H16" s="8"/>
      <c r="I16" s="44"/>
      <c r="J16" s="102"/>
      <c r="K16" s="102"/>
      <c r="L16" s="46"/>
      <c r="M16" s="46"/>
      <c r="N16" s="46"/>
      <c r="O16" s="46"/>
      <c r="P16" s="47">
        <f t="shared" ref="P16:P25" si="5">I16+K16+M16+O16</f>
        <v>0</v>
      </c>
      <c r="Q16" s="102"/>
      <c r="R16" s="100"/>
      <c r="S16" s="100"/>
      <c r="T16" s="102"/>
      <c r="U16" s="102"/>
      <c r="V16" s="102"/>
      <c r="W16" s="102"/>
      <c r="X16" s="101"/>
      <c r="Y16" s="44"/>
      <c r="Z16" s="103"/>
      <c r="AA16" s="103"/>
      <c r="AB16" s="112"/>
      <c r="AC16" s="112"/>
      <c r="AD16" s="112"/>
      <c r="AE16" s="112"/>
      <c r="AF16" s="47">
        <f>Y16+AA16+AC16+AE16</f>
        <v>0</v>
      </c>
      <c r="AG16" s="49">
        <f>I16-Q16-Y16</f>
        <v>0</v>
      </c>
      <c r="AH16" s="103"/>
      <c r="AI16" s="103"/>
      <c r="AJ16" s="49">
        <f t="shared" ref="AJ16:AN19" si="6">L16-T16-AB16</f>
        <v>0</v>
      </c>
      <c r="AK16" s="49">
        <f t="shared" si="6"/>
        <v>0</v>
      </c>
      <c r="AL16" s="49">
        <f t="shared" si="6"/>
        <v>0</v>
      </c>
      <c r="AM16" s="49">
        <f t="shared" si="6"/>
        <v>0</v>
      </c>
      <c r="AN16" s="49">
        <f t="shared" si="6"/>
        <v>0</v>
      </c>
      <c r="AO16" s="44"/>
      <c r="AP16" s="113"/>
      <c r="AQ16" s="113"/>
      <c r="AR16" s="44"/>
      <c r="AS16" s="44"/>
      <c r="AT16" s="44"/>
      <c r="AU16" s="44"/>
      <c r="AV16" s="47">
        <f>AO16+AQ16+AS16+AU16</f>
        <v>0</v>
      </c>
    </row>
    <row r="17" spans="1:48" ht="11.25" customHeight="1" x14ac:dyDescent="0.2">
      <c r="A17" s="30" t="s">
        <v>16</v>
      </c>
      <c r="B17" s="32" t="s">
        <v>17</v>
      </c>
      <c r="C17" s="32"/>
      <c r="D17" s="32"/>
      <c r="E17" s="32"/>
      <c r="F17" s="32"/>
      <c r="G17" s="88" t="s">
        <v>172</v>
      </c>
      <c r="H17" s="8"/>
      <c r="I17" s="44"/>
      <c r="J17" s="102"/>
      <c r="K17" s="102"/>
      <c r="L17" s="46"/>
      <c r="M17" s="46"/>
      <c r="N17" s="46"/>
      <c r="O17" s="46"/>
      <c r="P17" s="47">
        <f t="shared" si="5"/>
        <v>0</v>
      </c>
      <c r="Q17" s="102"/>
      <c r="R17" s="100"/>
      <c r="S17" s="100"/>
      <c r="T17" s="102"/>
      <c r="U17" s="102"/>
      <c r="V17" s="102"/>
      <c r="W17" s="102"/>
      <c r="X17" s="101"/>
      <c r="Y17" s="44"/>
      <c r="Z17" s="103"/>
      <c r="AA17" s="103"/>
      <c r="AB17" s="112"/>
      <c r="AC17" s="112"/>
      <c r="AD17" s="112"/>
      <c r="AE17" s="112"/>
      <c r="AF17" s="47">
        <f>Y17+AA17+AC17+AE17</f>
        <v>0</v>
      </c>
      <c r="AG17" s="49">
        <f>I17-Q17-Y17</f>
        <v>0</v>
      </c>
      <c r="AH17" s="103"/>
      <c r="AI17" s="103"/>
      <c r="AJ17" s="49">
        <f t="shared" si="6"/>
        <v>0</v>
      </c>
      <c r="AK17" s="49">
        <f t="shared" si="6"/>
        <v>0</v>
      </c>
      <c r="AL17" s="49">
        <f t="shared" si="6"/>
        <v>0</v>
      </c>
      <c r="AM17" s="49">
        <f t="shared" si="6"/>
        <v>0</v>
      </c>
      <c r="AN17" s="49">
        <f t="shared" si="6"/>
        <v>0</v>
      </c>
      <c r="AO17" s="44"/>
      <c r="AP17" s="113"/>
      <c r="AQ17" s="113"/>
      <c r="AR17" s="44"/>
      <c r="AS17" s="44"/>
      <c r="AT17" s="44"/>
      <c r="AU17" s="44"/>
      <c r="AV17" s="47">
        <f>AO17+AQ17+AS17+AU17</f>
        <v>0</v>
      </c>
    </row>
    <row r="18" spans="1:48" ht="11.25" customHeight="1" x14ac:dyDescent="0.2">
      <c r="A18" s="30" t="s">
        <v>18</v>
      </c>
      <c r="B18" s="32" t="s">
        <v>40</v>
      </c>
      <c r="C18" s="32"/>
      <c r="D18" s="32"/>
      <c r="E18" s="32"/>
      <c r="F18" s="32"/>
      <c r="G18" s="88" t="s">
        <v>173</v>
      </c>
      <c r="H18" s="8"/>
      <c r="I18" s="44"/>
      <c r="J18" s="102"/>
      <c r="K18" s="102"/>
      <c r="L18" s="46"/>
      <c r="M18" s="46"/>
      <c r="N18" s="46"/>
      <c r="O18" s="46"/>
      <c r="P18" s="47">
        <f t="shared" si="5"/>
        <v>0</v>
      </c>
      <c r="Q18" s="102"/>
      <c r="R18" s="100"/>
      <c r="S18" s="100"/>
      <c r="T18" s="102"/>
      <c r="U18" s="102"/>
      <c r="V18" s="102"/>
      <c r="W18" s="102"/>
      <c r="X18" s="101"/>
      <c r="Y18" s="44"/>
      <c r="Z18" s="103"/>
      <c r="AA18" s="103"/>
      <c r="AB18" s="112"/>
      <c r="AC18" s="112"/>
      <c r="AD18" s="112"/>
      <c r="AE18" s="112"/>
      <c r="AF18" s="47">
        <f>Y18+AA18+AC18+AE18</f>
        <v>0</v>
      </c>
      <c r="AG18" s="49">
        <f>I18-Q18-Y18</f>
        <v>0</v>
      </c>
      <c r="AH18" s="103"/>
      <c r="AI18" s="103"/>
      <c r="AJ18" s="49">
        <f t="shared" si="6"/>
        <v>0</v>
      </c>
      <c r="AK18" s="49">
        <f t="shared" si="6"/>
        <v>0</v>
      </c>
      <c r="AL18" s="49">
        <f t="shared" si="6"/>
        <v>0</v>
      </c>
      <c r="AM18" s="49">
        <f t="shared" si="6"/>
        <v>0</v>
      </c>
      <c r="AN18" s="49">
        <f t="shared" si="6"/>
        <v>0</v>
      </c>
      <c r="AO18" s="44"/>
      <c r="AP18" s="113"/>
      <c r="AQ18" s="113"/>
      <c r="AR18" s="44"/>
      <c r="AS18" s="44"/>
      <c r="AT18" s="44"/>
      <c r="AU18" s="44"/>
      <c r="AV18" s="47">
        <f>AO18+AQ18+AS18+AU18</f>
        <v>0</v>
      </c>
    </row>
    <row r="19" spans="1:48" ht="11.25" customHeight="1" x14ac:dyDescent="0.2">
      <c r="A19" s="42" t="s">
        <v>146</v>
      </c>
      <c r="B19" s="37"/>
      <c r="C19" s="32"/>
      <c r="D19" s="32"/>
      <c r="E19" s="32"/>
      <c r="F19" s="32"/>
      <c r="G19" s="88" t="s">
        <v>174</v>
      </c>
      <c r="H19" s="8"/>
      <c r="I19" s="49">
        <f t="shared" ref="I19:P19" si="7">I16+I17+I18</f>
        <v>0</v>
      </c>
      <c r="J19" s="100"/>
      <c r="K19" s="100"/>
      <c r="L19" s="49">
        <f t="shared" si="7"/>
        <v>0</v>
      </c>
      <c r="M19" s="49">
        <f t="shared" si="7"/>
        <v>0</v>
      </c>
      <c r="N19" s="49">
        <f t="shared" si="7"/>
        <v>0</v>
      </c>
      <c r="O19" s="49">
        <f t="shared" si="7"/>
        <v>0</v>
      </c>
      <c r="P19" s="49">
        <f t="shared" si="7"/>
        <v>0</v>
      </c>
      <c r="Q19" s="100"/>
      <c r="R19" s="100"/>
      <c r="S19" s="100"/>
      <c r="T19" s="100"/>
      <c r="U19" s="100"/>
      <c r="V19" s="100"/>
      <c r="W19" s="100"/>
      <c r="X19" s="101"/>
      <c r="Y19" s="49">
        <f>Y16+Y17+Y18</f>
        <v>0</v>
      </c>
      <c r="Z19" s="103"/>
      <c r="AA19" s="103"/>
      <c r="AB19" s="49">
        <f t="shared" ref="AB19:AG19" si="8">AB16+AB17+AB18</f>
        <v>0</v>
      </c>
      <c r="AC19" s="49">
        <f t="shared" si="8"/>
        <v>0</v>
      </c>
      <c r="AD19" s="49">
        <f t="shared" si="8"/>
        <v>0</v>
      </c>
      <c r="AE19" s="49">
        <f t="shared" si="8"/>
        <v>0</v>
      </c>
      <c r="AF19" s="49">
        <f t="shared" si="8"/>
        <v>0</v>
      </c>
      <c r="AG19" s="49">
        <f t="shared" si="8"/>
        <v>0</v>
      </c>
      <c r="AH19" s="103"/>
      <c r="AI19" s="103"/>
      <c r="AJ19" s="49">
        <f t="shared" ref="AJ19:AO19" si="9">AJ16+AJ17+AJ18</f>
        <v>0</v>
      </c>
      <c r="AK19" s="49">
        <f t="shared" si="9"/>
        <v>0</v>
      </c>
      <c r="AL19" s="49">
        <f t="shared" si="9"/>
        <v>0</v>
      </c>
      <c r="AM19" s="49">
        <f t="shared" si="9"/>
        <v>0</v>
      </c>
      <c r="AN19" s="49">
        <f t="shared" si="6"/>
        <v>0</v>
      </c>
      <c r="AO19" s="49">
        <f t="shared" si="9"/>
        <v>0</v>
      </c>
      <c r="AP19" s="103"/>
      <c r="AQ19" s="103"/>
      <c r="AR19" s="49">
        <f>AR16+AR17+AR18</f>
        <v>0</v>
      </c>
      <c r="AS19" s="49">
        <f>AS16+AS17+AS18</f>
        <v>0</v>
      </c>
      <c r="AT19" s="49">
        <f>AT16+AT17+AT18</f>
        <v>0</v>
      </c>
      <c r="AU19" s="49">
        <f>AU16+AU17+AU18</f>
        <v>0</v>
      </c>
      <c r="AV19" s="47">
        <f>AO19+AQ19+AS19+AU19</f>
        <v>0</v>
      </c>
    </row>
    <row r="20" spans="1:48" ht="11.25" customHeight="1" x14ac:dyDescent="0.2">
      <c r="A20" s="42" t="s">
        <v>167</v>
      </c>
      <c r="B20" s="37"/>
      <c r="C20" s="32"/>
      <c r="D20" s="32"/>
      <c r="E20" s="32"/>
      <c r="F20" s="32"/>
      <c r="G20" s="88"/>
      <c r="H20" s="8"/>
      <c r="I20" s="100"/>
      <c r="J20" s="102"/>
      <c r="K20" s="102"/>
      <c r="L20" s="100"/>
      <c r="M20" s="100"/>
      <c r="N20" s="100"/>
      <c r="O20" s="100"/>
      <c r="P20" s="101"/>
      <c r="Q20" s="100"/>
      <c r="R20" s="102"/>
      <c r="S20" s="102"/>
      <c r="T20" s="100"/>
      <c r="U20" s="100"/>
      <c r="V20" s="100"/>
      <c r="W20" s="100"/>
      <c r="X20" s="101"/>
      <c r="Y20" s="100"/>
      <c r="Z20" s="102"/>
      <c r="AA20" s="102"/>
      <c r="AB20" s="100"/>
      <c r="AC20" s="100"/>
      <c r="AD20" s="100"/>
      <c r="AE20" s="100"/>
      <c r="AF20" s="101"/>
      <c r="AG20" s="100"/>
      <c r="AH20" s="102"/>
      <c r="AI20" s="102"/>
      <c r="AJ20" s="100"/>
      <c r="AK20" s="100"/>
      <c r="AL20" s="100"/>
      <c r="AM20" s="100"/>
      <c r="AN20" s="100"/>
      <c r="AO20" s="100"/>
      <c r="AP20" s="102"/>
      <c r="AQ20" s="102"/>
      <c r="AR20" s="100"/>
      <c r="AS20" s="100"/>
      <c r="AT20" s="100"/>
      <c r="AU20" s="100"/>
      <c r="AV20" s="101"/>
    </row>
    <row r="21" spans="1:48" ht="11.25" customHeight="1" x14ac:dyDescent="0.2">
      <c r="A21" s="42" t="s">
        <v>14</v>
      </c>
      <c r="B21" s="38" t="s">
        <v>168</v>
      </c>
      <c r="C21" s="32"/>
      <c r="D21" s="32"/>
      <c r="E21" s="32"/>
      <c r="F21" s="32"/>
      <c r="G21" s="88" t="s">
        <v>175</v>
      </c>
      <c r="H21" s="8"/>
      <c r="I21" s="49">
        <f t="shared" ref="I21:AG21" si="10">I22+I23+I24</f>
        <v>0</v>
      </c>
      <c r="J21" s="100"/>
      <c r="K21" s="100"/>
      <c r="L21" s="49">
        <f t="shared" si="10"/>
        <v>0</v>
      </c>
      <c r="M21" s="49">
        <f t="shared" si="10"/>
        <v>0</v>
      </c>
      <c r="N21" s="49">
        <f t="shared" si="10"/>
        <v>0</v>
      </c>
      <c r="O21" s="49">
        <f t="shared" si="10"/>
        <v>0</v>
      </c>
      <c r="P21" s="49">
        <f t="shared" si="10"/>
        <v>0</v>
      </c>
      <c r="Q21" s="49">
        <f t="shared" si="10"/>
        <v>0</v>
      </c>
      <c r="R21" s="100"/>
      <c r="S21" s="100"/>
      <c r="T21" s="49">
        <f t="shared" si="10"/>
        <v>0</v>
      </c>
      <c r="U21" s="49">
        <f t="shared" si="10"/>
        <v>0</v>
      </c>
      <c r="V21" s="49">
        <f t="shared" si="10"/>
        <v>0</v>
      </c>
      <c r="W21" s="49">
        <f t="shared" si="10"/>
        <v>0</v>
      </c>
      <c r="X21" s="49">
        <f t="shared" si="10"/>
        <v>0</v>
      </c>
      <c r="Y21" s="49">
        <f t="shared" si="10"/>
        <v>0</v>
      </c>
      <c r="Z21" s="100"/>
      <c r="AA21" s="100"/>
      <c r="AB21" s="49">
        <f t="shared" si="10"/>
        <v>0</v>
      </c>
      <c r="AC21" s="49">
        <f t="shared" si="10"/>
        <v>0</v>
      </c>
      <c r="AD21" s="49">
        <f t="shared" si="10"/>
        <v>0</v>
      </c>
      <c r="AE21" s="49">
        <f t="shared" si="10"/>
        <v>0</v>
      </c>
      <c r="AF21" s="49">
        <f t="shared" si="10"/>
        <v>0</v>
      </c>
      <c r="AG21" s="49">
        <f t="shared" si="10"/>
        <v>0</v>
      </c>
      <c r="AH21" s="103"/>
      <c r="AI21" s="103"/>
      <c r="AJ21" s="49">
        <f t="shared" ref="AJ21:AO21" si="11">AJ22+AJ23+AJ24</f>
        <v>0</v>
      </c>
      <c r="AK21" s="49">
        <f t="shared" si="11"/>
        <v>0</v>
      </c>
      <c r="AL21" s="49">
        <f t="shared" si="11"/>
        <v>0</v>
      </c>
      <c r="AM21" s="49">
        <f t="shared" si="11"/>
        <v>0</v>
      </c>
      <c r="AN21" s="49">
        <f t="shared" ref="AJ21:AN24" si="12">P21-X21-AF21</f>
        <v>0</v>
      </c>
      <c r="AO21" s="49">
        <f t="shared" si="11"/>
        <v>0</v>
      </c>
      <c r="AP21" s="103"/>
      <c r="AQ21" s="103"/>
      <c r="AR21" s="49">
        <f>AR22+AR23+AR24</f>
        <v>0</v>
      </c>
      <c r="AS21" s="49">
        <f>AS22+AS23+AS24</f>
        <v>0</v>
      </c>
      <c r="AT21" s="49">
        <f>AT22+AT23+AT24</f>
        <v>0</v>
      </c>
      <c r="AU21" s="49">
        <f>AU22+AU23+AU24</f>
        <v>0</v>
      </c>
      <c r="AV21" s="47">
        <f>AO21+AQ21+AS21+AU21</f>
        <v>0</v>
      </c>
    </row>
    <row r="22" spans="1:48" ht="11.25" customHeight="1" x14ac:dyDescent="0.2">
      <c r="A22" s="42"/>
      <c r="B22" s="37" t="s">
        <v>169</v>
      </c>
      <c r="C22" s="32" t="s">
        <v>15</v>
      </c>
      <c r="D22" s="32"/>
      <c r="E22" s="32"/>
      <c r="F22" s="32"/>
      <c r="G22" s="88" t="s">
        <v>176</v>
      </c>
      <c r="H22" s="8"/>
      <c r="I22" s="44"/>
      <c r="J22" s="102"/>
      <c r="K22" s="102"/>
      <c r="L22" s="46"/>
      <c r="M22" s="46"/>
      <c r="N22" s="46"/>
      <c r="O22" s="46"/>
      <c r="P22" s="47">
        <f t="shared" si="5"/>
        <v>0</v>
      </c>
      <c r="Q22" s="102"/>
      <c r="R22" s="102"/>
      <c r="S22" s="102"/>
      <c r="T22" s="102"/>
      <c r="U22" s="102"/>
      <c r="V22" s="102"/>
      <c r="W22" s="102"/>
      <c r="X22" s="101"/>
      <c r="Y22" s="44"/>
      <c r="Z22" s="102"/>
      <c r="AA22" s="102"/>
      <c r="AB22" s="44"/>
      <c r="AC22" s="44"/>
      <c r="AD22" s="44"/>
      <c r="AE22" s="44"/>
      <c r="AF22" s="47">
        <f>Y22+AA22+AC22+AE22</f>
        <v>0</v>
      </c>
      <c r="AG22" s="49">
        <f>I22-Q22-Y22</f>
        <v>0</v>
      </c>
      <c r="AH22" s="103"/>
      <c r="AI22" s="103"/>
      <c r="AJ22" s="49">
        <f t="shared" si="12"/>
        <v>0</v>
      </c>
      <c r="AK22" s="49">
        <f t="shared" si="12"/>
        <v>0</v>
      </c>
      <c r="AL22" s="49">
        <f t="shared" si="12"/>
        <v>0</v>
      </c>
      <c r="AM22" s="49">
        <f t="shared" si="12"/>
        <v>0</v>
      </c>
      <c r="AN22" s="49">
        <f t="shared" si="12"/>
        <v>0</v>
      </c>
      <c r="AO22" s="44"/>
      <c r="AP22" s="113"/>
      <c r="AQ22" s="113"/>
      <c r="AR22" s="44"/>
      <c r="AS22" s="44"/>
      <c r="AT22" s="44"/>
      <c r="AU22" s="44"/>
      <c r="AV22" s="47">
        <f>AO22+AQ22+AS22+AU22</f>
        <v>0</v>
      </c>
    </row>
    <row r="23" spans="1:48" ht="11.25" customHeight="1" x14ac:dyDescent="0.2">
      <c r="A23" s="42"/>
      <c r="B23" s="37" t="s">
        <v>29</v>
      </c>
      <c r="C23" s="32" t="s">
        <v>170</v>
      </c>
      <c r="D23" s="32"/>
      <c r="E23" s="32"/>
      <c r="F23" s="32"/>
      <c r="G23" s="88" t="s">
        <v>177</v>
      </c>
      <c r="H23" s="8"/>
      <c r="I23" s="44"/>
      <c r="J23" s="102"/>
      <c r="K23" s="102"/>
      <c r="L23" s="46"/>
      <c r="M23" s="46"/>
      <c r="N23" s="46"/>
      <c r="O23" s="46"/>
      <c r="P23" s="47">
        <f t="shared" si="5"/>
        <v>0</v>
      </c>
      <c r="Q23" s="44"/>
      <c r="R23" s="102"/>
      <c r="S23" s="102"/>
      <c r="T23" s="44"/>
      <c r="U23" s="44"/>
      <c r="V23" s="44"/>
      <c r="W23" s="44"/>
      <c r="X23" s="47">
        <f>Q23+S23+U23+W23</f>
        <v>0</v>
      </c>
      <c r="Y23" s="44"/>
      <c r="Z23" s="102"/>
      <c r="AA23" s="102"/>
      <c r="AB23" s="44"/>
      <c r="AC23" s="44"/>
      <c r="AD23" s="44"/>
      <c r="AE23" s="44"/>
      <c r="AF23" s="47">
        <f>Y23+AA23+AC23+AE23</f>
        <v>0</v>
      </c>
      <c r="AG23" s="49">
        <f>I23-Q23-Y23</f>
        <v>0</v>
      </c>
      <c r="AH23" s="103"/>
      <c r="AI23" s="103"/>
      <c r="AJ23" s="49">
        <f t="shared" si="12"/>
        <v>0</v>
      </c>
      <c r="AK23" s="49">
        <f t="shared" si="12"/>
        <v>0</v>
      </c>
      <c r="AL23" s="49">
        <f t="shared" si="12"/>
        <v>0</v>
      </c>
      <c r="AM23" s="49">
        <f t="shared" si="12"/>
        <v>0</v>
      </c>
      <c r="AN23" s="49">
        <f t="shared" si="12"/>
        <v>0</v>
      </c>
      <c r="AO23" s="44"/>
      <c r="AP23" s="113"/>
      <c r="AQ23" s="113"/>
      <c r="AR23" s="44"/>
      <c r="AS23" s="44"/>
      <c r="AT23" s="44"/>
      <c r="AU23" s="44"/>
      <c r="AV23" s="47">
        <f>AO23+AQ23+AS23+AU23</f>
        <v>0</v>
      </c>
    </row>
    <row r="24" spans="1:48" ht="11.25" customHeight="1" x14ac:dyDescent="0.2">
      <c r="A24" s="42"/>
      <c r="B24" s="37" t="s">
        <v>162</v>
      </c>
      <c r="C24" s="32" t="s">
        <v>163</v>
      </c>
      <c r="D24" s="32"/>
      <c r="E24" s="32"/>
      <c r="F24" s="32"/>
      <c r="G24" s="88" t="s">
        <v>164</v>
      </c>
      <c r="H24" s="96" t="s">
        <v>147</v>
      </c>
      <c r="I24" s="49">
        <f t="shared" ref="I24:O24" si="13">SUM(I25:I26)</f>
        <v>0</v>
      </c>
      <c r="J24" s="100"/>
      <c r="K24" s="100"/>
      <c r="L24" s="49">
        <f t="shared" si="13"/>
        <v>0</v>
      </c>
      <c r="M24" s="49">
        <f t="shared" si="13"/>
        <v>0</v>
      </c>
      <c r="N24" s="49">
        <f t="shared" si="13"/>
        <v>0</v>
      </c>
      <c r="O24" s="49">
        <f t="shared" si="13"/>
        <v>0</v>
      </c>
      <c r="P24" s="47">
        <f>SUM(P25:P26)</f>
        <v>0</v>
      </c>
      <c r="Q24" s="49">
        <f t="shared" ref="Q24:AG24" si="14">SUM(Q25:Q26)</f>
        <v>0</v>
      </c>
      <c r="R24" s="100"/>
      <c r="S24" s="100"/>
      <c r="T24" s="49">
        <f t="shared" si="14"/>
        <v>0</v>
      </c>
      <c r="U24" s="49">
        <f t="shared" si="14"/>
        <v>0</v>
      </c>
      <c r="V24" s="49">
        <f t="shared" si="14"/>
        <v>0</v>
      </c>
      <c r="W24" s="49">
        <f t="shared" si="14"/>
        <v>0</v>
      </c>
      <c r="X24" s="49">
        <f t="shared" si="14"/>
        <v>0</v>
      </c>
      <c r="Y24" s="49">
        <f t="shared" si="14"/>
        <v>0</v>
      </c>
      <c r="Z24" s="100"/>
      <c r="AA24" s="100"/>
      <c r="AB24" s="49">
        <f t="shared" si="14"/>
        <v>0</v>
      </c>
      <c r="AC24" s="49">
        <f t="shared" si="14"/>
        <v>0</v>
      </c>
      <c r="AD24" s="49">
        <f t="shared" si="14"/>
        <v>0</v>
      </c>
      <c r="AE24" s="49">
        <f t="shared" si="14"/>
        <v>0</v>
      </c>
      <c r="AF24" s="49">
        <f t="shared" si="14"/>
        <v>0</v>
      </c>
      <c r="AG24" s="49">
        <f t="shared" si="14"/>
        <v>0</v>
      </c>
      <c r="AH24" s="103"/>
      <c r="AI24" s="103"/>
      <c r="AJ24" s="49">
        <f>SUM(AJ25:AJ26)</f>
        <v>0</v>
      </c>
      <c r="AK24" s="49">
        <f>SUM(AK25:AK26)</f>
        <v>0</v>
      </c>
      <c r="AL24" s="49">
        <f>SUM(AL25:AL26)</f>
        <v>0</v>
      </c>
      <c r="AM24" s="49">
        <f>SUM(AM25:AM26)</f>
        <v>0</v>
      </c>
      <c r="AN24" s="49">
        <f t="shared" si="12"/>
        <v>0</v>
      </c>
      <c r="AO24" s="49">
        <f>SUM(AO25:AO26)</f>
        <v>0</v>
      </c>
      <c r="AP24" s="103"/>
      <c r="AQ24" s="103"/>
      <c r="AR24" s="49">
        <f>SUM(AR25:AR26)</f>
        <v>0</v>
      </c>
      <c r="AS24" s="49">
        <f>SUM(AS25:AS26)</f>
        <v>0</v>
      </c>
      <c r="AT24" s="49">
        <f>SUM(AT25:AT26)</f>
        <v>0</v>
      </c>
      <c r="AU24" s="49">
        <f>SUM(AU25:AU26)</f>
        <v>0</v>
      </c>
      <c r="AV24" s="47">
        <f>AO24+AQ24+AS24+AU24</f>
        <v>0</v>
      </c>
    </row>
    <row r="25" spans="1:48" ht="11.25" customHeight="1" x14ac:dyDescent="0.2">
      <c r="A25" s="42"/>
      <c r="B25" s="37"/>
      <c r="C25" s="30" t="s">
        <v>135</v>
      </c>
      <c r="D25" s="97"/>
      <c r="E25" s="32"/>
      <c r="F25" s="32"/>
      <c r="G25" s="88"/>
      <c r="H25" s="115">
        <v>1</v>
      </c>
      <c r="I25" s="44"/>
      <c r="J25" s="102"/>
      <c r="K25" s="102"/>
      <c r="L25" s="46"/>
      <c r="M25" s="46"/>
      <c r="N25" s="46"/>
      <c r="O25" s="46"/>
      <c r="P25" s="47">
        <f t="shared" si="5"/>
        <v>0</v>
      </c>
      <c r="Q25" s="44"/>
      <c r="R25" s="102"/>
      <c r="S25" s="102"/>
      <c r="T25" s="44"/>
      <c r="U25" s="44"/>
      <c r="V25" s="44"/>
      <c r="W25" s="44"/>
      <c r="X25" s="47">
        <f>Q25+S25+U25+W25</f>
        <v>0</v>
      </c>
      <c r="Y25" s="44"/>
      <c r="Z25" s="102"/>
      <c r="AA25" s="102"/>
      <c r="AB25" s="44"/>
      <c r="AC25" s="44"/>
      <c r="AD25" s="44"/>
      <c r="AE25" s="44"/>
      <c r="AF25" s="22">
        <f>Y25+AA25+AC25+AE25</f>
        <v>0</v>
      </c>
      <c r="AG25" s="49">
        <f>I25-Q25-Y25</f>
        <v>0</v>
      </c>
      <c r="AH25" s="103"/>
      <c r="AI25" s="103"/>
      <c r="AJ25" s="49">
        <f>L25-T25-AB25</f>
        <v>0</v>
      </c>
      <c r="AK25" s="49">
        <f>M25-U25-AC25</f>
        <v>0</v>
      </c>
      <c r="AL25" s="49">
        <f>N25-V25-AD25</f>
        <v>0</v>
      </c>
      <c r="AM25" s="49">
        <f>O25-W25-AE25</f>
        <v>0</v>
      </c>
      <c r="AN25" s="49">
        <f>P25-X25-AF25</f>
        <v>0</v>
      </c>
      <c r="AO25" s="112"/>
      <c r="AP25" s="113"/>
      <c r="AQ25" s="113"/>
      <c r="AR25" s="112"/>
      <c r="AS25" s="112"/>
      <c r="AT25" s="112"/>
      <c r="AU25" s="112"/>
      <c r="AV25" s="47">
        <f>AO25+AQ25+AS25+AU25</f>
        <v>0</v>
      </c>
    </row>
    <row r="26" spans="1:48" ht="11.25" customHeight="1" x14ac:dyDescent="0.2">
      <c r="A26" s="117"/>
      <c r="B26" s="118"/>
      <c r="C26" s="119"/>
      <c r="D26" s="119"/>
      <c r="E26" s="119"/>
      <c r="F26" s="119"/>
      <c r="G26" s="120"/>
      <c r="H26" s="98"/>
      <c r="I26" s="49"/>
      <c r="J26" s="102"/>
      <c r="K26" s="102"/>
      <c r="L26" s="78"/>
      <c r="M26" s="78"/>
      <c r="N26" s="78"/>
      <c r="O26" s="78"/>
      <c r="P26" s="47"/>
      <c r="Q26" s="116"/>
      <c r="R26" s="102"/>
      <c r="S26" s="102"/>
      <c r="T26" s="116"/>
      <c r="U26" s="116"/>
      <c r="V26" s="116"/>
      <c r="W26" s="116"/>
      <c r="X26" s="47"/>
      <c r="Y26" s="116"/>
      <c r="Z26" s="102"/>
      <c r="AA26" s="102"/>
      <c r="AB26" s="116"/>
      <c r="AC26" s="116"/>
      <c r="AD26" s="116"/>
      <c r="AE26" s="116"/>
      <c r="AF26" s="47"/>
      <c r="AG26" s="116"/>
      <c r="AH26" s="102"/>
      <c r="AI26" s="102"/>
      <c r="AJ26" s="116"/>
      <c r="AK26" s="116"/>
      <c r="AL26" s="116"/>
      <c r="AM26" s="116"/>
      <c r="AN26" s="47"/>
      <c r="AO26" s="116"/>
      <c r="AP26" s="102"/>
      <c r="AQ26" s="102"/>
      <c r="AR26" s="116"/>
      <c r="AS26" s="116"/>
      <c r="AT26" s="116"/>
      <c r="AU26" s="116"/>
      <c r="AV26" s="47"/>
    </row>
    <row r="27" spans="1:48" x14ac:dyDescent="0.2">
      <c r="G27" s="10" t="s">
        <v>99</v>
      </c>
      <c r="AO27" s="114"/>
      <c r="AP27" s="114"/>
      <c r="AQ27" s="114"/>
      <c r="AR27" s="114"/>
      <c r="AS27" s="114"/>
      <c r="AT27" s="114"/>
      <c r="AU27" s="114"/>
    </row>
  </sheetData>
  <sheetProtection password="98D8" sheet="1" objects="1" scenarios="1" selectLockedCells="1"/>
  <mergeCells count="34">
    <mergeCell ref="AP8:AQ8"/>
    <mergeCell ref="AR8:AS8"/>
    <mergeCell ref="AT8:AU8"/>
    <mergeCell ref="AV8:AV9"/>
    <mergeCell ref="AJ8:AK8"/>
    <mergeCell ref="AL8:AM8"/>
    <mergeCell ref="AN8:AN9"/>
    <mergeCell ref="AO8:AO9"/>
    <mergeCell ref="AO7:AV7"/>
    <mergeCell ref="I8:I9"/>
    <mergeCell ref="J8:K8"/>
    <mergeCell ref="X8:X9"/>
    <mergeCell ref="Y8:Y9"/>
    <mergeCell ref="Z8:AA8"/>
    <mergeCell ref="AB8:AC8"/>
    <mergeCell ref="AF8:AF9"/>
    <mergeCell ref="AG8:AG9"/>
    <mergeCell ref="AH8:AI8"/>
    <mergeCell ref="I7:P7"/>
    <mergeCell ref="Q7:X7"/>
    <mergeCell ref="Y7:AF7"/>
    <mergeCell ref="AG7:AN7"/>
    <mergeCell ref="A1:H1"/>
    <mergeCell ref="G7:G9"/>
    <mergeCell ref="A7:D9"/>
    <mergeCell ref="H7:H9"/>
    <mergeCell ref="L8:M8"/>
    <mergeCell ref="N8:O8"/>
    <mergeCell ref="P8:P9"/>
    <mergeCell ref="Q8:Q9"/>
    <mergeCell ref="R8:S8"/>
    <mergeCell ref="T8:U8"/>
    <mergeCell ref="V8:W8"/>
    <mergeCell ref="AD8:AE8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1:AV26">
      <formula1>0</formula1>
    </dataValidation>
  </dataValidations>
  <pageMargins left="0.25" right="0.25" top="1" bottom="0.5" header="0.5" footer="0.5"/>
  <pageSetup paperSize="9" scale="52" orientation="landscape" horizontalDpi="360" verticalDpi="360" r:id="rId1"/>
  <headerFooter alignWithMargins="0">
    <oddHeader>&amp;R&amp;"Arial,Bold"&amp;9&amp;USchedule 17
&amp;U  &amp;P of &amp;N&amp;C&amp;"Arial,Bold"&amp;8 MAXIMUM SAVINGS BANK, INC.  [ 03-070011 ]
 As of: June 30, 2019</oddHeader>
  </headerFooter>
  <colBreaks count="4" manualBreakCount="4">
    <brk id="16" max="1048575" man="1"/>
    <brk id="24" max="1048575" man="1"/>
    <brk id="32" max="1048575" man="1"/>
    <brk id="40" max="26" man="1"/>
  </colBreaks>
  <drawing r:id="rId2"/>
  <legacyDrawing r:id="rId3"/>
  <controls>
    <mc:AlternateContent xmlns:mc="http://schemas.openxmlformats.org/markup-compatibility/2006">
      <mc:Choice Requires="x14">
        <control shapeId="3073" r:id="rId4" name="Label1">
          <controlPr defaultSize="0" autoLine="0" r:id="rId5">
            <anchor moveWithCells="1">
              <from>
                <xdr:col>6</xdr:col>
                <xdr:colOff>1009650</xdr:colOff>
                <xdr:row>25</xdr:row>
                <xdr:rowOff>19050</xdr:rowOff>
              </from>
              <to>
                <xdr:col>7</xdr:col>
                <xdr:colOff>333375</xdr:colOff>
                <xdr:row>25</xdr:row>
                <xdr:rowOff>133350</xdr:rowOff>
              </to>
            </anchor>
          </controlPr>
        </control>
      </mc:Choice>
      <mc:Fallback>
        <control shapeId="3073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4" style="2" customWidth="1"/>
    <col min="2" max="2" width="2.7109375" style="2" customWidth="1"/>
    <col min="3" max="3" width="2.85546875" style="2" customWidth="1"/>
    <col min="4" max="4" width="33.140625" style="2" customWidth="1"/>
    <col min="5" max="5" width="2.85546875" style="2" hidden="1" customWidth="1"/>
    <col min="6" max="6" width="3" style="2" hidden="1" customWidth="1"/>
    <col min="7" max="7" width="18.28515625" style="60" customWidth="1"/>
    <col min="8" max="8" width="5.85546875" style="26" customWidth="1"/>
    <col min="9" max="9" width="18.7109375" style="2" customWidth="1"/>
    <col min="10" max="10" width="15.7109375" style="2" customWidth="1"/>
    <col min="11" max="11" width="18.7109375" style="2" customWidth="1"/>
    <col min="12" max="12" width="15.7109375" style="2" customWidth="1"/>
    <col min="13" max="13" width="18.7109375" style="2" customWidth="1"/>
    <col min="14" max="15" width="18.7109375" style="2" hidden="1" customWidth="1"/>
    <col min="16" max="16" width="20.7109375" style="2" customWidth="1"/>
    <col min="17" max="16384" width="9.140625" style="2"/>
  </cols>
  <sheetData>
    <row r="1" spans="1:16" s="76" customFormat="1" ht="12.75" customHeight="1" x14ac:dyDescent="0.2">
      <c r="A1" s="179" t="s">
        <v>41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</row>
    <row r="2" spans="1:16" ht="12.75" hidden="1" customHeight="1" x14ac:dyDescent="0.2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</row>
    <row r="3" spans="1:16" ht="12.75" hidden="1" customHeight="1" x14ac:dyDescent="0.2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</row>
    <row r="4" spans="1:16" ht="12.75" hidden="1" customHeight="1" x14ac:dyDescent="0.2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</row>
    <row r="5" spans="1:16" ht="12.75" hidden="1" customHeight="1" x14ac:dyDescent="0.2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</row>
    <row r="6" spans="1:16" ht="12.75" hidden="1" customHeight="1" x14ac:dyDescent="0.2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1:16" x14ac:dyDescent="0.2">
      <c r="A7" s="172"/>
      <c r="B7" s="172"/>
      <c r="C7" s="172"/>
      <c r="D7" s="172"/>
      <c r="E7" s="172"/>
      <c r="F7" s="172"/>
      <c r="G7" s="173"/>
      <c r="H7" s="173"/>
      <c r="I7" s="173"/>
      <c r="J7" s="173"/>
      <c r="K7" s="173"/>
      <c r="L7" s="173"/>
      <c r="M7" s="173"/>
      <c r="N7" s="173"/>
      <c r="O7" s="173"/>
      <c r="P7" s="173"/>
    </row>
    <row r="8" spans="1:16" ht="11.25" customHeight="1" x14ac:dyDescent="0.2">
      <c r="A8" s="174" t="s">
        <v>1</v>
      </c>
      <c r="B8" s="174"/>
      <c r="C8" s="174"/>
      <c r="D8" s="174"/>
      <c r="E8" s="174"/>
      <c r="F8" s="174"/>
      <c r="G8" s="175" t="s">
        <v>2</v>
      </c>
      <c r="H8" s="139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</row>
    <row r="9" spans="1:16" x14ac:dyDescent="0.2">
      <c r="A9" s="174"/>
      <c r="B9" s="174"/>
      <c r="C9" s="174"/>
      <c r="D9" s="174"/>
      <c r="E9" s="174"/>
      <c r="F9" s="174"/>
      <c r="G9" s="175"/>
      <c r="H9" s="140"/>
      <c r="I9" s="156"/>
      <c r="J9" s="13" t="s">
        <v>12</v>
      </c>
      <c r="K9" s="14" t="s">
        <v>13</v>
      </c>
      <c r="L9" s="13" t="s">
        <v>12</v>
      </c>
      <c r="M9" s="14" t="s">
        <v>13</v>
      </c>
      <c r="N9" s="13" t="s">
        <v>12</v>
      </c>
      <c r="O9" s="14" t="s">
        <v>13</v>
      </c>
      <c r="P9" s="140"/>
    </row>
    <row r="10" spans="1:16" ht="11.25" customHeight="1" x14ac:dyDescent="0.2">
      <c r="A10" s="121" t="s">
        <v>14</v>
      </c>
      <c r="B10" s="166" t="s">
        <v>43</v>
      </c>
      <c r="C10" s="166"/>
      <c r="D10" s="166"/>
      <c r="E10" s="166"/>
      <c r="F10" s="166"/>
      <c r="G10" s="123" t="s">
        <v>104</v>
      </c>
      <c r="H10" s="52"/>
      <c r="I10" s="46"/>
      <c r="J10" s="46"/>
      <c r="K10" s="46"/>
      <c r="L10" s="45"/>
      <c r="M10" s="45"/>
      <c r="N10" s="66"/>
      <c r="O10" s="66"/>
      <c r="P10" s="22">
        <f>I10+K10+M10+O10</f>
        <v>0</v>
      </c>
    </row>
    <row r="11" spans="1:16" ht="11.25" customHeight="1" x14ac:dyDescent="0.2">
      <c r="A11" s="121" t="s">
        <v>16</v>
      </c>
      <c r="B11" s="166" t="s">
        <v>44</v>
      </c>
      <c r="C11" s="166"/>
      <c r="D11" s="166"/>
      <c r="E11" s="166"/>
      <c r="F11" s="166"/>
      <c r="G11" s="123" t="s">
        <v>105</v>
      </c>
      <c r="H11" s="52"/>
      <c r="I11" s="46"/>
      <c r="J11" s="46"/>
      <c r="K11" s="46"/>
      <c r="L11" s="45"/>
      <c r="M11" s="45"/>
      <c r="N11" s="66"/>
      <c r="O11" s="66"/>
      <c r="P11" s="22">
        <f t="shared" ref="P11:P39" si="0">I11+K11+M11+O11</f>
        <v>0</v>
      </c>
    </row>
    <row r="12" spans="1:16" ht="11.25" customHeight="1" x14ac:dyDescent="0.2">
      <c r="A12" s="121" t="s">
        <v>18</v>
      </c>
      <c r="B12" s="166" t="s">
        <v>45</v>
      </c>
      <c r="C12" s="166"/>
      <c r="D12" s="166"/>
      <c r="E12" s="166"/>
      <c r="F12" s="166"/>
      <c r="G12" s="123" t="s">
        <v>106</v>
      </c>
      <c r="H12" s="52"/>
      <c r="I12" s="47">
        <f t="shared" ref="I12:O12" si="1" xml:space="preserve"> (I13 + I14)</f>
        <v>0</v>
      </c>
      <c r="J12" s="47">
        <f t="shared" si="1"/>
        <v>0</v>
      </c>
      <c r="K12" s="47">
        <f t="shared" si="1"/>
        <v>0</v>
      </c>
      <c r="L12" s="47">
        <f t="shared" si="1"/>
        <v>0</v>
      </c>
      <c r="M12" s="47">
        <f t="shared" si="1"/>
        <v>0</v>
      </c>
      <c r="N12" s="47">
        <f t="shared" si="1"/>
        <v>0</v>
      </c>
      <c r="O12" s="47">
        <f t="shared" si="1"/>
        <v>0</v>
      </c>
      <c r="P12" s="22">
        <f t="shared" si="0"/>
        <v>0</v>
      </c>
    </row>
    <row r="13" spans="1:16" ht="11.25" customHeight="1" x14ac:dyDescent="0.2">
      <c r="A13" s="121"/>
      <c r="B13" s="124" t="s">
        <v>46</v>
      </c>
      <c r="C13" s="166" t="s">
        <v>47</v>
      </c>
      <c r="D13" s="166"/>
      <c r="E13" s="166"/>
      <c r="F13" s="166"/>
      <c r="G13" s="123" t="s">
        <v>107</v>
      </c>
      <c r="H13" s="53"/>
      <c r="I13" s="46"/>
      <c r="J13" s="46"/>
      <c r="K13" s="46"/>
      <c r="L13" s="46"/>
      <c r="M13" s="46"/>
      <c r="N13" s="46"/>
      <c r="O13" s="46"/>
      <c r="P13" s="22">
        <f t="shared" si="0"/>
        <v>0</v>
      </c>
    </row>
    <row r="14" spans="1:16" ht="11.25" customHeight="1" x14ac:dyDescent="0.2">
      <c r="A14" s="121"/>
      <c r="B14" s="124" t="s">
        <v>48</v>
      </c>
      <c r="C14" s="166" t="s">
        <v>49</v>
      </c>
      <c r="D14" s="166"/>
      <c r="E14" s="166"/>
      <c r="F14" s="166"/>
      <c r="G14" s="123" t="s">
        <v>108</v>
      </c>
      <c r="H14" s="52"/>
      <c r="I14" s="46"/>
      <c r="J14" s="46"/>
      <c r="K14" s="46"/>
      <c r="L14" s="46"/>
      <c r="M14" s="46"/>
      <c r="N14" s="46"/>
      <c r="O14" s="46"/>
      <c r="P14" s="22">
        <f t="shared" si="0"/>
        <v>0</v>
      </c>
    </row>
    <row r="15" spans="1:16" ht="11.25" customHeight="1" x14ac:dyDescent="0.2">
      <c r="A15" s="121" t="s">
        <v>20</v>
      </c>
      <c r="B15" s="166" t="s">
        <v>50</v>
      </c>
      <c r="C15" s="166"/>
      <c r="D15" s="166"/>
      <c r="E15" s="166"/>
      <c r="F15" s="166"/>
      <c r="G15" s="123" t="s">
        <v>109</v>
      </c>
      <c r="H15" s="52"/>
      <c r="I15" s="47">
        <f xml:space="preserve"> (I16 + I17)</f>
        <v>0</v>
      </c>
      <c r="J15" s="47">
        <f xml:space="preserve"> (J16 + J17)</f>
        <v>0</v>
      </c>
      <c r="K15" s="47">
        <f xml:space="preserve"> (K16 + K17)</f>
        <v>0</v>
      </c>
      <c r="L15" s="79"/>
      <c r="M15" s="79"/>
      <c r="N15" s="47">
        <f xml:space="preserve"> (N16 + N17)</f>
        <v>0</v>
      </c>
      <c r="O15" s="47">
        <f xml:space="preserve"> (O16 + O17)</f>
        <v>0</v>
      </c>
      <c r="P15" s="22">
        <f t="shared" si="0"/>
        <v>0</v>
      </c>
    </row>
    <row r="16" spans="1:16" ht="11.25" customHeight="1" x14ac:dyDescent="0.2">
      <c r="A16" s="121"/>
      <c r="B16" s="124" t="s">
        <v>46</v>
      </c>
      <c r="C16" s="166" t="s">
        <v>47</v>
      </c>
      <c r="D16" s="166"/>
      <c r="E16" s="166"/>
      <c r="F16" s="166"/>
      <c r="G16" s="123" t="s">
        <v>110</v>
      </c>
      <c r="H16" s="53"/>
      <c r="I16" s="46"/>
      <c r="J16" s="46"/>
      <c r="K16" s="46"/>
      <c r="L16" s="45"/>
      <c r="M16" s="45"/>
      <c r="N16" s="66"/>
      <c r="O16" s="66"/>
      <c r="P16" s="22">
        <f t="shared" si="0"/>
        <v>0</v>
      </c>
    </row>
    <row r="17" spans="1:16" ht="11.25" customHeight="1" x14ac:dyDescent="0.2">
      <c r="A17" s="121"/>
      <c r="B17" s="124" t="s">
        <v>48</v>
      </c>
      <c r="C17" s="166" t="s">
        <v>49</v>
      </c>
      <c r="D17" s="166"/>
      <c r="E17" s="166"/>
      <c r="F17" s="166"/>
      <c r="G17" s="123" t="s">
        <v>111</v>
      </c>
      <c r="H17" s="52"/>
      <c r="I17" s="46"/>
      <c r="J17" s="46"/>
      <c r="K17" s="46"/>
      <c r="L17" s="45"/>
      <c r="M17" s="45"/>
      <c r="N17" s="66"/>
      <c r="O17" s="66"/>
      <c r="P17" s="22">
        <f t="shared" si="0"/>
        <v>0</v>
      </c>
    </row>
    <row r="18" spans="1:16" ht="11.25" customHeight="1" x14ac:dyDescent="0.2">
      <c r="A18" s="121" t="s">
        <v>22</v>
      </c>
      <c r="B18" s="166" t="s">
        <v>51</v>
      </c>
      <c r="C18" s="166"/>
      <c r="D18" s="166"/>
      <c r="E18" s="166"/>
      <c r="F18" s="166"/>
      <c r="G18" s="123" t="s">
        <v>112</v>
      </c>
      <c r="H18" s="52"/>
      <c r="I18" s="45"/>
      <c r="J18" s="45"/>
      <c r="K18" s="45"/>
      <c r="L18" s="46"/>
      <c r="M18" s="46"/>
      <c r="N18" s="46"/>
      <c r="O18" s="46"/>
      <c r="P18" s="22">
        <f t="shared" si="0"/>
        <v>0</v>
      </c>
    </row>
    <row r="19" spans="1:16" ht="11.25" customHeight="1" x14ac:dyDescent="0.2">
      <c r="A19" s="125" t="s">
        <v>24</v>
      </c>
      <c r="B19" s="166" t="s">
        <v>52</v>
      </c>
      <c r="C19" s="166"/>
      <c r="D19" s="166"/>
      <c r="E19" s="166"/>
      <c r="F19" s="166"/>
      <c r="G19" s="126" t="s">
        <v>113</v>
      </c>
      <c r="H19" s="55"/>
      <c r="I19" s="46"/>
      <c r="J19" s="46"/>
      <c r="K19" s="46"/>
      <c r="L19" s="46"/>
      <c r="M19" s="46"/>
      <c r="N19" s="46"/>
      <c r="O19" s="46"/>
      <c r="P19" s="22">
        <f t="shared" si="0"/>
        <v>0</v>
      </c>
    </row>
    <row r="20" spans="1:16" ht="11.25" customHeight="1" x14ac:dyDescent="0.2">
      <c r="A20" s="121" t="s">
        <v>26</v>
      </c>
      <c r="B20" s="166" t="s">
        <v>53</v>
      </c>
      <c r="C20" s="166"/>
      <c r="D20" s="166"/>
      <c r="E20" s="166"/>
      <c r="F20" s="166"/>
      <c r="G20" s="123" t="s">
        <v>114</v>
      </c>
      <c r="H20" s="52"/>
      <c r="I20" s="46"/>
      <c r="J20" s="46"/>
      <c r="K20" s="46"/>
      <c r="L20" s="45"/>
      <c r="M20" s="45"/>
      <c r="N20" s="46"/>
      <c r="O20" s="46"/>
      <c r="P20" s="22">
        <f t="shared" si="0"/>
        <v>0</v>
      </c>
    </row>
    <row r="21" spans="1:16" ht="11.25" customHeight="1" x14ac:dyDescent="0.2">
      <c r="A21" s="121" t="s">
        <v>34</v>
      </c>
      <c r="B21" s="166" t="s">
        <v>151</v>
      </c>
      <c r="C21" s="166"/>
      <c r="D21" s="166"/>
      <c r="E21" s="166"/>
      <c r="F21" s="166"/>
      <c r="G21" s="123" t="s">
        <v>115</v>
      </c>
      <c r="H21" s="52"/>
      <c r="I21" s="22">
        <f>I22+I23+I24</f>
        <v>0</v>
      </c>
      <c r="J21" s="22">
        <f t="shared" ref="J21:O21" si="2">J22+J23+J24</f>
        <v>0</v>
      </c>
      <c r="K21" s="22">
        <f t="shared" si="2"/>
        <v>0</v>
      </c>
      <c r="L21" s="22">
        <f t="shared" si="2"/>
        <v>0</v>
      </c>
      <c r="M21" s="22">
        <f t="shared" si="2"/>
        <v>0</v>
      </c>
      <c r="N21" s="22">
        <f t="shared" si="2"/>
        <v>0</v>
      </c>
      <c r="O21" s="22">
        <f t="shared" si="2"/>
        <v>0</v>
      </c>
      <c r="P21" s="22">
        <f t="shared" si="0"/>
        <v>0</v>
      </c>
    </row>
    <row r="22" spans="1:16" ht="11.25" customHeight="1" x14ac:dyDescent="0.2">
      <c r="A22" s="121"/>
      <c r="B22" s="124" t="s">
        <v>46</v>
      </c>
      <c r="C22" s="168" t="s">
        <v>152</v>
      </c>
      <c r="D22" s="169"/>
      <c r="E22" s="169"/>
      <c r="F22" s="170"/>
      <c r="G22" s="123" t="s">
        <v>158</v>
      </c>
      <c r="H22" s="52"/>
      <c r="I22" s="46"/>
      <c r="J22" s="46"/>
      <c r="K22" s="46"/>
      <c r="L22" s="46"/>
      <c r="M22" s="46"/>
      <c r="N22" s="66"/>
      <c r="O22" s="66"/>
      <c r="P22" s="22">
        <f t="shared" si="0"/>
        <v>0</v>
      </c>
    </row>
    <row r="23" spans="1:16" ht="11.25" customHeight="1" x14ac:dyDescent="0.2">
      <c r="A23" s="121"/>
      <c r="B23" s="124" t="s">
        <v>48</v>
      </c>
      <c r="C23" s="168" t="s">
        <v>153</v>
      </c>
      <c r="D23" s="169"/>
      <c r="E23" s="169"/>
      <c r="F23" s="170"/>
      <c r="G23" s="123" t="s">
        <v>159</v>
      </c>
      <c r="H23" s="52"/>
      <c r="I23" s="46"/>
      <c r="J23" s="46"/>
      <c r="K23" s="46"/>
      <c r="L23" s="45"/>
      <c r="M23" s="45"/>
      <c r="N23" s="66"/>
      <c r="O23" s="66"/>
      <c r="P23" s="22">
        <f t="shared" si="0"/>
        <v>0</v>
      </c>
    </row>
    <row r="24" spans="1:16" ht="11.25" customHeight="1" x14ac:dyDescent="0.2">
      <c r="A24" s="121"/>
      <c r="B24" s="124" t="s">
        <v>154</v>
      </c>
      <c r="C24" s="168" t="s">
        <v>155</v>
      </c>
      <c r="D24" s="169"/>
      <c r="E24" s="169"/>
      <c r="F24" s="170"/>
      <c r="G24" s="123" t="s">
        <v>160</v>
      </c>
      <c r="H24" s="52"/>
      <c r="I24" s="46"/>
      <c r="J24" s="46"/>
      <c r="K24" s="46"/>
      <c r="L24" s="46"/>
      <c r="M24" s="46"/>
      <c r="N24" s="66"/>
      <c r="O24" s="66"/>
      <c r="P24" s="22">
        <f t="shared" si="0"/>
        <v>0</v>
      </c>
    </row>
    <row r="25" spans="1:16" ht="11.25" customHeight="1" x14ac:dyDescent="0.2">
      <c r="A25" s="121" t="s">
        <v>37</v>
      </c>
      <c r="B25" s="166" t="s">
        <v>54</v>
      </c>
      <c r="C25" s="166"/>
      <c r="D25" s="166"/>
      <c r="E25" s="166"/>
      <c r="F25" s="166"/>
      <c r="G25" s="123" t="s">
        <v>116</v>
      </c>
      <c r="H25" s="52"/>
      <c r="I25" s="46"/>
      <c r="J25" s="46"/>
      <c r="K25" s="46"/>
      <c r="L25" s="46"/>
      <c r="M25" s="46"/>
      <c r="N25" s="66"/>
      <c r="O25" s="66"/>
      <c r="P25" s="22">
        <f t="shared" si="0"/>
        <v>0</v>
      </c>
    </row>
    <row r="26" spans="1:16" ht="11.25" customHeight="1" x14ac:dyDescent="0.2">
      <c r="A26" s="121" t="s">
        <v>56</v>
      </c>
      <c r="B26" s="166" t="s">
        <v>55</v>
      </c>
      <c r="C26" s="166"/>
      <c r="D26" s="166"/>
      <c r="E26" s="166"/>
      <c r="F26" s="166"/>
      <c r="G26" s="123" t="s">
        <v>117</v>
      </c>
      <c r="H26" s="52"/>
      <c r="I26" s="46"/>
      <c r="J26" s="46"/>
      <c r="K26" s="46"/>
      <c r="L26" s="46"/>
      <c r="M26" s="46"/>
      <c r="N26" s="46"/>
      <c r="O26" s="46"/>
      <c r="P26" s="22">
        <f t="shared" si="0"/>
        <v>0</v>
      </c>
    </row>
    <row r="27" spans="1:16" ht="11.25" customHeight="1" x14ac:dyDescent="0.2">
      <c r="A27" s="121" t="s">
        <v>58</v>
      </c>
      <c r="B27" s="166" t="s">
        <v>57</v>
      </c>
      <c r="C27" s="166"/>
      <c r="D27" s="166"/>
      <c r="E27" s="166"/>
      <c r="F27" s="166"/>
      <c r="G27" s="123" t="s">
        <v>118</v>
      </c>
      <c r="H27" s="52"/>
      <c r="I27" s="46"/>
      <c r="J27" s="46"/>
      <c r="K27" s="46"/>
      <c r="L27" s="46"/>
      <c r="M27" s="46"/>
      <c r="N27" s="46"/>
      <c r="O27" s="46"/>
      <c r="P27" s="22">
        <f t="shared" si="0"/>
        <v>0</v>
      </c>
    </row>
    <row r="28" spans="1:16" ht="11.25" customHeight="1" x14ac:dyDescent="0.2">
      <c r="A28" s="121" t="s">
        <v>60</v>
      </c>
      <c r="B28" s="166" t="s">
        <v>59</v>
      </c>
      <c r="C28" s="166"/>
      <c r="D28" s="166"/>
      <c r="E28" s="166"/>
      <c r="F28" s="166"/>
      <c r="G28" s="123" t="s">
        <v>119</v>
      </c>
      <c r="H28" s="52"/>
      <c r="I28" s="46"/>
      <c r="J28" s="46"/>
      <c r="K28" s="46"/>
      <c r="L28" s="46"/>
      <c r="M28" s="46"/>
      <c r="N28" s="46"/>
      <c r="O28" s="46"/>
      <c r="P28" s="22">
        <f t="shared" si="0"/>
        <v>0</v>
      </c>
    </row>
    <row r="29" spans="1:16" ht="11.25" customHeight="1" x14ac:dyDescent="0.2">
      <c r="A29" s="121" t="s">
        <v>136</v>
      </c>
      <c r="B29" s="166" t="s">
        <v>61</v>
      </c>
      <c r="C29" s="166"/>
      <c r="D29" s="166"/>
      <c r="E29" s="166"/>
      <c r="F29" s="166"/>
      <c r="G29" s="123" t="s">
        <v>120</v>
      </c>
      <c r="H29" s="56" t="s">
        <v>147</v>
      </c>
      <c r="I29" s="47">
        <f t="shared" ref="I29:O29" si="3">SUM(I30:I31)</f>
        <v>0</v>
      </c>
      <c r="J29" s="47">
        <f t="shared" si="3"/>
        <v>0</v>
      </c>
      <c r="K29" s="47">
        <f t="shared" si="3"/>
        <v>0</v>
      </c>
      <c r="L29" s="47">
        <f t="shared" si="3"/>
        <v>0</v>
      </c>
      <c r="M29" s="47">
        <f t="shared" si="3"/>
        <v>0</v>
      </c>
      <c r="N29" s="47">
        <f t="shared" si="3"/>
        <v>0</v>
      </c>
      <c r="O29" s="47">
        <f t="shared" si="3"/>
        <v>0</v>
      </c>
      <c r="P29" s="22">
        <f t="shared" si="0"/>
        <v>0</v>
      </c>
    </row>
    <row r="30" spans="1:16" ht="11.25" customHeight="1" x14ac:dyDescent="0.2">
      <c r="A30" s="121"/>
      <c r="B30" s="127"/>
      <c r="C30" s="128" t="s">
        <v>135</v>
      </c>
      <c r="D30" s="167"/>
      <c r="E30" s="167"/>
      <c r="F30" s="167"/>
      <c r="G30" s="129"/>
      <c r="H30" s="52">
        <v>1</v>
      </c>
      <c r="I30" s="46"/>
      <c r="J30" s="46"/>
      <c r="K30" s="46"/>
      <c r="L30" s="46"/>
      <c r="M30" s="46"/>
      <c r="N30" s="46"/>
      <c r="O30" s="46"/>
      <c r="P30" s="22">
        <f>I30+K30+M30+O30</f>
        <v>0</v>
      </c>
    </row>
    <row r="31" spans="1:16" ht="11.25" customHeight="1" x14ac:dyDescent="0.2">
      <c r="A31" s="121"/>
      <c r="B31" s="127"/>
      <c r="C31" s="128"/>
      <c r="D31" s="166"/>
      <c r="E31" s="166"/>
      <c r="F31" s="166"/>
      <c r="G31" s="129"/>
      <c r="H31" s="69" t="s">
        <v>149</v>
      </c>
      <c r="I31" s="78"/>
      <c r="J31" s="78"/>
      <c r="K31" s="78"/>
      <c r="L31" s="78"/>
      <c r="M31" s="78"/>
      <c r="N31" s="78"/>
      <c r="O31" s="78"/>
      <c r="P31" s="22"/>
    </row>
    <row r="32" spans="1:16" ht="11.25" customHeight="1" x14ac:dyDescent="0.2">
      <c r="A32" s="121"/>
      <c r="B32" s="165" t="s">
        <v>62</v>
      </c>
      <c r="C32" s="165"/>
      <c r="D32" s="165"/>
      <c r="E32" s="165"/>
      <c r="F32" s="165"/>
      <c r="G32" s="123" t="s">
        <v>121</v>
      </c>
      <c r="H32" s="58"/>
      <c r="I32" s="47">
        <f t="shared" ref="I32:O32" si="4" xml:space="preserve"> (I10 + I11 + I12 + I15 + I18 + I19 + I20 + I21 + I25 + I26 + I27 + I28 + I29)</f>
        <v>0</v>
      </c>
      <c r="J32" s="47">
        <f t="shared" si="4"/>
        <v>0</v>
      </c>
      <c r="K32" s="47">
        <f t="shared" si="4"/>
        <v>0</v>
      </c>
      <c r="L32" s="47">
        <f t="shared" si="4"/>
        <v>0</v>
      </c>
      <c r="M32" s="47">
        <f t="shared" si="4"/>
        <v>0</v>
      </c>
      <c r="N32" s="47">
        <f t="shared" si="4"/>
        <v>0</v>
      </c>
      <c r="O32" s="47">
        <f t="shared" si="4"/>
        <v>0</v>
      </c>
      <c r="P32" s="22">
        <f t="shared" si="0"/>
        <v>0</v>
      </c>
    </row>
    <row r="33" spans="1:16" ht="11.25" customHeight="1" x14ac:dyDescent="0.2">
      <c r="A33" s="121"/>
      <c r="B33" s="165" t="s">
        <v>5</v>
      </c>
      <c r="C33" s="165"/>
      <c r="D33" s="165"/>
      <c r="E33" s="165"/>
      <c r="F33" s="165"/>
      <c r="G33" s="123" t="s">
        <v>122</v>
      </c>
      <c r="H33" s="58"/>
      <c r="I33" s="46"/>
      <c r="J33" s="46"/>
      <c r="K33" s="46"/>
      <c r="L33" s="46"/>
      <c r="M33" s="46"/>
      <c r="N33" s="46"/>
      <c r="O33" s="46"/>
      <c r="P33" s="22">
        <f t="shared" si="0"/>
        <v>0</v>
      </c>
    </row>
    <row r="34" spans="1:16" ht="11.25" customHeight="1" x14ac:dyDescent="0.2">
      <c r="A34" s="127"/>
      <c r="B34" s="165" t="s">
        <v>63</v>
      </c>
      <c r="C34" s="165"/>
      <c r="D34" s="165"/>
      <c r="E34" s="165"/>
      <c r="F34" s="165"/>
      <c r="G34" s="123" t="s">
        <v>123</v>
      </c>
      <c r="H34" s="58"/>
      <c r="I34" s="22">
        <f t="shared" ref="I34:O34" si="5">+I32 - I33</f>
        <v>0</v>
      </c>
      <c r="J34" s="22">
        <f t="shared" si="5"/>
        <v>0</v>
      </c>
      <c r="K34" s="22">
        <f t="shared" si="5"/>
        <v>0</v>
      </c>
      <c r="L34" s="22">
        <f t="shared" si="5"/>
        <v>0</v>
      </c>
      <c r="M34" s="22">
        <f t="shared" si="5"/>
        <v>0</v>
      </c>
      <c r="N34" s="22">
        <f t="shared" si="5"/>
        <v>0</v>
      </c>
      <c r="O34" s="22">
        <f t="shared" si="5"/>
        <v>0</v>
      </c>
      <c r="P34" s="22">
        <f t="shared" si="0"/>
        <v>0</v>
      </c>
    </row>
    <row r="35" spans="1:16" ht="11.25" customHeight="1" x14ac:dyDescent="0.2">
      <c r="A35" s="131" t="s">
        <v>178</v>
      </c>
      <c r="B35" s="130"/>
      <c r="C35" s="130"/>
      <c r="D35" s="130"/>
      <c r="E35" s="130"/>
      <c r="F35" s="130"/>
      <c r="G35" s="123"/>
      <c r="H35" s="58"/>
      <c r="I35" s="22"/>
      <c r="J35" s="22"/>
      <c r="K35" s="22"/>
      <c r="L35" s="22"/>
      <c r="M35" s="22"/>
      <c r="N35" s="22"/>
      <c r="O35" s="22"/>
      <c r="P35" s="22"/>
    </row>
    <row r="36" spans="1:16" ht="23.25" customHeight="1" x14ac:dyDescent="0.2">
      <c r="A36" s="127" t="s">
        <v>179</v>
      </c>
      <c r="B36" s="176" t="s">
        <v>180</v>
      </c>
      <c r="C36" s="177"/>
      <c r="D36" s="178"/>
      <c r="E36" s="130"/>
      <c r="F36" s="130"/>
      <c r="G36" s="123" t="s">
        <v>187</v>
      </c>
      <c r="H36" s="58"/>
      <c r="I36" s="99"/>
      <c r="J36" s="99"/>
      <c r="K36" s="99"/>
      <c r="L36" s="22">
        <f>L37+L38</f>
        <v>0</v>
      </c>
      <c r="M36" s="22">
        <f>M37+M38</f>
        <v>0</v>
      </c>
      <c r="N36" s="22">
        <f>N37+N38</f>
        <v>0</v>
      </c>
      <c r="O36" s="22">
        <f>O37+O38</f>
        <v>0</v>
      </c>
      <c r="P36" s="22">
        <f t="shared" si="0"/>
        <v>0</v>
      </c>
    </row>
    <row r="37" spans="1:16" ht="23.25" customHeight="1" x14ac:dyDescent="0.2">
      <c r="A37" s="127"/>
      <c r="B37" s="122" t="s">
        <v>46</v>
      </c>
      <c r="C37" s="176" t="s">
        <v>181</v>
      </c>
      <c r="D37" s="178"/>
      <c r="E37" s="130"/>
      <c r="F37" s="130"/>
      <c r="G37" s="123" t="s">
        <v>188</v>
      </c>
      <c r="H37" s="58"/>
      <c r="I37" s="99"/>
      <c r="J37" s="99"/>
      <c r="K37" s="99"/>
      <c r="L37" s="46"/>
      <c r="M37" s="46"/>
      <c r="N37" s="46"/>
      <c r="O37" s="46"/>
      <c r="P37" s="22">
        <f t="shared" si="0"/>
        <v>0</v>
      </c>
    </row>
    <row r="38" spans="1:16" ht="23.25" customHeight="1" x14ac:dyDescent="0.2">
      <c r="A38" s="127"/>
      <c r="B38" s="122" t="s">
        <v>48</v>
      </c>
      <c r="C38" s="176" t="s">
        <v>182</v>
      </c>
      <c r="D38" s="178"/>
      <c r="E38" s="130"/>
      <c r="F38" s="130"/>
      <c r="G38" s="123" t="s">
        <v>189</v>
      </c>
      <c r="H38" s="58"/>
      <c r="I38" s="99"/>
      <c r="J38" s="99"/>
      <c r="K38" s="99"/>
      <c r="L38" s="46"/>
      <c r="M38" s="46"/>
      <c r="N38" s="46"/>
      <c r="O38" s="46"/>
      <c r="P38" s="22">
        <f t="shared" si="0"/>
        <v>0</v>
      </c>
    </row>
    <row r="39" spans="1:16" ht="23.25" customHeight="1" x14ac:dyDescent="0.2">
      <c r="A39" s="127" t="s">
        <v>183</v>
      </c>
      <c r="B39" s="176" t="s">
        <v>184</v>
      </c>
      <c r="C39" s="177"/>
      <c r="D39" s="178"/>
      <c r="E39" s="130"/>
      <c r="F39" s="130"/>
      <c r="G39" s="123" t="s">
        <v>190</v>
      </c>
      <c r="H39" s="58"/>
      <c r="I39" s="99"/>
      <c r="J39" s="99"/>
      <c r="K39" s="99"/>
      <c r="L39" s="46"/>
      <c r="M39" s="46"/>
      <c r="N39" s="46"/>
      <c r="O39" s="46"/>
      <c r="P39" s="22">
        <f t="shared" si="0"/>
        <v>0</v>
      </c>
    </row>
    <row r="40" spans="1:16" ht="11.25" customHeight="1" x14ac:dyDescent="0.2">
      <c r="A40" s="131" t="s">
        <v>185</v>
      </c>
      <c r="B40" s="130"/>
      <c r="C40" s="130"/>
      <c r="D40" s="130"/>
      <c r="E40" s="130"/>
      <c r="F40" s="130"/>
      <c r="G40" s="123"/>
      <c r="H40" s="58"/>
      <c r="I40" s="22"/>
      <c r="J40" s="22"/>
      <c r="K40" s="22"/>
      <c r="L40" s="22"/>
      <c r="M40" s="22"/>
      <c r="N40" s="22"/>
      <c r="O40" s="22"/>
      <c r="P40" s="22"/>
    </row>
    <row r="41" spans="1:16" ht="11.25" customHeight="1" x14ac:dyDescent="0.2">
      <c r="A41" s="127" t="s">
        <v>179</v>
      </c>
      <c r="B41" s="168" t="s">
        <v>186</v>
      </c>
      <c r="C41" s="169"/>
      <c r="D41" s="170"/>
      <c r="E41" s="130"/>
      <c r="F41" s="130"/>
      <c r="G41" s="123" t="s">
        <v>191</v>
      </c>
      <c r="H41" s="58"/>
      <c r="I41" s="46"/>
      <c r="J41" s="46"/>
      <c r="K41" s="46"/>
      <c r="L41" s="46"/>
      <c r="M41" s="46"/>
      <c r="N41" s="46"/>
      <c r="O41" s="46"/>
      <c r="P41" s="22">
        <f>I41+K41+M41+O41</f>
        <v>0</v>
      </c>
    </row>
    <row r="42" spans="1:16" x14ac:dyDescent="0.2">
      <c r="A42" s="16"/>
      <c r="B42" s="16"/>
      <c r="C42" s="23"/>
      <c r="D42" s="23"/>
      <c r="E42" s="23"/>
      <c r="F42" s="23"/>
      <c r="G42" s="59" t="s">
        <v>99</v>
      </c>
      <c r="H42" s="25"/>
      <c r="I42" s="24"/>
      <c r="J42" s="24"/>
      <c r="K42" s="24"/>
      <c r="L42" s="24"/>
      <c r="M42" s="24"/>
      <c r="N42" s="24"/>
      <c r="O42" s="24"/>
      <c r="P42" s="24"/>
    </row>
    <row r="43" spans="1:16" x14ac:dyDescent="0.2">
      <c r="A43" s="2" t="s">
        <v>156</v>
      </c>
      <c r="B43" s="16"/>
      <c r="C43" s="23"/>
      <c r="D43" s="23"/>
      <c r="E43" s="23"/>
      <c r="F43" s="23"/>
      <c r="G43" s="59"/>
      <c r="H43" s="25"/>
      <c r="I43" s="24"/>
      <c r="J43" s="24"/>
      <c r="K43" s="24"/>
      <c r="L43" s="24"/>
      <c r="M43" s="24"/>
      <c r="N43" s="24"/>
      <c r="O43" s="24"/>
      <c r="P43" s="24"/>
    </row>
    <row r="44" spans="1:16" x14ac:dyDescent="0.2">
      <c r="A44" s="2" t="s">
        <v>157</v>
      </c>
    </row>
    <row r="54" spans="2:2" x14ac:dyDescent="0.2">
      <c r="B54" s="17"/>
    </row>
  </sheetData>
  <sheetProtection password="96D8" sheet="1" objects="1" scenarios="1" selectLockedCells="1"/>
  <mergeCells count="45">
    <mergeCell ref="B36:D36"/>
    <mergeCell ref="C37:D37"/>
    <mergeCell ref="C38:D38"/>
    <mergeCell ref="B39:D39"/>
    <mergeCell ref="B41:D41"/>
    <mergeCell ref="A1:P1"/>
    <mergeCell ref="A2:P2"/>
    <mergeCell ref="A3:P3"/>
    <mergeCell ref="A4:P4"/>
    <mergeCell ref="A5:P5"/>
    <mergeCell ref="A6:P6"/>
    <mergeCell ref="A7:P7"/>
    <mergeCell ref="A8:F9"/>
    <mergeCell ref="G8:G9"/>
    <mergeCell ref="N8:O8"/>
    <mergeCell ref="P8:P9"/>
    <mergeCell ref="B10:F10"/>
    <mergeCell ref="B11:F11"/>
    <mergeCell ref="H8:H9"/>
    <mergeCell ref="I8:I9"/>
    <mergeCell ref="J8:K8"/>
    <mergeCell ref="L8:M8"/>
    <mergeCell ref="B12:F12"/>
    <mergeCell ref="C13:F13"/>
    <mergeCell ref="C14:F14"/>
    <mergeCell ref="B15:F15"/>
    <mergeCell ref="C16:F16"/>
    <mergeCell ref="C17:F17"/>
    <mergeCell ref="B18:F18"/>
    <mergeCell ref="B19:F19"/>
    <mergeCell ref="B20:F20"/>
    <mergeCell ref="B21:F21"/>
    <mergeCell ref="B25:F25"/>
    <mergeCell ref="B26:F26"/>
    <mergeCell ref="C22:F22"/>
    <mergeCell ref="C23:F23"/>
    <mergeCell ref="C24:F24"/>
    <mergeCell ref="B34:F34"/>
    <mergeCell ref="B28:F28"/>
    <mergeCell ref="B29:F29"/>
    <mergeCell ref="D30:F30"/>
    <mergeCell ref="D31:F31"/>
    <mergeCell ref="B27:F27"/>
    <mergeCell ref="B32:F32"/>
    <mergeCell ref="B33:F33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I33:O33 I30:O31 J21:O21 I19:I25 J20:K20 J19:O19 L18:O18 I16:K17 I13:O14 I10:K11 N20:O20 N26:O28 I26:M27">
      <formula1>0</formula1>
    </dataValidation>
    <dataValidation allowBlank="1" showInputMessage="1" showErrorMessage="1" sqref="I32:P32 J22:O25 P33 P30:P31 L16:O17 L10:P11 I12:P12 P13:P28 I29:P29 I18:K18 I15:O15 L20:M20 I34:P41"/>
    <dataValidation operator="greaterThanOrEqual" allowBlank="1" showInputMessage="1" showErrorMessage="1" errorTitle="Invalid Entry" error="The value you entered is not valid." sqref="I28:M28"/>
  </dataValidations>
  <pageMargins left="0.25" right="0.25" top="1" bottom="0.5" header="0.5" footer="0.5"/>
  <pageSetup paperSize="9" orientation="landscape" r:id="rId1"/>
  <headerFooter alignWithMargins="0">
    <oddHeader>&amp;R&amp;"Arial,Bold"&amp;9&amp;USchedule 19&amp;U
 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027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9525</xdr:rowOff>
              </from>
              <to>
                <xdr:col>7</xdr:col>
                <xdr:colOff>381000</xdr:colOff>
                <xdr:row>30</xdr:row>
                <xdr:rowOff>133350</xdr:rowOff>
              </to>
            </anchor>
          </controlPr>
        </control>
      </mc:Choice>
      <mc:Fallback>
        <control shapeId="1027" r:id="rId4" name="Label_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5"/>
  <sheetViews>
    <sheetView zoomScale="75" zoomScaleNormal="85" zoomScaleSheetLayoutView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1" width="2.42578125" customWidth="1"/>
    <col min="2" max="2" width="3.42578125" customWidth="1"/>
    <col min="3" max="3" width="1.85546875" customWidth="1"/>
    <col min="4" max="4" width="56.7109375" customWidth="1"/>
    <col min="5" max="5" width="45.5703125" hidden="1" customWidth="1"/>
    <col min="6" max="6" width="3.85546875" hidden="1" customWidth="1"/>
    <col min="7" max="7" width="17.85546875" customWidth="1"/>
    <col min="8" max="8" width="6.7109375" style="27" customWidth="1"/>
    <col min="9" max="9" width="18.7109375" customWidth="1"/>
    <col min="10" max="10" width="15.7109375" customWidth="1"/>
    <col min="11" max="11" width="18.7109375" customWidth="1"/>
    <col min="12" max="12" width="15.7109375" customWidth="1"/>
    <col min="13" max="13" width="18.7109375" customWidth="1"/>
    <col min="14" max="15" width="18.7109375" hidden="1" customWidth="1"/>
    <col min="16" max="16" width="20.7109375" customWidth="1"/>
  </cols>
  <sheetData>
    <row r="1" spans="1:16" s="77" customFormat="1" x14ac:dyDescent="0.2">
      <c r="A1" s="186" t="s">
        <v>139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x14ac:dyDescent="0.2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</row>
    <row r="3" spans="1:16" hidden="1" x14ac:dyDescent="0.2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</row>
    <row r="4" spans="1:16" hidden="1" x14ac:dyDescent="0.2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</row>
    <row r="5" spans="1:16" hidden="1" x14ac:dyDescent="0.2">
      <c r="A5" s="187"/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</row>
    <row r="6" spans="1:16" hidden="1" x14ac:dyDescent="0.2">
      <c r="A6" s="187"/>
      <c r="B6" s="187"/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</row>
    <row r="7" spans="1:16" hidden="1" x14ac:dyDescent="0.2">
      <c r="A7" s="187"/>
      <c r="B7" s="187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</row>
    <row r="8" spans="1:16" ht="12.75" customHeight="1" x14ac:dyDescent="0.2">
      <c r="A8" s="144" t="s">
        <v>64</v>
      </c>
      <c r="B8" s="145"/>
      <c r="C8" s="145"/>
      <c r="D8" s="145"/>
      <c r="E8" s="145"/>
      <c r="F8" s="146"/>
      <c r="G8" s="188" t="s">
        <v>2</v>
      </c>
      <c r="H8" s="139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41" t="s">
        <v>138</v>
      </c>
      <c r="O8" s="141"/>
      <c r="P8" s="139" t="s">
        <v>10</v>
      </c>
    </row>
    <row r="9" spans="1:16" x14ac:dyDescent="0.2">
      <c r="A9" s="147"/>
      <c r="B9" s="148"/>
      <c r="C9" s="148"/>
      <c r="D9" s="148"/>
      <c r="E9" s="148"/>
      <c r="F9" s="149"/>
      <c r="G9" s="189"/>
      <c r="H9" s="140"/>
      <c r="I9" s="140"/>
      <c r="J9" s="18" t="s">
        <v>12</v>
      </c>
      <c r="K9" s="19" t="s">
        <v>13</v>
      </c>
      <c r="L9" s="18" t="s">
        <v>12</v>
      </c>
      <c r="M9" s="19" t="s">
        <v>13</v>
      </c>
      <c r="N9" s="65" t="s">
        <v>12</v>
      </c>
      <c r="O9" s="19" t="s">
        <v>13</v>
      </c>
      <c r="P9" s="140"/>
    </row>
    <row r="10" spans="1:16" ht="11.25" customHeight="1" x14ac:dyDescent="0.2">
      <c r="A10" s="61" t="s">
        <v>65</v>
      </c>
      <c r="B10" s="183" t="s">
        <v>140</v>
      </c>
      <c r="C10" s="183"/>
      <c r="D10" s="183"/>
      <c r="E10" s="183"/>
      <c r="F10" s="183"/>
      <c r="G10" s="91" t="s">
        <v>124</v>
      </c>
      <c r="H10" s="55"/>
      <c r="I10" s="22">
        <f t="shared" ref="I10:O10" si="0" xml:space="preserve"> (I11 + I12 + I13 + I14)</f>
        <v>0</v>
      </c>
      <c r="J10" s="22">
        <f t="shared" si="0"/>
        <v>0</v>
      </c>
      <c r="K10" s="22">
        <f t="shared" si="0"/>
        <v>0</v>
      </c>
      <c r="L10" s="22">
        <f t="shared" si="0"/>
        <v>0</v>
      </c>
      <c r="M10" s="22">
        <f t="shared" si="0"/>
        <v>0</v>
      </c>
      <c r="N10" s="22">
        <f t="shared" si="0"/>
        <v>0</v>
      </c>
      <c r="O10" s="22">
        <f t="shared" si="0"/>
        <v>0</v>
      </c>
      <c r="P10" s="22">
        <f>I10+K10+M10+O10</f>
        <v>0</v>
      </c>
    </row>
    <row r="11" spans="1:16" ht="24" customHeight="1" x14ac:dyDescent="0.2">
      <c r="A11" s="62"/>
      <c r="B11" s="63" t="s">
        <v>14</v>
      </c>
      <c r="C11" s="183" t="s">
        <v>66</v>
      </c>
      <c r="D11" s="183"/>
      <c r="E11" s="183"/>
      <c r="F11" s="183"/>
      <c r="G11" s="91" t="s">
        <v>125</v>
      </c>
      <c r="H11" s="55"/>
      <c r="I11" s="45"/>
      <c r="J11" s="46"/>
      <c r="K11" s="46"/>
      <c r="L11" s="46"/>
      <c r="M11" s="46"/>
      <c r="N11" s="46"/>
      <c r="O11" s="46"/>
      <c r="P11" s="22">
        <f t="shared" ref="P11:P22" si="1">I11+K11+M11+O11</f>
        <v>0</v>
      </c>
    </row>
    <row r="12" spans="1:16" ht="11.25" customHeight="1" x14ac:dyDescent="0.2">
      <c r="A12" s="62"/>
      <c r="B12" s="63" t="s">
        <v>16</v>
      </c>
      <c r="C12" s="183" t="s">
        <v>141</v>
      </c>
      <c r="D12" s="183"/>
      <c r="E12" s="183"/>
      <c r="F12" s="183"/>
      <c r="G12" s="91" t="s">
        <v>126</v>
      </c>
      <c r="H12" s="55"/>
      <c r="I12" s="45"/>
      <c r="J12" s="46"/>
      <c r="K12" s="46"/>
      <c r="L12" s="46"/>
      <c r="M12" s="46"/>
      <c r="N12" s="46"/>
      <c r="O12" s="46"/>
      <c r="P12" s="22">
        <f t="shared" si="1"/>
        <v>0</v>
      </c>
    </row>
    <row r="13" spans="1:16" ht="11.25" customHeight="1" x14ac:dyDescent="0.2">
      <c r="A13" s="62"/>
      <c r="B13" s="63" t="s">
        <v>18</v>
      </c>
      <c r="C13" s="183" t="s">
        <v>67</v>
      </c>
      <c r="D13" s="183"/>
      <c r="E13" s="183"/>
      <c r="F13" s="183"/>
      <c r="G13" s="91" t="s">
        <v>127</v>
      </c>
      <c r="H13" s="55"/>
      <c r="I13" s="46"/>
      <c r="J13" s="46"/>
      <c r="K13" s="46"/>
      <c r="L13" s="46"/>
      <c r="M13" s="46"/>
      <c r="N13" s="46"/>
      <c r="O13" s="46"/>
      <c r="P13" s="22">
        <f t="shared" si="1"/>
        <v>0</v>
      </c>
    </row>
    <row r="14" spans="1:16" ht="11.25" customHeight="1" x14ac:dyDescent="0.2">
      <c r="A14" s="51"/>
      <c r="B14" s="63" t="s">
        <v>20</v>
      </c>
      <c r="C14" s="183" t="s">
        <v>137</v>
      </c>
      <c r="D14" s="183"/>
      <c r="E14" s="183"/>
      <c r="F14" s="183"/>
      <c r="G14" s="91" t="s">
        <v>128</v>
      </c>
      <c r="H14" s="64" t="s">
        <v>147</v>
      </c>
      <c r="I14" s="47">
        <f t="shared" ref="I14:O14" si="2">SUM(I15:I16)</f>
        <v>0</v>
      </c>
      <c r="J14" s="47">
        <f t="shared" si="2"/>
        <v>0</v>
      </c>
      <c r="K14" s="47">
        <f t="shared" si="2"/>
        <v>0</v>
      </c>
      <c r="L14" s="47">
        <f t="shared" si="2"/>
        <v>0</v>
      </c>
      <c r="M14" s="47">
        <f t="shared" si="2"/>
        <v>0</v>
      </c>
      <c r="N14" s="47">
        <f t="shared" si="2"/>
        <v>0</v>
      </c>
      <c r="O14" s="47">
        <f t="shared" si="2"/>
        <v>0</v>
      </c>
      <c r="P14" s="22">
        <f t="shared" si="1"/>
        <v>0</v>
      </c>
    </row>
    <row r="15" spans="1:16" ht="11.25" customHeight="1" x14ac:dyDescent="0.2">
      <c r="A15" s="51"/>
      <c r="B15" s="63"/>
      <c r="C15" s="67" t="s">
        <v>135</v>
      </c>
      <c r="D15" s="73"/>
      <c r="E15" s="74"/>
      <c r="F15" s="75"/>
      <c r="G15" s="92"/>
      <c r="H15" s="55">
        <v>1</v>
      </c>
      <c r="I15" s="46"/>
      <c r="J15" s="46"/>
      <c r="K15" s="46"/>
      <c r="L15" s="46"/>
      <c r="M15" s="46"/>
      <c r="N15" s="46"/>
      <c r="O15" s="46"/>
      <c r="P15" s="22">
        <f t="shared" si="1"/>
        <v>0</v>
      </c>
    </row>
    <row r="16" spans="1:16" ht="11.25" customHeight="1" x14ac:dyDescent="0.2">
      <c r="A16" s="71"/>
      <c r="B16" s="71"/>
      <c r="C16" s="71"/>
      <c r="D16" s="184"/>
      <c r="E16" s="184"/>
      <c r="F16" s="185"/>
      <c r="G16" s="92"/>
      <c r="H16" s="70" t="s">
        <v>149</v>
      </c>
      <c r="I16" s="78"/>
      <c r="J16" s="78"/>
      <c r="K16" s="78"/>
      <c r="L16" s="78"/>
      <c r="M16" s="78"/>
      <c r="N16" s="78"/>
      <c r="O16" s="78"/>
      <c r="P16" s="22"/>
    </row>
    <row r="17" spans="1:16" ht="11.25" customHeight="1" x14ac:dyDescent="0.2">
      <c r="A17" s="61" t="s">
        <v>68</v>
      </c>
      <c r="B17" s="183" t="s">
        <v>142</v>
      </c>
      <c r="C17" s="183"/>
      <c r="D17" s="183"/>
      <c r="E17" s="183"/>
      <c r="F17" s="183"/>
      <c r="G17" s="91" t="s">
        <v>129</v>
      </c>
      <c r="H17" s="55"/>
      <c r="I17" s="47">
        <f t="shared" ref="I17:O17" si="3" xml:space="preserve"> (I18 + I19 + I20 + I21)</f>
        <v>0</v>
      </c>
      <c r="J17" s="47">
        <f t="shared" si="3"/>
        <v>0</v>
      </c>
      <c r="K17" s="47">
        <f t="shared" si="3"/>
        <v>0</v>
      </c>
      <c r="L17" s="47">
        <f t="shared" si="3"/>
        <v>0</v>
      </c>
      <c r="M17" s="47">
        <f t="shared" si="3"/>
        <v>0</v>
      </c>
      <c r="N17" s="47">
        <f t="shared" si="3"/>
        <v>0</v>
      </c>
      <c r="O17" s="47">
        <f t="shared" si="3"/>
        <v>0</v>
      </c>
      <c r="P17" s="22">
        <f t="shared" si="1"/>
        <v>0</v>
      </c>
    </row>
    <row r="18" spans="1:16" ht="23.25" customHeight="1" x14ac:dyDescent="0.2">
      <c r="A18" s="51"/>
      <c r="B18" s="63" t="s">
        <v>14</v>
      </c>
      <c r="C18" s="183" t="s">
        <v>143</v>
      </c>
      <c r="D18" s="183"/>
      <c r="E18" s="183"/>
      <c r="F18" s="183"/>
      <c r="G18" s="91" t="s">
        <v>130</v>
      </c>
      <c r="H18" s="55"/>
      <c r="I18" s="46"/>
      <c r="J18" s="46"/>
      <c r="K18" s="46"/>
      <c r="L18" s="46"/>
      <c r="M18" s="46"/>
      <c r="N18" s="46"/>
      <c r="O18" s="46"/>
      <c r="P18" s="22">
        <f t="shared" si="1"/>
        <v>0</v>
      </c>
    </row>
    <row r="19" spans="1:16" ht="11.25" customHeight="1" x14ac:dyDescent="0.2">
      <c r="A19" s="57"/>
      <c r="B19" s="54" t="s">
        <v>16</v>
      </c>
      <c r="C19" s="183" t="s">
        <v>144</v>
      </c>
      <c r="D19" s="183"/>
      <c r="E19" s="183"/>
      <c r="F19" s="183"/>
      <c r="G19" s="90" t="s">
        <v>131</v>
      </c>
      <c r="H19" s="52"/>
      <c r="I19" s="45"/>
      <c r="J19" s="46"/>
      <c r="K19" s="46"/>
      <c r="L19" s="46"/>
      <c r="M19" s="46"/>
      <c r="N19" s="46"/>
      <c r="O19" s="46"/>
      <c r="P19" s="22">
        <f t="shared" si="1"/>
        <v>0</v>
      </c>
    </row>
    <row r="20" spans="1:16" ht="11.25" customHeight="1" x14ac:dyDescent="0.2">
      <c r="A20" s="57"/>
      <c r="B20" s="54" t="s">
        <v>18</v>
      </c>
      <c r="C20" s="183" t="s">
        <v>69</v>
      </c>
      <c r="D20" s="183"/>
      <c r="E20" s="183"/>
      <c r="F20" s="183"/>
      <c r="G20" s="90" t="s">
        <v>132</v>
      </c>
      <c r="H20" s="52"/>
      <c r="I20" s="46"/>
      <c r="J20" s="46"/>
      <c r="K20" s="46"/>
      <c r="L20" s="46"/>
      <c r="M20" s="46"/>
      <c r="N20" s="46"/>
      <c r="O20" s="46"/>
      <c r="P20" s="22">
        <f t="shared" si="1"/>
        <v>0</v>
      </c>
    </row>
    <row r="21" spans="1:16" ht="11.25" customHeight="1" x14ac:dyDescent="0.2">
      <c r="A21" s="57"/>
      <c r="B21" s="54" t="s">
        <v>20</v>
      </c>
      <c r="C21" s="183" t="s">
        <v>137</v>
      </c>
      <c r="D21" s="183"/>
      <c r="E21" s="183"/>
      <c r="F21" s="183"/>
      <c r="G21" s="91" t="s">
        <v>133</v>
      </c>
      <c r="H21" s="64" t="s">
        <v>148</v>
      </c>
      <c r="I21" s="47">
        <f t="shared" ref="I21:O21" si="4">SUM(I22:I23)</f>
        <v>0</v>
      </c>
      <c r="J21" s="47">
        <f t="shared" si="4"/>
        <v>0</v>
      </c>
      <c r="K21" s="47">
        <f t="shared" si="4"/>
        <v>0</v>
      </c>
      <c r="L21" s="47">
        <f t="shared" si="4"/>
        <v>0</v>
      </c>
      <c r="M21" s="47">
        <f t="shared" si="4"/>
        <v>0</v>
      </c>
      <c r="N21" s="47">
        <f t="shared" si="4"/>
        <v>0</v>
      </c>
      <c r="O21" s="47">
        <f t="shared" si="4"/>
        <v>0</v>
      </c>
      <c r="P21" s="22">
        <f t="shared" si="1"/>
        <v>0</v>
      </c>
    </row>
    <row r="22" spans="1:16" ht="11.25" customHeight="1" x14ac:dyDescent="0.2">
      <c r="A22" s="57"/>
      <c r="B22" s="51"/>
      <c r="C22" s="68" t="s">
        <v>135</v>
      </c>
      <c r="D22" s="73"/>
      <c r="E22" s="74"/>
      <c r="F22" s="75"/>
      <c r="G22" s="92"/>
      <c r="H22" s="55">
        <v>1</v>
      </c>
      <c r="I22" s="46"/>
      <c r="J22" s="46"/>
      <c r="K22" s="46"/>
      <c r="L22" s="46"/>
      <c r="M22" s="46"/>
      <c r="N22" s="46"/>
      <c r="O22" s="46"/>
      <c r="P22" s="22">
        <f t="shared" si="1"/>
        <v>0</v>
      </c>
    </row>
    <row r="23" spans="1:16" ht="11.25" customHeight="1" x14ac:dyDescent="0.2">
      <c r="A23" s="57"/>
      <c r="B23" s="57"/>
      <c r="C23" s="72"/>
      <c r="D23" s="180"/>
      <c r="E23" s="181"/>
      <c r="F23" s="182"/>
      <c r="G23" s="92"/>
      <c r="H23" s="70" t="s">
        <v>149</v>
      </c>
      <c r="I23" s="78"/>
      <c r="J23" s="78"/>
      <c r="K23" s="78"/>
      <c r="L23" s="78"/>
      <c r="M23" s="78"/>
      <c r="N23" s="78"/>
      <c r="O23" s="78"/>
      <c r="P23" s="22"/>
    </row>
    <row r="24" spans="1:16" x14ac:dyDescent="0.2">
      <c r="A24" s="28"/>
      <c r="B24" s="28"/>
      <c r="C24" s="28"/>
      <c r="D24" s="28"/>
      <c r="E24" s="28"/>
      <c r="F24" s="28"/>
      <c r="G24" s="20" t="s">
        <v>99</v>
      </c>
    </row>
    <row r="25" spans="1:16" x14ac:dyDescent="0.2">
      <c r="A25" s="28"/>
      <c r="B25" s="28"/>
      <c r="C25" s="28"/>
      <c r="D25" s="28"/>
      <c r="E25" s="15"/>
      <c r="F25" s="28"/>
    </row>
  </sheetData>
  <sheetProtection password="9E58" sheet="1" objects="1" scenarios="1" selectLockedCells="1"/>
  <mergeCells count="27">
    <mergeCell ref="N8:O8"/>
    <mergeCell ref="A8:F9"/>
    <mergeCell ref="L8:M8"/>
    <mergeCell ref="I8:I9"/>
    <mergeCell ref="J8:K8"/>
    <mergeCell ref="G8:G9"/>
    <mergeCell ref="H8:H9"/>
    <mergeCell ref="B10:F10"/>
    <mergeCell ref="B17:F17"/>
    <mergeCell ref="A1:P1"/>
    <mergeCell ref="P8:P9"/>
    <mergeCell ref="A2:P2"/>
    <mergeCell ref="A3:P3"/>
    <mergeCell ref="A4:P4"/>
    <mergeCell ref="A5:P5"/>
    <mergeCell ref="A6:P6"/>
    <mergeCell ref="A7:P7"/>
    <mergeCell ref="D23:F23"/>
    <mergeCell ref="C11:F11"/>
    <mergeCell ref="C12:F12"/>
    <mergeCell ref="C13:F13"/>
    <mergeCell ref="C14:F14"/>
    <mergeCell ref="C21:F21"/>
    <mergeCell ref="C18:F18"/>
    <mergeCell ref="C19:F19"/>
    <mergeCell ref="C20:F20"/>
    <mergeCell ref="D16:F16"/>
  </mergeCells>
  <phoneticPr fontId="1" type="noConversion"/>
  <dataValidations count="2">
    <dataValidation allowBlank="1" showInputMessage="1" showErrorMessage="1" sqref="I21:P21 P15:P16 P18:P20 I17:P17 I19 I14:P14 P10:P13 I10:I12 J10:O10 P22:P23"/>
    <dataValidation type="decimal" operator="greaterThanOrEqual" allowBlank="1" showInputMessage="1" showErrorMessage="1" errorTitle="Invalid Entry" error="The value you entered is not valid." sqref="I18 J18:O19 I20:O20 I22:O23 J11:O12 I13:O13 I15:O16">
      <formula1>0</formula1>
    </dataValidation>
  </dataValidations>
  <pageMargins left="0.25" right="0.25" top="1" bottom="0.5" header="0.5" footer="0.5"/>
  <pageSetup paperSize="9" scale="90" orientation="landscape" horizontalDpi="360" verticalDpi="360" r:id="rId1"/>
  <headerFooter alignWithMargins="0">
    <oddHeader>&amp;R&amp;"Arial,Bold"&amp;9&amp;USchedule 20
&amp;U 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2051" r:id="rId4" name="Label_b">
          <controlPr defaultSize="0" autoLine="0" r:id="rId5">
            <anchor moveWithCells="1">
              <from>
                <xdr:col>7</xdr:col>
                <xdr:colOff>247650</xdr:colOff>
                <xdr:row>22</xdr:row>
                <xdr:rowOff>19050</xdr:rowOff>
              </from>
              <to>
                <xdr:col>7</xdr:col>
                <xdr:colOff>438150</xdr:colOff>
                <xdr:row>23</xdr:row>
                <xdr:rowOff>19050</xdr:rowOff>
              </to>
            </anchor>
          </controlPr>
        </control>
      </mc:Choice>
      <mc:Fallback>
        <control shapeId="2051" r:id="rId4" name="Label_b"/>
      </mc:Fallback>
    </mc:AlternateContent>
    <mc:AlternateContent xmlns:mc="http://schemas.openxmlformats.org/markup-compatibility/2006">
      <mc:Choice Requires="x14">
        <control shapeId="2050" r:id="rId6" name="Label_a">
          <controlPr defaultSize="0" autoLine="0" r:id="rId7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438150</xdr:colOff>
                <xdr:row>16</xdr:row>
                <xdr:rowOff>9525</xdr:rowOff>
              </to>
            </anchor>
          </controlPr>
        </control>
      </mc:Choice>
      <mc:Fallback>
        <control shapeId="2050" r:id="rId6" name="Label_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2"/>
  <sheetViews>
    <sheetView zoomScale="75" workbookViewId="0">
      <selection sqref="A1:P1"/>
    </sheetView>
  </sheetViews>
  <sheetFormatPr defaultRowHeight="12.75" x14ac:dyDescent="0.2"/>
  <cols>
    <col min="1" max="1" width="4" style="2" customWidth="1"/>
    <col min="2" max="2" width="2.7109375" style="2" customWidth="1"/>
    <col min="3" max="3" width="2.85546875" style="2" customWidth="1"/>
    <col min="4" max="4" width="35.28515625" style="2" customWidth="1"/>
    <col min="5" max="5" width="2.85546875" style="2" hidden="1" customWidth="1"/>
    <col min="6" max="6" width="3" style="2" hidden="1" customWidth="1"/>
    <col min="7" max="7" width="18" style="60" bestFit="1" customWidth="1"/>
    <col min="8" max="8" width="5.85546875" style="26" hidden="1" customWidth="1"/>
    <col min="9" max="9" width="18.7109375" style="2" customWidth="1"/>
    <col min="10" max="10" width="15.85546875" style="2" customWidth="1"/>
    <col min="11" max="11" width="18.7109375" style="2" customWidth="1"/>
    <col min="12" max="12" width="15.85546875" style="2" customWidth="1"/>
    <col min="13" max="13" width="18.7109375" style="2" customWidth="1"/>
    <col min="14" max="14" width="15.85546875" style="2" hidden="1" customWidth="1"/>
    <col min="15" max="15" width="18.7109375" style="2" hidden="1" customWidth="1"/>
    <col min="16" max="16" width="18.7109375" style="2" customWidth="1"/>
  </cols>
  <sheetData>
    <row r="1" spans="1:16" x14ac:dyDescent="0.2">
      <c r="A1" s="179" t="s">
        <v>192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</row>
    <row r="2" spans="1:16" ht="0.75" hidden="1" customHeight="1" x14ac:dyDescent="0.2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</row>
    <row r="3" spans="1:16" ht="0.75" hidden="1" customHeight="1" x14ac:dyDescent="0.2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</row>
    <row r="4" spans="1:16" hidden="1" x14ac:dyDescent="0.2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</row>
    <row r="5" spans="1:16" hidden="1" x14ac:dyDescent="0.2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</row>
    <row r="6" spans="1:16" ht="0.75" customHeight="1" x14ac:dyDescent="0.2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1:16" x14ac:dyDescent="0.2">
      <c r="A7" s="173"/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</row>
    <row r="8" spans="1:16" x14ac:dyDescent="0.2">
      <c r="A8" s="141" t="s">
        <v>1</v>
      </c>
      <c r="B8" s="141"/>
      <c r="C8" s="141"/>
      <c r="D8" s="141"/>
      <c r="E8" s="141"/>
      <c r="F8" s="141"/>
      <c r="G8" s="190" t="s">
        <v>2</v>
      </c>
      <c r="H8" s="139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</row>
    <row r="9" spans="1:16" x14ac:dyDescent="0.2">
      <c r="A9" s="153"/>
      <c r="B9" s="153"/>
      <c r="C9" s="153"/>
      <c r="D9" s="153"/>
      <c r="E9" s="153"/>
      <c r="F9" s="153"/>
      <c r="G9" s="188"/>
      <c r="H9" s="156"/>
      <c r="I9" s="156"/>
      <c r="J9" s="13" t="s">
        <v>12</v>
      </c>
      <c r="K9" s="14" t="s">
        <v>13</v>
      </c>
      <c r="L9" s="13" t="s">
        <v>12</v>
      </c>
      <c r="M9" s="14" t="s">
        <v>13</v>
      </c>
      <c r="N9" s="13" t="s">
        <v>12</v>
      </c>
      <c r="O9" s="14" t="s">
        <v>13</v>
      </c>
      <c r="P9" s="156"/>
    </row>
    <row r="10" spans="1:16" x14ac:dyDescent="0.2">
      <c r="A10" s="42" t="s">
        <v>193</v>
      </c>
      <c r="B10" s="31"/>
      <c r="C10" s="31"/>
      <c r="D10" s="31"/>
      <c r="E10" s="31"/>
      <c r="F10" s="31"/>
      <c r="G10" s="18"/>
      <c r="H10" s="55"/>
      <c r="I10" s="78"/>
      <c r="J10" s="78"/>
      <c r="K10" s="78"/>
      <c r="L10" s="78"/>
      <c r="M10" s="78"/>
      <c r="N10" s="78"/>
      <c r="O10" s="78"/>
      <c r="P10" s="22"/>
    </row>
    <row r="11" spans="1:16" ht="23.25" customHeight="1" x14ac:dyDescent="0.2">
      <c r="A11" s="31" t="s">
        <v>179</v>
      </c>
      <c r="B11" s="191" t="s">
        <v>246</v>
      </c>
      <c r="C11" s="192"/>
      <c r="D11" s="193"/>
      <c r="E11" s="31"/>
      <c r="F11" s="31"/>
      <c r="G11" s="18" t="s">
        <v>194</v>
      </c>
      <c r="H11" s="55"/>
      <c r="I11" s="46"/>
      <c r="J11" s="46"/>
      <c r="K11" s="46"/>
      <c r="L11" s="46"/>
      <c r="M11" s="46"/>
      <c r="N11" s="46"/>
      <c r="O11" s="46"/>
      <c r="P11" s="22">
        <f t="shared" ref="P11:P17" si="0">I11+K11+M11+O11</f>
        <v>0</v>
      </c>
    </row>
    <row r="12" spans="1:16" ht="35.25" customHeight="1" x14ac:dyDescent="0.2">
      <c r="A12" s="31" t="s">
        <v>183</v>
      </c>
      <c r="B12" s="191" t="s">
        <v>240</v>
      </c>
      <c r="C12" s="192"/>
      <c r="D12" s="193"/>
      <c r="E12" s="31"/>
      <c r="F12" s="31"/>
      <c r="G12" s="105" t="s">
        <v>241</v>
      </c>
      <c r="H12" s="55"/>
      <c r="I12" s="46"/>
      <c r="J12" s="46"/>
      <c r="K12" s="46"/>
      <c r="L12" s="106"/>
      <c r="M12" s="106"/>
      <c r="N12" s="46"/>
      <c r="O12" s="46"/>
      <c r="P12" s="22">
        <f t="shared" si="0"/>
        <v>0</v>
      </c>
    </row>
    <row r="13" spans="1:16" x14ac:dyDescent="0.2">
      <c r="A13" s="42" t="s">
        <v>146</v>
      </c>
      <c r="B13" s="31"/>
      <c r="C13" s="31"/>
      <c r="D13" s="31"/>
      <c r="E13" s="31"/>
      <c r="F13" s="31"/>
      <c r="G13" s="18" t="s">
        <v>195</v>
      </c>
      <c r="H13" s="55"/>
      <c r="I13" s="22">
        <f>I11+I12</f>
        <v>0</v>
      </c>
      <c r="J13" s="22">
        <f t="shared" ref="J13:P13" si="1">J11+J12</f>
        <v>0</v>
      </c>
      <c r="K13" s="22">
        <f t="shared" si="1"/>
        <v>0</v>
      </c>
      <c r="L13" s="22">
        <f t="shared" si="1"/>
        <v>0</v>
      </c>
      <c r="M13" s="22">
        <f t="shared" si="1"/>
        <v>0</v>
      </c>
      <c r="N13" s="22">
        <f t="shared" si="1"/>
        <v>0</v>
      </c>
      <c r="O13" s="22">
        <f t="shared" si="1"/>
        <v>0</v>
      </c>
      <c r="P13" s="22">
        <f t="shared" si="1"/>
        <v>0</v>
      </c>
    </row>
    <row r="14" spans="1:16" x14ac:dyDescent="0.2">
      <c r="A14" s="31"/>
      <c r="B14" s="31"/>
      <c r="C14" s="31"/>
      <c r="D14" s="31"/>
      <c r="E14" s="31"/>
      <c r="F14" s="31"/>
      <c r="G14" s="18"/>
      <c r="H14" s="55"/>
      <c r="I14" s="78"/>
      <c r="J14" s="78"/>
      <c r="K14" s="78"/>
      <c r="L14" s="78"/>
      <c r="M14" s="78"/>
      <c r="N14" s="78"/>
      <c r="O14" s="78"/>
      <c r="P14" s="22"/>
    </row>
    <row r="15" spans="1:16" x14ac:dyDescent="0.2">
      <c r="A15" s="42" t="s">
        <v>196</v>
      </c>
      <c r="B15" s="31"/>
      <c r="C15" s="31"/>
      <c r="D15" s="31"/>
      <c r="E15" s="31"/>
      <c r="F15" s="31"/>
      <c r="G15" s="18"/>
      <c r="H15" s="55"/>
      <c r="I15" s="78"/>
      <c r="J15" s="78"/>
      <c r="K15" s="78"/>
      <c r="L15" s="78"/>
      <c r="M15" s="78"/>
      <c r="N15" s="78"/>
      <c r="O15" s="78"/>
      <c r="P15" s="22"/>
    </row>
    <row r="16" spans="1:16" ht="23.25" customHeight="1" x14ac:dyDescent="0.2">
      <c r="A16" s="31" t="s">
        <v>179</v>
      </c>
      <c r="B16" s="194" t="s">
        <v>247</v>
      </c>
      <c r="C16" s="195"/>
      <c r="D16" s="196"/>
      <c r="E16" s="31"/>
      <c r="F16" s="31"/>
      <c r="G16" s="18" t="s">
        <v>197</v>
      </c>
      <c r="H16" s="55"/>
      <c r="I16" s="46"/>
      <c r="J16" s="46"/>
      <c r="K16" s="46"/>
      <c r="L16" s="46"/>
      <c r="M16" s="46"/>
      <c r="N16" s="46"/>
      <c r="O16" s="46"/>
      <c r="P16" s="22">
        <f t="shared" si="0"/>
        <v>0</v>
      </c>
    </row>
    <row r="17" spans="1:16" ht="37.5" customHeight="1" x14ac:dyDescent="0.2">
      <c r="A17" s="31" t="s">
        <v>183</v>
      </c>
      <c r="B17" s="191" t="s">
        <v>248</v>
      </c>
      <c r="C17" s="192"/>
      <c r="D17" s="193"/>
      <c r="E17" s="31"/>
      <c r="F17" s="31"/>
      <c r="G17" s="105" t="s">
        <v>242</v>
      </c>
      <c r="H17" s="55"/>
      <c r="I17" s="106"/>
      <c r="J17" s="106"/>
      <c r="K17" s="106"/>
      <c r="L17" s="46"/>
      <c r="M17" s="46"/>
      <c r="N17" s="46"/>
      <c r="O17" s="46"/>
      <c r="P17" s="22">
        <f t="shared" si="0"/>
        <v>0</v>
      </c>
    </row>
    <row r="18" spans="1:16" x14ac:dyDescent="0.2">
      <c r="A18" s="42" t="s">
        <v>146</v>
      </c>
      <c r="B18" s="31"/>
      <c r="C18" s="31"/>
      <c r="D18" s="31"/>
      <c r="E18" s="31"/>
      <c r="F18" s="31"/>
      <c r="G18" s="18" t="s">
        <v>198</v>
      </c>
      <c r="H18" s="55"/>
      <c r="I18" s="22">
        <f>I16+I17</f>
        <v>0</v>
      </c>
      <c r="J18" s="22">
        <f t="shared" ref="J18:P18" si="2">J16+J17</f>
        <v>0</v>
      </c>
      <c r="K18" s="22">
        <f t="shared" si="2"/>
        <v>0</v>
      </c>
      <c r="L18" s="22">
        <f t="shared" si="2"/>
        <v>0</v>
      </c>
      <c r="M18" s="22">
        <f t="shared" si="2"/>
        <v>0</v>
      </c>
      <c r="N18" s="22">
        <f t="shared" si="2"/>
        <v>0</v>
      </c>
      <c r="O18" s="22">
        <f t="shared" si="2"/>
        <v>0</v>
      </c>
      <c r="P18" s="22">
        <f t="shared" si="2"/>
        <v>0</v>
      </c>
    </row>
    <row r="19" spans="1:16" x14ac:dyDescent="0.2">
      <c r="G19" s="20" t="s">
        <v>99</v>
      </c>
    </row>
    <row r="21" spans="1:16" x14ac:dyDescent="0.2">
      <c r="A21" s="2" t="s">
        <v>243</v>
      </c>
    </row>
    <row r="22" spans="1:16" x14ac:dyDescent="0.2">
      <c r="A22" s="2" t="s">
        <v>244</v>
      </c>
    </row>
  </sheetData>
  <sheetProtection password="9F58" sheet="1" objects="1" scenarios="1" selectLockedCells="1"/>
  <mergeCells count="19">
    <mergeCell ref="B17:D17"/>
    <mergeCell ref="B16:D16"/>
    <mergeCell ref="B12:D12"/>
    <mergeCell ref="P8:P9"/>
    <mergeCell ref="B11:D11"/>
    <mergeCell ref="A7:P7"/>
    <mergeCell ref="J8:K8"/>
    <mergeCell ref="L8:M8"/>
    <mergeCell ref="N8:O8"/>
    <mergeCell ref="A8:F9"/>
    <mergeCell ref="G8:G9"/>
    <mergeCell ref="H8:H9"/>
    <mergeCell ref="I8:I9"/>
    <mergeCell ref="A1:P1"/>
    <mergeCell ref="A2:P2"/>
    <mergeCell ref="A3:P3"/>
    <mergeCell ref="A4:P4"/>
    <mergeCell ref="A5:P5"/>
    <mergeCell ref="A6:P6"/>
  </mergeCells>
  <phoneticPr fontId="1" type="noConversion"/>
  <pageMargins left="0.75" right="0.75" top="1" bottom="1" header="0.5" footer="0.5"/>
  <pageSetup orientation="portrait" r:id="rId1"/>
  <headerFooter alignWithMargins="0">
    <oddHeader>&amp;C&amp;"Arial,Bold"&amp;8 MAXIMUM SAVINGS BANK, INC.  [ 03-070011 ]
 As of: June 30,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24"/>
  <sheetViews>
    <sheetView tabSelected="1" topLeftCell="B1" workbookViewId="0"/>
  </sheetViews>
  <sheetFormatPr defaultRowHeight="12.75" x14ac:dyDescent="0.2"/>
  <cols>
    <col min="1" max="1" width="43.85546875" style="133" hidden="1" customWidth="1"/>
    <col min="2" max="16384" width="9.140625" style="133"/>
  </cols>
  <sheetData>
    <row r="1" spans="1:1" x14ac:dyDescent="0.2">
      <c r="A1" s="132" t="s">
        <v>283</v>
      </c>
    </row>
    <row r="2" spans="1:1" x14ac:dyDescent="0.2">
      <c r="A2" s="132">
        <v>3</v>
      </c>
    </row>
    <row r="3" spans="1:1" x14ac:dyDescent="0.2">
      <c r="A3" s="132">
        <v>70011</v>
      </c>
    </row>
    <row r="4" spans="1:1" x14ac:dyDescent="0.2">
      <c r="A4" s="132">
        <v>8888</v>
      </c>
    </row>
    <row r="5" spans="1:1" x14ac:dyDescent="0.2">
      <c r="A5" s="132">
        <v>5</v>
      </c>
    </row>
    <row r="6" spans="1:1" x14ac:dyDescent="0.2">
      <c r="A6" s="132">
        <v>2019</v>
      </c>
    </row>
    <row r="7" spans="1:1" x14ac:dyDescent="0.2">
      <c r="A7" s="132">
        <v>20190630</v>
      </c>
    </row>
    <row r="8" spans="1:1" x14ac:dyDescent="0.2">
      <c r="A8" s="133" t="s">
        <v>150</v>
      </c>
    </row>
    <row r="9" spans="1:1" x14ac:dyDescent="0.2">
      <c r="A9" s="133" t="s">
        <v>282</v>
      </c>
    </row>
    <row r="10" spans="1:1" x14ac:dyDescent="0.2">
      <c r="A10" s="134">
        <v>1</v>
      </c>
    </row>
    <row r="20" spans="1:1" x14ac:dyDescent="0.2">
      <c r="A20" s="133">
        <v>9</v>
      </c>
    </row>
    <row r="21" spans="1:1" x14ac:dyDescent="0.2">
      <c r="A21" s="133">
        <v>2018</v>
      </c>
    </row>
    <row r="50" spans="1:1" x14ac:dyDescent="0.2">
      <c r="A50" s="133" t="s">
        <v>279</v>
      </c>
    </row>
    <row r="51" spans="1:1" x14ac:dyDescent="0.2">
      <c r="A51" s="133" t="s">
        <v>199</v>
      </c>
    </row>
    <row r="52" spans="1:1" x14ac:dyDescent="0.2">
      <c r="A52" s="133" t="s">
        <v>200</v>
      </c>
    </row>
    <row r="53" spans="1:1" x14ac:dyDescent="0.2">
      <c r="A53" s="133" t="s">
        <v>201</v>
      </c>
    </row>
    <row r="54" spans="1:1" x14ac:dyDescent="0.2">
      <c r="A54" s="133" t="s">
        <v>202</v>
      </c>
    </row>
    <row r="55" spans="1:1" x14ac:dyDescent="0.2">
      <c r="A55" s="133" t="s">
        <v>262</v>
      </c>
    </row>
    <row r="56" spans="1:1" x14ac:dyDescent="0.2">
      <c r="A56" s="133" t="s">
        <v>250</v>
      </c>
    </row>
    <row r="57" spans="1:1" x14ac:dyDescent="0.2">
      <c r="A57" s="133" t="s">
        <v>263</v>
      </c>
    </row>
    <row r="58" spans="1:1" x14ac:dyDescent="0.2">
      <c r="A58" s="133" t="s">
        <v>264</v>
      </c>
    </row>
    <row r="59" spans="1:1" x14ac:dyDescent="0.2">
      <c r="A59" s="133" t="s">
        <v>233</v>
      </c>
    </row>
    <row r="60" spans="1:1" x14ac:dyDescent="0.2">
      <c r="A60" s="133" t="s">
        <v>265</v>
      </c>
    </row>
    <row r="61" spans="1:1" x14ac:dyDescent="0.2">
      <c r="A61" s="133" t="s">
        <v>253</v>
      </c>
    </row>
    <row r="62" spans="1:1" x14ac:dyDescent="0.2">
      <c r="A62" s="133" t="s">
        <v>251</v>
      </c>
    </row>
    <row r="63" spans="1:1" x14ac:dyDescent="0.2">
      <c r="A63" s="133" t="s">
        <v>231</v>
      </c>
    </row>
    <row r="64" spans="1:1" x14ac:dyDescent="0.2">
      <c r="A64" s="133" t="s">
        <v>203</v>
      </c>
    </row>
    <row r="65" spans="1:1" x14ac:dyDescent="0.2">
      <c r="A65" s="133" t="s">
        <v>266</v>
      </c>
    </row>
    <row r="66" spans="1:1" x14ac:dyDescent="0.2">
      <c r="A66" s="133" t="s">
        <v>204</v>
      </c>
    </row>
    <row r="67" spans="1:1" x14ac:dyDescent="0.2">
      <c r="A67" s="133" t="s">
        <v>257</v>
      </c>
    </row>
    <row r="68" spans="1:1" x14ac:dyDescent="0.2">
      <c r="A68" s="133" t="s">
        <v>205</v>
      </c>
    </row>
    <row r="69" spans="1:1" x14ac:dyDescent="0.2">
      <c r="A69" s="133" t="s">
        <v>267</v>
      </c>
    </row>
    <row r="70" spans="1:1" x14ac:dyDescent="0.2">
      <c r="A70" s="133" t="s">
        <v>268</v>
      </c>
    </row>
    <row r="71" spans="1:1" x14ac:dyDescent="0.2">
      <c r="A71" s="133" t="s">
        <v>261</v>
      </c>
    </row>
    <row r="72" spans="1:1" x14ac:dyDescent="0.2">
      <c r="A72" s="133" t="s">
        <v>234</v>
      </c>
    </row>
    <row r="73" spans="1:1" x14ac:dyDescent="0.2">
      <c r="A73" s="133" t="s">
        <v>206</v>
      </c>
    </row>
    <row r="74" spans="1:1" x14ac:dyDescent="0.2">
      <c r="A74" s="133" t="s">
        <v>207</v>
      </c>
    </row>
    <row r="75" spans="1:1" x14ac:dyDescent="0.2">
      <c r="A75" s="133" t="s">
        <v>269</v>
      </c>
    </row>
    <row r="76" spans="1:1" x14ac:dyDescent="0.2">
      <c r="A76" s="133" t="s">
        <v>208</v>
      </c>
    </row>
    <row r="77" spans="1:1" x14ac:dyDescent="0.2">
      <c r="A77" s="133" t="s">
        <v>209</v>
      </c>
    </row>
    <row r="78" spans="1:1" x14ac:dyDescent="0.2">
      <c r="A78" s="133" t="s">
        <v>210</v>
      </c>
    </row>
    <row r="79" spans="1:1" x14ac:dyDescent="0.2">
      <c r="A79" s="133" t="s">
        <v>211</v>
      </c>
    </row>
    <row r="80" spans="1:1" x14ac:dyDescent="0.2">
      <c r="A80" s="133" t="s">
        <v>212</v>
      </c>
    </row>
    <row r="81" spans="1:1" x14ac:dyDescent="0.2">
      <c r="A81" s="133" t="s">
        <v>213</v>
      </c>
    </row>
    <row r="82" spans="1:1" x14ac:dyDescent="0.2">
      <c r="A82" s="133" t="s">
        <v>214</v>
      </c>
    </row>
    <row r="83" spans="1:1" x14ac:dyDescent="0.2">
      <c r="A83" s="133" t="s">
        <v>215</v>
      </c>
    </row>
    <row r="84" spans="1:1" x14ac:dyDescent="0.2">
      <c r="A84" s="133" t="s">
        <v>216</v>
      </c>
    </row>
    <row r="85" spans="1:1" x14ac:dyDescent="0.2">
      <c r="A85" s="133" t="s">
        <v>217</v>
      </c>
    </row>
    <row r="86" spans="1:1" x14ac:dyDescent="0.2">
      <c r="A86" s="133" t="s">
        <v>270</v>
      </c>
    </row>
    <row r="87" spans="1:1" x14ac:dyDescent="0.2">
      <c r="A87" s="133" t="s">
        <v>258</v>
      </c>
    </row>
    <row r="88" spans="1:1" x14ac:dyDescent="0.2">
      <c r="A88" s="133" t="s">
        <v>281</v>
      </c>
    </row>
    <row r="89" spans="1:1" x14ac:dyDescent="0.2">
      <c r="A89" s="133" t="s">
        <v>218</v>
      </c>
    </row>
    <row r="90" spans="1:1" x14ac:dyDescent="0.2">
      <c r="A90" s="133" t="s">
        <v>219</v>
      </c>
    </row>
    <row r="91" spans="1:1" x14ac:dyDescent="0.2">
      <c r="A91" s="133" t="s">
        <v>271</v>
      </c>
    </row>
    <row r="92" spans="1:1" x14ac:dyDescent="0.2">
      <c r="A92" s="133" t="s">
        <v>220</v>
      </c>
    </row>
    <row r="93" spans="1:1" x14ac:dyDescent="0.2">
      <c r="A93" s="133" t="s">
        <v>235</v>
      </c>
    </row>
    <row r="94" spans="1:1" x14ac:dyDescent="0.2">
      <c r="A94" s="133" t="s">
        <v>272</v>
      </c>
    </row>
    <row r="95" spans="1:1" x14ac:dyDescent="0.2">
      <c r="A95" s="133" t="s">
        <v>273</v>
      </c>
    </row>
    <row r="96" spans="1:1" x14ac:dyDescent="0.2">
      <c r="A96" s="133" t="s">
        <v>221</v>
      </c>
    </row>
    <row r="97" spans="1:1" x14ac:dyDescent="0.2">
      <c r="A97" s="133" t="s">
        <v>252</v>
      </c>
    </row>
    <row r="98" spans="1:1" x14ac:dyDescent="0.2">
      <c r="A98" s="133" t="s">
        <v>274</v>
      </c>
    </row>
    <row r="99" spans="1:1" x14ac:dyDescent="0.2">
      <c r="A99" s="133" t="s">
        <v>254</v>
      </c>
    </row>
    <row r="100" spans="1:1" x14ac:dyDescent="0.2">
      <c r="A100" s="133" t="s">
        <v>222</v>
      </c>
    </row>
    <row r="101" spans="1:1" x14ac:dyDescent="0.2">
      <c r="A101" s="133" t="s">
        <v>236</v>
      </c>
    </row>
    <row r="102" spans="1:1" x14ac:dyDescent="0.2">
      <c r="A102" s="133" t="s">
        <v>223</v>
      </c>
    </row>
    <row r="103" spans="1:1" x14ac:dyDescent="0.2">
      <c r="A103" s="133" t="s">
        <v>237</v>
      </c>
    </row>
    <row r="104" spans="1:1" x14ac:dyDescent="0.2">
      <c r="A104" s="133" t="s">
        <v>245</v>
      </c>
    </row>
    <row r="105" spans="1:1" x14ac:dyDescent="0.2">
      <c r="A105" s="133" t="s">
        <v>259</v>
      </c>
    </row>
    <row r="106" spans="1:1" x14ac:dyDescent="0.2">
      <c r="A106" s="133" t="s">
        <v>275</v>
      </c>
    </row>
    <row r="107" spans="1:1" x14ac:dyDescent="0.2">
      <c r="A107" s="133" t="s">
        <v>256</v>
      </c>
    </row>
    <row r="108" spans="1:1" x14ac:dyDescent="0.2">
      <c r="A108" s="133" t="s">
        <v>224</v>
      </c>
    </row>
    <row r="109" spans="1:1" x14ac:dyDescent="0.2">
      <c r="A109" s="133" t="s">
        <v>232</v>
      </c>
    </row>
    <row r="110" spans="1:1" x14ac:dyDescent="0.2">
      <c r="A110" s="133" t="s">
        <v>260</v>
      </c>
    </row>
    <row r="111" spans="1:1" x14ac:dyDescent="0.2">
      <c r="A111" s="133" t="s">
        <v>238</v>
      </c>
    </row>
    <row r="112" spans="1:1" x14ac:dyDescent="0.2">
      <c r="A112" s="133" t="s">
        <v>225</v>
      </c>
    </row>
    <row r="113" spans="1:1" x14ac:dyDescent="0.2">
      <c r="A113" s="133" t="s">
        <v>255</v>
      </c>
    </row>
    <row r="114" spans="1:1" x14ac:dyDescent="0.2">
      <c r="A114" s="133" t="s">
        <v>276</v>
      </c>
    </row>
    <row r="115" spans="1:1" x14ac:dyDescent="0.2">
      <c r="A115" s="133" t="s">
        <v>226</v>
      </c>
    </row>
    <row r="116" spans="1:1" x14ac:dyDescent="0.2">
      <c r="A116" s="133" t="s">
        <v>280</v>
      </c>
    </row>
    <row r="117" spans="1:1" x14ac:dyDescent="0.2">
      <c r="A117" s="133" t="s">
        <v>227</v>
      </c>
    </row>
    <row r="118" spans="1:1" x14ac:dyDescent="0.2">
      <c r="A118" s="133" t="s">
        <v>228</v>
      </c>
    </row>
    <row r="119" spans="1:1" x14ac:dyDescent="0.2">
      <c r="A119" s="133" t="s">
        <v>229</v>
      </c>
    </row>
    <row r="120" spans="1:1" x14ac:dyDescent="0.2">
      <c r="A120" s="133" t="s">
        <v>278</v>
      </c>
    </row>
    <row r="121" spans="1:1" x14ac:dyDescent="0.2">
      <c r="A121" s="133" t="s">
        <v>239</v>
      </c>
    </row>
    <row r="122" spans="1:1" x14ac:dyDescent="0.2">
      <c r="A122" s="133" t="s">
        <v>277</v>
      </c>
    </row>
    <row r="123" spans="1:1" x14ac:dyDescent="0.2">
      <c r="A123" s="133" t="s">
        <v>230</v>
      </c>
    </row>
    <row r="124" spans="1:1" x14ac:dyDescent="0.2">
      <c r="A124" s="133" t="s">
        <v>11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>
    <oddHeader>&amp;R&amp;"Arial,Bold"&amp;9&amp;USchedule Bank_x000D_&amp;U &amp;"Arial,Bold" &amp;P &amp;"Arial,Regular"of &amp;"Arial,Bold"&amp;N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16</vt:lpstr>
      <vt:lpstr>17</vt:lpstr>
      <vt:lpstr>19</vt:lpstr>
      <vt:lpstr>20</vt:lpstr>
      <vt:lpstr>42</vt:lpstr>
      <vt:lpstr>Bank</vt:lpstr>
      <vt:lpstr>'16'!Print_Area</vt:lpstr>
      <vt:lpstr>'17'!Print_Area</vt:lpstr>
      <vt:lpstr>'19'!Print_Area</vt:lpstr>
      <vt:lpstr>'20'!Print_Area</vt:lpstr>
      <vt:lpstr>'42'!Print_Area</vt:lpstr>
      <vt:lpstr>'16'!Print_Titles</vt:lpstr>
      <vt:lpstr>'17'!Print_Titles</vt:lpstr>
      <vt:lpstr>'19'!Print_Titles</vt:lpstr>
      <vt:lpstr>'20'!Print_Titles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2010-12-03T00:15:44Z</cp:lastPrinted>
  <dcterms:created xsi:type="dcterms:W3CDTF">2005-10-26T00:57:05Z</dcterms:created>
  <dcterms:modified xsi:type="dcterms:W3CDTF">2019-09-20T06:05:36Z</dcterms:modified>
</cp:coreProperties>
</file>