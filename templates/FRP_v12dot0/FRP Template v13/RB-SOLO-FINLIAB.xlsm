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drin\Desktop\EDITED\"/>
    </mc:Choice>
  </mc:AlternateContent>
  <workbookProtection workbookAlgorithmName="SHA-512" workbookHashValue="6VSa8ImK2Xi1V7YHaxQhsaD/Emi9L802EuNFefFj+pluvY5qD4OU9utRYwhTi+tLi9gnAm4TVcPPOscdpOwiYQ==" workbookSaltValue="2Oejou1xQaJegBve431VZA==" workbookSpinCount="100000" lockStructure="1"/>
  <bookViews>
    <workbookView xWindow="-15" yWindow="-15" windowWidth="15330" windowHeight="4035" firstSheet="1" activeTab="1"/>
  </bookViews>
  <sheets>
    <sheet name="Bank" sheetId="3" state="hidden" r:id="rId1"/>
    <sheet name="21" sheetId="1" r:id="rId2"/>
  </sheets>
  <definedNames>
    <definedName name="_xlnm.Print_Area" localSheetId="1">'21'!$A$1:$P$38</definedName>
    <definedName name="_xlnm.Print_Titles" localSheetId="1">'21'!$A:$H,'21'!$1:$9</definedName>
  </definedNames>
  <calcPr calcId="162913" fullCalcOnLoad="1"/>
</workbook>
</file>

<file path=xl/calcChain.xml><?xml version="1.0" encoding="utf-8"?>
<calcChain xmlns="http://schemas.openxmlformats.org/spreadsheetml/2006/main">
  <c r="I14" i="1" l="1"/>
  <c r="I11" i="1" s="1"/>
  <c r="K14" i="1"/>
  <c r="K11" i="1" s="1"/>
  <c r="M14" i="1"/>
  <c r="M11" i="1" s="1"/>
  <c r="O14" i="1"/>
  <c r="O11" i="1" s="1"/>
  <c r="O10" i="1" s="1"/>
  <c r="O31" i="1" s="1"/>
  <c r="P12" i="1"/>
  <c r="P13" i="1"/>
  <c r="P15" i="1"/>
  <c r="P16" i="1"/>
  <c r="P17" i="1"/>
  <c r="P18" i="1"/>
  <c r="I20" i="1"/>
  <c r="I19" i="1"/>
  <c r="P19" i="1" s="1"/>
  <c r="K20" i="1"/>
  <c r="K19" i="1" s="1"/>
  <c r="M20" i="1"/>
  <c r="M19" i="1" s="1"/>
  <c r="O20" i="1"/>
  <c r="O19" i="1" s="1"/>
  <c r="P21" i="1"/>
  <c r="P22" i="1"/>
  <c r="P23" i="1"/>
  <c r="I24" i="1"/>
  <c r="P24" i="1"/>
  <c r="K24" i="1"/>
  <c r="M24" i="1"/>
  <c r="O24" i="1"/>
  <c r="P25" i="1"/>
  <c r="P26" i="1"/>
  <c r="P27" i="1"/>
  <c r="K28" i="1"/>
  <c r="P28" i="1"/>
  <c r="M28" i="1"/>
  <c r="O28" i="1"/>
  <c r="P29" i="1"/>
  <c r="P30" i="1"/>
  <c r="I33" i="1"/>
  <c r="P33" i="1" s="1"/>
  <c r="K33" i="1"/>
  <c r="M33" i="1"/>
  <c r="O33" i="1"/>
  <c r="P34" i="1"/>
  <c r="P35" i="1"/>
  <c r="P36" i="1"/>
  <c r="N33" i="1"/>
  <c r="N14" i="1"/>
  <c r="N11" i="1" s="1"/>
  <c r="N10" i="1" s="1"/>
  <c r="N31" i="1" s="1"/>
  <c r="N20" i="1"/>
  <c r="N19" i="1" s="1"/>
  <c r="N24" i="1"/>
  <c r="N28" i="1"/>
  <c r="J33" i="1"/>
  <c r="L33" i="1"/>
  <c r="J14" i="1"/>
  <c r="J11" i="1" s="1"/>
  <c r="J20" i="1"/>
  <c r="J19" i="1" s="1"/>
  <c r="J24" i="1"/>
  <c r="J28" i="1"/>
  <c r="L14" i="1"/>
  <c r="L11" i="1" s="1"/>
  <c r="L20" i="1"/>
  <c r="L19" i="1" s="1"/>
  <c r="L24" i="1"/>
  <c r="L28" i="1"/>
  <c r="B13" i="1"/>
  <c r="B14" i="1" s="1"/>
  <c r="B23" i="1"/>
  <c r="B26" i="1"/>
  <c r="L10" i="1" l="1"/>
  <c r="L31" i="1" s="1"/>
  <c r="J10" i="1"/>
  <c r="J31" i="1" s="1"/>
  <c r="M10" i="1"/>
  <c r="M31" i="1" s="1"/>
  <c r="K10" i="1"/>
  <c r="K31" i="1" s="1"/>
  <c r="P11" i="1"/>
  <c r="I10" i="1"/>
  <c r="P20" i="1"/>
  <c r="P14" i="1"/>
  <c r="I31" i="1" l="1"/>
  <c r="P31" i="1" s="1"/>
  <c r="P10" i="1"/>
</calcChain>
</file>

<file path=xl/sharedStrings.xml><?xml version="1.0" encoding="utf-8"?>
<sst xmlns="http://schemas.openxmlformats.org/spreadsheetml/2006/main" count="713" uniqueCount="701">
  <si>
    <t>Liability for Short Position</t>
  </si>
  <si>
    <t>Counterparty</t>
  </si>
  <si>
    <t>Resident</t>
  </si>
  <si>
    <t>Account Code</t>
  </si>
  <si>
    <t>Fair Value</t>
  </si>
  <si>
    <t>Peso Accounts</t>
  </si>
  <si>
    <t>Foreign Regular</t>
  </si>
  <si>
    <t>FCDU/EFCDU</t>
  </si>
  <si>
    <t>Total</t>
  </si>
  <si>
    <t>In US $</t>
  </si>
  <si>
    <t>Peso Equiv.</t>
  </si>
  <si>
    <t>A.</t>
  </si>
  <si>
    <t>Government Securities</t>
  </si>
  <si>
    <t>National Government</t>
  </si>
  <si>
    <t>LGUs</t>
  </si>
  <si>
    <t>GOCC</t>
  </si>
  <si>
    <t>a.</t>
  </si>
  <si>
    <t>Social Security Institutions</t>
  </si>
  <si>
    <t>b.</t>
  </si>
  <si>
    <t xml:space="preserve">Other Financial </t>
  </si>
  <si>
    <t>c.</t>
  </si>
  <si>
    <t>Non-Financial</t>
  </si>
  <si>
    <t>B.</t>
  </si>
  <si>
    <t>BSP</t>
  </si>
  <si>
    <t>C.</t>
  </si>
  <si>
    <t>Banks</t>
  </si>
  <si>
    <t>UBs/KBs</t>
  </si>
  <si>
    <t>Government Banks</t>
  </si>
  <si>
    <t>Non-Government Banks</t>
  </si>
  <si>
    <t>Other Banks</t>
  </si>
  <si>
    <t>D.</t>
  </si>
  <si>
    <t>Private Corporations</t>
  </si>
  <si>
    <t xml:space="preserve">Financial </t>
  </si>
  <si>
    <t>E.</t>
  </si>
  <si>
    <t>Individuals</t>
  </si>
  <si>
    <t>Non-Resident</t>
  </si>
  <si>
    <t>OBUs</t>
  </si>
  <si>
    <t>Additional Information</t>
  </si>
  <si>
    <t>1.</t>
  </si>
  <si>
    <t>Classified as to Term</t>
  </si>
  <si>
    <t>Short Term (one year or less)</t>
  </si>
  <si>
    <t>Medium Term (&gt;1 year to 5 years)</t>
  </si>
  <si>
    <t>Long Term (&gt;5  years)</t>
  </si>
  <si>
    <t>205100000000100000</t>
  </si>
  <si>
    <t>205100000000110000</t>
  </si>
  <si>
    <t>205100000000111000</t>
  </si>
  <si>
    <t>205100000000112000</t>
  </si>
  <si>
    <t>205100000000113000</t>
  </si>
  <si>
    <t>205100000000113100</t>
  </si>
  <si>
    <t>205100000000113200</t>
  </si>
  <si>
    <t>205100000000113300</t>
  </si>
  <si>
    <t>205100000000130000</t>
  </si>
  <si>
    <t>205100000000140000</t>
  </si>
  <si>
    <t>205100000000141000</t>
  </si>
  <si>
    <t>205100000000141100</t>
  </si>
  <si>
    <t>205100000000141200</t>
  </si>
  <si>
    <t>205100000000142000</t>
  </si>
  <si>
    <t>205100000000160000</t>
  </si>
  <si>
    <t>205100000000161000</t>
  </si>
  <si>
    <t>205100000000162000</t>
  </si>
  <si>
    <t>205100000000170000</t>
  </si>
  <si>
    <t>205100000000200000</t>
  </si>
  <si>
    <t>205100000000231000</t>
  </si>
  <si>
    <t>205100000000232000</t>
  </si>
  <si>
    <t>205100000000000000</t>
  </si>
  <si>
    <t>205100000000610000</t>
  </si>
  <si>
    <t>205100000000611000</t>
  </si>
  <si>
    <t>205100000000612100</t>
  </si>
  <si>
    <t>205100000000612200</t>
  </si>
  <si>
    <t>$$$</t>
  </si>
  <si>
    <t>x</t>
  </si>
  <si>
    <t>Others</t>
  </si>
  <si>
    <t>Foreign Offices</t>
  </si>
  <si>
    <t>TOTAL</t>
  </si>
  <si>
    <t>Solo Reports</t>
  </si>
  <si>
    <t>Note: Unblocking is in anticipation of SLB transactions.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</si>
  <si>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</si>
  <si>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</si>
  <si>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</si>
  <si>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</si>
  <si>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</si>
  <si>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</si>
  <si>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</si>
  <si>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</si>
  <si>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</si>
  <si>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</si>
  <si>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</si>
  <si>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</si>
  <si>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</si>
  <si>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</si>
  <si>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</si>
  <si>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</si>
  <si>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</si>
  <si>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</si>
  <si>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</si>
  <si>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</si>
  <si>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</si>
  <si>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</si>
  <si>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</si>
  <si>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</si>
  <si>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</si>
  <si>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</si>
  <si>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</si>
  <si>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</si>
  <si>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</si>
  <si>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</si>
  <si>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</si>
  <si>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</si>
  <si>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</si>
  <si>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</si>
  <si>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</si>
  <si>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</si>
  <si>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</si>
  <si>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</si>
  <si>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</si>
  <si>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</si>
  <si>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</si>
  <si>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</si>
  <si>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</si>
  <si>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</si>
  <si>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</si>
  <si>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</si>
  <si>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</si>
  <si>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</si>
  <si>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</si>
  <si>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</si>
  <si>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</si>
  <si>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</si>
  <si>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</si>
  <si>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</si>
  <si>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</si>
  <si>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</si>
  <si>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</si>
  <si>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</si>
  <si>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</si>
  <si>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</si>
  <si>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</si>
  <si>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</si>
  <si>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</si>
  <si>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</si>
  <si>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</si>
  <si>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</si>
  <si>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</si>
  <si>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</si>
  <si>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</si>
  <si>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</si>
  <si>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</si>
  <si>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</si>
  <si>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</si>
  <si>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</si>
  <si>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</si>
  <si>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</si>
  <si>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</si>
  <si>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</si>
  <si>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</si>
  <si>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</si>
  <si>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</si>
  <si>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</si>
  <si>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</si>
  <si>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</si>
  <si>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</si>
  <si>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</si>
  <si>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</si>
  <si>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</si>
  <si>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</si>
  <si>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</si>
  <si>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</si>
  <si>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</si>
  <si>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</si>
  <si>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</si>
  <si>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</si>
  <si>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</si>
  <si>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</si>
  <si>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</si>
  <si>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</si>
  <si>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</si>
  <si>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</si>
  <si>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</si>
  <si>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</si>
  <si>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</si>
  <si>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</si>
  <si>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</si>
  <si>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</si>
  <si>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</si>
  <si>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</si>
  <si>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</si>
  <si>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</si>
  <si>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</si>
  <si>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</si>
  <si>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</si>
  <si>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</si>
  <si>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</si>
  <si>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</si>
  <si>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</si>
  <si>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</si>
  <si>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</si>
  <si>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</si>
  <si>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</si>
  <si>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</si>
  <si>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</si>
  <si>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</si>
  <si>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</si>
  <si>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</si>
  <si>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</si>
  <si>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</si>
  <si>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</si>
  <si>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</si>
  <si>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</si>
  <si>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</si>
  <si>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</si>
  <si>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</si>
  <si>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</si>
  <si>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</si>
  <si>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</si>
  <si>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</si>
  <si>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</si>
  <si>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</si>
  <si>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</si>
  <si>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</si>
  <si>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</si>
  <si>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</si>
  <si>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</si>
  <si>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</si>
  <si>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</si>
  <si>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</si>
  <si>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</si>
  <si>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</si>
  <si>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</si>
  <si>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</si>
  <si>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</si>
  <si>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</si>
  <si>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</si>
  <si>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</si>
  <si>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</si>
  <si>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</si>
  <si>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</si>
  <si>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</si>
  <si>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</si>
  <si>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</si>
  <si>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</si>
  <si>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</si>
  <si>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</si>
  <si>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</si>
  <si>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</si>
  <si>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</si>
  <si>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</si>
  <si>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</si>
  <si>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</si>
  <si>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</si>
  <si>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</si>
  <si>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</si>
  <si>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</si>
  <si>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</si>
  <si>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</si>
  <si>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</si>
  <si>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</si>
  <si>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</si>
  <si>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</si>
  <si>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</si>
  <si>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</si>
  <si>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</si>
  <si>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</si>
  <si>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</si>
  <si>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</si>
  <si>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</si>
  <si>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</si>
  <si>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</si>
  <si>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</si>
  <si>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</si>
  <si>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</si>
  <si>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</si>
  <si>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</si>
  <si>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</si>
  <si>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</si>
  <si>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</si>
  <si>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</si>
  <si>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</si>
  <si>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</si>
  <si>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</si>
  <si>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</si>
  <si>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</si>
  <si>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</si>
  <si>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</si>
  <si>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</si>
  <si>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</si>
  <si>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</si>
  <si>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</si>
  <si>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</si>
  <si>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</si>
  <si>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</si>
  <si>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</si>
  <si>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</si>
  <si>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</si>
  <si>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</si>
  <si>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</si>
  <si>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</si>
  <si>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</si>
  <si>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</si>
  <si>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</si>
  <si>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</si>
  <si>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</si>
  <si>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</si>
  <si>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</si>
  <si>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</si>
  <si>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</si>
  <si>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</si>
  <si>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</si>
  <si>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</si>
  <si>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</si>
  <si>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</si>
  <si>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</si>
  <si>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</si>
  <si>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</si>
  <si>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</si>
  <si>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</si>
  <si>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</si>
  <si>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</si>
  <si>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</si>
  <si>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</si>
  <si>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</si>
  <si>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</si>
  <si>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</si>
  <si>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</si>
  <si>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</si>
  <si>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</si>
  <si>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</si>
  <si>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</si>
  <si>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</si>
  <si>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</si>
  <si>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</si>
  <si>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</si>
  <si>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</si>
  <si>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</si>
  <si>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</si>
  <si>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</si>
  <si>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</si>
  <si>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</si>
  <si>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</si>
  <si>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</si>
  <si>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</si>
  <si>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</si>
  <si>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</si>
  <si>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</si>
  <si>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</si>
  <si>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</si>
  <si>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</si>
  <si>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</si>
  <si>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</si>
  <si>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</si>
  <si>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</si>
  <si>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</si>
  <si>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</si>
  <si>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</si>
  <si>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</si>
  <si>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</si>
  <si>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</si>
  <si>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</si>
  <si>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</si>
  <si>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</si>
  <si>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</si>
  <si>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</si>
  <si>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</si>
  <si>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</si>
  <si>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</si>
  <si>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</si>
  <si>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</si>
  <si>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</si>
  <si>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</si>
  <si>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</si>
  <si>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</si>
  <si>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</si>
  <si>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</si>
  <si>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</si>
  <si>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</si>
  <si>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</si>
  <si>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</si>
  <si>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</si>
  <si>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</si>
  <si>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</si>
  <si>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</si>
  <si>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</si>
  <si>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</si>
  <si>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</si>
  <si>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</si>
  <si>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</si>
  <si>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</si>
  <si>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</si>
  <si>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</si>
  <si>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</si>
  <si>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</si>
  <si>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</si>
  <si>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</si>
  <si>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</si>
  <si>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</si>
  <si>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</si>
  <si>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</si>
  <si>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</si>
  <si>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</si>
  <si>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</si>
  <si>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</si>
  <si>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</si>
  <si>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</si>
  <si>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</si>
  <si>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</si>
  <si>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</si>
  <si>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</si>
  <si>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</si>
  <si>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</si>
  <si>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</si>
  <si>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</si>
  <si>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</si>
  <si>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</si>
  <si>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</si>
  <si>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</si>
  <si>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</si>
  <si>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</si>
  <si>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</si>
  <si>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</si>
  <si>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</si>
  <si>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</si>
  <si>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</si>
  <si>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</si>
  <si>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</si>
  <si>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</si>
  <si>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</si>
  <si>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</si>
  <si>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</si>
  <si>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</si>
  <si>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</si>
  <si>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</si>
  <si>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</si>
  <si>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</si>
  <si>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</si>
  <si>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</si>
  <si>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</si>
  <si>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</si>
  <si>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</si>
  <si>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</si>
  <si>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</si>
  <si>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</si>
  <si>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</si>
  <si>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</si>
  <si>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</si>
  <si>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</si>
  <si>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</si>
  <si>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</si>
  <si>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</si>
  <si>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</si>
  <si>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</si>
  <si>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</si>
  <si>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</si>
  <si>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</si>
  <si>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</si>
  <si>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</si>
  <si>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</si>
  <si>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</si>
  <si>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</si>
  <si>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</si>
  <si>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</si>
  <si>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</si>
  <si>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</si>
  <si>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</si>
  <si>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</si>
  <si>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</si>
  <si>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</si>
  <si>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</si>
  <si>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</si>
  <si>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</si>
  <si>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</si>
  <si>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</si>
  <si>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</si>
  <si>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</si>
  <si>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</si>
  <si>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</si>
  <si>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</si>
  <si>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</si>
  <si>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</si>
  <si>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</si>
  <si>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</si>
  <si>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</si>
  <si>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</si>
  <si>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</si>
  <si>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</si>
  <si>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</si>
  <si>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</si>
  <si>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</si>
  <si>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</si>
  <si>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</si>
  <si>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</si>
  <si>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</si>
  <si>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</si>
  <si>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</si>
  <si>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</si>
  <si>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</si>
  <si>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</si>
  <si>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</si>
  <si>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</si>
  <si>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</si>
  <si>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</si>
  <si>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</si>
  <si>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</si>
  <si>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</si>
  <si>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</si>
  <si>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</si>
  <si>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</si>
  <si>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</si>
  <si>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</si>
  <si>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</si>
  <si>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</si>
  <si>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</si>
  <si>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</si>
  <si>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</si>
  <si>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</si>
  <si>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</si>
  <si>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</si>
  <si>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</si>
  <si>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</si>
  <si>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</si>
  <si>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</si>
  <si>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</si>
  <si>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</si>
  <si>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</si>
  <si>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</si>
  <si>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</si>
  <si>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</si>
  <si>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</si>
  <si>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</si>
  <si>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</si>
  <si>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</si>
  <si>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</si>
  <si>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</si>
  <si>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</si>
  <si>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</si>
  <si>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</si>
  <si>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</si>
  <si>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</si>
  <si>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</si>
  <si>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</si>
  <si>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</si>
  <si>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</si>
  <si>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</si>
  <si>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</si>
  <si>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</si>
  <si>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</si>
  <si>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</si>
  <si>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</si>
  <si>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</si>
  <si>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</si>
  <si>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</si>
  <si>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</si>
  <si>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</si>
  <si>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</si>
  <si>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</si>
  <si>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</si>
  <si>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</si>
  <si>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</si>
  <si>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</si>
  <si>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</si>
  <si>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</si>
  <si>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</si>
  <si>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</si>
  <si>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</si>
  <si>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</si>
  <si>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</si>
  <si>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</si>
  <si>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</si>
  <si>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</si>
  <si>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</si>
  <si>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</si>
  <si>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</si>
  <si>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</si>
  <si>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</si>
  <si>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</si>
  <si>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</si>
  <si>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</si>
  <si>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</si>
  <si>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</si>
  <si>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</si>
  <si>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</si>
  <si>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</si>
  <si>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</si>
  <si>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</si>
  <si>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</si>
  <si>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</si>
  <si>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</si>
  <si>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</si>
  <si>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</si>
  <si>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</si>
  <si>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</si>
  <si>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</si>
  <si>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</si>
  <si>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</si>
  <si>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</si>
  <si>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</si>
  <si>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</si>
  <si>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</si>
  <si>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</si>
  <si>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</si>
  <si>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</si>
  <si>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</si>
  <si>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</si>
  <si>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</si>
  <si>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</si>
  <si>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</si>
  <si>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</si>
  <si>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</si>
  <si>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</si>
  <si>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</si>
  <si>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</si>
  <si>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</si>
  <si>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</si>
  <si>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</si>
  <si>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</si>
  <si>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</si>
  <si>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</si>
  <si>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</si>
  <si>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</si>
  <si>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</si>
  <si>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</si>
  <si>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</si>
  <si>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</si>
  <si>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</si>
  <si>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</si>
  <si>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</si>
  <si>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</si>
  <si>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</si>
  <si>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</si>
  <si>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</si>
  <si>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</si>
  <si>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</si>
  <si>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</si>
  <si>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</si>
  <si>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</si>
  <si>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</si>
  <si>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</si>
  <si>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</si>
  <si>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</si>
  <si>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</si>
  <si>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</si>
  <si>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</si>
  <si>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</si>
  <si>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</si>
  <si>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</si>
  <si>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</si>
  <si>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</si>
  <si>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</si>
  <si>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</si>
  <si>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</si>
  <si>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</si>
  <si>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</si>
  <si>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</si>
  <si>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</si>
  <si>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</si>
  <si>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</si>
  <si>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</si>
  <si>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</si>
  <si>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</si>
  <si>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</si>
  <si>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</si>
  <si>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</si>
  <si>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</si>
  <si>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</si>
  <si>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</si>
  <si>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</si>
  <si>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</si>
  <si>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</si>
  <si>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</si>
  <si>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</si>
  <si>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</si>
  <si>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</si>
  <si>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</si>
  <si>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</si>
  <si>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</si>
  <si>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</si>
  <si>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</si>
  <si>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</si>
  <si>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</si>
  <si>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</si>
  <si>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</si>
  <si>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</si>
  <si>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</si>
  <si>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</si>
  <si>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</si>
  <si>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</si>
  <si>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</si>
  <si>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FINLIAB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</si>
  <si>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</si>
  <si>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</si>
  <si>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</si>
  <si>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</si>
  <si>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</si>
  <si>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</si>
  <si>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</si>
  <si>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</si>
  <si>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</si>
  <si>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</si>
  <si>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</si>
  <si>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</si>
  <si>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</si>
  <si>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v13.0</t>
  </si>
  <si>
    <t>NEW RURAL BANK OF SAN LEONARDO,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</si>
</sst>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_);\(0\)"/>
    <numFmt numFmtId="169" formatCode="00000000000#"/>
  </numFmts>
  <fonts count="9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10"/>
      <color indexed="48"/>
      <name val="Arial"/>
      <family val="2"/>
    </font>
    <font>
      <sz val="8"/>
      <color indexed="55"/>
      <name val="Arial"/>
      <family val="2"/>
    </font>
    <font>
      <sz val="8"/>
      <color indexed="12"/>
      <name val="Arial"/>
      <family val="2"/>
    </font>
    <font>
      <sz val="10"/>
      <color indexed="1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2" borderId="0" xfId="0" applyFill="1"/>
    <xf numFmtId="0" fontId="5" fillId="2" borderId="0" xfId="0" applyFont="1" applyFill="1"/>
    <xf numFmtId="0" fontId="2" fillId="0" borderId="0" xfId="0" applyFont="1" applyProtection="1"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169" fontId="1" fillId="0" borderId="2" xfId="0" applyNumberFormat="1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169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169" fontId="1" fillId="0" borderId="6" xfId="0" applyNumberFormat="1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/>
      <protection hidden="1"/>
    </xf>
    <xf numFmtId="0" fontId="1" fillId="0" borderId="5" xfId="0" applyFont="1" applyBorder="1" applyAlignment="1" applyProtection="1">
      <alignment horizontal="center"/>
      <protection hidden="1"/>
    </xf>
    <xf numFmtId="0" fontId="2" fillId="0" borderId="0" xfId="0" applyFont="1" applyFill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1" fillId="0" borderId="10" xfId="0" applyFont="1" applyFill="1" applyBorder="1" applyProtection="1">
      <protection hidden="1"/>
    </xf>
    <xf numFmtId="0" fontId="1" fillId="0" borderId="7" xfId="0" applyFont="1" applyFill="1" applyBorder="1" applyProtection="1">
      <protection hidden="1"/>
    </xf>
    <xf numFmtId="0" fontId="2" fillId="0" borderId="7" xfId="0" applyFont="1" applyFill="1" applyBorder="1" applyAlignment="1" applyProtection="1">
      <alignment horizontal="center"/>
      <protection hidden="1"/>
    </xf>
    <xf numFmtId="0" fontId="2" fillId="0" borderId="7" xfId="0" applyFont="1" applyFill="1" applyBorder="1" applyProtection="1">
      <protection hidden="1"/>
    </xf>
    <xf numFmtId="0" fontId="1" fillId="0" borderId="11" xfId="0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7" xfId="0" applyFont="1" applyFill="1" applyBorder="1" applyAlignment="1" applyProtection="1">
      <alignment vertical="top" wrapText="1"/>
      <protection hidden="1"/>
    </xf>
    <xf numFmtId="0" fontId="2" fillId="0" borderId="7" xfId="0" applyFont="1" applyBorder="1" applyAlignment="1" applyProtection="1">
      <protection hidden="1"/>
    </xf>
    <xf numFmtId="0" fontId="2" fillId="0" borderId="7" xfId="0" applyFont="1" applyBorder="1" applyAlignment="1" applyProtection="1">
      <alignment vertical="top" wrapText="1"/>
      <protection hidden="1"/>
    </xf>
    <xf numFmtId="0" fontId="4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8" xfId="0" applyFont="1" applyFill="1" applyBorder="1" applyProtection="1">
      <protection hidden="1"/>
    </xf>
    <xf numFmtId="0" fontId="2" fillId="0" borderId="11" xfId="0" applyFont="1" applyFill="1" applyBorder="1" applyProtection="1">
      <protection hidden="1"/>
    </xf>
    <xf numFmtId="164" fontId="2" fillId="0" borderId="9" xfId="0" applyNumberFormat="1" applyFont="1" applyFill="1" applyBorder="1" applyProtection="1">
      <protection hidden="1"/>
    </xf>
    <xf numFmtId="164" fontId="2" fillId="0" borderId="0" xfId="0" applyNumberFormat="1" applyFont="1" applyFill="1" applyBorder="1" applyProtection="1">
      <protection hidden="1"/>
    </xf>
    <xf numFmtId="0" fontId="2" fillId="0" borderId="9" xfId="0" applyFont="1" applyFill="1" applyBorder="1" applyAlignment="1" applyProtection="1">
      <alignment vertical="top"/>
      <protection hidden="1"/>
    </xf>
    <xf numFmtId="0" fontId="2" fillId="0" borderId="8" xfId="0" quotePrefix="1" applyFont="1" applyFill="1" applyBorder="1" applyAlignment="1" applyProtection="1">
      <alignment vertical="top" wrapText="1"/>
      <protection hidden="1"/>
    </xf>
    <xf numFmtId="0" fontId="2" fillId="0" borderId="10" xfId="0" applyFont="1" applyFill="1" applyBorder="1" applyAlignment="1" applyProtection="1">
      <alignment horizontal="left" vertical="top" wrapText="1"/>
      <protection hidden="1"/>
    </xf>
    <xf numFmtId="0" fontId="2" fillId="0" borderId="7" xfId="0" applyFont="1" applyFill="1" applyBorder="1" applyAlignment="1" applyProtection="1">
      <alignment horizontal="left" vertical="top" wrapText="1"/>
      <protection hidden="1"/>
    </xf>
    <xf numFmtId="0" fontId="2" fillId="0" borderId="10" xfId="0" applyFont="1" applyBorder="1" applyProtection="1">
      <protection hidden="1"/>
    </xf>
    <xf numFmtId="0" fontId="2" fillId="0" borderId="7" xfId="0" applyFont="1" applyBorder="1" applyProtection="1">
      <protection hidden="1"/>
    </xf>
    <xf numFmtId="49" fontId="2" fillId="0" borderId="8" xfId="0" applyNumberFormat="1" applyFont="1" applyBorder="1" applyProtection="1">
      <protection hidden="1"/>
    </xf>
    <xf numFmtId="49" fontId="2" fillId="0" borderId="9" xfId="0" applyNumberFormat="1" applyFont="1" applyBorder="1" applyProtection="1">
      <protection hidden="1"/>
    </xf>
    <xf numFmtId="0" fontId="2" fillId="0" borderId="10" xfId="0" applyFont="1" applyBorder="1" applyAlignment="1" applyProtection="1">
      <alignment horizontal="left" vertical="top" wrapText="1"/>
      <protection hidden="1"/>
    </xf>
    <xf numFmtId="0" fontId="2" fillId="0" borderId="7" xfId="0" applyFont="1" applyBorder="1" applyAlignment="1" applyProtection="1">
      <alignment horizontal="left" vertical="top" wrapText="1"/>
      <protection hidden="1"/>
    </xf>
    <xf numFmtId="0" fontId="1" fillId="0" borderId="5" xfId="0" applyFont="1" applyFill="1" applyBorder="1" applyProtection="1">
      <protection hidden="1"/>
    </xf>
    <xf numFmtId="0" fontId="1" fillId="0" borderId="12" xfId="0" applyFont="1" applyFill="1" applyBorder="1" applyProtection="1">
      <protection hidden="1"/>
    </xf>
    <xf numFmtId="0" fontId="2" fillId="0" borderId="13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164" fontId="2" fillId="0" borderId="9" xfId="0" applyNumberFormat="1" applyFont="1" applyBorder="1" applyProtection="1">
      <protection hidden="1"/>
    </xf>
    <xf numFmtId="0" fontId="1" fillId="0" borderId="9" xfId="0" applyFont="1" applyFill="1" applyBorder="1" applyProtection="1">
      <protection hidden="1"/>
    </xf>
    <xf numFmtId="4" fontId="7" fillId="3" borderId="7" xfId="0" applyNumberFormat="1" applyFont="1" applyFill="1" applyBorder="1" applyAlignment="1" applyProtection="1">
      <alignment horizontal="right"/>
      <protection hidden="1"/>
    </xf>
    <xf numFmtId="4" fontId="2" fillId="3" borderId="7" xfId="0" applyNumberFormat="1" applyFont="1" applyFill="1" applyBorder="1" applyAlignment="1" applyProtection="1">
      <alignment horizontal="right"/>
      <protection hidden="1"/>
    </xf>
    <xf numFmtId="4" fontId="6" fillId="0" borderId="7" xfId="0" applyNumberFormat="1" applyFont="1" applyFill="1" applyBorder="1" applyAlignment="1" applyProtection="1">
      <alignment horizontal="right"/>
      <protection hidden="1"/>
    </xf>
    <xf numFmtId="4" fontId="7" fillId="0" borderId="7" xfId="0" applyNumberFormat="1" applyFont="1" applyFill="1" applyBorder="1" applyAlignment="1" applyProtection="1">
      <alignment horizontal="right" vertical="center" wrapText="1"/>
      <protection hidden="1"/>
    </xf>
    <xf numFmtId="4" fontId="7" fillId="0" borderId="7" xfId="0" applyNumberFormat="1" applyFont="1" applyFill="1" applyBorder="1" applyAlignment="1" applyProtection="1">
      <alignment horizontal="right"/>
      <protection hidden="1"/>
    </xf>
    <xf numFmtId="4" fontId="7" fillId="0" borderId="7" xfId="0" applyNumberFormat="1" applyFont="1" applyFill="1" applyBorder="1" applyAlignment="1" applyProtection="1">
      <alignment horizontal="right" vertical="top" wrapText="1"/>
      <protection hidden="1"/>
    </xf>
    <xf numFmtId="4" fontId="2" fillId="0" borderId="7" xfId="0" applyNumberFormat="1" applyFont="1" applyFill="1" applyBorder="1" applyAlignment="1" applyProtection="1">
      <alignment horizontal="right"/>
      <protection locked="0"/>
    </xf>
    <xf numFmtId="4" fontId="2" fillId="0" borderId="7" xfId="0" applyNumberFormat="1" applyFont="1" applyFill="1" applyBorder="1" applyAlignment="1" applyProtection="1">
      <alignment horizontal="right" vertical="center"/>
      <protection locked="0"/>
    </xf>
    <xf numFmtId="4" fontId="2" fillId="0" borderId="7" xfId="0" applyNumberFormat="1" applyFont="1" applyFill="1" applyBorder="1" applyAlignment="1" applyProtection="1">
      <alignment horizontal="right" vertical="top" wrapText="1"/>
      <protection locked="0"/>
    </xf>
    <xf numFmtId="49" fontId="2" fillId="0" borderId="7" xfId="0" quotePrefix="1" applyNumberFormat="1" applyFont="1" applyFill="1" applyBorder="1" applyAlignment="1" applyProtection="1">
      <alignment horizontal="center"/>
      <protection hidden="1"/>
    </xf>
    <xf numFmtId="49" fontId="2" fillId="0" borderId="7" xfId="0" applyNumberFormat="1" applyFont="1" applyFill="1" applyBorder="1" applyAlignment="1" applyProtection="1">
      <alignment horizontal="center"/>
      <protection hidden="1"/>
    </xf>
    <xf numFmtId="49" fontId="2" fillId="0" borderId="7" xfId="0" quotePrefix="1" applyNumberFormat="1" applyFont="1" applyFill="1" applyBorder="1" applyAlignment="1" applyProtection="1">
      <alignment horizontal="center" vertical="top" wrapText="1"/>
      <protection hidden="1"/>
    </xf>
    <xf numFmtId="49" fontId="2" fillId="0" borderId="7" xfId="0" quotePrefix="1" applyNumberFormat="1" applyFont="1" applyBorder="1" applyAlignment="1" applyProtection="1">
      <alignment horizontal="center"/>
      <protection hidden="1"/>
    </xf>
    <xf numFmtId="49" fontId="2" fillId="0" borderId="7" xfId="0" quotePrefix="1" applyNumberFormat="1" applyFont="1" applyBorder="1" applyAlignment="1" applyProtection="1">
      <alignment horizontal="center" vertical="top" wrapText="1"/>
      <protection hidden="1"/>
    </xf>
    <xf numFmtId="0" fontId="8" fillId="2" borderId="0" xfId="0" applyFont="1" applyFill="1" applyProtection="1">
      <protection locked="0"/>
    </xf>
    <xf numFmtId="0" fontId="8" fillId="2" borderId="0" xfId="0" applyFont="1" applyFill="1"/>
    <xf numFmtId="1" fontId="8" fillId="2" borderId="0" xfId="0" applyNumberFormat="1" applyFont="1" applyFill="1"/>
    <xf numFmtId="0" fontId="1" fillId="0" borderId="12" xfId="0" applyFont="1" applyBorder="1" applyAlignment="1" applyProtection="1">
      <alignment horizontal="center" vertical="center"/>
      <protection hidden="1"/>
    </xf>
    <xf numFmtId="0" fontId="1" fillId="0" borderId="13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169" fontId="1" fillId="0" borderId="2" xfId="0" applyNumberFormat="1" applyFont="1" applyBorder="1" applyAlignment="1" applyProtection="1">
      <alignment horizontal="center" vertical="center"/>
      <protection hidden="1"/>
    </xf>
    <xf numFmtId="169" fontId="1" fillId="0" borderId="4" xfId="0" applyNumberFormat="1" applyFont="1" applyBorder="1" applyAlignment="1" applyProtection="1">
      <alignment horizontal="center" vertical="center"/>
      <protection hidden="1"/>
    </xf>
    <xf numFmtId="169" fontId="1" fillId="0" borderId="6" xfId="0" applyNumberFormat="1" applyFont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left" vertical="top" wrapText="1"/>
      <protection hidden="1"/>
    </xf>
    <xf numFmtId="0" fontId="2" fillId="0" borderId="10" xfId="0" applyFont="1" applyFill="1" applyBorder="1" applyAlignment="1" applyProtection="1">
      <alignment horizontal="left" vertical="top" wrapText="1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" fillId="0" borderId="8" xfId="0" applyFont="1" applyBorder="1" applyAlignment="1" applyProtection="1">
      <alignment horizontal="center"/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1" fillId="0" borderId="10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 vertical="center" wrapText="1"/>
      <protection hidden="1"/>
    </xf>
    <xf numFmtId="0" fontId="1" fillId="0" borderId="6" xfId="0" applyFont="1" applyBorder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" fillId="0" borderId="10" xfId="0" applyFont="1" applyBorder="1" applyAlignment="1" applyProtection="1">
      <alignment horizontal="center" vertical="center" wrapText="1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1" fillId="0" borderId="6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84"/>
  <sheetViews>
    <sheetView topLeftCell="B1" workbookViewId="0"/>
  </sheetViews>
  <sheetFormatPr defaultRowHeight="12.75" x14ac:dyDescent="0.2"/>
  <cols>
    <col min="1" max="1" width="43.42578125" style="2" hidden="1" customWidth="1"/>
    <col min="2" max="16384" width="9.140625" style="1"/>
  </cols>
  <sheetData>
    <row r="1" spans="1:1" x14ac:dyDescent="0.2">
      <c r="A1" s="63" t="s">
        <v>700</v>
      </c>
    </row>
    <row r="2" spans="1:1" x14ac:dyDescent="0.2">
      <c r="A2" s="63">
        <v>4</v>
      </c>
    </row>
    <row r="3" spans="1:1" x14ac:dyDescent="0.2">
      <c r="A3" s="63">
        <v>40656</v>
      </c>
    </row>
    <row r="4" spans="1:1" x14ac:dyDescent="0.2">
      <c r="A4" s="63">
        <v>8888</v>
      </c>
    </row>
    <row r="5" spans="1:1" x14ac:dyDescent="0.2">
      <c r="A5" s="63">
        <v>8</v>
      </c>
    </row>
    <row r="6" spans="1:1" x14ac:dyDescent="0.2">
      <c r="A6" s="63">
        <v>2017</v>
      </c>
    </row>
    <row r="7" spans="1:1" x14ac:dyDescent="0.2">
      <c r="A7" s="63">
        <v>20170930</v>
      </c>
    </row>
    <row r="8" spans="1:1" x14ac:dyDescent="0.2">
      <c r="A8" s="64" t="s">
        <v>74</v>
      </c>
    </row>
    <row r="9" spans="1:1" x14ac:dyDescent="0.2">
      <c r="A9" s="64" t="s">
        <v>699</v>
      </c>
    </row>
    <row r="10" spans="1:1" x14ac:dyDescent="0.2">
      <c r="A10" s="65">
        <v>1</v>
      </c>
    </row>
    <row r="11" spans="1:1" x14ac:dyDescent="0.2">
      <c r="A11" s="64" t="s">
        <v>685</v>
      </c>
    </row>
    <row r="12" spans="1:1" x14ac:dyDescent="0.2">
      <c r="A12" s="64"/>
    </row>
    <row r="13" spans="1:1" x14ac:dyDescent="0.2">
      <c r="A13" s="64"/>
    </row>
    <row r="14" spans="1:1" x14ac:dyDescent="0.2">
      <c r="A14" s="64"/>
    </row>
    <row r="15" spans="1:1" x14ac:dyDescent="0.2">
      <c r="A15" s="64"/>
    </row>
    <row r="16" spans="1:1" x14ac:dyDescent="0.2">
      <c r="A16" s="64"/>
    </row>
    <row r="17" spans="1:1" x14ac:dyDescent="0.2">
      <c r="A17" s="64"/>
    </row>
    <row r="18" spans="1:1" x14ac:dyDescent="0.2">
      <c r="A18" s="64"/>
    </row>
    <row r="19" spans="1:1" x14ac:dyDescent="0.2">
      <c r="A19" s="64"/>
    </row>
    <row r="20" spans="1:1" x14ac:dyDescent="0.2">
      <c r="A20" s="64">
        <v>9</v>
      </c>
    </row>
    <row r="21" spans="1:1" x14ac:dyDescent="0.2">
      <c r="A21" s="64">
        <v>2017</v>
      </c>
    </row>
    <row r="22" spans="1:1" x14ac:dyDescent="0.2">
      <c r="A22" s="64"/>
    </row>
    <row r="23" spans="1:1" x14ac:dyDescent="0.2">
      <c r="A23" s="64"/>
    </row>
    <row r="24" spans="1:1" x14ac:dyDescent="0.2">
      <c r="A24" s="64"/>
    </row>
    <row r="25" spans="1:1" x14ac:dyDescent="0.2">
      <c r="A25" s="64"/>
    </row>
    <row r="26" spans="1:1" x14ac:dyDescent="0.2">
      <c r="A26" s="64"/>
    </row>
    <row r="27" spans="1:1" x14ac:dyDescent="0.2">
      <c r="A27" s="64"/>
    </row>
    <row r="28" spans="1:1" x14ac:dyDescent="0.2">
      <c r="A28" s="64"/>
    </row>
    <row r="29" spans="1:1" x14ac:dyDescent="0.2">
      <c r="A29" s="64"/>
    </row>
    <row r="30" spans="1:1" x14ac:dyDescent="0.2">
      <c r="A30" s="64"/>
    </row>
    <row r="31" spans="1:1" x14ac:dyDescent="0.2">
      <c r="A31" s="64"/>
    </row>
    <row r="32" spans="1:1" x14ac:dyDescent="0.2">
      <c r="A32" s="64"/>
    </row>
    <row r="33" spans="1:1" x14ac:dyDescent="0.2">
      <c r="A33" s="64"/>
    </row>
    <row r="34" spans="1:1" x14ac:dyDescent="0.2">
      <c r="A34" s="64"/>
    </row>
    <row r="35" spans="1:1" x14ac:dyDescent="0.2">
      <c r="A35" s="64"/>
    </row>
    <row r="36" spans="1:1" x14ac:dyDescent="0.2">
      <c r="A36" s="64"/>
    </row>
    <row r="37" spans="1:1" x14ac:dyDescent="0.2">
      <c r="A37" s="64"/>
    </row>
    <row r="38" spans="1:1" x14ac:dyDescent="0.2">
      <c r="A38" s="64"/>
    </row>
    <row r="39" spans="1:1" x14ac:dyDescent="0.2">
      <c r="A39" s="64"/>
    </row>
    <row r="40" spans="1:1" x14ac:dyDescent="0.2">
      <c r="A40" s="64"/>
    </row>
    <row r="41" spans="1:1" x14ac:dyDescent="0.2">
      <c r="A41" s="64"/>
    </row>
    <row r="42" spans="1:1" x14ac:dyDescent="0.2">
      <c r="A42" s="64"/>
    </row>
    <row r="43" spans="1:1" x14ac:dyDescent="0.2">
      <c r="A43" s="64"/>
    </row>
    <row r="44" spans="1:1" x14ac:dyDescent="0.2">
      <c r="A44" s="64"/>
    </row>
    <row r="45" spans="1:1" x14ac:dyDescent="0.2">
      <c r="A45" s="64"/>
    </row>
    <row r="46" spans="1:1" x14ac:dyDescent="0.2">
      <c r="A46" s="64"/>
    </row>
    <row r="47" spans="1:1" x14ac:dyDescent="0.2">
      <c r="A47" s="64"/>
    </row>
    <row r="48" spans="1:1" x14ac:dyDescent="0.2">
      <c r="A48" s="64"/>
    </row>
    <row r="49" spans="1:1" x14ac:dyDescent="0.2">
      <c r="A49" s="64"/>
    </row>
    <row r="50" spans="1:1" x14ac:dyDescent="0.2">
      <c r="A50" s="64" t="s">
        <v>367</v>
      </c>
    </row>
    <row r="51" spans="1:1" x14ac:dyDescent="0.2">
      <c r="A51" s="64" t="s">
        <v>330</v>
      </c>
    </row>
    <row r="52" spans="1:1" x14ac:dyDescent="0.2">
      <c r="A52" s="64" t="s">
        <v>331</v>
      </c>
    </row>
    <row r="53" spans="1:1" x14ac:dyDescent="0.2">
      <c r="A53" s="64" t="s">
        <v>375</v>
      </c>
    </row>
    <row r="54" spans="1:1" x14ac:dyDescent="0.2">
      <c r="A54" s="64" t="s">
        <v>399</v>
      </c>
    </row>
    <row r="55" spans="1:1" x14ac:dyDescent="0.2">
      <c r="A55" s="64" t="s">
        <v>400</v>
      </c>
    </row>
    <row r="56" spans="1:1" x14ac:dyDescent="0.2">
      <c r="A56" s="64" t="s">
        <v>688</v>
      </c>
    </row>
    <row r="57" spans="1:1" x14ac:dyDescent="0.2">
      <c r="A57" s="64" t="s">
        <v>401</v>
      </c>
    </row>
    <row r="58" spans="1:1" x14ac:dyDescent="0.2">
      <c r="A58" s="64" t="s">
        <v>402</v>
      </c>
    </row>
    <row r="59" spans="1:1" x14ac:dyDescent="0.2">
      <c r="A59" s="64" t="s">
        <v>376</v>
      </c>
    </row>
    <row r="60" spans="1:1" x14ac:dyDescent="0.2">
      <c r="A60" s="64" t="s">
        <v>403</v>
      </c>
    </row>
    <row r="61" spans="1:1" x14ac:dyDescent="0.2">
      <c r="A61" s="64" t="s">
        <v>76</v>
      </c>
    </row>
    <row r="62" spans="1:1" x14ac:dyDescent="0.2">
      <c r="A62" s="64" t="s">
        <v>366</v>
      </c>
    </row>
    <row r="63" spans="1:1" x14ac:dyDescent="0.2">
      <c r="A63" s="64" t="s">
        <v>77</v>
      </c>
    </row>
    <row r="64" spans="1:1" x14ac:dyDescent="0.2">
      <c r="A64" s="64" t="s">
        <v>404</v>
      </c>
    </row>
    <row r="65" spans="1:1" x14ac:dyDescent="0.2">
      <c r="A65" s="64" t="s">
        <v>78</v>
      </c>
    </row>
    <row r="66" spans="1:1" x14ac:dyDescent="0.2">
      <c r="A66" s="64" t="s">
        <v>79</v>
      </c>
    </row>
    <row r="67" spans="1:1" x14ac:dyDescent="0.2">
      <c r="A67" s="64" t="s">
        <v>377</v>
      </c>
    </row>
    <row r="68" spans="1:1" x14ac:dyDescent="0.2">
      <c r="A68" s="64" t="s">
        <v>80</v>
      </c>
    </row>
    <row r="69" spans="1:1" x14ac:dyDescent="0.2">
      <c r="A69" s="64" t="s">
        <v>81</v>
      </c>
    </row>
    <row r="70" spans="1:1" x14ac:dyDescent="0.2">
      <c r="A70" s="64" t="s">
        <v>339</v>
      </c>
    </row>
    <row r="71" spans="1:1" x14ac:dyDescent="0.2">
      <c r="A71" s="64" t="s">
        <v>387</v>
      </c>
    </row>
    <row r="72" spans="1:1" x14ac:dyDescent="0.2">
      <c r="A72" s="64" t="s">
        <v>340</v>
      </c>
    </row>
    <row r="73" spans="1:1" x14ac:dyDescent="0.2">
      <c r="A73" s="64" t="s">
        <v>691</v>
      </c>
    </row>
    <row r="74" spans="1:1" x14ac:dyDescent="0.2">
      <c r="A74" s="64" t="s">
        <v>368</v>
      </c>
    </row>
    <row r="75" spans="1:1" x14ac:dyDescent="0.2">
      <c r="A75" s="64" t="s">
        <v>382</v>
      </c>
    </row>
    <row r="76" spans="1:1" x14ac:dyDescent="0.2">
      <c r="A76" s="64" t="s">
        <v>680</v>
      </c>
    </row>
    <row r="77" spans="1:1" x14ac:dyDescent="0.2">
      <c r="A77" s="64" t="s">
        <v>82</v>
      </c>
    </row>
    <row r="78" spans="1:1" x14ac:dyDescent="0.2">
      <c r="A78" s="64" t="s">
        <v>83</v>
      </c>
    </row>
    <row r="79" spans="1:1" x14ac:dyDescent="0.2">
      <c r="A79" s="64" t="s">
        <v>407</v>
      </c>
    </row>
    <row r="80" spans="1:1" x14ac:dyDescent="0.2">
      <c r="A80" s="64" t="s">
        <v>408</v>
      </c>
    </row>
    <row r="81" spans="1:1" x14ac:dyDescent="0.2">
      <c r="A81" s="64" t="s">
        <v>631</v>
      </c>
    </row>
    <row r="82" spans="1:1" x14ac:dyDescent="0.2">
      <c r="A82" s="64" t="s">
        <v>341</v>
      </c>
    </row>
    <row r="83" spans="1:1" x14ac:dyDescent="0.2">
      <c r="A83" s="64" t="s">
        <v>378</v>
      </c>
    </row>
    <row r="84" spans="1:1" x14ac:dyDescent="0.2">
      <c r="A84" s="64" t="s">
        <v>84</v>
      </c>
    </row>
    <row r="85" spans="1:1" x14ac:dyDescent="0.2">
      <c r="A85" s="64" t="s">
        <v>85</v>
      </c>
    </row>
    <row r="86" spans="1:1" x14ac:dyDescent="0.2">
      <c r="A86" s="64" t="s">
        <v>342</v>
      </c>
    </row>
    <row r="87" spans="1:1" x14ac:dyDescent="0.2">
      <c r="A87" s="64" t="s">
        <v>697</v>
      </c>
    </row>
    <row r="88" spans="1:1" x14ac:dyDescent="0.2">
      <c r="A88" s="64" t="s">
        <v>411</v>
      </c>
    </row>
    <row r="89" spans="1:1" x14ac:dyDescent="0.2">
      <c r="A89" s="64" t="s">
        <v>86</v>
      </c>
    </row>
    <row r="90" spans="1:1" x14ac:dyDescent="0.2">
      <c r="A90" s="64" t="s">
        <v>87</v>
      </c>
    </row>
    <row r="91" spans="1:1" x14ac:dyDescent="0.2">
      <c r="A91" s="64" t="s">
        <v>88</v>
      </c>
    </row>
    <row r="92" spans="1:1" x14ac:dyDescent="0.2">
      <c r="A92" s="64" t="s">
        <v>412</v>
      </c>
    </row>
    <row r="93" spans="1:1" x14ac:dyDescent="0.2">
      <c r="A93" s="64" t="s">
        <v>369</v>
      </c>
    </row>
    <row r="94" spans="1:1" x14ac:dyDescent="0.2">
      <c r="A94" s="64" t="s">
        <v>413</v>
      </c>
    </row>
    <row r="95" spans="1:1" x14ac:dyDescent="0.2">
      <c r="A95" s="64" t="s">
        <v>89</v>
      </c>
    </row>
    <row r="96" spans="1:1" x14ac:dyDescent="0.2">
      <c r="A96" s="64" t="s">
        <v>679</v>
      </c>
    </row>
    <row r="97" spans="1:1" x14ac:dyDescent="0.2">
      <c r="A97" s="64" t="s">
        <v>90</v>
      </c>
    </row>
    <row r="98" spans="1:1" x14ac:dyDescent="0.2">
      <c r="A98" s="64" t="s">
        <v>392</v>
      </c>
    </row>
    <row r="99" spans="1:1" x14ac:dyDescent="0.2">
      <c r="A99" s="64" t="s">
        <v>414</v>
      </c>
    </row>
    <row r="100" spans="1:1" x14ac:dyDescent="0.2">
      <c r="A100" s="64" t="s">
        <v>693</v>
      </c>
    </row>
    <row r="101" spans="1:1" x14ac:dyDescent="0.2">
      <c r="A101" s="64" t="s">
        <v>415</v>
      </c>
    </row>
    <row r="102" spans="1:1" x14ac:dyDescent="0.2">
      <c r="A102" s="64" t="s">
        <v>91</v>
      </c>
    </row>
    <row r="103" spans="1:1" x14ac:dyDescent="0.2">
      <c r="A103" s="64" t="s">
        <v>92</v>
      </c>
    </row>
    <row r="104" spans="1:1" x14ac:dyDescent="0.2">
      <c r="A104" s="64" t="s">
        <v>338</v>
      </c>
    </row>
    <row r="105" spans="1:1" x14ac:dyDescent="0.2">
      <c r="A105" s="64" t="s">
        <v>93</v>
      </c>
    </row>
    <row r="106" spans="1:1" x14ac:dyDescent="0.2">
      <c r="A106" s="64" t="s">
        <v>94</v>
      </c>
    </row>
    <row r="107" spans="1:1" x14ac:dyDescent="0.2">
      <c r="A107" s="64" t="s">
        <v>95</v>
      </c>
    </row>
    <row r="108" spans="1:1" x14ac:dyDescent="0.2">
      <c r="A108" s="64" t="s">
        <v>96</v>
      </c>
    </row>
    <row r="109" spans="1:1" x14ac:dyDescent="0.2">
      <c r="A109" s="64" t="s">
        <v>97</v>
      </c>
    </row>
    <row r="110" spans="1:1" x14ac:dyDescent="0.2">
      <c r="A110" s="64" t="s">
        <v>335</v>
      </c>
    </row>
    <row r="111" spans="1:1" x14ac:dyDescent="0.2">
      <c r="A111" s="64" t="s">
        <v>416</v>
      </c>
    </row>
    <row r="112" spans="1:1" x14ac:dyDescent="0.2">
      <c r="A112" s="64" t="s">
        <v>417</v>
      </c>
    </row>
    <row r="113" spans="1:1" x14ac:dyDescent="0.2">
      <c r="A113" s="64" t="s">
        <v>434</v>
      </c>
    </row>
    <row r="114" spans="1:1" x14ac:dyDescent="0.2">
      <c r="A114" s="64" t="s">
        <v>98</v>
      </c>
    </row>
    <row r="115" spans="1:1" x14ac:dyDescent="0.2">
      <c r="A115" s="64" t="s">
        <v>99</v>
      </c>
    </row>
    <row r="116" spans="1:1" x14ac:dyDescent="0.2">
      <c r="A116" s="64" t="s">
        <v>100</v>
      </c>
    </row>
    <row r="117" spans="1:1" x14ac:dyDescent="0.2">
      <c r="A117" s="64" t="s">
        <v>101</v>
      </c>
    </row>
    <row r="118" spans="1:1" x14ac:dyDescent="0.2">
      <c r="A118" s="64" t="s">
        <v>343</v>
      </c>
    </row>
    <row r="119" spans="1:1" x14ac:dyDescent="0.2">
      <c r="A119" s="64" t="s">
        <v>344</v>
      </c>
    </row>
    <row r="120" spans="1:1" x14ac:dyDescent="0.2">
      <c r="A120" s="64" t="s">
        <v>102</v>
      </c>
    </row>
    <row r="121" spans="1:1" x14ac:dyDescent="0.2">
      <c r="A121" s="64" t="s">
        <v>345</v>
      </c>
    </row>
    <row r="122" spans="1:1" x14ac:dyDescent="0.2">
      <c r="A122" s="64" t="s">
        <v>689</v>
      </c>
    </row>
    <row r="123" spans="1:1" x14ac:dyDescent="0.2">
      <c r="A123" s="64" t="s">
        <v>103</v>
      </c>
    </row>
    <row r="124" spans="1:1" x14ac:dyDescent="0.2">
      <c r="A124" s="64" t="s">
        <v>397</v>
      </c>
    </row>
    <row r="125" spans="1:1" x14ac:dyDescent="0.2">
      <c r="A125" s="64" t="s">
        <v>104</v>
      </c>
    </row>
    <row r="126" spans="1:1" x14ac:dyDescent="0.2">
      <c r="A126" s="64" t="s">
        <v>105</v>
      </c>
    </row>
    <row r="127" spans="1:1" x14ac:dyDescent="0.2">
      <c r="A127" s="64" t="s">
        <v>418</v>
      </c>
    </row>
    <row r="128" spans="1:1" x14ac:dyDescent="0.2">
      <c r="A128" s="64" t="s">
        <v>106</v>
      </c>
    </row>
    <row r="129" spans="1:1" x14ac:dyDescent="0.2">
      <c r="A129" s="64" t="s">
        <v>107</v>
      </c>
    </row>
    <row r="130" spans="1:1" x14ac:dyDescent="0.2">
      <c r="A130" s="64" t="s">
        <v>383</v>
      </c>
    </row>
    <row r="131" spans="1:1" x14ac:dyDescent="0.2">
      <c r="A131" s="64" t="s">
        <v>419</v>
      </c>
    </row>
    <row r="132" spans="1:1" x14ac:dyDescent="0.2">
      <c r="A132" s="64" t="s">
        <v>420</v>
      </c>
    </row>
    <row r="133" spans="1:1" x14ac:dyDescent="0.2">
      <c r="A133" s="64" t="s">
        <v>421</v>
      </c>
    </row>
    <row r="134" spans="1:1" x14ac:dyDescent="0.2">
      <c r="A134" s="64" t="s">
        <v>405</v>
      </c>
    </row>
    <row r="135" spans="1:1" x14ac:dyDescent="0.2">
      <c r="A135" s="64" t="s">
        <v>422</v>
      </c>
    </row>
    <row r="136" spans="1:1" x14ac:dyDescent="0.2">
      <c r="A136" s="64" t="s">
        <v>423</v>
      </c>
    </row>
    <row r="137" spans="1:1" x14ac:dyDescent="0.2">
      <c r="A137" s="64" t="s">
        <v>424</v>
      </c>
    </row>
    <row r="138" spans="1:1" x14ac:dyDescent="0.2">
      <c r="A138" s="64" t="s">
        <v>426</v>
      </c>
    </row>
    <row r="139" spans="1:1" x14ac:dyDescent="0.2">
      <c r="A139" s="64" t="s">
        <v>427</v>
      </c>
    </row>
    <row r="140" spans="1:1" x14ac:dyDescent="0.2">
      <c r="A140" s="64" t="s">
        <v>428</v>
      </c>
    </row>
    <row r="141" spans="1:1" x14ac:dyDescent="0.2">
      <c r="A141" s="64" t="s">
        <v>429</v>
      </c>
    </row>
    <row r="142" spans="1:1" x14ac:dyDescent="0.2">
      <c r="A142" s="64" t="s">
        <v>686</v>
      </c>
    </row>
    <row r="143" spans="1:1" x14ac:dyDescent="0.2">
      <c r="A143" s="64" t="s">
        <v>108</v>
      </c>
    </row>
    <row r="144" spans="1:1" x14ac:dyDescent="0.2">
      <c r="A144" s="64" t="s">
        <v>109</v>
      </c>
    </row>
    <row r="145" spans="1:1" x14ac:dyDescent="0.2">
      <c r="A145" s="64" t="s">
        <v>430</v>
      </c>
    </row>
    <row r="146" spans="1:1" x14ac:dyDescent="0.2">
      <c r="A146" s="64" t="s">
        <v>431</v>
      </c>
    </row>
    <row r="147" spans="1:1" x14ac:dyDescent="0.2">
      <c r="A147" s="64" t="s">
        <v>110</v>
      </c>
    </row>
    <row r="148" spans="1:1" x14ac:dyDescent="0.2">
      <c r="A148" s="64" t="s">
        <v>111</v>
      </c>
    </row>
    <row r="149" spans="1:1" x14ac:dyDescent="0.2">
      <c r="A149" s="64" t="s">
        <v>346</v>
      </c>
    </row>
    <row r="150" spans="1:1" x14ac:dyDescent="0.2">
      <c r="A150" s="64" t="s">
        <v>435</v>
      </c>
    </row>
    <row r="151" spans="1:1" x14ac:dyDescent="0.2">
      <c r="A151" s="64" t="s">
        <v>112</v>
      </c>
    </row>
    <row r="152" spans="1:1" x14ac:dyDescent="0.2">
      <c r="A152" s="64" t="s">
        <v>333</v>
      </c>
    </row>
    <row r="153" spans="1:1" x14ac:dyDescent="0.2">
      <c r="A153" s="64" t="s">
        <v>113</v>
      </c>
    </row>
    <row r="154" spans="1:1" x14ac:dyDescent="0.2">
      <c r="A154" s="64" t="s">
        <v>114</v>
      </c>
    </row>
    <row r="155" spans="1:1" x14ac:dyDescent="0.2">
      <c r="A155" s="64" t="s">
        <v>115</v>
      </c>
    </row>
    <row r="156" spans="1:1" x14ac:dyDescent="0.2">
      <c r="A156" s="64" t="s">
        <v>437</v>
      </c>
    </row>
    <row r="157" spans="1:1" x14ac:dyDescent="0.2">
      <c r="A157" s="64" t="s">
        <v>116</v>
      </c>
    </row>
    <row r="158" spans="1:1" x14ac:dyDescent="0.2">
      <c r="A158" s="64" t="s">
        <v>117</v>
      </c>
    </row>
    <row r="159" spans="1:1" x14ac:dyDescent="0.2">
      <c r="A159" s="64" t="s">
        <v>118</v>
      </c>
    </row>
    <row r="160" spans="1:1" x14ac:dyDescent="0.2">
      <c r="A160" s="64" t="s">
        <v>119</v>
      </c>
    </row>
    <row r="161" spans="1:1" x14ac:dyDescent="0.2">
      <c r="A161" s="64" t="s">
        <v>394</v>
      </c>
    </row>
    <row r="162" spans="1:1" x14ac:dyDescent="0.2">
      <c r="A162" s="64" t="s">
        <v>120</v>
      </c>
    </row>
    <row r="163" spans="1:1" x14ac:dyDescent="0.2">
      <c r="A163" s="64" t="s">
        <v>433</v>
      </c>
    </row>
    <row r="164" spans="1:1" x14ac:dyDescent="0.2">
      <c r="A164" s="64" t="s">
        <v>432</v>
      </c>
    </row>
    <row r="165" spans="1:1" x14ac:dyDescent="0.2">
      <c r="A165" s="64" t="s">
        <v>347</v>
      </c>
    </row>
    <row r="166" spans="1:1" x14ac:dyDescent="0.2">
      <c r="A166" s="64" t="s">
        <v>348</v>
      </c>
    </row>
    <row r="167" spans="1:1" x14ac:dyDescent="0.2">
      <c r="A167" s="64" t="s">
        <v>395</v>
      </c>
    </row>
    <row r="168" spans="1:1" x14ac:dyDescent="0.2">
      <c r="A168" s="64" t="s">
        <v>438</v>
      </c>
    </row>
    <row r="169" spans="1:1" x14ac:dyDescent="0.2">
      <c r="A169" s="64" t="s">
        <v>690</v>
      </c>
    </row>
    <row r="170" spans="1:1" x14ac:dyDescent="0.2">
      <c r="A170" s="64" t="s">
        <v>439</v>
      </c>
    </row>
    <row r="171" spans="1:1" x14ac:dyDescent="0.2">
      <c r="A171" s="64" t="s">
        <v>396</v>
      </c>
    </row>
    <row r="172" spans="1:1" x14ac:dyDescent="0.2">
      <c r="A172" s="64" t="s">
        <v>349</v>
      </c>
    </row>
    <row r="173" spans="1:1" x14ac:dyDescent="0.2">
      <c r="A173" s="64" t="s">
        <v>121</v>
      </c>
    </row>
    <row r="174" spans="1:1" x14ac:dyDescent="0.2">
      <c r="A174" s="64" t="s">
        <v>370</v>
      </c>
    </row>
    <row r="175" spans="1:1" x14ac:dyDescent="0.2">
      <c r="A175" s="64" t="s">
        <v>122</v>
      </c>
    </row>
    <row r="176" spans="1:1" x14ac:dyDescent="0.2">
      <c r="A176" s="64" t="s">
        <v>371</v>
      </c>
    </row>
    <row r="177" spans="1:1" x14ac:dyDescent="0.2">
      <c r="A177" s="64" t="s">
        <v>123</v>
      </c>
    </row>
    <row r="178" spans="1:1" x14ac:dyDescent="0.2">
      <c r="A178" s="64" t="s">
        <v>124</v>
      </c>
    </row>
    <row r="179" spans="1:1" x14ac:dyDescent="0.2">
      <c r="A179" s="64" t="s">
        <v>125</v>
      </c>
    </row>
    <row r="180" spans="1:1" x14ac:dyDescent="0.2">
      <c r="A180" s="64" t="s">
        <v>441</v>
      </c>
    </row>
    <row r="181" spans="1:1" x14ac:dyDescent="0.2">
      <c r="A181" s="64" t="s">
        <v>694</v>
      </c>
    </row>
    <row r="182" spans="1:1" x14ac:dyDescent="0.2">
      <c r="A182" s="64" t="s">
        <v>442</v>
      </c>
    </row>
    <row r="183" spans="1:1" x14ac:dyDescent="0.2">
      <c r="A183" s="64" t="s">
        <v>126</v>
      </c>
    </row>
    <row r="184" spans="1:1" x14ac:dyDescent="0.2">
      <c r="A184" s="64" t="s">
        <v>127</v>
      </c>
    </row>
    <row r="185" spans="1:1" x14ac:dyDescent="0.2">
      <c r="A185" s="64" t="s">
        <v>443</v>
      </c>
    </row>
    <row r="186" spans="1:1" x14ac:dyDescent="0.2">
      <c r="A186" s="64" t="s">
        <v>128</v>
      </c>
    </row>
    <row r="187" spans="1:1" x14ac:dyDescent="0.2">
      <c r="A187" s="64" t="s">
        <v>379</v>
      </c>
    </row>
    <row r="188" spans="1:1" x14ac:dyDescent="0.2">
      <c r="A188" s="64" t="s">
        <v>444</v>
      </c>
    </row>
    <row r="189" spans="1:1" x14ac:dyDescent="0.2">
      <c r="A189" s="64" t="s">
        <v>129</v>
      </c>
    </row>
    <row r="190" spans="1:1" x14ac:dyDescent="0.2">
      <c r="A190" s="64" t="s">
        <v>130</v>
      </c>
    </row>
    <row r="191" spans="1:1" x14ac:dyDescent="0.2">
      <c r="A191" s="64" t="s">
        <v>445</v>
      </c>
    </row>
    <row r="192" spans="1:1" x14ac:dyDescent="0.2">
      <c r="A192" s="64" t="s">
        <v>131</v>
      </c>
    </row>
    <row r="193" spans="1:1" x14ac:dyDescent="0.2">
      <c r="A193" s="64" t="s">
        <v>132</v>
      </c>
    </row>
    <row r="194" spans="1:1" x14ac:dyDescent="0.2">
      <c r="A194" s="64" t="s">
        <v>133</v>
      </c>
    </row>
    <row r="195" spans="1:1" x14ac:dyDescent="0.2">
      <c r="A195" s="64" t="s">
        <v>458</v>
      </c>
    </row>
    <row r="196" spans="1:1" x14ac:dyDescent="0.2">
      <c r="A196" s="64" t="s">
        <v>372</v>
      </c>
    </row>
    <row r="197" spans="1:1" x14ac:dyDescent="0.2">
      <c r="A197" s="64" t="s">
        <v>446</v>
      </c>
    </row>
    <row r="198" spans="1:1" x14ac:dyDescent="0.2">
      <c r="A198" s="64" t="s">
        <v>134</v>
      </c>
    </row>
    <row r="199" spans="1:1" x14ac:dyDescent="0.2">
      <c r="A199" s="64" t="s">
        <v>135</v>
      </c>
    </row>
    <row r="200" spans="1:1" x14ac:dyDescent="0.2">
      <c r="A200" s="64" t="s">
        <v>447</v>
      </c>
    </row>
    <row r="201" spans="1:1" x14ac:dyDescent="0.2">
      <c r="A201" s="64" t="s">
        <v>350</v>
      </c>
    </row>
    <row r="202" spans="1:1" x14ac:dyDescent="0.2">
      <c r="A202" s="64" t="s">
        <v>136</v>
      </c>
    </row>
    <row r="203" spans="1:1" x14ac:dyDescent="0.2">
      <c r="A203" s="64" t="s">
        <v>334</v>
      </c>
    </row>
    <row r="204" spans="1:1" x14ac:dyDescent="0.2">
      <c r="A204" s="64" t="s">
        <v>137</v>
      </c>
    </row>
    <row r="205" spans="1:1" x14ac:dyDescent="0.2">
      <c r="A205" s="64" t="s">
        <v>138</v>
      </c>
    </row>
    <row r="206" spans="1:1" x14ac:dyDescent="0.2">
      <c r="A206" s="64" t="s">
        <v>139</v>
      </c>
    </row>
    <row r="207" spans="1:1" x14ac:dyDescent="0.2">
      <c r="A207" s="64" t="s">
        <v>373</v>
      </c>
    </row>
    <row r="208" spans="1:1" x14ac:dyDescent="0.2">
      <c r="A208" s="64" t="s">
        <v>140</v>
      </c>
    </row>
    <row r="209" spans="1:1" x14ac:dyDescent="0.2">
      <c r="A209" s="64" t="s">
        <v>141</v>
      </c>
    </row>
    <row r="210" spans="1:1" x14ac:dyDescent="0.2">
      <c r="A210" s="64" t="s">
        <v>448</v>
      </c>
    </row>
    <row r="211" spans="1:1" x14ac:dyDescent="0.2">
      <c r="A211" s="64" t="s">
        <v>142</v>
      </c>
    </row>
    <row r="212" spans="1:1" x14ac:dyDescent="0.2">
      <c r="A212" s="64" t="s">
        <v>143</v>
      </c>
    </row>
    <row r="213" spans="1:1" x14ac:dyDescent="0.2">
      <c r="A213" s="64" t="s">
        <v>449</v>
      </c>
    </row>
    <row r="214" spans="1:1" x14ac:dyDescent="0.2">
      <c r="A214" s="64" t="s">
        <v>450</v>
      </c>
    </row>
    <row r="215" spans="1:1" x14ac:dyDescent="0.2">
      <c r="A215" s="64" t="s">
        <v>144</v>
      </c>
    </row>
    <row r="216" spans="1:1" x14ac:dyDescent="0.2">
      <c r="A216" s="64" t="s">
        <v>145</v>
      </c>
    </row>
    <row r="217" spans="1:1" x14ac:dyDescent="0.2">
      <c r="A217" s="64" t="s">
        <v>351</v>
      </c>
    </row>
    <row r="218" spans="1:1" x14ac:dyDescent="0.2">
      <c r="A218" s="64" t="s">
        <v>146</v>
      </c>
    </row>
    <row r="219" spans="1:1" x14ac:dyDescent="0.2">
      <c r="A219" s="64" t="s">
        <v>147</v>
      </c>
    </row>
    <row r="220" spans="1:1" x14ac:dyDescent="0.2">
      <c r="A220" s="64" t="s">
        <v>148</v>
      </c>
    </row>
    <row r="221" spans="1:1" x14ac:dyDescent="0.2">
      <c r="A221" s="64" t="s">
        <v>451</v>
      </c>
    </row>
    <row r="222" spans="1:1" x14ac:dyDescent="0.2">
      <c r="A222" s="64" t="s">
        <v>149</v>
      </c>
    </row>
    <row r="223" spans="1:1" x14ac:dyDescent="0.2">
      <c r="A223" s="64" t="s">
        <v>352</v>
      </c>
    </row>
    <row r="224" spans="1:1" x14ac:dyDescent="0.2">
      <c r="A224" s="64" t="s">
        <v>452</v>
      </c>
    </row>
    <row r="225" spans="1:1" x14ac:dyDescent="0.2">
      <c r="A225" s="64" t="s">
        <v>150</v>
      </c>
    </row>
    <row r="226" spans="1:1" x14ac:dyDescent="0.2">
      <c r="A226" s="64" t="s">
        <v>380</v>
      </c>
    </row>
    <row r="227" spans="1:1" x14ac:dyDescent="0.2">
      <c r="A227" s="64" t="s">
        <v>151</v>
      </c>
    </row>
    <row r="228" spans="1:1" x14ac:dyDescent="0.2">
      <c r="A228" s="64" t="s">
        <v>388</v>
      </c>
    </row>
    <row r="229" spans="1:1" x14ac:dyDescent="0.2">
      <c r="A229" s="64" t="s">
        <v>698</v>
      </c>
    </row>
    <row r="230" spans="1:1" x14ac:dyDescent="0.2">
      <c r="A230" s="64" t="s">
        <v>152</v>
      </c>
    </row>
    <row r="231" spans="1:1" x14ac:dyDescent="0.2">
      <c r="A231" s="64" t="s">
        <v>153</v>
      </c>
    </row>
    <row r="232" spans="1:1" x14ac:dyDescent="0.2">
      <c r="A232" s="64" t="s">
        <v>154</v>
      </c>
    </row>
    <row r="233" spans="1:1" x14ac:dyDescent="0.2">
      <c r="A233" s="64" t="s">
        <v>453</v>
      </c>
    </row>
    <row r="234" spans="1:1" x14ac:dyDescent="0.2">
      <c r="A234" s="64" t="s">
        <v>155</v>
      </c>
    </row>
    <row r="235" spans="1:1" x14ac:dyDescent="0.2">
      <c r="A235" s="64" t="s">
        <v>156</v>
      </c>
    </row>
    <row r="236" spans="1:1" x14ac:dyDescent="0.2">
      <c r="A236" s="64" t="s">
        <v>157</v>
      </c>
    </row>
    <row r="237" spans="1:1" x14ac:dyDescent="0.2">
      <c r="A237" s="64" t="s">
        <v>454</v>
      </c>
    </row>
    <row r="238" spans="1:1" x14ac:dyDescent="0.2">
      <c r="A238" s="64" t="s">
        <v>696</v>
      </c>
    </row>
    <row r="239" spans="1:1" x14ac:dyDescent="0.2">
      <c r="A239" s="64" t="s">
        <v>455</v>
      </c>
    </row>
    <row r="240" spans="1:1" x14ac:dyDescent="0.2">
      <c r="A240" s="64" t="s">
        <v>353</v>
      </c>
    </row>
    <row r="241" spans="1:1" x14ac:dyDescent="0.2">
      <c r="A241" s="64" t="s">
        <v>456</v>
      </c>
    </row>
    <row r="242" spans="1:1" x14ac:dyDescent="0.2">
      <c r="A242" s="64" t="s">
        <v>457</v>
      </c>
    </row>
    <row r="243" spans="1:1" x14ac:dyDescent="0.2">
      <c r="A243" s="64" t="s">
        <v>158</v>
      </c>
    </row>
    <row r="244" spans="1:1" x14ac:dyDescent="0.2">
      <c r="A244" s="64" t="s">
        <v>664</v>
      </c>
    </row>
    <row r="245" spans="1:1" x14ac:dyDescent="0.2">
      <c r="A245" s="64" t="s">
        <v>159</v>
      </c>
    </row>
    <row r="246" spans="1:1" x14ac:dyDescent="0.2">
      <c r="A246" s="64" t="s">
        <v>385</v>
      </c>
    </row>
    <row r="247" spans="1:1" x14ac:dyDescent="0.2">
      <c r="A247" s="64" t="s">
        <v>160</v>
      </c>
    </row>
    <row r="248" spans="1:1" x14ac:dyDescent="0.2">
      <c r="A248" s="64" t="s">
        <v>406</v>
      </c>
    </row>
    <row r="249" spans="1:1" x14ac:dyDescent="0.2">
      <c r="A249" s="64" t="s">
        <v>354</v>
      </c>
    </row>
    <row r="250" spans="1:1" x14ac:dyDescent="0.2">
      <c r="A250" s="64" t="s">
        <v>459</v>
      </c>
    </row>
    <row r="251" spans="1:1" x14ac:dyDescent="0.2">
      <c r="A251" s="64" t="s">
        <v>460</v>
      </c>
    </row>
    <row r="252" spans="1:1" x14ac:dyDescent="0.2">
      <c r="A252" s="64" t="s">
        <v>355</v>
      </c>
    </row>
    <row r="253" spans="1:1" x14ac:dyDescent="0.2">
      <c r="A253" s="64" t="s">
        <v>425</v>
      </c>
    </row>
    <row r="254" spans="1:1" x14ac:dyDescent="0.2">
      <c r="A254" s="64" t="s">
        <v>161</v>
      </c>
    </row>
    <row r="255" spans="1:1" x14ac:dyDescent="0.2">
      <c r="A255" s="64" t="s">
        <v>332</v>
      </c>
    </row>
    <row r="256" spans="1:1" x14ac:dyDescent="0.2">
      <c r="A256" s="64" t="s">
        <v>356</v>
      </c>
    </row>
    <row r="257" spans="1:1" x14ac:dyDescent="0.2">
      <c r="A257" s="64" t="s">
        <v>162</v>
      </c>
    </row>
    <row r="258" spans="1:1" x14ac:dyDescent="0.2">
      <c r="A258" s="64" t="s">
        <v>461</v>
      </c>
    </row>
    <row r="259" spans="1:1" x14ac:dyDescent="0.2">
      <c r="A259" s="64" t="s">
        <v>163</v>
      </c>
    </row>
    <row r="260" spans="1:1" x14ac:dyDescent="0.2">
      <c r="A260" s="64" t="s">
        <v>164</v>
      </c>
    </row>
    <row r="261" spans="1:1" x14ac:dyDescent="0.2">
      <c r="A261" s="64" t="s">
        <v>357</v>
      </c>
    </row>
    <row r="262" spans="1:1" x14ac:dyDescent="0.2">
      <c r="A262" s="64" t="s">
        <v>165</v>
      </c>
    </row>
    <row r="263" spans="1:1" x14ac:dyDescent="0.2">
      <c r="A263" s="64" t="s">
        <v>462</v>
      </c>
    </row>
    <row r="264" spans="1:1" x14ac:dyDescent="0.2">
      <c r="A264" s="64" t="s">
        <v>166</v>
      </c>
    </row>
    <row r="265" spans="1:1" x14ac:dyDescent="0.2">
      <c r="A265" s="64" t="s">
        <v>384</v>
      </c>
    </row>
    <row r="266" spans="1:1" x14ac:dyDescent="0.2">
      <c r="A266" s="64" t="s">
        <v>463</v>
      </c>
    </row>
    <row r="267" spans="1:1" x14ac:dyDescent="0.2">
      <c r="A267" s="64" t="s">
        <v>464</v>
      </c>
    </row>
    <row r="268" spans="1:1" x14ac:dyDescent="0.2">
      <c r="A268" s="64" t="s">
        <v>381</v>
      </c>
    </row>
    <row r="269" spans="1:1" x14ac:dyDescent="0.2">
      <c r="A269" s="64" t="s">
        <v>695</v>
      </c>
    </row>
    <row r="270" spans="1:1" x14ac:dyDescent="0.2">
      <c r="A270" s="64" t="s">
        <v>167</v>
      </c>
    </row>
    <row r="271" spans="1:1" x14ac:dyDescent="0.2">
      <c r="A271" s="64" t="s">
        <v>465</v>
      </c>
    </row>
    <row r="272" spans="1:1" x14ac:dyDescent="0.2">
      <c r="A272" s="64" t="s">
        <v>358</v>
      </c>
    </row>
    <row r="273" spans="1:1" x14ac:dyDescent="0.2">
      <c r="A273" s="64" t="s">
        <v>466</v>
      </c>
    </row>
    <row r="274" spans="1:1" x14ac:dyDescent="0.2">
      <c r="A274" s="64" t="s">
        <v>393</v>
      </c>
    </row>
    <row r="275" spans="1:1" x14ac:dyDescent="0.2">
      <c r="A275" s="64" t="s">
        <v>168</v>
      </c>
    </row>
    <row r="276" spans="1:1" x14ac:dyDescent="0.2">
      <c r="A276" s="64" t="s">
        <v>359</v>
      </c>
    </row>
    <row r="277" spans="1:1" x14ac:dyDescent="0.2">
      <c r="A277" s="64" t="s">
        <v>467</v>
      </c>
    </row>
    <row r="278" spans="1:1" x14ac:dyDescent="0.2">
      <c r="A278" s="64" t="s">
        <v>468</v>
      </c>
    </row>
    <row r="279" spans="1:1" x14ac:dyDescent="0.2">
      <c r="A279" s="64" t="s">
        <v>169</v>
      </c>
    </row>
    <row r="280" spans="1:1" x14ac:dyDescent="0.2">
      <c r="A280" s="64" t="s">
        <v>360</v>
      </c>
    </row>
    <row r="281" spans="1:1" x14ac:dyDescent="0.2">
      <c r="A281" s="64" t="s">
        <v>170</v>
      </c>
    </row>
    <row r="282" spans="1:1" x14ac:dyDescent="0.2">
      <c r="A282" s="64" t="s">
        <v>469</v>
      </c>
    </row>
    <row r="283" spans="1:1" x14ac:dyDescent="0.2">
      <c r="A283" s="64" t="s">
        <v>171</v>
      </c>
    </row>
    <row r="284" spans="1:1" x14ac:dyDescent="0.2">
      <c r="A284" s="64" t="s">
        <v>172</v>
      </c>
    </row>
    <row r="285" spans="1:1" x14ac:dyDescent="0.2">
      <c r="A285" s="64" t="s">
        <v>336</v>
      </c>
    </row>
    <row r="286" spans="1:1" x14ac:dyDescent="0.2">
      <c r="A286" s="64" t="s">
        <v>470</v>
      </c>
    </row>
    <row r="287" spans="1:1" x14ac:dyDescent="0.2">
      <c r="A287" s="64" t="s">
        <v>471</v>
      </c>
    </row>
    <row r="288" spans="1:1" x14ac:dyDescent="0.2">
      <c r="A288" s="64" t="s">
        <v>173</v>
      </c>
    </row>
    <row r="289" spans="1:1" x14ac:dyDescent="0.2">
      <c r="A289" s="64" t="s">
        <v>472</v>
      </c>
    </row>
    <row r="290" spans="1:1" x14ac:dyDescent="0.2">
      <c r="A290" s="64" t="s">
        <v>473</v>
      </c>
    </row>
    <row r="291" spans="1:1" x14ac:dyDescent="0.2">
      <c r="A291" s="64" t="s">
        <v>174</v>
      </c>
    </row>
    <row r="292" spans="1:1" x14ac:dyDescent="0.2">
      <c r="A292" s="64" t="s">
        <v>175</v>
      </c>
    </row>
    <row r="293" spans="1:1" x14ac:dyDescent="0.2">
      <c r="A293" s="64" t="s">
        <v>474</v>
      </c>
    </row>
    <row r="294" spans="1:1" x14ac:dyDescent="0.2">
      <c r="A294" s="64" t="s">
        <v>475</v>
      </c>
    </row>
    <row r="295" spans="1:1" x14ac:dyDescent="0.2">
      <c r="A295" s="64" t="s">
        <v>176</v>
      </c>
    </row>
    <row r="296" spans="1:1" x14ac:dyDescent="0.2">
      <c r="A296" s="64" t="s">
        <v>476</v>
      </c>
    </row>
    <row r="297" spans="1:1" x14ac:dyDescent="0.2">
      <c r="A297" s="64" t="s">
        <v>177</v>
      </c>
    </row>
    <row r="298" spans="1:1" x14ac:dyDescent="0.2">
      <c r="A298" s="64" t="s">
        <v>477</v>
      </c>
    </row>
    <row r="299" spans="1:1" x14ac:dyDescent="0.2">
      <c r="A299" s="64" t="s">
        <v>478</v>
      </c>
    </row>
    <row r="300" spans="1:1" x14ac:dyDescent="0.2">
      <c r="A300" s="64" t="s">
        <v>479</v>
      </c>
    </row>
    <row r="301" spans="1:1" x14ac:dyDescent="0.2">
      <c r="A301" s="64" t="s">
        <v>178</v>
      </c>
    </row>
    <row r="302" spans="1:1" x14ac:dyDescent="0.2">
      <c r="A302" s="64" t="s">
        <v>179</v>
      </c>
    </row>
    <row r="303" spans="1:1" x14ac:dyDescent="0.2">
      <c r="A303" s="64" t="s">
        <v>180</v>
      </c>
    </row>
    <row r="304" spans="1:1" x14ac:dyDescent="0.2">
      <c r="A304" s="64" t="s">
        <v>181</v>
      </c>
    </row>
    <row r="305" spans="1:1" x14ac:dyDescent="0.2">
      <c r="A305" s="64" t="s">
        <v>182</v>
      </c>
    </row>
    <row r="306" spans="1:1" x14ac:dyDescent="0.2">
      <c r="A306" s="64" t="s">
        <v>183</v>
      </c>
    </row>
    <row r="307" spans="1:1" x14ac:dyDescent="0.2">
      <c r="A307" s="64" t="s">
        <v>184</v>
      </c>
    </row>
    <row r="308" spans="1:1" x14ac:dyDescent="0.2">
      <c r="A308" s="64" t="s">
        <v>480</v>
      </c>
    </row>
    <row r="309" spans="1:1" x14ac:dyDescent="0.2">
      <c r="A309" s="64" t="s">
        <v>185</v>
      </c>
    </row>
    <row r="310" spans="1:1" x14ac:dyDescent="0.2">
      <c r="A310" s="64" t="s">
        <v>481</v>
      </c>
    </row>
    <row r="311" spans="1:1" x14ac:dyDescent="0.2">
      <c r="A311" s="64" t="s">
        <v>482</v>
      </c>
    </row>
    <row r="312" spans="1:1" x14ac:dyDescent="0.2">
      <c r="A312" s="64" t="s">
        <v>483</v>
      </c>
    </row>
    <row r="313" spans="1:1" x14ac:dyDescent="0.2">
      <c r="A313" s="64" t="s">
        <v>484</v>
      </c>
    </row>
    <row r="314" spans="1:1" x14ac:dyDescent="0.2">
      <c r="A314" s="64" t="s">
        <v>186</v>
      </c>
    </row>
    <row r="315" spans="1:1" x14ac:dyDescent="0.2">
      <c r="A315" s="64" t="s">
        <v>485</v>
      </c>
    </row>
    <row r="316" spans="1:1" x14ac:dyDescent="0.2">
      <c r="A316" s="64" t="s">
        <v>486</v>
      </c>
    </row>
    <row r="317" spans="1:1" x14ac:dyDescent="0.2">
      <c r="A317" s="64" t="s">
        <v>487</v>
      </c>
    </row>
    <row r="318" spans="1:1" x14ac:dyDescent="0.2">
      <c r="A318" s="64" t="s">
        <v>488</v>
      </c>
    </row>
    <row r="319" spans="1:1" x14ac:dyDescent="0.2">
      <c r="A319" s="64" t="s">
        <v>489</v>
      </c>
    </row>
    <row r="320" spans="1:1" x14ac:dyDescent="0.2">
      <c r="A320" s="64" t="s">
        <v>490</v>
      </c>
    </row>
    <row r="321" spans="1:1" x14ac:dyDescent="0.2">
      <c r="A321" s="64" t="s">
        <v>491</v>
      </c>
    </row>
    <row r="322" spans="1:1" x14ac:dyDescent="0.2">
      <c r="A322" s="64" t="s">
        <v>492</v>
      </c>
    </row>
    <row r="323" spans="1:1" x14ac:dyDescent="0.2">
      <c r="A323" s="64" t="s">
        <v>493</v>
      </c>
    </row>
    <row r="324" spans="1:1" x14ac:dyDescent="0.2">
      <c r="A324" s="64" t="s">
        <v>187</v>
      </c>
    </row>
    <row r="325" spans="1:1" x14ac:dyDescent="0.2">
      <c r="A325" s="64" t="s">
        <v>494</v>
      </c>
    </row>
    <row r="326" spans="1:1" x14ac:dyDescent="0.2">
      <c r="A326" s="64" t="s">
        <v>495</v>
      </c>
    </row>
    <row r="327" spans="1:1" x14ac:dyDescent="0.2">
      <c r="A327" s="64" t="s">
        <v>496</v>
      </c>
    </row>
    <row r="328" spans="1:1" x14ac:dyDescent="0.2">
      <c r="A328" s="64" t="s">
        <v>188</v>
      </c>
    </row>
    <row r="329" spans="1:1" x14ac:dyDescent="0.2">
      <c r="A329" s="64" t="s">
        <v>497</v>
      </c>
    </row>
    <row r="330" spans="1:1" x14ac:dyDescent="0.2">
      <c r="A330" s="64" t="s">
        <v>189</v>
      </c>
    </row>
    <row r="331" spans="1:1" x14ac:dyDescent="0.2">
      <c r="A331" s="64" t="s">
        <v>190</v>
      </c>
    </row>
    <row r="332" spans="1:1" x14ac:dyDescent="0.2">
      <c r="A332" s="64" t="s">
        <v>498</v>
      </c>
    </row>
    <row r="333" spans="1:1" x14ac:dyDescent="0.2">
      <c r="A333" s="64" t="s">
        <v>499</v>
      </c>
    </row>
    <row r="334" spans="1:1" x14ac:dyDescent="0.2">
      <c r="A334" s="64" t="s">
        <v>191</v>
      </c>
    </row>
    <row r="335" spans="1:1" x14ac:dyDescent="0.2">
      <c r="A335" s="64" t="s">
        <v>500</v>
      </c>
    </row>
    <row r="336" spans="1:1" x14ac:dyDescent="0.2">
      <c r="A336" s="64" t="s">
        <v>501</v>
      </c>
    </row>
    <row r="337" spans="1:1" x14ac:dyDescent="0.2">
      <c r="A337" s="64" t="s">
        <v>677</v>
      </c>
    </row>
    <row r="338" spans="1:1" x14ac:dyDescent="0.2">
      <c r="A338" s="64" t="s">
        <v>502</v>
      </c>
    </row>
    <row r="339" spans="1:1" x14ac:dyDescent="0.2">
      <c r="A339" s="64" t="s">
        <v>503</v>
      </c>
    </row>
    <row r="340" spans="1:1" x14ac:dyDescent="0.2">
      <c r="A340" s="64" t="s">
        <v>504</v>
      </c>
    </row>
    <row r="341" spans="1:1" x14ac:dyDescent="0.2">
      <c r="A341" s="64" t="s">
        <v>505</v>
      </c>
    </row>
    <row r="342" spans="1:1" x14ac:dyDescent="0.2">
      <c r="A342" s="64" t="s">
        <v>506</v>
      </c>
    </row>
    <row r="343" spans="1:1" x14ac:dyDescent="0.2">
      <c r="A343" s="64" t="s">
        <v>507</v>
      </c>
    </row>
    <row r="344" spans="1:1" x14ac:dyDescent="0.2">
      <c r="A344" s="64" t="s">
        <v>508</v>
      </c>
    </row>
    <row r="345" spans="1:1" x14ac:dyDescent="0.2">
      <c r="A345" s="64" t="s">
        <v>509</v>
      </c>
    </row>
    <row r="346" spans="1:1" x14ac:dyDescent="0.2">
      <c r="A346" s="64" t="s">
        <v>192</v>
      </c>
    </row>
    <row r="347" spans="1:1" x14ac:dyDescent="0.2">
      <c r="A347" s="64" t="s">
        <v>193</v>
      </c>
    </row>
    <row r="348" spans="1:1" x14ac:dyDescent="0.2">
      <c r="A348" s="64" t="s">
        <v>510</v>
      </c>
    </row>
    <row r="349" spans="1:1" x14ac:dyDescent="0.2">
      <c r="A349" s="64" t="s">
        <v>511</v>
      </c>
    </row>
    <row r="350" spans="1:1" x14ac:dyDescent="0.2">
      <c r="A350" s="64" t="s">
        <v>512</v>
      </c>
    </row>
    <row r="351" spans="1:1" x14ac:dyDescent="0.2">
      <c r="A351" s="64" t="s">
        <v>194</v>
      </c>
    </row>
    <row r="352" spans="1:1" x14ac:dyDescent="0.2">
      <c r="A352" s="64" t="s">
        <v>513</v>
      </c>
    </row>
    <row r="353" spans="1:1" x14ac:dyDescent="0.2">
      <c r="A353" s="64" t="s">
        <v>195</v>
      </c>
    </row>
    <row r="354" spans="1:1" x14ac:dyDescent="0.2">
      <c r="A354" s="64" t="s">
        <v>196</v>
      </c>
    </row>
    <row r="355" spans="1:1" x14ac:dyDescent="0.2">
      <c r="A355" s="64" t="s">
        <v>197</v>
      </c>
    </row>
    <row r="356" spans="1:1" x14ac:dyDescent="0.2">
      <c r="A356" s="64" t="s">
        <v>514</v>
      </c>
    </row>
    <row r="357" spans="1:1" x14ac:dyDescent="0.2">
      <c r="A357" s="64" t="s">
        <v>198</v>
      </c>
    </row>
    <row r="358" spans="1:1" x14ac:dyDescent="0.2">
      <c r="A358" s="64" t="s">
        <v>199</v>
      </c>
    </row>
    <row r="359" spans="1:1" x14ac:dyDescent="0.2">
      <c r="A359" s="64" t="s">
        <v>200</v>
      </c>
    </row>
    <row r="360" spans="1:1" x14ac:dyDescent="0.2">
      <c r="A360" s="64" t="s">
        <v>515</v>
      </c>
    </row>
    <row r="361" spans="1:1" x14ac:dyDescent="0.2">
      <c r="A361" s="64" t="s">
        <v>201</v>
      </c>
    </row>
    <row r="362" spans="1:1" x14ac:dyDescent="0.2">
      <c r="A362" s="64" t="s">
        <v>516</v>
      </c>
    </row>
    <row r="363" spans="1:1" x14ac:dyDescent="0.2">
      <c r="A363" s="64" t="s">
        <v>517</v>
      </c>
    </row>
    <row r="364" spans="1:1" x14ac:dyDescent="0.2">
      <c r="A364" s="64" t="s">
        <v>518</v>
      </c>
    </row>
    <row r="365" spans="1:1" x14ac:dyDescent="0.2">
      <c r="A365" s="64" t="s">
        <v>519</v>
      </c>
    </row>
    <row r="366" spans="1:1" x14ac:dyDescent="0.2">
      <c r="A366" s="64" t="s">
        <v>520</v>
      </c>
    </row>
    <row r="367" spans="1:1" x14ac:dyDescent="0.2">
      <c r="A367" s="64" t="s">
        <v>521</v>
      </c>
    </row>
    <row r="368" spans="1:1" x14ac:dyDescent="0.2">
      <c r="A368" s="64" t="s">
        <v>522</v>
      </c>
    </row>
    <row r="369" spans="1:1" x14ac:dyDescent="0.2">
      <c r="A369" s="64" t="s">
        <v>523</v>
      </c>
    </row>
    <row r="370" spans="1:1" x14ac:dyDescent="0.2">
      <c r="A370" s="64" t="s">
        <v>524</v>
      </c>
    </row>
    <row r="371" spans="1:1" x14ac:dyDescent="0.2">
      <c r="A371" s="64" t="s">
        <v>525</v>
      </c>
    </row>
    <row r="372" spans="1:1" x14ac:dyDescent="0.2">
      <c r="A372" s="64" t="s">
        <v>526</v>
      </c>
    </row>
    <row r="373" spans="1:1" x14ac:dyDescent="0.2">
      <c r="A373" s="64" t="s">
        <v>202</v>
      </c>
    </row>
    <row r="374" spans="1:1" x14ac:dyDescent="0.2">
      <c r="A374" s="64" t="s">
        <v>527</v>
      </c>
    </row>
    <row r="375" spans="1:1" x14ac:dyDescent="0.2">
      <c r="A375" s="64" t="s">
        <v>203</v>
      </c>
    </row>
    <row r="376" spans="1:1" x14ac:dyDescent="0.2">
      <c r="A376" s="64" t="s">
        <v>528</v>
      </c>
    </row>
    <row r="377" spans="1:1" x14ac:dyDescent="0.2">
      <c r="A377" s="64" t="s">
        <v>204</v>
      </c>
    </row>
    <row r="378" spans="1:1" x14ac:dyDescent="0.2">
      <c r="A378" s="64" t="s">
        <v>205</v>
      </c>
    </row>
    <row r="379" spans="1:1" x14ac:dyDescent="0.2">
      <c r="A379" s="64" t="s">
        <v>206</v>
      </c>
    </row>
    <row r="380" spans="1:1" x14ac:dyDescent="0.2">
      <c r="A380" s="64" t="s">
        <v>207</v>
      </c>
    </row>
    <row r="381" spans="1:1" x14ac:dyDescent="0.2">
      <c r="A381" s="64" t="s">
        <v>529</v>
      </c>
    </row>
    <row r="382" spans="1:1" x14ac:dyDescent="0.2">
      <c r="A382" s="64" t="s">
        <v>530</v>
      </c>
    </row>
    <row r="383" spans="1:1" x14ac:dyDescent="0.2">
      <c r="A383" s="64" t="s">
        <v>531</v>
      </c>
    </row>
    <row r="384" spans="1:1" x14ac:dyDescent="0.2">
      <c r="A384" s="64" t="s">
        <v>208</v>
      </c>
    </row>
    <row r="385" spans="1:1" x14ac:dyDescent="0.2">
      <c r="A385" s="64" t="s">
        <v>532</v>
      </c>
    </row>
    <row r="386" spans="1:1" x14ac:dyDescent="0.2">
      <c r="A386" s="64" t="s">
        <v>533</v>
      </c>
    </row>
    <row r="387" spans="1:1" x14ac:dyDescent="0.2">
      <c r="A387" s="64" t="s">
        <v>534</v>
      </c>
    </row>
    <row r="388" spans="1:1" x14ac:dyDescent="0.2">
      <c r="A388" s="64" t="s">
        <v>535</v>
      </c>
    </row>
    <row r="389" spans="1:1" x14ac:dyDescent="0.2">
      <c r="A389" s="64" t="s">
        <v>536</v>
      </c>
    </row>
    <row r="390" spans="1:1" x14ac:dyDescent="0.2">
      <c r="A390" s="64" t="s">
        <v>537</v>
      </c>
    </row>
    <row r="391" spans="1:1" x14ac:dyDescent="0.2">
      <c r="A391" s="64" t="s">
        <v>538</v>
      </c>
    </row>
    <row r="392" spans="1:1" x14ac:dyDescent="0.2">
      <c r="A392" s="64" t="s">
        <v>539</v>
      </c>
    </row>
    <row r="393" spans="1:1" x14ac:dyDescent="0.2">
      <c r="A393" s="64" t="s">
        <v>209</v>
      </c>
    </row>
    <row r="394" spans="1:1" x14ac:dyDescent="0.2">
      <c r="A394" s="64" t="s">
        <v>210</v>
      </c>
    </row>
    <row r="395" spans="1:1" x14ac:dyDescent="0.2">
      <c r="A395" s="64" t="s">
        <v>540</v>
      </c>
    </row>
    <row r="396" spans="1:1" x14ac:dyDescent="0.2">
      <c r="A396" s="64" t="s">
        <v>541</v>
      </c>
    </row>
    <row r="397" spans="1:1" x14ac:dyDescent="0.2">
      <c r="A397" s="64" t="s">
        <v>211</v>
      </c>
    </row>
    <row r="398" spans="1:1" x14ac:dyDescent="0.2">
      <c r="A398" s="64" t="s">
        <v>542</v>
      </c>
    </row>
    <row r="399" spans="1:1" x14ac:dyDescent="0.2">
      <c r="A399" s="64" t="s">
        <v>212</v>
      </c>
    </row>
    <row r="400" spans="1:1" x14ac:dyDescent="0.2">
      <c r="A400" s="64" t="s">
        <v>543</v>
      </c>
    </row>
    <row r="401" spans="1:1" x14ac:dyDescent="0.2">
      <c r="A401" s="64" t="s">
        <v>544</v>
      </c>
    </row>
    <row r="402" spans="1:1" x14ac:dyDescent="0.2">
      <c r="A402" s="64" t="s">
        <v>545</v>
      </c>
    </row>
    <row r="403" spans="1:1" x14ac:dyDescent="0.2">
      <c r="A403" s="64" t="s">
        <v>213</v>
      </c>
    </row>
    <row r="404" spans="1:1" x14ac:dyDescent="0.2">
      <c r="A404" s="64" t="s">
        <v>546</v>
      </c>
    </row>
    <row r="405" spans="1:1" x14ac:dyDescent="0.2">
      <c r="A405" s="64" t="s">
        <v>547</v>
      </c>
    </row>
    <row r="406" spans="1:1" x14ac:dyDescent="0.2">
      <c r="A406" s="64" t="s">
        <v>214</v>
      </c>
    </row>
    <row r="407" spans="1:1" x14ac:dyDescent="0.2">
      <c r="A407" s="64" t="s">
        <v>215</v>
      </c>
    </row>
    <row r="408" spans="1:1" x14ac:dyDescent="0.2">
      <c r="A408" s="64" t="s">
        <v>548</v>
      </c>
    </row>
    <row r="409" spans="1:1" x14ac:dyDescent="0.2">
      <c r="A409" s="64" t="s">
        <v>216</v>
      </c>
    </row>
    <row r="410" spans="1:1" x14ac:dyDescent="0.2">
      <c r="A410" s="64" t="s">
        <v>217</v>
      </c>
    </row>
    <row r="411" spans="1:1" x14ac:dyDescent="0.2">
      <c r="A411" s="64" t="s">
        <v>549</v>
      </c>
    </row>
    <row r="412" spans="1:1" x14ac:dyDescent="0.2">
      <c r="A412" s="64" t="s">
        <v>218</v>
      </c>
    </row>
    <row r="413" spans="1:1" x14ac:dyDescent="0.2">
      <c r="A413" s="64" t="s">
        <v>550</v>
      </c>
    </row>
    <row r="414" spans="1:1" x14ac:dyDescent="0.2">
      <c r="A414" s="64" t="s">
        <v>219</v>
      </c>
    </row>
    <row r="415" spans="1:1" x14ac:dyDescent="0.2">
      <c r="A415" s="64" t="s">
        <v>551</v>
      </c>
    </row>
    <row r="416" spans="1:1" x14ac:dyDescent="0.2">
      <c r="A416" s="64" t="s">
        <v>552</v>
      </c>
    </row>
    <row r="417" spans="1:1" x14ac:dyDescent="0.2">
      <c r="A417" s="64" t="s">
        <v>553</v>
      </c>
    </row>
    <row r="418" spans="1:1" x14ac:dyDescent="0.2">
      <c r="A418" s="64" t="s">
        <v>554</v>
      </c>
    </row>
    <row r="419" spans="1:1" x14ac:dyDescent="0.2">
      <c r="A419" s="64" t="s">
        <v>555</v>
      </c>
    </row>
    <row r="420" spans="1:1" x14ac:dyDescent="0.2">
      <c r="A420" s="64" t="s">
        <v>556</v>
      </c>
    </row>
    <row r="421" spans="1:1" x14ac:dyDescent="0.2">
      <c r="A421" s="64" t="s">
        <v>557</v>
      </c>
    </row>
    <row r="422" spans="1:1" x14ac:dyDescent="0.2">
      <c r="A422" s="64" t="s">
        <v>220</v>
      </c>
    </row>
    <row r="423" spans="1:1" x14ac:dyDescent="0.2">
      <c r="A423" s="64" t="s">
        <v>558</v>
      </c>
    </row>
    <row r="424" spans="1:1" x14ac:dyDescent="0.2">
      <c r="A424" s="64" t="s">
        <v>559</v>
      </c>
    </row>
    <row r="425" spans="1:1" x14ac:dyDescent="0.2">
      <c r="A425" s="64" t="s">
        <v>560</v>
      </c>
    </row>
    <row r="426" spans="1:1" x14ac:dyDescent="0.2">
      <c r="A426" s="64" t="s">
        <v>561</v>
      </c>
    </row>
    <row r="427" spans="1:1" x14ac:dyDescent="0.2">
      <c r="A427" s="64" t="s">
        <v>221</v>
      </c>
    </row>
    <row r="428" spans="1:1" x14ac:dyDescent="0.2">
      <c r="A428" s="64" t="s">
        <v>562</v>
      </c>
    </row>
    <row r="429" spans="1:1" x14ac:dyDescent="0.2">
      <c r="A429" s="64" t="s">
        <v>222</v>
      </c>
    </row>
    <row r="430" spans="1:1" x14ac:dyDescent="0.2">
      <c r="A430" s="64" t="s">
        <v>563</v>
      </c>
    </row>
    <row r="431" spans="1:1" x14ac:dyDescent="0.2">
      <c r="A431" s="64" t="s">
        <v>564</v>
      </c>
    </row>
    <row r="432" spans="1:1" x14ac:dyDescent="0.2">
      <c r="A432" s="64" t="s">
        <v>565</v>
      </c>
    </row>
    <row r="433" spans="1:1" x14ac:dyDescent="0.2">
      <c r="A433" s="64" t="s">
        <v>566</v>
      </c>
    </row>
    <row r="434" spans="1:1" x14ac:dyDescent="0.2">
      <c r="A434" s="64" t="s">
        <v>567</v>
      </c>
    </row>
    <row r="435" spans="1:1" x14ac:dyDescent="0.2">
      <c r="A435" s="64" t="s">
        <v>568</v>
      </c>
    </row>
    <row r="436" spans="1:1" x14ac:dyDescent="0.2">
      <c r="A436" s="64" t="s">
        <v>569</v>
      </c>
    </row>
    <row r="437" spans="1:1" x14ac:dyDescent="0.2">
      <c r="A437" s="64" t="s">
        <v>570</v>
      </c>
    </row>
    <row r="438" spans="1:1" x14ac:dyDescent="0.2">
      <c r="A438" s="64" t="s">
        <v>223</v>
      </c>
    </row>
    <row r="439" spans="1:1" x14ac:dyDescent="0.2">
      <c r="A439" s="64" t="s">
        <v>571</v>
      </c>
    </row>
    <row r="440" spans="1:1" x14ac:dyDescent="0.2">
      <c r="A440" s="64" t="s">
        <v>572</v>
      </c>
    </row>
    <row r="441" spans="1:1" x14ac:dyDescent="0.2">
      <c r="A441" s="64" t="s">
        <v>573</v>
      </c>
    </row>
    <row r="442" spans="1:1" x14ac:dyDescent="0.2">
      <c r="A442" s="64" t="s">
        <v>574</v>
      </c>
    </row>
    <row r="443" spans="1:1" x14ac:dyDescent="0.2">
      <c r="A443" s="64" t="s">
        <v>575</v>
      </c>
    </row>
    <row r="444" spans="1:1" x14ac:dyDescent="0.2">
      <c r="A444" s="64" t="s">
        <v>576</v>
      </c>
    </row>
    <row r="445" spans="1:1" x14ac:dyDescent="0.2">
      <c r="A445" s="64" t="s">
        <v>224</v>
      </c>
    </row>
    <row r="446" spans="1:1" x14ac:dyDescent="0.2">
      <c r="A446" s="64" t="s">
        <v>225</v>
      </c>
    </row>
    <row r="447" spans="1:1" x14ac:dyDescent="0.2">
      <c r="A447" s="64" t="s">
        <v>226</v>
      </c>
    </row>
    <row r="448" spans="1:1" x14ac:dyDescent="0.2">
      <c r="A448" s="64" t="s">
        <v>227</v>
      </c>
    </row>
    <row r="449" spans="1:1" x14ac:dyDescent="0.2">
      <c r="A449" s="64" t="s">
        <v>228</v>
      </c>
    </row>
    <row r="450" spans="1:1" x14ac:dyDescent="0.2">
      <c r="A450" s="64" t="s">
        <v>577</v>
      </c>
    </row>
    <row r="451" spans="1:1" x14ac:dyDescent="0.2">
      <c r="A451" s="64" t="s">
        <v>578</v>
      </c>
    </row>
    <row r="452" spans="1:1" x14ac:dyDescent="0.2">
      <c r="A452" s="64" t="s">
        <v>579</v>
      </c>
    </row>
    <row r="453" spans="1:1" x14ac:dyDescent="0.2">
      <c r="A453" s="64" t="s">
        <v>580</v>
      </c>
    </row>
    <row r="454" spans="1:1" x14ac:dyDescent="0.2">
      <c r="A454" s="64" t="s">
        <v>581</v>
      </c>
    </row>
    <row r="455" spans="1:1" x14ac:dyDescent="0.2">
      <c r="A455" s="64" t="s">
        <v>582</v>
      </c>
    </row>
    <row r="456" spans="1:1" x14ac:dyDescent="0.2">
      <c r="A456" s="64" t="s">
        <v>583</v>
      </c>
    </row>
    <row r="457" spans="1:1" x14ac:dyDescent="0.2">
      <c r="A457" s="64" t="s">
        <v>229</v>
      </c>
    </row>
    <row r="458" spans="1:1" x14ac:dyDescent="0.2">
      <c r="A458" s="64" t="s">
        <v>584</v>
      </c>
    </row>
    <row r="459" spans="1:1" x14ac:dyDescent="0.2">
      <c r="A459" s="64" t="s">
        <v>230</v>
      </c>
    </row>
    <row r="460" spans="1:1" x14ac:dyDescent="0.2">
      <c r="A460" s="64" t="s">
        <v>585</v>
      </c>
    </row>
    <row r="461" spans="1:1" x14ac:dyDescent="0.2">
      <c r="A461" s="64" t="s">
        <v>231</v>
      </c>
    </row>
    <row r="462" spans="1:1" x14ac:dyDescent="0.2">
      <c r="A462" s="64" t="s">
        <v>232</v>
      </c>
    </row>
    <row r="463" spans="1:1" x14ac:dyDescent="0.2">
      <c r="A463" s="64" t="s">
        <v>586</v>
      </c>
    </row>
    <row r="464" spans="1:1" x14ac:dyDescent="0.2">
      <c r="A464" s="64" t="s">
        <v>337</v>
      </c>
    </row>
    <row r="465" spans="1:1" x14ac:dyDescent="0.2">
      <c r="A465" s="64" t="s">
        <v>587</v>
      </c>
    </row>
    <row r="466" spans="1:1" x14ac:dyDescent="0.2">
      <c r="A466" s="64" t="s">
        <v>588</v>
      </c>
    </row>
    <row r="467" spans="1:1" x14ac:dyDescent="0.2">
      <c r="A467" s="64" t="s">
        <v>589</v>
      </c>
    </row>
    <row r="468" spans="1:1" x14ac:dyDescent="0.2">
      <c r="A468" s="64" t="s">
        <v>233</v>
      </c>
    </row>
    <row r="469" spans="1:1" x14ac:dyDescent="0.2">
      <c r="A469" s="64" t="s">
        <v>590</v>
      </c>
    </row>
    <row r="470" spans="1:1" x14ac:dyDescent="0.2">
      <c r="A470" s="64" t="s">
        <v>234</v>
      </c>
    </row>
    <row r="471" spans="1:1" x14ac:dyDescent="0.2">
      <c r="A471" s="64" t="s">
        <v>591</v>
      </c>
    </row>
    <row r="472" spans="1:1" x14ac:dyDescent="0.2">
      <c r="A472" s="64" t="s">
        <v>235</v>
      </c>
    </row>
    <row r="473" spans="1:1" x14ac:dyDescent="0.2">
      <c r="A473" s="64" t="s">
        <v>236</v>
      </c>
    </row>
    <row r="474" spans="1:1" x14ac:dyDescent="0.2">
      <c r="A474" s="64" t="s">
        <v>592</v>
      </c>
    </row>
    <row r="475" spans="1:1" x14ac:dyDescent="0.2">
      <c r="A475" s="64" t="s">
        <v>237</v>
      </c>
    </row>
    <row r="476" spans="1:1" x14ac:dyDescent="0.2">
      <c r="A476" s="64" t="s">
        <v>238</v>
      </c>
    </row>
    <row r="477" spans="1:1" x14ac:dyDescent="0.2">
      <c r="A477" s="64" t="s">
        <v>593</v>
      </c>
    </row>
    <row r="478" spans="1:1" x14ac:dyDescent="0.2">
      <c r="A478" s="64" t="s">
        <v>239</v>
      </c>
    </row>
    <row r="479" spans="1:1" x14ac:dyDescent="0.2">
      <c r="A479" s="64" t="s">
        <v>594</v>
      </c>
    </row>
    <row r="480" spans="1:1" x14ac:dyDescent="0.2">
      <c r="A480" s="64" t="s">
        <v>240</v>
      </c>
    </row>
    <row r="481" spans="1:1" x14ac:dyDescent="0.2">
      <c r="A481" s="64" t="s">
        <v>595</v>
      </c>
    </row>
    <row r="482" spans="1:1" x14ac:dyDescent="0.2">
      <c r="A482" s="64" t="s">
        <v>596</v>
      </c>
    </row>
    <row r="483" spans="1:1" x14ac:dyDescent="0.2">
      <c r="A483" s="64" t="s">
        <v>241</v>
      </c>
    </row>
    <row r="484" spans="1:1" x14ac:dyDescent="0.2">
      <c r="A484" s="64" t="s">
        <v>242</v>
      </c>
    </row>
    <row r="485" spans="1:1" x14ac:dyDescent="0.2">
      <c r="A485" s="64" t="s">
        <v>243</v>
      </c>
    </row>
    <row r="486" spans="1:1" x14ac:dyDescent="0.2">
      <c r="A486" s="64" t="s">
        <v>244</v>
      </c>
    </row>
    <row r="487" spans="1:1" x14ac:dyDescent="0.2">
      <c r="A487" s="64" t="s">
        <v>597</v>
      </c>
    </row>
    <row r="488" spans="1:1" x14ac:dyDescent="0.2">
      <c r="A488" s="64" t="s">
        <v>598</v>
      </c>
    </row>
    <row r="489" spans="1:1" x14ac:dyDescent="0.2">
      <c r="A489" s="64" t="s">
        <v>599</v>
      </c>
    </row>
    <row r="490" spans="1:1" x14ac:dyDescent="0.2">
      <c r="A490" s="64" t="s">
        <v>245</v>
      </c>
    </row>
    <row r="491" spans="1:1" x14ac:dyDescent="0.2">
      <c r="A491" s="64" t="s">
        <v>600</v>
      </c>
    </row>
    <row r="492" spans="1:1" x14ac:dyDescent="0.2">
      <c r="A492" s="64" t="s">
        <v>601</v>
      </c>
    </row>
    <row r="493" spans="1:1" x14ac:dyDescent="0.2">
      <c r="A493" s="64" t="s">
        <v>602</v>
      </c>
    </row>
    <row r="494" spans="1:1" x14ac:dyDescent="0.2">
      <c r="A494" s="64" t="s">
        <v>246</v>
      </c>
    </row>
    <row r="495" spans="1:1" x14ac:dyDescent="0.2">
      <c r="A495" s="64" t="s">
        <v>687</v>
      </c>
    </row>
    <row r="496" spans="1:1" x14ac:dyDescent="0.2">
      <c r="A496" s="64" t="s">
        <v>247</v>
      </c>
    </row>
    <row r="497" spans="1:1" x14ac:dyDescent="0.2">
      <c r="A497" s="64" t="s">
        <v>248</v>
      </c>
    </row>
    <row r="498" spans="1:1" x14ac:dyDescent="0.2">
      <c r="A498" s="64" t="s">
        <v>249</v>
      </c>
    </row>
    <row r="499" spans="1:1" x14ac:dyDescent="0.2">
      <c r="A499" s="64" t="s">
        <v>250</v>
      </c>
    </row>
    <row r="500" spans="1:1" x14ac:dyDescent="0.2">
      <c r="A500" s="64" t="s">
        <v>251</v>
      </c>
    </row>
    <row r="501" spans="1:1" x14ac:dyDescent="0.2">
      <c r="A501" s="64" t="s">
        <v>603</v>
      </c>
    </row>
    <row r="502" spans="1:1" x14ac:dyDescent="0.2">
      <c r="A502" s="64" t="s">
        <v>252</v>
      </c>
    </row>
    <row r="503" spans="1:1" x14ac:dyDescent="0.2">
      <c r="A503" s="64" t="s">
        <v>604</v>
      </c>
    </row>
    <row r="504" spans="1:1" x14ac:dyDescent="0.2">
      <c r="A504" s="64" t="s">
        <v>605</v>
      </c>
    </row>
    <row r="505" spans="1:1" x14ac:dyDescent="0.2">
      <c r="A505" s="64" t="s">
        <v>606</v>
      </c>
    </row>
    <row r="506" spans="1:1" x14ac:dyDescent="0.2">
      <c r="A506" s="64" t="s">
        <v>607</v>
      </c>
    </row>
    <row r="507" spans="1:1" x14ac:dyDescent="0.2">
      <c r="A507" s="64" t="s">
        <v>253</v>
      </c>
    </row>
    <row r="508" spans="1:1" x14ac:dyDescent="0.2">
      <c r="A508" s="64" t="s">
        <v>254</v>
      </c>
    </row>
    <row r="509" spans="1:1" x14ac:dyDescent="0.2">
      <c r="A509" s="64" t="s">
        <v>255</v>
      </c>
    </row>
    <row r="510" spans="1:1" x14ac:dyDescent="0.2">
      <c r="A510" s="64" t="s">
        <v>361</v>
      </c>
    </row>
    <row r="511" spans="1:1" x14ac:dyDescent="0.2">
      <c r="A511" s="64" t="s">
        <v>256</v>
      </c>
    </row>
    <row r="512" spans="1:1" x14ac:dyDescent="0.2">
      <c r="A512" s="64" t="s">
        <v>257</v>
      </c>
    </row>
    <row r="513" spans="1:1" x14ac:dyDescent="0.2">
      <c r="A513" s="64" t="s">
        <v>608</v>
      </c>
    </row>
    <row r="514" spans="1:1" x14ac:dyDescent="0.2">
      <c r="A514" s="64" t="s">
        <v>609</v>
      </c>
    </row>
    <row r="515" spans="1:1" x14ac:dyDescent="0.2">
      <c r="A515" s="64" t="s">
        <v>610</v>
      </c>
    </row>
    <row r="516" spans="1:1" x14ac:dyDescent="0.2">
      <c r="A516" s="64" t="s">
        <v>258</v>
      </c>
    </row>
    <row r="517" spans="1:1" x14ac:dyDescent="0.2">
      <c r="A517" s="64" t="s">
        <v>259</v>
      </c>
    </row>
    <row r="518" spans="1:1" x14ac:dyDescent="0.2">
      <c r="A518" s="64" t="s">
        <v>611</v>
      </c>
    </row>
    <row r="519" spans="1:1" x14ac:dyDescent="0.2">
      <c r="A519" s="64" t="s">
        <v>612</v>
      </c>
    </row>
    <row r="520" spans="1:1" x14ac:dyDescent="0.2">
      <c r="A520" s="64" t="s">
        <v>613</v>
      </c>
    </row>
    <row r="521" spans="1:1" x14ac:dyDescent="0.2">
      <c r="A521" s="64" t="s">
        <v>260</v>
      </c>
    </row>
    <row r="522" spans="1:1" x14ac:dyDescent="0.2">
      <c r="A522" s="64" t="s">
        <v>261</v>
      </c>
    </row>
    <row r="523" spans="1:1" x14ac:dyDescent="0.2">
      <c r="A523" s="64" t="s">
        <v>614</v>
      </c>
    </row>
    <row r="524" spans="1:1" x14ac:dyDescent="0.2">
      <c r="A524" s="64" t="s">
        <v>615</v>
      </c>
    </row>
    <row r="525" spans="1:1" x14ac:dyDescent="0.2">
      <c r="A525" s="64" t="s">
        <v>616</v>
      </c>
    </row>
    <row r="526" spans="1:1" x14ac:dyDescent="0.2">
      <c r="A526" s="64" t="s">
        <v>617</v>
      </c>
    </row>
    <row r="527" spans="1:1" x14ac:dyDescent="0.2">
      <c r="A527" s="64" t="s">
        <v>262</v>
      </c>
    </row>
    <row r="528" spans="1:1" x14ac:dyDescent="0.2">
      <c r="A528" s="64" t="s">
        <v>263</v>
      </c>
    </row>
    <row r="529" spans="1:1" x14ac:dyDescent="0.2">
      <c r="A529" s="64" t="s">
        <v>264</v>
      </c>
    </row>
    <row r="530" spans="1:1" x14ac:dyDescent="0.2">
      <c r="A530" s="64" t="s">
        <v>265</v>
      </c>
    </row>
    <row r="531" spans="1:1" x14ac:dyDescent="0.2">
      <c r="A531" s="64" t="s">
        <v>618</v>
      </c>
    </row>
    <row r="532" spans="1:1" x14ac:dyDescent="0.2">
      <c r="A532" s="64" t="s">
        <v>619</v>
      </c>
    </row>
    <row r="533" spans="1:1" x14ac:dyDescent="0.2">
      <c r="A533" s="64" t="s">
        <v>620</v>
      </c>
    </row>
    <row r="534" spans="1:1" x14ac:dyDescent="0.2">
      <c r="A534" s="64" t="s">
        <v>266</v>
      </c>
    </row>
    <row r="535" spans="1:1" x14ac:dyDescent="0.2">
      <c r="A535" s="64" t="s">
        <v>621</v>
      </c>
    </row>
    <row r="536" spans="1:1" x14ac:dyDescent="0.2">
      <c r="A536" s="64" t="s">
        <v>622</v>
      </c>
    </row>
    <row r="537" spans="1:1" x14ac:dyDescent="0.2">
      <c r="A537" s="64" t="s">
        <v>623</v>
      </c>
    </row>
    <row r="538" spans="1:1" x14ac:dyDescent="0.2">
      <c r="A538" s="64" t="s">
        <v>267</v>
      </c>
    </row>
    <row r="539" spans="1:1" x14ac:dyDescent="0.2">
      <c r="A539" s="64" t="s">
        <v>624</v>
      </c>
    </row>
    <row r="540" spans="1:1" x14ac:dyDescent="0.2">
      <c r="A540" s="64" t="s">
        <v>625</v>
      </c>
    </row>
    <row r="541" spans="1:1" x14ac:dyDescent="0.2">
      <c r="A541" s="64" t="s">
        <v>268</v>
      </c>
    </row>
    <row r="542" spans="1:1" x14ac:dyDescent="0.2">
      <c r="A542" s="64" t="s">
        <v>269</v>
      </c>
    </row>
    <row r="543" spans="1:1" x14ac:dyDescent="0.2">
      <c r="A543" s="64" t="s">
        <v>626</v>
      </c>
    </row>
    <row r="544" spans="1:1" x14ac:dyDescent="0.2">
      <c r="A544" s="64" t="s">
        <v>270</v>
      </c>
    </row>
    <row r="545" spans="1:1" x14ac:dyDescent="0.2">
      <c r="A545" s="64" t="s">
        <v>271</v>
      </c>
    </row>
    <row r="546" spans="1:1" x14ac:dyDescent="0.2">
      <c r="A546" s="64" t="s">
        <v>272</v>
      </c>
    </row>
    <row r="547" spans="1:1" x14ac:dyDescent="0.2">
      <c r="A547" s="64" t="s">
        <v>273</v>
      </c>
    </row>
    <row r="548" spans="1:1" x14ac:dyDescent="0.2">
      <c r="A548" s="64" t="s">
        <v>274</v>
      </c>
    </row>
    <row r="549" spans="1:1" x14ac:dyDescent="0.2">
      <c r="A549" s="64" t="s">
        <v>275</v>
      </c>
    </row>
    <row r="550" spans="1:1" x14ac:dyDescent="0.2">
      <c r="A550" s="64" t="s">
        <v>276</v>
      </c>
    </row>
    <row r="551" spans="1:1" x14ac:dyDescent="0.2">
      <c r="A551" s="64" t="s">
        <v>277</v>
      </c>
    </row>
    <row r="552" spans="1:1" x14ac:dyDescent="0.2">
      <c r="A552" s="64" t="s">
        <v>278</v>
      </c>
    </row>
    <row r="553" spans="1:1" x14ac:dyDescent="0.2">
      <c r="A553" s="64" t="s">
        <v>627</v>
      </c>
    </row>
    <row r="554" spans="1:1" x14ac:dyDescent="0.2">
      <c r="A554" s="64" t="s">
        <v>279</v>
      </c>
    </row>
    <row r="555" spans="1:1" x14ac:dyDescent="0.2">
      <c r="A555" s="64" t="s">
        <v>628</v>
      </c>
    </row>
    <row r="556" spans="1:1" x14ac:dyDescent="0.2">
      <c r="A556" s="64" t="s">
        <v>280</v>
      </c>
    </row>
    <row r="557" spans="1:1" x14ac:dyDescent="0.2">
      <c r="A557" s="64" t="s">
        <v>281</v>
      </c>
    </row>
    <row r="558" spans="1:1" x14ac:dyDescent="0.2">
      <c r="A558" s="64" t="s">
        <v>629</v>
      </c>
    </row>
    <row r="559" spans="1:1" x14ac:dyDescent="0.2">
      <c r="A559" s="64" t="s">
        <v>630</v>
      </c>
    </row>
    <row r="560" spans="1:1" x14ac:dyDescent="0.2">
      <c r="A560" s="64" t="s">
        <v>643</v>
      </c>
    </row>
    <row r="561" spans="1:1" x14ac:dyDescent="0.2">
      <c r="A561" s="64" t="s">
        <v>282</v>
      </c>
    </row>
    <row r="562" spans="1:1" x14ac:dyDescent="0.2">
      <c r="A562" s="64" t="s">
        <v>632</v>
      </c>
    </row>
    <row r="563" spans="1:1" x14ac:dyDescent="0.2">
      <c r="A563" s="64" t="s">
        <v>633</v>
      </c>
    </row>
    <row r="564" spans="1:1" x14ac:dyDescent="0.2">
      <c r="A564" s="64" t="s">
        <v>634</v>
      </c>
    </row>
    <row r="565" spans="1:1" x14ac:dyDescent="0.2">
      <c r="A565" s="64" t="s">
        <v>635</v>
      </c>
    </row>
    <row r="566" spans="1:1" x14ac:dyDescent="0.2">
      <c r="A566" s="64" t="s">
        <v>636</v>
      </c>
    </row>
    <row r="567" spans="1:1" x14ac:dyDescent="0.2">
      <c r="A567" s="64" t="s">
        <v>283</v>
      </c>
    </row>
    <row r="568" spans="1:1" x14ac:dyDescent="0.2">
      <c r="A568" s="64" t="s">
        <v>637</v>
      </c>
    </row>
    <row r="569" spans="1:1" x14ac:dyDescent="0.2">
      <c r="A569" s="64" t="s">
        <v>638</v>
      </c>
    </row>
    <row r="570" spans="1:1" x14ac:dyDescent="0.2">
      <c r="A570" s="64" t="s">
        <v>639</v>
      </c>
    </row>
    <row r="571" spans="1:1" x14ac:dyDescent="0.2">
      <c r="A571" s="64" t="s">
        <v>640</v>
      </c>
    </row>
    <row r="572" spans="1:1" x14ac:dyDescent="0.2">
      <c r="A572" s="64" t="s">
        <v>284</v>
      </c>
    </row>
    <row r="573" spans="1:1" x14ac:dyDescent="0.2">
      <c r="A573" s="64" t="s">
        <v>641</v>
      </c>
    </row>
    <row r="574" spans="1:1" x14ac:dyDescent="0.2">
      <c r="A574" s="64" t="s">
        <v>642</v>
      </c>
    </row>
    <row r="575" spans="1:1" x14ac:dyDescent="0.2">
      <c r="A575" s="64" t="s">
        <v>644</v>
      </c>
    </row>
    <row r="576" spans="1:1" x14ac:dyDescent="0.2">
      <c r="A576" s="64" t="s">
        <v>645</v>
      </c>
    </row>
    <row r="577" spans="1:1" x14ac:dyDescent="0.2">
      <c r="A577" s="64" t="s">
        <v>285</v>
      </c>
    </row>
    <row r="578" spans="1:1" x14ac:dyDescent="0.2">
      <c r="A578" s="64" t="s">
        <v>286</v>
      </c>
    </row>
    <row r="579" spans="1:1" x14ac:dyDescent="0.2">
      <c r="A579" s="64" t="s">
        <v>646</v>
      </c>
    </row>
    <row r="580" spans="1:1" x14ac:dyDescent="0.2">
      <c r="A580" s="64" t="s">
        <v>692</v>
      </c>
    </row>
    <row r="581" spans="1:1" x14ac:dyDescent="0.2">
      <c r="A581" s="64" t="s">
        <v>287</v>
      </c>
    </row>
    <row r="582" spans="1:1" x14ac:dyDescent="0.2">
      <c r="A582" s="64" t="s">
        <v>647</v>
      </c>
    </row>
    <row r="583" spans="1:1" x14ac:dyDescent="0.2">
      <c r="A583" s="64" t="s">
        <v>288</v>
      </c>
    </row>
    <row r="584" spans="1:1" x14ac:dyDescent="0.2">
      <c r="A584" s="64" t="s">
        <v>648</v>
      </c>
    </row>
    <row r="585" spans="1:1" x14ac:dyDescent="0.2">
      <c r="A585" s="64" t="s">
        <v>649</v>
      </c>
    </row>
    <row r="586" spans="1:1" x14ac:dyDescent="0.2">
      <c r="A586" s="64" t="s">
        <v>289</v>
      </c>
    </row>
    <row r="587" spans="1:1" x14ac:dyDescent="0.2">
      <c r="A587" s="64" t="s">
        <v>290</v>
      </c>
    </row>
    <row r="588" spans="1:1" x14ac:dyDescent="0.2">
      <c r="A588" s="64" t="s">
        <v>291</v>
      </c>
    </row>
    <row r="589" spans="1:1" x14ac:dyDescent="0.2">
      <c r="A589" s="64" t="s">
        <v>390</v>
      </c>
    </row>
    <row r="590" spans="1:1" x14ac:dyDescent="0.2">
      <c r="A590" s="64" t="s">
        <v>651</v>
      </c>
    </row>
    <row r="591" spans="1:1" x14ac:dyDescent="0.2">
      <c r="A591" s="64" t="s">
        <v>652</v>
      </c>
    </row>
    <row r="592" spans="1:1" x14ac:dyDescent="0.2">
      <c r="A592" s="64" t="s">
        <v>292</v>
      </c>
    </row>
    <row r="593" spans="1:1" x14ac:dyDescent="0.2">
      <c r="A593" s="64" t="s">
        <v>293</v>
      </c>
    </row>
    <row r="594" spans="1:1" x14ac:dyDescent="0.2">
      <c r="A594" s="64" t="s">
        <v>653</v>
      </c>
    </row>
    <row r="595" spans="1:1" x14ac:dyDescent="0.2">
      <c r="A595" s="64" t="s">
        <v>654</v>
      </c>
    </row>
    <row r="596" spans="1:1" x14ac:dyDescent="0.2">
      <c r="A596" s="64" t="s">
        <v>655</v>
      </c>
    </row>
    <row r="597" spans="1:1" x14ac:dyDescent="0.2">
      <c r="A597" s="64" t="s">
        <v>656</v>
      </c>
    </row>
    <row r="598" spans="1:1" x14ac:dyDescent="0.2">
      <c r="A598" s="64" t="s">
        <v>657</v>
      </c>
    </row>
    <row r="599" spans="1:1" x14ac:dyDescent="0.2">
      <c r="A599" s="64" t="s">
        <v>658</v>
      </c>
    </row>
    <row r="600" spans="1:1" x14ac:dyDescent="0.2">
      <c r="A600" s="64" t="s">
        <v>294</v>
      </c>
    </row>
    <row r="601" spans="1:1" x14ac:dyDescent="0.2">
      <c r="A601" s="64" t="s">
        <v>295</v>
      </c>
    </row>
    <row r="602" spans="1:1" x14ac:dyDescent="0.2">
      <c r="A602" s="64" t="s">
        <v>296</v>
      </c>
    </row>
    <row r="603" spans="1:1" x14ac:dyDescent="0.2">
      <c r="A603" s="64" t="s">
        <v>659</v>
      </c>
    </row>
    <row r="604" spans="1:1" x14ac:dyDescent="0.2">
      <c r="A604" s="64" t="s">
        <v>660</v>
      </c>
    </row>
    <row r="605" spans="1:1" x14ac:dyDescent="0.2">
      <c r="A605" s="64" t="s">
        <v>661</v>
      </c>
    </row>
    <row r="606" spans="1:1" x14ac:dyDescent="0.2">
      <c r="A606" s="64" t="s">
        <v>374</v>
      </c>
    </row>
    <row r="607" spans="1:1" x14ac:dyDescent="0.2">
      <c r="A607" s="64" t="s">
        <v>362</v>
      </c>
    </row>
    <row r="608" spans="1:1" x14ac:dyDescent="0.2">
      <c r="A608" s="64" t="s">
        <v>662</v>
      </c>
    </row>
    <row r="609" spans="1:1" x14ac:dyDescent="0.2">
      <c r="A609" s="64" t="s">
        <v>363</v>
      </c>
    </row>
    <row r="610" spans="1:1" x14ac:dyDescent="0.2">
      <c r="A610" s="64" t="s">
        <v>297</v>
      </c>
    </row>
    <row r="611" spans="1:1" x14ac:dyDescent="0.2">
      <c r="A611" s="64" t="s">
        <v>389</v>
      </c>
    </row>
    <row r="612" spans="1:1" x14ac:dyDescent="0.2">
      <c r="A612" s="64" t="s">
        <v>364</v>
      </c>
    </row>
    <row r="613" spans="1:1" x14ac:dyDescent="0.2">
      <c r="A613" s="64" t="s">
        <v>365</v>
      </c>
    </row>
    <row r="614" spans="1:1" x14ac:dyDescent="0.2">
      <c r="A614" s="64" t="s">
        <v>386</v>
      </c>
    </row>
    <row r="615" spans="1:1" x14ac:dyDescent="0.2">
      <c r="A615" s="64" t="s">
        <v>409</v>
      </c>
    </row>
    <row r="616" spans="1:1" x14ac:dyDescent="0.2">
      <c r="A616" s="64" t="s">
        <v>410</v>
      </c>
    </row>
    <row r="617" spans="1:1" x14ac:dyDescent="0.2">
      <c r="A617" s="64" t="s">
        <v>440</v>
      </c>
    </row>
    <row r="618" spans="1:1" x14ac:dyDescent="0.2">
      <c r="A618" s="64" t="s">
        <v>663</v>
      </c>
    </row>
    <row r="619" spans="1:1" x14ac:dyDescent="0.2">
      <c r="A619" s="64" t="s">
        <v>298</v>
      </c>
    </row>
    <row r="620" spans="1:1" x14ac:dyDescent="0.2">
      <c r="A620" s="64" t="s">
        <v>299</v>
      </c>
    </row>
    <row r="621" spans="1:1" x14ac:dyDescent="0.2">
      <c r="A621" s="64" t="s">
        <v>300</v>
      </c>
    </row>
    <row r="622" spans="1:1" x14ac:dyDescent="0.2">
      <c r="A622" s="64" t="s">
        <v>301</v>
      </c>
    </row>
    <row r="623" spans="1:1" x14ac:dyDescent="0.2">
      <c r="A623" s="64" t="s">
        <v>302</v>
      </c>
    </row>
    <row r="624" spans="1:1" x14ac:dyDescent="0.2">
      <c r="A624" s="64" t="s">
        <v>303</v>
      </c>
    </row>
    <row r="625" spans="1:1" x14ac:dyDescent="0.2">
      <c r="A625" s="64" t="s">
        <v>665</v>
      </c>
    </row>
    <row r="626" spans="1:1" x14ac:dyDescent="0.2">
      <c r="A626" s="64" t="s">
        <v>666</v>
      </c>
    </row>
    <row r="627" spans="1:1" x14ac:dyDescent="0.2">
      <c r="A627" s="64" t="s">
        <v>304</v>
      </c>
    </row>
    <row r="628" spans="1:1" x14ac:dyDescent="0.2">
      <c r="A628" s="64" t="s">
        <v>398</v>
      </c>
    </row>
    <row r="629" spans="1:1" x14ac:dyDescent="0.2">
      <c r="A629" s="64" t="s">
        <v>667</v>
      </c>
    </row>
    <row r="630" spans="1:1" x14ac:dyDescent="0.2">
      <c r="A630" s="64" t="s">
        <v>668</v>
      </c>
    </row>
    <row r="631" spans="1:1" x14ac:dyDescent="0.2">
      <c r="A631" s="64" t="s">
        <v>669</v>
      </c>
    </row>
    <row r="632" spans="1:1" x14ac:dyDescent="0.2">
      <c r="A632" s="64" t="s">
        <v>305</v>
      </c>
    </row>
    <row r="633" spans="1:1" x14ac:dyDescent="0.2">
      <c r="A633" s="64" t="s">
        <v>306</v>
      </c>
    </row>
    <row r="634" spans="1:1" x14ac:dyDescent="0.2">
      <c r="A634" s="64" t="s">
        <v>670</v>
      </c>
    </row>
    <row r="635" spans="1:1" x14ac:dyDescent="0.2">
      <c r="A635" s="64" t="s">
        <v>671</v>
      </c>
    </row>
    <row r="636" spans="1:1" x14ac:dyDescent="0.2">
      <c r="A636" s="64" t="s">
        <v>307</v>
      </c>
    </row>
    <row r="637" spans="1:1" x14ac:dyDescent="0.2">
      <c r="A637" s="64" t="s">
        <v>672</v>
      </c>
    </row>
    <row r="638" spans="1:1" x14ac:dyDescent="0.2">
      <c r="A638" s="64" t="s">
        <v>673</v>
      </c>
    </row>
    <row r="639" spans="1:1" x14ac:dyDescent="0.2">
      <c r="A639" s="64" t="s">
        <v>674</v>
      </c>
    </row>
    <row r="640" spans="1:1" x14ac:dyDescent="0.2">
      <c r="A640" s="64" t="s">
        <v>675</v>
      </c>
    </row>
    <row r="641" spans="1:1" x14ac:dyDescent="0.2">
      <c r="A641" s="64" t="s">
        <v>308</v>
      </c>
    </row>
    <row r="642" spans="1:1" x14ac:dyDescent="0.2">
      <c r="A642" s="64" t="s">
        <v>309</v>
      </c>
    </row>
    <row r="643" spans="1:1" x14ac:dyDescent="0.2">
      <c r="A643" s="64" t="s">
        <v>310</v>
      </c>
    </row>
    <row r="644" spans="1:1" x14ac:dyDescent="0.2">
      <c r="A644" s="64" t="s">
        <v>676</v>
      </c>
    </row>
    <row r="645" spans="1:1" x14ac:dyDescent="0.2">
      <c r="A645" s="64" t="s">
        <v>311</v>
      </c>
    </row>
    <row r="646" spans="1:1" x14ac:dyDescent="0.2">
      <c r="A646" s="64" t="s">
        <v>312</v>
      </c>
    </row>
    <row r="647" spans="1:1" x14ac:dyDescent="0.2">
      <c r="A647" s="64" t="s">
        <v>313</v>
      </c>
    </row>
    <row r="648" spans="1:1" x14ac:dyDescent="0.2">
      <c r="A648" s="64" t="s">
        <v>650</v>
      </c>
    </row>
    <row r="649" spans="1:1" x14ac:dyDescent="0.2">
      <c r="A649" s="64" t="s">
        <v>314</v>
      </c>
    </row>
    <row r="650" spans="1:1" x14ac:dyDescent="0.2">
      <c r="A650" s="64" t="s">
        <v>315</v>
      </c>
    </row>
    <row r="651" spans="1:1" x14ac:dyDescent="0.2">
      <c r="A651" s="64" t="s">
        <v>316</v>
      </c>
    </row>
    <row r="652" spans="1:1" x14ac:dyDescent="0.2">
      <c r="A652" s="64" t="s">
        <v>681</v>
      </c>
    </row>
    <row r="653" spans="1:1" x14ac:dyDescent="0.2">
      <c r="A653" s="64" t="s">
        <v>317</v>
      </c>
    </row>
    <row r="654" spans="1:1" x14ac:dyDescent="0.2">
      <c r="A654" s="64" t="s">
        <v>318</v>
      </c>
    </row>
    <row r="655" spans="1:1" x14ac:dyDescent="0.2">
      <c r="A655" s="64" t="s">
        <v>319</v>
      </c>
    </row>
    <row r="656" spans="1:1" x14ac:dyDescent="0.2">
      <c r="A656" s="64" t="s">
        <v>320</v>
      </c>
    </row>
    <row r="657" spans="1:1" x14ac:dyDescent="0.2">
      <c r="A657" s="64" t="s">
        <v>321</v>
      </c>
    </row>
    <row r="658" spans="1:1" x14ac:dyDescent="0.2">
      <c r="A658" s="64" t="s">
        <v>682</v>
      </c>
    </row>
    <row r="659" spans="1:1" x14ac:dyDescent="0.2">
      <c r="A659" s="64" t="s">
        <v>322</v>
      </c>
    </row>
    <row r="660" spans="1:1" x14ac:dyDescent="0.2">
      <c r="A660" s="64" t="s">
        <v>323</v>
      </c>
    </row>
    <row r="661" spans="1:1" x14ac:dyDescent="0.2">
      <c r="A661" s="64" t="s">
        <v>391</v>
      </c>
    </row>
    <row r="662" spans="1:1" x14ac:dyDescent="0.2">
      <c r="A662" s="64" t="s">
        <v>324</v>
      </c>
    </row>
    <row r="663" spans="1:1" x14ac:dyDescent="0.2">
      <c r="A663" s="64" t="s">
        <v>325</v>
      </c>
    </row>
    <row r="664" spans="1:1" x14ac:dyDescent="0.2">
      <c r="A664" s="64" t="s">
        <v>683</v>
      </c>
    </row>
    <row r="665" spans="1:1" x14ac:dyDescent="0.2">
      <c r="A665" s="64" t="s">
        <v>326</v>
      </c>
    </row>
    <row r="666" spans="1:1" x14ac:dyDescent="0.2">
      <c r="A666" s="64" t="s">
        <v>327</v>
      </c>
    </row>
    <row r="667" spans="1:1" x14ac:dyDescent="0.2">
      <c r="A667" s="64" t="s">
        <v>678</v>
      </c>
    </row>
    <row r="668" spans="1:1" x14ac:dyDescent="0.2">
      <c r="A668" s="64" t="s">
        <v>328</v>
      </c>
    </row>
    <row r="669" spans="1:1" x14ac:dyDescent="0.2">
      <c r="A669" s="64" t="s">
        <v>684</v>
      </c>
    </row>
    <row r="670" spans="1:1" x14ac:dyDescent="0.2">
      <c r="A670" s="64" t="s">
        <v>329</v>
      </c>
    </row>
    <row r="671" spans="1:1" x14ac:dyDescent="0.2">
      <c r="A671" s="64" t="s">
        <v>436</v>
      </c>
    </row>
    <row r="672" spans="1:1" x14ac:dyDescent="0.2">
      <c r="A672" s="64" t="s">
        <v>70</v>
      </c>
    </row>
    <row r="673" spans="1:1" x14ac:dyDescent="0.2">
      <c r="A673" s="64"/>
    </row>
    <row r="674" spans="1:1" x14ac:dyDescent="0.2">
      <c r="A674" s="64"/>
    </row>
    <row r="675" spans="1:1" x14ac:dyDescent="0.2">
      <c r="A675" s="64"/>
    </row>
    <row r="676" spans="1:1" x14ac:dyDescent="0.2">
      <c r="A676" s="64"/>
    </row>
    <row r="677" spans="1:1" x14ac:dyDescent="0.2">
      <c r="A677" s="64"/>
    </row>
    <row r="678" spans="1:1" x14ac:dyDescent="0.2">
      <c r="A678" s="64"/>
    </row>
    <row r="679" spans="1:1" x14ac:dyDescent="0.2">
      <c r="A679" s="64"/>
    </row>
    <row r="680" spans="1:1" x14ac:dyDescent="0.2">
      <c r="A680" s="64"/>
    </row>
    <row r="681" spans="1:1" x14ac:dyDescent="0.2">
      <c r="A681" s="64"/>
    </row>
    <row r="682" spans="1:1" x14ac:dyDescent="0.2">
      <c r="A682" s="64"/>
    </row>
    <row r="683" spans="1:1" x14ac:dyDescent="0.2">
      <c r="A683" s="64"/>
    </row>
    <row r="684" spans="1:1" x14ac:dyDescent="0.2">
      <c r="A684" s="64"/>
    </row>
    <row r="685" spans="1:1" x14ac:dyDescent="0.2">
      <c r="A685" s="64"/>
    </row>
    <row r="686" spans="1:1" x14ac:dyDescent="0.2">
      <c r="A686" s="64"/>
    </row>
    <row r="687" spans="1:1" x14ac:dyDescent="0.2">
      <c r="A687" s="64"/>
    </row>
    <row r="688" spans="1:1" x14ac:dyDescent="0.2">
      <c r="A688" s="64"/>
    </row>
    <row r="689" spans="1:1" x14ac:dyDescent="0.2">
      <c r="A689" s="64"/>
    </row>
    <row r="690" spans="1:1" x14ac:dyDescent="0.2">
      <c r="A690" s="64"/>
    </row>
    <row r="691" spans="1:1" x14ac:dyDescent="0.2">
      <c r="A691" s="64"/>
    </row>
    <row r="692" spans="1:1" x14ac:dyDescent="0.2">
      <c r="A692" s="64"/>
    </row>
    <row r="693" spans="1:1" x14ac:dyDescent="0.2">
      <c r="A693" s="64"/>
    </row>
    <row r="694" spans="1:1" x14ac:dyDescent="0.2">
      <c r="A694" s="64"/>
    </row>
    <row r="695" spans="1:1" x14ac:dyDescent="0.2">
      <c r="A695" s="64"/>
    </row>
    <row r="696" spans="1:1" x14ac:dyDescent="0.2">
      <c r="A696" s="64"/>
    </row>
    <row r="697" spans="1:1" x14ac:dyDescent="0.2">
      <c r="A697" s="64"/>
    </row>
    <row r="698" spans="1:1" x14ac:dyDescent="0.2">
      <c r="A698" s="64"/>
    </row>
    <row r="699" spans="1:1" x14ac:dyDescent="0.2">
      <c r="A699" s="64"/>
    </row>
    <row r="700" spans="1:1" x14ac:dyDescent="0.2">
      <c r="A700" s="64"/>
    </row>
    <row r="701" spans="1:1" x14ac:dyDescent="0.2">
      <c r="A701" s="64"/>
    </row>
    <row r="702" spans="1:1" x14ac:dyDescent="0.2">
      <c r="A702" s="64"/>
    </row>
    <row r="703" spans="1:1" x14ac:dyDescent="0.2">
      <c r="A703" s="64"/>
    </row>
    <row r="704" spans="1:1" x14ac:dyDescent="0.2">
      <c r="A704" s="64"/>
    </row>
    <row r="705" spans="1:1" x14ac:dyDescent="0.2">
      <c r="A705" s="64"/>
    </row>
    <row r="706" spans="1:1" x14ac:dyDescent="0.2">
      <c r="A706" s="64"/>
    </row>
    <row r="707" spans="1:1" x14ac:dyDescent="0.2">
      <c r="A707" s="64"/>
    </row>
    <row r="708" spans="1:1" x14ac:dyDescent="0.2">
      <c r="A708" s="64"/>
    </row>
    <row r="709" spans="1:1" x14ac:dyDescent="0.2">
      <c r="A709" s="64"/>
    </row>
    <row r="710" spans="1:1" x14ac:dyDescent="0.2">
      <c r="A710" s="64"/>
    </row>
    <row r="711" spans="1:1" x14ac:dyDescent="0.2">
      <c r="A711" s="64"/>
    </row>
    <row r="712" spans="1:1" x14ac:dyDescent="0.2">
      <c r="A712" s="64"/>
    </row>
    <row r="713" spans="1:1" x14ac:dyDescent="0.2">
      <c r="A713" s="64"/>
    </row>
    <row r="714" spans="1:1" x14ac:dyDescent="0.2">
      <c r="A714" s="64"/>
    </row>
    <row r="715" spans="1:1" x14ac:dyDescent="0.2">
      <c r="A715" s="64"/>
    </row>
    <row r="716" spans="1:1" x14ac:dyDescent="0.2">
      <c r="A716" s="64"/>
    </row>
    <row r="717" spans="1:1" x14ac:dyDescent="0.2">
      <c r="A717" s="64"/>
    </row>
    <row r="718" spans="1:1" x14ac:dyDescent="0.2">
      <c r="A718" s="64"/>
    </row>
    <row r="719" spans="1:1" x14ac:dyDescent="0.2">
      <c r="A719" s="64"/>
    </row>
    <row r="720" spans="1:1" x14ac:dyDescent="0.2">
      <c r="A720" s="64"/>
    </row>
    <row r="721" spans="1:1" x14ac:dyDescent="0.2">
      <c r="A721" s="64"/>
    </row>
    <row r="722" spans="1:1" x14ac:dyDescent="0.2">
      <c r="A722" s="64"/>
    </row>
    <row r="723" spans="1:1" x14ac:dyDescent="0.2">
      <c r="A723" s="64"/>
    </row>
    <row r="724" spans="1:1" x14ac:dyDescent="0.2">
      <c r="A724" s="64"/>
    </row>
    <row r="725" spans="1:1" x14ac:dyDescent="0.2">
      <c r="A725" s="64"/>
    </row>
    <row r="726" spans="1:1" x14ac:dyDescent="0.2">
      <c r="A726" s="64"/>
    </row>
    <row r="727" spans="1:1" x14ac:dyDescent="0.2">
      <c r="A727" s="64"/>
    </row>
    <row r="728" spans="1:1" x14ac:dyDescent="0.2">
      <c r="A728" s="64"/>
    </row>
    <row r="729" spans="1:1" x14ac:dyDescent="0.2">
      <c r="A729" s="64"/>
    </row>
    <row r="730" spans="1:1" x14ac:dyDescent="0.2">
      <c r="A730" s="64"/>
    </row>
    <row r="731" spans="1:1" x14ac:dyDescent="0.2">
      <c r="A731" s="64"/>
    </row>
    <row r="732" spans="1:1" x14ac:dyDescent="0.2">
      <c r="A732" s="64"/>
    </row>
    <row r="733" spans="1:1" x14ac:dyDescent="0.2">
      <c r="A733" s="64"/>
    </row>
    <row r="734" spans="1:1" x14ac:dyDescent="0.2">
      <c r="A734" s="64"/>
    </row>
    <row r="735" spans="1:1" x14ac:dyDescent="0.2">
      <c r="A735" s="64"/>
    </row>
    <row r="736" spans="1:1" x14ac:dyDescent="0.2">
      <c r="A736" s="64"/>
    </row>
    <row r="737" spans="1:1" x14ac:dyDescent="0.2">
      <c r="A737" s="64"/>
    </row>
    <row r="738" spans="1:1" x14ac:dyDescent="0.2">
      <c r="A738" s="64"/>
    </row>
    <row r="739" spans="1:1" x14ac:dyDescent="0.2">
      <c r="A739" s="64"/>
    </row>
    <row r="740" spans="1:1" x14ac:dyDescent="0.2">
      <c r="A740" s="64"/>
    </row>
    <row r="741" spans="1:1" x14ac:dyDescent="0.2">
      <c r="A741" s="64"/>
    </row>
    <row r="742" spans="1:1" x14ac:dyDescent="0.2">
      <c r="A742" s="64"/>
    </row>
    <row r="743" spans="1:1" x14ac:dyDescent="0.2">
      <c r="A743" s="64"/>
    </row>
    <row r="744" spans="1:1" x14ac:dyDescent="0.2">
      <c r="A744" s="64"/>
    </row>
    <row r="745" spans="1:1" x14ac:dyDescent="0.2">
      <c r="A745" s="64"/>
    </row>
    <row r="746" spans="1:1" x14ac:dyDescent="0.2">
      <c r="A746" s="64"/>
    </row>
    <row r="747" spans="1:1" x14ac:dyDescent="0.2">
      <c r="A747" s="64"/>
    </row>
    <row r="748" spans="1:1" x14ac:dyDescent="0.2">
      <c r="A748" s="64"/>
    </row>
    <row r="749" spans="1:1" x14ac:dyDescent="0.2">
      <c r="A749" s="64"/>
    </row>
    <row r="750" spans="1:1" x14ac:dyDescent="0.2">
      <c r="A750" s="64"/>
    </row>
    <row r="751" spans="1:1" x14ac:dyDescent="0.2">
      <c r="A751" s="64"/>
    </row>
    <row r="752" spans="1:1" x14ac:dyDescent="0.2">
      <c r="A752" s="64"/>
    </row>
    <row r="753" spans="1:1" x14ac:dyDescent="0.2">
      <c r="A753" s="64"/>
    </row>
    <row r="754" spans="1:1" x14ac:dyDescent="0.2">
      <c r="A754" s="64"/>
    </row>
    <row r="755" spans="1:1" x14ac:dyDescent="0.2">
      <c r="A755" s="64"/>
    </row>
    <row r="756" spans="1:1" x14ac:dyDescent="0.2">
      <c r="A756" s="64"/>
    </row>
    <row r="757" spans="1:1" x14ac:dyDescent="0.2">
      <c r="A757" s="64"/>
    </row>
    <row r="758" spans="1:1" x14ac:dyDescent="0.2">
      <c r="A758" s="64"/>
    </row>
    <row r="759" spans="1:1" x14ac:dyDescent="0.2">
      <c r="A759" s="64"/>
    </row>
    <row r="760" spans="1:1" x14ac:dyDescent="0.2">
      <c r="A760" s="64"/>
    </row>
    <row r="761" spans="1:1" x14ac:dyDescent="0.2">
      <c r="A761" s="64"/>
    </row>
    <row r="762" spans="1:1" x14ac:dyDescent="0.2">
      <c r="A762" s="64"/>
    </row>
    <row r="763" spans="1:1" x14ac:dyDescent="0.2">
      <c r="A763" s="64"/>
    </row>
    <row r="764" spans="1:1" x14ac:dyDescent="0.2">
      <c r="A764" s="64"/>
    </row>
    <row r="765" spans="1:1" x14ac:dyDescent="0.2">
      <c r="A765" s="64"/>
    </row>
    <row r="766" spans="1:1" x14ac:dyDescent="0.2">
      <c r="A766" s="64"/>
    </row>
    <row r="767" spans="1:1" x14ac:dyDescent="0.2">
      <c r="A767" s="64"/>
    </row>
    <row r="768" spans="1:1" x14ac:dyDescent="0.2">
      <c r="A768" s="64"/>
    </row>
    <row r="769" spans="1:1" x14ac:dyDescent="0.2">
      <c r="A769" s="64"/>
    </row>
    <row r="770" spans="1:1" x14ac:dyDescent="0.2">
      <c r="A770" s="64"/>
    </row>
    <row r="771" spans="1:1" x14ac:dyDescent="0.2">
      <c r="A771" s="64"/>
    </row>
    <row r="772" spans="1:1" x14ac:dyDescent="0.2">
      <c r="A772" s="64"/>
    </row>
    <row r="773" spans="1:1" x14ac:dyDescent="0.2">
      <c r="A773" s="64"/>
    </row>
    <row r="774" spans="1:1" x14ac:dyDescent="0.2">
      <c r="A774" s="64"/>
    </row>
    <row r="775" spans="1:1" x14ac:dyDescent="0.2">
      <c r="A775" s="64"/>
    </row>
    <row r="776" spans="1:1" x14ac:dyDescent="0.2">
      <c r="A776" s="64"/>
    </row>
    <row r="777" spans="1:1" x14ac:dyDescent="0.2">
      <c r="A777" s="64"/>
    </row>
    <row r="778" spans="1:1" x14ac:dyDescent="0.2">
      <c r="A778" s="64"/>
    </row>
    <row r="779" spans="1:1" x14ac:dyDescent="0.2">
      <c r="A779" s="64"/>
    </row>
    <row r="780" spans="1:1" x14ac:dyDescent="0.2">
      <c r="A780" s="64"/>
    </row>
    <row r="781" spans="1:1" x14ac:dyDescent="0.2">
      <c r="A781" s="64"/>
    </row>
    <row r="782" spans="1:1" x14ac:dyDescent="0.2">
      <c r="A782" s="64"/>
    </row>
    <row r="783" spans="1:1" x14ac:dyDescent="0.2">
      <c r="A783" s="64"/>
    </row>
    <row r="784" spans="1:1" x14ac:dyDescent="0.2">
      <c r="A784" s="64"/>
    </row>
  </sheetData>
  <sheetProtection password="AF78" sheet="1" objects="1" scenarios="1" selectLockedCells="1"/>
  <phoneticPr fontId="0" type="noConversion"/>
  <pageMargins left="0.75" right="0.75" top="1" bottom="1" header="0.5" footer="0.5"/>
  <pageSetup orientation="portrait" verticalDpi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8"/>
  <sheetViews>
    <sheetView tabSelected="1" zoomScale="75" zoomScaleNormal="10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3.42578125" style="3" customWidth="1"/>
    <col min="2" max="2" width="3.5703125" style="3" customWidth="1"/>
    <col min="3" max="3" width="2.42578125" style="3" customWidth="1"/>
    <col min="4" max="4" width="22.85546875" style="3" customWidth="1"/>
    <col min="5" max="5" width="13.28515625" style="3" hidden="1" customWidth="1"/>
    <col min="6" max="6" width="10" style="3" hidden="1" customWidth="1"/>
    <col min="7" max="7" width="17.7109375" style="27" customWidth="1"/>
    <col min="8" max="8" width="20.7109375" style="3" hidden="1" customWidth="1"/>
    <col min="9" max="13" width="22.7109375" style="3" customWidth="1"/>
    <col min="14" max="15" width="22.7109375" style="3" hidden="1" customWidth="1"/>
    <col min="16" max="16" width="22.7109375" style="3" customWidth="1"/>
    <col min="17" max="16384" width="9.140625" style="3"/>
  </cols>
  <sheetData>
    <row r="1" spans="1:16" ht="11.25" customHeight="1" x14ac:dyDescent="0.2">
      <c r="A1" s="79" t="s">
        <v>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6" ht="11.25" hidden="1" customHeight="1" x14ac:dyDescent="0.2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ht="11.25" hidden="1" customHeight="1" x14ac:dyDescent="0.2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16" ht="11.25" hidden="1" customHeight="1" x14ac:dyDescent="0.2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</row>
    <row r="5" spans="1:16" ht="11.25" hidden="1" customHeight="1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</row>
    <row r="6" spans="1:16" ht="11.25" customHeight="1" x14ac:dyDescent="0.2">
      <c r="A6" s="80"/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</row>
    <row r="7" spans="1:16" ht="11.25" customHeight="1" x14ac:dyDescent="0.2">
      <c r="A7" s="66" t="s">
        <v>1</v>
      </c>
      <c r="B7" s="67"/>
      <c r="C7" s="67"/>
      <c r="D7" s="68"/>
      <c r="E7" s="4"/>
      <c r="F7" s="4"/>
      <c r="G7" s="72" t="s">
        <v>3</v>
      </c>
      <c r="H7" s="5"/>
      <c r="I7" s="81" t="s">
        <v>4</v>
      </c>
      <c r="J7" s="82"/>
      <c r="K7" s="82"/>
      <c r="L7" s="82"/>
      <c r="M7" s="82"/>
      <c r="N7" s="82"/>
      <c r="O7" s="82"/>
      <c r="P7" s="83"/>
    </row>
    <row r="8" spans="1:16" ht="11.25" customHeight="1" x14ac:dyDescent="0.2">
      <c r="A8" s="69"/>
      <c r="B8" s="70"/>
      <c r="C8" s="70"/>
      <c r="D8" s="71"/>
      <c r="E8" s="6"/>
      <c r="F8" s="6"/>
      <c r="G8" s="73"/>
      <c r="H8" s="7"/>
      <c r="I8" s="84" t="s">
        <v>5</v>
      </c>
      <c r="J8" s="86" t="s">
        <v>6</v>
      </c>
      <c r="K8" s="87"/>
      <c r="L8" s="77" t="s">
        <v>7</v>
      </c>
      <c r="M8" s="78"/>
      <c r="N8" s="77" t="s">
        <v>72</v>
      </c>
      <c r="O8" s="78"/>
      <c r="P8" s="88" t="s">
        <v>8</v>
      </c>
    </row>
    <row r="9" spans="1:16" ht="11.25" customHeight="1" x14ac:dyDescent="0.2">
      <c r="A9" s="69"/>
      <c r="B9" s="70"/>
      <c r="C9" s="70"/>
      <c r="D9" s="71"/>
      <c r="E9" s="8"/>
      <c r="F9" s="8"/>
      <c r="G9" s="74"/>
      <c r="H9" s="9"/>
      <c r="I9" s="85"/>
      <c r="J9" s="10" t="s">
        <v>9</v>
      </c>
      <c r="K9" s="11" t="s">
        <v>10</v>
      </c>
      <c r="L9" s="10" t="s">
        <v>9</v>
      </c>
      <c r="M9" s="11" t="s">
        <v>10</v>
      </c>
      <c r="N9" s="10" t="s">
        <v>9</v>
      </c>
      <c r="O9" s="11" t="s">
        <v>10</v>
      </c>
      <c r="P9" s="89"/>
    </row>
    <row r="10" spans="1:16" ht="11.25" customHeight="1" x14ac:dyDescent="0.2">
      <c r="A10" s="29" t="s">
        <v>2</v>
      </c>
      <c r="B10" s="14"/>
      <c r="C10" s="14"/>
      <c r="D10" s="22"/>
      <c r="E10" s="22"/>
      <c r="F10" s="18"/>
      <c r="G10" s="58" t="s">
        <v>43</v>
      </c>
      <c r="H10" s="17"/>
      <c r="I10" s="53">
        <f t="shared" ref="I10:O10" si="0">I11+I18+I19+I24+I27</f>
        <v>0</v>
      </c>
      <c r="J10" s="53">
        <f t="shared" si="0"/>
        <v>0</v>
      </c>
      <c r="K10" s="53">
        <f t="shared" si="0"/>
        <v>0</v>
      </c>
      <c r="L10" s="53">
        <f t="shared" si="0"/>
        <v>0</v>
      </c>
      <c r="M10" s="53">
        <f t="shared" si="0"/>
        <v>0</v>
      </c>
      <c r="N10" s="53">
        <f t="shared" si="0"/>
        <v>0</v>
      </c>
      <c r="O10" s="53">
        <f t="shared" si="0"/>
        <v>0</v>
      </c>
      <c r="P10" s="52">
        <f>I10+K10+M10+O10</f>
        <v>0</v>
      </c>
    </row>
    <row r="11" spans="1:16" ht="11.25" customHeight="1" x14ac:dyDescent="0.2">
      <c r="A11" s="30" t="s">
        <v>11</v>
      </c>
      <c r="B11" s="20" t="s">
        <v>12</v>
      </c>
      <c r="C11" s="20"/>
      <c r="D11" s="21"/>
      <c r="E11" s="22"/>
      <c r="F11" s="18"/>
      <c r="G11" s="58" t="s">
        <v>44</v>
      </c>
      <c r="H11" s="17"/>
      <c r="I11" s="53">
        <f t="shared" ref="I11:O11" si="1">I12+I13+I14</f>
        <v>0</v>
      </c>
      <c r="J11" s="53">
        <f t="shared" si="1"/>
        <v>0</v>
      </c>
      <c r="K11" s="53">
        <f t="shared" si="1"/>
        <v>0</v>
      </c>
      <c r="L11" s="53">
        <f t="shared" si="1"/>
        <v>0</v>
      </c>
      <c r="M11" s="53">
        <f t="shared" si="1"/>
        <v>0</v>
      </c>
      <c r="N11" s="53">
        <f t="shared" si="1"/>
        <v>0</v>
      </c>
      <c r="O11" s="53">
        <f t="shared" si="1"/>
        <v>0</v>
      </c>
      <c r="P11" s="52">
        <f t="shared" ref="P11:P36" si="2">I11+K11+M11+O11</f>
        <v>0</v>
      </c>
    </row>
    <row r="12" spans="1:16" ht="11.25" customHeight="1" x14ac:dyDescent="0.2">
      <c r="A12" s="13"/>
      <c r="B12" s="31">
        <v>-1</v>
      </c>
      <c r="C12" s="14" t="s">
        <v>13</v>
      </c>
      <c r="D12" s="22"/>
      <c r="E12" s="22"/>
      <c r="F12" s="18"/>
      <c r="G12" s="58" t="s">
        <v>45</v>
      </c>
      <c r="H12" s="17"/>
      <c r="I12" s="55"/>
      <c r="J12" s="55"/>
      <c r="K12" s="56"/>
      <c r="L12" s="55"/>
      <c r="M12" s="55"/>
      <c r="N12" s="55"/>
      <c r="O12" s="55"/>
      <c r="P12" s="52">
        <f t="shared" si="2"/>
        <v>0</v>
      </c>
    </row>
    <row r="13" spans="1:16" ht="11.25" customHeight="1" x14ac:dyDescent="0.2">
      <c r="A13" s="30"/>
      <c r="B13" s="32">
        <f>B12-1</f>
        <v>-2</v>
      </c>
      <c r="C13" s="20" t="s">
        <v>14</v>
      </c>
      <c r="D13" s="21"/>
      <c r="E13" s="22"/>
      <c r="F13" s="18"/>
      <c r="G13" s="58" t="s">
        <v>46</v>
      </c>
      <c r="H13" s="17"/>
      <c r="I13" s="55"/>
      <c r="J13" s="55"/>
      <c r="K13" s="56"/>
      <c r="L13" s="55"/>
      <c r="M13" s="55"/>
      <c r="N13" s="55"/>
      <c r="O13" s="55"/>
      <c r="P13" s="52">
        <f t="shared" si="2"/>
        <v>0</v>
      </c>
    </row>
    <row r="14" spans="1:16" ht="11.25" customHeight="1" x14ac:dyDescent="0.2">
      <c r="A14" s="13"/>
      <c r="B14" s="31">
        <f>B13-1</f>
        <v>-3</v>
      </c>
      <c r="C14" s="14" t="s">
        <v>15</v>
      </c>
      <c r="D14" s="22"/>
      <c r="E14" s="22"/>
      <c r="F14" s="18"/>
      <c r="G14" s="58" t="s">
        <v>47</v>
      </c>
      <c r="H14" s="17"/>
      <c r="I14" s="53">
        <f t="shared" ref="I14:O14" si="3">I15+I16+I17</f>
        <v>0</v>
      </c>
      <c r="J14" s="53">
        <f t="shared" si="3"/>
        <v>0</v>
      </c>
      <c r="K14" s="53">
        <f t="shared" si="3"/>
        <v>0</v>
      </c>
      <c r="L14" s="53">
        <f t="shared" si="3"/>
        <v>0</v>
      </c>
      <c r="M14" s="53">
        <f t="shared" si="3"/>
        <v>0</v>
      </c>
      <c r="N14" s="53">
        <f t="shared" si="3"/>
        <v>0</v>
      </c>
      <c r="O14" s="53">
        <f t="shared" si="3"/>
        <v>0</v>
      </c>
      <c r="P14" s="52">
        <f t="shared" si="2"/>
        <v>0</v>
      </c>
    </row>
    <row r="15" spans="1:16" s="12" customFormat="1" ht="11.25" customHeight="1" x14ac:dyDescent="0.2">
      <c r="A15" s="30"/>
      <c r="B15" s="32"/>
      <c r="C15" s="20" t="s">
        <v>16</v>
      </c>
      <c r="D15" s="21" t="s">
        <v>17</v>
      </c>
      <c r="E15" s="22"/>
      <c r="F15" s="18"/>
      <c r="G15" s="58" t="s">
        <v>48</v>
      </c>
      <c r="H15" s="17"/>
      <c r="I15" s="55"/>
      <c r="J15" s="55"/>
      <c r="K15" s="56"/>
      <c r="L15" s="55"/>
      <c r="M15" s="55"/>
      <c r="N15" s="55"/>
      <c r="O15" s="55"/>
      <c r="P15" s="52">
        <f t="shared" si="2"/>
        <v>0</v>
      </c>
    </row>
    <row r="16" spans="1:16" s="12" customFormat="1" ht="11.25" customHeight="1" x14ac:dyDescent="0.2">
      <c r="A16" s="13"/>
      <c r="B16" s="31"/>
      <c r="C16" s="14" t="s">
        <v>18</v>
      </c>
      <c r="D16" s="22" t="s">
        <v>19</v>
      </c>
      <c r="E16" s="22"/>
      <c r="F16" s="18"/>
      <c r="G16" s="58" t="s">
        <v>49</v>
      </c>
      <c r="H16" s="17"/>
      <c r="I16" s="55"/>
      <c r="J16" s="55"/>
      <c r="K16" s="56"/>
      <c r="L16" s="55"/>
      <c r="M16" s="55"/>
      <c r="N16" s="55"/>
      <c r="O16" s="55"/>
      <c r="P16" s="52">
        <f t="shared" si="2"/>
        <v>0</v>
      </c>
    </row>
    <row r="17" spans="1:16" s="12" customFormat="1" ht="11.25" customHeight="1" x14ac:dyDescent="0.2">
      <c r="A17" s="30"/>
      <c r="B17" s="32"/>
      <c r="C17" s="20" t="s">
        <v>20</v>
      </c>
      <c r="D17" s="21" t="s">
        <v>21</v>
      </c>
      <c r="E17" s="22"/>
      <c r="F17" s="18"/>
      <c r="G17" s="58" t="s">
        <v>50</v>
      </c>
      <c r="H17" s="17"/>
      <c r="I17" s="55"/>
      <c r="J17" s="55"/>
      <c r="K17" s="56"/>
      <c r="L17" s="55"/>
      <c r="M17" s="55"/>
      <c r="N17" s="55"/>
      <c r="O17" s="55"/>
      <c r="P17" s="52">
        <f t="shared" si="2"/>
        <v>0</v>
      </c>
    </row>
    <row r="18" spans="1:16" ht="11.25" customHeight="1" x14ac:dyDescent="0.2">
      <c r="A18" s="13" t="s">
        <v>22</v>
      </c>
      <c r="B18" s="31" t="s">
        <v>23</v>
      </c>
      <c r="C18" s="14"/>
      <c r="D18" s="22"/>
      <c r="E18" s="22"/>
      <c r="F18" s="18"/>
      <c r="G18" s="58" t="s">
        <v>51</v>
      </c>
      <c r="H18" s="17"/>
      <c r="I18" s="55"/>
      <c r="J18" s="55"/>
      <c r="K18" s="56"/>
      <c r="L18" s="55"/>
      <c r="M18" s="55"/>
      <c r="N18" s="55"/>
      <c r="O18" s="55"/>
      <c r="P18" s="52">
        <f t="shared" si="2"/>
        <v>0</v>
      </c>
    </row>
    <row r="19" spans="1:16" ht="11.25" customHeight="1" x14ac:dyDescent="0.2">
      <c r="A19" s="30" t="s">
        <v>24</v>
      </c>
      <c r="B19" s="20" t="s">
        <v>25</v>
      </c>
      <c r="C19" s="20"/>
      <c r="D19" s="21"/>
      <c r="E19" s="22"/>
      <c r="F19" s="18"/>
      <c r="G19" s="58" t="s">
        <v>52</v>
      </c>
      <c r="H19" s="17"/>
      <c r="I19" s="53">
        <f t="shared" ref="I19:O19" si="4">I20+I23</f>
        <v>0</v>
      </c>
      <c r="J19" s="53">
        <f t="shared" si="4"/>
        <v>0</v>
      </c>
      <c r="K19" s="53">
        <f t="shared" si="4"/>
        <v>0</v>
      </c>
      <c r="L19" s="53">
        <f t="shared" si="4"/>
        <v>0</v>
      </c>
      <c r="M19" s="53">
        <f t="shared" si="4"/>
        <v>0</v>
      </c>
      <c r="N19" s="53">
        <f t="shared" si="4"/>
        <v>0</v>
      </c>
      <c r="O19" s="53">
        <f t="shared" si="4"/>
        <v>0</v>
      </c>
      <c r="P19" s="52">
        <f t="shared" si="2"/>
        <v>0</v>
      </c>
    </row>
    <row r="20" spans="1:16" ht="11.25" customHeight="1" x14ac:dyDescent="0.2">
      <c r="A20" s="13"/>
      <c r="B20" s="31">
        <v>-1</v>
      </c>
      <c r="C20" s="33" t="s">
        <v>26</v>
      </c>
      <c r="D20" s="22"/>
      <c r="E20" s="22"/>
      <c r="F20" s="18"/>
      <c r="G20" s="58" t="s">
        <v>53</v>
      </c>
      <c r="H20" s="17"/>
      <c r="I20" s="53">
        <f t="shared" ref="I20:O20" si="5">I21+I22</f>
        <v>0</v>
      </c>
      <c r="J20" s="53">
        <f t="shared" si="5"/>
        <v>0</v>
      </c>
      <c r="K20" s="53">
        <f t="shared" si="5"/>
        <v>0</v>
      </c>
      <c r="L20" s="53">
        <f t="shared" si="5"/>
        <v>0</v>
      </c>
      <c r="M20" s="53">
        <f t="shared" si="5"/>
        <v>0</v>
      </c>
      <c r="N20" s="53">
        <f t="shared" si="5"/>
        <v>0</v>
      </c>
      <c r="O20" s="53">
        <f t="shared" si="5"/>
        <v>0</v>
      </c>
      <c r="P20" s="52">
        <f t="shared" si="2"/>
        <v>0</v>
      </c>
    </row>
    <row r="21" spans="1:16" ht="11.25" customHeight="1" x14ac:dyDescent="0.2">
      <c r="A21" s="30"/>
      <c r="B21" s="32"/>
      <c r="C21" s="20" t="s">
        <v>16</v>
      </c>
      <c r="D21" s="21" t="s">
        <v>27</v>
      </c>
      <c r="E21" s="22"/>
      <c r="F21" s="18"/>
      <c r="G21" s="58" t="s">
        <v>54</v>
      </c>
      <c r="H21" s="17"/>
      <c r="I21" s="55"/>
      <c r="J21" s="55"/>
      <c r="K21" s="56"/>
      <c r="L21" s="55"/>
      <c r="M21" s="55"/>
      <c r="N21" s="55"/>
      <c r="O21" s="55"/>
      <c r="P21" s="52">
        <f t="shared" si="2"/>
        <v>0</v>
      </c>
    </row>
    <row r="22" spans="1:16" ht="11.25" customHeight="1" x14ac:dyDescent="0.2">
      <c r="A22" s="13"/>
      <c r="B22" s="31"/>
      <c r="C22" s="14" t="s">
        <v>18</v>
      </c>
      <c r="D22" s="22" t="s">
        <v>28</v>
      </c>
      <c r="E22" s="22"/>
      <c r="F22" s="18"/>
      <c r="G22" s="58" t="s">
        <v>55</v>
      </c>
      <c r="H22" s="17"/>
      <c r="I22" s="55"/>
      <c r="J22" s="55"/>
      <c r="K22" s="56"/>
      <c r="L22" s="55"/>
      <c r="M22" s="55"/>
      <c r="N22" s="55"/>
      <c r="O22" s="55"/>
      <c r="P22" s="52">
        <f t="shared" si="2"/>
        <v>0</v>
      </c>
    </row>
    <row r="23" spans="1:16" ht="11.25" customHeight="1" x14ac:dyDescent="0.2">
      <c r="A23" s="30"/>
      <c r="B23" s="32">
        <f>B20-1</f>
        <v>-2</v>
      </c>
      <c r="C23" s="20" t="s">
        <v>29</v>
      </c>
      <c r="D23" s="21"/>
      <c r="E23" s="22"/>
      <c r="F23" s="18"/>
      <c r="G23" s="58" t="s">
        <v>56</v>
      </c>
      <c r="H23" s="17"/>
      <c r="I23" s="55"/>
      <c r="J23" s="55"/>
      <c r="K23" s="56"/>
      <c r="L23" s="55"/>
      <c r="M23" s="55"/>
      <c r="N23" s="55"/>
      <c r="O23" s="55"/>
      <c r="P23" s="52">
        <f t="shared" si="2"/>
        <v>0</v>
      </c>
    </row>
    <row r="24" spans="1:16" ht="11.25" customHeight="1" x14ac:dyDescent="0.2">
      <c r="A24" s="13" t="s">
        <v>30</v>
      </c>
      <c r="B24" s="14" t="s">
        <v>31</v>
      </c>
      <c r="C24" s="14"/>
      <c r="D24" s="22"/>
      <c r="E24" s="22"/>
      <c r="F24" s="18"/>
      <c r="G24" s="58" t="s">
        <v>57</v>
      </c>
      <c r="H24" s="17"/>
      <c r="I24" s="53">
        <f t="shared" ref="I24:O24" si="6">I25+I26</f>
        <v>0</v>
      </c>
      <c r="J24" s="53">
        <f t="shared" si="6"/>
        <v>0</v>
      </c>
      <c r="K24" s="53">
        <f t="shared" si="6"/>
        <v>0</v>
      </c>
      <c r="L24" s="53">
        <f t="shared" si="6"/>
        <v>0</v>
      </c>
      <c r="M24" s="53">
        <f t="shared" si="6"/>
        <v>0</v>
      </c>
      <c r="N24" s="53">
        <f t="shared" si="6"/>
        <v>0</v>
      </c>
      <c r="O24" s="53">
        <f t="shared" si="6"/>
        <v>0</v>
      </c>
      <c r="P24" s="52">
        <f t="shared" si="2"/>
        <v>0</v>
      </c>
    </row>
    <row r="25" spans="1:16" ht="11.25" customHeight="1" x14ac:dyDescent="0.2">
      <c r="A25" s="30"/>
      <c r="B25" s="32">
        <v>-1</v>
      </c>
      <c r="C25" s="20" t="s">
        <v>32</v>
      </c>
      <c r="D25" s="21"/>
      <c r="E25" s="22"/>
      <c r="F25" s="18"/>
      <c r="G25" s="58" t="s">
        <v>58</v>
      </c>
      <c r="H25" s="17"/>
      <c r="I25" s="55"/>
      <c r="J25" s="55"/>
      <c r="K25" s="56"/>
      <c r="L25" s="55"/>
      <c r="M25" s="55"/>
      <c r="N25" s="55"/>
      <c r="O25" s="55"/>
      <c r="P25" s="52">
        <f t="shared" si="2"/>
        <v>0</v>
      </c>
    </row>
    <row r="26" spans="1:16" ht="11.25" customHeight="1" x14ac:dyDescent="0.2">
      <c r="A26" s="13"/>
      <c r="B26" s="31">
        <f>B25-1</f>
        <v>-2</v>
      </c>
      <c r="C26" s="14" t="s">
        <v>21</v>
      </c>
      <c r="D26" s="22"/>
      <c r="E26" s="22"/>
      <c r="F26" s="18"/>
      <c r="G26" s="58" t="s">
        <v>59</v>
      </c>
      <c r="H26" s="17"/>
      <c r="I26" s="55"/>
      <c r="J26" s="55"/>
      <c r="K26" s="56"/>
      <c r="L26" s="55"/>
      <c r="M26" s="55"/>
      <c r="N26" s="55"/>
      <c r="O26" s="55"/>
      <c r="P26" s="52">
        <f t="shared" si="2"/>
        <v>0</v>
      </c>
    </row>
    <row r="27" spans="1:16" ht="11.25" customHeight="1" x14ac:dyDescent="0.2">
      <c r="A27" s="30" t="s">
        <v>33</v>
      </c>
      <c r="B27" s="32" t="s">
        <v>34</v>
      </c>
      <c r="C27" s="20"/>
      <c r="D27" s="21"/>
      <c r="E27" s="22"/>
      <c r="F27" s="18"/>
      <c r="G27" s="58" t="s">
        <v>60</v>
      </c>
      <c r="H27" s="17"/>
      <c r="I27" s="55"/>
      <c r="J27" s="55"/>
      <c r="K27" s="56"/>
      <c r="L27" s="55"/>
      <c r="M27" s="55"/>
      <c r="N27" s="55"/>
      <c r="O27" s="55"/>
      <c r="P27" s="52">
        <f t="shared" si="2"/>
        <v>0</v>
      </c>
    </row>
    <row r="28" spans="1:16" ht="11.25" customHeight="1" x14ac:dyDescent="0.2">
      <c r="A28" s="44" t="s">
        <v>35</v>
      </c>
      <c r="B28" s="45"/>
      <c r="C28" s="45"/>
      <c r="D28" s="46"/>
      <c r="E28" s="22"/>
      <c r="F28" s="18"/>
      <c r="G28" s="58" t="s">
        <v>61</v>
      </c>
      <c r="H28" s="17"/>
      <c r="I28" s="49"/>
      <c r="J28" s="53">
        <f t="shared" ref="J28:O28" si="7">J29+J30</f>
        <v>0</v>
      </c>
      <c r="K28" s="53">
        <f t="shared" si="7"/>
        <v>0</v>
      </c>
      <c r="L28" s="53">
        <f t="shared" si="7"/>
        <v>0</v>
      </c>
      <c r="M28" s="53">
        <f t="shared" si="7"/>
        <v>0</v>
      </c>
      <c r="N28" s="53">
        <f t="shared" si="7"/>
        <v>0</v>
      </c>
      <c r="O28" s="53">
        <f t="shared" si="7"/>
        <v>0</v>
      </c>
      <c r="P28" s="52">
        <f t="shared" si="2"/>
        <v>0</v>
      </c>
    </row>
    <row r="29" spans="1:16" ht="11.25" customHeight="1" x14ac:dyDescent="0.2">
      <c r="A29" s="13" t="s">
        <v>11</v>
      </c>
      <c r="B29" s="14" t="s">
        <v>36</v>
      </c>
      <c r="C29" s="14"/>
      <c r="D29" s="22"/>
      <c r="E29" s="22"/>
      <c r="F29" s="18"/>
      <c r="G29" s="58" t="s">
        <v>62</v>
      </c>
      <c r="H29" s="17"/>
      <c r="I29" s="50"/>
      <c r="J29" s="55"/>
      <c r="K29" s="56"/>
      <c r="L29" s="55"/>
      <c r="M29" s="55"/>
      <c r="N29" s="55"/>
      <c r="O29" s="55"/>
      <c r="P29" s="52">
        <f t="shared" si="2"/>
        <v>0</v>
      </c>
    </row>
    <row r="30" spans="1:16" ht="11.25" customHeight="1" x14ac:dyDescent="0.2">
      <c r="A30" s="13" t="s">
        <v>22</v>
      </c>
      <c r="B30" s="14" t="s">
        <v>71</v>
      </c>
      <c r="C30" s="14"/>
      <c r="D30" s="22"/>
      <c r="E30" s="22"/>
      <c r="F30" s="18"/>
      <c r="G30" s="58" t="s">
        <v>63</v>
      </c>
      <c r="H30" s="17"/>
      <c r="I30" s="50"/>
      <c r="J30" s="55"/>
      <c r="K30" s="56"/>
      <c r="L30" s="55"/>
      <c r="M30" s="55"/>
      <c r="N30" s="55"/>
      <c r="O30" s="55"/>
      <c r="P30" s="52">
        <f t="shared" si="2"/>
        <v>0</v>
      </c>
    </row>
    <row r="31" spans="1:16" ht="11.25" customHeight="1" x14ac:dyDescent="0.2">
      <c r="A31" s="29" t="s">
        <v>73</v>
      </c>
      <c r="B31" s="14"/>
      <c r="C31" s="48"/>
      <c r="D31" s="43"/>
      <c r="E31" s="15"/>
      <c r="F31" s="16"/>
      <c r="G31" s="58" t="s">
        <v>64</v>
      </c>
      <c r="H31" s="18"/>
      <c r="I31" s="53">
        <f t="shared" ref="I31:O31" si="8">I10+I28</f>
        <v>0</v>
      </c>
      <c r="J31" s="53">
        <f t="shared" si="8"/>
        <v>0</v>
      </c>
      <c r="K31" s="53">
        <f t="shared" si="8"/>
        <v>0</v>
      </c>
      <c r="L31" s="53">
        <f t="shared" si="8"/>
        <v>0</v>
      </c>
      <c r="M31" s="53">
        <f t="shared" si="8"/>
        <v>0</v>
      </c>
      <c r="N31" s="53">
        <f t="shared" si="8"/>
        <v>0</v>
      </c>
      <c r="O31" s="53">
        <f t="shared" si="8"/>
        <v>0</v>
      </c>
      <c r="P31" s="52">
        <f t="shared" si="2"/>
        <v>0</v>
      </c>
    </row>
    <row r="32" spans="1:16" ht="11.25" customHeight="1" x14ac:dyDescent="0.2">
      <c r="A32" s="19" t="s">
        <v>37</v>
      </c>
      <c r="B32" s="20"/>
      <c r="C32" s="20"/>
      <c r="D32" s="21"/>
      <c r="E32" s="22"/>
      <c r="F32" s="18"/>
      <c r="G32" s="59"/>
      <c r="H32" s="18"/>
      <c r="I32" s="51"/>
      <c r="J32" s="51"/>
      <c r="K32" s="51"/>
      <c r="L32" s="51"/>
      <c r="M32" s="51"/>
      <c r="N32" s="51"/>
      <c r="O32" s="51"/>
      <c r="P32" s="52"/>
    </row>
    <row r="33" spans="1:16" ht="11.25" customHeight="1" x14ac:dyDescent="0.2">
      <c r="A33" s="34" t="s">
        <v>38</v>
      </c>
      <c r="B33" s="75" t="s">
        <v>39</v>
      </c>
      <c r="C33" s="75"/>
      <c r="D33" s="76"/>
      <c r="E33" s="35"/>
      <c r="F33" s="36"/>
      <c r="G33" s="60" t="s">
        <v>65</v>
      </c>
      <c r="H33" s="23"/>
      <c r="I33" s="54">
        <f t="shared" ref="I33:O33" si="9">I34+I35+I36</f>
        <v>0</v>
      </c>
      <c r="J33" s="54">
        <f t="shared" si="9"/>
        <v>0</v>
      </c>
      <c r="K33" s="54">
        <f t="shared" si="9"/>
        <v>0</v>
      </c>
      <c r="L33" s="54">
        <f t="shared" si="9"/>
        <v>0</v>
      </c>
      <c r="M33" s="54">
        <f t="shared" si="9"/>
        <v>0</v>
      </c>
      <c r="N33" s="54">
        <f t="shared" si="9"/>
        <v>0</v>
      </c>
      <c r="O33" s="54">
        <f t="shared" si="9"/>
        <v>0</v>
      </c>
      <c r="P33" s="52">
        <f t="shared" si="2"/>
        <v>0</v>
      </c>
    </row>
    <row r="34" spans="1:16" ht="11.25" customHeight="1" x14ac:dyDescent="0.2">
      <c r="A34" s="39"/>
      <c r="B34" s="40" t="s">
        <v>11</v>
      </c>
      <c r="C34" s="47" t="s">
        <v>40</v>
      </c>
      <c r="D34" s="37"/>
      <c r="E34" s="37"/>
      <c r="F34" s="38"/>
      <c r="G34" s="61" t="s">
        <v>66</v>
      </c>
      <c r="H34" s="24"/>
      <c r="I34" s="55"/>
      <c r="J34" s="55"/>
      <c r="K34" s="55"/>
      <c r="L34" s="55"/>
      <c r="M34" s="55"/>
      <c r="N34" s="55"/>
      <c r="O34" s="55"/>
      <c r="P34" s="52">
        <f t="shared" si="2"/>
        <v>0</v>
      </c>
    </row>
    <row r="35" spans="1:16" ht="11.25" customHeight="1" x14ac:dyDescent="0.2">
      <c r="A35" s="39"/>
      <c r="B35" s="40" t="s">
        <v>22</v>
      </c>
      <c r="C35" s="37" t="s">
        <v>41</v>
      </c>
      <c r="D35" s="41"/>
      <c r="E35" s="41"/>
      <c r="F35" s="42"/>
      <c r="G35" s="62" t="s">
        <v>67</v>
      </c>
      <c r="H35" s="25"/>
      <c r="I35" s="57"/>
      <c r="J35" s="55"/>
      <c r="K35" s="55"/>
      <c r="L35" s="55"/>
      <c r="M35" s="55"/>
      <c r="N35" s="55"/>
      <c r="O35" s="55"/>
      <c r="P35" s="52">
        <f t="shared" si="2"/>
        <v>0</v>
      </c>
    </row>
    <row r="36" spans="1:16" ht="11.25" customHeight="1" x14ac:dyDescent="0.2">
      <c r="A36" s="39"/>
      <c r="B36" s="40" t="s">
        <v>24</v>
      </c>
      <c r="C36" s="37" t="s">
        <v>42</v>
      </c>
      <c r="D36" s="37"/>
      <c r="E36" s="37"/>
      <c r="F36" s="38"/>
      <c r="G36" s="61" t="s">
        <v>68</v>
      </c>
      <c r="H36" s="24"/>
      <c r="I36" s="55"/>
      <c r="J36" s="55"/>
      <c r="K36" s="55"/>
      <c r="L36" s="55"/>
      <c r="M36" s="55"/>
      <c r="N36" s="55"/>
      <c r="O36" s="55"/>
      <c r="P36" s="52">
        <f t="shared" si="2"/>
        <v>0</v>
      </c>
    </row>
    <row r="37" spans="1:16" ht="11.25" customHeight="1" x14ac:dyDescent="0.2">
      <c r="G37" s="26" t="s">
        <v>69</v>
      </c>
    </row>
    <row r="38" spans="1:16" ht="11.25" customHeight="1" x14ac:dyDescent="0.2">
      <c r="A38" s="3" t="s">
        <v>75</v>
      </c>
    </row>
  </sheetData>
  <sheetProtection password="A758" sheet="1" objects="1" scenarios="1" selectLockedCells="1"/>
  <mergeCells count="11">
    <mergeCell ref="P8:P9"/>
    <mergeCell ref="A7:D9"/>
    <mergeCell ref="G7:G9"/>
    <mergeCell ref="B33:D33"/>
    <mergeCell ref="N8:O8"/>
    <mergeCell ref="A1:P1"/>
    <mergeCell ref="A6:P6"/>
    <mergeCell ref="I7:P7"/>
    <mergeCell ref="I8:I9"/>
    <mergeCell ref="J8:K8"/>
    <mergeCell ref="L8:M8"/>
  </mergeCells>
  <phoneticPr fontId="0" type="noConversion"/>
  <dataValidations count="1">
    <dataValidation type="decimal" allowBlank="1" showInputMessage="1" showErrorMessage="1" errorTitle="FSR" error="Invalid data entry!" sqref="I34:O36 I29:O30 I25:O27 I21:O23 I15:O18 I12:O13">
      <formula1>0</formula1>
      <formula2>99999999999999900</formula2>
    </dataValidation>
  </dataValidations>
  <pageMargins left="0.25" right="0.25" top="1" bottom="0.5" header="0.5" footer="0.5"/>
  <pageSetup paperSize="9" scale="85" orientation="landscape" horizontalDpi="360" verticalDpi="360" r:id="rId1"/>
  <headerFooter alignWithMargins="0">
    <oddHeader>&amp;R&amp;"Arial,Bold"&amp;USchedule 21&amp;U
 &amp;P of &amp;N&amp;C&amp;"Arial,Bold"&amp;8 NEW RURAL BANK OF SAN LEONARDO, INC  [ 04-040656 ]
 As of: September 30, 2017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Bank</vt:lpstr>
      <vt:lpstr>21</vt:lpstr>
      <vt:lpstr>'21'!Print_Area</vt:lpstr>
      <vt:lpstr>'21'!Print_Titles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Lala Villangca</dc:creator>
  <cp:lastModifiedBy>Aldrin</cp:lastModifiedBy>
  <cp:lastPrinted>2006-02-27T00:51:13Z</cp:lastPrinted>
  <dcterms:created xsi:type="dcterms:W3CDTF">2005-10-26T00:57:30Z</dcterms:created>
  <dcterms:modified xsi:type="dcterms:W3CDTF">2017-10-12T17:14:22Z</dcterms:modified>
</cp:coreProperties>
</file>