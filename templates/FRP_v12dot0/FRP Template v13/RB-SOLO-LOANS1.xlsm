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ldrin\Desktop\EDITED\"/>
    </mc:Choice>
  </mc:AlternateContent>
  <workbookProtection workbookAlgorithmName="SHA-512" workbookHashValue="GMYRPM5FV/m457Ml2KvGeVwGIPhphz47O0P6tJIjU72VFSNUm2NxLUyG4oWN9EhT8lLa5KEqP1XGJ1QojqptFg==" workbookSaltValue="IdSTa5Rju8bk3KTUQq24Ww==" workbookSpinCount="100000" lockStructure="1"/>
  <bookViews>
    <workbookView xWindow="-15" yWindow="0" windowWidth="15330" windowHeight="4020" tabRatio="915"/>
  </bookViews>
  <sheets>
    <sheet name="10" sheetId="41" r:id="rId1"/>
    <sheet name="11" sheetId="42" r:id="rId2"/>
    <sheet name="11A" sheetId="43" r:id="rId3"/>
    <sheet name="11A1" sheetId="68" r:id="rId4"/>
    <sheet name="11A2" sheetId="45" r:id="rId5"/>
    <sheet name="11A3" sheetId="46" r:id="rId6"/>
    <sheet name="11A4" sheetId="47" state="hidden" r:id="rId7"/>
    <sheet name="11B" sheetId="7" r:id="rId8"/>
    <sheet name="11B1" sheetId="8" r:id="rId9"/>
    <sheet name="11B2" sheetId="9" r:id="rId10"/>
    <sheet name="11B3" sheetId="10" r:id="rId11"/>
    <sheet name="11B4" sheetId="40" state="hidden" r:id="rId12"/>
    <sheet name="11C" sheetId="63" r:id="rId13"/>
    <sheet name="11C1" sheetId="64" r:id="rId14"/>
    <sheet name="11C2" sheetId="65" r:id="rId15"/>
    <sheet name="11C3" sheetId="66" r:id="rId16"/>
    <sheet name="11C4" sheetId="67" state="hidden" r:id="rId17"/>
    <sheet name="11D" sheetId="79" r:id="rId18"/>
    <sheet name="11D1" sheetId="73" r:id="rId19"/>
    <sheet name="11D2" sheetId="74" r:id="rId20"/>
    <sheet name="11D3" sheetId="75" r:id="rId21"/>
    <sheet name="11D4" sheetId="80" state="hidden" r:id="rId22"/>
    <sheet name="11F" sheetId="71" r:id="rId23"/>
    <sheet name="11H1" sheetId="77" r:id="rId24"/>
    <sheet name="11H2" sheetId="78" r:id="rId25"/>
    <sheet name="12" sheetId="53" r:id="rId26"/>
    <sheet name="12A" sheetId="54" r:id="rId27"/>
    <sheet name="12A1" sheetId="55" r:id="rId28"/>
    <sheet name="12A2" sheetId="56" r:id="rId29"/>
    <sheet name="12A3" sheetId="57" r:id="rId30"/>
    <sheet name="12A4" sheetId="58" state="hidden" r:id="rId31"/>
    <sheet name="39" sheetId="69" r:id="rId32"/>
    <sheet name="39A" sheetId="70" r:id="rId33"/>
    <sheet name="40" sheetId="60" r:id="rId34"/>
    <sheet name="40A" sheetId="61" r:id="rId35"/>
    <sheet name="Bank" sheetId="39" state="hidden" r:id="rId36"/>
  </sheets>
  <definedNames>
    <definedName name="_xlnm.Print_Area" localSheetId="0">'10'!$A$1:$AF$52</definedName>
    <definedName name="_xlnm.Print_Area" localSheetId="1">'11'!$A$1:$P$95</definedName>
    <definedName name="_xlnm.Print_Area" localSheetId="2">'11A'!$A$1:$O$84</definedName>
    <definedName name="_xlnm.Print_Area" localSheetId="3">'11A1'!$A$1:$O$84</definedName>
    <definedName name="_xlnm.Print_Area" localSheetId="4">'11A2'!$A$1:$V$84</definedName>
    <definedName name="_xlnm.Print_Area" localSheetId="5">'11A3'!$A$1:$V$84</definedName>
    <definedName name="_xlnm.Print_Area" localSheetId="6">'11A4'!$A$1:$V$84</definedName>
    <definedName name="_xlnm.Print_Area" localSheetId="7">'11B'!$A$1:$O$48</definedName>
    <definedName name="_xlnm.Print_Area" localSheetId="8">'11B1'!$A$1:$O$48</definedName>
    <definedName name="_xlnm.Print_Area" localSheetId="9">'11B2'!$A$1:$V$48</definedName>
    <definedName name="_xlnm.Print_Area" localSheetId="10">'11B3'!$A$1:$V$48</definedName>
    <definedName name="_xlnm.Print_Area" localSheetId="11">'11B4'!$A$1:$V$48</definedName>
    <definedName name="_xlnm.Print_Area" localSheetId="12">'11C'!$A$1:$P$45</definedName>
    <definedName name="_xlnm.Print_Area" localSheetId="13">'11C1'!$A$1:$P$45</definedName>
    <definedName name="_xlnm.Print_Area" localSheetId="14">'11C2'!$A$1:$X$45</definedName>
    <definedName name="_xlnm.Print_Area" localSheetId="15">'11C3'!$A$1:$X$45</definedName>
    <definedName name="_xlnm.Print_Area" localSheetId="16">'11C4'!$A$1:$X$45</definedName>
    <definedName name="_xlnm.Print_Area" localSheetId="17">'11D'!$A$1:$AD$54</definedName>
    <definedName name="_xlnm.Print_Area" localSheetId="18">'11D1'!$A$1:$AD$54</definedName>
    <definedName name="_xlnm.Print_Area" localSheetId="19">'11D2'!$A$1:$AY$54</definedName>
    <definedName name="_xlnm.Print_Area" localSheetId="20">'11D3'!$A$1:$AY$54</definedName>
    <definedName name="_xlnm.Print_Area" localSheetId="21">'11D4'!$A$1:$AY$54</definedName>
    <definedName name="_xlnm.Print_Area" localSheetId="22">'11F'!$A$1:$AF$27</definedName>
    <definedName name="_xlnm.Print_Area" localSheetId="25">'12'!$A$1:$P$49</definedName>
    <definedName name="_xlnm.Print_Area" localSheetId="26">'12A'!$A$1:$R$33</definedName>
    <definedName name="_xlnm.Print_Area" localSheetId="27">'12A1'!$A$1:$R$33</definedName>
    <definedName name="_xlnm.Print_Area" localSheetId="28">'12A2'!$A$1:$AA$33</definedName>
    <definedName name="_xlnm.Print_Area" localSheetId="29">'12A3'!$A$1:$AA$33</definedName>
    <definedName name="_xlnm.Print_Area" localSheetId="30">'12A4'!$A$1:$AA$33</definedName>
    <definedName name="_xlnm.Print_Area" localSheetId="31">'39'!$A$1:$Q$86</definedName>
    <definedName name="_xlnm.Print_Area" localSheetId="32">'39A'!$A$1:$Q$86</definedName>
    <definedName name="_xlnm.Print_Area" localSheetId="33">'40'!$A$1:$Q$85</definedName>
    <definedName name="_xlnm.Print_Area" localSheetId="34">'40A'!$A$1:$Q$85</definedName>
    <definedName name="_xlnm.Print_Titles" localSheetId="0">'10'!$A:$H,'10'!$1:$6</definedName>
    <definedName name="_xlnm.Print_Titles" localSheetId="1">'11'!$A:$H,'11'!$1:$9</definedName>
    <definedName name="_xlnm.Print_Titles" localSheetId="2">'11A'!$A:$H,'11A'!$1:$9</definedName>
    <definedName name="_xlnm.Print_Titles" localSheetId="3">'11A1'!$A:$H,'11A1'!$1:$9</definedName>
    <definedName name="_xlnm.Print_Titles" localSheetId="4">'11A2'!$A:$H,'11A2'!$1:$9</definedName>
    <definedName name="_xlnm.Print_Titles" localSheetId="5">'11A3'!$A:$H,'11A3'!$1:$9</definedName>
    <definedName name="_xlnm.Print_Titles" localSheetId="6">'11A4'!$A:$H,'11A4'!$1:$9</definedName>
    <definedName name="_xlnm.Print_Titles" localSheetId="7">'11B'!$A:$H,'11B'!$1:$9</definedName>
    <definedName name="_xlnm.Print_Titles" localSheetId="8">'11B1'!$A:$H,'11B1'!$1:$9</definedName>
    <definedName name="_xlnm.Print_Titles" localSheetId="9">'11B2'!$A:$H,'11B2'!$1:$9</definedName>
    <definedName name="_xlnm.Print_Titles" localSheetId="10">'11B3'!$A:$H,'11B3'!$1:$9</definedName>
    <definedName name="_xlnm.Print_Titles" localSheetId="11">'11B4'!$A:$H,'11B4'!$1:$9</definedName>
    <definedName name="_xlnm.Print_Titles" localSheetId="12">'11C'!$A:$H,'11C'!$1:$8</definedName>
    <definedName name="_xlnm.Print_Titles" localSheetId="13">'11C1'!$A:$H,'11C1'!$1:$9</definedName>
    <definedName name="_xlnm.Print_Titles" localSheetId="14">'11C2'!$A:$H,'11C2'!$1:$9</definedName>
    <definedName name="_xlnm.Print_Titles" localSheetId="15">'11C3'!$A:$H,'11C3'!$1:$9</definedName>
    <definedName name="_xlnm.Print_Titles" localSheetId="16">'11C4'!$A:$H,'11C4'!$1:$9</definedName>
    <definedName name="_xlnm.Print_Titles" localSheetId="17">'11D'!$A:$H,'11D'!$1:$8</definedName>
    <definedName name="_xlnm.Print_Titles" localSheetId="18">'11D1'!$A:$H,'11D1'!$1:$8</definedName>
    <definedName name="_xlnm.Print_Titles" localSheetId="19">'11D2'!$A:$H,'11D2'!$1:$8</definedName>
    <definedName name="_xlnm.Print_Titles" localSheetId="20">'11D3'!$A:$H,'11D3'!$1:$8</definedName>
    <definedName name="_xlnm.Print_Titles" localSheetId="21">'11D4'!$A:$H,'11D4'!$1:$8</definedName>
    <definedName name="_xlnm.Print_Titles" localSheetId="25">'12'!$A:$H,'12'!$1:$9</definedName>
    <definedName name="_xlnm.Print_Titles" localSheetId="26">'12A'!$A:$H,'12A'!$1:$9</definedName>
    <definedName name="_xlnm.Print_Titles" localSheetId="27">'12A1'!$A:$H,'12A1'!$1:$9</definedName>
    <definedName name="_xlnm.Print_Titles" localSheetId="28">'12A2'!$A:$H,'12A2'!$1:$9</definedName>
    <definedName name="_xlnm.Print_Titles" localSheetId="29">'12A3'!$A:$H,'12A3'!$1:$9</definedName>
    <definedName name="_xlnm.Print_Titles" localSheetId="30">'12A4'!$A:$H,'12A4'!$1:$9</definedName>
    <definedName name="_xlnm.Print_Titles" localSheetId="31">'39'!$A:$H,'39'!$1:$10</definedName>
    <definedName name="_xlnm.Print_Titles" localSheetId="32">'39A'!$A:$H,'39A'!$1:$10</definedName>
    <definedName name="_xlnm.Print_Titles" localSheetId="33">'40'!$A:$H,'40'!$1:$6</definedName>
    <definedName name="_xlnm.Print_Titles" localSheetId="34">'40A'!$A:$H,'40A'!$1:$10</definedName>
  </definedNames>
  <calcPr calcId="162913" fullCalcOnLoad="1"/>
</workbook>
</file>

<file path=xl/calcChain.xml><?xml version="1.0" encoding="utf-8"?>
<calcChain xmlns="http://schemas.openxmlformats.org/spreadsheetml/2006/main">
  <c r="Y24" i="79" l="1"/>
  <c r="Y23" i="79"/>
  <c r="Q81" i="61"/>
  <c r="Q79" i="61"/>
  <c r="Q77" i="61"/>
  <c r="Q75" i="61"/>
  <c r="Q73" i="61"/>
  <c r="Q71" i="61"/>
  <c r="Q69" i="61"/>
  <c r="Q67" i="61"/>
  <c r="Q65" i="61"/>
  <c r="Q63" i="61"/>
  <c r="Q61" i="61"/>
  <c r="Q59" i="61"/>
  <c r="Q57" i="61"/>
  <c r="Q55" i="61"/>
  <c r="Q50" i="61"/>
  <c r="Q48" i="61"/>
  <c r="Q46" i="61"/>
  <c r="Q44" i="61"/>
  <c r="Q42" i="61"/>
  <c r="Q40" i="61"/>
  <c r="Q38" i="61"/>
  <c r="Q36" i="61"/>
  <c r="Q35" i="61"/>
  <c r="Q32" i="61"/>
  <c r="Q31" i="61"/>
  <c r="Q28" i="61"/>
  <c r="Q27" i="61"/>
  <c r="Q24" i="61"/>
  <c r="Q23" i="61"/>
  <c r="Q20" i="61"/>
  <c r="Q19" i="61"/>
  <c r="Q18" i="61"/>
  <c r="Q14" i="61"/>
  <c r="Q12" i="61"/>
  <c r="K83" i="61"/>
  <c r="K34" i="61"/>
  <c r="K30" i="61"/>
  <c r="K26" i="61"/>
  <c r="K22" i="61"/>
  <c r="K17" i="61"/>
  <c r="K16" i="61" s="1"/>
  <c r="K52" i="61" s="1"/>
  <c r="K85" i="61" s="1"/>
  <c r="Q81" i="60"/>
  <c r="Q79" i="60"/>
  <c r="Q77" i="60"/>
  <c r="Q75" i="60"/>
  <c r="Q73" i="60"/>
  <c r="Q71" i="60"/>
  <c r="Q69" i="60"/>
  <c r="Q67" i="60"/>
  <c r="Q65" i="60"/>
  <c r="Q63" i="60"/>
  <c r="Q61" i="60"/>
  <c r="Q59" i="60"/>
  <c r="Q57" i="60"/>
  <c r="Q55" i="60"/>
  <c r="Q50" i="60"/>
  <c r="Q48" i="60"/>
  <c r="Q46" i="60"/>
  <c r="Q44" i="60"/>
  <c r="Q42" i="60"/>
  <c r="Q40" i="60"/>
  <c r="Q38" i="60"/>
  <c r="Q36" i="60"/>
  <c r="Q35" i="60"/>
  <c r="Q32" i="60"/>
  <c r="Q31" i="60"/>
  <c r="Q28" i="60"/>
  <c r="Q27" i="60"/>
  <c r="Q24" i="60"/>
  <c r="Q23" i="60"/>
  <c r="Q20" i="60"/>
  <c r="Q19" i="60"/>
  <c r="Q18" i="60"/>
  <c r="Q14" i="60"/>
  <c r="Q12" i="60"/>
  <c r="K83" i="60"/>
  <c r="K34" i="60"/>
  <c r="K30" i="60"/>
  <c r="K26" i="60"/>
  <c r="K22" i="60"/>
  <c r="K17" i="60"/>
  <c r="K16" i="60" s="1"/>
  <c r="K52" i="60" s="1"/>
  <c r="K85" i="60" s="1"/>
  <c r="Q82" i="70"/>
  <c r="Q80" i="70"/>
  <c r="Q78" i="70"/>
  <c r="Q76" i="70"/>
  <c r="Q74" i="70"/>
  <c r="Q72" i="70"/>
  <c r="Q70" i="70"/>
  <c r="Q68" i="70"/>
  <c r="Q66" i="70"/>
  <c r="Q64" i="70"/>
  <c r="Q62" i="70"/>
  <c r="Q60" i="70"/>
  <c r="Q58" i="70"/>
  <c r="Q56" i="70"/>
  <c r="Q51" i="70"/>
  <c r="Q49" i="70"/>
  <c r="Q47" i="70"/>
  <c r="Q45" i="70"/>
  <c r="Q43" i="70"/>
  <c r="Q41" i="70"/>
  <c r="Q39" i="70"/>
  <c r="Q38" i="70"/>
  <c r="Q36" i="70"/>
  <c r="Q35" i="70"/>
  <c r="Q32" i="70"/>
  <c r="Q31" i="70"/>
  <c r="Q28" i="70"/>
  <c r="Q27" i="70"/>
  <c r="Q24" i="70"/>
  <c r="Q23" i="70"/>
  <c r="Q20" i="70"/>
  <c r="Q19" i="70"/>
  <c r="Q18" i="70"/>
  <c r="Q17" i="70"/>
  <c r="Q14" i="70"/>
  <c r="Q12" i="70"/>
  <c r="K84" i="70"/>
  <c r="K34" i="70"/>
  <c r="K30" i="70"/>
  <c r="K26" i="70"/>
  <c r="K22" i="70"/>
  <c r="K17" i="70"/>
  <c r="K16" i="70" s="1"/>
  <c r="Q82" i="69"/>
  <c r="Q80" i="69"/>
  <c r="Q78" i="69"/>
  <c r="Q76" i="69"/>
  <c r="Q74" i="69"/>
  <c r="Q72" i="69"/>
  <c r="Q70" i="69"/>
  <c r="Q68" i="69"/>
  <c r="Q66" i="69"/>
  <c r="Q64" i="69"/>
  <c r="Q62" i="69"/>
  <c r="Q60" i="69"/>
  <c r="Q58" i="69"/>
  <c r="Q56" i="69"/>
  <c r="Q51" i="69"/>
  <c r="Q49" i="69"/>
  <c r="Q47" i="69"/>
  <c r="Q45" i="69"/>
  <c r="Q43" i="69"/>
  <c r="Q41" i="69"/>
  <c r="Q39" i="69"/>
  <c r="Q38" i="69"/>
  <c r="Q36" i="69"/>
  <c r="Q35" i="69"/>
  <c r="Q32" i="69"/>
  <c r="Q31" i="69"/>
  <c r="Q28" i="69"/>
  <c r="Q27" i="69"/>
  <c r="Q24" i="69"/>
  <c r="Q23" i="69"/>
  <c r="Q20" i="69"/>
  <c r="Q19" i="69"/>
  <c r="Q18" i="69"/>
  <c r="Q17" i="69"/>
  <c r="Q14" i="69"/>
  <c r="Q12" i="69"/>
  <c r="K84" i="69"/>
  <c r="K34" i="69"/>
  <c r="K30" i="69"/>
  <c r="K26" i="69"/>
  <c r="K22" i="69"/>
  <c r="K17" i="69"/>
  <c r="K16" i="69" s="1"/>
  <c r="K53" i="69" s="1"/>
  <c r="K86" i="69" s="1"/>
  <c r="AP22" i="80"/>
  <c r="AO22" i="80"/>
  <c r="AO22" i="75"/>
  <c r="AP22" i="75"/>
  <c r="AP22" i="74"/>
  <c r="AO22" i="74"/>
  <c r="Y22" i="73"/>
  <c r="W18" i="79"/>
  <c r="T41" i="78"/>
  <c r="R41" i="77"/>
  <c r="Q10" i="78"/>
  <c r="I36" i="77"/>
  <c r="N36" i="43"/>
  <c r="L36" i="43"/>
  <c r="K36" i="43"/>
  <c r="J36" i="43"/>
  <c r="I36" i="43"/>
  <c r="N35" i="43"/>
  <c r="L35" i="43"/>
  <c r="K35" i="43"/>
  <c r="J35" i="43"/>
  <c r="I35" i="43"/>
  <c r="J36" i="42"/>
  <c r="J35" i="42"/>
  <c r="N34" i="68"/>
  <c r="L34" i="68"/>
  <c r="K34" i="68"/>
  <c r="J34" i="68"/>
  <c r="I34" i="68"/>
  <c r="M36" i="68"/>
  <c r="O36" i="68"/>
  <c r="M35" i="68"/>
  <c r="O35" i="68" s="1"/>
  <c r="I35" i="42" s="1"/>
  <c r="T34" i="45"/>
  <c r="S34" i="45"/>
  <c r="P34" i="45"/>
  <c r="O34" i="45"/>
  <c r="N34" i="45"/>
  <c r="M34" i="45"/>
  <c r="L34" i="45"/>
  <c r="L32" i="45" s="1"/>
  <c r="K34" i="45"/>
  <c r="J34" i="45"/>
  <c r="I34" i="45"/>
  <c r="I32" i="45" s="1"/>
  <c r="R36" i="45"/>
  <c r="Q36" i="45"/>
  <c r="U36" i="45"/>
  <c r="R35" i="45"/>
  <c r="V35" i="45" s="1"/>
  <c r="Q35" i="45"/>
  <c r="U35" i="45"/>
  <c r="T34" i="46"/>
  <c r="T32" i="46" s="1"/>
  <c r="S34" i="46"/>
  <c r="S32" i="46"/>
  <c r="P34" i="46"/>
  <c r="O34" i="46"/>
  <c r="N34" i="46"/>
  <c r="M34" i="46"/>
  <c r="L34" i="46"/>
  <c r="K34" i="46"/>
  <c r="J34" i="46"/>
  <c r="R34" i="46"/>
  <c r="V34" i="46" s="1"/>
  <c r="M34" i="42" s="1"/>
  <c r="I34" i="46"/>
  <c r="R36" i="46"/>
  <c r="V36" i="46" s="1"/>
  <c r="M36" i="42" s="1"/>
  <c r="Q36" i="46"/>
  <c r="U36" i="46"/>
  <c r="L36" i="42"/>
  <c r="R35" i="46"/>
  <c r="V35" i="46" s="1"/>
  <c r="M35" i="42" s="1"/>
  <c r="Q35" i="46"/>
  <c r="U35" i="46" s="1"/>
  <c r="L35" i="42" s="1"/>
  <c r="T34" i="47"/>
  <c r="T32" i="47" s="1"/>
  <c r="S34" i="47"/>
  <c r="S32" i="47" s="1"/>
  <c r="P34" i="47"/>
  <c r="P32" i="47" s="1"/>
  <c r="O34" i="47"/>
  <c r="O32" i="47"/>
  <c r="N34" i="47"/>
  <c r="M34" i="47"/>
  <c r="L34" i="47"/>
  <c r="L32" i="47"/>
  <c r="K34" i="47"/>
  <c r="K32" i="47" s="1"/>
  <c r="J34" i="47"/>
  <c r="I34" i="47"/>
  <c r="R36" i="47"/>
  <c r="V36" i="47" s="1"/>
  <c r="O36" i="42" s="1"/>
  <c r="Q36" i="47"/>
  <c r="U36" i="47"/>
  <c r="N36" i="42" s="1"/>
  <c r="R35" i="47"/>
  <c r="V35" i="47"/>
  <c r="O35" i="42" s="1"/>
  <c r="Q35" i="47"/>
  <c r="U35" i="47"/>
  <c r="N35" i="42"/>
  <c r="N36" i="7"/>
  <c r="L36" i="7"/>
  <c r="K36" i="7"/>
  <c r="J36" i="7"/>
  <c r="I36" i="7"/>
  <c r="N35" i="7"/>
  <c r="L35" i="7"/>
  <c r="K35" i="7"/>
  <c r="J35" i="7"/>
  <c r="I35" i="7"/>
  <c r="N34" i="8"/>
  <c r="L34" i="8"/>
  <c r="L32" i="8"/>
  <c r="K34" i="8"/>
  <c r="K32" i="8" s="1"/>
  <c r="J34" i="8"/>
  <c r="I34" i="8"/>
  <c r="M36" i="8"/>
  <c r="M35" i="8"/>
  <c r="O35" i="8" s="1"/>
  <c r="T34" i="9"/>
  <c r="S34" i="9"/>
  <c r="S32" i="9"/>
  <c r="P34" i="9"/>
  <c r="O34" i="9"/>
  <c r="O32" i="9"/>
  <c r="N34" i="9"/>
  <c r="N32" i="9" s="1"/>
  <c r="M34" i="9"/>
  <c r="L34" i="9"/>
  <c r="K34" i="9"/>
  <c r="J34" i="9"/>
  <c r="J32" i="9" s="1"/>
  <c r="I34" i="9"/>
  <c r="R36" i="9"/>
  <c r="V36" i="9" s="1"/>
  <c r="Q36" i="9"/>
  <c r="U36" i="9"/>
  <c r="R35" i="9"/>
  <c r="V35" i="9" s="1"/>
  <c r="Q35" i="9"/>
  <c r="U35" i="9" s="1"/>
  <c r="T34" i="10"/>
  <c r="T32" i="10"/>
  <c r="S34" i="10"/>
  <c r="P34" i="10"/>
  <c r="O34" i="10"/>
  <c r="N34" i="10"/>
  <c r="N32" i="10" s="1"/>
  <c r="M34" i="10"/>
  <c r="L34" i="10"/>
  <c r="L32" i="10" s="1"/>
  <c r="K34" i="10"/>
  <c r="J34" i="10"/>
  <c r="J32" i="10" s="1"/>
  <c r="I34" i="10"/>
  <c r="R36" i="10"/>
  <c r="V36" i="10" s="1"/>
  <c r="Q36" i="10"/>
  <c r="U36" i="10"/>
  <c r="R35" i="10"/>
  <c r="V35" i="10" s="1"/>
  <c r="Q35" i="10"/>
  <c r="U35" i="10"/>
  <c r="T34" i="40"/>
  <c r="T32" i="40" s="1"/>
  <c r="S34" i="40"/>
  <c r="S32" i="40"/>
  <c r="P34" i="40"/>
  <c r="P32" i="40"/>
  <c r="O34" i="40"/>
  <c r="N34" i="40"/>
  <c r="M34" i="40"/>
  <c r="M32" i="40"/>
  <c r="L34" i="40"/>
  <c r="L32" i="40"/>
  <c r="K34" i="40"/>
  <c r="K32" i="40" s="1"/>
  <c r="J34" i="40"/>
  <c r="R34" i="40" s="1"/>
  <c r="I34" i="40"/>
  <c r="R36" i="40"/>
  <c r="V36" i="40"/>
  <c r="Q36" i="40"/>
  <c r="U36" i="40"/>
  <c r="R35" i="40"/>
  <c r="V35" i="40"/>
  <c r="Q35" i="40"/>
  <c r="U35" i="40"/>
  <c r="P36" i="63"/>
  <c r="O36" i="63"/>
  <c r="M36" i="63"/>
  <c r="L36" i="63"/>
  <c r="K36" i="63"/>
  <c r="J36" i="63"/>
  <c r="I36" i="63"/>
  <c r="P35" i="63"/>
  <c r="O35" i="63"/>
  <c r="M35" i="63"/>
  <c r="L35" i="63"/>
  <c r="K35" i="63"/>
  <c r="J35" i="63"/>
  <c r="I35" i="63"/>
  <c r="P34" i="64"/>
  <c r="O34" i="64"/>
  <c r="O32" i="64"/>
  <c r="M34" i="64"/>
  <c r="L34" i="64"/>
  <c r="K34" i="64"/>
  <c r="J34" i="64"/>
  <c r="I34" i="64"/>
  <c r="I32" i="64" s="1"/>
  <c r="N36" i="64"/>
  <c r="N35" i="64"/>
  <c r="N35" i="63" s="1"/>
  <c r="X34" i="65"/>
  <c r="W34" i="65"/>
  <c r="V34" i="65"/>
  <c r="V32" i="65" s="1"/>
  <c r="U34" i="65"/>
  <c r="U32" i="65" s="1"/>
  <c r="R34" i="65"/>
  <c r="M34" i="63"/>
  <c r="Q34" i="65"/>
  <c r="P34" i="65"/>
  <c r="O34" i="65"/>
  <c r="O32" i="65"/>
  <c r="N34" i="65"/>
  <c r="N32" i="65" s="1"/>
  <c r="M34" i="65"/>
  <c r="L34" i="65"/>
  <c r="T34" i="65"/>
  <c r="K34" i="65"/>
  <c r="K32" i="65" s="1"/>
  <c r="J34" i="65"/>
  <c r="I34" i="65"/>
  <c r="I32" i="65" s="1"/>
  <c r="T36" i="65"/>
  <c r="S36" i="65"/>
  <c r="T35" i="65"/>
  <c r="S35" i="65"/>
  <c r="X34" i="66"/>
  <c r="W34" i="66"/>
  <c r="W32" i="66" s="1"/>
  <c r="V34" i="66"/>
  <c r="U34" i="66"/>
  <c r="R34" i="66"/>
  <c r="Q34" i="66"/>
  <c r="Q32" i="66" s="1"/>
  <c r="P34" i="66"/>
  <c r="O34" i="66"/>
  <c r="N34" i="66"/>
  <c r="M34" i="66"/>
  <c r="M32" i="66" s="1"/>
  <c r="L34" i="66"/>
  <c r="K34" i="66"/>
  <c r="J34" i="66"/>
  <c r="I34" i="66"/>
  <c r="T36" i="66"/>
  <c r="S36" i="66"/>
  <c r="T35" i="66"/>
  <c r="S35" i="66"/>
  <c r="X34" i="67"/>
  <c r="W34" i="67"/>
  <c r="V34" i="67"/>
  <c r="U34" i="67"/>
  <c r="R34" i="67"/>
  <c r="Q34" i="67"/>
  <c r="P34" i="67"/>
  <c r="O34" i="67"/>
  <c r="N34" i="67"/>
  <c r="M34" i="67"/>
  <c r="L34" i="67"/>
  <c r="K34" i="67"/>
  <c r="J34" i="67"/>
  <c r="I34" i="67"/>
  <c r="T36" i="67"/>
  <c r="S36" i="67"/>
  <c r="T35" i="67"/>
  <c r="S35" i="67"/>
  <c r="AD39" i="79"/>
  <c r="AD38" i="79"/>
  <c r="AD37" i="73"/>
  <c r="AY37" i="74"/>
  <c r="AY35" i="74"/>
  <c r="AY37" i="75"/>
  <c r="AY35" i="75" s="1"/>
  <c r="AY34" i="75" s="1"/>
  <c r="AY37" i="80"/>
  <c r="AY35" i="80"/>
  <c r="Q38" i="77"/>
  <c r="Q36" i="77" s="1"/>
  <c r="Q35" i="77" s="1"/>
  <c r="Q12" i="77" s="1"/>
  <c r="Q10" i="77" s="1"/>
  <c r="P38" i="77"/>
  <c r="P36" i="77" s="1"/>
  <c r="P35" i="77" s="1"/>
  <c r="O38" i="77"/>
  <c r="O36" i="77" s="1"/>
  <c r="O35" i="77" s="1"/>
  <c r="N38" i="77"/>
  <c r="N36" i="77" s="1"/>
  <c r="M38" i="77"/>
  <c r="M36" i="77"/>
  <c r="M35" i="77" s="1"/>
  <c r="M12" i="77" s="1"/>
  <c r="L38" i="77"/>
  <c r="L36" i="77" s="1"/>
  <c r="K38" i="77"/>
  <c r="K36" i="77"/>
  <c r="J38" i="77"/>
  <c r="I38" i="77"/>
  <c r="R40" i="77"/>
  <c r="R39" i="77"/>
  <c r="S38" i="78"/>
  <c r="S36" i="78" s="1"/>
  <c r="S35" i="78" s="1"/>
  <c r="S12" i="78" s="1"/>
  <c r="S10" i="78" s="1"/>
  <c r="R38" i="78"/>
  <c r="R36" i="78"/>
  <c r="Q38" i="78"/>
  <c r="Q36" i="78" s="1"/>
  <c r="Q35" i="78" s="1"/>
  <c r="P38" i="78"/>
  <c r="P36" i="78" s="1"/>
  <c r="P35" i="78" s="1"/>
  <c r="O38" i="78"/>
  <c r="O36" i="78"/>
  <c r="N38" i="78"/>
  <c r="N36" i="78" s="1"/>
  <c r="M38" i="78"/>
  <c r="L38" i="78"/>
  <c r="L36" i="78" s="1"/>
  <c r="L35" i="78" s="1"/>
  <c r="L12" i="78" s="1"/>
  <c r="K38" i="78"/>
  <c r="K36" i="78" s="1"/>
  <c r="J38" i="78"/>
  <c r="J36" i="78"/>
  <c r="J35" i="78" s="1"/>
  <c r="I38" i="78"/>
  <c r="I36" i="78" s="1"/>
  <c r="T40" i="78"/>
  <c r="T39" i="78"/>
  <c r="V37" i="45"/>
  <c r="K37" i="42" s="1"/>
  <c r="R37" i="45"/>
  <c r="Q37" i="45"/>
  <c r="U37" i="45"/>
  <c r="J37" i="42" s="1"/>
  <c r="I23" i="42"/>
  <c r="AD40" i="79"/>
  <c r="AA24" i="79"/>
  <c r="Z24" i="79"/>
  <c r="V24" i="79"/>
  <c r="U24" i="79"/>
  <c r="T24" i="79"/>
  <c r="R24" i="79"/>
  <c r="Q24" i="79"/>
  <c r="P24" i="79"/>
  <c r="O24" i="79"/>
  <c r="N24" i="79"/>
  <c r="M24" i="79"/>
  <c r="L24" i="79"/>
  <c r="K24" i="79"/>
  <c r="J24" i="79"/>
  <c r="I24" i="79"/>
  <c r="AA23" i="79"/>
  <c r="Z23" i="79"/>
  <c r="V23" i="79"/>
  <c r="U23" i="79"/>
  <c r="T23" i="79"/>
  <c r="R23" i="79"/>
  <c r="Q23" i="79"/>
  <c r="P23" i="79"/>
  <c r="O23" i="79"/>
  <c r="N23" i="79"/>
  <c r="M23" i="79"/>
  <c r="L23" i="79"/>
  <c r="K23" i="79"/>
  <c r="J23" i="79"/>
  <c r="I23" i="79"/>
  <c r="P37" i="63"/>
  <c r="O37" i="63"/>
  <c r="M37" i="63"/>
  <c r="L37" i="63"/>
  <c r="K37" i="63"/>
  <c r="J37" i="63"/>
  <c r="I37" i="63"/>
  <c r="P23" i="63"/>
  <c r="O23" i="63"/>
  <c r="M23" i="63"/>
  <c r="L23" i="63"/>
  <c r="K23" i="63"/>
  <c r="J23" i="63"/>
  <c r="I23" i="63"/>
  <c r="P22" i="63"/>
  <c r="O22" i="63"/>
  <c r="M22" i="63"/>
  <c r="L22" i="63"/>
  <c r="K22" i="63"/>
  <c r="J22" i="63"/>
  <c r="I22" i="63"/>
  <c r="N37" i="7"/>
  <c r="L37" i="7"/>
  <c r="K37" i="7"/>
  <c r="J37" i="7"/>
  <c r="I37" i="7"/>
  <c r="N23" i="7"/>
  <c r="L23" i="7"/>
  <c r="K23" i="7"/>
  <c r="J23" i="7"/>
  <c r="I23" i="7"/>
  <c r="N22" i="7"/>
  <c r="L22" i="7"/>
  <c r="K22" i="7"/>
  <c r="J22" i="7"/>
  <c r="I22" i="7"/>
  <c r="N37" i="43"/>
  <c r="L37" i="43"/>
  <c r="K37" i="43"/>
  <c r="J37" i="43"/>
  <c r="I37" i="43"/>
  <c r="N23" i="43"/>
  <c r="L23" i="43"/>
  <c r="K23" i="43"/>
  <c r="J23" i="43"/>
  <c r="I23" i="43"/>
  <c r="N22" i="43"/>
  <c r="L22" i="43"/>
  <c r="K22" i="43"/>
  <c r="J22" i="43"/>
  <c r="I22" i="43"/>
  <c r="AY24" i="80"/>
  <c r="AY23" i="80"/>
  <c r="AT22" i="80"/>
  <c r="AS22" i="80"/>
  <c r="AR22" i="80"/>
  <c r="AQ22" i="80"/>
  <c r="AJ22" i="80"/>
  <c r="AI22" i="80"/>
  <c r="AH22" i="80"/>
  <c r="AG22" i="80"/>
  <c r="AF22" i="80"/>
  <c r="AE22" i="80"/>
  <c r="AB22" i="80"/>
  <c r="AA22" i="80"/>
  <c r="Z22" i="80"/>
  <c r="Y22" i="80"/>
  <c r="X22" i="80"/>
  <c r="W22" i="80"/>
  <c r="V22" i="80"/>
  <c r="U22" i="80"/>
  <c r="T22" i="80"/>
  <c r="S22" i="80"/>
  <c r="R22" i="80"/>
  <c r="Q22" i="80"/>
  <c r="P22" i="80"/>
  <c r="O22" i="80"/>
  <c r="N22" i="80"/>
  <c r="M22" i="80"/>
  <c r="L22" i="80"/>
  <c r="K22" i="80"/>
  <c r="J22" i="80"/>
  <c r="I22" i="80"/>
  <c r="AT22" i="75"/>
  <c r="AS22" i="75"/>
  <c r="AR22" i="75"/>
  <c r="AQ22" i="75"/>
  <c r="AJ22" i="75"/>
  <c r="V22" i="79" s="1"/>
  <c r="AI22" i="75"/>
  <c r="AH22" i="75"/>
  <c r="AG22" i="75"/>
  <c r="AF22" i="75"/>
  <c r="AE22" i="75"/>
  <c r="AB22" i="75"/>
  <c r="AA22" i="75"/>
  <c r="Z22" i="75"/>
  <c r="Y22" i="75"/>
  <c r="X22" i="75"/>
  <c r="W22" i="75"/>
  <c r="V22" i="75"/>
  <c r="O22" i="79" s="1"/>
  <c r="U22" i="75"/>
  <c r="T22" i="75"/>
  <c r="S22" i="75"/>
  <c r="R22" i="75"/>
  <c r="Q22" i="75"/>
  <c r="P22" i="75"/>
  <c r="O22" i="75"/>
  <c r="N22" i="75"/>
  <c r="K22" i="79" s="1"/>
  <c r="M22" i="75"/>
  <c r="L22" i="75"/>
  <c r="K22" i="75"/>
  <c r="J22" i="75"/>
  <c r="I22" i="79" s="1"/>
  <c r="I22" i="75"/>
  <c r="AY24" i="75"/>
  <c r="AY23" i="75"/>
  <c r="AY24" i="74"/>
  <c r="AY23" i="74"/>
  <c r="AT22" i="74"/>
  <c r="AS22" i="74"/>
  <c r="AR22" i="74"/>
  <c r="AQ22" i="74"/>
  <c r="AJ22" i="74"/>
  <c r="AI22" i="74"/>
  <c r="AH22" i="74"/>
  <c r="AG22" i="74"/>
  <c r="AF22" i="74"/>
  <c r="AE22" i="74"/>
  <c r="AB22" i="74"/>
  <c r="AA22" i="74"/>
  <c r="Z22" i="74"/>
  <c r="Y22" i="74"/>
  <c r="X22" i="74"/>
  <c r="W22" i="74"/>
  <c r="V22" i="74"/>
  <c r="U22" i="74"/>
  <c r="T22" i="74"/>
  <c r="S22" i="74"/>
  <c r="R22" i="74"/>
  <c r="Q22" i="74"/>
  <c r="P22" i="74"/>
  <c r="L22" i="79" s="1"/>
  <c r="O22" i="74"/>
  <c r="N22" i="74"/>
  <c r="M22" i="74"/>
  <c r="L22" i="74"/>
  <c r="AY22" i="74" s="1"/>
  <c r="K22" i="74"/>
  <c r="J22" i="74"/>
  <c r="I22" i="74"/>
  <c r="AD24" i="73"/>
  <c r="AD24" i="79" s="1"/>
  <c r="AD23" i="73"/>
  <c r="AA22" i="73"/>
  <c r="Z22" i="73"/>
  <c r="V22" i="73"/>
  <c r="U22" i="73"/>
  <c r="T22" i="73"/>
  <c r="R22" i="73"/>
  <c r="Q22" i="73"/>
  <c r="Q22" i="79" s="1"/>
  <c r="P22" i="73"/>
  <c r="O22" i="73"/>
  <c r="N22" i="73"/>
  <c r="N22" i="79"/>
  <c r="M22" i="73"/>
  <c r="L22" i="73"/>
  <c r="K22" i="73"/>
  <c r="J22" i="73"/>
  <c r="J22" i="79" s="1"/>
  <c r="I22" i="73"/>
  <c r="X32" i="67"/>
  <c r="W32" i="67"/>
  <c r="V32" i="67"/>
  <c r="U32" i="67"/>
  <c r="R32" i="67"/>
  <c r="Q32" i="67"/>
  <c r="P32" i="67"/>
  <c r="O32" i="67"/>
  <c r="N32" i="67"/>
  <c r="M32" i="67"/>
  <c r="L32" i="67"/>
  <c r="K32" i="67"/>
  <c r="T37" i="67"/>
  <c r="N37" i="63" s="1"/>
  <c r="S37" i="67"/>
  <c r="T23" i="67"/>
  <c r="S23" i="67"/>
  <c r="T22" i="67"/>
  <c r="N22" i="63" s="1"/>
  <c r="S22" i="67"/>
  <c r="X21" i="67"/>
  <c r="W21" i="67"/>
  <c r="V21" i="67"/>
  <c r="U21" i="67"/>
  <c r="R21" i="67"/>
  <c r="Q21" i="67"/>
  <c r="P21" i="67"/>
  <c r="O21" i="67"/>
  <c r="N21" i="67"/>
  <c r="M21" i="67"/>
  <c r="L21" i="67"/>
  <c r="T21" i="67" s="1"/>
  <c r="K21" i="67"/>
  <c r="J21" i="67"/>
  <c r="I21" i="67"/>
  <c r="S21" i="67" s="1"/>
  <c r="X32" i="66"/>
  <c r="U32" i="66"/>
  <c r="R32" i="66"/>
  <c r="P32" i="66"/>
  <c r="O32" i="66"/>
  <c r="N32" i="66"/>
  <c r="L32" i="66"/>
  <c r="K32" i="66"/>
  <c r="T37" i="66"/>
  <c r="S37" i="66"/>
  <c r="T23" i="66"/>
  <c r="S23" i="66"/>
  <c r="T22" i="66"/>
  <c r="S22" i="66"/>
  <c r="X21" i="66"/>
  <c r="P21" i="63" s="1"/>
  <c r="W21" i="66"/>
  <c r="V21" i="66"/>
  <c r="U21" i="66"/>
  <c r="R21" i="66"/>
  <c r="Q21" i="66"/>
  <c r="P21" i="66"/>
  <c r="O21" i="66"/>
  <c r="N21" i="66"/>
  <c r="M21" i="66"/>
  <c r="L21" i="66"/>
  <c r="K21" i="66"/>
  <c r="S21" i="66" s="1"/>
  <c r="J21" i="66"/>
  <c r="I21" i="66"/>
  <c r="X32" i="65"/>
  <c r="W32" i="65"/>
  <c r="R32" i="65"/>
  <c r="Q32" i="65"/>
  <c r="P32" i="65"/>
  <c r="M32" i="65"/>
  <c r="L32" i="65"/>
  <c r="J32" i="65"/>
  <c r="T37" i="65"/>
  <c r="S37" i="65"/>
  <c r="T23" i="65"/>
  <c r="S23" i="65"/>
  <c r="T22" i="65"/>
  <c r="S22" i="65"/>
  <c r="X21" i="65"/>
  <c r="W21" i="65"/>
  <c r="V21" i="65"/>
  <c r="U21" i="65"/>
  <c r="R21" i="65"/>
  <c r="Q21" i="65"/>
  <c r="P21" i="65"/>
  <c r="O21" i="65"/>
  <c r="N21" i="65"/>
  <c r="M21" i="65"/>
  <c r="L21" i="65"/>
  <c r="K21" i="65"/>
  <c r="J21" i="65"/>
  <c r="I21" i="65"/>
  <c r="S21" i="65" s="1"/>
  <c r="M32" i="64"/>
  <c r="L32" i="64"/>
  <c r="N37" i="64"/>
  <c r="N23" i="64"/>
  <c r="N22" i="64"/>
  <c r="P21" i="64"/>
  <c r="O21" i="64"/>
  <c r="M21" i="64"/>
  <c r="L21" i="64"/>
  <c r="K21" i="64"/>
  <c r="J21" i="64"/>
  <c r="I21" i="64"/>
  <c r="O32" i="40"/>
  <c r="N32" i="40"/>
  <c r="J32" i="40"/>
  <c r="I32" i="40"/>
  <c r="R37" i="40"/>
  <c r="Q37" i="40"/>
  <c r="U37" i="40"/>
  <c r="R23" i="40"/>
  <c r="V23" i="40" s="1"/>
  <c r="Q23" i="40"/>
  <c r="U23" i="40"/>
  <c r="R22" i="40"/>
  <c r="V22" i="40" s="1"/>
  <c r="Q22" i="40"/>
  <c r="U22" i="40"/>
  <c r="T21" i="40"/>
  <c r="S21" i="40"/>
  <c r="P21" i="40"/>
  <c r="O21" i="40"/>
  <c r="N21" i="40"/>
  <c r="M21" i="40"/>
  <c r="L21" i="40"/>
  <c r="K21" i="40"/>
  <c r="J21" i="40"/>
  <c r="R21" i="40" s="1"/>
  <c r="V21" i="40" s="1"/>
  <c r="I21" i="40"/>
  <c r="Q21" i="40" s="1"/>
  <c r="U21" i="40" s="1"/>
  <c r="S32" i="10"/>
  <c r="P32" i="10"/>
  <c r="O32" i="10"/>
  <c r="M32" i="10"/>
  <c r="I32" i="10"/>
  <c r="R37" i="10"/>
  <c r="V37" i="10" s="1"/>
  <c r="Q37" i="10"/>
  <c r="U37" i="10"/>
  <c r="R23" i="10"/>
  <c r="V23" i="10" s="1"/>
  <c r="Q23" i="10"/>
  <c r="U23" i="10"/>
  <c r="R22" i="10"/>
  <c r="V22" i="10" s="1"/>
  <c r="Q22" i="10"/>
  <c r="U22" i="10"/>
  <c r="T21" i="10"/>
  <c r="S21" i="10"/>
  <c r="P21" i="10"/>
  <c r="O21" i="10"/>
  <c r="Q21" i="10" s="1"/>
  <c r="U21" i="10" s="1"/>
  <c r="N21" i="10"/>
  <c r="M21" i="10"/>
  <c r="L21" i="10"/>
  <c r="R21" i="10" s="1"/>
  <c r="V21" i="10" s="1"/>
  <c r="K21" i="10"/>
  <c r="J21" i="10"/>
  <c r="I21" i="10"/>
  <c r="T32" i="9"/>
  <c r="M32" i="9"/>
  <c r="L32" i="9"/>
  <c r="I32" i="9"/>
  <c r="R37" i="9"/>
  <c r="V37" i="9"/>
  <c r="Q37" i="9"/>
  <c r="U37" i="9" s="1"/>
  <c r="R23" i="9"/>
  <c r="Q23" i="9"/>
  <c r="U23" i="9" s="1"/>
  <c r="R22" i="9"/>
  <c r="Q22" i="9"/>
  <c r="U22" i="9"/>
  <c r="T21" i="9"/>
  <c r="S21" i="9"/>
  <c r="P21" i="9"/>
  <c r="O21" i="9"/>
  <c r="N21" i="9"/>
  <c r="M21" i="9"/>
  <c r="L21" i="9"/>
  <c r="K21" i="9"/>
  <c r="J21" i="9"/>
  <c r="I21" i="9"/>
  <c r="M37" i="8"/>
  <c r="O37" i="8"/>
  <c r="M23" i="8"/>
  <c r="M22" i="8"/>
  <c r="O22" i="8"/>
  <c r="N21" i="8"/>
  <c r="L21" i="8"/>
  <c r="K21" i="8"/>
  <c r="J21" i="8"/>
  <c r="I21" i="8"/>
  <c r="M21" i="8" s="1"/>
  <c r="O21" i="8" s="1"/>
  <c r="R37" i="47"/>
  <c r="V37" i="47" s="1"/>
  <c r="O37" i="42" s="1"/>
  <c r="Q37" i="47"/>
  <c r="U37" i="47"/>
  <c r="N37" i="42" s="1"/>
  <c r="N32" i="47"/>
  <c r="M32" i="47"/>
  <c r="J32" i="47"/>
  <c r="R23" i="47"/>
  <c r="V23" i="47"/>
  <c r="O23" i="42"/>
  <c r="Q23" i="47"/>
  <c r="U23" i="47"/>
  <c r="N23" i="42"/>
  <c r="R22" i="47"/>
  <c r="V22" i="47" s="1"/>
  <c r="O22" i="42" s="1"/>
  <c r="Q22" i="47"/>
  <c r="U22" i="47" s="1"/>
  <c r="N22" i="42" s="1"/>
  <c r="T21" i="47"/>
  <c r="S21" i="47"/>
  <c r="P21" i="47"/>
  <c r="O21" i="47"/>
  <c r="N21" i="47"/>
  <c r="M21" i="47"/>
  <c r="Q21" i="47" s="1"/>
  <c r="U21" i="47" s="1"/>
  <c r="L21" i="47"/>
  <c r="R21" i="47" s="1"/>
  <c r="K21" i="47"/>
  <c r="J21" i="47"/>
  <c r="V21" i="47"/>
  <c r="I21" i="47"/>
  <c r="R77" i="46"/>
  <c r="V77" i="46" s="1"/>
  <c r="M69" i="42" s="1"/>
  <c r="Q77" i="46"/>
  <c r="U77" i="46"/>
  <c r="L69" i="42" s="1"/>
  <c r="R37" i="46"/>
  <c r="V37" i="46" s="1"/>
  <c r="M37" i="42" s="1"/>
  <c r="Q37" i="46"/>
  <c r="U37" i="46" s="1"/>
  <c r="L37" i="42" s="1"/>
  <c r="P32" i="46"/>
  <c r="O32" i="46"/>
  <c r="N32" i="46"/>
  <c r="L32" i="46"/>
  <c r="K32" i="46"/>
  <c r="J32" i="46"/>
  <c r="I32" i="46"/>
  <c r="R23" i="46"/>
  <c r="V23" i="46"/>
  <c r="M23" i="42" s="1"/>
  <c r="Q23" i="46"/>
  <c r="U23" i="46"/>
  <c r="L23" i="42" s="1"/>
  <c r="R22" i="46"/>
  <c r="V22" i="46"/>
  <c r="M22" i="42"/>
  <c r="Q22" i="46"/>
  <c r="U22" i="46" s="1"/>
  <c r="L22" i="42" s="1"/>
  <c r="T21" i="46"/>
  <c r="S21" i="46"/>
  <c r="P21" i="46"/>
  <c r="O21" i="46"/>
  <c r="N21" i="46"/>
  <c r="M21" i="46"/>
  <c r="L21" i="46"/>
  <c r="K21" i="46"/>
  <c r="J21" i="46"/>
  <c r="R21" i="46"/>
  <c r="V21" i="46" s="1"/>
  <c r="I21" i="46"/>
  <c r="S32" i="45"/>
  <c r="P32" i="45"/>
  <c r="O32" i="45"/>
  <c r="N32" i="45"/>
  <c r="M32" i="45"/>
  <c r="K32" i="45"/>
  <c r="R23" i="45"/>
  <c r="V23" i="45" s="1"/>
  <c r="K23" i="42" s="1"/>
  <c r="Q23" i="45"/>
  <c r="U23" i="45" s="1"/>
  <c r="J23" i="42" s="1"/>
  <c r="R22" i="45"/>
  <c r="V22" i="45"/>
  <c r="K22" i="42" s="1"/>
  <c r="Q22" i="45"/>
  <c r="U22" i="45"/>
  <c r="J22" i="42" s="1"/>
  <c r="T21" i="45"/>
  <c r="S21" i="45"/>
  <c r="P21" i="45"/>
  <c r="O21" i="45"/>
  <c r="N21" i="45"/>
  <c r="R21" i="45"/>
  <c r="V21" i="45" s="1"/>
  <c r="M21" i="45"/>
  <c r="L21" i="45"/>
  <c r="K21" i="45"/>
  <c r="J21" i="45"/>
  <c r="I21" i="45"/>
  <c r="M37" i="68"/>
  <c r="O37" i="68"/>
  <c r="N32" i="68"/>
  <c r="L32" i="68"/>
  <c r="J32" i="68"/>
  <c r="I32" i="68"/>
  <c r="M23" i="68"/>
  <c r="O23" i="68" s="1"/>
  <c r="O23" i="43" s="1"/>
  <c r="M22" i="68"/>
  <c r="N21" i="68"/>
  <c r="L21" i="68"/>
  <c r="K21" i="68"/>
  <c r="J21" i="68"/>
  <c r="I21" i="68"/>
  <c r="Q13" i="77"/>
  <c r="P13" i="77"/>
  <c r="O13" i="77"/>
  <c r="N13" i="77"/>
  <c r="M13" i="77"/>
  <c r="L13" i="77"/>
  <c r="L12" i="77" s="1"/>
  <c r="L10" i="77" s="1"/>
  <c r="K13" i="77"/>
  <c r="J13" i="77"/>
  <c r="I13" i="77"/>
  <c r="AD46" i="79"/>
  <c r="AD45" i="79"/>
  <c r="AD44" i="79"/>
  <c r="AD43" i="79"/>
  <c r="AD41" i="79"/>
  <c r="AD36" i="79"/>
  <c r="AB54" i="79"/>
  <c r="AB53" i="79"/>
  <c r="AB52" i="79"/>
  <c r="AB51" i="79"/>
  <c r="AB50" i="79"/>
  <c r="AB49" i="79"/>
  <c r="AB33" i="79"/>
  <c r="AA54" i="79"/>
  <c r="AA53" i="79"/>
  <c r="AA52" i="79"/>
  <c r="AA51" i="79"/>
  <c r="AA50" i="79"/>
  <c r="AA49" i="79"/>
  <c r="AA33" i="79"/>
  <c r="AA31" i="79"/>
  <c r="AA27" i="79"/>
  <c r="AA26" i="79"/>
  <c r="AA18" i="79"/>
  <c r="Z54" i="79"/>
  <c r="Z53" i="79"/>
  <c r="Z52" i="79"/>
  <c r="Z51" i="79"/>
  <c r="Z50" i="79"/>
  <c r="Z49" i="79"/>
  <c r="Z33" i="79"/>
  <c r="Z31" i="79"/>
  <c r="Z27" i="79"/>
  <c r="Z26" i="79"/>
  <c r="Z18" i="79"/>
  <c r="Y54" i="79"/>
  <c r="Y53" i="79"/>
  <c r="Y52" i="79"/>
  <c r="Y51" i="79"/>
  <c r="Y50" i="79"/>
  <c r="Y49" i="79"/>
  <c r="Y33" i="79"/>
  <c r="Y31" i="79"/>
  <c r="Y27" i="79"/>
  <c r="Y26" i="79"/>
  <c r="Y18" i="79"/>
  <c r="Y14" i="79"/>
  <c r="Y13" i="79"/>
  <c r="X54" i="79"/>
  <c r="X53" i="79"/>
  <c r="X52" i="79"/>
  <c r="X51" i="79"/>
  <c r="X50" i="79"/>
  <c r="X49" i="79"/>
  <c r="X33" i="79"/>
  <c r="X31" i="79"/>
  <c r="X27" i="79"/>
  <c r="X26" i="79"/>
  <c r="X18" i="79"/>
  <c r="X14" i="79"/>
  <c r="X13" i="79"/>
  <c r="W54" i="79"/>
  <c r="W53" i="79"/>
  <c r="W52" i="79"/>
  <c r="W51" i="79"/>
  <c r="W50" i="79"/>
  <c r="W49" i="79"/>
  <c r="W21" i="79"/>
  <c r="W20" i="79"/>
  <c r="W16" i="79"/>
  <c r="W14" i="79"/>
  <c r="W13" i="79"/>
  <c r="V54" i="79"/>
  <c r="V53" i="79"/>
  <c r="V52" i="79"/>
  <c r="V51" i="79"/>
  <c r="V50" i="79"/>
  <c r="V49" i="79"/>
  <c r="V33" i="79"/>
  <c r="V31" i="79"/>
  <c r="V27" i="79"/>
  <c r="V26" i="79"/>
  <c r="V21" i="79"/>
  <c r="V20" i="79"/>
  <c r="V18" i="79"/>
  <c r="U54" i="79"/>
  <c r="U53" i="79"/>
  <c r="U52" i="79"/>
  <c r="U51" i="79"/>
  <c r="U50" i="79"/>
  <c r="U49" i="79"/>
  <c r="U33" i="79"/>
  <c r="U31" i="79"/>
  <c r="U27" i="79"/>
  <c r="U26" i="79"/>
  <c r="U22" i="79"/>
  <c r="U21" i="79"/>
  <c r="U20" i="79"/>
  <c r="U18" i="79"/>
  <c r="T54" i="79"/>
  <c r="T53" i="79"/>
  <c r="T52" i="79"/>
  <c r="T51" i="79"/>
  <c r="T50" i="79"/>
  <c r="T49" i="79"/>
  <c r="T33" i="79"/>
  <c r="T32" i="79"/>
  <c r="T31" i="79"/>
  <c r="T28" i="79"/>
  <c r="T27" i="79"/>
  <c r="T26" i="79"/>
  <c r="T21" i="79"/>
  <c r="T20" i="79"/>
  <c r="T18" i="79"/>
  <c r="S54" i="79"/>
  <c r="S53" i="79"/>
  <c r="S52" i="79"/>
  <c r="S51" i="79"/>
  <c r="S50" i="79"/>
  <c r="S49" i="79"/>
  <c r="S30" i="79"/>
  <c r="S27" i="79"/>
  <c r="S26" i="79"/>
  <c r="S21" i="79"/>
  <c r="S20" i="79"/>
  <c r="S17" i="79"/>
  <c r="R54" i="79"/>
  <c r="R53" i="79"/>
  <c r="R52" i="79"/>
  <c r="R51" i="79"/>
  <c r="R50" i="79"/>
  <c r="R49" i="79"/>
  <c r="R33" i="79"/>
  <c r="R31" i="79"/>
  <c r="R27" i="79"/>
  <c r="R26" i="79"/>
  <c r="R21" i="79"/>
  <c r="R20" i="79"/>
  <c r="R18" i="79"/>
  <c r="Q54" i="79"/>
  <c r="Q53" i="79"/>
  <c r="Q52" i="79"/>
  <c r="Q51" i="79"/>
  <c r="Q50" i="79"/>
  <c r="Q49" i="79"/>
  <c r="Q33" i="79"/>
  <c r="Q31" i="79"/>
  <c r="Q27" i="79"/>
  <c r="Q26" i="79"/>
  <c r="Q21" i="79"/>
  <c r="Q20" i="79"/>
  <c r="Q18" i="79"/>
  <c r="P54" i="79"/>
  <c r="P53" i="79"/>
  <c r="P52" i="79"/>
  <c r="P51" i="79"/>
  <c r="P50" i="79"/>
  <c r="P49" i="79"/>
  <c r="P33" i="79"/>
  <c r="P31" i="79"/>
  <c r="P27" i="79"/>
  <c r="P26" i="79"/>
  <c r="P18" i="79"/>
  <c r="O54" i="79"/>
  <c r="O53" i="79"/>
  <c r="O52" i="79"/>
  <c r="O51" i="79"/>
  <c r="O50" i="79"/>
  <c r="O49" i="79"/>
  <c r="O33" i="79"/>
  <c r="O31" i="79"/>
  <c r="O27" i="79"/>
  <c r="O26" i="79"/>
  <c r="O21" i="79"/>
  <c r="O20" i="79"/>
  <c r="O18" i="79"/>
  <c r="N54" i="79"/>
  <c r="N53" i="79"/>
  <c r="N52" i="79"/>
  <c r="N51" i="79"/>
  <c r="N50" i="79"/>
  <c r="N49" i="79"/>
  <c r="N33" i="79"/>
  <c r="N31" i="79"/>
  <c r="N27" i="79"/>
  <c r="N26" i="79"/>
  <c r="N21" i="79"/>
  <c r="N20" i="79"/>
  <c r="N18" i="79"/>
  <c r="M54" i="79"/>
  <c r="M53" i="79"/>
  <c r="M52" i="79"/>
  <c r="M51" i="79"/>
  <c r="M50" i="79"/>
  <c r="M49" i="79"/>
  <c r="M33" i="79"/>
  <c r="M31" i="79"/>
  <c r="M27" i="79"/>
  <c r="M26" i="79"/>
  <c r="M21" i="79"/>
  <c r="M20" i="79"/>
  <c r="M18" i="79"/>
  <c r="L54" i="79"/>
  <c r="L53" i="79"/>
  <c r="L52" i="79"/>
  <c r="L51" i="79"/>
  <c r="L50" i="79"/>
  <c r="L49" i="79"/>
  <c r="L31" i="79"/>
  <c r="L27" i="79"/>
  <c r="L26" i="79"/>
  <c r="L21" i="79"/>
  <c r="L20" i="79"/>
  <c r="L18" i="79"/>
  <c r="K54" i="79"/>
  <c r="K53" i="79"/>
  <c r="K52" i="79"/>
  <c r="K51" i="79"/>
  <c r="K50" i="79"/>
  <c r="K49" i="79"/>
  <c r="K33" i="79"/>
  <c r="K31" i="79"/>
  <c r="K27" i="79"/>
  <c r="K26" i="79"/>
  <c r="K21" i="79"/>
  <c r="K20" i="79"/>
  <c r="K18" i="79"/>
  <c r="I54" i="79"/>
  <c r="I53" i="79"/>
  <c r="J54" i="79"/>
  <c r="J53" i="79"/>
  <c r="J52" i="79"/>
  <c r="J51" i="79"/>
  <c r="J50" i="79"/>
  <c r="J49" i="79"/>
  <c r="J33" i="79"/>
  <c r="J31" i="79"/>
  <c r="J27" i="79"/>
  <c r="J26" i="79"/>
  <c r="J18" i="79"/>
  <c r="I52" i="79"/>
  <c r="I51" i="79"/>
  <c r="I50" i="79"/>
  <c r="I49" i="79"/>
  <c r="I33" i="79"/>
  <c r="I31" i="79"/>
  <c r="I27" i="79"/>
  <c r="I26" i="79"/>
  <c r="I21" i="79"/>
  <c r="I20" i="79"/>
  <c r="I18" i="79"/>
  <c r="AY54" i="80"/>
  <c r="AY53" i="80"/>
  <c r="AY52" i="80"/>
  <c r="AY51" i="80"/>
  <c r="AY50" i="80"/>
  <c r="AY49" i="80"/>
  <c r="AY42" i="80"/>
  <c r="AY33" i="80"/>
  <c r="AY32" i="80"/>
  <c r="AY31" i="80"/>
  <c r="AY30" i="80"/>
  <c r="AT29" i="80"/>
  <c r="AS29" i="80"/>
  <c r="AR29" i="80"/>
  <c r="AQ29" i="80"/>
  <c r="AP29" i="80"/>
  <c r="AO29" i="80"/>
  <c r="AN29" i="80"/>
  <c r="AM29" i="80"/>
  <c r="AJ29" i="80"/>
  <c r="AI29" i="80"/>
  <c r="AH29" i="80"/>
  <c r="AG29" i="80"/>
  <c r="AF29" i="80"/>
  <c r="AE29" i="80"/>
  <c r="AD29" i="80"/>
  <c r="AC29" i="80"/>
  <c r="AB29" i="80"/>
  <c r="AA29" i="80"/>
  <c r="AA11" i="80" s="1"/>
  <c r="AA10" i="80" s="1"/>
  <c r="AA47" i="80" s="1"/>
  <c r="Z29" i="80"/>
  <c r="Y29" i="80"/>
  <c r="X29" i="80"/>
  <c r="W29" i="80"/>
  <c r="V29" i="80"/>
  <c r="U29" i="80"/>
  <c r="T29" i="80"/>
  <c r="S29" i="80"/>
  <c r="R29" i="80"/>
  <c r="Q29" i="80"/>
  <c r="P29" i="80"/>
  <c r="O29" i="80"/>
  <c r="N29" i="80"/>
  <c r="M29" i="80"/>
  <c r="L29" i="80"/>
  <c r="K29" i="80"/>
  <c r="J29" i="80"/>
  <c r="I29" i="80"/>
  <c r="AY28" i="80"/>
  <c r="AY27" i="80"/>
  <c r="AY26" i="80"/>
  <c r="AY25" i="80" s="1"/>
  <c r="AT25" i="80"/>
  <c r="AS25" i="80"/>
  <c r="AR25" i="80"/>
  <c r="AQ25" i="80"/>
  <c r="AP25" i="80"/>
  <c r="AO25" i="80"/>
  <c r="AN25" i="80"/>
  <c r="AM25" i="80"/>
  <c r="AJ25" i="80"/>
  <c r="AI25" i="80"/>
  <c r="AH25" i="80"/>
  <c r="AG25" i="80"/>
  <c r="AF25" i="80"/>
  <c r="AE25" i="80"/>
  <c r="AD25" i="80"/>
  <c r="AC25" i="80"/>
  <c r="AB25" i="80"/>
  <c r="AA25" i="80"/>
  <c r="Z25" i="80"/>
  <c r="Y25" i="80"/>
  <c r="X25" i="80"/>
  <c r="W25" i="80"/>
  <c r="V25" i="80"/>
  <c r="U25" i="80"/>
  <c r="T25" i="80"/>
  <c r="S25" i="80"/>
  <c r="R25" i="80"/>
  <c r="Q25" i="80"/>
  <c r="P25" i="80"/>
  <c r="O25" i="80"/>
  <c r="N25" i="80"/>
  <c r="M25" i="80"/>
  <c r="L25" i="80"/>
  <c r="K25" i="80"/>
  <c r="J25" i="80"/>
  <c r="I25" i="80"/>
  <c r="AY21" i="80"/>
  <c r="AY19" i="80"/>
  <c r="AY20" i="80"/>
  <c r="AL19" i="80"/>
  <c r="AK19" i="80"/>
  <c r="AJ19" i="80"/>
  <c r="AI19" i="80"/>
  <c r="AI11" i="80" s="1"/>
  <c r="AI10" i="80" s="1"/>
  <c r="AI47" i="80" s="1"/>
  <c r="AH19" i="80"/>
  <c r="AG19" i="80"/>
  <c r="AF19" i="80"/>
  <c r="AE19" i="80"/>
  <c r="AE11" i="80" s="1"/>
  <c r="AE10" i="80" s="1"/>
  <c r="AD19" i="80"/>
  <c r="AC19" i="80"/>
  <c r="AB19" i="80"/>
  <c r="AA19" i="80"/>
  <c r="Z19" i="80"/>
  <c r="Y19" i="80"/>
  <c r="V19" i="80"/>
  <c r="U19" i="80"/>
  <c r="T19" i="80"/>
  <c r="S19" i="80"/>
  <c r="R19" i="80"/>
  <c r="Q19" i="80"/>
  <c r="P19" i="80"/>
  <c r="O19" i="80"/>
  <c r="N19" i="80"/>
  <c r="M19" i="80"/>
  <c r="J19" i="80"/>
  <c r="I19" i="80"/>
  <c r="I11" i="80" s="1"/>
  <c r="I10" i="80" s="1"/>
  <c r="I47" i="80" s="1"/>
  <c r="AY18" i="80"/>
  <c r="AY17" i="80"/>
  <c r="AY16" i="80"/>
  <c r="AT15" i="80"/>
  <c r="AS15" i="80"/>
  <c r="AS12" i="80"/>
  <c r="AR15" i="80"/>
  <c r="AQ15" i="80"/>
  <c r="AP15" i="80"/>
  <c r="AO15" i="80"/>
  <c r="AO12" i="80"/>
  <c r="AN15" i="80"/>
  <c r="AN12" i="80" s="1"/>
  <c r="AN11" i="80" s="1"/>
  <c r="AN10" i="80" s="1"/>
  <c r="AN47" i="80" s="1"/>
  <c r="AM15" i="80"/>
  <c r="AL15" i="80"/>
  <c r="AK15" i="80"/>
  <c r="AK12" i="80"/>
  <c r="AK11" i="80" s="1"/>
  <c r="AK10" i="80" s="1"/>
  <c r="AK47" i="80" s="1"/>
  <c r="AJ15" i="80"/>
  <c r="AJ12" i="80" s="1"/>
  <c r="AI15" i="80"/>
  <c r="AH15" i="80"/>
  <c r="AG15" i="80"/>
  <c r="AG12" i="80" s="1"/>
  <c r="AG11" i="80" s="1"/>
  <c r="AG10" i="80" s="1"/>
  <c r="AG47" i="80" s="1"/>
  <c r="AF15" i="80"/>
  <c r="AE15" i="80"/>
  <c r="AD15" i="80"/>
  <c r="AC15" i="80"/>
  <c r="AC12" i="80"/>
  <c r="AC11" i="80" s="1"/>
  <c r="AC10" i="80" s="1"/>
  <c r="AC47" i="80" s="1"/>
  <c r="AB15" i="80"/>
  <c r="AA15" i="80"/>
  <c r="Z15" i="80"/>
  <c r="Z12" i="80" s="1"/>
  <c r="Z11" i="80" s="1"/>
  <c r="Y15" i="80"/>
  <c r="Y12" i="80" s="1"/>
  <c r="Y11" i="80" s="1"/>
  <c r="Y10" i="80"/>
  <c r="Y47" i="80" s="1"/>
  <c r="X15" i="80"/>
  <c r="W15" i="80"/>
  <c r="V15" i="80"/>
  <c r="V12" i="80" s="1"/>
  <c r="V11" i="80" s="1"/>
  <c r="V10" i="80" s="1"/>
  <c r="U15" i="80"/>
  <c r="T15" i="80"/>
  <c r="S15" i="80"/>
  <c r="R15" i="80"/>
  <c r="R12" i="80" s="1"/>
  <c r="R11" i="80" s="1"/>
  <c r="R10" i="80" s="1"/>
  <c r="R47" i="80" s="1"/>
  <c r="Q15" i="80"/>
  <c r="Q12" i="80" s="1"/>
  <c r="P15" i="80"/>
  <c r="O15" i="80"/>
  <c r="N15" i="80"/>
  <c r="N12" i="80" s="1"/>
  <c r="N11" i="80" s="1"/>
  <c r="N10" i="80" s="1"/>
  <c r="N47" i="80" s="1"/>
  <c r="M15" i="80"/>
  <c r="L15" i="80"/>
  <c r="K15" i="80"/>
  <c r="K12" i="80" s="1"/>
  <c r="K11" i="80" s="1"/>
  <c r="K10" i="80" s="1"/>
  <c r="J15" i="80"/>
  <c r="I15" i="80"/>
  <c r="I12" i="80"/>
  <c r="AY14" i="80"/>
  <c r="AY13" i="80"/>
  <c r="AV12" i="80"/>
  <c r="AU12" i="80"/>
  <c r="AU11" i="80"/>
  <c r="AU10" i="80"/>
  <c r="AU47" i="80" s="1"/>
  <c r="AT12" i="80"/>
  <c r="AT11" i="80" s="1"/>
  <c r="AT10" i="80" s="1"/>
  <c r="AT47" i="80" s="1"/>
  <c r="AS11" i="80"/>
  <c r="AS10" i="80"/>
  <c r="AS47" i="80" s="1"/>
  <c r="AR12" i="80"/>
  <c r="AQ12" i="80"/>
  <c r="AQ11" i="80"/>
  <c r="AQ10" i="80" s="1"/>
  <c r="AQ47" i="80" s="1"/>
  <c r="AP12" i="80"/>
  <c r="AM12" i="80"/>
  <c r="AL12" i="80"/>
  <c r="AL11" i="80"/>
  <c r="AL10" i="80"/>
  <c r="AL47" i="80" s="1"/>
  <c r="AI12" i="80"/>
  <c r="AH12" i="80"/>
  <c r="AH11" i="80" s="1"/>
  <c r="AH10" i="80" s="1"/>
  <c r="AF12" i="80"/>
  <c r="AF11" i="80" s="1"/>
  <c r="AE12" i="80"/>
  <c r="AE47" i="80"/>
  <c r="AD12" i="80"/>
  <c r="AD11" i="80" s="1"/>
  <c r="AD10" i="80" s="1"/>
  <c r="AD47" i="80" s="1"/>
  <c r="AB12" i="80"/>
  <c r="AA12" i="80"/>
  <c r="X12" i="80"/>
  <c r="X11" i="80" s="1"/>
  <c r="X10" i="80" s="1"/>
  <c r="X47" i="80" s="1"/>
  <c r="W12" i="80"/>
  <c r="W11" i="80" s="1"/>
  <c r="W10" i="80" s="1"/>
  <c r="W47" i="80" s="1"/>
  <c r="V47" i="80"/>
  <c r="U12" i="80"/>
  <c r="U11" i="80" s="1"/>
  <c r="U10" i="80" s="1"/>
  <c r="U47" i="80" s="1"/>
  <c r="T12" i="80"/>
  <c r="T11" i="80" s="1"/>
  <c r="T10" i="80" s="1"/>
  <c r="T47" i="80" s="1"/>
  <c r="S12" i="80"/>
  <c r="Q11" i="80"/>
  <c r="Q10" i="80" s="1"/>
  <c r="Q47" i="80" s="1"/>
  <c r="P12" i="80"/>
  <c r="O12" i="80"/>
  <c r="O11" i="80"/>
  <c r="O10" i="80" s="1"/>
  <c r="O47" i="80" s="1"/>
  <c r="M12" i="80"/>
  <c r="L12" i="80"/>
  <c r="L11" i="80" s="1"/>
  <c r="L10" i="80" s="1"/>
  <c r="L47" i="80" s="1"/>
  <c r="K47" i="80"/>
  <c r="J12" i="80"/>
  <c r="J11" i="80" s="1"/>
  <c r="J10" i="80" s="1"/>
  <c r="J47" i="80" s="1"/>
  <c r="AV11" i="80"/>
  <c r="AV10" i="80" s="1"/>
  <c r="AV47" i="80" s="1"/>
  <c r="AR11" i="80"/>
  <c r="AR10" i="80"/>
  <c r="AR47" i="80" s="1"/>
  <c r="AH47" i="80"/>
  <c r="AF10" i="80"/>
  <c r="AF47" i="80" s="1"/>
  <c r="AB11" i="80"/>
  <c r="AB10" i="80"/>
  <c r="AB47" i="80" s="1"/>
  <c r="Z10" i="80"/>
  <c r="Z47" i="80" s="1"/>
  <c r="I16" i="61"/>
  <c r="Q16" i="61" s="1"/>
  <c r="I17" i="61"/>
  <c r="Q17" i="61" s="1"/>
  <c r="J17" i="61"/>
  <c r="J16" i="61"/>
  <c r="J52" i="61"/>
  <c r="J85" i="61" s="1"/>
  <c r="L17" i="61"/>
  <c r="L16" i="61"/>
  <c r="I22" i="61"/>
  <c r="J22" i="61"/>
  <c r="L22" i="61"/>
  <c r="M22" i="61"/>
  <c r="N22" i="61"/>
  <c r="O22" i="61"/>
  <c r="P22" i="61"/>
  <c r="I26" i="61"/>
  <c r="J26" i="61"/>
  <c r="L26" i="61"/>
  <c r="M26" i="61"/>
  <c r="N26" i="61"/>
  <c r="O26" i="61"/>
  <c r="O52" i="61" s="1"/>
  <c r="P26" i="61"/>
  <c r="I30" i="61"/>
  <c r="Q30" i="61" s="1"/>
  <c r="J30" i="61"/>
  <c r="L30" i="61"/>
  <c r="M30" i="61"/>
  <c r="N30" i="61"/>
  <c r="O30" i="61"/>
  <c r="P30" i="61"/>
  <c r="P52" i="61" s="1"/>
  <c r="P85" i="61" s="1"/>
  <c r="I34" i="61"/>
  <c r="J34" i="61"/>
  <c r="L34" i="61"/>
  <c r="M34" i="61"/>
  <c r="N34" i="61"/>
  <c r="O34" i="61"/>
  <c r="P34" i="61"/>
  <c r="O85" i="61"/>
  <c r="I83" i="61"/>
  <c r="J83" i="61"/>
  <c r="L83" i="61"/>
  <c r="M83" i="61"/>
  <c r="N83" i="61"/>
  <c r="O83" i="61"/>
  <c r="P83" i="61"/>
  <c r="I17" i="60"/>
  <c r="J17" i="60"/>
  <c r="L17" i="60"/>
  <c r="L16" i="60"/>
  <c r="I22" i="60"/>
  <c r="J22" i="60"/>
  <c r="L22" i="60"/>
  <c r="M22" i="60"/>
  <c r="N22" i="60"/>
  <c r="O22" i="60"/>
  <c r="P22" i="60"/>
  <c r="I26" i="60"/>
  <c r="J26" i="60"/>
  <c r="L26" i="60"/>
  <c r="M26" i="60"/>
  <c r="N26" i="60"/>
  <c r="O26" i="60"/>
  <c r="P26" i="60"/>
  <c r="P52" i="60" s="1"/>
  <c r="I30" i="60"/>
  <c r="J30" i="60"/>
  <c r="L30" i="60"/>
  <c r="M30" i="60"/>
  <c r="Q30" i="60" s="1"/>
  <c r="N30" i="60"/>
  <c r="O30" i="60"/>
  <c r="P30" i="60"/>
  <c r="I34" i="60"/>
  <c r="J34" i="60"/>
  <c r="L34" i="60"/>
  <c r="M34" i="60"/>
  <c r="N34" i="60"/>
  <c r="O34" i="60"/>
  <c r="P34" i="60"/>
  <c r="N52" i="60"/>
  <c r="N85" i="60" s="1"/>
  <c r="I83" i="60"/>
  <c r="J83" i="60"/>
  <c r="L83" i="60"/>
  <c r="M83" i="60"/>
  <c r="N83" i="60"/>
  <c r="O83" i="60"/>
  <c r="P83" i="60"/>
  <c r="I17" i="70"/>
  <c r="I16" i="70" s="1"/>
  <c r="J17" i="70"/>
  <c r="L17" i="70"/>
  <c r="L16" i="70" s="1"/>
  <c r="I22" i="70"/>
  <c r="J22" i="70"/>
  <c r="L22" i="70"/>
  <c r="M22" i="70"/>
  <c r="N22" i="70"/>
  <c r="O22" i="70"/>
  <c r="P22" i="70"/>
  <c r="I26" i="70"/>
  <c r="J26" i="70"/>
  <c r="L26" i="70"/>
  <c r="M26" i="70"/>
  <c r="N26" i="70"/>
  <c r="O26" i="70"/>
  <c r="P26" i="70"/>
  <c r="I30" i="70"/>
  <c r="J30" i="70"/>
  <c r="L30" i="70"/>
  <c r="M30" i="70"/>
  <c r="N30" i="70"/>
  <c r="O30" i="70"/>
  <c r="O53" i="70" s="1"/>
  <c r="O86" i="70" s="1"/>
  <c r="P30" i="70"/>
  <c r="I34" i="70"/>
  <c r="J34" i="70"/>
  <c r="L34" i="70"/>
  <c r="M34" i="70"/>
  <c r="N34" i="70"/>
  <c r="O34" i="70"/>
  <c r="P34" i="70"/>
  <c r="P53" i="70" s="1"/>
  <c r="P86" i="70" s="1"/>
  <c r="I84" i="70"/>
  <c r="J84" i="70"/>
  <c r="L84" i="70"/>
  <c r="M84" i="70"/>
  <c r="Q84" i="70" s="1"/>
  <c r="N84" i="70"/>
  <c r="O84" i="70"/>
  <c r="P84" i="70"/>
  <c r="I16" i="69"/>
  <c r="I17" i="69"/>
  <c r="J17" i="69"/>
  <c r="J16" i="69"/>
  <c r="L17" i="69"/>
  <c r="L16" i="69" s="1"/>
  <c r="I22" i="69"/>
  <c r="Q22" i="69" s="1"/>
  <c r="J22" i="69"/>
  <c r="L22" i="69"/>
  <c r="M22" i="69"/>
  <c r="M53" i="69"/>
  <c r="M86" i="69" s="1"/>
  <c r="N22" i="69"/>
  <c r="O22" i="69"/>
  <c r="P22" i="69"/>
  <c r="I26" i="69"/>
  <c r="J26" i="69"/>
  <c r="L26" i="69"/>
  <c r="M26" i="69"/>
  <c r="N26" i="69"/>
  <c r="O26" i="69"/>
  <c r="P26" i="69"/>
  <c r="I30" i="69"/>
  <c r="J30" i="69"/>
  <c r="L30" i="69"/>
  <c r="M30" i="69"/>
  <c r="N30" i="69"/>
  <c r="O30" i="69"/>
  <c r="O53" i="69" s="1"/>
  <c r="O86" i="69" s="1"/>
  <c r="P30" i="69"/>
  <c r="I34" i="69"/>
  <c r="Q34" i="69" s="1"/>
  <c r="J34" i="69"/>
  <c r="L34" i="69"/>
  <c r="M34" i="69"/>
  <c r="N34" i="69"/>
  <c r="O34" i="69"/>
  <c r="P34" i="69"/>
  <c r="P53" i="69"/>
  <c r="P86" i="69" s="1"/>
  <c r="I84" i="69"/>
  <c r="J84" i="69"/>
  <c r="L84" i="69"/>
  <c r="M84" i="69"/>
  <c r="N84" i="69"/>
  <c r="O84" i="69"/>
  <c r="P84" i="69"/>
  <c r="K11" i="58"/>
  <c r="K10" i="58" s="1"/>
  <c r="S11" i="58"/>
  <c r="S10" i="58" s="1"/>
  <c r="W11" i="58"/>
  <c r="W10" i="58" s="1"/>
  <c r="AA12" i="58"/>
  <c r="AA13" i="58"/>
  <c r="I14" i="58"/>
  <c r="I11" i="58"/>
  <c r="I10" i="58"/>
  <c r="J14" i="58"/>
  <c r="J11" i="58" s="1"/>
  <c r="K14" i="58"/>
  <c r="L14" i="58"/>
  <c r="M14" i="58"/>
  <c r="M11" i="58"/>
  <c r="M10" i="58" s="1"/>
  <c r="N14" i="58"/>
  <c r="N11" i="58" s="1"/>
  <c r="O14" i="58"/>
  <c r="O11" i="58" s="1"/>
  <c r="O10" i="58" s="1"/>
  <c r="P14" i="58"/>
  <c r="Q14" i="58"/>
  <c r="Q11" i="58"/>
  <c r="Q10" i="58"/>
  <c r="R14" i="58"/>
  <c r="R11" i="58" s="1"/>
  <c r="S14" i="58"/>
  <c r="T14" i="58"/>
  <c r="T11" i="58"/>
  <c r="T10" i="58" s="1"/>
  <c r="U14" i="58"/>
  <c r="U11" i="58" s="1"/>
  <c r="V14" i="58"/>
  <c r="V11" i="58" s="1"/>
  <c r="W14" i="58"/>
  <c r="X14" i="58"/>
  <c r="Y14" i="58"/>
  <c r="Y11" i="58"/>
  <c r="Z14" i="58"/>
  <c r="Z11" i="58" s="1"/>
  <c r="AA15" i="58"/>
  <c r="AA16" i="58"/>
  <c r="AA17" i="58"/>
  <c r="AA18" i="58"/>
  <c r="I19" i="58"/>
  <c r="J19" i="58"/>
  <c r="K19" i="58"/>
  <c r="L19" i="58"/>
  <c r="M19" i="58"/>
  <c r="N19" i="58"/>
  <c r="N10" i="58" s="1"/>
  <c r="O19" i="58"/>
  <c r="P19" i="58"/>
  <c r="Q19" i="58"/>
  <c r="R19" i="58"/>
  <c r="S19" i="58"/>
  <c r="T19" i="58"/>
  <c r="U19" i="58"/>
  <c r="V19" i="58"/>
  <c r="W19" i="58"/>
  <c r="X19" i="58"/>
  <c r="Y19" i="58"/>
  <c r="Z19" i="58"/>
  <c r="AA20" i="58"/>
  <c r="AA21" i="58"/>
  <c r="AA22" i="58"/>
  <c r="AA23" i="58"/>
  <c r="N25" i="58"/>
  <c r="P25" i="58"/>
  <c r="S25" i="58"/>
  <c r="S33" i="58" s="1"/>
  <c r="AA26" i="58"/>
  <c r="AA27" i="58"/>
  <c r="I28" i="58"/>
  <c r="I25" i="58"/>
  <c r="J28" i="58"/>
  <c r="J25" i="58" s="1"/>
  <c r="K28" i="58"/>
  <c r="K25" i="58" s="1"/>
  <c r="L28" i="58"/>
  <c r="L25" i="58" s="1"/>
  <c r="M28" i="58"/>
  <c r="M25" i="58" s="1"/>
  <c r="N28" i="58"/>
  <c r="O28" i="58"/>
  <c r="O25" i="58" s="1"/>
  <c r="O33" i="58" s="1"/>
  <c r="P28" i="58"/>
  <c r="Q28" i="58"/>
  <c r="Q25" i="58"/>
  <c r="R28" i="58"/>
  <c r="R25" i="58" s="1"/>
  <c r="S28" i="58"/>
  <c r="T28" i="58"/>
  <c r="T25" i="58" s="1"/>
  <c r="T33" i="58" s="1"/>
  <c r="U28" i="58"/>
  <c r="U25" i="58" s="1"/>
  <c r="V28" i="58"/>
  <c r="V25" i="58"/>
  <c r="W28" i="58"/>
  <c r="W25" i="58" s="1"/>
  <c r="W33" i="58" s="1"/>
  <c r="X28" i="58"/>
  <c r="X25" i="58" s="1"/>
  <c r="Y28" i="58"/>
  <c r="Y25" i="58"/>
  <c r="Z28" i="58"/>
  <c r="Z25" i="58" s="1"/>
  <c r="AA29" i="58"/>
  <c r="AA30" i="58"/>
  <c r="AA31" i="58"/>
  <c r="AA32" i="58"/>
  <c r="R10" i="57"/>
  <c r="P11" i="57"/>
  <c r="T11" i="57"/>
  <c r="AA12" i="57"/>
  <c r="R12" i="54" s="1"/>
  <c r="AA13" i="57"/>
  <c r="I14" i="57"/>
  <c r="I11" i="57"/>
  <c r="I10" i="57"/>
  <c r="I33" i="57" s="1"/>
  <c r="J14" i="57"/>
  <c r="J11" i="57" s="1"/>
  <c r="M14" i="57"/>
  <c r="M11" i="57"/>
  <c r="M10" i="57" s="1"/>
  <c r="N14" i="57"/>
  <c r="O14" i="57"/>
  <c r="O11" i="57" s="1"/>
  <c r="P14" i="57"/>
  <c r="Q14" i="57"/>
  <c r="Q11" i="57" s="1"/>
  <c r="Q10" i="57"/>
  <c r="R14" i="57"/>
  <c r="R11" i="57" s="1"/>
  <c r="S14" i="57"/>
  <c r="S11" i="57"/>
  <c r="S10" i="57"/>
  <c r="T14" i="57"/>
  <c r="U14" i="57"/>
  <c r="U11" i="57"/>
  <c r="U10" i="57"/>
  <c r="V14" i="57"/>
  <c r="V11" i="57" s="1"/>
  <c r="W14" i="57"/>
  <c r="W11" i="57" s="1"/>
  <c r="X14" i="57"/>
  <c r="X11" i="57" s="1"/>
  <c r="Y14" i="57"/>
  <c r="Y11" i="57" s="1"/>
  <c r="Z14" i="57"/>
  <c r="Z11" i="57" s="1"/>
  <c r="AA15" i="57"/>
  <c r="AA16" i="57"/>
  <c r="AA17" i="57"/>
  <c r="AA18" i="57"/>
  <c r="I19" i="57"/>
  <c r="J19" i="57"/>
  <c r="M19" i="57"/>
  <c r="N19" i="57"/>
  <c r="O19" i="57"/>
  <c r="P19" i="57"/>
  <c r="Q19" i="57"/>
  <c r="R19" i="57"/>
  <c r="S19" i="57"/>
  <c r="T19" i="57"/>
  <c r="U19" i="57"/>
  <c r="V19" i="57"/>
  <c r="V10" i="57" s="1"/>
  <c r="W19" i="57"/>
  <c r="X19" i="57"/>
  <c r="P19" i="54"/>
  <c r="Y19" i="57"/>
  <c r="Y10" i="57" s="1"/>
  <c r="Z19" i="57"/>
  <c r="AA20" i="57"/>
  <c r="AA21" i="57"/>
  <c r="AA22" i="57"/>
  <c r="AA23" i="57"/>
  <c r="O25" i="57"/>
  <c r="S25" i="57"/>
  <c r="AA26" i="57"/>
  <c r="R26" i="54" s="1"/>
  <c r="AA27" i="57"/>
  <c r="I28" i="57"/>
  <c r="I25" i="57" s="1"/>
  <c r="J28" i="57"/>
  <c r="J25" i="57" s="1"/>
  <c r="M28" i="57"/>
  <c r="M25" i="57" s="1"/>
  <c r="M33" i="57" s="1"/>
  <c r="N28" i="57"/>
  <c r="N25" i="57"/>
  <c r="O28" i="57"/>
  <c r="P28" i="57"/>
  <c r="P25" i="57" s="1"/>
  <c r="Q28" i="57"/>
  <c r="Q25" i="57" s="1"/>
  <c r="R28" i="57"/>
  <c r="R25" i="57" s="1"/>
  <c r="R33" i="57" s="1"/>
  <c r="S28" i="57"/>
  <c r="T28" i="57"/>
  <c r="T25" i="57" s="1"/>
  <c r="U28" i="57"/>
  <c r="U25" i="57" s="1"/>
  <c r="U33" i="57" s="1"/>
  <c r="V28" i="57"/>
  <c r="V25" i="57" s="1"/>
  <c r="V33" i="57" s="1"/>
  <c r="W28" i="57"/>
  <c r="W25" i="57" s="1"/>
  <c r="X28" i="57"/>
  <c r="X25" i="57" s="1"/>
  <c r="P28" i="54"/>
  <c r="Y28" i="57"/>
  <c r="Y25" i="57"/>
  <c r="Y33" i="57"/>
  <c r="Z28" i="57"/>
  <c r="Z25" i="57" s="1"/>
  <c r="AA29" i="57"/>
  <c r="R29" i="54"/>
  <c r="AA30" i="57"/>
  <c r="AA31" i="57"/>
  <c r="AA32" i="57"/>
  <c r="O10" i="56"/>
  <c r="W10" i="56"/>
  <c r="N11" i="56"/>
  <c r="N10" i="56"/>
  <c r="V11" i="56"/>
  <c r="Y11" i="56"/>
  <c r="AA12" i="56"/>
  <c r="AA13" i="56"/>
  <c r="I14" i="56"/>
  <c r="I11" i="56" s="1"/>
  <c r="I10" i="56" s="1"/>
  <c r="J14" i="56"/>
  <c r="J11" i="56"/>
  <c r="M14" i="56"/>
  <c r="M11" i="56" s="1"/>
  <c r="M10" i="56" s="1"/>
  <c r="N14" i="56"/>
  <c r="O14" i="56"/>
  <c r="O11" i="56"/>
  <c r="P14" i="56"/>
  <c r="P11" i="56"/>
  <c r="P10" i="56"/>
  <c r="Q14" i="56"/>
  <c r="Q11" i="56" s="1"/>
  <c r="R14" i="56"/>
  <c r="R11" i="56"/>
  <c r="S14" i="56"/>
  <c r="S11" i="56" s="1"/>
  <c r="T14" i="56"/>
  <c r="N14" i="54" s="1"/>
  <c r="U14" i="56"/>
  <c r="U11" i="56" s="1"/>
  <c r="V14" i="56"/>
  <c r="W14" i="56"/>
  <c r="W11" i="56" s="1"/>
  <c r="X14" i="56"/>
  <c r="X11" i="56"/>
  <c r="Y14" i="56"/>
  <c r="Z14" i="56"/>
  <c r="Z11" i="56"/>
  <c r="AA15" i="56"/>
  <c r="AA16" i="56"/>
  <c r="AA17" i="56"/>
  <c r="AA18" i="56"/>
  <c r="I19" i="56"/>
  <c r="J19" i="56"/>
  <c r="M19" i="56"/>
  <c r="N19" i="56"/>
  <c r="O19" i="56"/>
  <c r="P19" i="56"/>
  <c r="Q19" i="56"/>
  <c r="R19" i="56"/>
  <c r="S19" i="56"/>
  <c r="T19" i="56"/>
  <c r="N19" i="54" s="1"/>
  <c r="U19" i="56"/>
  <c r="V19" i="56"/>
  <c r="W19" i="56"/>
  <c r="X19" i="56"/>
  <c r="Y19" i="56"/>
  <c r="Z19" i="56"/>
  <c r="Z10" i="56" s="1"/>
  <c r="AA20" i="56"/>
  <c r="R20" i="54" s="1"/>
  <c r="AA21" i="56"/>
  <c r="AA22" i="56"/>
  <c r="AA23" i="56"/>
  <c r="R23" i="54" s="1"/>
  <c r="J25" i="56"/>
  <c r="P33" i="56"/>
  <c r="Q25" i="56"/>
  <c r="U25" i="56"/>
  <c r="X25" i="56"/>
  <c r="Y25" i="56"/>
  <c r="AA26" i="56"/>
  <c r="AA27" i="56"/>
  <c r="R27" i="54"/>
  <c r="I28" i="56"/>
  <c r="I25" i="56" s="1"/>
  <c r="J28" i="56"/>
  <c r="M28" i="56"/>
  <c r="M25" i="56" s="1"/>
  <c r="N28" i="56"/>
  <c r="O28" i="56"/>
  <c r="O25" i="56"/>
  <c r="P28" i="56"/>
  <c r="P25" i="56" s="1"/>
  <c r="Q28" i="56"/>
  <c r="R28" i="56"/>
  <c r="S28" i="56"/>
  <c r="S25" i="56"/>
  <c r="T28" i="56"/>
  <c r="T25" i="56" s="1"/>
  <c r="U28" i="56"/>
  <c r="V28" i="56"/>
  <c r="W28" i="56"/>
  <c r="W25" i="56"/>
  <c r="X28" i="56"/>
  <c r="Y28" i="56"/>
  <c r="Z28" i="56"/>
  <c r="AA29" i="56"/>
  <c r="AA30" i="56"/>
  <c r="AA31" i="56"/>
  <c r="AA32" i="56"/>
  <c r="R12" i="55"/>
  <c r="R13" i="55"/>
  <c r="R13" i="54" s="1"/>
  <c r="I14" i="55"/>
  <c r="J14" i="55"/>
  <c r="J11" i="55"/>
  <c r="J10" i="55" s="1"/>
  <c r="K14" i="55"/>
  <c r="K11" i="55"/>
  <c r="L14" i="55"/>
  <c r="L11" i="55" s="1"/>
  <c r="M14" i="55"/>
  <c r="Q14" i="55"/>
  <c r="R15" i="55"/>
  <c r="R15" i="54" s="1"/>
  <c r="R16" i="55"/>
  <c r="R17" i="55"/>
  <c r="R18" i="55"/>
  <c r="R18" i="54"/>
  <c r="I19" i="55"/>
  <c r="J19" i="55"/>
  <c r="K19" i="55"/>
  <c r="L19" i="55"/>
  <c r="M19" i="55"/>
  <c r="Q19" i="55"/>
  <c r="Q19" i="54" s="1"/>
  <c r="R20" i="55"/>
  <c r="R21" i="55"/>
  <c r="R22" i="55"/>
  <c r="R22" i="54" s="1"/>
  <c r="R23" i="55"/>
  <c r="N33" i="55"/>
  <c r="O33" i="55"/>
  <c r="P33" i="55"/>
  <c r="I12" i="54"/>
  <c r="J12" i="54"/>
  <c r="K12" i="54"/>
  <c r="L12" i="54"/>
  <c r="M12" i="54"/>
  <c r="N12" i="54"/>
  <c r="O12" i="54"/>
  <c r="P12" i="54"/>
  <c r="Q12" i="54"/>
  <c r="I13" i="54"/>
  <c r="J13" i="54"/>
  <c r="K13" i="54"/>
  <c r="L13" i="54"/>
  <c r="M13" i="54"/>
  <c r="N13" i="54"/>
  <c r="O13" i="54"/>
  <c r="P13" i="54"/>
  <c r="Q13" i="54"/>
  <c r="I15" i="54"/>
  <c r="J15" i="54"/>
  <c r="K15" i="54"/>
  <c r="L15" i="54"/>
  <c r="M15" i="54"/>
  <c r="N15" i="54"/>
  <c r="O15" i="54"/>
  <c r="P15" i="54"/>
  <c r="Q15" i="54"/>
  <c r="I16" i="54"/>
  <c r="J16" i="54"/>
  <c r="K16" i="54"/>
  <c r="L16" i="54"/>
  <c r="M16" i="54"/>
  <c r="N16" i="54"/>
  <c r="O16" i="54"/>
  <c r="P16" i="54"/>
  <c r="Q16" i="54"/>
  <c r="I17" i="54"/>
  <c r="J17" i="54"/>
  <c r="K17" i="54"/>
  <c r="L17" i="54"/>
  <c r="M17" i="54"/>
  <c r="N17" i="54"/>
  <c r="O17" i="54"/>
  <c r="P17" i="54"/>
  <c r="Q17" i="54"/>
  <c r="I18" i="54"/>
  <c r="J18" i="54"/>
  <c r="K18" i="54"/>
  <c r="L18" i="54"/>
  <c r="M18" i="54"/>
  <c r="N18" i="54"/>
  <c r="O18" i="54"/>
  <c r="P18" i="54"/>
  <c r="Q18" i="54"/>
  <c r="J19" i="54"/>
  <c r="I20" i="54"/>
  <c r="J20" i="54"/>
  <c r="K20" i="54"/>
  <c r="L20" i="54"/>
  <c r="M20" i="54"/>
  <c r="N20" i="54"/>
  <c r="O20" i="54"/>
  <c r="P20" i="54"/>
  <c r="Q20" i="54"/>
  <c r="I21" i="54"/>
  <c r="J21" i="54"/>
  <c r="K21" i="54"/>
  <c r="L21" i="54"/>
  <c r="M21" i="54"/>
  <c r="N21" i="54"/>
  <c r="O21" i="54"/>
  <c r="P21" i="54"/>
  <c r="Q21" i="54"/>
  <c r="I22" i="54"/>
  <c r="J22" i="54"/>
  <c r="K22" i="54"/>
  <c r="L22" i="54"/>
  <c r="M22" i="54"/>
  <c r="N22" i="54"/>
  <c r="O22" i="54"/>
  <c r="P22" i="54"/>
  <c r="Q22" i="54"/>
  <c r="I23" i="54"/>
  <c r="J23" i="54"/>
  <c r="K23" i="54"/>
  <c r="L23" i="54"/>
  <c r="M23" i="54"/>
  <c r="N23" i="54"/>
  <c r="O23" i="54"/>
  <c r="P23" i="54"/>
  <c r="Q23" i="54"/>
  <c r="J25" i="54"/>
  <c r="L25" i="54"/>
  <c r="I26" i="54"/>
  <c r="J26" i="54"/>
  <c r="K26" i="54"/>
  <c r="L26" i="54"/>
  <c r="M26" i="54"/>
  <c r="N26" i="54"/>
  <c r="O26" i="54"/>
  <c r="P26" i="54"/>
  <c r="Q26" i="54"/>
  <c r="I27" i="54"/>
  <c r="J27" i="54"/>
  <c r="K27" i="54"/>
  <c r="L27" i="54"/>
  <c r="M27" i="54"/>
  <c r="N27" i="54"/>
  <c r="O27" i="54"/>
  <c r="P27" i="54"/>
  <c r="Q27" i="54"/>
  <c r="J28" i="54"/>
  <c r="N28" i="54"/>
  <c r="I29" i="54"/>
  <c r="J29" i="54"/>
  <c r="K29" i="54"/>
  <c r="L29" i="54"/>
  <c r="M29" i="54"/>
  <c r="N29" i="54"/>
  <c r="O29" i="54"/>
  <c r="P29" i="54"/>
  <c r="Q29" i="54"/>
  <c r="I30" i="54"/>
  <c r="J30" i="54"/>
  <c r="K30" i="54"/>
  <c r="L30" i="54"/>
  <c r="M30" i="54"/>
  <c r="N30" i="54"/>
  <c r="O30" i="54"/>
  <c r="P30" i="54"/>
  <c r="Q30" i="54"/>
  <c r="I31" i="54"/>
  <c r="J31" i="54"/>
  <c r="K31" i="54"/>
  <c r="L31" i="54"/>
  <c r="M31" i="54"/>
  <c r="N31" i="54"/>
  <c r="O31" i="54"/>
  <c r="P31" i="54"/>
  <c r="Q31" i="54"/>
  <c r="I32" i="54"/>
  <c r="J32" i="54"/>
  <c r="K32" i="54"/>
  <c r="L32" i="54"/>
  <c r="M32" i="54"/>
  <c r="N32" i="54"/>
  <c r="O32" i="54"/>
  <c r="P32" i="54"/>
  <c r="Q32" i="54"/>
  <c r="L11" i="53"/>
  <c r="P12" i="53"/>
  <c r="P13" i="53"/>
  <c r="I14" i="53"/>
  <c r="I11" i="53"/>
  <c r="J14" i="53"/>
  <c r="J11" i="53"/>
  <c r="K14" i="53"/>
  <c r="K11" i="53"/>
  <c r="L14" i="53"/>
  <c r="M14" i="53"/>
  <c r="M11" i="53"/>
  <c r="N14" i="53"/>
  <c r="N11" i="53" s="1"/>
  <c r="N10" i="53" s="1"/>
  <c r="N34" i="53" s="1"/>
  <c r="O14" i="53"/>
  <c r="O11" i="53"/>
  <c r="P15" i="53"/>
  <c r="P16" i="53"/>
  <c r="P17" i="53"/>
  <c r="P18" i="53"/>
  <c r="I19" i="53"/>
  <c r="J19" i="53"/>
  <c r="K19" i="53"/>
  <c r="L19" i="53"/>
  <c r="M19" i="53"/>
  <c r="N19" i="53"/>
  <c r="O19" i="53"/>
  <c r="P20" i="53"/>
  <c r="P21" i="53"/>
  <c r="I22" i="53"/>
  <c r="J22" i="53"/>
  <c r="K22" i="53"/>
  <c r="L22" i="53"/>
  <c r="M22" i="53"/>
  <c r="N22" i="53"/>
  <c r="O22" i="53"/>
  <c r="P23" i="53"/>
  <c r="P24" i="53"/>
  <c r="P25" i="53"/>
  <c r="O26" i="53"/>
  <c r="P27" i="53"/>
  <c r="P28" i="53"/>
  <c r="J29" i="53"/>
  <c r="J26" i="53"/>
  <c r="K29" i="53"/>
  <c r="L29" i="53"/>
  <c r="L26" i="53"/>
  <c r="M29" i="53"/>
  <c r="M26" i="53" s="1"/>
  <c r="N29" i="53"/>
  <c r="N26" i="53"/>
  <c r="O29" i="53"/>
  <c r="P30" i="53"/>
  <c r="P31" i="53"/>
  <c r="P32" i="53"/>
  <c r="P33" i="53"/>
  <c r="I36" i="53"/>
  <c r="J36" i="53"/>
  <c r="K36" i="53"/>
  <c r="L36" i="53"/>
  <c r="M36" i="53"/>
  <c r="N36" i="53"/>
  <c r="O36" i="53"/>
  <c r="P37" i="53"/>
  <c r="P38" i="53"/>
  <c r="P39" i="53"/>
  <c r="I40" i="53"/>
  <c r="N40" i="53"/>
  <c r="P41" i="53"/>
  <c r="I42" i="53"/>
  <c r="J42" i="53"/>
  <c r="J40" i="53" s="1"/>
  <c r="K42" i="53"/>
  <c r="L42" i="53"/>
  <c r="L40" i="53" s="1"/>
  <c r="M42" i="53"/>
  <c r="M40" i="53" s="1"/>
  <c r="N42" i="53"/>
  <c r="O42" i="53"/>
  <c r="O40" i="53"/>
  <c r="P43" i="53"/>
  <c r="P44" i="53"/>
  <c r="P45" i="53"/>
  <c r="P46" i="53"/>
  <c r="P47" i="53"/>
  <c r="P48" i="53"/>
  <c r="P49" i="53"/>
  <c r="P51" i="53"/>
  <c r="P52" i="53"/>
  <c r="I53" i="53"/>
  <c r="I50" i="53"/>
  <c r="J53" i="53"/>
  <c r="J50" i="53" s="1"/>
  <c r="K53" i="53"/>
  <c r="K50" i="53"/>
  <c r="L53" i="53"/>
  <c r="L50" i="53" s="1"/>
  <c r="M53" i="53"/>
  <c r="M50" i="53"/>
  <c r="N53" i="53"/>
  <c r="N50" i="53" s="1"/>
  <c r="O53" i="53"/>
  <c r="O50" i="53"/>
  <c r="P54" i="53"/>
  <c r="P55" i="53"/>
  <c r="K56" i="53"/>
  <c r="N56" i="53"/>
  <c r="O56" i="53"/>
  <c r="P57" i="53"/>
  <c r="P58" i="53"/>
  <c r="I59" i="53"/>
  <c r="J59" i="53"/>
  <c r="J56" i="53" s="1"/>
  <c r="K59" i="53"/>
  <c r="L59" i="53"/>
  <c r="L56" i="53"/>
  <c r="M59" i="53"/>
  <c r="M56" i="53" s="1"/>
  <c r="N59" i="53"/>
  <c r="O59" i="53"/>
  <c r="P60" i="53"/>
  <c r="P61" i="53"/>
  <c r="I13" i="78"/>
  <c r="J13" i="78"/>
  <c r="K13" i="78"/>
  <c r="L13" i="78"/>
  <c r="L10" i="78"/>
  <c r="M13" i="78"/>
  <c r="N13" i="78"/>
  <c r="O13" i="78"/>
  <c r="P13" i="78"/>
  <c r="Q13" i="78"/>
  <c r="Q12" i="78" s="1"/>
  <c r="R13" i="78"/>
  <c r="S13" i="78"/>
  <c r="T14" i="78"/>
  <c r="T15" i="78"/>
  <c r="T16" i="78"/>
  <c r="T17" i="78"/>
  <c r="T18" i="78"/>
  <c r="T19" i="78"/>
  <c r="T20" i="78"/>
  <c r="T21" i="78"/>
  <c r="T22" i="78"/>
  <c r="T23" i="78"/>
  <c r="T24" i="78"/>
  <c r="T25" i="78"/>
  <c r="T26" i="78"/>
  <c r="T27" i="78"/>
  <c r="T28" i="78"/>
  <c r="T29" i="78"/>
  <c r="T30" i="78"/>
  <c r="T31" i="78"/>
  <c r="T32" i="78"/>
  <c r="T33" i="78"/>
  <c r="K35" i="78"/>
  <c r="N35" i="78"/>
  <c r="O35" i="78"/>
  <c r="R35" i="78"/>
  <c r="T37" i="78"/>
  <c r="T42" i="78"/>
  <c r="T43" i="78"/>
  <c r="T44" i="78"/>
  <c r="T45" i="78"/>
  <c r="R13" i="77"/>
  <c r="R14" i="77"/>
  <c r="R15" i="77"/>
  <c r="R16" i="77"/>
  <c r="R17" i="77"/>
  <c r="R18" i="77"/>
  <c r="R19" i="77"/>
  <c r="R20" i="77"/>
  <c r="R21" i="77"/>
  <c r="R22" i="77"/>
  <c r="R23" i="77"/>
  <c r="R24" i="77"/>
  <c r="R25" i="77"/>
  <c r="R26" i="77"/>
  <c r="R27" i="77"/>
  <c r="R28" i="77"/>
  <c r="R29" i="77"/>
  <c r="R30" i="77"/>
  <c r="R31" i="77"/>
  <c r="R32" i="77"/>
  <c r="R33" i="77"/>
  <c r="K35" i="77"/>
  <c r="K12" i="77"/>
  <c r="K10" i="77" s="1"/>
  <c r="L35" i="77"/>
  <c r="N35" i="77"/>
  <c r="N12" i="77"/>
  <c r="N10" i="77" s="1"/>
  <c r="O12" i="77"/>
  <c r="O10" i="77" s="1"/>
  <c r="R37" i="77"/>
  <c r="R42" i="77"/>
  <c r="R43" i="77"/>
  <c r="R44" i="77"/>
  <c r="R45" i="77"/>
  <c r="P12" i="71"/>
  <c r="X12" i="71"/>
  <c r="AF12" i="71"/>
  <c r="P13" i="71"/>
  <c r="X13" i="71"/>
  <c r="AF13" i="71"/>
  <c r="I14" i="71"/>
  <c r="I11" i="71"/>
  <c r="J14" i="71"/>
  <c r="J11" i="71" s="1"/>
  <c r="K14" i="71"/>
  <c r="K11" i="71"/>
  <c r="L14" i="71"/>
  <c r="L11" i="71" s="1"/>
  <c r="M14" i="71"/>
  <c r="M11" i="71"/>
  <c r="N14" i="71"/>
  <c r="N11" i="71" s="1"/>
  <c r="N10" i="71" s="1"/>
  <c r="O14" i="71"/>
  <c r="Q14" i="71"/>
  <c r="Q11" i="71"/>
  <c r="R14" i="71"/>
  <c r="R11" i="71" s="1"/>
  <c r="S14" i="71"/>
  <c r="S11" i="71"/>
  <c r="T14" i="71"/>
  <c r="T11" i="71" s="1"/>
  <c r="U14" i="71"/>
  <c r="U11" i="71"/>
  <c r="V14" i="71"/>
  <c r="V11" i="71" s="1"/>
  <c r="V10" i="71" s="1"/>
  <c r="V27" i="71" s="1"/>
  <c r="W14" i="71"/>
  <c r="W11" i="71" s="1"/>
  <c r="Y14" i="71"/>
  <c r="Y11" i="71"/>
  <c r="Z14" i="71"/>
  <c r="Z11" i="71"/>
  <c r="AA14" i="71"/>
  <c r="AA11" i="71"/>
  <c r="AA10" i="71" s="1"/>
  <c r="AA27" i="71" s="1"/>
  <c r="AB14" i="71"/>
  <c r="AB11" i="71"/>
  <c r="AC14" i="71"/>
  <c r="AC11" i="71"/>
  <c r="AD14" i="71"/>
  <c r="AD11" i="71"/>
  <c r="AE14" i="71"/>
  <c r="P15" i="71"/>
  <c r="X15" i="71"/>
  <c r="AF15" i="71"/>
  <c r="P16" i="71"/>
  <c r="X16" i="71"/>
  <c r="AF16" i="71"/>
  <c r="P17" i="71"/>
  <c r="X17" i="71"/>
  <c r="AF17" i="71"/>
  <c r="I18" i="71"/>
  <c r="J18" i="71"/>
  <c r="K18" i="71"/>
  <c r="L18" i="71"/>
  <c r="M18" i="71"/>
  <c r="N18" i="71"/>
  <c r="O18" i="71"/>
  <c r="Q18" i="71"/>
  <c r="R18" i="71"/>
  <c r="S18" i="71"/>
  <c r="T18" i="71"/>
  <c r="U18" i="71"/>
  <c r="V18" i="71"/>
  <c r="W18" i="71"/>
  <c r="X18" i="71"/>
  <c r="Y18" i="71"/>
  <c r="Z18" i="71"/>
  <c r="AA18" i="71"/>
  <c r="AB18" i="71"/>
  <c r="AC18" i="71"/>
  <c r="AD18" i="71"/>
  <c r="AE18" i="71"/>
  <c r="AF18" i="71"/>
  <c r="P19" i="71"/>
  <c r="X19" i="71"/>
  <c r="AF19" i="71"/>
  <c r="P20" i="71"/>
  <c r="X20" i="71"/>
  <c r="AF20" i="71"/>
  <c r="P21" i="71"/>
  <c r="X21" i="71"/>
  <c r="AF21" i="71"/>
  <c r="L22" i="71"/>
  <c r="M22" i="71"/>
  <c r="P22" i="71" s="1"/>
  <c r="N22" i="71"/>
  <c r="O22" i="71"/>
  <c r="T22" i="71"/>
  <c r="U22" i="71"/>
  <c r="V22" i="71"/>
  <c r="W22" i="71"/>
  <c r="AB22" i="71"/>
  <c r="AC22" i="71"/>
  <c r="AF22" i="71" s="1"/>
  <c r="AD22" i="71"/>
  <c r="AE22" i="71"/>
  <c r="P23" i="71"/>
  <c r="X23" i="71"/>
  <c r="AF23" i="71"/>
  <c r="P24" i="71"/>
  <c r="X24" i="71"/>
  <c r="AF24" i="71"/>
  <c r="P25" i="71"/>
  <c r="X25" i="71"/>
  <c r="AF25" i="71"/>
  <c r="P26" i="71"/>
  <c r="X26" i="71"/>
  <c r="AF26" i="71"/>
  <c r="AU47" i="75"/>
  <c r="AV11" i="75"/>
  <c r="AV10" i="75" s="1"/>
  <c r="AV47" i="75" s="1"/>
  <c r="K12" i="75"/>
  <c r="W12" i="75"/>
  <c r="Z12" i="75"/>
  <c r="AU12" i="75"/>
  <c r="AU11" i="75" s="1"/>
  <c r="AU10" i="75" s="1"/>
  <c r="AV12" i="75"/>
  <c r="AY13" i="75"/>
  <c r="AY14" i="75"/>
  <c r="I15" i="75"/>
  <c r="I12" i="75"/>
  <c r="J15" i="75"/>
  <c r="J12" i="75" s="1"/>
  <c r="J11" i="75" s="1"/>
  <c r="J10" i="75" s="1"/>
  <c r="J47" i="75" s="1"/>
  <c r="K15" i="75"/>
  <c r="L15" i="75"/>
  <c r="L12" i="75" s="1"/>
  <c r="L11" i="75" s="1"/>
  <c r="L10" i="75" s="1"/>
  <c r="L47" i="75" s="1"/>
  <c r="M15" i="75"/>
  <c r="M12" i="75" s="1"/>
  <c r="N15" i="75"/>
  <c r="N12" i="75"/>
  <c r="N11" i="75"/>
  <c r="N10" i="75" s="1"/>
  <c r="N47" i="75" s="1"/>
  <c r="O15" i="75"/>
  <c r="O12" i="75"/>
  <c r="P15" i="75"/>
  <c r="P12" i="75" s="1"/>
  <c r="Q15" i="75"/>
  <c r="Q12" i="75" s="1"/>
  <c r="R15" i="75"/>
  <c r="R12" i="75" s="1"/>
  <c r="R11" i="75" s="1"/>
  <c r="R10" i="75" s="1"/>
  <c r="R47" i="75" s="1"/>
  <c r="S15" i="75"/>
  <c r="S12" i="75" s="1"/>
  <c r="T15" i="75"/>
  <c r="T12" i="75" s="1"/>
  <c r="U15" i="75"/>
  <c r="U12" i="75" s="1"/>
  <c r="V15" i="75"/>
  <c r="V12" i="75" s="1"/>
  <c r="W15" i="75"/>
  <c r="X15" i="75"/>
  <c r="Y15" i="75"/>
  <c r="Y12" i="75"/>
  <c r="Z15" i="75"/>
  <c r="AA15" i="75"/>
  <c r="AA12" i="75" s="1"/>
  <c r="AB15" i="75"/>
  <c r="AB12" i="75"/>
  <c r="AC15" i="75"/>
  <c r="AC12" i="75" s="1"/>
  <c r="AD15" i="75"/>
  <c r="AD12" i="75" s="1"/>
  <c r="AD11" i="75" s="1"/>
  <c r="AD10" i="75" s="1"/>
  <c r="AD47" i="75" s="1"/>
  <c r="AE15" i="75"/>
  <c r="AE12" i="75" s="1"/>
  <c r="AF15" i="75"/>
  <c r="AF12" i="75" s="1"/>
  <c r="AG15" i="75"/>
  <c r="AG12" i="75" s="1"/>
  <c r="AH15" i="75"/>
  <c r="AH12" i="75"/>
  <c r="AH11" i="75" s="1"/>
  <c r="AH10" i="75" s="1"/>
  <c r="AH47" i="75" s="1"/>
  <c r="AI15" i="75"/>
  <c r="AI12" i="75" s="1"/>
  <c r="AJ15" i="75"/>
  <c r="AJ12" i="75"/>
  <c r="AJ11" i="75"/>
  <c r="AJ10" i="75" s="1"/>
  <c r="AJ47" i="75" s="1"/>
  <c r="AK15" i="75"/>
  <c r="AK12" i="75" s="1"/>
  <c r="AK11" i="75" s="1"/>
  <c r="AK10" i="75" s="1"/>
  <c r="AK47" i="75" s="1"/>
  <c r="AL15" i="75"/>
  <c r="AL12" i="75" s="1"/>
  <c r="AL11" i="75" s="1"/>
  <c r="AL10" i="75"/>
  <c r="AL47" i="75" s="1"/>
  <c r="AM15" i="75"/>
  <c r="AM12" i="75" s="1"/>
  <c r="AM11" i="75"/>
  <c r="AM10" i="75"/>
  <c r="AM47" i="75" s="1"/>
  <c r="AN15" i="75"/>
  <c r="AN12" i="75"/>
  <c r="AO15" i="75"/>
  <c r="AO12" i="75" s="1"/>
  <c r="AP15" i="75"/>
  <c r="AP12" i="75" s="1"/>
  <c r="AQ15" i="75"/>
  <c r="AQ12" i="75"/>
  <c r="AQ11" i="75"/>
  <c r="AQ10" i="75" s="1"/>
  <c r="AQ47" i="75" s="1"/>
  <c r="AR15" i="75"/>
  <c r="AS15" i="75"/>
  <c r="AS12" i="75" s="1"/>
  <c r="AT15" i="75"/>
  <c r="AT12" i="75" s="1"/>
  <c r="AT11" i="75"/>
  <c r="AT10" i="75"/>
  <c r="AT47" i="75" s="1"/>
  <c r="AY16" i="75"/>
  <c r="AY17" i="75"/>
  <c r="AY15" i="75"/>
  <c r="AY18" i="75"/>
  <c r="I19" i="75"/>
  <c r="J19" i="75"/>
  <c r="M19" i="75"/>
  <c r="N19" i="75"/>
  <c r="O19" i="75"/>
  <c r="P19" i="75"/>
  <c r="Q19" i="75"/>
  <c r="R19" i="75"/>
  <c r="S19" i="75"/>
  <c r="T19" i="75"/>
  <c r="U19" i="75"/>
  <c r="V19" i="75"/>
  <c r="Y19" i="75"/>
  <c r="Z19" i="75"/>
  <c r="AA19" i="75"/>
  <c r="AB19" i="75"/>
  <c r="AC19" i="75"/>
  <c r="AD19" i="75"/>
  <c r="AE19" i="75"/>
  <c r="AF19" i="75"/>
  <c r="AG19" i="75"/>
  <c r="AH19" i="75"/>
  <c r="AI19" i="75"/>
  <c r="AJ19" i="75"/>
  <c r="AK19" i="75"/>
  <c r="AL19" i="75"/>
  <c r="AY20" i="75"/>
  <c r="AY21" i="75"/>
  <c r="I25" i="75"/>
  <c r="J25" i="75"/>
  <c r="K25" i="75"/>
  <c r="L25" i="75"/>
  <c r="M25" i="75"/>
  <c r="N25" i="75"/>
  <c r="O25" i="75"/>
  <c r="P25" i="75"/>
  <c r="L25" i="79" s="1"/>
  <c r="Q25" i="75"/>
  <c r="R25" i="75"/>
  <c r="S25" i="75"/>
  <c r="T25" i="75"/>
  <c r="U25" i="75"/>
  <c r="V25" i="75"/>
  <c r="W25" i="75"/>
  <c r="X25" i="75"/>
  <c r="Y25" i="75"/>
  <c r="Z25" i="75"/>
  <c r="AA25" i="75"/>
  <c r="AB25" i="75"/>
  <c r="AC25" i="75"/>
  <c r="AD25" i="75"/>
  <c r="AE25" i="75"/>
  <c r="AF25" i="75"/>
  <c r="AG25" i="75"/>
  <c r="AH25" i="75"/>
  <c r="AI25" i="75"/>
  <c r="AJ25" i="75"/>
  <c r="AM25" i="75"/>
  <c r="AN25" i="75"/>
  <c r="AO25" i="75"/>
  <c r="AP25" i="75"/>
  <c r="AP11" i="75" s="1"/>
  <c r="AP10" i="75" s="1"/>
  <c r="AP47" i="75" s="1"/>
  <c r="AQ25" i="75"/>
  <c r="AR25" i="75"/>
  <c r="AS25" i="75"/>
  <c r="AT25" i="75"/>
  <c r="AY26" i="75"/>
  <c r="AY27" i="75"/>
  <c r="AY28" i="75"/>
  <c r="I29" i="75"/>
  <c r="J29" i="75"/>
  <c r="K29" i="75"/>
  <c r="L29" i="75"/>
  <c r="M29" i="75"/>
  <c r="N29" i="75"/>
  <c r="O29" i="75"/>
  <c r="P29" i="75"/>
  <c r="Q29" i="75"/>
  <c r="R29" i="75"/>
  <c r="S29" i="75"/>
  <c r="T29" i="75"/>
  <c r="U29" i="75"/>
  <c r="V29" i="75"/>
  <c r="W29" i="75"/>
  <c r="X29" i="75"/>
  <c r="Y29" i="75"/>
  <c r="Z29" i="75"/>
  <c r="AA29" i="75"/>
  <c r="AB29" i="75"/>
  <c r="AC29" i="75"/>
  <c r="AD29" i="75"/>
  <c r="AE29" i="75"/>
  <c r="AF29" i="75"/>
  <c r="AG29" i="75"/>
  <c r="AH29" i="75"/>
  <c r="AI29" i="75"/>
  <c r="AI11" i="75" s="1"/>
  <c r="AI10" i="75" s="1"/>
  <c r="AI47" i="75" s="1"/>
  <c r="AJ29" i="75"/>
  <c r="AM29" i="75"/>
  <c r="AN29" i="75"/>
  <c r="AO29" i="75"/>
  <c r="AP29" i="75"/>
  <c r="AQ29" i="75"/>
  <c r="AR29" i="75"/>
  <c r="AS29" i="75"/>
  <c r="AS11" i="75" s="1"/>
  <c r="AS10" i="75" s="1"/>
  <c r="AS47" i="75" s="1"/>
  <c r="AT29" i="75"/>
  <c r="AY30" i="75"/>
  <c r="AY29" i="75" s="1"/>
  <c r="AY31" i="75"/>
  <c r="AY32" i="75"/>
  <c r="AY33" i="75"/>
  <c r="AY42" i="75"/>
  <c r="AY49" i="75"/>
  <c r="AY50" i="75"/>
  <c r="AY51" i="75"/>
  <c r="AY52" i="75"/>
  <c r="AY53" i="75"/>
  <c r="AY54" i="75"/>
  <c r="AU11" i="74"/>
  <c r="AU10" i="74" s="1"/>
  <c r="AU47" i="74" s="1"/>
  <c r="K12" i="74"/>
  <c r="O11" i="74"/>
  <c r="O10" i="74"/>
  <c r="O47" i="74" s="1"/>
  <c r="S12" i="74"/>
  <c r="S11" i="74" s="1"/>
  <c r="S10" i="74" s="1"/>
  <c r="S47" i="74" s="1"/>
  <c r="W12" i="74"/>
  <c r="W11" i="74" s="1"/>
  <c r="W10" i="74" s="1"/>
  <c r="W47" i="74" s="1"/>
  <c r="AQ12" i="74"/>
  <c r="AR12" i="74"/>
  <c r="AR11" i="74" s="1"/>
  <c r="AR10" i="74" s="1"/>
  <c r="AR47" i="74" s="1"/>
  <c r="AU12" i="74"/>
  <c r="AV12" i="74"/>
  <c r="AV11" i="74"/>
  <c r="AY13" i="74"/>
  <c r="AY14" i="74"/>
  <c r="I15" i="74"/>
  <c r="I12" i="74"/>
  <c r="J15" i="74"/>
  <c r="J12" i="74" s="1"/>
  <c r="J11" i="74" s="1"/>
  <c r="J10" i="74" s="1"/>
  <c r="J47" i="74" s="1"/>
  <c r="K15" i="74"/>
  <c r="L15" i="74"/>
  <c r="L12" i="74" s="1"/>
  <c r="M15" i="74"/>
  <c r="M12" i="74" s="1"/>
  <c r="N15" i="74"/>
  <c r="N12" i="74"/>
  <c r="N11" i="74" s="1"/>
  <c r="N10" i="74" s="1"/>
  <c r="N47" i="74" s="1"/>
  <c r="O15" i="74"/>
  <c r="O12" i="74" s="1"/>
  <c r="P15" i="74"/>
  <c r="P12" i="74" s="1"/>
  <c r="Q15" i="74"/>
  <c r="Q12" i="74"/>
  <c r="R15" i="74"/>
  <c r="R12" i="74"/>
  <c r="R11" i="74"/>
  <c r="R10" i="74" s="1"/>
  <c r="R47" i="74" s="1"/>
  <c r="S15" i="74"/>
  <c r="T15" i="74"/>
  <c r="T12" i="74" s="1"/>
  <c r="U15" i="74"/>
  <c r="U12" i="74" s="1"/>
  <c r="V15" i="74"/>
  <c r="V12" i="74" s="1"/>
  <c r="V11" i="74" s="1"/>
  <c r="V10" i="74" s="1"/>
  <c r="V47" i="74" s="1"/>
  <c r="W15" i="74"/>
  <c r="X15" i="74"/>
  <c r="X12" i="74" s="1"/>
  <c r="Y15" i="74"/>
  <c r="Y12" i="74"/>
  <c r="Z15" i="74"/>
  <c r="Z12" i="74" s="1"/>
  <c r="Z11" i="74" s="1"/>
  <c r="Z10" i="74" s="1"/>
  <c r="AA15" i="74"/>
  <c r="AA12" i="74" s="1"/>
  <c r="AB15" i="74"/>
  <c r="AB12" i="74" s="1"/>
  <c r="AB11" i="74" s="1"/>
  <c r="AB10" i="74" s="1"/>
  <c r="AB47" i="74" s="1"/>
  <c r="AC15" i="74"/>
  <c r="AC12" i="74" s="1"/>
  <c r="AD15" i="74"/>
  <c r="AD12" i="74"/>
  <c r="AE15" i="74"/>
  <c r="AE12" i="74" s="1"/>
  <c r="AF15" i="74"/>
  <c r="AF12" i="74"/>
  <c r="AG15" i="74"/>
  <c r="AG12" i="74" s="1"/>
  <c r="AH15" i="74"/>
  <c r="AH12" i="74" s="1"/>
  <c r="AI15" i="74"/>
  <c r="AI12" i="74"/>
  <c r="AJ15" i="74"/>
  <c r="AJ12" i="74" s="1"/>
  <c r="AK15" i="74"/>
  <c r="AK12" i="74" s="1"/>
  <c r="AK11" i="74"/>
  <c r="AK10" i="74" s="1"/>
  <c r="AK47" i="74" s="1"/>
  <c r="AL15" i="74"/>
  <c r="AL12" i="74"/>
  <c r="AL11" i="74"/>
  <c r="AL10" i="74" s="1"/>
  <c r="AL47" i="74" s="1"/>
  <c r="AM15" i="74"/>
  <c r="AM12" i="74" s="1"/>
  <c r="AN15" i="74"/>
  <c r="AN12" i="74" s="1"/>
  <c r="AN11" i="74" s="1"/>
  <c r="AO15" i="74"/>
  <c r="AO12" i="74" s="1"/>
  <c r="AO11" i="74" s="1"/>
  <c r="AO10" i="74" s="1"/>
  <c r="AO47" i="74" s="1"/>
  <c r="AP15" i="74"/>
  <c r="AP12" i="74" s="1"/>
  <c r="AQ15" i="74"/>
  <c r="AR15" i="74"/>
  <c r="AS15" i="74"/>
  <c r="AS12" i="74" s="1"/>
  <c r="AS11" i="74" s="1"/>
  <c r="AS10" i="74" s="1"/>
  <c r="AS47" i="74" s="1"/>
  <c r="AT15" i="74"/>
  <c r="AT12" i="74"/>
  <c r="AT11" i="74" s="1"/>
  <c r="AT10" i="74" s="1"/>
  <c r="AT47" i="74" s="1"/>
  <c r="AY16" i="74"/>
  <c r="AY17" i="74"/>
  <c r="AY18" i="74"/>
  <c r="I19" i="74"/>
  <c r="J19" i="74"/>
  <c r="M19" i="74"/>
  <c r="N19" i="74"/>
  <c r="O19" i="74"/>
  <c r="P19" i="74"/>
  <c r="Q19" i="74"/>
  <c r="R19" i="74"/>
  <c r="S19" i="74"/>
  <c r="T19" i="74"/>
  <c r="U19" i="74"/>
  <c r="V19" i="74"/>
  <c r="Y19" i="74"/>
  <c r="Z19" i="74"/>
  <c r="AA19" i="74"/>
  <c r="AB19" i="74"/>
  <c r="AC19" i="74"/>
  <c r="AD19" i="74"/>
  <c r="AE19" i="74"/>
  <c r="AF19" i="74"/>
  <c r="AG19" i="74"/>
  <c r="AH19" i="74"/>
  <c r="AI19" i="74"/>
  <c r="AJ19" i="74"/>
  <c r="AK19" i="74"/>
  <c r="AL19" i="74"/>
  <c r="AY20" i="74"/>
  <c r="AY21"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I25" i="74"/>
  <c r="AJ25" i="74"/>
  <c r="AM25" i="74"/>
  <c r="AN25" i="74"/>
  <c r="AO25" i="74"/>
  <c r="AP25" i="74"/>
  <c r="AQ25" i="74"/>
  <c r="AR25" i="74"/>
  <c r="AS25" i="74"/>
  <c r="AT25" i="74"/>
  <c r="AY26" i="74"/>
  <c r="AY27" i="74"/>
  <c r="AY28" i="74"/>
  <c r="I29" i="74"/>
  <c r="J29" i="74"/>
  <c r="K29" i="74"/>
  <c r="K11" i="74"/>
  <c r="K10" i="74" s="1"/>
  <c r="K47" i="74" s="1"/>
  <c r="L29" i="74"/>
  <c r="M29" i="74"/>
  <c r="N29" i="74"/>
  <c r="O29" i="74"/>
  <c r="P29" i="74"/>
  <c r="Q29" i="74"/>
  <c r="R29" i="74"/>
  <c r="S29" i="74"/>
  <c r="T29" i="74"/>
  <c r="U29" i="74"/>
  <c r="V29" i="74"/>
  <c r="W29" i="74"/>
  <c r="X29" i="74"/>
  <c r="Y29" i="74"/>
  <c r="Z29" i="74"/>
  <c r="AA29" i="74"/>
  <c r="AA11" i="74"/>
  <c r="AA10" i="74" s="1"/>
  <c r="AA47" i="74" s="1"/>
  <c r="AB29" i="74"/>
  <c r="AC29" i="74"/>
  <c r="AD29" i="74"/>
  <c r="AE29" i="74"/>
  <c r="AF29" i="74"/>
  <c r="AG29" i="74"/>
  <c r="AH29" i="74"/>
  <c r="AI29" i="74"/>
  <c r="AJ29" i="74"/>
  <c r="AM29" i="74"/>
  <c r="AN29" i="74"/>
  <c r="X29" i="79" s="1"/>
  <c r="AO29" i="74"/>
  <c r="AP29" i="74"/>
  <c r="AQ29" i="74"/>
  <c r="AR29" i="74"/>
  <c r="AS29" i="74"/>
  <c r="AT29" i="74"/>
  <c r="AY30" i="74"/>
  <c r="AY29" i="74" s="1"/>
  <c r="AY31" i="74"/>
  <c r="AY32" i="74"/>
  <c r="AY33" i="74"/>
  <c r="AY34" i="74"/>
  <c r="AY42" i="74"/>
  <c r="AY49" i="74"/>
  <c r="AY50" i="74"/>
  <c r="AY51" i="74"/>
  <c r="AD51" i="79" s="1"/>
  <c r="AY52" i="74"/>
  <c r="AY53" i="74"/>
  <c r="AY54" i="74"/>
  <c r="AB11" i="73"/>
  <c r="AB11" i="79" s="1"/>
  <c r="U12" i="73"/>
  <c r="AB12" i="73"/>
  <c r="AD13" i="73"/>
  <c r="AD14" i="73"/>
  <c r="AD14" i="79" s="1"/>
  <c r="I15" i="73"/>
  <c r="J15" i="73"/>
  <c r="K15" i="73"/>
  <c r="L15" i="73"/>
  <c r="L12" i="73" s="1"/>
  <c r="L15" i="79"/>
  <c r="M15" i="73"/>
  <c r="M12" i="73" s="1"/>
  <c r="N15" i="73"/>
  <c r="O15" i="73"/>
  <c r="P15" i="73"/>
  <c r="Q15" i="73"/>
  <c r="R15" i="73"/>
  <c r="S15" i="73"/>
  <c r="S15" i="79"/>
  <c r="T15" i="73"/>
  <c r="U15" i="73"/>
  <c r="U15" i="79"/>
  <c r="V15" i="73"/>
  <c r="V12" i="73" s="1"/>
  <c r="W15" i="73"/>
  <c r="W12" i="73" s="1"/>
  <c r="W11" i="73" s="1"/>
  <c r="X15" i="73"/>
  <c r="Y15" i="73"/>
  <c r="Y15" i="79" s="1"/>
  <c r="Z15" i="73"/>
  <c r="AA15" i="73"/>
  <c r="AA15" i="79" s="1"/>
  <c r="AD16" i="73"/>
  <c r="AD16" i="79"/>
  <c r="AD17" i="73"/>
  <c r="AD18" i="73"/>
  <c r="AD18" i="79" s="1"/>
  <c r="I19" i="73"/>
  <c r="K19" i="73"/>
  <c r="K19" i="79" s="1"/>
  <c r="L19" i="73"/>
  <c r="L19" i="79"/>
  <c r="M19" i="73"/>
  <c r="N19" i="73"/>
  <c r="O19" i="73"/>
  <c r="O19" i="79"/>
  <c r="Q19" i="73"/>
  <c r="Q19" i="79" s="1"/>
  <c r="R19" i="73"/>
  <c r="S19" i="73"/>
  <c r="T19" i="73"/>
  <c r="T19" i="79" s="1"/>
  <c r="U19" i="73"/>
  <c r="U19" i="79"/>
  <c r="V19" i="73"/>
  <c r="W19" i="73"/>
  <c r="AD20" i="73"/>
  <c r="AD19" i="73" s="1"/>
  <c r="AD20" i="79"/>
  <c r="AD21" i="73"/>
  <c r="I25" i="73"/>
  <c r="I25" i="79"/>
  <c r="J25" i="73"/>
  <c r="K25" i="73"/>
  <c r="L25" i="73"/>
  <c r="M25" i="73"/>
  <c r="M25" i="79" s="1"/>
  <c r="N25" i="73"/>
  <c r="O25" i="73"/>
  <c r="P25" i="73"/>
  <c r="Q25" i="73"/>
  <c r="R25" i="73"/>
  <c r="S25" i="73"/>
  <c r="T25" i="73"/>
  <c r="U25" i="73"/>
  <c r="U25" i="79" s="1"/>
  <c r="V25" i="73"/>
  <c r="X25" i="73"/>
  <c r="Y25" i="73"/>
  <c r="Z25" i="73"/>
  <c r="AA25" i="73"/>
  <c r="AD26" i="73"/>
  <c r="AD27" i="73"/>
  <c r="AD28" i="73"/>
  <c r="I29" i="73"/>
  <c r="I29" i="79"/>
  <c r="J29" i="73"/>
  <c r="K29" i="73"/>
  <c r="K29" i="79" s="1"/>
  <c r="L29" i="73"/>
  <c r="M29" i="73"/>
  <c r="M29" i="79" s="1"/>
  <c r="N29" i="73"/>
  <c r="O29" i="73"/>
  <c r="P29" i="73"/>
  <c r="P29" i="79"/>
  <c r="Q29" i="73"/>
  <c r="Q29" i="79" s="1"/>
  <c r="R29" i="73"/>
  <c r="R29" i="79"/>
  <c r="S29" i="73"/>
  <c r="S29" i="79" s="1"/>
  <c r="T29" i="73"/>
  <c r="T29" i="79" s="1"/>
  <c r="U29" i="73"/>
  <c r="U29" i="79"/>
  <c r="V29" i="73"/>
  <c r="V29" i="79" s="1"/>
  <c r="X29" i="73"/>
  <c r="Y29" i="73"/>
  <c r="Z29" i="73"/>
  <c r="Z29" i="79" s="1"/>
  <c r="AA29" i="73"/>
  <c r="AA29" i="79" s="1"/>
  <c r="AD30" i="73"/>
  <c r="AD31" i="73"/>
  <c r="AD32" i="73"/>
  <c r="AD32" i="79" s="1"/>
  <c r="AD33" i="73"/>
  <c r="AD42" i="73"/>
  <c r="AD42" i="79" s="1"/>
  <c r="AD49" i="73"/>
  <c r="AD50" i="73"/>
  <c r="AD50" i="79"/>
  <c r="AD51" i="73"/>
  <c r="AD52" i="73"/>
  <c r="AD53" i="73"/>
  <c r="AD54" i="73"/>
  <c r="AD54" i="79"/>
  <c r="O11" i="67"/>
  <c r="S12" i="67"/>
  <c r="T12" i="67"/>
  <c r="S13" i="67"/>
  <c r="T13" i="67"/>
  <c r="I14" i="67"/>
  <c r="I11" i="67" s="1"/>
  <c r="J14" i="67"/>
  <c r="K14" i="67"/>
  <c r="K11" i="67" s="1"/>
  <c r="L14" i="67"/>
  <c r="L11" i="67"/>
  <c r="M14" i="67"/>
  <c r="N14" i="67"/>
  <c r="N11" i="67" s="1"/>
  <c r="N10" i="67" s="1"/>
  <c r="O14" i="67"/>
  <c r="P14" i="67"/>
  <c r="P11" i="67" s="1"/>
  <c r="Q14" i="67"/>
  <c r="Q11" i="67"/>
  <c r="Q10" i="67" s="1"/>
  <c r="R14" i="67"/>
  <c r="R11" i="67"/>
  <c r="U14" i="67"/>
  <c r="U11" i="67" s="1"/>
  <c r="U10" i="67" s="1"/>
  <c r="U45" i="67" s="1"/>
  <c r="V14" i="67"/>
  <c r="V11" i="67"/>
  <c r="V10" i="67" s="1"/>
  <c r="W14" i="67"/>
  <c r="W11" i="67" s="1"/>
  <c r="X14" i="67"/>
  <c r="X11" i="67"/>
  <c r="X10" i="67" s="1"/>
  <c r="S15" i="67"/>
  <c r="T15" i="67"/>
  <c r="S16" i="67"/>
  <c r="T16" i="67"/>
  <c r="S17" i="67"/>
  <c r="T17" i="67"/>
  <c r="I18" i="67"/>
  <c r="J18" i="67"/>
  <c r="K18" i="67"/>
  <c r="L18" i="67"/>
  <c r="M18" i="67"/>
  <c r="N18" i="67"/>
  <c r="O18" i="67"/>
  <c r="P18" i="67"/>
  <c r="Q18" i="67"/>
  <c r="R18" i="67"/>
  <c r="T18" i="67"/>
  <c r="U18" i="67"/>
  <c r="V18" i="67"/>
  <c r="W18" i="67"/>
  <c r="X18" i="67"/>
  <c r="S19" i="67"/>
  <c r="T19" i="67"/>
  <c r="S20" i="67"/>
  <c r="T20" i="67"/>
  <c r="I24" i="67"/>
  <c r="J24" i="67"/>
  <c r="K24" i="67"/>
  <c r="L24" i="67"/>
  <c r="M24" i="67"/>
  <c r="N24" i="67"/>
  <c r="O24" i="67"/>
  <c r="P24" i="67"/>
  <c r="Q24" i="67"/>
  <c r="R24" i="67"/>
  <c r="R10" i="67" s="1"/>
  <c r="R45" i="67" s="1"/>
  <c r="U24" i="67"/>
  <c r="V24" i="67"/>
  <c r="W24" i="67"/>
  <c r="X24" i="67"/>
  <c r="S25" i="67"/>
  <c r="T25" i="67"/>
  <c r="S26" i="67"/>
  <c r="T26" i="67"/>
  <c r="S27" i="67"/>
  <c r="T27" i="67"/>
  <c r="I28" i="67"/>
  <c r="J28" i="67"/>
  <c r="K28" i="67"/>
  <c r="L28" i="67"/>
  <c r="M28" i="67"/>
  <c r="N28" i="67"/>
  <c r="O28" i="67"/>
  <c r="P28" i="67"/>
  <c r="Q28" i="67"/>
  <c r="R28" i="67"/>
  <c r="U28" i="67"/>
  <c r="V28" i="67"/>
  <c r="W28" i="67"/>
  <c r="X28" i="67"/>
  <c r="S29" i="67"/>
  <c r="T29" i="67"/>
  <c r="S30" i="67"/>
  <c r="T30" i="67"/>
  <c r="S31" i="67"/>
  <c r="T31" i="67"/>
  <c r="S33" i="67"/>
  <c r="T33" i="67"/>
  <c r="S38" i="67"/>
  <c r="T38" i="67"/>
  <c r="S39" i="67"/>
  <c r="T39" i="67"/>
  <c r="I40" i="67"/>
  <c r="J40" i="67"/>
  <c r="K40" i="67"/>
  <c r="L40" i="67"/>
  <c r="M40" i="67"/>
  <c r="N40" i="67"/>
  <c r="O40" i="67"/>
  <c r="P40" i="67"/>
  <c r="Q40" i="67"/>
  <c r="R40" i="67"/>
  <c r="U40" i="67"/>
  <c r="V40" i="67"/>
  <c r="W40" i="67"/>
  <c r="X40" i="67"/>
  <c r="S41" i="67"/>
  <c r="T41" i="67"/>
  <c r="N41" i="63" s="1"/>
  <c r="S42" i="67"/>
  <c r="T42" i="67"/>
  <c r="S43" i="67"/>
  <c r="T43" i="67"/>
  <c r="S44" i="67"/>
  <c r="T44" i="67"/>
  <c r="U11" i="66"/>
  <c r="U10" i="66" s="1"/>
  <c r="S12" i="66"/>
  <c r="T12" i="66"/>
  <c r="S13" i="66"/>
  <c r="T13" i="66"/>
  <c r="I14" i="66"/>
  <c r="I11" i="66" s="1"/>
  <c r="J14" i="66"/>
  <c r="K14" i="66"/>
  <c r="K11" i="66" s="1"/>
  <c r="K10" i="66" s="1"/>
  <c r="K45" i="66" s="1"/>
  <c r="L14" i="66"/>
  <c r="L11" i="66" s="1"/>
  <c r="M14" i="66"/>
  <c r="M11" i="66" s="1"/>
  <c r="N14" i="66"/>
  <c r="N11" i="66" s="1"/>
  <c r="N10" i="66" s="1"/>
  <c r="N45" i="66"/>
  <c r="O14" i="66"/>
  <c r="O11" i="66" s="1"/>
  <c r="P14" i="66"/>
  <c r="P11" i="66" s="1"/>
  <c r="Q14" i="66"/>
  <c r="Q11" i="66" s="1"/>
  <c r="R14" i="66"/>
  <c r="R11" i="66" s="1"/>
  <c r="U14" i="66"/>
  <c r="V14" i="66"/>
  <c r="W14" i="66"/>
  <c r="W11" i="66" s="1"/>
  <c r="W10" i="66" s="1"/>
  <c r="X14" i="66"/>
  <c r="X11" i="66"/>
  <c r="X10" i="66" s="1"/>
  <c r="S15" i="66"/>
  <c r="T15" i="66"/>
  <c r="S16" i="66"/>
  <c r="T16" i="66"/>
  <c r="S17" i="66"/>
  <c r="T17" i="66"/>
  <c r="I18" i="66"/>
  <c r="J18" i="66"/>
  <c r="K18" i="66"/>
  <c r="L18" i="66"/>
  <c r="M18" i="66"/>
  <c r="N18" i="66"/>
  <c r="O18" i="66"/>
  <c r="P18" i="66"/>
  <c r="Q18" i="66"/>
  <c r="R18" i="66"/>
  <c r="S18" i="66"/>
  <c r="T18" i="66"/>
  <c r="U18" i="66"/>
  <c r="V18" i="66"/>
  <c r="W18" i="66"/>
  <c r="X18" i="66"/>
  <c r="P18" i="63" s="1"/>
  <c r="S19" i="66"/>
  <c r="T19" i="66"/>
  <c r="S20" i="66"/>
  <c r="T20" i="66"/>
  <c r="I24" i="66"/>
  <c r="J24" i="66"/>
  <c r="K24" i="66"/>
  <c r="L24" i="66"/>
  <c r="M24" i="66"/>
  <c r="N24" i="66"/>
  <c r="O24" i="66"/>
  <c r="P24" i="66"/>
  <c r="Q24" i="66"/>
  <c r="R24" i="66"/>
  <c r="S24" i="66"/>
  <c r="T24" i="66"/>
  <c r="U24" i="66"/>
  <c r="V24" i="66"/>
  <c r="W24" i="66"/>
  <c r="X24" i="66"/>
  <c r="S25" i="66"/>
  <c r="T25" i="66"/>
  <c r="S26" i="66"/>
  <c r="T26" i="66"/>
  <c r="S27" i="66"/>
  <c r="T27" i="66"/>
  <c r="I28" i="66"/>
  <c r="J28" i="66"/>
  <c r="K28" i="66"/>
  <c r="L28" i="66"/>
  <c r="M28" i="66"/>
  <c r="N28" i="66"/>
  <c r="O28" i="66"/>
  <c r="P28" i="66"/>
  <c r="Q28" i="66"/>
  <c r="R28" i="66"/>
  <c r="U28" i="66"/>
  <c r="V28" i="66"/>
  <c r="W28" i="66"/>
  <c r="X28" i="66"/>
  <c r="S29" i="66"/>
  <c r="T29" i="66"/>
  <c r="S30" i="66"/>
  <c r="T30" i="66"/>
  <c r="S31" i="66"/>
  <c r="T31" i="66"/>
  <c r="S33" i="66"/>
  <c r="T33" i="66"/>
  <c r="S38" i="66"/>
  <c r="T38" i="66"/>
  <c r="S39" i="66"/>
  <c r="T39" i="66"/>
  <c r="I40" i="66"/>
  <c r="J40" i="66"/>
  <c r="K40" i="66"/>
  <c r="L40" i="66"/>
  <c r="M40" i="66"/>
  <c r="N40" i="66"/>
  <c r="O40" i="66"/>
  <c r="P40" i="66"/>
  <c r="Q40" i="66"/>
  <c r="R40" i="66"/>
  <c r="U40" i="66"/>
  <c r="U45" i="66" s="1"/>
  <c r="V40" i="66"/>
  <c r="W40" i="66"/>
  <c r="X40" i="66"/>
  <c r="X45" i="66" s="1"/>
  <c r="S41" i="66"/>
  <c r="T41" i="66"/>
  <c r="S42" i="66"/>
  <c r="T42" i="66"/>
  <c r="N42" i="63" s="1"/>
  <c r="S43" i="66"/>
  <c r="T43" i="66"/>
  <c r="N43" i="63"/>
  <c r="S44" i="66"/>
  <c r="T44" i="66"/>
  <c r="M10" i="65"/>
  <c r="M45" i="65" s="1"/>
  <c r="S12" i="65"/>
  <c r="T12" i="65"/>
  <c r="N12" i="63"/>
  <c r="S13" i="65"/>
  <c r="T13" i="65"/>
  <c r="I14" i="65"/>
  <c r="J14" i="65"/>
  <c r="J11" i="65" s="1"/>
  <c r="K14" i="65"/>
  <c r="K11" i="65"/>
  <c r="L14" i="65"/>
  <c r="L11" i="65" s="1"/>
  <c r="M14" i="65"/>
  <c r="M11" i="65" s="1"/>
  <c r="N14" i="65"/>
  <c r="N11" i="65"/>
  <c r="O14" i="65"/>
  <c r="O11" i="65" s="1"/>
  <c r="P14" i="65"/>
  <c r="P11" i="65"/>
  <c r="L11" i="63" s="1"/>
  <c r="Q14" i="65"/>
  <c r="Q11" i="65" s="1"/>
  <c r="Q10" i="65" s="1"/>
  <c r="Q45" i="65" s="1"/>
  <c r="R14" i="65"/>
  <c r="R11" i="65" s="1"/>
  <c r="U14" i="65"/>
  <c r="U11" i="65" s="1"/>
  <c r="U10" i="65" s="1"/>
  <c r="U45" i="65" s="1"/>
  <c r="V14" i="65"/>
  <c r="V11" i="65" s="1"/>
  <c r="W14" i="65"/>
  <c r="W11" i="65"/>
  <c r="X14" i="65"/>
  <c r="S15" i="65"/>
  <c r="T15" i="65"/>
  <c r="S16" i="65"/>
  <c r="T16" i="65"/>
  <c r="S17" i="65"/>
  <c r="T17" i="65"/>
  <c r="I18" i="65"/>
  <c r="J18" i="65"/>
  <c r="K18" i="65"/>
  <c r="L18" i="65"/>
  <c r="M18" i="65"/>
  <c r="N18" i="65"/>
  <c r="O18" i="65"/>
  <c r="P18" i="65"/>
  <c r="Q18" i="65"/>
  <c r="R18" i="65"/>
  <c r="S18" i="65"/>
  <c r="U18" i="65"/>
  <c r="V18" i="65"/>
  <c r="W18" i="65"/>
  <c r="X18" i="65"/>
  <c r="S19" i="65"/>
  <c r="T19" i="65"/>
  <c r="N19" i="63" s="1"/>
  <c r="S20" i="65"/>
  <c r="T20" i="65"/>
  <c r="I24" i="65"/>
  <c r="J24" i="65"/>
  <c r="K24" i="65"/>
  <c r="L24" i="65"/>
  <c r="M24" i="65"/>
  <c r="N24" i="65"/>
  <c r="O24" i="65"/>
  <c r="P24" i="65"/>
  <c r="Q24" i="65"/>
  <c r="R24" i="65"/>
  <c r="M24" i="63" s="1"/>
  <c r="S24" i="65"/>
  <c r="U24" i="65"/>
  <c r="V24" i="65"/>
  <c r="O24" i="63" s="1"/>
  <c r="W24" i="65"/>
  <c r="X24" i="65"/>
  <c r="S25" i="65"/>
  <c r="T25" i="65"/>
  <c r="N25" i="63" s="1"/>
  <c r="S26" i="65"/>
  <c r="T26" i="65"/>
  <c r="S27" i="65"/>
  <c r="T27" i="65"/>
  <c r="I28" i="65"/>
  <c r="J28" i="65"/>
  <c r="K28" i="65"/>
  <c r="L28" i="65"/>
  <c r="J28" i="63" s="1"/>
  <c r="M28" i="65"/>
  <c r="N28" i="65"/>
  <c r="O28" i="65"/>
  <c r="P28" i="65"/>
  <c r="L28" i="63" s="1"/>
  <c r="Q28" i="65"/>
  <c r="R28" i="65"/>
  <c r="U28" i="65"/>
  <c r="V28" i="65"/>
  <c r="O28" i="63" s="1"/>
  <c r="W28" i="65"/>
  <c r="X28" i="65"/>
  <c r="S29" i="65"/>
  <c r="T29" i="65"/>
  <c r="S30" i="65"/>
  <c r="T30" i="65"/>
  <c r="S31" i="65"/>
  <c r="T31" i="65"/>
  <c r="S32" i="65"/>
  <c r="T32" i="65"/>
  <c r="S33" i="65"/>
  <c r="T33" i="65"/>
  <c r="S38" i="65"/>
  <c r="T38" i="65"/>
  <c r="S39" i="65"/>
  <c r="T39" i="65"/>
  <c r="N12" i="64"/>
  <c r="N13" i="64"/>
  <c r="I14" i="64"/>
  <c r="J14" i="64"/>
  <c r="J14" i="63" s="1"/>
  <c r="K14" i="64"/>
  <c r="K11" i="64" s="1"/>
  <c r="L14" i="64"/>
  <c r="L11" i="64"/>
  <c r="M14" i="64"/>
  <c r="O14" i="64"/>
  <c r="O11" i="64" s="1"/>
  <c r="P14" i="64"/>
  <c r="P11" i="64"/>
  <c r="N15" i="64"/>
  <c r="N16" i="64"/>
  <c r="N16" i="63"/>
  <c r="N17" i="64"/>
  <c r="I18" i="64"/>
  <c r="J18" i="64"/>
  <c r="J18" i="63"/>
  <c r="K18" i="64"/>
  <c r="L18" i="64"/>
  <c r="M18" i="64"/>
  <c r="M18" i="63"/>
  <c r="O18" i="64"/>
  <c r="P18" i="64"/>
  <c r="N19" i="64"/>
  <c r="N20" i="64"/>
  <c r="I24" i="64"/>
  <c r="J24" i="64"/>
  <c r="K24" i="64"/>
  <c r="L24" i="64"/>
  <c r="L24" i="63" s="1"/>
  <c r="M24" i="64"/>
  <c r="O24" i="64"/>
  <c r="P24" i="64"/>
  <c r="N25" i="64"/>
  <c r="N26" i="64"/>
  <c r="N27" i="64"/>
  <c r="I28" i="64"/>
  <c r="J28" i="64"/>
  <c r="K28" i="64"/>
  <c r="L28" i="64"/>
  <c r="M28" i="64"/>
  <c r="M28" i="63" s="1"/>
  <c r="O28" i="64"/>
  <c r="P28" i="64"/>
  <c r="P28" i="63" s="1"/>
  <c r="N29" i="64"/>
  <c r="N30" i="64"/>
  <c r="N31" i="64"/>
  <c r="N33" i="64"/>
  <c r="N38" i="64"/>
  <c r="N39" i="64"/>
  <c r="N39" i="63" s="1"/>
  <c r="I40" i="64"/>
  <c r="J40" i="64"/>
  <c r="K40" i="64"/>
  <c r="L40" i="64"/>
  <c r="L40" i="63" s="1"/>
  <c r="M40" i="64"/>
  <c r="O40" i="64"/>
  <c r="O40" i="63"/>
  <c r="P40" i="64"/>
  <c r="P40" i="63" s="1"/>
  <c r="N44" i="64"/>
  <c r="N44" i="63" s="1"/>
  <c r="I12" i="63"/>
  <c r="J12" i="63"/>
  <c r="K12" i="63"/>
  <c r="L12" i="63"/>
  <c r="M12" i="63"/>
  <c r="O12" i="63"/>
  <c r="P12" i="63"/>
  <c r="I13" i="63"/>
  <c r="J13" i="63"/>
  <c r="K13" i="63"/>
  <c r="L13" i="63"/>
  <c r="M13" i="63"/>
  <c r="O13" i="63"/>
  <c r="P13" i="63"/>
  <c r="L14" i="63"/>
  <c r="I15" i="63"/>
  <c r="J15" i="63"/>
  <c r="K15" i="63"/>
  <c r="L15" i="63"/>
  <c r="M15" i="63"/>
  <c r="O15" i="63"/>
  <c r="P15" i="63"/>
  <c r="I16" i="63"/>
  <c r="J16" i="63"/>
  <c r="K16" i="63"/>
  <c r="L16" i="63"/>
  <c r="M16" i="63"/>
  <c r="O16" i="63"/>
  <c r="P16" i="63"/>
  <c r="I17" i="63"/>
  <c r="J17" i="63"/>
  <c r="K17" i="63"/>
  <c r="L17" i="63"/>
  <c r="M17" i="63"/>
  <c r="O17" i="63"/>
  <c r="P17" i="63"/>
  <c r="K18" i="63"/>
  <c r="L18" i="63"/>
  <c r="I19" i="63"/>
  <c r="J19" i="63"/>
  <c r="K19" i="63"/>
  <c r="L19" i="63"/>
  <c r="M19" i="63"/>
  <c r="O19" i="63"/>
  <c r="P19" i="63"/>
  <c r="I20" i="63"/>
  <c r="J20" i="63"/>
  <c r="K20" i="63"/>
  <c r="L20" i="63"/>
  <c r="M20" i="63"/>
  <c r="O20" i="63"/>
  <c r="P20" i="63"/>
  <c r="I21" i="63"/>
  <c r="J21" i="63"/>
  <c r="L21" i="63"/>
  <c r="M21" i="63"/>
  <c r="O21" i="63"/>
  <c r="I25" i="63"/>
  <c r="J25" i="63"/>
  <c r="K25" i="63"/>
  <c r="L25" i="63"/>
  <c r="M25" i="63"/>
  <c r="O25" i="63"/>
  <c r="P25" i="63"/>
  <c r="I26" i="63"/>
  <c r="J26" i="63"/>
  <c r="K26" i="63"/>
  <c r="L26" i="63"/>
  <c r="M26" i="63"/>
  <c r="O26" i="63"/>
  <c r="P26" i="63"/>
  <c r="I27" i="63"/>
  <c r="J27" i="63"/>
  <c r="K27" i="63"/>
  <c r="L27" i="63"/>
  <c r="M27" i="63"/>
  <c r="O27" i="63"/>
  <c r="P27" i="63"/>
  <c r="K28" i="63"/>
  <c r="I29" i="63"/>
  <c r="J29" i="63"/>
  <c r="K29" i="63"/>
  <c r="L29" i="63"/>
  <c r="M29" i="63"/>
  <c r="O29" i="63"/>
  <c r="P29" i="63"/>
  <c r="I30" i="63"/>
  <c r="J30" i="63"/>
  <c r="K30" i="63"/>
  <c r="L30" i="63"/>
  <c r="M30" i="63"/>
  <c r="O30" i="63"/>
  <c r="P30" i="63"/>
  <c r="I31" i="63"/>
  <c r="J31" i="63"/>
  <c r="K31" i="63"/>
  <c r="L31" i="63"/>
  <c r="M31" i="63"/>
  <c r="O31" i="63"/>
  <c r="P31" i="63"/>
  <c r="L32" i="63"/>
  <c r="M32" i="63"/>
  <c r="I33" i="63"/>
  <c r="J33" i="63"/>
  <c r="K33" i="63"/>
  <c r="L33" i="63"/>
  <c r="M33" i="63"/>
  <c r="O33" i="63"/>
  <c r="P33" i="63"/>
  <c r="I38" i="63"/>
  <c r="J38" i="63"/>
  <c r="K38" i="63"/>
  <c r="L38" i="63"/>
  <c r="M38" i="63"/>
  <c r="O38" i="63"/>
  <c r="P38" i="63"/>
  <c r="I39" i="63"/>
  <c r="J39" i="63"/>
  <c r="K39" i="63"/>
  <c r="L39" i="63"/>
  <c r="M39" i="63"/>
  <c r="O39" i="63"/>
  <c r="P39" i="63"/>
  <c r="I41" i="63"/>
  <c r="J41" i="63"/>
  <c r="K41" i="63"/>
  <c r="L41" i="63"/>
  <c r="M41" i="63"/>
  <c r="O41" i="63"/>
  <c r="P41" i="63"/>
  <c r="I42" i="63"/>
  <c r="J42" i="63"/>
  <c r="K42" i="63"/>
  <c r="L42" i="63"/>
  <c r="M42" i="63"/>
  <c r="O42" i="63"/>
  <c r="P42" i="63"/>
  <c r="I43" i="63"/>
  <c r="J43" i="63"/>
  <c r="K43" i="63"/>
  <c r="L43" i="63"/>
  <c r="M43" i="63"/>
  <c r="O43" i="63"/>
  <c r="P43" i="63"/>
  <c r="I44" i="63"/>
  <c r="J44" i="63"/>
  <c r="K44" i="63"/>
  <c r="L44" i="63"/>
  <c r="M44" i="63"/>
  <c r="O44" i="63"/>
  <c r="P44" i="63"/>
  <c r="J11" i="40"/>
  <c r="N11" i="40"/>
  <c r="Q12" i="40"/>
  <c r="U12" i="40" s="1"/>
  <c r="R12" i="40"/>
  <c r="V12" i="40"/>
  <c r="Q13" i="40"/>
  <c r="U13" i="40" s="1"/>
  <c r="R13" i="40"/>
  <c r="V13" i="40" s="1"/>
  <c r="I14" i="40"/>
  <c r="I11" i="40"/>
  <c r="J14" i="40"/>
  <c r="K14" i="40"/>
  <c r="K11" i="40" s="1"/>
  <c r="L14" i="40"/>
  <c r="M14" i="40"/>
  <c r="M11" i="40" s="1"/>
  <c r="N14" i="40"/>
  <c r="O14" i="40"/>
  <c r="O11" i="40" s="1"/>
  <c r="P14" i="40"/>
  <c r="P11" i="40" s="1"/>
  <c r="P10" i="40"/>
  <c r="P45" i="40" s="1"/>
  <c r="S14" i="40"/>
  <c r="S11" i="40" s="1"/>
  <c r="T14" i="40"/>
  <c r="T11" i="40" s="1"/>
  <c r="Q15" i="40"/>
  <c r="R15" i="40"/>
  <c r="V15" i="40" s="1"/>
  <c r="U15" i="40"/>
  <c r="Q16" i="40"/>
  <c r="U16" i="40" s="1"/>
  <c r="R16" i="40"/>
  <c r="V16" i="40" s="1"/>
  <c r="Q17" i="40"/>
  <c r="U17" i="40" s="1"/>
  <c r="R17" i="40"/>
  <c r="V17" i="40" s="1"/>
  <c r="I18" i="40"/>
  <c r="J18" i="40"/>
  <c r="K18" i="40"/>
  <c r="L18" i="40"/>
  <c r="M18" i="40"/>
  <c r="N18" i="40"/>
  <c r="O18" i="40"/>
  <c r="P18" i="40"/>
  <c r="S18" i="40"/>
  <c r="T18" i="40"/>
  <c r="Q19" i="40"/>
  <c r="U19" i="40"/>
  <c r="R19" i="40"/>
  <c r="V19" i="40" s="1"/>
  <c r="Q20" i="40"/>
  <c r="U20" i="40"/>
  <c r="R20" i="40"/>
  <c r="V20" i="40" s="1"/>
  <c r="I24" i="40"/>
  <c r="J24" i="40"/>
  <c r="K24" i="40"/>
  <c r="L24" i="40"/>
  <c r="M24" i="40"/>
  <c r="N24" i="40"/>
  <c r="O24" i="40"/>
  <c r="P24" i="40"/>
  <c r="S24" i="40"/>
  <c r="T24" i="40"/>
  <c r="Q25" i="40"/>
  <c r="R25" i="40"/>
  <c r="V25" i="40" s="1"/>
  <c r="U25" i="40"/>
  <c r="Q26" i="40"/>
  <c r="U26" i="40" s="1"/>
  <c r="R26" i="40"/>
  <c r="V26" i="40" s="1"/>
  <c r="Q27" i="40"/>
  <c r="U27" i="40" s="1"/>
  <c r="R27" i="40"/>
  <c r="V27" i="40" s="1"/>
  <c r="I28" i="40"/>
  <c r="J28" i="40"/>
  <c r="K28" i="40"/>
  <c r="L28" i="40"/>
  <c r="M28" i="40"/>
  <c r="N28" i="40"/>
  <c r="O28" i="40"/>
  <c r="P28" i="40"/>
  <c r="S28" i="40"/>
  <c r="T28" i="40"/>
  <c r="Q29" i="40"/>
  <c r="U29" i="40" s="1"/>
  <c r="R29" i="40"/>
  <c r="V29" i="40"/>
  <c r="Q30" i="40"/>
  <c r="U30" i="40" s="1"/>
  <c r="R30" i="40"/>
  <c r="V30" i="40"/>
  <c r="Q31" i="40"/>
  <c r="U31" i="40" s="1"/>
  <c r="R31" i="40"/>
  <c r="V31" i="40" s="1"/>
  <c r="Q32" i="40"/>
  <c r="U32" i="40" s="1"/>
  <c r="R32" i="40"/>
  <c r="V32" i="40"/>
  <c r="Q33" i="40"/>
  <c r="U33" i="40" s="1"/>
  <c r="R33" i="40"/>
  <c r="V33" i="40"/>
  <c r="Q38" i="40"/>
  <c r="U38" i="40" s="1"/>
  <c r="R38" i="40"/>
  <c r="V38" i="40"/>
  <c r="Q39" i="40"/>
  <c r="U39" i="40" s="1"/>
  <c r="R39" i="40"/>
  <c r="V39" i="40" s="1"/>
  <c r="I40" i="40"/>
  <c r="J40" i="40"/>
  <c r="K40" i="40"/>
  <c r="L40" i="40"/>
  <c r="M40" i="40"/>
  <c r="N40" i="40"/>
  <c r="O40" i="40"/>
  <c r="P40" i="40"/>
  <c r="S40" i="40"/>
  <c r="T40" i="40"/>
  <c r="Q41" i="40"/>
  <c r="R41" i="40"/>
  <c r="V41" i="40"/>
  <c r="U41" i="40"/>
  <c r="Q42" i="40"/>
  <c r="R42" i="40"/>
  <c r="V42" i="40"/>
  <c r="U42" i="40"/>
  <c r="Q43" i="40"/>
  <c r="R43" i="40"/>
  <c r="V43" i="40"/>
  <c r="U43" i="40"/>
  <c r="Q44" i="40"/>
  <c r="R44" i="40"/>
  <c r="V44" i="40"/>
  <c r="U44" i="40"/>
  <c r="Q47" i="40"/>
  <c r="U47" i="40" s="1"/>
  <c r="R47" i="40"/>
  <c r="V47" i="40"/>
  <c r="Q48" i="40"/>
  <c r="U48" i="40" s="1"/>
  <c r="R48" i="40"/>
  <c r="V48" i="40"/>
  <c r="J11" i="10"/>
  <c r="S11" i="10"/>
  <c r="Q12" i="10"/>
  <c r="U12" i="10" s="1"/>
  <c r="R12" i="10"/>
  <c r="V12" i="10"/>
  <c r="Q13" i="10"/>
  <c r="U13" i="10" s="1"/>
  <c r="R13" i="10"/>
  <c r="V13" i="10"/>
  <c r="I14" i="10"/>
  <c r="I11" i="10" s="1"/>
  <c r="J14" i="10"/>
  <c r="K14" i="10"/>
  <c r="K11" i="10" s="1"/>
  <c r="L14" i="10"/>
  <c r="M14" i="10"/>
  <c r="M11" i="10" s="1"/>
  <c r="N14" i="10"/>
  <c r="N11" i="10" s="1"/>
  <c r="O14" i="10"/>
  <c r="P14" i="10"/>
  <c r="S14" i="10"/>
  <c r="T14" i="10"/>
  <c r="T11" i="10" s="1"/>
  <c r="Q15" i="10"/>
  <c r="U15" i="10" s="1"/>
  <c r="R15" i="10"/>
  <c r="V15" i="10" s="1"/>
  <c r="Q16" i="10"/>
  <c r="U16" i="10" s="1"/>
  <c r="R16" i="10"/>
  <c r="V16" i="10" s="1"/>
  <c r="Q17" i="10"/>
  <c r="R17" i="10"/>
  <c r="V17" i="10" s="1"/>
  <c r="U17" i="10"/>
  <c r="I18" i="10"/>
  <c r="J18" i="10"/>
  <c r="K18" i="10"/>
  <c r="L18" i="10"/>
  <c r="M18" i="10"/>
  <c r="N18" i="10"/>
  <c r="O18" i="10"/>
  <c r="Q18" i="10" s="1"/>
  <c r="P18" i="10"/>
  <c r="S18" i="10"/>
  <c r="T18" i="10"/>
  <c r="N18" i="7" s="1"/>
  <c r="Q19" i="10"/>
  <c r="U19" i="10" s="1"/>
  <c r="R19" i="10"/>
  <c r="V19" i="10"/>
  <c r="Q20" i="10"/>
  <c r="U20" i="10" s="1"/>
  <c r="R20" i="10"/>
  <c r="V20" i="10" s="1"/>
  <c r="I24" i="10"/>
  <c r="J24" i="10"/>
  <c r="K24" i="10"/>
  <c r="L24" i="10"/>
  <c r="M24" i="10"/>
  <c r="N24" i="10"/>
  <c r="O24" i="10"/>
  <c r="Q24" i="10" s="1"/>
  <c r="U24" i="10" s="1"/>
  <c r="P24" i="10"/>
  <c r="S24" i="10"/>
  <c r="T24" i="10"/>
  <c r="Q25" i="10"/>
  <c r="R25" i="10"/>
  <c r="V25" i="10" s="1"/>
  <c r="U25" i="10"/>
  <c r="Q26" i="10"/>
  <c r="R26" i="10"/>
  <c r="V26" i="10" s="1"/>
  <c r="U26" i="10"/>
  <c r="Q27" i="10"/>
  <c r="U27" i="10" s="1"/>
  <c r="R27" i="10"/>
  <c r="I28" i="10"/>
  <c r="J28" i="10"/>
  <c r="K28" i="10"/>
  <c r="L28" i="10"/>
  <c r="M28" i="10"/>
  <c r="N28" i="10"/>
  <c r="O28" i="10"/>
  <c r="Q28" i="10" s="1"/>
  <c r="U28" i="10" s="1"/>
  <c r="P28" i="10"/>
  <c r="S28" i="10"/>
  <c r="T28" i="10"/>
  <c r="Q29" i="10"/>
  <c r="U29" i="10"/>
  <c r="R29" i="10"/>
  <c r="V29" i="10" s="1"/>
  <c r="Q30" i="10"/>
  <c r="U30" i="10" s="1"/>
  <c r="R30" i="10"/>
  <c r="V30" i="10" s="1"/>
  <c r="Q31" i="10"/>
  <c r="U31" i="10"/>
  <c r="R31" i="10"/>
  <c r="V31" i="10" s="1"/>
  <c r="R32" i="10"/>
  <c r="V32" i="10"/>
  <c r="Q33" i="10"/>
  <c r="U33" i="10" s="1"/>
  <c r="R33" i="10"/>
  <c r="V33" i="10"/>
  <c r="Q38" i="10"/>
  <c r="U38" i="10" s="1"/>
  <c r="R38" i="10"/>
  <c r="V38" i="10" s="1"/>
  <c r="Q39" i="10"/>
  <c r="U39" i="10" s="1"/>
  <c r="R39" i="10"/>
  <c r="V39" i="10"/>
  <c r="I40" i="10"/>
  <c r="J40" i="10"/>
  <c r="K40" i="10"/>
  <c r="L40" i="10"/>
  <c r="J40" i="7" s="1"/>
  <c r="M40" i="10"/>
  <c r="N40" i="10"/>
  <c r="O40" i="10"/>
  <c r="Q40" i="10" s="1"/>
  <c r="U40" i="10" s="1"/>
  <c r="P40" i="10"/>
  <c r="S40" i="10"/>
  <c r="T40" i="10"/>
  <c r="Q41" i="10"/>
  <c r="R41" i="10"/>
  <c r="U41" i="10"/>
  <c r="Q42" i="10"/>
  <c r="R42" i="10"/>
  <c r="V42" i="10" s="1"/>
  <c r="U42" i="10"/>
  <c r="Q43" i="10"/>
  <c r="U43" i="10" s="1"/>
  <c r="R43" i="10"/>
  <c r="Q44" i="10"/>
  <c r="U44" i="10" s="1"/>
  <c r="R44" i="10"/>
  <c r="Q47" i="10"/>
  <c r="U47" i="10"/>
  <c r="R47" i="10"/>
  <c r="V47" i="10" s="1"/>
  <c r="Q48" i="10"/>
  <c r="U48" i="10"/>
  <c r="R48" i="10"/>
  <c r="V48" i="10" s="1"/>
  <c r="Q12" i="9"/>
  <c r="U12" i="9"/>
  <c r="R12" i="9"/>
  <c r="V12" i="9" s="1"/>
  <c r="Q13" i="9"/>
  <c r="U13" i="9"/>
  <c r="R13" i="9"/>
  <c r="I14" i="9"/>
  <c r="I11" i="9"/>
  <c r="J14" i="9"/>
  <c r="J11" i="9" s="1"/>
  <c r="J10" i="9" s="1"/>
  <c r="J45" i="9" s="1"/>
  <c r="K14" i="9"/>
  <c r="L14" i="9"/>
  <c r="L11" i="9" s="1"/>
  <c r="M14" i="9"/>
  <c r="M11" i="9"/>
  <c r="N14" i="9"/>
  <c r="N11" i="9" s="1"/>
  <c r="O14" i="9"/>
  <c r="O11" i="9"/>
  <c r="P14" i="9"/>
  <c r="S14" i="9"/>
  <c r="S11" i="9" s="1"/>
  <c r="S10" i="9" s="1"/>
  <c r="T14" i="9"/>
  <c r="Q15" i="9"/>
  <c r="U15" i="9"/>
  <c r="R15" i="9"/>
  <c r="V15" i="9" s="1"/>
  <c r="Q16" i="9"/>
  <c r="U16" i="9"/>
  <c r="R16" i="9"/>
  <c r="V16" i="9"/>
  <c r="Q17" i="9"/>
  <c r="U17" i="9" s="1"/>
  <c r="R17" i="9"/>
  <c r="V17" i="9"/>
  <c r="I18" i="9"/>
  <c r="J18" i="9"/>
  <c r="K18" i="9"/>
  <c r="L18" i="9"/>
  <c r="L10" i="9" s="1"/>
  <c r="L45" i="9" s="1"/>
  <c r="M18" i="9"/>
  <c r="N18" i="9"/>
  <c r="O18" i="9"/>
  <c r="P18" i="9"/>
  <c r="Q18" i="9"/>
  <c r="S18" i="9"/>
  <c r="T18" i="9"/>
  <c r="U18" i="9"/>
  <c r="Q19" i="9"/>
  <c r="R19" i="9"/>
  <c r="V19" i="9" s="1"/>
  <c r="U19" i="9"/>
  <c r="Q20" i="9"/>
  <c r="U20" i="9" s="1"/>
  <c r="R20" i="9"/>
  <c r="V20" i="9" s="1"/>
  <c r="I24" i="9"/>
  <c r="J24" i="9"/>
  <c r="K24" i="9"/>
  <c r="L24" i="9"/>
  <c r="M24" i="9"/>
  <c r="N24" i="9"/>
  <c r="O24" i="9"/>
  <c r="P24" i="9"/>
  <c r="S24" i="9"/>
  <c r="T24" i="9"/>
  <c r="Q25" i="9"/>
  <c r="U25" i="9" s="1"/>
  <c r="R25" i="9"/>
  <c r="V25" i="9"/>
  <c r="Q26" i="9"/>
  <c r="U26" i="9" s="1"/>
  <c r="R26" i="9"/>
  <c r="V26" i="9"/>
  <c r="Q27" i="9"/>
  <c r="U27" i="9" s="1"/>
  <c r="R27" i="9"/>
  <c r="V27" i="9"/>
  <c r="I28" i="9"/>
  <c r="J28" i="9"/>
  <c r="K28" i="9"/>
  <c r="L28" i="9"/>
  <c r="M28" i="9"/>
  <c r="N28" i="9"/>
  <c r="O28" i="9"/>
  <c r="P28" i="9"/>
  <c r="R28" i="9"/>
  <c r="V28" i="9" s="1"/>
  <c r="S28" i="9"/>
  <c r="T28" i="9"/>
  <c r="Q29" i="9"/>
  <c r="R29" i="9"/>
  <c r="V29" i="9" s="1"/>
  <c r="O29" i="7" s="1"/>
  <c r="U29" i="9"/>
  <c r="Q30" i="9"/>
  <c r="R30" i="9"/>
  <c r="U30" i="9"/>
  <c r="Q31" i="9"/>
  <c r="R31" i="9"/>
  <c r="V31" i="9"/>
  <c r="O31" i="7" s="1"/>
  <c r="U31" i="9"/>
  <c r="Q33" i="9"/>
  <c r="R33" i="9"/>
  <c r="V33" i="9"/>
  <c r="U33" i="9"/>
  <c r="Q38" i="9"/>
  <c r="R38" i="9"/>
  <c r="U38" i="9"/>
  <c r="Q39" i="9"/>
  <c r="R39" i="9"/>
  <c r="V39" i="9" s="1"/>
  <c r="U39" i="9"/>
  <c r="Q47" i="9"/>
  <c r="U47" i="9" s="1"/>
  <c r="R47" i="9"/>
  <c r="Q48" i="9"/>
  <c r="R48" i="9"/>
  <c r="V48" i="9" s="1"/>
  <c r="U48" i="9"/>
  <c r="I11" i="8"/>
  <c r="J11" i="8"/>
  <c r="N11" i="8"/>
  <c r="M12" i="8"/>
  <c r="M13" i="8"/>
  <c r="O13" i="8"/>
  <c r="I14" i="8"/>
  <c r="J14" i="8"/>
  <c r="K14" i="8"/>
  <c r="L14" i="8"/>
  <c r="N14" i="8"/>
  <c r="M15" i="8"/>
  <c r="M16" i="8"/>
  <c r="M16" i="7" s="1"/>
  <c r="O16" i="8"/>
  <c r="M17" i="8"/>
  <c r="I18" i="8"/>
  <c r="J18" i="8"/>
  <c r="K18" i="8"/>
  <c r="L18" i="8"/>
  <c r="N18" i="8"/>
  <c r="M19" i="8"/>
  <c r="O19" i="8" s="1"/>
  <c r="O19" i="7" s="1"/>
  <c r="M20" i="8"/>
  <c r="I24" i="8"/>
  <c r="J24" i="8"/>
  <c r="K24" i="8"/>
  <c r="K24" i="7" s="1"/>
  <c r="L24" i="8"/>
  <c r="N24" i="8"/>
  <c r="M25" i="8"/>
  <c r="O25" i="8"/>
  <c r="O25" i="7" s="1"/>
  <c r="M26" i="8"/>
  <c r="M27" i="8"/>
  <c r="O27" i="8"/>
  <c r="I28" i="8"/>
  <c r="I28" i="7" s="1"/>
  <c r="J28" i="8"/>
  <c r="K28" i="8"/>
  <c r="L28" i="8"/>
  <c r="L28" i="7" s="1"/>
  <c r="M28" i="8"/>
  <c r="N28" i="8"/>
  <c r="M29" i="8"/>
  <c r="O29" i="8" s="1"/>
  <c r="M30" i="8"/>
  <c r="O30" i="8" s="1"/>
  <c r="M31" i="8"/>
  <c r="O31" i="8"/>
  <c r="M33" i="8"/>
  <c r="O33" i="8" s="1"/>
  <c r="M38" i="8"/>
  <c r="O38" i="8"/>
  <c r="M39" i="8"/>
  <c r="O39" i="8" s="1"/>
  <c r="I40" i="8"/>
  <c r="I40" i="7" s="1"/>
  <c r="J40" i="8"/>
  <c r="K40" i="8"/>
  <c r="L40" i="8"/>
  <c r="N40" i="8"/>
  <c r="M44" i="8"/>
  <c r="O44" i="8" s="1"/>
  <c r="M47" i="8"/>
  <c r="O47" i="8"/>
  <c r="M48" i="8"/>
  <c r="O48" i="8" s="1"/>
  <c r="O48" i="7" s="1"/>
  <c r="I12" i="7"/>
  <c r="J12" i="7"/>
  <c r="K12" i="7"/>
  <c r="L12" i="7"/>
  <c r="N12" i="7"/>
  <c r="I13" i="7"/>
  <c r="J13" i="7"/>
  <c r="K13" i="7"/>
  <c r="L13" i="7"/>
  <c r="N13" i="7"/>
  <c r="I14" i="7"/>
  <c r="I15" i="7"/>
  <c r="J15" i="7"/>
  <c r="K15" i="7"/>
  <c r="L15" i="7"/>
  <c r="N15" i="7"/>
  <c r="I16" i="7"/>
  <c r="J16" i="7"/>
  <c r="K16" i="7"/>
  <c r="L16" i="7"/>
  <c r="N16" i="7"/>
  <c r="I17" i="7"/>
  <c r="J17" i="7"/>
  <c r="K17" i="7"/>
  <c r="L17" i="7"/>
  <c r="N17" i="7"/>
  <c r="I19" i="7"/>
  <c r="J19" i="7"/>
  <c r="K19" i="7"/>
  <c r="L19" i="7"/>
  <c r="M19" i="7"/>
  <c r="N19" i="7"/>
  <c r="I20" i="7"/>
  <c r="J20" i="7"/>
  <c r="K20" i="7"/>
  <c r="L20" i="7"/>
  <c r="N20" i="7"/>
  <c r="I21" i="7"/>
  <c r="J21" i="7"/>
  <c r="K21" i="7"/>
  <c r="L21" i="7"/>
  <c r="N21" i="7"/>
  <c r="J24" i="7"/>
  <c r="I25" i="7"/>
  <c r="J25" i="7"/>
  <c r="K25" i="7"/>
  <c r="L25" i="7"/>
  <c r="N25" i="7"/>
  <c r="I26" i="7"/>
  <c r="J26" i="7"/>
  <c r="K26" i="7"/>
  <c r="L26" i="7"/>
  <c r="N26" i="7"/>
  <c r="I27" i="7"/>
  <c r="J27" i="7"/>
  <c r="K27" i="7"/>
  <c r="L27" i="7"/>
  <c r="N27" i="7"/>
  <c r="J28" i="7"/>
  <c r="N28" i="7"/>
  <c r="I29" i="7"/>
  <c r="J29" i="7"/>
  <c r="K29" i="7"/>
  <c r="L29" i="7"/>
  <c r="N29" i="7"/>
  <c r="I30" i="7"/>
  <c r="J30" i="7"/>
  <c r="K30" i="7"/>
  <c r="L30" i="7"/>
  <c r="N30" i="7"/>
  <c r="I31" i="7"/>
  <c r="J31" i="7"/>
  <c r="K31" i="7"/>
  <c r="L31" i="7"/>
  <c r="N31" i="7"/>
  <c r="K32" i="7"/>
  <c r="I33" i="7"/>
  <c r="J33" i="7"/>
  <c r="K33" i="7"/>
  <c r="L33" i="7"/>
  <c r="N33" i="7"/>
  <c r="I38" i="7"/>
  <c r="J38" i="7"/>
  <c r="K38" i="7"/>
  <c r="L38" i="7"/>
  <c r="N38" i="7"/>
  <c r="I39" i="7"/>
  <c r="J39" i="7"/>
  <c r="K39" i="7"/>
  <c r="L39" i="7"/>
  <c r="M39" i="7"/>
  <c r="N39" i="7"/>
  <c r="I41" i="7"/>
  <c r="J41" i="7"/>
  <c r="K41" i="7"/>
  <c r="L41" i="7"/>
  <c r="N41" i="7"/>
  <c r="I42" i="7"/>
  <c r="J42" i="7"/>
  <c r="K42" i="7"/>
  <c r="L42" i="7"/>
  <c r="N42" i="7"/>
  <c r="I43" i="7"/>
  <c r="J43" i="7"/>
  <c r="K43" i="7"/>
  <c r="L43" i="7"/>
  <c r="N43" i="7"/>
  <c r="I44" i="7"/>
  <c r="J44" i="7"/>
  <c r="K44" i="7"/>
  <c r="L44" i="7"/>
  <c r="N44" i="7"/>
  <c r="I47" i="7"/>
  <c r="J47" i="7"/>
  <c r="K47" i="7"/>
  <c r="L47" i="7"/>
  <c r="N47" i="7"/>
  <c r="I48" i="7"/>
  <c r="J48" i="7"/>
  <c r="K48" i="7"/>
  <c r="L48" i="7"/>
  <c r="N48" i="7"/>
  <c r="K11" i="47"/>
  <c r="S11" i="47"/>
  <c r="Q12" i="47"/>
  <c r="U12" i="47" s="1"/>
  <c r="N12" i="42" s="1"/>
  <c r="R12" i="47"/>
  <c r="V12" i="47"/>
  <c r="Q13" i="47"/>
  <c r="U13" i="47" s="1"/>
  <c r="R13" i="47"/>
  <c r="V13" i="47" s="1"/>
  <c r="O13" i="42" s="1"/>
  <c r="I14" i="47"/>
  <c r="I11" i="47"/>
  <c r="J14" i="47"/>
  <c r="J11" i="47" s="1"/>
  <c r="J10" i="47" s="1"/>
  <c r="K14" i="47"/>
  <c r="L14" i="47"/>
  <c r="M14" i="47"/>
  <c r="Q14" i="47" s="1"/>
  <c r="U14" i="47" s="1"/>
  <c r="M11" i="47"/>
  <c r="N14" i="47"/>
  <c r="N11" i="47" s="1"/>
  <c r="O14" i="47"/>
  <c r="O11" i="47" s="1"/>
  <c r="P14" i="47"/>
  <c r="P11" i="47"/>
  <c r="S14" i="47"/>
  <c r="T14" i="47"/>
  <c r="T11" i="47"/>
  <c r="Q15" i="47"/>
  <c r="R15" i="47"/>
  <c r="V15" i="47"/>
  <c r="U15" i="47"/>
  <c r="N15" i="42" s="1"/>
  <c r="Q16" i="47"/>
  <c r="U16" i="47" s="1"/>
  <c r="N16" i="42" s="1"/>
  <c r="R16" i="47"/>
  <c r="V16" i="47" s="1"/>
  <c r="Q17" i="47"/>
  <c r="U17" i="47" s="1"/>
  <c r="R17" i="47"/>
  <c r="V17" i="47" s="1"/>
  <c r="I18" i="47"/>
  <c r="J18" i="47"/>
  <c r="K18" i="47"/>
  <c r="L18" i="47"/>
  <c r="M18" i="47"/>
  <c r="N18" i="47"/>
  <c r="O18" i="47"/>
  <c r="P18" i="47"/>
  <c r="S18" i="47"/>
  <c r="T18" i="47"/>
  <c r="Q19" i="47"/>
  <c r="U19" i="47" s="1"/>
  <c r="R19" i="47"/>
  <c r="V19" i="47"/>
  <c r="O19" i="42" s="1"/>
  <c r="Q20" i="47"/>
  <c r="U20" i="47"/>
  <c r="R20" i="47"/>
  <c r="V20" i="47" s="1"/>
  <c r="O20" i="42" s="1"/>
  <c r="I24" i="47"/>
  <c r="J24" i="47"/>
  <c r="K24" i="47"/>
  <c r="L24" i="47"/>
  <c r="M24" i="47"/>
  <c r="N24" i="47"/>
  <c r="O24" i="47"/>
  <c r="P24" i="47"/>
  <c r="S24" i="47"/>
  <c r="T24" i="47"/>
  <c r="Q25" i="47"/>
  <c r="U25" i="47" s="1"/>
  <c r="N25" i="42" s="1"/>
  <c r="R25" i="47"/>
  <c r="V25" i="47" s="1"/>
  <c r="O25" i="42"/>
  <c r="Q26" i="47"/>
  <c r="R26" i="47"/>
  <c r="V26" i="47"/>
  <c r="O26" i="42" s="1"/>
  <c r="U26" i="47"/>
  <c r="Q27" i="47"/>
  <c r="R27" i="47"/>
  <c r="V27" i="47" s="1"/>
  <c r="O27" i="42" s="1"/>
  <c r="U27" i="47"/>
  <c r="N27" i="42" s="1"/>
  <c r="I28" i="47"/>
  <c r="J28" i="47"/>
  <c r="K28" i="47"/>
  <c r="L28" i="47"/>
  <c r="M28" i="47"/>
  <c r="N28" i="47"/>
  <c r="O28" i="47"/>
  <c r="P28" i="47"/>
  <c r="S28" i="47"/>
  <c r="T28" i="47"/>
  <c r="Q29" i="47"/>
  <c r="U29" i="47" s="1"/>
  <c r="N29" i="42" s="1"/>
  <c r="R29" i="47"/>
  <c r="V29" i="47" s="1"/>
  <c r="O29" i="42"/>
  <c r="Q30" i="47"/>
  <c r="U30" i="47" s="1"/>
  <c r="R30" i="47"/>
  <c r="V30" i="47"/>
  <c r="O30" i="42"/>
  <c r="Q31" i="47"/>
  <c r="U31" i="47" s="1"/>
  <c r="N31" i="42" s="1"/>
  <c r="R31" i="47"/>
  <c r="V31" i="47" s="1"/>
  <c r="R32" i="47"/>
  <c r="V32" i="47" s="1"/>
  <c r="O32" i="42" s="1"/>
  <c r="Q33" i="47"/>
  <c r="U33" i="47"/>
  <c r="R33" i="47"/>
  <c r="V33" i="47" s="1"/>
  <c r="O33" i="42" s="1"/>
  <c r="Q38" i="47"/>
  <c r="U38" i="47" s="1"/>
  <c r="R38" i="47"/>
  <c r="V38" i="47" s="1"/>
  <c r="Q39" i="47"/>
  <c r="U39" i="47"/>
  <c r="N39" i="42" s="1"/>
  <c r="R39" i="47"/>
  <c r="V39" i="47"/>
  <c r="I40" i="47"/>
  <c r="Q40" i="47" s="1"/>
  <c r="U40" i="47" s="1"/>
  <c r="N40" i="42" s="1"/>
  <c r="J40" i="47"/>
  <c r="K40" i="47"/>
  <c r="L40" i="47"/>
  <c r="M40" i="47"/>
  <c r="N40" i="47"/>
  <c r="O40" i="47"/>
  <c r="P40" i="47"/>
  <c r="S40" i="47"/>
  <c r="T40" i="47"/>
  <c r="Q41" i="47"/>
  <c r="R41" i="47"/>
  <c r="U41" i="47"/>
  <c r="N41" i="42"/>
  <c r="V41" i="47"/>
  <c r="Q42" i="47"/>
  <c r="R42" i="47"/>
  <c r="V42" i="47" s="1"/>
  <c r="U42" i="47"/>
  <c r="N42" i="42" s="1"/>
  <c r="O42" i="42"/>
  <c r="Q43" i="47"/>
  <c r="U43" i="47" s="1"/>
  <c r="R43" i="47"/>
  <c r="N43" i="42"/>
  <c r="V43" i="47"/>
  <c r="O43" i="42" s="1"/>
  <c r="Q44" i="47"/>
  <c r="R44" i="47"/>
  <c r="V44" i="47" s="1"/>
  <c r="O44" i="42" s="1"/>
  <c r="U44" i="47"/>
  <c r="Q47" i="47"/>
  <c r="U47" i="47" s="1"/>
  <c r="N47" i="42" s="1"/>
  <c r="R47" i="47"/>
  <c r="V47" i="47" s="1"/>
  <c r="O47" i="42"/>
  <c r="Q48" i="47"/>
  <c r="U48" i="47" s="1"/>
  <c r="N48" i="42" s="1"/>
  <c r="R48" i="47"/>
  <c r="V48" i="47"/>
  <c r="O48" i="42"/>
  <c r="M50" i="47"/>
  <c r="I51" i="47"/>
  <c r="I50" i="47" s="1"/>
  <c r="J51" i="47"/>
  <c r="J50" i="47" s="1"/>
  <c r="K51" i="47"/>
  <c r="L51" i="47"/>
  <c r="R51" i="47" s="1"/>
  <c r="V51" i="47" s="1"/>
  <c r="M51" i="47"/>
  <c r="N51" i="47"/>
  <c r="N50" i="47"/>
  <c r="O51" i="47"/>
  <c r="O50" i="47" s="1"/>
  <c r="P51" i="47"/>
  <c r="P50" i="47"/>
  <c r="S51" i="47"/>
  <c r="S50" i="47" s="1"/>
  <c r="T51" i="47"/>
  <c r="T50" i="47"/>
  <c r="Q52" i="47"/>
  <c r="U52" i="47" s="1"/>
  <c r="R52" i="47"/>
  <c r="V52" i="47" s="1"/>
  <c r="Q53" i="47"/>
  <c r="U53" i="47" s="1"/>
  <c r="R53" i="47"/>
  <c r="V53" i="47"/>
  <c r="Q54" i="47"/>
  <c r="U54" i="47" s="1"/>
  <c r="R54" i="47"/>
  <c r="V54" i="47"/>
  <c r="Q55" i="47"/>
  <c r="U55" i="47" s="1"/>
  <c r="R55" i="47"/>
  <c r="V55" i="47"/>
  <c r="Q56" i="47"/>
  <c r="U56" i="47" s="1"/>
  <c r="R56" i="47"/>
  <c r="V56" i="47" s="1"/>
  <c r="Q57" i="47"/>
  <c r="U57" i="47" s="1"/>
  <c r="R57" i="47"/>
  <c r="V57" i="47"/>
  <c r="Q58" i="47"/>
  <c r="U58" i="47" s="1"/>
  <c r="R58" i="47"/>
  <c r="V58" i="47"/>
  <c r="M59" i="47"/>
  <c r="I60" i="47"/>
  <c r="I59" i="47" s="1"/>
  <c r="J60" i="47"/>
  <c r="J59" i="47" s="1"/>
  <c r="K60" i="47"/>
  <c r="L60" i="47"/>
  <c r="M60" i="47"/>
  <c r="N60" i="47"/>
  <c r="N59" i="47" s="1"/>
  <c r="O60" i="47"/>
  <c r="O59" i="47"/>
  <c r="P60" i="47"/>
  <c r="P59" i="47" s="1"/>
  <c r="S60" i="47"/>
  <c r="S59" i="47" s="1"/>
  <c r="T60" i="47"/>
  <c r="T59" i="47"/>
  <c r="Q61" i="47"/>
  <c r="U61" i="47" s="1"/>
  <c r="R61" i="47"/>
  <c r="V61" i="47"/>
  <c r="Q62" i="47"/>
  <c r="U62" i="47" s="1"/>
  <c r="R62" i="47"/>
  <c r="V62" i="47"/>
  <c r="Q63" i="47"/>
  <c r="U63" i="47" s="1"/>
  <c r="R63" i="47"/>
  <c r="V63" i="47"/>
  <c r="Q64" i="47"/>
  <c r="U64" i="47" s="1"/>
  <c r="R64" i="47"/>
  <c r="V64" i="47"/>
  <c r="Q65" i="47"/>
  <c r="U65" i="47" s="1"/>
  <c r="R65" i="47"/>
  <c r="V65" i="47"/>
  <c r="K66" i="47"/>
  <c r="L67" i="47"/>
  <c r="L66" i="47" s="1"/>
  <c r="P67" i="47"/>
  <c r="P66" i="47" s="1"/>
  <c r="Q68" i="47"/>
  <c r="U68" i="47"/>
  <c r="R68" i="47"/>
  <c r="V68" i="47"/>
  <c r="I69" i="47"/>
  <c r="I67" i="47"/>
  <c r="J69" i="47"/>
  <c r="J67" i="47"/>
  <c r="J66" i="47"/>
  <c r="K69" i="47"/>
  <c r="K67" i="47" s="1"/>
  <c r="L69" i="47"/>
  <c r="M69" i="47"/>
  <c r="M67" i="47" s="1"/>
  <c r="M66" i="47" s="1"/>
  <c r="N69" i="47"/>
  <c r="N67" i="47" s="1"/>
  <c r="N66" i="47" s="1"/>
  <c r="R66" i="47" s="1"/>
  <c r="V66" i="47" s="1"/>
  <c r="O69" i="47"/>
  <c r="O67" i="47" s="1"/>
  <c r="O66" i="47" s="1"/>
  <c r="P69" i="47"/>
  <c r="Q69" i="47"/>
  <c r="U69" i="47" s="1"/>
  <c r="S69" i="47"/>
  <c r="S67" i="47" s="1"/>
  <c r="S66" i="47" s="1"/>
  <c r="T69" i="47"/>
  <c r="T67" i="47"/>
  <c r="T66" i="47" s="1"/>
  <c r="Q70" i="47"/>
  <c r="U70" i="47" s="1"/>
  <c r="R70" i="47"/>
  <c r="V70" i="47"/>
  <c r="Q71" i="47"/>
  <c r="U71" i="47" s="1"/>
  <c r="R71" i="47"/>
  <c r="V71" i="47"/>
  <c r="Q72" i="47"/>
  <c r="U72" i="47" s="1"/>
  <c r="R72" i="47"/>
  <c r="V72" i="47"/>
  <c r="Q73" i="47"/>
  <c r="U73" i="47" s="1"/>
  <c r="R73" i="47"/>
  <c r="V73" i="47"/>
  <c r="I74" i="47"/>
  <c r="J74" i="47"/>
  <c r="R74" i="47" s="1"/>
  <c r="V74" i="47" s="1"/>
  <c r="O66" i="42" s="1"/>
  <c r="K74" i="47"/>
  <c r="L74" i="47"/>
  <c r="M74" i="47"/>
  <c r="N74" i="47"/>
  <c r="O74" i="47"/>
  <c r="P74" i="47"/>
  <c r="S74" i="47"/>
  <c r="T74" i="47"/>
  <c r="Q75" i="47"/>
  <c r="U75" i="47" s="1"/>
  <c r="R75" i="47"/>
  <c r="V75" i="47" s="1"/>
  <c r="O67" i="42" s="1"/>
  <c r="Q76" i="47"/>
  <c r="U76" i="47"/>
  <c r="N68" i="42" s="1"/>
  <c r="R76" i="47"/>
  <c r="V76" i="47"/>
  <c r="Q77" i="47"/>
  <c r="U77" i="47" s="1"/>
  <c r="R77" i="47"/>
  <c r="V77" i="47"/>
  <c r="I78" i="47"/>
  <c r="J78" i="47"/>
  <c r="K78" i="47"/>
  <c r="L78" i="47"/>
  <c r="R78" i="47" s="1"/>
  <c r="V78" i="47" s="1"/>
  <c r="M78" i="47"/>
  <c r="N78" i="47"/>
  <c r="O70" i="42"/>
  <c r="O78" i="47"/>
  <c r="P78" i="47"/>
  <c r="S78" i="47"/>
  <c r="T78" i="47"/>
  <c r="Q79" i="47"/>
  <c r="U79" i="47" s="1"/>
  <c r="N71" i="42" s="1"/>
  <c r="R79" i="47"/>
  <c r="V79" i="47" s="1"/>
  <c r="Q80" i="47"/>
  <c r="U80" i="47" s="1"/>
  <c r="N72" i="42" s="1"/>
  <c r="R80" i="47"/>
  <c r="V80" i="47" s="1"/>
  <c r="Q81" i="47"/>
  <c r="U81" i="47" s="1"/>
  <c r="N73" i="42" s="1"/>
  <c r="R81" i="47"/>
  <c r="V81" i="47" s="1"/>
  <c r="O73" i="42" s="1"/>
  <c r="S83" i="47"/>
  <c r="T83" i="47"/>
  <c r="I11" i="46"/>
  <c r="T11" i="46"/>
  <c r="Q12" i="46"/>
  <c r="U12" i="46" s="1"/>
  <c r="R12" i="46"/>
  <c r="V12" i="46"/>
  <c r="M12" i="42"/>
  <c r="Q13" i="46"/>
  <c r="U13" i="46"/>
  <c r="L13" i="42"/>
  <c r="R13" i="46"/>
  <c r="I14" i="46"/>
  <c r="J14" i="46"/>
  <c r="J11" i="46"/>
  <c r="K14" i="46"/>
  <c r="K11" i="46"/>
  <c r="L14" i="46"/>
  <c r="L11" i="46"/>
  <c r="M14" i="46"/>
  <c r="Q14" i="46" s="1"/>
  <c r="M11" i="46"/>
  <c r="N14" i="46"/>
  <c r="N11" i="46"/>
  <c r="O14" i="46"/>
  <c r="O11" i="46"/>
  <c r="P14" i="46"/>
  <c r="P11" i="46"/>
  <c r="R14" i="46"/>
  <c r="V14" i="46" s="1"/>
  <c r="S14" i="46"/>
  <c r="S11" i="46" s="1"/>
  <c r="T14" i="46"/>
  <c r="Q15" i="46"/>
  <c r="R15" i="46"/>
  <c r="V15" i="46" s="1"/>
  <c r="M15" i="42" s="1"/>
  <c r="U15" i="46"/>
  <c r="L15" i="42" s="1"/>
  <c r="Q16" i="46"/>
  <c r="U16" i="46" s="1"/>
  <c r="L16" i="42" s="1"/>
  <c r="R16" i="46"/>
  <c r="V16" i="46" s="1"/>
  <c r="M16" i="42" s="1"/>
  <c r="Q17" i="46"/>
  <c r="R17" i="46"/>
  <c r="U17" i="46"/>
  <c r="V17" i="46"/>
  <c r="M17" i="42" s="1"/>
  <c r="I18" i="46"/>
  <c r="J18" i="46"/>
  <c r="K18" i="46"/>
  <c r="L18" i="46"/>
  <c r="M18" i="46"/>
  <c r="N18" i="46"/>
  <c r="O18" i="46"/>
  <c r="P18" i="46"/>
  <c r="S18" i="46"/>
  <c r="T18" i="46"/>
  <c r="Q19" i="46"/>
  <c r="U19" i="46" s="1"/>
  <c r="L19" i="42" s="1"/>
  <c r="R19" i="46"/>
  <c r="V19" i="46"/>
  <c r="M19" i="42" s="1"/>
  <c r="Q20" i="46"/>
  <c r="U20" i="46"/>
  <c r="R20" i="46"/>
  <c r="V20" i="46" s="1"/>
  <c r="M20" i="42" s="1"/>
  <c r="I24" i="46"/>
  <c r="J24" i="46"/>
  <c r="R24" i="46" s="1"/>
  <c r="K24" i="46"/>
  <c r="L24" i="46"/>
  <c r="V24" i="46"/>
  <c r="M24" i="42" s="1"/>
  <c r="M24" i="46"/>
  <c r="N24" i="46"/>
  <c r="K24" i="43" s="1"/>
  <c r="O24" i="46"/>
  <c r="P24" i="46"/>
  <c r="S24" i="46"/>
  <c r="T24" i="46"/>
  <c r="Q25" i="46"/>
  <c r="R25" i="46"/>
  <c r="V25" i="46" s="1"/>
  <c r="M25" i="42" s="1"/>
  <c r="U25" i="46"/>
  <c r="L25" i="42"/>
  <c r="Q26" i="46"/>
  <c r="R26" i="46"/>
  <c r="V26" i="46"/>
  <c r="M26" i="42"/>
  <c r="U26" i="46"/>
  <c r="L26" i="42"/>
  <c r="Q27" i="46"/>
  <c r="R27" i="46"/>
  <c r="U27" i="46"/>
  <c r="L27" i="42"/>
  <c r="I28" i="46"/>
  <c r="J28" i="46"/>
  <c r="R28" i="46" s="1"/>
  <c r="V28" i="46" s="1"/>
  <c r="M28" i="42" s="1"/>
  <c r="K28" i="46"/>
  <c r="L28" i="46"/>
  <c r="J28" i="43" s="1"/>
  <c r="M28" i="46"/>
  <c r="N28" i="46"/>
  <c r="O28" i="46"/>
  <c r="P28" i="46"/>
  <c r="P10" i="46" s="1"/>
  <c r="P45" i="46" s="1"/>
  <c r="P82" i="46" s="1"/>
  <c r="S28" i="46"/>
  <c r="T28" i="46"/>
  <c r="Q29" i="46"/>
  <c r="U29" i="46"/>
  <c r="L29" i="42"/>
  <c r="R29" i="46"/>
  <c r="V29" i="46"/>
  <c r="M29" i="42"/>
  <c r="Q30" i="46"/>
  <c r="U30" i="46" s="1"/>
  <c r="L30" i="42" s="1"/>
  <c r="R30" i="46"/>
  <c r="V30" i="46"/>
  <c r="M30" i="42" s="1"/>
  <c r="Q31" i="46"/>
  <c r="U31" i="46"/>
  <c r="L31" i="42"/>
  <c r="R31" i="46"/>
  <c r="V31" i="46"/>
  <c r="M31" i="42"/>
  <c r="R32" i="46"/>
  <c r="V32" i="46" s="1"/>
  <c r="M32" i="42" s="1"/>
  <c r="Q33" i="46"/>
  <c r="R33" i="46"/>
  <c r="V33" i="46" s="1"/>
  <c r="M33" i="42" s="1"/>
  <c r="U33" i="46"/>
  <c r="L33" i="42"/>
  <c r="Q38" i="46"/>
  <c r="R38" i="46"/>
  <c r="V38" i="46"/>
  <c r="M38" i="42"/>
  <c r="U38" i="46"/>
  <c r="L38" i="42"/>
  <c r="Q39" i="46"/>
  <c r="R39" i="46"/>
  <c r="V39" i="46" s="1"/>
  <c r="M39" i="42" s="1"/>
  <c r="U39" i="46"/>
  <c r="L39" i="42"/>
  <c r="I40" i="46"/>
  <c r="J40" i="46"/>
  <c r="K40" i="46"/>
  <c r="L40" i="46"/>
  <c r="M40" i="46"/>
  <c r="N40" i="46"/>
  <c r="O40" i="46"/>
  <c r="P40" i="46"/>
  <c r="S40" i="46"/>
  <c r="T40" i="46"/>
  <c r="Q41" i="46"/>
  <c r="U41" i="46" s="1"/>
  <c r="L41" i="42" s="1"/>
  <c r="R41" i="46"/>
  <c r="M41" i="43" s="1"/>
  <c r="V41" i="46"/>
  <c r="M41" i="42" s="1"/>
  <c r="Q42" i="46"/>
  <c r="U42" i="46"/>
  <c r="L42" i="42"/>
  <c r="R42" i="46"/>
  <c r="V42" i="46"/>
  <c r="Q43" i="46"/>
  <c r="U43" i="46"/>
  <c r="L43" i="42" s="1"/>
  <c r="R43" i="46"/>
  <c r="V43" i="46"/>
  <c r="Q44" i="46"/>
  <c r="U44" i="46" s="1"/>
  <c r="L44" i="42" s="1"/>
  <c r="R44" i="46"/>
  <c r="V44" i="46"/>
  <c r="M44" i="42" s="1"/>
  <c r="Q47" i="46"/>
  <c r="U47" i="46"/>
  <c r="L47" i="42"/>
  <c r="R47" i="46"/>
  <c r="V47" i="46"/>
  <c r="M47" i="42"/>
  <c r="Q48" i="46"/>
  <c r="U48" i="46" s="1"/>
  <c r="L48" i="42" s="1"/>
  <c r="R48" i="46"/>
  <c r="V48" i="46"/>
  <c r="M48" i="42" s="1"/>
  <c r="L50" i="46"/>
  <c r="P50" i="46"/>
  <c r="T50" i="46"/>
  <c r="I51" i="46"/>
  <c r="I50" i="46" s="1"/>
  <c r="J51" i="46"/>
  <c r="K51" i="46"/>
  <c r="L51" i="46"/>
  <c r="R51" i="46" s="1"/>
  <c r="V51" i="46" s="1"/>
  <c r="M51" i="46"/>
  <c r="M50" i="46" s="1"/>
  <c r="N51" i="46"/>
  <c r="N50" i="46"/>
  <c r="O51" i="46"/>
  <c r="O50" i="46"/>
  <c r="P51" i="46"/>
  <c r="S51" i="46"/>
  <c r="S50" i="46" s="1"/>
  <c r="T51" i="46"/>
  <c r="Q52" i="46"/>
  <c r="U52" i="46"/>
  <c r="R52" i="46"/>
  <c r="V52" i="46"/>
  <c r="Q53" i="46"/>
  <c r="U53" i="46"/>
  <c r="R53" i="46"/>
  <c r="V53" i="46"/>
  <c r="Q54" i="46"/>
  <c r="U54" i="46"/>
  <c r="R54" i="46"/>
  <c r="V54" i="46"/>
  <c r="Q55" i="46"/>
  <c r="U55" i="46"/>
  <c r="R55" i="46"/>
  <c r="V55" i="46"/>
  <c r="Q56" i="46"/>
  <c r="U56" i="46"/>
  <c r="R56" i="46"/>
  <c r="V56" i="46"/>
  <c r="Q57" i="46"/>
  <c r="U57" i="46"/>
  <c r="R57" i="46"/>
  <c r="V57" i="46"/>
  <c r="Q58" i="46"/>
  <c r="U58" i="46"/>
  <c r="R58" i="46"/>
  <c r="V58" i="46"/>
  <c r="I60" i="46"/>
  <c r="I59" i="46" s="1"/>
  <c r="J60" i="46"/>
  <c r="J59" i="46"/>
  <c r="K60" i="46"/>
  <c r="L60" i="46"/>
  <c r="R60" i="46" s="1"/>
  <c r="M60" i="46"/>
  <c r="M59" i="46" s="1"/>
  <c r="N60" i="46"/>
  <c r="N59" i="46"/>
  <c r="O60" i="46"/>
  <c r="O59" i="46" s="1"/>
  <c r="P60" i="46"/>
  <c r="P59" i="46" s="1"/>
  <c r="V60" i="46"/>
  <c r="S60" i="46"/>
  <c r="S59" i="46"/>
  <c r="T60" i="46"/>
  <c r="T59" i="46" s="1"/>
  <c r="Q61" i="46"/>
  <c r="U61" i="46" s="1"/>
  <c r="R61" i="46"/>
  <c r="V61" i="46"/>
  <c r="Q62" i="46"/>
  <c r="U62" i="46" s="1"/>
  <c r="R62" i="46"/>
  <c r="V62" i="46"/>
  <c r="Q63" i="46"/>
  <c r="U63" i="46" s="1"/>
  <c r="R63" i="46"/>
  <c r="V63" i="46"/>
  <c r="Q64" i="46"/>
  <c r="U64" i="46" s="1"/>
  <c r="R64" i="46"/>
  <c r="V64" i="46"/>
  <c r="Q65" i="46"/>
  <c r="U65" i="46" s="1"/>
  <c r="R65" i="46"/>
  <c r="V65" i="46"/>
  <c r="T66" i="46"/>
  <c r="K67" i="46"/>
  <c r="K66" i="46"/>
  <c r="Q68" i="46"/>
  <c r="U68" i="46"/>
  <c r="R68" i="46"/>
  <c r="V68" i="46"/>
  <c r="I69" i="46"/>
  <c r="Q69" i="46" s="1"/>
  <c r="U69" i="46" s="1"/>
  <c r="I67" i="46"/>
  <c r="J69" i="46"/>
  <c r="J67" i="46" s="1"/>
  <c r="J66" i="46" s="1"/>
  <c r="K69" i="46"/>
  <c r="L69" i="46"/>
  <c r="M69" i="46"/>
  <c r="M67" i="46" s="1"/>
  <c r="M66" i="46" s="1"/>
  <c r="N69" i="46"/>
  <c r="N67" i="46" s="1"/>
  <c r="N66" i="46" s="1"/>
  <c r="O69" i="46"/>
  <c r="O67" i="46" s="1"/>
  <c r="O66" i="46" s="1"/>
  <c r="Q66" i="46" s="1"/>
  <c r="U66" i="46" s="1"/>
  <c r="P69" i="46"/>
  <c r="S69" i="46"/>
  <c r="S67" i="46" s="1"/>
  <c r="S66" i="46" s="1"/>
  <c r="T69" i="46"/>
  <c r="T67" i="46"/>
  <c r="Q70" i="46"/>
  <c r="U70" i="46" s="1"/>
  <c r="R70" i="46"/>
  <c r="Q71" i="46"/>
  <c r="U71" i="46" s="1"/>
  <c r="R71" i="46"/>
  <c r="V71" i="46"/>
  <c r="Q72" i="46"/>
  <c r="U72" i="46" s="1"/>
  <c r="R72" i="46"/>
  <c r="V72" i="46"/>
  <c r="Q73" i="46"/>
  <c r="U73" i="46" s="1"/>
  <c r="R73" i="46"/>
  <c r="V73" i="46"/>
  <c r="I74" i="46"/>
  <c r="J74" i="46"/>
  <c r="I74" i="43"/>
  <c r="K74" i="46"/>
  <c r="L74" i="46"/>
  <c r="M74" i="46"/>
  <c r="N74" i="46"/>
  <c r="R74" i="46" s="1"/>
  <c r="O74" i="46"/>
  <c r="P74" i="46"/>
  <c r="V74" i="46"/>
  <c r="M66" i="42" s="1"/>
  <c r="S74" i="46"/>
  <c r="T74" i="46"/>
  <c r="Q75" i="46"/>
  <c r="U75" i="46" s="1"/>
  <c r="L67" i="42" s="1"/>
  <c r="R75" i="46"/>
  <c r="V75" i="46"/>
  <c r="M67" i="42" s="1"/>
  <c r="Q81" i="46"/>
  <c r="U81" i="46"/>
  <c r="R81" i="46"/>
  <c r="V81" i="46"/>
  <c r="S83" i="46"/>
  <c r="T83" i="46"/>
  <c r="J11" i="45"/>
  <c r="K11" i="45"/>
  <c r="K10" i="45" s="1"/>
  <c r="K45" i="45" s="1"/>
  <c r="N11" i="45"/>
  <c r="O11" i="45"/>
  <c r="Q12" i="45"/>
  <c r="U12" i="45"/>
  <c r="J12" i="42"/>
  <c r="R12" i="45"/>
  <c r="V12" i="45"/>
  <c r="K12" i="42"/>
  <c r="Q13" i="45"/>
  <c r="U13" i="45" s="1"/>
  <c r="J13" i="42" s="1"/>
  <c r="R13" i="45"/>
  <c r="V13" i="45"/>
  <c r="K13" i="42" s="1"/>
  <c r="I14" i="45"/>
  <c r="I11" i="45"/>
  <c r="J14" i="45"/>
  <c r="K14" i="45"/>
  <c r="L14" i="45"/>
  <c r="M14" i="45"/>
  <c r="M11" i="45"/>
  <c r="M45" i="45"/>
  <c r="M82" i="45" s="1"/>
  <c r="N14" i="45"/>
  <c r="O14" i="45"/>
  <c r="Q14" i="45" s="1"/>
  <c r="P14" i="45"/>
  <c r="L14" i="43" s="1"/>
  <c r="S14" i="45"/>
  <c r="S11" i="45" s="1"/>
  <c r="T14" i="45"/>
  <c r="Q15" i="45"/>
  <c r="R15" i="45"/>
  <c r="V15" i="45"/>
  <c r="K15" i="42" s="1"/>
  <c r="U15" i="45"/>
  <c r="J15" i="42"/>
  <c r="Q16" i="45"/>
  <c r="U16" i="45" s="1"/>
  <c r="R16" i="45"/>
  <c r="Q17" i="45"/>
  <c r="U17" i="45" s="1"/>
  <c r="J17" i="42" s="1"/>
  <c r="R17" i="45"/>
  <c r="V17" i="45" s="1"/>
  <c r="I18" i="45"/>
  <c r="I10" i="45" s="1"/>
  <c r="I45" i="45" s="1"/>
  <c r="J18" i="45"/>
  <c r="K18" i="45"/>
  <c r="L18" i="45"/>
  <c r="R18" i="45" s="1"/>
  <c r="V18" i="45" s="1"/>
  <c r="M18" i="45"/>
  <c r="N18" i="45"/>
  <c r="O18" i="45"/>
  <c r="P18" i="45"/>
  <c r="K18" i="42"/>
  <c r="S18" i="45"/>
  <c r="T18" i="45"/>
  <c r="Q19" i="45"/>
  <c r="U19" i="45"/>
  <c r="R19" i="45"/>
  <c r="V19" i="45"/>
  <c r="K19" i="42"/>
  <c r="Q20" i="45"/>
  <c r="U20" i="45" s="1"/>
  <c r="J20" i="42" s="1"/>
  <c r="R20" i="45"/>
  <c r="V20" i="45"/>
  <c r="K20" i="42" s="1"/>
  <c r="I24" i="45"/>
  <c r="J24" i="45"/>
  <c r="K24" i="45"/>
  <c r="L24" i="45"/>
  <c r="M24" i="45"/>
  <c r="N24" i="45"/>
  <c r="O24" i="45"/>
  <c r="Q24" i="45" s="1"/>
  <c r="U24" i="45" s="1"/>
  <c r="J24" i="42" s="1"/>
  <c r="P24" i="45"/>
  <c r="R24" i="45" s="1"/>
  <c r="S24" i="45"/>
  <c r="T24" i="45"/>
  <c r="Q25" i="45"/>
  <c r="R25" i="45"/>
  <c r="V25" i="45"/>
  <c r="K25" i="42"/>
  <c r="U25" i="45"/>
  <c r="J25" i="42" s="1"/>
  <c r="Q26" i="45"/>
  <c r="R26" i="45"/>
  <c r="V26" i="45"/>
  <c r="K26" i="42" s="1"/>
  <c r="U26" i="45"/>
  <c r="J26" i="42"/>
  <c r="Q27" i="45"/>
  <c r="R27" i="45"/>
  <c r="V27" i="45"/>
  <c r="K27" i="42"/>
  <c r="U27" i="45"/>
  <c r="J27" i="42" s="1"/>
  <c r="I28" i="45"/>
  <c r="J28" i="45"/>
  <c r="K28" i="45"/>
  <c r="L28" i="45"/>
  <c r="M28" i="45"/>
  <c r="M10" i="45" s="1"/>
  <c r="N28" i="45"/>
  <c r="O28" i="45"/>
  <c r="Q28" i="45" s="1"/>
  <c r="P28" i="45"/>
  <c r="R28" i="45" s="1"/>
  <c r="V28" i="45" s="1"/>
  <c r="K28" i="42" s="1"/>
  <c r="S28" i="45"/>
  <c r="T28" i="45"/>
  <c r="N28" i="43" s="1"/>
  <c r="Q29" i="45"/>
  <c r="U29" i="45"/>
  <c r="J29" i="42"/>
  <c r="R29" i="45"/>
  <c r="V29" i="45" s="1"/>
  <c r="K29" i="42" s="1"/>
  <c r="Q30" i="45"/>
  <c r="U30" i="45"/>
  <c r="J30" i="42" s="1"/>
  <c r="R30" i="45"/>
  <c r="V30" i="45"/>
  <c r="K30" i="42"/>
  <c r="Q31" i="45"/>
  <c r="U31" i="45"/>
  <c r="J31" i="42"/>
  <c r="R31" i="45"/>
  <c r="V31" i="45"/>
  <c r="K31" i="42"/>
  <c r="Q32" i="45"/>
  <c r="U32" i="45" s="1"/>
  <c r="J32" i="42" s="1"/>
  <c r="Q33" i="45"/>
  <c r="R33" i="45"/>
  <c r="V33" i="45"/>
  <c r="K33" i="42" s="1"/>
  <c r="U33" i="45"/>
  <c r="J33" i="42"/>
  <c r="Q38" i="45"/>
  <c r="R38" i="45"/>
  <c r="V38" i="45"/>
  <c r="K38" i="42"/>
  <c r="U38" i="45"/>
  <c r="J38" i="42" s="1"/>
  <c r="Q39" i="45"/>
  <c r="R39" i="45"/>
  <c r="V39" i="45"/>
  <c r="K39" i="42" s="1"/>
  <c r="U39" i="45"/>
  <c r="J39" i="42"/>
  <c r="Q47" i="45"/>
  <c r="U47" i="45" s="1"/>
  <c r="J47" i="42" s="1"/>
  <c r="R47" i="45"/>
  <c r="Q48" i="45"/>
  <c r="R48" i="45"/>
  <c r="V48" i="45"/>
  <c r="K48" i="42"/>
  <c r="U48" i="45"/>
  <c r="J48" i="42" s="1"/>
  <c r="J50" i="45"/>
  <c r="K50" i="45"/>
  <c r="N50" i="45"/>
  <c r="K50" i="43" s="1"/>
  <c r="I51" i="45"/>
  <c r="I50" i="45"/>
  <c r="J51" i="45"/>
  <c r="K51" i="45"/>
  <c r="L51" i="45"/>
  <c r="M51" i="45"/>
  <c r="M50" i="45" s="1"/>
  <c r="N51" i="45"/>
  <c r="O51" i="45"/>
  <c r="O50" i="45" s="1"/>
  <c r="P51" i="45"/>
  <c r="S51" i="45"/>
  <c r="S50" i="45" s="1"/>
  <c r="T51" i="45"/>
  <c r="Q52" i="45"/>
  <c r="R52" i="45"/>
  <c r="V52" i="45"/>
  <c r="U52" i="45"/>
  <c r="Q53" i="45"/>
  <c r="R53" i="45"/>
  <c r="V53" i="45"/>
  <c r="U53" i="45"/>
  <c r="Q54" i="45"/>
  <c r="R54" i="45"/>
  <c r="V54" i="45"/>
  <c r="U54" i="45"/>
  <c r="Q55" i="45"/>
  <c r="R55" i="45"/>
  <c r="U55" i="45"/>
  <c r="Q56" i="45"/>
  <c r="U56" i="45" s="1"/>
  <c r="R56" i="45"/>
  <c r="V56" i="45"/>
  <c r="Q57" i="45"/>
  <c r="U57" i="45" s="1"/>
  <c r="R57" i="45"/>
  <c r="V57" i="45"/>
  <c r="Q58" i="45"/>
  <c r="U58" i="45" s="1"/>
  <c r="R58" i="45"/>
  <c r="V58" i="45"/>
  <c r="K59" i="45"/>
  <c r="N59" i="45"/>
  <c r="O59" i="45"/>
  <c r="I60" i="45"/>
  <c r="I59" i="45"/>
  <c r="J60" i="45"/>
  <c r="J59" i="45" s="1"/>
  <c r="K60" i="45"/>
  <c r="L60" i="45"/>
  <c r="M60" i="45"/>
  <c r="M59" i="45"/>
  <c r="N60" i="45"/>
  <c r="O60" i="45"/>
  <c r="P60" i="45"/>
  <c r="Q60" i="45"/>
  <c r="U60" i="45" s="1"/>
  <c r="S60" i="45"/>
  <c r="S59" i="45" s="1"/>
  <c r="T60" i="45"/>
  <c r="Q61" i="45"/>
  <c r="U61" i="45" s="1"/>
  <c r="R61" i="45"/>
  <c r="V61" i="45"/>
  <c r="Q62" i="45"/>
  <c r="U62" i="45" s="1"/>
  <c r="R62" i="45"/>
  <c r="Q63" i="45"/>
  <c r="U63" i="45" s="1"/>
  <c r="R63" i="45"/>
  <c r="V63" i="45" s="1"/>
  <c r="Q64" i="45"/>
  <c r="U64" i="45" s="1"/>
  <c r="R64" i="45"/>
  <c r="V64" i="45" s="1"/>
  <c r="Q65" i="45"/>
  <c r="U65" i="45" s="1"/>
  <c r="R65" i="45"/>
  <c r="T67" i="45"/>
  <c r="T66" i="45"/>
  <c r="Q68" i="45"/>
  <c r="U68" i="45" s="1"/>
  <c r="R68" i="45"/>
  <c r="V68" i="45"/>
  <c r="I69" i="45"/>
  <c r="I67" i="45" s="1"/>
  <c r="I66" i="45" s="1"/>
  <c r="J69" i="45"/>
  <c r="J67" i="45"/>
  <c r="J66" i="45"/>
  <c r="K69" i="45"/>
  <c r="K67" i="45" s="1"/>
  <c r="K66" i="45" s="1"/>
  <c r="L69" i="45"/>
  <c r="L67" i="45" s="1"/>
  <c r="L66" i="45" s="1"/>
  <c r="M69" i="45"/>
  <c r="M67" i="45" s="1"/>
  <c r="M66" i="45" s="1"/>
  <c r="N69" i="45"/>
  <c r="N67" i="45"/>
  <c r="N66" i="45"/>
  <c r="O69" i="45"/>
  <c r="P69" i="45"/>
  <c r="P67" i="45" s="1"/>
  <c r="S69" i="45"/>
  <c r="S67" i="45"/>
  <c r="S66" i="45"/>
  <c r="T69" i="45"/>
  <c r="Q70" i="45"/>
  <c r="U70" i="45"/>
  <c r="R70" i="45"/>
  <c r="V70" i="45" s="1"/>
  <c r="Q71" i="45"/>
  <c r="U71" i="45"/>
  <c r="R71" i="45"/>
  <c r="V71" i="45" s="1"/>
  <c r="Q72" i="45"/>
  <c r="U72" i="45"/>
  <c r="R72" i="45"/>
  <c r="Q73" i="45"/>
  <c r="U73" i="45"/>
  <c r="R73" i="45"/>
  <c r="V73" i="45" s="1"/>
  <c r="I74" i="45"/>
  <c r="J74" i="45"/>
  <c r="K74" i="45"/>
  <c r="L74" i="45"/>
  <c r="M74" i="45"/>
  <c r="N74" i="45"/>
  <c r="R74" i="45" s="1"/>
  <c r="O74" i="45"/>
  <c r="Q74" i="45" s="1"/>
  <c r="P74" i="45"/>
  <c r="S74" i="45"/>
  <c r="T74" i="45"/>
  <c r="Q75" i="45"/>
  <c r="R75" i="45"/>
  <c r="V75" i="45"/>
  <c r="K67" i="42"/>
  <c r="U75" i="45"/>
  <c r="J67" i="42"/>
  <c r="Q76" i="45"/>
  <c r="U76" i="45" s="1"/>
  <c r="J68" i="42" s="1"/>
  <c r="R76" i="45"/>
  <c r="V76" i="45" s="1"/>
  <c r="Q77" i="45"/>
  <c r="U77" i="45" s="1"/>
  <c r="J69" i="42" s="1"/>
  <c r="R77" i="45"/>
  <c r="V77" i="45"/>
  <c r="I78" i="45"/>
  <c r="Q78" i="45" s="1"/>
  <c r="J78" i="45"/>
  <c r="K78" i="45"/>
  <c r="L78" i="45"/>
  <c r="M78" i="45"/>
  <c r="N78" i="45"/>
  <c r="V78" i="45"/>
  <c r="K70" i="42" s="1"/>
  <c r="O78" i="45"/>
  <c r="P78" i="45"/>
  <c r="R78" i="45" s="1"/>
  <c r="S78" i="45"/>
  <c r="T78" i="45"/>
  <c r="Q79" i="45"/>
  <c r="U79" i="45"/>
  <c r="R79" i="45"/>
  <c r="V79" i="45"/>
  <c r="Q80" i="45"/>
  <c r="U80" i="45"/>
  <c r="J72" i="42" s="1"/>
  <c r="R80" i="45"/>
  <c r="V80" i="45"/>
  <c r="K72" i="42"/>
  <c r="Q81" i="45"/>
  <c r="U81" i="45" s="1"/>
  <c r="J73" i="42" s="1"/>
  <c r="R81" i="45"/>
  <c r="V81" i="45"/>
  <c r="K73" i="42" s="1"/>
  <c r="S83" i="45"/>
  <c r="T83" i="45"/>
  <c r="M12" i="68"/>
  <c r="O12" i="68"/>
  <c r="M13" i="68"/>
  <c r="O13" i="68"/>
  <c r="I13" i="42" s="1"/>
  <c r="I14" i="68"/>
  <c r="J14" i="68"/>
  <c r="J11" i="68"/>
  <c r="K14" i="68"/>
  <c r="K14" i="43" s="1"/>
  <c r="L14" i="68"/>
  <c r="L11" i="68"/>
  <c r="N14" i="68"/>
  <c r="N11" i="68"/>
  <c r="M15" i="68"/>
  <c r="O15" i="68"/>
  <c r="M16" i="68"/>
  <c r="O16" i="68"/>
  <c r="I16" i="42" s="1"/>
  <c r="M17" i="68"/>
  <c r="O17" i="68"/>
  <c r="I18" i="68"/>
  <c r="I18" i="43" s="1"/>
  <c r="J18" i="68"/>
  <c r="J18" i="43" s="1"/>
  <c r="K18" i="68"/>
  <c r="L18" i="68"/>
  <c r="N18" i="68"/>
  <c r="M19" i="68"/>
  <c r="M20" i="68"/>
  <c r="O20" i="68"/>
  <c r="I24" i="68"/>
  <c r="I24" i="43"/>
  <c r="J24" i="68"/>
  <c r="K24" i="68"/>
  <c r="L24" i="68"/>
  <c r="N24" i="68"/>
  <c r="N24" i="43" s="1"/>
  <c r="M25" i="68"/>
  <c r="O25" i="68"/>
  <c r="M26" i="68"/>
  <c r="O26" i="68"/>
  <c r="M27" i="68"/>
  <c r="I28" i="68"/>
  <c r="M28" i="68" s="1"/>
  <c r="J28" i="68"/>
  <c r="K28" i="68"/>
  <c r="L28" i="68"/>
  <c r="L28" i="43"/>
  <c r="N28" i="68"/>
  <c r="M29" i="68"/>
  <c r="M30" i="68"/>
  <c r="O30" i="68"/>
  <c r="I30" i="42" s="1"/>
  <c r="M31" i="68"/>
  <c r="O31" i="68"/>
  <c r="M33" i="68"/>
  <c r="M38" i="68"/>
  <c r="O38" i="68"/>
  <c r="I38" i="42"/>
  <c r="P38" i="42"/>
  <c r="M39" i="68"/>
  <c r="I40" i="68"/>
  <c r="J40" i="68"/>
  <c r="M40" i="68" s="1"/>
  <c r="O40" i="68" s="1"/>
  <c r="I40" i="42" s="1"/>
  <c r="K40" i="68"/>
  <c r="L40" i="68"/>
  <c r="N40" i="68"/>
  <c r="M44" i="68"/>
  <c r="O44" i="68"/>
  <c r="I44" i="42"/>
  <c r="P44" i="42" s="1"/>
  <c r="M47" i="68"/>
  <c r="O47" i="68"/>
  <c r="I47" i="42"/>
  <c r="M48" i="68"/>
  <c r="O48" i="68"/>
  <c r="I48" i="42"/>
  <c r="P48" i="42" s="1"/>
  <c r="I50" i="68"/>
  <c r="I51" i="68"/>
  <c r="J51" i="68"/>
  <c r="J50" i="68" s="1"/>
  <c r="K51" i="68"/>
  <c r="K50" i="68" s="1"/>
  <c r="L51" i="68"/>
  <c r="L50" i="68"/>
  <c r="N51" i="68"/>
  <c r="N50" i="68" s="1"/>
  <c r="M52" i="68"/>
  <c r="M53" i="68"/>
  <c r="O53" i="68"/>
  <c r="O53" i="43"/>
  <c r="M54" i="68"/>
  <c r="M55" i="68"/>
  <c r="O55" i="68"/>
  <c r="M56" i="68"/>
  <c r="O56" i="68" s="1"/>
  <c r="O56" i="43" s="1"/>
  <c r="M57" i="68"/>
  <c r="O57" i="68"/>
  <c r="M58" i="68"/>
  <c r="I59" i="68"/>
  <c r="J59" i="68"/>
  <c r="N59" i="68"/>
  <c r="I60" i="68"/>
  <c r="J60" i="68"/>
  <c r="K60" i="68"/>
  <c r="K60" i="43"/>
  <c r="L60" i="68"/>
  <c r="L59" i="68"/>
  <c r="N60" i="68"/>
  <c r="M61" i="68"/>
  <c r="O61" i="68" s="1"/>
  <c r="O61" i="43" s="1"/>
  <c r="M62" i="68"/>
  <c r="O62" i="68"/>
  <c r="M63" i="68"/>
  <c r="M64" i="68"/>
  <c r="O64" i="68"/>
  <c r="O64" i="43"/>
  <c r="M65" i="68"/>
  <c r="O65" i="68"/>
  <c r="L67" i="68"/>
  <c r="L66" i="68" s="1"/>
  <c r="M68" i="68"/>
  <c r="O68" i="68"/>
  <c r="I69" i="68"/>
  <c r="I67" i="68" s="1"/>
  <c r="J69" i="68"/>
  <c r="K69" i="68"/>
  <c r="K69" i="43"/>
  <c r="L69" i="68"/>
  <c r="N69" i="68"/>
  <c r="N67" i="68"/>
  <c r="N66" i="68" s="1"/>
  <c r="N66" i="43" s="1"/>
  <c r="M70" i="68"/>
  <c r="O70" i="68" s="1"/>
  <c r="M71" i="68"/>
  <c r="O71" i="68"/>
  <c r="O71" i="43"/>
  <c r="M72" i="68"/>
  <c r="O72" i="68"/>
  <c r="M73" i="68"/>
  <c r="O73" i="68"/>
  <c r="O73" i="43" s="1"/>
  <c r="I74" i="68"/>
  <c r="J74" i="68"/>
  <c r="J74" i="43" s="1"/>
  <c r="K74" i="68"/>
  <c r="K74" i="43" s="1"/>
  <c r="L74" i="68"/>
  <c r="L74" i="43"/>
  <c r="N74" i="68"/>
  <c r="N74" i="43" s="1"/>
  <c r="M75" i="68"/>
  <c r="O75" i="68" s="1"/>
  <c r="I67" i="42" s="1"/>
  <c r="P67" i="42" s="1"/>
  <c r="M76" i="68"/>
  <c r="O76" i="68"/>
  <c r="M77" i="68"/>
  <c r="I78" i="68"/>
  <c r="I78" i="43" s="1"/>
  <c r="J78" i="68"/>
  <c r="K78" i="68"/>
  <c r="L78" i="68"/>
  <c r="N78" i="68"/>
  <c r="N78" i="43"/>
  <c r="M79" i="68"/>
  <c r="M79" i="43" s="1"/>
  <c r="O79" i="68"/>
  <c r="M80" i="68"/>
  <c r="O80" i="68"/>
  <c r="M81" i="68"/>
  <c r="M81" i="43" s="1"/>
  <c r="O81" i="68"/>
  <c r="N83" i="68"/>
  <c r="I12" i="43"/>
  <c r="J12" i="43"/>
  <c r="K12" i="43"/>
  <c r="L12" i="43"/>
  <c r="M12" i="43"/>
  <c r="N12" i="43"/>
  <c r="I13" i="43"/>
  <c r="J13" i="43"/>
  <c r="K13" i="43"/>
  <c r="L13" i="43"/>
  <c r="N13" i="43"/>
  <c r="I15" i="43"/>
  <c r="J15" i="43"/>
  <c r="K15" i="43"/>
  <c r="L15" i="43"/>
  <c r="N15" i="43"/>
  <c r="I16" i="43"/>
  <c r="J16" i="43"/>
  <c r="K16" i="43"/>
  <c r="L16" i="43"/>
  <c r="N16" i="43"/>
  <c r="I17" i="43"/>
  <c r="J17" i="43"/>
  <c r="K17" i="43"/>
  <c r="L17" i="43"/>
  <c r="N17" i="43"/>
  <c r="K18" i="43"/>
  <c r="N18" i="43"/>
  <c r="I19" i="43"/>
  <c r="J19" i="43"/>
  <c r="K19" i="43"/>
  <c r="L19" i="43"/>
  <c r="N19" i="43"/>
  <c r="I20" i="43"/>
  <c r="J20" i="43"/>
  <c r="K20" i="43"/>
  <c r="L20" i="43"/>
  <c r="N20" i="43"/>
  <c r="I21" i="43"/>
  <c r="J21" i="43"/>
  <c r="K21" i="43"/>
  <c r="L21" i="43"/>
  <c r="N21" i="43"/>
  <c r="I25" i="43"/>
  <c r="J25" i="43"/>
  <c r="K25" i="43"/>
  <c r="L25" i="43"/>
  <c r="N25" i="43"/>
  <c r="I26" i="43"/>
  <c r="J26" i="43"/>
  <c r="K26" i="43"/>
  <c r="L26" i="43"/>
  <c r="N26" i="43"/>
  <c r="I27" i="43"/>
  <c r="J27" i="43"/>
  <c r="K27" i="43"/>
  <c r="L27" i="43"/>
  <c r="N27" i="43"/>
  <c r="I29" i="43"/>
  <c r="J29" i="43"/>
  <c r="K29" i="43"/>
  <c r="L29" i="43"/>
  <c r="N29" i="43"/>
  <c r="I30" i="43"/>
  <c r="J30" i="43"/>
  <c r="K30" i="43"/>
  <c r="L30" i="43"/>
  <c r="M30" i="43"/>
  <c r="N30" i="43"/>
  <c r="I31" i="43"/>
  <c r="J31" i="43"/>
  <c r="K31" i="43"/>
  <c r="L31" i="43"/>
  <c r="N31" i="43"/>
  <c r="J32" i="43"/>
  <c r="L32" i="43"/>
  <c r="I33" i="43"/>
  <c r="J33" i="43"/>
  <c r="K33" i="43"/>
  <c r="L33" i="43"/>
  <c r="N33" i="43"/>
  <c r="I38" i="43"/>
  <c r="J38" i="43"/>
  <c r="K38" i="43"/>
  <c r="L38" i="43"/>
  <c r="N38" i="43"/>
  <c r="I39" i="43"/>
  <c r="J39" i="43"/>
  <c r="K39" i="43"/>
  <c r="L39" i="43"/>
  <c r="N39" i="43"/>
  <c r="L40" i="43"/>
  <c r="N40" i="43"/>
  <c r="I41" i="43"/>
  <c r="J41" i="43"/>
  <c r="K41" i="43"/>
  <c r="L41" i="43"/>
  <c r="N41" i="43"/>
  <c r="O41" i="43"/>
  <c r="I42" i="43"/>
  <c r="J42" i="43"/>
  <c r="K42" i="43"/>
  <c r="L42" i="43"/>
  <c r="M42" i="43"/>
  <c r="N42" i="43"/>
  <c r="I43" i="43"/>
  <c r="J43" i="43"/>
  <c r="K43" i="43"/>
  <c r="L43" i="43"/>
  <c r="M43" i="43"/>
  <c r="N43" i="43"/>
  <c r="I44" i="43"/>
  <c r="J44" i="43"/>
  <c r="K44" i="43"/>
  <c r="L44" i="43"/>
  <c r="M44" i="43"/>
  <c r="N44" i="43"/>
  <c r="I47" i="43"/>
  <c r="J47" i="43"/>
  <c r="K47" i="43"/>
  <c r="L47" i="43"/>
  <c r="N47" i="43"/>
  <c r="I48" i="43"/>
  <c r="J48" i="43"/>
  <c r="K48" i="43"/>
  <c r="L48" i="43"/>
  <c r="N48" i="43"/>
  <c r="K51" i="43"/>
  <c r="I52" i="43"/>
  <c r="J52" i="43"/>
  <c r="K52" i="43"/>
  <c r="L52" i="43"/>
  <c r="N52" i="43"/>
  <c r="I53" i="43"/>
  <c r="J53" i="43"/>
  <c r="K53" i="43"/>
  <c r="L53" i="43"/>
  <c r="M53" i="43"/>
  <c r="N53" i="43"/>
  <c r="I54" i="43"/>
  <c r="J54" i="43"/>
  <c r="K54" i="43"/>
  <c r="L54" i="43"/>
  <c r="N54" i="43"/>
  <c r="I55" i="43"/>
  <c r="J55" i="43"/>
  <c r="K55" i="43"/>
  <c r="L55" i="43"/>
  <c r="N55" i="43"/>
  <c r="I56" i="43"/>
  <c r="J56" i="43"/>
  <c r="K56" i="43"/>
  <c r="L56" i="43"/>
  <c r="N56" i="43"/>
  <c r="I57" i="43"/>
  <c r="J57" i="43"/>
  <c r="K57" i="43"/>
  <c r="L57" i="43"/>
  <c r="N57" i="43"/>
  <c r="I58" i="43"/>
  <c r="J58" i="43"/>
  <c r="K58" i="43"/>
  <c r="L58" i="43"/>
  <c r="N58" i="43"/>
  <c r="I61" i="43"/>
  <c r="J61" i="43"/>
  <c r="K61" i="43"/>
  <c r="L61" i="43"/>
  <c r="M61" i="43"/>
  <c r="N61" i="43"/>
  <c r="I62" i="43"/>
  <c r="J62" i="43"/>
  <c r="K62" i="43"/>
  <c r="L62" i="43"/>
  <c r="N62" i="43"/>
  <c r="I63" i="43"/>
  <c r="J63" i="43"/>
  <c r="K63" i="43"/>
  <c r="L63" i="43"/>
  <c r="N63" i="43"/>
  <c r="I64" i="43"/>
  <c r="J64" i="43"/>
  <c r="K64" i="43"/>
  <c r="L64" i="43"/>
  <c r="N64" i="43"/>
  <c r="I65" i="43"/>
  <c r="J65" i="43"/>
  <c r="K65" i="43"/>
  <c r="L65" i="43"/>
  <c r="N65" i="43"/>
  <c r="I68" i="43"/>
  <c r="J68" i="43"/>
  <c r="K68" i="43"/>
  <c r="L68" i="43"/>
  <c r="N68" i="43"/>
  <c r="I69" i="43"/>
  <c r="N69" i="43"/>
  <c r="I70" i="43"/>
  <c r="J70" i="43"/>
  <c r="K70" i="43"/>
  <c r="L70" i="43"/>
  <c r="N70" i="43"/>
  <c r="I71" i="43"/>
  <c r="J71" i="43"/>
  <c r="K71" i="43"/>
  <c r="L71" i="43"/>
  <c r="N71" i="43"/>
  <c r="I72" i="43"/>
  <c r="J72" i="43"/>
  <c r="K72" i="43"/>
  <c r="L72" i="43"/>
  <c r="N72" i="43"/>
  <c r="I73" i="43"/>
  <c r="J73" i="43"/>
  <c r="K73" i="43"/>
  <c r="L73" i="43"/>
  <c r="M73" i="43"/>
  <c r="N73" i="43"/>
  <c r="I75" i="43"/>
  <c r="J75" i="43"/>
  <c r="K75" i="43"/>
  <c r="L75" i="43"/>
  <c r="N75" i="43"/>
  <c r="I76" i="43"/>
  <c r="J76" i="43"/>
  <c r="K76" i="43"/>
  <c r="L76" i="43"/>
  <c r="M76" i="43"/>
  <c r="N76" i="43"/>
  <c r="I77" i="43"/>
  <c r="J77" i="43"/>
  <c r="K77" i="43"/>
  <c r="L77" i="43"/>
  <c r="N77" i="43"/>
  <c r="K78" i="43"/>
  <c r="L78" i="43"/>
  <c r="I79" i="43"/>
  <c r="J79" i="43"/>
  <c r="K79" i="43"/>
  <c r="L79" i="43"/>
  <c r="N79" i="43"/>
  <c r="I80" i="43"/>
  <c r="J80" i="43"/>
  <c r="K80" i="43"/>
  <c r="L80" i="43"/>
  <c r="M80" i="43"/>
  <c r="N80" i="43"/>
  <c r="I81" i="43"/>
  <c r="J81" i="43"/>
  <c r="K81" i="43"/>
  <c r="L81" i="43"/>
  <c r="N81" i="43"/>
  <c r="I83" i="43"/>
  <c r="N83" i="43"/>
  <c r="J83" i="43"/>
  <c r="K83" i="43"/>
  <c r="L83" i="43"/>
  <c r="L12" i="42"/>
  <c r="O12" i="42"/>
  <c r="N13" i="42"/>
  <c r="M14" i="42"/>
  <c r="N14" i="42"/>
  <c r="O15" i="42"/>
  <c r="J16" i="42"/>
  <c r="O16" i="42"/>
  <c r="K17" i="42"/>
  <c r="P17" i="42" s="1"/>
  <c r="L17" i="42"/>
  <c r="N17" i="42"/>
  <c r="O17" i="42"/>
  <c r="J19" i="42"/>
  <c r="N19" i="42"/>
  <c r="L20" i="42"/>
  <c r="N20" i="42"/>
  <c r="K21" i="42"/>
  <c r="M21" i="42"/>
  <c r="N21" i="42"/>
  <c r="O21" i="42"/>
  <c r="N26" i="42"/>
  <c r="N30" i="42"/>
  <c r="O31" i="42"/>
  <c r="N33" i="42"/>
  <c r="N38" i="42"/>
  <c r="O38" i="42"/>
  <c r="O39" i="42"/>
  <c r="O41" i="42"/>
  <c r="N44" i="42"/>
  <c r="P50" i="42"/>
  <c r="P51" i="42"/>
  <c r="P53" i="42"/>
  <c r="P55" i="42"/>
  <c r="P57" i="42"/>
  <c r="I58" i="42"/>
  <c r="P58" i="42" s="1"/>
  <c r="J58" i="42"/>
  <c r="K58" i="42"/>
  <c r="L58" i="42"/>
  <c r="M58" i="42"/>
  <c r="N58" i="42"/>
  <c r="O58" i="42"/>
  <c r="P59" i="42"/>
  <c r="P60" i="42"/>
  <c r="I61" i="42"/>
  <c r="J61" i="42"/>
  <c r="K61" i="42"/>
  <c r="L61" i="42"/>
  <c r="M61" i="42"/>
  <c r="N61" i="42"/>
  <c r="O61" i="42"/>
  <c r="P62" i="42"/>
  <c r="P63" i="42"/>
  <c r="P64" i="42"/>
  <c r="N67" i="42"/>
  <c r="K68" i="42"/>
  <c r="O68" i="42"/>
  <c r="K69" i="42"/>
  <c r="N69" i="42"/>
  <c r="O69" i="42"/>
  <c r="I71" i="42"/>
  <c r="J71" i="42"/>
  <c r="K71" i="42"/>
  <c r="O71" i="42"/>
  <c r="I72" i="42"/>
  <c r="P72" i="42" s="1"/>
  <c r="O72" i="42"/>
  <c r="I73" i="42"/>
  <c r="L73" i="42"/>
  <c r="M73" i="42"/>
  <c r="I75" i="42"/>
  <c r="J75" i="42"/>
  <c r="K75" i="42"/>
  <c r="L75" i="42"/>
  <c r="M75" i="42"/>
  <c r="P75" i="42" s="1"/>
  <c r="N75" i="42"/>
  <c r="O75" i="42"/>
  <c r="P76" i="42"/>
  <c r="P77" i="42"/>
  <c r="P78" i="42"/>
  <c r="P80" i="42"/>
  <c r="I81" i="42"/>
  <c r="I79" i="42"/>
  <c r="J81" i="42"/>
  <c r="J79" i="42"/>
  <c r="K81" i="42"/>
  <c r="K79" i="42" s="1"/>
  <c r="L81" i="42"/>
  <c r="L79" i="42"/>
  <c r="M81" i="42"/>
  <c r="M79" i="42" s="1"/>
  <c r="N81" i="42"/>
  <c r="N79" i="42"/>
  <c r="O81" i="42"/>
  <c r="O79" i="42" s="1"/>
  <c r="P82" i="42"/>
  <c r="P83" i="42"/>
  <c r="P84" i="42"/>
  <c r="P85" i="42"/>
  <c r="P86" i="42"/>
  <c r="P87" i="42"/>
  <c r="P88" i="42"/>
  <c r="P90" i="42"/>
  <c r="P91" i="42"/>
  <c r="P92" i="42"/>
  <c r="P93" i="42"/>
  <c r="I12" i="41"/>
  <c r="J12" i="41"/>
  <c r="K12" i="41"/>
  <c r="K11" i="41" s="1"/>
  <c r="AA12" i="41"/>
  <c r="L12" i="41"/>
  <c r="M12" i="41"/>
  <c r="N12" i="41"/>
  <c r="O12" i="41"/>
  <c r="AE12" i="41"/>
  <c r="Q12" i="41"/>
  <c r="X12" i="41" s="1"/>
  <c r="R12" i="41"/>
  <c r="S12" i="41"/>
  <c r="T12" i="41"/>
  <c r="T11" i="41" s="1"/>
  <c r="T22" i="41" s="1"/>
  <c r="U12" i="41"/>
  <c r="AC12" i="41"/>
  <c r="V12" i="41"/>
  <c r="W12" i="41"/>
  <c r="Z12" i="41"/>
  <c r="AD12" i="41"/>
  <c r="P13" i="41"/>
  <c r="X13" i="41"/>
  <c r="Y13" i="41"/>
  <c r="Z13" i="41"/>
  <c r="AA13" i="41"/>
  <c r="AD13" i="41"/>
  <c r="AE13" i="41"/>
  <c r="AF13" i="41" s="1"/>
  <c r="P14" i="41"/>
  <c r="X14" i="41"/>
  <c r="AB14" i="41"/>
  <c r="AC14" i="41"/>
  <c r="AF14" i="41" s="1"/>
  <c r="AD14" i="41"/>
  <c r="AE14" i="41"/>
  <c r="I15" i="41"/>
  <c r="J15" i="41"/>
  <c r="Z15" i="41" s="1"/>
  <c r="K15" i="41"/>
  <c r="L15" i="41"/>
  <c r="L11" i="41" s="1"/>
  <c r="M15" i="41"/>
  <c r="AC15" i="41" s="1"/>
  <c r="N15" i="41"/>
  <c r="AD15" i="41" s="1"/>
  <c r="O15" i="41"/>
  <c r="Q15" i="41"/>
  <c r="R15" i="41"/>
  <c r="R11" i="41" s="1"/>
  <c r="S15" i="41"/>
  <c r="T15" i="41"/>
  <c r="U15" i="41"/>
  <c r="V15" i="41"/>
  <c r="W15" i="41"/>
  <c r="W11" i="41"/>
  <c r="W22" i="41" s="1"/>
  <c r="AA15" i="41"/>
  <c r="AB15" i="41"/>
  <c r="P16" i="41"/>
  <c r="X16" i="41"/>
  <c r="Y16" i="41"/>
  <c r="Z16" i="41"/>
  <c r="AA16" i="41"/>
  <c r="AD16" i="41"/>
  <c r="AE16" i="41"/>
  <c r="P17" i="41"/>
  <c r="X17" i="41"/>
  <c r="AB17" i="41"/>
  <c r="AC17" i="41"/>
  <c r="AD17" i="41"/>
  <c r="AE17" i="41"/>
  <c r="AF17" i="41" s="1"/>
  <c r="P18" i="41"/>
  <c r="X18" i="41"/>
  <c r="Y18" i="41"/>
  <c r="AB18" i="41"/>
  <c r="AC18" i="41"/>
  <c r="AD18" i="41"/>
  <c r="AE18" i="41"/>
  <c r="J19" i="41"/>
  <c r="K19" i="41"/>
  <c r="L19" i="41"/>
  <c r="AB19" i="41"/>
  <c r="M19" i="41"/>
  <c r="N19" i="41"/>
  <c r="O19" i="41"/>
  <c r="AE19" i="41" s="1"/>
  <c r="P19" i="41"/>
  <c r="R19" i="41"/>
  <c r="S19" i="41"/>
  <c r="T19" i="41"/>
  <c r="U19" i="41"/>
  <c r="AC19" i="41" s="1"/>
  <c r="V19" i="41"/>
  <c r="W19" i="41"/>
  <c r="Z19" i="41"/>
  <c r="AD19" i="41"/>
  <c r="P20" i="41"/>
  <c r="X20" i="41"/>
  <c r="Z20" i="41"/>
  <c r="AA20" i="41"/>
  <c r="AB20" i="41"/>
  <c r="AC20" i="41"/>
  <c r="AD20" i="41"/>
  <c r="AE20" i="41"/>
  <c r="P21" i="41"/>
  <c r="X21" i="41"/>
  <c r="Z21" i="41"/>
  <c r="AA21" i="41"/>
  <c r="AF21" i="41" s="1"/>
  <c r="AB21" i="41"/>
  <c r="AC21" i="41"/>
  <c r="AD21" i="41"/>
  <c r="AE21" i="41"/>
  <c r="I25" i="41"/>
  <c r="J25" i="41"/>
  <c r="K25" i="41"/>
  <c r="L25" i="41"/>
  <c r="M25" i="41"/>
  <c r="M24" i="41"/>
  <c r="N25" i="41"/>
  <c r="AD25" i="41" s="1"/>
  <c r="O25" i="41"/>
  <c r="Q25" i="41"/>
  <c r="X25" i="41"/>
  <c r="R25" i="41"/>
  <c r="R24" i="41" s="1"/>
  <c r="R35" i="41" s="1"/>
  <c r="S25" i="41"/>
  <c r="T25" i="41"/>
  <c r="U25" i="41"/>
  <c r="V25" i="41"/>
  <c r="W25" i="41"/>
  <c r="Y25" i="41"/>
  <c r="AB25" i="41"/>
  <c r="AC25" i="41"/>
  <c r="AE25" i="41"/>
  <c r="P26" i="41"/>
  <c r="X26" i="41"/>
  <c r="Y26" i="41"/>
  <c r="Z26" i="41"/>
  <c r="AA26" i="41"/>
  <c r="AF26" i="41"/>
  <c r="AD26" i="41"/>
  <c r="AE26" i="41"/>
  <c r="P27" i="41"/>
  <c r="X27" i="41"/>
  <c r="AB27" i="41"/>
  <c r="AC27" i="41"/>
  <c r="AD27" i="41"/>
  <c r="AE27" i="41"/>
  <c r="AF27" i="41" s="1"/>
  <c r="I28" i="41"/>
  <c r="J28" i="41"/>
  <c r="K28" i="41"/>
  <c r="P28" i="41" s="1"/>
  <c r="L28" i="41"/>
  <c r="M28" i="41"/>
  <c r="N28" i="41"/>
  <c r="AD28" i="41" s="1"/>
  <c r="O28" i="41"/>
  <c r="O24" i="41"/>
  <c r="Q28" i="41"/>
  <c r="Q24" i="41" s="1"/>
  <c r="R28" i="41"/>
  <c r="Z28" i="41" s="1"/>
  <c r="S28" i="41"/>
  <c r="S24" i="41"/>
  <c r="S35" i="41"/>
  <c r="T28" i="41"/>
  <c r="AB28" i="41" s="1"/>
  <c r="U28" i="41"/>
  <c r="U24" i="41" s="1"/>
  <c r="U35" i="41" s="1"/>
  <c r="V28" i="41"/>
  <c r="W28" i="41"/>
  <c r="AC28" i="41"/>
  <c r="P29" i="41"/>
  <c r="X29" i="41"/>
  <c r="Y29" i="41"/>
  <c r="Z29" i="41"/>
  <c r="AA29" i="41"/>
  <c r="AF29" i="41"/>
  <c r="AD29" i="41"/>
  <c r="AE29" i="41"/>
  <c r="P30" i="41"/>
  <c r="X30" i="41"/>
  <c r="AB30" i="41"/>
  <c r="AC30" i="41"/>
  <c r="AF30" i="41"/>
  <c r="AD30" i="41"/>
  <c r="AE30" i="41"/>
  <c r="P31" i="41"/>
  <c r="X31" i="41"/>
  <c r="Y31" i="41"/>
  <c r="Z31" i="41"/>
  <c r="AA31" i="41"/>
  <c r="AB31" i="41"/>
  <c r="AC31" i="41"/>
  <c r="AD31" i="41"/>
  <c r="AE31" i="41"/>
  <c r="J32" i="41"/>
  <c r="Z32" i="41" s="1"/>
  <c r="K32" i="41"/>
  <c r="L32" i="41"/>
  <c r="M32" i="41"/>
  <c r="N32" i="41"/>
  <c r="O32" i="41"/>
  <c r="P32" i="41" s="1"/>
  <c r="R32" i="41"/>
  <c r="S32" i="41"/>
  <c r="X32" i="41"/>
  <c r="T32" i="41"/>
  <c r="U32" i="41"/>
  <c r="V32" i="41"/>
  <c r="AD32" i="41"/>
  <c r="W32" i="41"/>
  <c r="AC32" i="41"/>
  <c r="P33" i="41"/>
  <c r="X33" i="41"/>
  <c r="Z33" i="41"/>
  <c r="AA33" i="41"/>
  <c r="AB33" i="41"/>
  <c r="AC33" i="41"/>
  <c r="AD33" i="41"/>
  <c r="AE33" i="41"/>
  <c r="AF33" i="41" s="1"/>
  <c r="P34" i="41"/>
  <c r="X34" i="41"/>
  <c r="Z34" i="41"/>
  <c r="AA34" i="41"/>
  <c r="AB34" i="41"/>
  <c r="AC34" i="41"/>
  <c r="AD34" i="41"/>
  <c r="AE34" i="41"/>
  <c r="I38" i="41"/>
  <c r="P38" i="41" s="1"/>
  <c r="J38" i="41"/>
  <c r="K38" i="41"/>
  <c r="L38" i="41"/>
  <c r="M38" i="41"/>
  <c r="N38" i="41"/>
  <c r="O38" i="41"/>
  <c r="Q38" i="41"/>
  <c r="R38" i="41"/>
  <c r="S38" i="41"/>
  <c r="T38" i="41"/>
  <c r="U38" i="41"/>
  <c r="V38" i="41"/>
  <c r="W38" i="41"/>
  <c r="Z38" i="41"/>
  <c r="AA38" i="41"/>
  <c r="AB38" i="41"/>
  <c r="AC38" i="41"/>
  <c r="AD38" i="41"/>
  <c r="AE38" i="41"/>
  <c r="P39" i="41"/>
  <c r="X39" i="41"/>
  <c r="Y39" i="41"/>
  <c r="Z39" i="41"/>
  <c r="AA39" i="41"/>
  <c r="AB39" i="41"/>
  <c r="AC39" i="41"/>
  <c r="AD39" i="41"/>
  <c r="AE39" i="41"/>
  <c r="P40" i="41"/>
  <c r="X40" i="41"/>
  <c r="Y40" i="41"/>
  <c r="AF40" i="41" s="1"/>
  <c r="Z40" i="41"/>
  <c r="AA40" i="41"/>
  <c r="AB40" i="41"/>
  <c r="AC40" i="41"/>
  <c r="AD40" i="41"/>
  <c r="AE40" i="41"/>
  <c r="P41" i="41"/>
  <c r="X41" i="41"/>
  <c r="Y41" i="41"/>
  <c r="AF41" i="41" s="1"/>
  <c r="Z41" i="41"/>
  <c r="AA41" i="41"/>
  <c r="AB41" i="41"/>
  <c r="AC41" i="41"/>
  <c r="AD41" i="41"/>
  <c r="AE41" i="41"/>
  <c r="P43" i="41"/>
  <c r="X43" i="41"/>
  <c r="Y43" i="41"/>
  <c r="Z43" i="41"/>
  <c r="AA43" i="41"/>
  <c r="AB43" i="41"/>
  <c r="AC43" i="41"/>
  <c r="AD43" i="41"/>
  <c r="AE43" i="41"/>
  <c r="I44" i="41"/>
  <c r="J44" i="41"/>
  <c r="J42" i="41" s="1"/>
  <c r="K44" i="41"/>
  <c r="AA44" i="41"/>
  <c r="K42" i="41"/>
  <c r="L44" i="41"/>
  <c r="L42" i="41"/>
  <c r="AB42" i="41" s="1"/>
  <c r="M44" i="41"/>
  <c r="M42" i="41"/>
  <c r="N44" i="41"/>
  <c r="N42" i="41" s="1"/>
  <c r="O44" i="41"/>
  <c r="AE44" i="41"/>
  <c r="O42" i="41"/>
  <c r="AE42" i="41" s="1"/>
  <c r="Q44" i="41"/>
  <c r="Q42" i="41"/>
  <c r="R44" i="41"/>
  <c r="R42" i="41" s="1"/>
  <c r="S44" i="41"/>
  <c r="S42" i="41"/>
  <c r="T44" i="41"/>
  <c r="T42" i="41" s="1"/>
  <c r="U44" i="41"/>
  <c r="AC44" i="41" s="1"/>
  <c r="U42" i="41"/>
  <c r="AC42" i="41" s="1"/>
  <c r="V44" i="41"/>
  <c r="V42" i="41" s="1"/>
  <c r="W44" i="41"/>
  <c r="W42" i="41"/>
  <c r="Y44" i="41"/>
  <c r="P45" i="41"/>
  <c r="X45" i="41"/>
  <c r="Y45" i="41"/>
  <c r="AF45" i="41" s="1"/>
  <c r="Z45" i="41"/>
  <c r="AA45" i="41"/>
  <c r="AB45" i="41"/>
  <c r="AC45" i="41"/>
  <c r="AD45" i="41"/>
  <c r="AE45" i="41"/>
  <c r="P46" i="41"/>
  <c r="X46" i="41"/>
  <c r="Y46" i="41"/>
  <c r="Z46" i="41"/>
  <c r="AA46" i="41"/>
  <c r="AB46" i="41"/>
  <c r="AC46" i="41"/>
  <c r="AD46" i="41"/>
  <c r="AE46" i="41"/>
  <c r="P47" i="41"/>
  <c r="X47" i="41"/>
  <c r="Y47" i="41"/>
  <c r="Z47" i="41"/>
  <c r="AA47" i="41"/>
  <c r="AB47" i="41"/>
  <c r="AC47" i="41"/>
  <c r="AD47" i="41"/>
  <c r="AE47" i="41"/>
  <c r="P48" i="41"/>
  <c r="X48" i="41"/>
  <c r="Y48" i="41"/>
  <c r="Z48" i="41"/>
  <c r="AA48" i="41"/>
  <c r="AB48" i="41"/>
  <c r="AC48" i="41"/>
  <c r="AD48" i="41"/>
  <c r="AE48" i="41"/>
  <c r="P49" i="41"/>
  <c r="X49" i="41"/>
  <c r="Y49" i="41"/>
  <c r="Z49" i="41"/>
  <c r="AA49" i="41"/>
  <c r="AB49" i="41"/>
  <c r="AC49" i="41"/>
  <c r="AD49" i="41"/>
  <c r="AE49" i="41"/>
  <c r="P50" i="41"/>
  <c r="X50" i="41"/>
  <c r="Y50" i="41"/>
  <c r="Z50" i="41"/>
  <c r="AA50" i="41"/>
  <c r="AB50" i="41"/>
  <c r="AC50" i="41"/>
  <c r="AD50" i="41"/>
  <c r="AE50" i="41"/>
  <c r="P51" i="41"/>
  <c r="X51" i="41"/>
  <c r="Y51" i="41"/>
  <c r="Z51" i="41"/>
  <c r="AA51" i="41"/>
  <c r="AB51" i="41"/>
  <c r="AC51" i="41"/>
  <c r="AD51" i="41"/>
  <c r="AE51" i="41"/>
  <c r="P53" i="41"/>
  <c r="X53" i="41"/>
  <c r="Y53" i="41"/>
  <c r="Z53" i="41"/>
  <c r="AA53" i="41"/>
  <c r="AB53" i="41"/>
  <c r="AC53" i="41"/>
  <c r="AD53" i="41"/>
  <c r="AE53" i="41"/>
  <c r="P54" i="41"/>
  <c r="X54" i="41"/>
  <c r="Y54" i="41"/>
  <c r="Z54" i="41"/>
  <c r="AA54" i="41"/>
  <c r="AB54" i="41"/>
  <c r="AC54" i="41"/>
  <c r="AF54" i="41" s="1"/>
  <c r="AD54" i="41"/>
  <c r="AE54" i="41"/>
  <c r="I55" i="41"/>
  <c r="I52" i="41"/>
  <c r="J55" i="41"/>
  <c r="J52" i="41"/>
  <c r="Z52" i="41" s="1"/>
  <c r="K55" i="41"/>
  <c r="K52" i="41" s="1"/>
  <c r="AA52" i="41" s="1"/>
  <c r="L55" i="41"/>
  <c r="L52" i="41"/>
  <c r="M55" i="41"/>
  <c r="M52" i="41"/>
  <c r="N55" i="41"/>
  <c r="N52" i="41"/>
  <c r="O55" i="41"/>
  <c r="Q55" i="41"/>
  <c r="Q52" i="41"/>
  <c r="R55" i="41"/>
  <c r="R52" i="41"/>
  <c r="S55" i="41"/>
  <c r="S52" i="41" s="1"/>
  <c r="T55" i="41"/>
  <c r="T52" i="41"/>
  <c r="U55" i="41"/>
  <c r="U52" i="41" s="1"/>
  <c r="V55" i="41"/>
  <c r="V52" i="41"/>
  <c r="W55" i="41"/>
  <c r="W52" i="41" s="1"/>
  <c r="AA55" i="41"/>
  <c r="AB55" i="41"/>
  <c r="P56" i="41"/>
  <c r="X56" i="41"/>
  <c r="Y56" i="41"/>
  <c r="AF56" i="41" s="1"/>
  <c r="Z56" i="41"/>
  <c r="AA56" i="41"/>
  <c r="AB56" i="41"/>
  <c r="AC56" i="41"/>
  <c r="AD56" i="41"/>
  <c r="AE56" i="41"/>
  <c r="P57" i="41"/>
  <c r="X57" i="41"/>
  <c r="Y57" i="41"/>
  <c r="Z57" i="41"/>
  <c r="AA57" i="41"/>
  <c r="AB57" i="41"/>
  <c r="AC57" i="41"/>
  <c r="AD57" i="41"/>
  <c r="AE57" i="41"/>
  <c r="P50" i="53"/>
  <c r="P53" i="53"/>
  <c r="L10" i="53"/>
  <c r="L34" i="53" s="1"/>
  <c r="M10" i="53"/>
  <c r="M34" i="53"/>
  <c r="K10" i="53"/>
  <c r="J10" i="53"/>
  <c r="J34" i="53"/>
  <c r="P11" i="53"/>
  <c r="P14" i="53"/>
  <c r="I10" i="53"/>
  <c r="AC10" i="71"/>
  <c r="AC27" i="71" s="1"/>
  <c r="Y10" i="71"/>
  <c r="AB10" i="71"/>
  <c r="AB27" i="71" s="1"/>
  <c r="Z10" i="71"/>
  <c r="Z27" i="71"/>
  <c r="Y27" i="71"/>
  <c r="T10" i="71"/>
  <c r="T27" i="71"/>
  <c r="R10" i="71"/>
  <c r="R27" i="71" s="1"/>
  <c r="S10" i="71"/>
  <c r="S27" i="71"/>
  <c r="Q10" i="71"/>
  <c r="X14" i="71"/>
  <c r="Q27" i="71"/>
  <c r="J10" i="71"/>
  <c r="J27" i="71" s="1"/>
  <c r="M10" i="71"/>
  <c r="M27" i="71"/>
  <c r="K10" i="71"/>
  <c r="K27" i="71" s="1"/>
  <c r="I10" i="71"/>
  <c r="I27" i="71"/>
  <c r="N40" i="7"/>
  <c r="I34" i="53"/>
  <c r="R12" i="78"/>
  <c r="R10" i="78"/>
  <c r="P12" i="78"/>
  <c r="P10" i="78" s="1"/>
  <c r="N12" i="78"/>
  <c r="N10" i="78"/>
  <c r="J12" i="78"/>
  <c r="J10" i="78" s="1"/>
  <c r="O12" i="78"/>
  <c r="O10" i="78"/>
  <c r="K12" i="78"/>
  <c r="K10" i="78"/>
  <c r="AV10" i="74"/>
  <c r="AV47" i="74" s="1"/>
  <c r="AN10" i="74"/>
  <c r="S45" i="9"/>
  <c r="O10" i="9"/>
  <c r="O45" i="9" s="1"/>
  <c r="M10" i="9"/>
  <c r="M45" i="9"/>
  <c r="I11" i="7"/>
  <c r="I10" i="9"/>
  <c r="P41" i="42"/>
  <c r="AN47" i="74"/>
  <c r="V22" i="9"/>
  <c r="O22" i="7" s="1"/>
  <c r="V23" i="9"/>
  <c r="U11" i="41"/>
  <c r="U22" i="41" s="1"/>
  <c r="U36" i="41" s="1"/>
  <c r="R22" i="41"/>
  <c r="S11" i="41"/>
  <c r="S22" i="41" s="1"/>
  <c r="S36" i="41" s="1"/>
  <c r="AF20" i="41"/>
  <c r="M11" i="41"/>
  <c r="J11" i="41"/>
  <c r="J22" i="41" s="1"/>
  <c r="AD15" i="73"/>
  <c r="AD12" i="73"/>
  <c r="S12" i="73"/>
  <c r="R14" i="55"/>
  <c r="AD30" i="79"/>
  <c r="AD11" i="74"/>
  <c r="AD10" i="74"/>
  <c r="AD47" i="74" s="1"/>
  <c r="AF53" i="41"/>
  <c r="AN11" i="75"/>
  <c r="AN10" i="75" s="1"/>
  <c r="AN47" i="75" s="1"/>
  <c r="V34" i="40"/>
  <c r="AY34" i="80"/>
  <c r="AF46" i="41"/>
  <c r="X44" i="41"/>
  <c r="V24" i="41"/>
  <c r="V35" i="41"/>
  <c r="N24" i="41"/>
  <c r="AD24" i="41" s="1"/>
  <c r="L24" i="41"/>
  <c r="V11" i="41"/>
  <c r="V22" i="41" s="1"/>
  <c r="V36" i="41" s="1"/>
  <c r="W24" i="41"/>
  <c r="Q35" i="41"/>
  <c r="I24" i="41"/>
  <c r="L35" i="41"/>
  <c r="AA19" i="41"/>
  <c r="AF19" i="41" s="1"/>
  <c r="M10" i="77"/>
  <c r="O35" i="41"/>
  <c r="AC24" i="41"/>
  <c r="M35" i="41"/>
  <c r="L22" i="41"/>
  <c r="O17" i="43"/>
  <c r="I17" i="42"/>
  <c r="N10" i="46"/>
  <c r="N45" i="46"/>
  <c r="AF44" i="41"/>
  <c r="Z42" i="41"/>
  <c r="L10" i="68"/>
  <c r="T11" i="65"/>
  <c r="J10" i="65"/>
  <c r="I25" i="42"/>
  <c r="P25" i="42"/>
  <c r="O25" i="43"/>
  <c r="R36" i="41"/>
  <c r="AD52" i="41"/>
  <c r="O15" i="43"/>
  <c r="I15" i="42"/>
  <c r="P15" i="42" s="1"/>
  <c r="S11" i="66"/>
  <c r="K22" i="41"/>
  <c r="X15" i="41"/>
  <c r="O39" i="68"/>
  <c r="M39" i="43"/>
  <c r="O29" i="68"/>
  <c r="M29" i="43"/>
  <c r="K28" i="43"/>
  <c r="O19" i="68"/>
  <c r="M19" i="43"/>
  <c r="T50" i="45"/>
  <c r="N50" i="43"/>
  <c r="N51" i="43"/>
  <c r="N10" i="45"/>
  <c r="N45" i="45" s="1"/>
  <c r="N82" i="45" s="1"/>
  <c r="Q67" i="46"/>
  <c r="U67" i="46"/>
  <c r="K40" i="43"/>
  <c r="S10" i="46"/>
  <c r="S45" i="46" s="1"/>
  <c r="L50" i="47"/>
  <c r="R50" i="47" s="1"/>
  <c r="V50" i="47"/>
  <c r="O28" i="8"/>
  <c r="R24" i="9"/>
  <c r="V24" i="9"/>
  <c r="T14" i="66"/>
  <c r="J11" i="66"/>
  <c r="L10" i="55"/>
  <c r="J53" i="69"/>
  <c r="J86" i="69"/>
  <c r="Y52" i="41"/>
  <c r="K24" i="41"/>
  <c r="I45" i="9"/>
  <c r="AA32" i="41"/>
  <c r="AE15" i="41"/>
  <c r="Y12" i="41"/>
  <c r="AF12" i="41" s="1"/>
  <c r="J67" i="68"/>
  <c r="M67" i="68" s="1"/>
  <c r="M69" i="68"/>
  <c r="O58" i="68"/>
  <c r="O58" i="43" s="1"/>
  <c r="M58" i="43"/>
  <c r="M24" i="68"/>
  <c r="O12" i="43"/>
  <c r="I12" i="42"/>
  <c r="P12" i="42"/>
  <c r="P66" i="45"/>
  <c r="R66" i="45" s="1"/>
  <c r="V66" i="45" s="1"/>
  <c r="R67" i="45"/>
  <c r="V67" i="45" s="1"/>
  <c r="V16" i="45"/>
  <c r="M16" i="43"/>
  <c r="P67" i="46"/>
  <c r="L69" i="43"/>
  <c r="M43" i="42"/>
  <c r="P43" i="42"/>
  <c r="O43" i="43"/>
  <c r="R40" i="46"/>
  <c r="K14" i="63"/>
  <c r="N33" i="63"/>
  <c r="L10" i="64"/>
  <c r="S28" i="67"/>
  <c r="Q34" i="46"/>
  <c r="U34" i="46" s="1"/>
  <c r="L34" i="42" s="1"/>
  <c r="M32" i="46"/>
  <c r="Q32" i="46" s="1"/>
  <c r="U32" i="46" s="1"/>
  <c r="L32" i="42" s="1"/>
  <c r="I35" i="77"/>
  <c r="I35" i="78"/>
  <c r="X24" i="41"/>
  <c r="Q11" i="41"/>
  <c r="O11" i="41"/>
  <c r="X28" i="41"/>
  <c r="N10" i="9"/>
  <c r="N45" i="9"/>
  <c r="AD55" i="41"/>
  <c r="Z55" i="41"/>
  <c r="AE28" i="41"/>
  <c r="AA28" i="41"/>
  <c r="AB12" i="41"/>
  <c r="M75" i="43"/>
  <c r="M64" i="43"/>
  <c r="L60" i="43"/>
  <c r="M57" i="43"/>
  <c r="L51" i="43"/>
  <c r="M38" i="43"/>
  <c r="M31" i="43"/>
  <c r="M26" i="43"/>
  <c r="M15" i="43"/>
  <c r="O75" i="43"/>
  <c r="M71" i="43"/>
  <c r="N67" i="43"/>
  <c r="I67" i="43"/>
  <c r="I66" i="68"/>
  <c r="K67" i="68"/>
  <c r="O63" i="68"/>
  <c r="O63" i="43"/>
  <c r="M63" i="43"/>
  <c r="M60" i="68"/>
  <c r="K59" i="68"/>
  <c r="K59" i="43"/>
  <c r="O57" i="43"/>
  <c r="L24" i="43"/>
  <c r="I20" i="42"/>
  <c r="P20" i="42"/>
  <c r="O20" i="43"/>
  <c r="M14" i="68"/>
  <c r="I11" i="68"/>
  <c r="I14" i="43"/>
  <c r="R69" i="45"/>
  <c r="V69" i="45"/>
  <c r="V62" i="45"/>
  <c r="O62" i="43" s="1"/>
  <c r="M62" i="43"/>
  <c r="Q59" i="45"/>
  <c r="U59" i="45"/>
  <c r="Q50" i="45"/>
  <c r="U50" i="45" s="1"/>
  <c r="V47" i="45"/>
  <c r="M47" i="43"/>
  <c r="P11" i="45"/>
  <c r="L11" i="43"/>
  <c r="R14" i="45"/>
  <c r="V14" i="45" s="1"/>
  <c r="K14" i="42" s="1"/>
  <c r="L11" i="45"/>
  <c r="L10" i="45" s="1"/>
  <c r="L45" i="45" s="1"/>
  <c r="J14" i="43"/>
  <c r="Q74" i="46"/>
  <c r="U74" i="46"/>
  <c r="L66" i="42"/>
  <c r="K59" i="46"/>
  <c r="Q59" i="46" s="1"/>
  <c r="U59" i="46" s="1"/>
  <c r="Q60" i="46"/>
  <c r="U60" i="46" s="1"/>
  <c r="K50" i="46"/>
  <c r="Q50" i="46"/>
  <c r="U50" i="46"/>
  <c r="Q51" i="46"/>
  <c r="U51" i="46" s="1"/>
  <c r="O10" i="46"/>
  <c r="Q18" i="46"/>
  <c r="U18" i="46" s="1"/>
  <c r="L18" i="42" s="1"/>
  <c r="R28" i="47"/>
  <c r="V28" i="47"/>
  <c r="O28" i="42"/>
  <c r="Q18" i="47"/>
  <c r="U18" i="47" s="1"/>
  <c r="N18" i="42" s="1"/>
  <c r="L11" i="47"/>
  <c r="R14" i="47"/>
  <c r="V14" i="47" s="1"/>
  <c r="O14" i="42" s="1"/>
  <c r="O10" i="47"/>
  <c r="O45" i="47" s="1"/>
  <c r="O82" i="47" s="1"/>
  <c r="O15" i="8"/>
  <c r="O15" i="7" s="1"/>
  <c r="M15" i="7"/>
  <c r="M14" i="8"/>
  <c r="K11" i="8"/>
  <c r="K14" i="7"/>
  <c r="M25" i="7"/>
  <c r="K11" i="9"/>
  <c r="Q14" i="9"/>
  <c r="U14" i="9" s="1"/>
  <c r="U18" i="10"/>
  <c r="P11" i="10"/>
  <c r="R14" i="10"/>
  <c r="V14" i="10"/>
  <c r="L11" i="10"/>
  <c r="J14" i="7"/>
  <c r="R40" i="40"/>
  <c r="V40" i="40" s="1"/>
  <c r="K24" i="63"/>
  <c r="I18" i="63"/>
  <c r="N18" i="64"/>
  <c r="V10" i="65"/>
  <c r="V45" i="65" s="1"/>
  <c r="T40" i="66"/>
  <c r="AB12" i="79"/>
  <c r="L12" i="79"/>
  <c r="L11" i="73"/>
  <c r="AA25" i="57"/>
  <c r="J33" i="57"/>
  <c r="I25" i="54"/>
  <c r="AA19" i="57"/>
  <c r="J10" i="57"/>
  <c r="Q33" i="58"/>
  <c r="M33" i="58"/>
  <c r="I33" i="58"/>
  <c r="O76" i="43"/>
  <c r="I68" i="42"/>
  <c r="P68" i="42"/>
  <c r="O67" i="45"/>
  <c r="Q69" i="45"/>
  <c r="U69" i="45"/>
  <c r="T59" i="45"/>
  <c r="N59" i="43" s="1"/>
  <c r="N60" i="43"/>
  <c r="V55" i="45"/>
  <c r="O55" i="43" s="1"/>
  <c r="M55" i="43"/>
  <c r="M42" i="42"/>
  <c r="P42" i="42"/>
  <c r="O42" i="43"/>
  <c r="R18" i="9"/>
  <c r="V18" i="9"/>
  <c r="L18" i="7"/>
  <c r="V41" i="10"/>
  <c r="O41" i="7" s="1"/>
  <c r="M41" i="7"/>
  <c r="N10" i="65"/>
  <c r="N45" i="65" s="1"/>
  <c r="K11" i="63"/>
  <c r="T14" i="65"/>
  <c r="J33" i="55"/>
  <c r="O11" i="54"/>
  <c r="V10" i="56"/>
  <c r="M22" i="41"/>
  <c r="O48" i="43"/>
  <c r="AB44" i="41"/>
  <c r="M48" i="43"/>
  <c r="O44" i="43"/>
  <c r="O80" i="43"/>
  <c r="M78" i="68"/>
  <c r="J78" i="43"/>
  <c r="I31" i="42"/>
  <c r="P31" i="42"/>
  <c r="O31" i="43"/>
  <c r="M18" i="68"/>
  <c r="J10" i="68"/>
  <c r="J11" i="43"/>
  <c r="N10" i="68"/>
  <c r="S10" i="45"/>
  <c r="S45" i="45"/>
  <c r="L67" i="46"/>
  <c r="R69" i="46"/>
  <c r="V69" i="46" s="1"/>
  <c r="I66" i="46"/>
  <c r="Q28" i="46"/>
  <c r="U28" i="46"/>
  <c r="L28" i="42"/>
  <c r="R18" i="46"/>
  <c r="V18" i="46" s="1"/>
  <c r="M18" i="42" s="1"/>
  <c r="R67" i="47"/>
  <c r="V67" i="47" s="1"/>
  <c r="Q28" i="47"/>
  <c r="U28" i="47" s="1"/>
  <c r="N28" i="42" s="1"/>
  <c r="R24" i="47"/>
  <c r="V24" i="47"/>
  <c r="O24" i="42" s="1"/>
  <c r="V27" i="10"/>
  <c r="O27" i="7"/>
  <c r="M27" i="7"/>
  <c r="I10" i="10"/>
  <c r="I45" i="10"/>
  <c r="N10" i="40"/>
  <c r="N45" i="40" s="1"/>
  <c r="J40" i="63"/>
  <c r="S14" i="66"/>
  <c r="P12" i="41"/>
  <c r="Z22" i="41"/>
  <c r="X19" i="41"/>
  <c r="J24" i="41"/>
  <c r="P81" i="42"/>
  <c r="O38" i="43"/>
  <c r="Y55" i="41"/>
  <c r="AD44" i="41"/>
  <c r="Z44" i="41"/>
  <c r="M68" i="43"/>
  <c r="J50" i="43"/>
  <c r="I40" i="43"/>
  <c r="O30" i="43"/>
  <c r="J24" i="43"/>
  <c r="M17" i="43"/>
  <c r="O77" i="68"/>
  <c r="M77" i="43"/>
  <c r="M74" i="68"/>
  <c r="O68" i="43"/>
  <c r="M59" i="68"/>
  <c r="O54" i="68"/>
  <c r="O54" i="43"/>
  <c r="M54" i="43"/>
  <c r="M51" i="68"/>
  <c r="O33" i="68"/>
  <c r="M33" i="43"/>
  <c r="O27" i="68"/>
  <c r="M25" i="43"/>
  <c r="L18" i="43"/>
  <c r="O79" i="43"/>
  <c r="U78" i="45"/>
  <c r="J70" i="42" s="1"/>
  <c r="V74" i="45"/>
  <c r="K66" i="42"/>
  <c r="P59" i="45"/>
  <c r="R60" i="45"/>
  <c r="V60" i="45"/>
  <c r="L59" i="45"/>
  <c r="J60" i="43"/>
  <c r="P50" i="45"/>
  <c r="R51" i="45"/>
  <c r="V51" i="45" s="1"/>
  <c r="L50" i="45"/>
  <c r="J51" i="43"/>
  <c r="U28" i="45"/>
  <c r="J28" i="42" s="1"/>
  <c r="V24" i="45"/>
  <c r="K24" i="42"/>
  <c r="T11" i="45"/>
  <c r="N14" i="43"/>
  <c r="O10" i="45"/>
  <c r="Q11" i="45"/>
  <c r="U11" i="45" s="1"/>
  <c r="J11" i="42" s="1"/>
  <c r="V70" i="46"/>
  <c r="O70" i="43" s="1"/>
  <c r="M70" i="43"/>
  <c r="J50" i="46"/>
  <c r="R50" i="46" s="1"/>
  <c r="V50" i="46" s="1"/>
  <c r="I51" i="43"/>
  <c r="O45" i="46"/>
  <c r="O82" i="46" s="1"/>
  <c r="Q40" i="46"/>
  <c r="U40" i="46" s="1"/>
  <c r="L40" i="42" s="1"/>
  <c r="V13" i="46"/>
  <c r="M13" i="42" s="1"/>
  <c r="P13" i="42" s="1"/>
  <c r="M13" i="43"/>
  <c r="T10" i="46"/>
  <c r="T45" i="46" s="1"/>
  <c r="I10" i="46"/>
  <c r="Q11" i="46"/>
  <c r="U11" i="46"/>
  <c r="L11" i="42" s="1"/>
  <c r="Q74" i="47"/>
  <c r="U74" i="47"/>
  <c r="N66" i="42"/>
  <c r="Q67" i="47"/>
  <c r="U67" i="47" s="1"/>
  <c r="I66" i="47"/>
  <c r="Q66" i="47"/>
  <c r="U66" i="47" s="1"/>
  <c r="R18" i="47"/>
  <c r="V18" i="47"/>
  <c r="O18" i="42"/>
  <c r="T10" i="47"/>
  <c r="T45" i="47" s="1"/>
  <c r="M42" i="7"/>
  <c r="O33" i="7"/>
  <c r="O20" i="8"/>
  <c r="O20" i="7"/>
  <c r="M20" i="7"/>
  <c r="O17" i="8"/>
  <c r="O17" i="7" s="1"/>
  <c r="M17" i="7"/>
  <c r="V47" i="9"/>
  <c r="O47" i="7" s="1"/>
  <c r="M47" i="7"/>
  <c r="V30" i="9"/>
  <c r="O30" i="7"/>
  <c r="M30" i="7"/>
  <c r="Q24" i="9"/>
  <c r="U24" i="9"/>
  <c r="O16" i="7"/>
  <c r="V44" i="10"/>
  <c r="O44" i="7" s="1"/>
  <c r="M44" i="7"/>
  <c r="Q11" i="40"/>
  <c r="U11" i="40" s="1"/>
  <c r="S10" i="40"/>
  <c r="S45" i="40"/>
  <c r="I10" i="40"/>
  <c r="N30" i="63"/>
  <c r="N28" i="64"/>
  <c r="I28" i="63"/>
  <c r="O10" i="64"/>
  <c r="S28" i="65"/>
  <c r="O10" i="65"/>
  <c r="O45" i="65"/>
  <c r="K10" i="65"/>
  <c r="K45" i="65" s="1"/>
  <c r="V12" i="79"/>
  <c r="V11" i="73"/>
  <c r="AC11" i="74"/>
  <c r="AC10" i="74" s="1"/>
  <c r="AC47" i="74" s="1"/>
  <c r="AA25" i="58"/>
  <c r="K59" i="47"/>
  <c r="Q59" i="47"/>
  <c r="U59" i="47"/>
  <c r="Q60" i="47"/>
  <c r="U60" i="47" s="1"/>
  <c r="K50" i="47"/>
  <c r="Q50" i="47"/>
  <c r="U50" i="47" s="1"/>
  <c r="Q51" i="47"/>
  <c r="U51" i="47"/>
  <c r="N10" i="47"/>
  <c r="N45" i="47" s="1"/>
  <c r="N82" i="47" s="1"/>
  <c r="L40" i="7"/>
  <c r="O39" i="7"/>
  <c r="M33" i="7"/>
  <c r="M29" i="7"/>
  <c r="K18" i="7"/>
  <c r="V38" i="9"/>
  <c r="O38" i="7" s="1"/>
  <c r="M38" i="7"/>
  <c r="O42" i="7"/>
  <c r="K28" i="7"/>
  <c r="N10" i="10"/>
  <c r="N45" i="10"/>
  <c r="Q18" i="40"/>
  <c r="U18" i="40" s="1"/>
  <c r="L11" i="40"/>
  <c r="R14" i="40"/>
  <c r="V14" i="40"/>
  <c r="J10" i="40"/>
  <c r="M40" i="63"/>
  <c r="I40" i="63"/>
  <c r="N24" i="64"/>
  <c r="M14" i="63"/>
  <c r="M11" i="64"/>
  <c r="N14" i="64"/>
  <c r="I14" i="63"/>
  <c r="I11" i="64"/>
  <c r="W10" i="65"/>
  <c r="W45" i="65" s="1"/>
  <c r="S14" i="65"/>
  <c r="I11" i="65"/>
  <c r="S40" i="66"/>
  <c r="L10" i="66"/>
  <c r="L45" i="66" s="1"/>
  <c r="Q45" i="67"/>
  <c r="S40" i="67"/>
  <c r="T28" i="67"/>
  <c r="P10" i="67"/>
  <c r="P45" i="67" s="1"/>
  <c r="L10" i="67"/>
  <c r="AD25" i="73"/>
  <c r="U12" i="79"/>
  <c r="U11" i="73"/>
  <c r="I56" i="53"/>
  <c r="P56" i="53"/>
  <c r="P59" i="53"/>
  <c r="Q11" i="47"/>
  <c r="U11" i="47" s="1"/>
  <c r="N11" i="42" s="1"/>
  <c r="S10" i="47"/>
  <c r="S45" i="47" s="1"/>
  <c r="K10" i="47"/>
  <c r="K45" i="47"/>
  <c r="M40" i="8"/>
  <c r="K40" i="7"/>
  <c r="O26" i="8"/>
  <c r="O26" i="7" s="1"/>
  <c r="M26" i="7"/>
  <c r="I24" i="7"/>
  <c r="J18" i="7"/>
  <c r="M18" i="8"/>
  <c r="L24" i="7"/>
  <c r="T11" i="9"/>
  <c r="N14" i="7"/>
  <c r="V43" i="10"/>
  <c r="O43" i="7"/>
  <c r="M43" i="7"/>
  <c r="R40" i="10"/>
  <c r="V40" i="10" s="1"/>
  <c r="R28" i="10"/>
  <c r="V28" i="10"/>
  <c r="S10" i="10"/>
  <c r="S45" i="10" s="1"/>
  <c r="Q28" i="40"/>
  <c r="U28" i="40" s="1"/>
  <c r="R24" i="40"/>
  <c r="V24" i="40" s="1"/>
  <c r="O10" i="40"/>
  <c r="O45" i="40"/>
  <c r="N20" i="63"/>
  <c r="T28" i="65"/>
  <c r="J24" i="63"/>
  <c r="P10" i="65"/>
  <c r="P45" i="65" s="1"/>
  <c r="L10" i="65"/>
  <c r="L45" i="65"/>
  <c r="V45" i="67"/>
  <c r="L45" i="67"/>
  <c r="W10" i="67"/>
  <c r="W45" i="67"/>
  <c r="K10" i="67"/>
  <c r="K45" i="67" s="1"/>
  <c r="M12" i="79"/>
  <c r="M11" i="73"/>
  <c r="Z25" i="56"/>
  <c r="Q28" i="54"/>
  <c r="V25" i="56"/>
  <c r="O28" i="54"/>
  <c r="R25" i="56"/>
  <c r="M28" i="54"/>
  <c r="N25" i="56"/>
  <c r="AA28" i="56"/>
  <c r="K28" i="54"/>
  <c r="M33" i="56"/>
  <c r="R21" i="54"/>
  <c r="I53" i="70"/>
  <c r="M48" i="7"/>
  <c r="M31" i="7"/>
  <c r="S28" i="66"/>
  <c r="S18" i="67"/>
  <c r="AD53" i="79"/>
  <c r="AD49" i="79"/>
  <c r="T15" i="79"/>
  <c r="T12" i="73"/>
  <c r="Q15" i="79"/>
  <c r="M15" i="79"/>
  <c r="I15" i="79"/>
  <c r="AA12" i="73"/>
  <c r="Q12" i="73"/>
  <c r="I12" i="73"/>
  <c r="AB10" i="73"/>
  <c r="AY19" i="74"/>
  <c r="AJ11" i="74"/>
  <c r="AJ10" i="74"/>
  <c r="AJ47" i="74"/>
  <c r="AF11" i="74"/>
  <c r="AF10" i="74" s="1"/>
  <c r="AF47" i="74"/>
  <c r="Y11" i="74"/>
  <c r="Y10" i="74"/>
  <c r="Y47" i="74" s="1"/>
  <c r="I11" i="74"/>
  <c r="I10" i="74"/>
  <c r="I47" i="74"/>
  <c r="AC11" i="75"/>
  <c r="AC10" i="75"/>
  <c r="AC47" i="75"/>
  <c r="Y11" i="75"/>
  <c r="Y10" i="75" s="1"/>
  <c r="Y47" i="75"/>
  <c r="U11" i="75"/>
  <c r="U10" i="75" s="1"/>
  <c r="U47" i="75" s="1"/>
  <c r="Q11" i="75"/>
  <c r="Q10" i="75"/>
  <c r="Q47" i="75" s="1"/>
  <c r="M11" i="75"/>
  <c r="M10" i="75"/>
  <c r="M47" i="75"/>
  <c r="I11" i="75"/>
  <c r="I10" i="75" s="1"/>
  <c r="I47" i="75" s="1"/>
  <c r="AA11" i="75"/>
  <c r="AA10" i="75"/>
  <c r="AA47" i="75" s="1"/>
  <c r="AE11" i="71"/>
  <c r="AF14" i="71"/>
  <c r="P14" i="71"/>
  <c r="O11" i="71"/>
  <c r="P36" i="53"/>
  <c r="R17" i="54"/>
  <c r="M14" i="54"/>
  <c r="M11" i="55"/>
  <c r="I11" i="55"/>
  <c r="R30" i="54"/>
  <c r="AA14" i="56"/>
  <c r="K14" i="54"/>
  <c r="U10" i="56"/>
  <c r="U33" i="56"/>
  <c r="T10" i="57"/>
  <c r="AA19" i="58"/>
  <c r="P14" i="54"/>
  <c r="X11" i="58"/>
  <c r="X10" i="58" s="1"/>
  <c r="X33" i="58" s="1"/>
  <c r="L14" i="54"/>
  <c r="P11" i="58"/>
  <c r="P10" i="58" s="1"/>
  <c r="L11" i="58"/>
  <c r="L10" i="58"/>
  <c r="L33" i="58" s="1"/>
  <c r="J14" i="54"/>
  <c r="I53" i="69"/>
  <c r="J16" i="70"/>
  <c r="J53" i="70" s="1"/>
  <c r="J86" i="70" s="1"/>
  <c r="M22" i="43"/>
  <c r="O22" i="68"/>
  <c r="M23" i="7"/>
  <c r="O23" i="8"/>
  <c r="O23" i="7"/>
  <c r="S24" i="67"/>
  <c r="AD52" i="79"/>
  <c r="Z12" i="73"/>
  <c r="P12" i="73"/>
  <c r="AY15" i="74"/>
  <c r="AY12" i="74" s="1"/>
  <c r="T11" i="75"/>
  <c r="T10" i="75"/>
  <c r="T47" i="75" s="1"/>
  <c r="AD10" i="71"/>
  <c r="AD27" i="71" s="1"/>
  <c r="R16" i="54"/>
  <c r="O33" i="56"/>
  <c r="I33" i="56"/>
  <c r="P25" i="54"/>
  <c r="L52" i="61"/>
  <c r="L85" i="61" s="1"/>
  <c r="I32" i="66"/>
  <c r="S32" i="66" s="1"/>
  <c r="S34" i="66"/>
  <c r="K34" i="63"/>
  <c r="K32" i="64"/>
  <c r="K32" i="63" s="1"/>
  <c r="P32" i="64"/>
  <c r="P32" i="63" s="1"/>
  <c r="P34" i="63"/>
  <c r="AD33" i="79"/>
  <c r="Y29" i="79"/>
  <c r="L29" i="79"/>
  <c r="X25" i="79"/>
  <c r="S25" i="79"/>
  <c r="O25" i="79"/>
  <c r="K25" i="79"/>
  <c r="W19" i="79"/>
  <c r="S19" i="79"/>
  <c r="N19" i="79"/>
  <c r="I19" i="79"/>
  <c r="V15" i="79"/>
  <c r="O15" i="79"/>
  <c r="K15" i="79"/>
  <c r="Y12" i="73"/>
  <c r="O12" i="73"/>
  <c r="K12" i="73"/>
  <c r="T13" i="78"/>
  <c r="P19" i="53"/>
  <c r="J11" i="54"/>
  <c r="K10" i="55"/>
  <c r="R31" i="54"/>
  <c r="N25" i="54"/>
  <c r="AA25" i="56"/>
  <c r="R25" i="54" s="1"/>
  <c r="X10" i="56"/>
  <c r="P10" i="54" s="1"/>
  <c r="P11" i="54"/>
  <c r="J10" i="56"/>
  <c r="AA28" i="57"/>
  <c r="I28" i="54"/>
  <c r="X10" i="57"/>
  <c r="X33" i="57" s="1"/>
  <c r="P10" i="57"/>
  <c r="P33" i="57"/>
  <c r="V10" i="58"/>
  <c r="O10" i="54" s="1"/>
  <c r="L52" i="60"/>
  <c r="L85" i="60"/>
  <c r="S11" i="80"/>
  <c r="S10" i="80" s="1"/>
  <c r="S47" i="80" s="1"/>
  <c r="O29" i="79"/>
  <c r="AA25" i="79"/>
  <c r="V25" i="79"/>
  <c r="R25" i="79"/>
  <c r="N25" i="79"/>
  <c r="J25" i="79"/>
  <c r="AD21" i="79"/>
  <c r="V19" i="79"/>
  <c r="R19" i="79"/>
  <c r="M19" i="79"/>
  <c r="X15" i="79"/>
  <c r="R15" i="79"/>
  <c r="N15" i="79"/>
  <c r="J15" i="79"/>
  <c r="X12" i="73"/>
  <c r="R12" i="73"/>
  <c r="N12" i="73"/>
  <c r="J12" i="73"/>
  <c r="X22" i="71"/>
  <c r="L19" i="54"/>
  <c r="Q11" i="55"/>
  <c r="Q14" i="54"/>
  <c r="O19" i="54"/>
  <c r="AA19" i="56"/>
  <c r="Y10" i="56"/>
  <c r="Y33" i="56" s="1"/>
  <c r="Q10" i="56"/>
  <c r="Q33" i="56"/>
  <c r="N11" i="57"/>
  <c r="AA14" i="57"/>
  <c r="AA28" i="58"/>
  <c r="AA14" i="58"/>
  <c r="Z10" i="58"/>
  <c r="Z33" i="58" s="1"/>
  <c r="J10" i="58"/>
  <c r="J33" i="58" s="1"/>
  <c r="AA11" i="58"/>
  <c r="O52" i="60"/>
  <c r="O85" i="60" s="1"/>
  <c r="J16" i="60"/>
  <c r="J52" i="60"/>
  <c r="J85" i="60" s="1"/>
  <c r="I52" i="61"/>
  <c r="K35" i="42"/>
  <c r="O35" i="43"/>
  <c r="N53" i="69"/>
  <c r="N86" i="69" s="1"/>
  <c r="P11" i="80"/>
  <c r="P10" i="80"/>
  <c r="P47" i="80" s="1"/>
  <c r="AD37" i="79"/>
  <c r="AD35" i="73"/>
  <c r="P35" i="42"/>
  <c r="M53" i="70"/>
  <c r="M86" i="70" s="1"/>
  <c r="M52" i="61"/>
  <c r="M85" i="61"/>
  <c r="N52" i="61"/>
  <c r="N85" i="61" s="1"/>
  <c r="M11" i="80"/>
  <c r="M10" i="80"/>
  <c r="M47" i="80"/>
  <c r="AM11" i="80"/>
  <c r="AM10" i="80"/>
  <c r="AM47" i="80"/>
  <c r="Q21" i="46"/>
  <c r="U21" i="46" s="1"/>
  <c r="L21" i="42" s="1"/>
  <c r="R34" i="9"/>
  <c r="V34" i="9"/>
  <c r="P32" i="9"/>
  <c r="L34" i="7"/>
  <c r="V37" i="40"/>
  <c r="O37" i="7"/>
  <c r="M37" i="7"/>
  <c r="V36" i="45"/>
  <c r="K36" i="42"/>
  <c r="M36" i="43"/>
  <c r="M21" i="68"/>
  <c r="O37" i="43"/>
  <c r="I37" i="42"/>
  <c r="P37" i="42"/>
  <c r="L34" i="63"/>
  <c r="J34" i="63"/>
  <c r="J32" i="64"/>
  <c r="N34" i="64"/>
  <c r="Q34" i="40"/>
  <c r="U34" i="40"/>
  <c r="O36" i="43"/>
  <c r="I36" i="42"/>
  <c r="M34" i="68"/>
  <c r="K32" i="68"/>
  <c r="K34" i="43"/>
  <c r="M37" i="43"/>
  <c r="S34" i="65"/>
  <c r="R34" i="10"/>
  <c r="V34" i="10"/>
  <c r="L34" i="43"/>
  <c r="M23" i="43"/>
  <c r="M22" i="7"/>
  <c r="N21" i="64"/>
  <c r="T21" i="65"/>
  <c r="K32" i="10"/>
  <c r="Q32" i="10"/>
  <c r="U32" i="10"/>
  <c r="Q34" i="10"/>
  <c r="U34" i="10" s="1"/>
  <c r="K32" i="9"/>
  <c r="Q32" i="9"/>
  <c r="U32" i="9"/>
  <c r="Q34" i="9"/>
  <c r="U34" i="9"/>
  <c r="O35" i="7"/>
  <c r="I32" i="8"/>
  <c r="I34" i="7"/>
  <c r="N34" i="7"/>
  <c r="N32" i="8"/>
  <c r="N10" i="8" s="1"/>
  <c r="N32" i="7"/>
  <c r="M35" i="7"/>
  <c r="R34" i="47"/>
  <c r="V34" i="47"/>
  <c r="O34" i="42" s="1"/>
  <c r="M35" i="43"/>
  <c r="N82" i="46"/>
  <c r="R82" i="46" s="1"/>
  <c r="I32" i="7"/>
  <c r="O34" i="68"/>
  <c r="O21" i="68"/>
  <c r="M21" i="43"/>
  <c r="N10" i="57"/>
  <c r="N33" i="57" s="1"/>
  <c r="K11" i="54"/>
  <c r="X11" i="73"/>
  <c r="X12" i="79"/>
  <c r="O12" i="79"/>
  <c r="O11" i="73"/>
  <c r="Z11" i="73"/>
  <c r="AB47" i="73"/>
  <c r="AB47" i="79"/>
  <c r="AB10" i="79"/>
  <c r="M25" i="54"/>
  <c r="Z33" i="56"/>
  <c r="Q25" i="54"/>
  <c r="T10" i="9"/>
  <c r="T45" i="9"/>
  <c r="N11" i="7"/>
  <c r="I45" i="46"/>
  <c r="M78" i="43"/>
  <c r="O78" i="68"/>
  <c r="O66" i="45"/>
  <c r="Q66" i="45"/>
  <c r="U66" i="45"/>
  <c r="Q67" i="45"/>
  <c r="U67" i="45" s="1"/>
  <c r="T33" i="57"/>
  <c r="P10" i="10"/>
  <c r="R11" i="10"/>
  <c r="V11" i="10" s="1"/>
  <c r="Q11" i="9"/>
  <c r="U11" i="9" s="1"/>
  <c r="K10" i="9"/>
  <c r="K10" i="8"/>
  <c r="K11" i="7"/>
  <c r="O67" i="68"/>
  <c r="O22" i="41"/>
  <c r="AE11" i="41"/>
  <c r="I12" i="77"/>
  <c r="I50" i="43"/>
  <c r="J67" i="43"/>
  <c r="J66" i="68"/>
  <c r="L33" i="55"/>
  <c r="T11" i="66"/>
  <c r="I19" i="42"/>
  <c r="P19" i="42" s="1"/>
  <c r="O19" i="43"/>
  <c r="I29" i="42"/>
  <c r="P29" i="42" s="1"/>
  <c r="O29" i="43"/>
  <c r="K10" i="64"/>
  <c r="L45" i="68"/>
  <c r="P36" i="42"/>
  <c r="I85" i="61"/>
  <c r="J12" i="79"/>
  <c r="J11" i="73"/>
  <c r="J33" i="56"/>
  <c r="Y12" i="79"/>
  <c r="O22" i="43"/>
  <c r="I22" i="42"/>
  <c r="P22" i="42"/>
  <c r="I11" i="54"/>
  <c r="I10" i="55"/>
  <c r="R11" i="55"/>
  <c r="I12" i="79"/>
  <c r="I11" i="73"/>
  <c r="R28" i="54"/>
  <c r="M11" i="79"/>
  <c r="M10" i="73"/>
  <c r="M40" i="7"/>
  <c r="O40" i="8"/>
  <c r="O40" i="7" s="1"/>
  <c r="M10" i="64"/>
  <c r="M11" i="63"/>
  <c r="R11" i="40"/>
  <c r="V11" i="40" s="1"/>
  <c r="L10" i="40"/>
  <c r="L45" i="40" s="1"/>
  <c r="V10" i="73"/>
  <c r="Q10" i="45"/>
  <c r="U10" i="45" s="1"/>
  <c r="J10" i="42" s="1"/>
  <c r="O45" i="45"/>
  <c r="R50" i="45"/>
  <c r="R59" i="45"/>
  <c r="V59" i="45" s="1"/>
  <c r="I33" i="42"/>
  <c r="P33" i="42" s="1"/>
  <c r="O33" i="43"/>
  <c r="M74" i="43"/>
  <c r="O74" i="68"/>
  <c r="R67" i="46"/>
  <c r="V67" i="46" s="1"/>
  <c r="O67" i="43" s="1"/>
  <c r="L66" i="46"/>
  <c r="R66" i="46"/>
  <c r="V66" i="46" s="1"/>
  <c r="J45" i="68"/>
  <c r="L50" i="43"/>
  <c r="P10" i="64"/>
  <c r="O14" i="8"/>
  <c r="K66" i="68"/>
  <c r="K66" i="43" s="1"/>
  <c r="K67" i="43"/>
  <c r="Q22" i="41"/>
  <c r="X11" i="41"/>
  <c r="I12" i="78"/>
  <c r="V40" i="46"/>
  <c r="L67" i="43"/>
  <c r="P66" i="46"/>
  <c r="L66" i="43"/>
  <c r="N11" i="43"/>
  <c r="L11" i="54"/>
  <c r="AA22" i="41"/>
  <c r="Q10" i="55"/>
  <c r="Q11" i="54"/>
  <c r="N12" i="79"/>
  <c r="N11" i="73"/>
  <c r="M11" i="54"/>
  <c r="M10" i="55"/>
  <c r="AE10" i="71"/>
  <c r="AF11" i="71"/>
  <c r="Q12" i="79"/>
  <c r="Q11" i="73"/>
  <c r="N33" i="56"/>
  <c r="K25" i="54"/>
  <c r="V33" i="56"/>
  <c r="O25" i="54"/>
  <c r="I10" i="64"/>
  <c r="M51" i="43"/>
  <c r="O51" i="68"/>
  <c r="O51" i="43" s="1"/>
  <c r="O59" i="68"/>
  <c r="M18" i="43"/>
  <c r="O18" i="68"/>
  <c r="J10" i="54"/>
  <c r="AA11" i="57"/>
  <c r="L10" i="10"/>
  <c r="L45" i="10" s="1"/>
  <c r="J11" i="7"/>
  <c r="N45" i="8"/>
  <c r="L10" i="47"/>
  <c r="R11" i="47"/>
  <c r="V11" i="47" s="1"/>
  <c r="O11" i="42" s="1"/>
  <c r="K47" i="42"/>
  <c r="P47" i="42" s="1"/>
  <c r="O47" i="43"/>
  <c r="I10" i="68"/>
  <c r="I11" i="43"/>
  <c r="O60" i="68"/>
  <c r="M66" i="68"/>
  <c r="I66" i="43"/>
  <c r="L45" i="64"/>
  <c r="O24" i="68"/>
  <c r="M24" i="43"/>
  <c r="O28" i="68"/>
  <c r="M28" i="43"/>
  <c r="I39" i="42"/>
  <c r="P39" i="42"/>
  <c r="O39" i="43"/>
  <c r="J45" i="65"/>
  <c r="K32" i="43"/>
  <c r="M32" i="68"/>
  <c r="J32" i="63"/>
  <c r="N32" i="64"/>
  <c r="R32" i="9"/>
  <c r="V32" i="9" s="1"/>
  <c r="L32" i="7"/>
  <c r="AD35" i="79"/>
  <c r="AD34" i="73"/>
  <c r="AD34" i="79" s="1"/>
  <c r="R12" i="79"/>
  <c r="R11" i="73"/>
  <c r="K33" i="55"/>
  <c r="K10" i="54"/>
  <c r="K12" i="79"/>
  <c r="K11" i="73"/>
  <c r="X33" i="56"/>
  <c r="P33" i="54" s="1"/>
  <c r="P11" i="73"/>
  <c r="I86" i="69"/>
  <c r="O10" i="71"/>
  <c r="P11" i="71"/>
  <c r="AA12" i="79"/>
  <c r="AA11" i="73"/>
  <c r="T12" i="79"/>
  <c r="T11" i="73"/>
  <c r="I86" i="70"/>
  <c r="K10" i="10"/>
  <c r="K45" i="10" s="1"/>
  <c r="O18" i="8"/>
  <c r="U10" i="73"/>
  <c r="S11" i="65"/>
  <c r="I10" i="65"/>
  <c r="R10" i="40"/>
  <c r="J45" i="40"/>
  <c r="O45" i="64"/>
  <c r="I45" i="40"/>
  <c r="I27" i="42"/>
  <c r="I69" i="42"/>
  <c r="P69" i="42" s="1"/>
  <c r="O77" i="43"/>
  <c r="Z24" i="41"/>
  <c r="J35" i="41"/>
  <c r="I10" i="8"/>
  <c r="N45" i="68"/>
  <c r="AC22" i="41"/>
  <c r="M36" i="41"/>
  <c r="AC36" i="41" s="1"/>
  <c r="L10" i="73"/>
  <c r="P10" i="45"/>
  <c r="R11" i="45"/>
  <c r="V11" i="45" s="1"/>
  <c r="K11" i="42" s="1"/>
  <c r="M14" i="43"/>
  <c r="O14" i="68"/>
  <c r="K16" i="42"/>
  <c r="P16" i="42" s="1"/>
  <c r="O16" i="43"/>
  <c r="O69" i="68"/>
  <c r="AA24" i="41"/>
  <c r="K35" i="41"/>
  <c r="AA35" i="41" s="1"/>
  <c r="I10" i="66"/>
  <c r="L59" i="43"/>
  <c r="O13" i="43"/>
  <c r="L36" i="41"/>
  <c r="AB22" i="41"/>
  <c r="P24" i="41"/>
  <c r="N10" i="73"/>
  <c r="I10" i="78"/>
  <c r="M47" i="73"/>
  <c r="M47" i="79" s="1"/>
  <c r="M10" i="79"/>
  <c r="AE22" i="41"/>
  <c r="O36" i="41"/>
  <c r="I34" i="42"/>
  <c r="I24" i="42"/>
  <c r="P24" i="42" s="1"/>
  <c r="O24" i="43"/>
  <c r="M66" i="43"/>
  <c r="O66" i="68"/>
  <c r="O66" i="43" s="1"/>
  <c r="AE27" i="71"/>
  <c r="AF27" i="71" s="1"/>
  <c r="AF10" i="71"/>
  <c r="P45" i="64"/>
  <c r="Q45" i="45"/>
  <c r="U45" i="45" s="1"/>
  <c r="J45" i="42" s="1"/>
  <c r="O82" i="45"/>
  <c r="Q82" i="45" s="1"/>
  <c r="V47" i="73"/>
  <c r="M45" i="64"/>
  <c r="L82" i="68"/>
  <c r="J66" i="43"/>
  <c r="I10" i="77"/>
  <c r="K45" i="9"/>
  <c r="Q45" i="9" s="1"/>
  <c r="U45" i="9" s="1"/>
  <c r="Q10" i="9"/>
  <c r="U10" i="9" s="1"/>
  <c r="P45" i="10"/>
  <c r="O14" i="43"/>
  <c r="I14" i="42"/>
  <c r="P14" i="42" s="1"/>
  <c r="I45" i="8"/>
  <c r="AA11" i="79"/>
  <c r="AA10" i="73"/>
  <c r="L45" i="47"/>
  <c r="I45" i="64"/>
  <c r="Q10" i="73"/>
  <c r="M33" i="55"/>
  <c r="M67" i="43"/>
  <c r="Z10" i="73"/>
  <c r="T10" i="73"/>
  <c r="P10" i="73"/>
  <c r="M40" i="42"/>
  <c r="X22" i="41"/>
  <c r="Q36" i="41"/>
  <c r="V50" i="45"/>
  <c r="I11" i="79"/>
  <c r="I10" i="73"/>
  <c r="K45" i="8"/>
  <c r="K45" i="7" s="1"/>
  <c r="K10" i="7"/>
  <c r="O10" i="73"/>
  <c r="I45" i="66"/>
  <c r="P45" i="45"/>
  <c r="U47" i="73"/>
  <c r="O27" i="71"/>
  <c r="P27" i="71" s="1"/>
  <c r="P10" i="71"/>
  <c r="O32" i="68"/>
  <c r="I45" i="68"/>
  <c r="L47" i="73"/>
  <c r="Z35" i="41"/>
  <c r="J36" i="41"/>
  <c r="Z36" i="41" s="1"/>
  <c r="S10" i="65"/>
  <c r="I45" i="65"/>
  <c r="S45" i="65" s="1"/>
  <c r="K11" i="79"/>
  <c r="K10" i="73"/>
  <c r="K47" i="73" s="1"/>
  <c r="K47" i="79" s="1"/>
  <c r="R10" i="73"/>
  <c r="R47" i="73" s="1"/>
  <c r="I28" i="42"/>
  <c r="P28" i="42"/>
  <c r="O28" i="43"/>
  <c r="I18" i="42"/>
  <c r="P18" i="42"/>
  <c r="O18" i="43"/>
  <c r="Q33" i="55"/>
  <c r="I66" i="42"/>
  <c r="P66" i="42" s="1"/>
  <c r="O74" i="43"/>
  <c r="I33" i="55"/>
  <c r="R33" i="55" s="1"/>
  <c r="I10" i="54"/>
  <c r="R10" i="55"/>
  <c r="J10" i="73"/>
  <c r="K45" i="64"/>
  <c r="K10" i="63"/>
  <c r="O78" i="43"/>
  <c r="I70" i="42"/>
  <c r="P70" i="42" s="1"/>
  <c r="X10" i="73"/>
  <c r="X11" i="79"/>
  <c r="O21" i="43"/>
  <c r="I21" i="42"/>
  <c r="P21" i="42" s="1"/>
  <c r="J47" i="73"/>
  <c r="K10" i="79"/>
  <c r="I32" i="42"/>
  <c r="Z47" i="73"/>
  <c r="P47" i="73"/>
  <c r="AA10" i="79"/>
  <c r="AA47" i="73"/>
  <c r="AA47" i="79" s="1"/>
  <c r="N47" i="73"/>
  <c r="T47" i="73"/>
  <c r="X47" i="73"/>
  <c r="X47" i="79" s="1"/>
  <c r="X10" i="79"/>
  <c r="I33" i="54"/>
  <c r="P82" i="45"/>
  <c r="R82" i="45"/>
  <c r="O47" i="73"/>
  <c r="I10" i="79"/>
  <c r="I47" i="73"/>
  <c r="I47" i="79" s="1"/>
  <c r="Q47" i="73"/>
  <c r="AY15" i="80"/>
  <c r="AY12" i="80"/>
  <c r="AY22" i="75"/>
  <c r="W15" i="79"/>
  <c r="W12" i="79"/>
  <c r="AD15" i="79"/>
  <c r="W10" i="73"/>
  <c r="W10" i="79" s="1"/>
  <c r="W11" i="79"/>
  <c r="W47" i="73"/>
  <c r="W47" i="79" s="1"/>
  <c r="Y22" i="79"/>
  <c r="AP11" i="74"/>
  <c r="AP10" i="74" s="1"/>
  <c r="AP47" i="74" s="1"/>
  <c r="Y11" i="73"/>
  <c r="Y11" i="79" s="1"/>
  <c r="Y10" i="73"/>
  <c r="AD23" i="79"/>
  <c r="AY25" i="75"/>
  <c r="AP11" i="80"/>
  <c r="AP10" i="80"/>
  <c r="AP47" i="80" s="1"/>
  <c r="AD26" i="79"/>
  <c r="AD22" i="73"/>
  <c r="AY25" i="74"/>
  <c r="AD25" i="79" s="1"/>
  <c r="AD27" i="79"/>
  <c r="Q25" i="79"/>
  <c r="Z47" i="74"/>
  <c r="Y10" i="79" l="1"/>
  <c r="R45" i="40"/>
  <c r="J33" i="54"/>
  <c r="P33" i="58"/>
  <c r="L33" i="54" s="1"/>
  <c r="L10" i="54"/>
  <c r="AY11" i="74"/>
  <c r="AY10" i="74" s="1"/>
  <c r="AY47" i="74" s="1"/>
  <c r="Y47" i="73"/>
  <c r="Y47" i="79" s="1"/>
  <c r="K36" i="41"/>
  <c r="AA36" i="41" s="1"/>
  <c r="Q52" i="61"/>
  <c r="V33" i="58"/>
  <c r="O33" i="54" s="1"/>
  <c r="R14" i="54"/>
  <c r="Q85" i="61"/>
  <c r="M10" i="46"/>
  <c r="M45" i="46" s="1"/>
  <c r="M82" i="46" s="1"/>
  <c r="Q82" i="46" s="1"/>
  <c r="AC35" i="41"/>
  <c r="Z11" i="41"/>
  <c r="N35" i="41"/>
  <c r="AD35" i="41" s="1"/>
  <c r="S12" i="79"/>
  <c r="S11" i="73"/>
  <c r="AA11" i="41"/>
  <c r="AF57" i="41"/>
  <c r="X55" i="41"/>
  <c r="AC52" i="41"/>
  <c r="AF52" i="41" s="1"/>
  <c r="AF51" i="41"/>
  <c r="AF47" i="41"/>
  <c r="X42" i="41"/>
  <c r="AA42" i="41"/>
  <c r="AF43" i="41"/>
  <c r="Y38" i="41"/>
  <c r="AF38" i="41" s="1"/>
  <c r="Y28" i="41"/>
  <c r="AF28" i="41" s="1"/>
  <c r="AB11" i="41"/>
  <c r="N11" i="41"/>
  <c r="I60" i="43"/>
  <c r="M56" i="43"/>
  <c r="O52" i="68"/>
  <c r="O52" i="43" s="1"/>
  <c r="M52" i="43"/>
  <c r="M50" i="68"/>
  <c r="P30" i="42"/>
  <c r="M20" i="43"/>
  <c r="L59" i="46"/>
  <c r="R59" i="46" s="1"/>
  <c r="Q24" i="46"/>
  <c r="U24" i="46" s="1"/>
  <c r="L24" i="42" s="1"/>
  <c r="L10" i="46"/>
  <c r="R11" i="46"/>
  <c r="V11" i="46" s="1"/>
  <c r="M11" i="42" s="1"/>
  <c r="J10" i="46"/>
  <c r="Q78" i="47"/>
  <c r="U78" i="47" s="1"/>
  <c r="N70" i="42" s="1"/>
  <c r="R69" i="47"/>
  <c r="I35" i="41"/>
  <c r="Y24" i="41"/>
  <c r="AC11" i="41"/>
  <c r="O52" i="41"/>
  <c r="AE52" i="41" s="1"/>
  <c r="AE55" i="41"/>
  <c r="AC55" i="41"/>
  <c r="AF55" i="41" s="1"/>
  <c r="P55" i="41"/>
  <c r="AF48" i="41"/>
  <c r="AD42" i="41"/>
  <c r="P44" i="41"/>
  <c r="I42" i="41"/>
  <c r="AE32" i="41"/>
  <c r="AF32" i="41" s="1"/>
  <c r="AB32" i="41"/>
  <c r="P71" i="42"/>
  <c r="P61" i="42"/>
  <c r="I59" i="43"/>
  <c r="V72" i="45"/>
  <c r="O72" i="43" s="1"/>
  <c r="M72" i="43"/>
  <c r="V65" i="45"/>
  <c r="O65" i="43" s="1"/>
  <c r="M65" i="43"/>
  <c r="V27" i="46"/>
  <c r="M27" i="43"/>
  <c r="R40" i="47"/>
  <c r="Q24" i="47"/>
  <c r="U24" i="47" s="1"/>
  <c r="N24" i="42" s="1"/>
  <c r="P10" i="47"/>
  <c r="R10" i="47" s="1"/>
  <c r="V10" i="47" s="1"/>
  <c r="O10" i="42" s="1"/>
  <c r="M10" i="47"/>
  <c r="M45" i="47" s="1"/>
  <c r="M82" i="47" s="1"/>
  <c r="Q82" i="47" s="1"/>
  <c r="M12" i="7"/>
  <c r="O12" i="8"/>
  <c r="O12" i="7" s="1"/>
  <c r="V13" i="9"/>
  <c r="O13" i="7" s="1"/>
  <c r="M13" i="7"/>
  <c r="W11" i="75"/>
  <c r="W10" i="75" s="1"/>
  <c r="W47" i="75" s="1"/>
  <c r="U10" i="71"/>
  <c r="U27" i="71" s="1"/>
  <c r="X11" i="71"/>
  <c r="L10" i="71"/>
  <c r="L27" i="71" s="1"/>
  <c r="AF49" i="41"/>
  <c r="AA25" i="41"/>
  <c r="AF25" i="41" s="1"/>
  <c r="P25" i="41"/>
  <c r="AF18" i="41"/>
  <c r="I26" i="42"/>
  <c r="P26" i="42" s="1"/>
  <c r="O26" i="43"/>
  <c r="K11" i="68"/>
  <c r="K10" i="46"/>
  <c r="R60" i="47"/>
  <c r="L59" i="47"/>
  <c r="T24" i="65"/>
  <c r="N24" i="63" s="1"/>
  <c r="I24" i="63"/>
  <c r="W35" i="41"/>
  <c r="W36" i="41" s="1"/>
  <c r="AE24" i="41"/>
  <c r="X52" i="41"/>
  <c r="AB52" i="41"/>
  <c r="AF50" i="41"/>
  <c r="AF39" i="41"/>
  <c r="X38" i="41"/>
  <c r="AF34" i="41"/>
  <c r="AF31" i="41"/>
  <c r="Z25" i="41"/>
  <c r="T24" i="41"/>
  <c r="AF16" i="41"/>
  <c r="Y15" i="41"/>
  <c r="AF15" i="41" s="1"/>
  <c r="P15" i="41"/>
  <c r="I11" i="41"/>
  <c r="P79" i="42"/>
  <c r="P73" i="42"/>
  <c r="O81" i="43"/>
  <c r="U74" i="45"/>
  <c r="J66" i="42" s="1"/>
  <c r="I28" i="43"/>
  <c r="Q18" i="45"/>
  <c r="U18" i="45" s="1"/>
  <c r="J18" i="42" s="1"/>
  <c r="U14" i="45"/>
  <c r="J14" i="42" s="1"/>
  <c r="U14" i="46"/>
  <c r="L14" i="42" s="1"/>
  <c r="J45" i="47"/>
  <c r="X12" i="75"/>
  <c r="P15" i="79"/>
  <c r="L11" i="8"/>
  <c r="L14" i="7"/>
  <c r="Q28" i="9"/>
  <c r="U28" i="9" s="1"/>
  <c r="R14" i="9"/>
  <c r="P11" i="9"/>
  <c r="O11" i="10"/>
  <c r="Q14" i="10"/>
  <c r="U14" i="10" s="1"/>
  <c r="J10" i="10"/>
  <c r="R28" i="40"/>
  <c r="V28" i="40" s="1"/>
  <c r="O28" i="7" s="1"/>
  <c r="Q24" i="40"/>
  <c r="U24" i="40" s="1"/>
  <c r="M10" i="40"/>
  <c r="M45" i="40" s="1"/>
  <c r="V11" i="66"/>
  <c r="O14" i="63"/>
  <c r="Q10" i="66"/>
  <c r="Q45" i="66" s="1"/>
  <c r="X45" i="67"/>
  <c r="O45" i="67"/>
  <c r="O10" i="67"/>
  <c r="U11" i="74"/>
  <c r="U10" i="74" s="1"/>
  <c r="U47" i="74" s="1"/>
  <c r="O11" i="75"/>
  <c r="O10" i="75" s="1"/>
  <c r="O47" i="75" s="1"/>
  <c r="AY12" i="75"/>
  <c r="AD13" i="79"/>
  <c r="K26" i="53"/>
  <c r="P26" i="53" s="1"/>
  <c r="P29" i="53"/>
  <c r="R10" i="58"/>
  <c r="R33" i="58" s="1"/>
  <c r="J40" i="43"/>
  <c r="R59" i="47"/>
  <c r="V59" i="47" s="1"/>
  <c r="T10" i="10"/>
  <c r="Q40" i="40"/>
  <c r="U40" i="40" s="1"/>
  <c r="R18" i="40"/>
  <c r="V18" i="40" s="1"/>
  <c r="I18" i="7"/>
  <c r="Q14" i="40"/>
  <c r="U14" i="40" s="1"/>
  <c r="N27" i="63"/>
  <c r="N13" i="63"/>
  <c r="N45" i="67"/>
  <c r="K45" i="63" s="1"/>
  <c r="T40" i="67"/>
  <c r="AD29" i="73"/>
  <c r="AD31" i="79"/>
  <c r="AG11" i="74"/>
  <c r="AG10" i="74" s="1"/>
  <c r="AG47" i="74" s="1"/>
  <c r="X11" i="74"/>
  <c r="T11" i="74"/>
  <c r="AR12" i="75"/>
  <c r="Z15" i="79"/>
  <c r="AB11" i="75"/>
  <c r="P11" i="75"/>
  <c r="P10" i="75" s="1"/>
  <c r="P47" i="75" s="1"/>
  <c r="K19" i="54"/>
  <c r="Q26" i="70"/>
  <c r="Q83" i="60"/>
  <c r="P23" i="42"/>
  <c r="T38" i="78"/>
  <c r="M36" i="78"/>
  <c r="R38" i="77"/>
  <c r="J36" i="77"/>
  <c r="J69" i="43"/>
  <c r="Q51" i="45"/>
  <c r="U51" i="45" s="1"/>
  <c r="M24" i="8"/>
  <c r="R24" i="10"/>
  <c r="V24" i="10" s="1"/>
  <c r="R18" i="10"/>
  <c r="M10" i="10"/>
  <c r="M45" i="10" s="1"/>
  <c r="T10" i="40"/>
  <c r="T45" i="40" s="1"/>
  <c r="N40" i="64"/>
  <c r="N31" i="63"/>
  <c r="N26" i="63"/>
  <c r="O11" i="63"/>
  <c r="W45" i="66"/>
  <c r="M11" i="67"/>
  <c r="S14" i="67"/>
  <c r="T14" i="67"/>
  <c r="N14" i="63" s="1"/>
  <c r="J11" i="67"/>
  <c r="N29" i="79"/>
  <c r="J29" i="79"/>
  <c r="Y25" i="79"/>
  <c r="T25" i="79"/>
  <c r="P25" i="79"/>
  <c r="AM11" i="74"/>
  <c r="AM10" i="74" s="1"/>
  <c r="AM47" i="74" s="1"/>
  <c r="AI11" i="74"/>
  <c r="AI10" i="74" s="1"/>
  <c r="AI47" i="74" s="1"/>
  <c r="Q11" i="74"/>
  <c r="Q10" i="74" s="1"/>
  <c r="Q47" i="74" s="1"/>
  <c r="L11" i="74"/>
  <c r="AY19" i="75"/>
  <c r="AD19" i="79" s="1"/>
  <c r="AO11" i="75"/>
  <c r="AO10" i="75" s="1"/>
  <c r="AO47" i="75" s="1"/>
  <c r="AE11" i="75"/>
  <c r="AE10" i="75" s="1"/>
  <c r="AE47" i="75" s="1"/>
  <c r="P24" i="63"/>
  <c r="O18" i="63"/>
  <c r="N17" i="63"/>
  <c r="J11" i="64"/>
  <c r="T18" i="65"/>
  <c r="N18" i="63" s="1"/>
  <c r="X11" i="65"/>
  <c r="P14" i="63"/>
  <c r="T28" i="66"/>
  <c r="N28" i="63" s="1"/>
  <c r="R10" i="66"/>
  <c r="R45" i="66" s="1"/>
  <c r="O10" i="66"/>
  <c r="O45" i="66" s="1"/>
  <c r="M10" i="66"/>
  <c r="S10" i="66" s="1"/>
  <c r="T24" i="67"/>
  <c r="AD28" i="79"/>
  <c r="Z25" i="79"/>
  <c r="AD17" i="79"/>
  <c r="AH11" i="74"/>
  <c r="AE11" i="74"/>
  <c r="AE10" i="74" s="1"/>
  <c r="AE47" i="74" s="1"/>
  <c r="M11" i="74"/>
  <c r="M10" i="74" s="1"/>
  <c r="M47" i="74" s="1"/>
  <c r="AF11" i="75"/>
  <c r="Y10" i="58"/>
  <c r="Y33" i="58" s="1"/>
  <c r="N53" i="70"/>
  <c r="N86" i="70" s="1"/>
  <c r="Q22" i="70"/>
  <c r="Q16" i="70"/>
  <c r="Q34" i="60"/>
  <c r="P85" i="60"/>
  <c r="P12" i="77"/>
  <c r="P10" i="77" s="1"/>
  <c r="N34" i="43"/>
  <c r="T32" i="45"/>
  <c r="N32" i="43" s="1"/>
  <c r="N24" i="7"/>
  <c r="K10" i="40"/>
  <c r="K40" i="63"/>
  <c r="N38" i="63"/>
  <c r="N29" i="63"/>
  <c r="N15" i="63"/>
  <c r="R10" i="65"/>
  <c r="P10" i="66"/>
  <c r="P11" i="74"/>
  <c r="AQ11" i="74"/>
  <c r="AQ10" i="74" s="1"/>
  <c r="AQ47" i="74" s="1"/>
  <c r="S11" i="75"/>
  <c r="S10" i="75" s="1"/>
  <c r="S47" i="75" s="1"/>
  <c r="K11" i="75"/>
  <c r="K10" i="75" s="1"/>
  <c r="K47" i="75" s="1"/>
  <c r="P18" i="71"/>
  <c r="N27" i="71"/>
  <c r="K40" i="53"/>
  <c r="P40" i="53" s="1"/>
  <c r="P42" i="53"/>
  <c r="O10" i="53"/>
  <c r="O34" i="53" s="1"/>
  <c r="M19" i="54"/>
  <c r="T11" i="56"/>
  <c r="I19" i="54"/>
  <c r="T21" i="66"/>
  <c r="N21" i="63" s="1"/>
  <c r="K21" i="63"/>
  <c r="AG11" i="75"/>
  <c r="AG10" i="75" s="1"/>
  <c r="AG47" i="75" s="1"/>
  <c r="V11" i="75"/>
  <c r="Z11" i="75"/>
  <c r="P22" i="53"/>
  <c r="R19" i="55"/>
  <c r="R19" i="54" s="1"/>
  <c r="R32" i="54"/>
  <c r="R10" i="56"/>
  <c r="I14" i="54"/>
  <c r="L28" i="54"/>
  <c r="S33" i="57"/>
  <c r="O10" i="57"/>
  <c r="O33" i="57" s="1"/>
  <c r="M52" i="60"/>
  <c r="M85" i="60" s="1"/>
  <c r="Q26" i="61"/>
  <c r="T34" i="67"/>
  <c r="J32" i="67"/>
  <c r="T32" i="67" s="1"/>
  <c r="O34" i="63"/>
  <c r="V32" i="66"/>
  <c r="O32" i="63" s="1"/>
  <c r="I34" i="63"/>
  <c r="W10" i="71"/>
  <c r="W27" i="71" s="1"/>
  <c r="X27" i="71" s="1"/>
  <c r="W33" i="56"/>
  <c r="O14" i="54"/>
  <c r="S10" i="56"/>
  <c r="S33" i="56" s="1"/>
  <c r="Q33" i="57"/>
  <c r="W10" i="57"/>
  <c r="W33" i="57" s="1"/>
  <c r="K33" i="58"/>
  <c r="Q17" i="60"/>
  <c r="I16" i="60"/>
  <c r="Q22" i="61"/>
  <c r="Z10" i="57"/>
  <c r="N33" i="58"/>
  <c r="AA33" i="58" s="1"/>
  <c r="U10" i="58"/>
  <c r="U33" i="58" s="1"/>
  <c r="Q30" i="70"/>
  <c r="L53" i="70"/>
  <c r="L86" i="70" s="1"/>
  <c r="Q26" i="60"/>
  <c r="N23" i="63"/>
  <c r="M36" i="7"/>
  <c r="O36" i="8"/>
  <c r="O36" i="7" s="1"/>
  <c r="K34" i="7"/>
  <c r="Q34" i="47"/>
  <c r="U34" i="47" s="1"/>
  <c r="N34" i="42" s="1"/>
  <c r="I32" i="47"/>
  <c r="Q34" i="45"/>
  <c r="U34" i="45" s="1"/>
  <c r="J34" i="42" s="1"/>
  <c r="L53" i="69"/>
  <c r="L86" i="69" s="1"/>
  <c r="Q86" i="69" s="1"/>
  <c r="Q16" i="69"/>
  <c r="Q22" i="60"/>
  <c r="Q83" i="61"/>
  <c r="Q34" i="61"/>
  <c r="AJ11" i="80"/>
  <c r="R21" i="9"/>
  <c r="R22" i="79"/>
  <c r="Z22" i="79"/>
  <c r="M34" i="8"/>
  <c r="I34" i="43"/>
  <c r="J32" i="45"/>
  <c r="Q26" i="69"/>
  <c r="M22" i="79"/>
  <c r="P22" i="79"/>
  <c r="I32" i="67"/>
  <c r="S32" i="67" s="1"/>
  <c r="S34" i="67"/>
  <c r="T34" i="66"/>
  <c r="N34" i="63" s="1"/>
  <c r="J32" i="66"/>
  <c r="N36" i="63"/>
  <c r="J34" i="7"/>
  <c r="J32" i="8"/>
  <c r="J34" i="43"/>
  <c r="K53" i="70"/>
  <c r="K86" i="70" s="1"/>
  <c r="Q86" i="70" s="1"/>
  <c r="Q84" i="69"/>
  <c r="Q30" i="69"/>
  <c r="Q34" i="70"/>
  <c r="AO11" i="80"/>
  <c r="AO10" i="80" s="1"/>
  <c r="AO47" i="80" s="1"/>
  <c r="AY29" i="80"/>
  <c r="Q21" i="45"/>
  <c r="U21" i="45" s="1"/>
  <c r="J21" i="42" s="1"/>
  <c r="Q21" i="9"/>
  <c r="U21" i="9" s="1"/>
  <c r="T22" i="79"/>
  <c r="AA22" i="79"/>
  <c r="AY22" i="80"/>
  <c r="AD22" i="79" s="1"/>
  <c r="R34" i="45"/>
  <c r="AE36" i="41" l="1"/>
  <c r="X36" i="41"/>
  <c r="V34" i="45"/>
  <c r="M34" i="43"/>
  <c r="J32" i="7"/>
  <c r="J10" i="8"/>
  <c r="M34" i="7"/>
  <c r="O34" i="8"/>
  <c r="O34" i="7" s="1"/>
  <c r="AJ10" i="80"/>
  <c r="V11" i="79"/>
  <c r="Q16" i="60"/>
  <c r="I52" i="60"/>
  <c r="T10" i="56"/>
  <c r="N11" i="54"/>
  <c r="AA11" i="56"/>
  <c r="R11" i="54" s="1"/>
  <c r="R45" i="65"/>
  <c r="T10" i="65"/>
  <c r="M10" i="63"/>
  <c r="AF10" i="75"/>
  <c r="T11" i="79"/>
  <c r="T11" i="67"/>
  <c r="J10" i="67"/>
  <c r="I11" i="63"/>
  <c r="M45" i="66"/>
  <c r="S45" i="66" s="1"/>
  <c r="V18" i="10"/>
  <c r="O18" i="7" s="1"/>
  <c r="M18" i="7"/>
  <c r="AR11" i="75"/>
  <c r="Z12" i="79"/>
  <c r="Q11" i="10"/>
  <c r="U11" i="10" s="1"/>
  <c r="O10" i="10"/>
  <c r="X11" i="75"/>
  <c r="X10" i="75" s="1"/>
  <c r="X47" i="75" s="1"/>
  <c r="P12" i="79"/>
  <c r="K45" i="46"/>
  <c r="Q45" i="46" s="1"/>
  <c r="U45" i="46" s="1"/>
  <c r="L45" i="42" s="1"/>
  <c r="Q10" i="46"/>
  <c r="U10" i="46" s="1"/>
  <c r="L10" i="42" s="1"/>
  <c r="AE35" i="41"/>
  <c r="V40" i="47"/>
  <c r="M40" i="43"/>
  <c r="V69" i="47"/>
  <c r="O69" i="43" s="1"/>
  <c r="M69" i="43"/>
  <c r="L45" i="46"/>
  <c r="J45" i="43" s="1"/>
  <c r="J10" i="43"/>
  <c r="X35" i="41"/>
  <c r="J59" i="43"/>
  <c r="L10" i="43"/>
  <c r="V10" i="40"/>
  <c r="V45" i="40"/>
  <c r="K45" i="40"/>
  <c r="Q45" i="40" s="1"/>
  <c r="U45" i="40" s="1"/>
  <c r="Q10" i="40"/>
  <c r="U10" i="40" s="1"/>
  <c r="X10" i="65"/>
  <c r="P11" i="63"/>
  <c r="N40" i="63"/>
  <c r="J35" i="77"/>
  <c r="R36" i="77"/>
  <c r="T10" i="74"/>
  <c r="N11" i="79"/>
  <c r="AD29" i="79"/>
  <c r="AD11" i="73"/>
  <c r="AY11" i="75"/>
  <c r="AY10" i="75" s="1"/>
  <c r="AY47" i="75" s="1"/>
  <c r="V10" i="66"/>
  <c r="P10" i="9"/>
  <c r="R11" i="9"/>
  <c r="V11" i="9" s="1"/>
  <c r="L10" i="8"/>
  <c r="L11" i="7"/>
  <c r="M11" i="8"/>
  <c r="K10" i="68"/>
  <c r="K11" i="43"/>
  <c r="M11" i="68"/>
  <c r="P45" i="47"/>
  <c r="P42" i="41"/>
  <c r="Y42" i="41"/>
  <c r="AF42" i="41" s="1"/>
  <c r="O50" i="68"/>
  <c r="O50" i="43" s="1"/>
  <c r="M50" i="43"/>
  <c r="S11" i="79"/>
  <c r="S10" i="73"/>
  <c r="T10" i="45"/>
  <c r="Q53" i="70"/>
  <c r="X10" i="71"/>
  <c r="K33" i="54"/>
  <c r="R32" i="45"/>
  <c r="I32" i="43"/>
  <c r="J10" i="45"/>
  <c r="AA10" i="57"/>
  <c r="Q10" i="54"/>
  <c r="AA10" i="56"/>
  <c r="M10" i="54"/>
  <c r="R33" i="56"/>
  <c r="Z10" i="75"/>
  <c r="Q11" i="79"/>
  <c r="P10" i="74"/>
  <c r="L11" i="79"/>
  <c r="O24" i="8"/>
  <c r="O24" i="7" s="1"/>
  <c r="M24" i="7"/>
  <c r="AB10" i="75"/>
  <c r="R11" i="79"/>
  <c r="X10" i="74"/>
  <c r="P11" i="79"/>
  <c r="T45" i="10"/>
  <c r="N45" i="7" s="1"/>
  <c r="N10" i="7"/>
  <c r="J45" i="10"/>
  <c r="R10" i="10"/>
  <c r="V10" i="10" s="1"/>
  <c r="I10" i="7"/>
  <c r="V14" i="9"/>
  <c r="O14" i="7" s="1"/>
  <c r="M14" i="7"/>
  <c r="Z33" i="57"/>
  <c r="I22" i="41"/>
  <c r="P11" i="41"/>
  <c r="Y11" i="41"/>
  <c r="AF11" i="41" s="1"/>
  <c r="AB24" i="41"/>
  <c r="T35" i="41"/>
  <c r="AF24" i="41"/>
  <c r="J45" i="46"/>
  <c r="R45" i="46" s="1"/>
  <c r="V45" i="46" s="1"/>
  <c r="M45" i="42" s="1"/>
  <c r="R10" i="46"/>
  <c r="V10" i="46" s="1"/>
  <c r="M10" i="42" s="1"/>
  <c r="V59" i="46"/>
  <c r="O59" i="43" s="1"/>
  <c r="M59" i="43"/>
  <c r="N22" i="41"/>
  <c r="AD11" i="41"/>
  <c r="Q53" i="69"/>
  <c r="M28" i="7"/>
  <c r="AD12" i="79"/>
  <c r="AA10" i="58"/>
  <c r="I32" i="63"/>
  <c r="T32" i="66"/>
  <c r="N32" i="63" s="1"/>
  <c r="J10" i="66"/>
  <c r="V21" i="9"/>
  <c r="O21" i="7" s="1"/>
  <c r="M21" i="7"/>
  <c r="Q32" i="47"/>
  <c r="U32" i="47" s="1"/>
  <c r="N32" i="42" s="1"/>
  <c r="I10" i="47"/>
  <c r="V10" i="75"/>
  <c r="O11" i="79"/>
  <c r="P45" i="66"/>
  <c r="L45" i="63" s="1"/>
  <c r="L10" i="63"/>
  <c r="AH10" i="74"/>
  <c r="U11" i="79"/>
  <c r="J11" i="63"/>
  <c r="J10" i="64"/>
  <c r="N11" i="64"/>
  <c r="N11" i="63" s="1"/>
  <c r="L10" i="74"/>
  <c r="J11" i="79"/>
  <c r="M10" i="67"/>
  <c r="M45" i="67" s="1"/>
  <c r="S11" i="67"/>
  <c r="M35" i="78"/>
  <c r="T36" i="78"/>
  <c r="P10" i="53"/>
  <c r="I10" i="67"/>
  <c r="V60" i="47"/>
  <c r="O60" i="43" s="1"/>
  <c r="M60" i="43"/>
  <c r="M27" i="42"/>
  <c r="P27" i="42" s="1"/>
  <c r="O27" i="43"/>
  <c r="P35" i="41"/>
  <c r="Y35" i="41"/>
  <c r="AF35" i="41" s="1"/>
  <c r="P52" i="41"/>
  <c r="K34" i="53"/>
  <c r="P34" i="53" s="1"/>
  <c r="AY11" i="80"/>
  <c r="AY10" i="80" s="1"/>
  <c r="AY47" i="80" s="1"/>
  <c r="M32" i="8"/>
  <c r="M33" i="54" l="1"/>
  <c r="S47" i="73"/>
  <c r="S47" i="79" s="1"/>
  <c r="S10" i="79"/>
  <c r="V45" i="66"/>
  <c r="O45" i="63" s="1"/>
  <c r="O10" i="63"/>
  <c r="O40" i="42"/>
  <c r="P40" i="42" s="1"/>
  <c r="O40" i="43"/>
  <c r="M45" i="63"/>
  <c r="T45" i="65"/>
  <c r="Q52" i="60"/>
  <c r="I85" i="60"/>
  <c r="Q85" i="60" s="1"/>
  <c r="M12" i="78"/>
  <c r="T35" i="78"/>
  <c r="L47" i="74"/>
  <c r="J47" i="79" s="1"/>
  <c r="J10" i="79"/>
  <c r="AB35" i="41"/>
  <c r="T36" i="41"/>
  <c r="AB36" i="41" s="1"/>
  <c r="I36" i="41"/>
  <c r="P22" i="41"/>
  <c r="Y22" i="41"/>
  <c r="AF22" i="41" s="1"/>
  <c r="AB47" i="75"/>
  <c r="R47" i="79" s="1"/>
  <c r="R10" i="79"/>
  <c r="P47" i="74"/>
  <c r="L47" i="79" s="1"/>
  <c r="L10" i="79"/>
  <c r="J45" i="45"/>
  <c r="I10" i="43"/>
  <c r="R10" i="45"/>
  <c r="V10" i="45" s="1"/>
  <c r="K10" i="42" s="1"/>
  <c r="K10" i="43"/>
  <c r="M10" i="68"/>
  <c r="K45" i="68"/>
  <c r="L45" i="8"/>
  <c r="L10" i="7"/>
  <c r="T47" i="74"/>
  <c r="N47" i="79" s="1"/>
  <c r="N10" i="79"/>
  <c r="AR10" i="75"/>
  <c r="Z11" i="79"/>
  <c r="AF47" i="75"/>
  <c r="T47" i="79" s="1"/>
  <c r="T10" i="79"/>
  <c r="K34" i="42"/>
  <c r="P34" i="42" s="1"/>
  <c r="O34" i="43"/>
  <c r="I45" i="67"/>
  <c r="S45" i="67" s="1"/>
  <c r="S10" i="67"/>
  <c r="AH47" i="74"/>
  <c r="U47" i="79" s="1"/>
  <c r="U10" i="79"/>
  <c r="V47" i="75"/>
  <c r="O47" i="79" s="1"/>
  <c r="O10" i="79"/>
  <c r="AA33" i="57"/>
  <c r="Q33" i="54"/>
  <c r="R10" i="54"/>
  <c r="P82" i="47"/>
  <c r="L45" i="43"/>
  <c r="R45" i="47"/>
  <c r="V45" i="47" s="1"/>
  <c r="O45" i="42" s="1"/>
  <c r="AD10" i="73"/>
  <c r="AD11" i="79"/>
  <c r="O45" i="10"/>
  <c r="Q45" i="10" s="1"/>
  <c r="U45" i="10" s="1"/>
  <c r="Q10" i="10"/>
  <c r="U10" i="10" s="1"/>
  <c r="T10" i="67"/>
  <c r="J45" i="67"/>
  <c r="T45" i="67" s="1"/>
  <c r="M10" i="8"/>
  <c r="J10" i="7"/>
  <c r="J45" i="8"/>
  <c r="O32" i="8"/>
  <c r="O32" i="7" s="1"/>
  <c r="M32" i="7"/>
  <c r="J10" i="63"/>
  <c r="N10" i="64"/>
  <c r="J45" i="64"/>
  <c r="J45" i="63" s="1"/>
  <c r="I45" i="47"/>
  <c r="Q45" i="47" s="1"/>
  <c r="U45" i="47" s="1"/>
  <c r="N45" i="42" s="1"/>
  <c r="Q10" i="47"/>
  <c r="U10" i="47" s="1"/>
  <c r="N10" i="42" s="1"/>
  <c r="T10" i="66"/>
  <c r="J45" i="66"/>
  <c r="I10" i="63"/>
  <c r="N36" i="41"/>
  <c r="AD36" i="41" s="1"/>
  <c r="AD22" i="41"/>
  <c r="I45" i="7"/>
  <c r="R45" i="10"/>
  <c r="V45" i="10" s="1"/>
  <c r="X47" i="74"/>
  <c r="P47" i="79" s="1"/>
  <c r="P10" i="79"/>
  <c r="Z47" i="75"/>
  <c r="Q47" i="79" s="1"/>
  <c r="Q10" i="79"/>
  <c r="V32" i="45"/>
  <c r="M32" i="43"/>
  <c r="T45" i="45"/>
  <c r="N45" i="43" s="1"/>
  <c r="N10" i="43"/>
  <c r="O11" i="68"/>
  <c r="M11" i="43"/>
  <c r="O11" i="8"/>
  <c r="O11" i="7" s="1"/>
  <c r="M11" i="7"/>
  <c r="P45" i="9"/>
  <c r="R45" i="9" s="1"/>
  <c r="V45" i="9" s="1"/>
  <c r="R10" i="9"/>
  <c r="V10" i="9" s="1"/>
  <c r="J12" i="77"/>
  <c r="R35" i="77"/>
  <c r="X45" i="65"/>
  <c r="P45" i="63" s="1"/>
  <c r="P10" i="63"/>
  <c r="N10" i="54"/>
  <c r="T33" i="56"/>
  <c r="N33" i="54" s="1"/>
  <c r="AJ47" i="80"/>
  <c r="V47" i="79" s="1"/>
  <c r="V10" i="79"/>
  <c r="J10" i="77" l="1"/>
  <c r="R10" i="77" s="1"/>
  <c r="R12" i="77"/>
  <c r="R82" i="47"/>
  <c r="L82" i="43"/>
  <c r="K82" i="68"/>
  <c r="K45" i="43"/>
  <c r="M45" i="68"/>
  <c r="Y36" i="41"/>
  <c r="AF36" i="41" s="1"/>
  <c r="P36" i="41"/>
  <c r="M10" i="7"/>
  <c r="O10" i="8"/>
  <c r="O10" i="7" s="1"/>
  <c r="AR47" i="75"/>
  <c r="Z47" i="79" s="1"/>
  <c r="Z10" i="79"/>
  <c r="L45" i="7"/>
  <c r="T45" i="66"/>
  <c r="I45" i="63"/>
  <c r="N10" i="63"/>
  <c r="N45" i="64"/>
  <c r="J45" i="7"/>
  <c r="M45" i="8"/>
  <c r="AD10" i="79"/>
  <c r="AD47" i="73"/>
  <c r="AD47" i="79" s="1"/>
  <c r="M10" i="43"/>
  <c r="O10" i="68"/>
  <c r="I45" i="43"/>
  <c r="R45" i="45"/>
  <c r="V45" i="45" s="1"/>
  <c r="K45" i="42" s="1"/>
  <c r="AA33" i="56"/>
  <c r="R33" i="54" s="1"/>
  <c r="I11" i="42"/>
  <c r="P11" i="42" s="1"/>
  <c r="O11" i="43"/>
  <c r="K32" i="42"/>
  <c r="P32" i="42" s="1"/>
  <c r="O32" i="43"/>
  <c r="M10" i="78"/>
  <c r="T10" i="78" s="1"/>
  <c r="T12" i="78"/>
  <c r="O45" i="68" l="1"/>
  <c r="M45" i="43"/>
  <c r="I10" i="42"/>
  <c r="P10" i="42" s="1"/>
  <c r="O10" i="43"/>
  <c r="M45" i="7"/>
  <c r="O45" i="8"/>
  <c r="O45" i="7" s="1"/>
  <c r="N45" i="63"/>
  <c r="M82" i="68"/>
  <c r="M82" i="43" s="1"/>
  <c r="K82" i="43"/>
  <c r="O45" i="43" l="1"/>
  <c r="I45" i="42"/>
  <c r="P45" i="42" s="1"/>
</calcChain>
</file>

<file path=xl/sharedStrings.xml><?xml version="1.0" encoding="utf-8"?>
<sst xmlns="http://schemas.openxmlformats.org/spreadsheetml/2006/main" count="6095" uniqueCount="1480">
  <si>
    <t>RB OF TAAL INC</t>
  </si>
  <si>
    <t>RB OF TAGAYTAY CITY INC</t>
  </si>
  <si>
    <t>RB OF TALISAY (BATANGAS) INC</t>
  </si>
  <si>
    <t>RB OF TALISAY (CEBU) INC</t>
  </si>
  <si>
    <t>COOP BANK OF MISAMIS ORIENTAL</t>
  </si>
  <si>
    <t>RB OF TANJAY INC</t>
  </si>
  <si>
    <t>RB OF TAYABAS INC</t>
  </si>
  <si>
    <t>RB OF VALENCIA (BUKIDNON) INC</t>
  </si>
  <si>
    <t>RB OF VICTORIA (OR MINDORO) INC</t>
  </si>
  <si>
    <t>RB OF VICTORIA INC</t>
  </si>
  <si>
    <t>RODRIGUEZ RB INC</t>
  </si>
  <si>
    <t>SALUG VALLEY RB INC</t>
  </si>
  <si>
    <t>SAN BARTOLOME RURAL BANK INC</t>
  </si>
  <si>
    <t>SAN FERNANDO RB INC</t>
  </si>
  <si>
    <t>SAN FRANCISCO DEL MONTE RB INC</t>
  </si>
  <si>
    <t>SARANGANI RURAL BANK INC</t>
  </si>
  <si>
    <t>SAVIOUR RURAL BANK INC</t>
  </si>
  <si>
    <t>SECURED BANK INC (A RB)</t>
  </si>
  <si>
    <t>SMART BANK (RURAL BANK) INC</t>
  </si>
  <si>
    <t>SORSOGON PROVINCIAL COOP BANK</t>
  </si>
  <si>
    <t>SOUTHERN LEYTE COOP BANK</t>
  </si>
  <si>
    <t>SUGBUANON RB INC</t>
  </si>
  <si>
    <t>SUMMIT BANK (RB OF TUBLAY INC)</t>
  </si>
  <si>
    <t>SUMMIT RB OF LIPA CITY INC</t>
  </si>
  <si>
    <t>SURIGAO CITY EVERGREEN RB INC</t>
  </si>
  <si>
    <t>SURIGAONON RURAL BANKING CORP</t>
  </si>
  <si>
    <t>SYNERGY RURAL BANK INC</t>
  </si>
  <si>
    <t>TAMARAW RB INC</t>
  </si>
  <si>
    <t>TANAY RB INC</t>
  </si>
  <si>
    <t>TIAONG RB INC</t>
  </si>
  <si>
    <t>TURUMBA RB OF PAKIL INC</t>
  </si>
  <si>
    <t>UNILINK BANK INC ( A RB)</t>
  </si>
  <si>
    <t>UNITED CONSUMERS RB INC</t>
  </si>
  <si>
    <t>UNITED PEOPLE'S RB INC</t>
  </si>
  <si>
    <t>UNITY BANK (A RB) INC</t>
  </si>
  <si>
    <t>UPLAND RB OF DALAGUETE(CEBU) INC</t>
  </si>
  <si>
    <t>UTILITY BANK INC (A RB)</t>
  </si>
  <si>
    <t>VALIANT RURAL BANK INC</t>
  </si>
  <si>
    <t>VIGAN BANCO RURAL INCORPORADA</t>
  </si>
  <si>
    <t>VIZCAYA BANK A RURAL BANK INC</t>
  </si>
  <si>
    <t>WOMEN'S RURAL BANK INC</t>
  </si>
  <si>
    <t>XAVIER-PUNLA RURAL BANK INC</t>
  </si>
  <si>
    <t>ZAMBOANGA CITY RB INC</t>
  </si>
  <si>
    <t>1ST VALLEY BANK INC (A RB)</t>
  </si>
  <si>
    <t>5 SPEED RURAL BANK INC</t>
  </si>
  <si>
    <t>Particulars</t>
  </si>
  <si>
    <t>Account Code</t>
  </si>
  <si>
    <t>Allowance for Credit Losses</t>
  </si>
  <si>
    <t>Net Carrying Amount</t>
  </si>
  <si>
    <t>Foreign Regular</t>
  </si>
  <si>
    <t>In US $</t>
  </si>
  <si>
    <t>Peso Equiv.</t>
  </si>
  <si>
    <t>Others</t>
  </si>
  <si>
    <t>FCDU/EFCDU</t>
  </si>
  <si>
    <t>1.</t>
  </si>
  <si>
    <t>2.</t>
  </si>
  <si>
    <t>Peso Accounts</t>
  </si>
  <si>
    <t>Residents</t>
  </si>
  <si>
    <t xml:space="preserve">1. </t>
  </si>
  <si>
    <t>a.</t>
  </si>
  <si>
    <t>National Government</t>
  </si>
  <si>
    <t>b.</t>
  </si>
  <si>
    <t>GOCCs</t>
  </si>
  <si>
    <t>Social Security Institutions</t>
  </si>
  <si>
    <t>Other Financial</t>
  </si>
  <si>
    <t>3.</t>
  </si>
  <si>
    <t>Non-Financial</t>
  </si>
  <si>
    <t>Agrarian Reform / Other Agricultural Loans</t>
  </si>
  <si>
    <t>Agrarian Reform Loans</t>
  </si>
  <si>
    <t xml:space="preserve">b. </t>
  </si>
  <si>
    <t>Other Agricultural Credit Loans</t>
  </si>
  <si>
    <t>c.</t>
  </si>
  <si>
    <t>LGUs</t>
  </si>
  <si>
    <t>Small and Medium Enterprise Loans</t>
  </si>
  <si>
    <t>6.</t>
  </si>
  <si>
    <t>Contracts to Sell (Other than those in Item 3.d.1)</t>
  </si>
  <si>
    <t>7.</t>
  </si>
  <si>
    <t>Loans to Private Corporations</t>
  </si>
  <si>
    <t>Financial</t>
  </si>
  <si>
    <t>8.</t>
  </si>
  <si>
    <t>Loans to Individuals for Housing Purposes (Other than those in Item 3.d.2)</t>
  </si>
  <si>
    <t>9.</t>
  </si>
  <si>
    <t>Credit Card</t>
  </si>
  <si>
    <t>Auto Loans</t>
  </si>
  <si>
    <t>10.</t>
  </si>
  <si>
    <t>Loans to Individuals for Other Purposes</t>
  </si>
  <si>
    <t>Non-Residents</t>
  </si>
  <si>
    <t>Central Government/Central Banks</t>
  </si>
  <si>
    <t>Public Sector Entities</t>
  </si>
  <si>
    <t>Loans to Corporations</t>
  </si>
  <si>
    <t>4.</t>
  </si>
  <si>
    <t xml:space="preserve">Loans to Individuals </t>
  </si>
  <si>
    <t>Classified as to Status</t>
  </si>
  <si>
    <t>Total Amount</t>
  </si>
  <si>
    <t>a</t>
  </si>
  <si>
    <t>b</t>
  </si>
  <si>
    <t>c</t>
  </si>
  <si>
    <t>d</t>
  </si>
  <si>
    <t>e</t>
  </si>
  <si>
    <t>f</t>
  </si>
  <si>
    <t>g</t>
  </si>
  <si>
    <t>Current</t>
  </si>
  <si>
    <t>Total Loans</t>
  </si>
  <si>
    <t>&gt;1 year</t>
  </si>
  <si>
    <t xml:space="preserve">TOTAL </t>
  </si>
  <si>
    <t xml:space="preserve"> Restructured Loans and Receivables </t>
  </si>
  <si>
    <t>Restructured Loans and Receivables</t>
  </si>
  <si>
    <r>
      <t xml:space="preserve">&gt;180 days </t>
    </r>
    <r>
      <rPr>
        <b/>
        <sz val="8"/>
        <rFont val="Arial"/>
        <family val="2"/>
      </rPr>
      <t>&lt; 1 year</t>
    </r>
  </si>
  <si>
    <t>$$$</t>
  </si>
  <si>
    <t>140151000000100000</t>
  </si>
  <si>
    <t>140151000500120000</t>
  </si>
  <si>
    <t>140151000500121000</t>
  </si>
  <si>
    <t>140151000500123000</t>
  </si>
  <si>
    <t>140151000500123100</t>
  </si>
  <si>
    <t>140151000500123200</t>
  </si>
  <si>
    <t>140151000500123300</t>
  </si>
  <si>
    <t>140151001000100000</t>
  </si>
  <si>
    <t>140151001005100000</t>
  </si>
  <si>
    <t>140151001010100000</t>
  </si>
  <si>
    <t>140151002000100000</t>
  </si>
  <si>
    <t>140151002500100000</t>
  </si>
  <si>
    <t>140151002505100000</t>
  </si>
  <si>
    <t>140151002510100000</t>
  </si>
  <si>
    <t>140151003000100000</t>
  </si>
  <si>
    <t>140151003500160000</t>
  </si>
  <si>
    <t>140151003500161000</t>
  </si>
  <si>
    <t>140151003500162000</t>
  </si>
  <si>
    <t>140151004000100000</t>
  </si>
  <si>
    <t>140151004500100000</t>
  </si>
  <si>
    <t>140151004505100000</t>
  </si>
  <si>
    <t>140151004510100000</t>
  </si>
  <si>
    <t>140151004515100000</t>
  </si>
  <si>
    <t>140151005000100000</t>
  </si>
  <si>
    <t>140151000000200000</t>
  </si>
  <si>
    <t>140151005500200000</t>
  </si>
  <si>
    <t>140151006000200000</t>
  </si>
  <si>
    <t>140151006500200000</t>
  </si>
  <si>
    <t>140151007000200000</t>
  </si>
  <si>
    <t>140151000000000000</t>
  </si>
  <si>
    <t>Foreign Offices</t>
  </si>
  <si>
    <t>TOTAL</t>
  </si>
  <si>
    <t>Interbank Loans Receivables</t>
  </si>
  <si>
    <t>Peso Accts</t>
  </si>
  <si>
    <t>FCDU/ EFCDU</t>
  </si>
  <si>
    <t>Total</t>
  </si>
  <si>
    <t>Interbank Call Loans Receivable</t>
  </si>
  <si>
    <t>Resident Banks</t>
  </si>
  <si>
    <t>140100000500140000</t>
  </si>
  <si>
    <t>(a)</t>
  </si>
  <si>
    <t>UBs/KBs</t>
  </si>
  <si>
    <t>140100000500141000</t>
  </si>
  <si>
    <t>(b)</t>
  </si>
  <si>
    <t>140100000500142000</t>
  </si>
  <si>
    <t>(c)</t>
  </si>
  <si>
    <t>140100000500143000</t>
  </si>
  <si>
    <t>Subtotal</t>
  </si>
  <si>
    <t>140100000500000000</t>
  </si>
  <si>
    <t>Interbank Term Loans Receivable</t>
  </si>
  <si>
    <t/>
  </si>
  <si>
    <t>140100001000140000</t>
  </si>
  <si>
    <t>140100001000141000</t>
  </si>
  <si>
    <t>(1)</t>
  </si>
  <si>
    <t>RBU</t>
  </si>
  <si>
    <t>140100001000141010</t>
  </si>
  <si>
    <t>(2)</t>
  </si>
  <si>
    <t>140100001000141020</t>
  </si>
  <si>
    <t>140100001000142000</t>
  </si>
  <si>
    <t>140100001000142010</t>
  </si>
  <si>
    <t>140100001000142020</t>
  </si>
  <si>
    <t>140100001000143000</t>
  </si>
  <si>
    <t>Non-Resident Banks</t>
  </si>
  <si>
    <t>140100001000230000</t>
  </si>
  <si>
    <t>OBUs</t>
  </si>
  <si>
    <t>140100001000231000</t>
  </si>
  <si>
    <t>140100001000232000</t>
  </si>
  <si>
    <t>140100001000000000</t>
  </si>
  <si>
    <t>140100000000000000</t>
  </si>
  <si>
    <t>Additional Information</t>
  </si>
  <si>
    <t>Classified as to Original Term</t>
  </si>
  <si>
    <t>140100000000610000</t>
  </si>
  <si>
    <t>A.</t>
  </si>
  <si>
    <t>Short Term (one year or less)</t>
  </si>
  <si>
    <t>140100000000611000</t>
  </si>
  <si>
    <t>B.</t>
  </si>
  <si>
    <t>ADVANTAGE BANK CORP (A MF RB)</t>
  </si>
  <si>
    <t>ANILAO BANK (RB ANILAO (ILOILO) INC</t>
  </si>
  <si>
    <t>BANCO ALABANG INC (A RURAL BANK)</t>
  </si>
  <si>
    <t>BANGKO BUENA CONSOLIDATED INC(A RB)</t>
  </si>
  <si>
    <t>FAR EASTERN BANK (A RURAL BANK) INC</t>
  </si>
  <si>
    <t>LAGUNA PRESTIGE BANKING CORP (A RB)</t>
  </si>
  <si>
    <t>OWN BANK THE RB OF CAVITE CITY INC</t>
  </si>
  <si>
    <t>Medium Term (&gt;1 year to 5 years)</t>
  </si>
  <si>
    <t>140100000000612100</t>
  </si>
  <si>
    <t>C.</t>
  </si>
  <si>
    <t>Long Term (&gt;5  years)</t>
  </si>
  <si>
    <t>140100000000612200</t>
  </si>
  <si>
    <t>Geographic Regions of Non-Resident Counterparties</t>
  </si>
  <si>
    <t>140100000000620000</t>
  </si>
  <si>
    <t>Advanced economies</t>
  </si>
  <si>
    <t>140100000000621000</t>
  </si>
  <si>
    <t>Regions excluding advanced economies</t>
  </si>
  <si>
    <t>140100000000622000</t>
  </si>
  <si>
    <t>Africa</t>
  </si>
  <si>
    <t>140100000000622100</t>
  </si>
  <si>
    <t>Of which: Sub-Sahara</t>
  </si>
  <si>
    <t>140100000000622110</t>
  </si>
  <si>
    <t>140100000000622200</t>
  </si>
  <si>
    <t>(3)</t>
  </si>
  <si>
    <t>140100000000622300</t>
  </si>
  <si>
    <t>(4)</t>
  </si>
  <si>
    <t>Western Hemisphere</t>
  </si>
  <si>
    <t>140100000000622400</t>
  </si>
  <si>
    <t>FCDU</t>
  </si>
  <si>
    <t>Loans and Receivables - Others</t>
  </si>
  <si>
    <t>(Net Carrying Amount)</t>
  </si>
  <si>
    <t>140150500000100000</t>
  </si>
  <si>
    <t>140150500500120000</t>
  </si>
  <si>
    <t>140150500500121000</t>
  </si>
  <si>
    <t>140150500500123000</t>
  </si>
  <si>
    <t>140150500500123100</t>
  </si>
  <si>
    <t>140150500500123200</t>
  </si>
  <si>
    <t>140150500500123300</t>
  </si>
  <si>
    <t>140150501000100000</t>
  </si>
  <si>
    <t>140150501005100000</t>
  </si>
  <si>
    <t>140150501010100000</t>
  </si>
  <si>
    <t>140150502000100000</t>
  </si>
  <si>
    <t>140150502500100000</t>
  </si>
  <si>
    <t>140150502505100000</t>
  </si>
  <si>
    <t>140150502510100000</t>
  </si>
  <si>
    <t>140150503000100000</t>
  </si>
  <si>
    <t>140150503500160000</t>
  </si>
  <si>
    <t>140150503500161000</t>
  </si>
  <si>
    <t>140150503500162000</t>
  </si>
  <si>
    <t>140150504000100000</t>
  </si>
  <si>
    <t>140150504500100000</t>
  </si>
  <si>
    <t>140150504505100000</t>
  </si>
  <si>
    <t>140150504510100000</t>
  </si>
  <si>
    <t>140150504515100000</t>
  </si>
  <si>
    <t>140150505000100000</t>
  </si>
  <si>
    <t>140150500000200000</t>
  </si>
  <si>
    <t>140150505500200000</t>
  </si>
  <si>
    <t>140150506000200000</t>
  </si>
  <si>
    <t>140150506500200000</t>
  </si>
  <si>
    <t>140150507000200000</t>
  </si>
  <si>
    <t>140150500000000000</t>
  </si>
  <si>
    <t>Additional Information:</t>
  </si>
  <si>
    <t>Loans to LGUs to the extent guranteed by LGUGC</t>
  </si>
  <si>
    <t>140150506500600000</t>
  </si>
  <si>
    <t xml:space="preserve">Loans to GOCCs to the extent guaranteed by the </t>
  </si>
  <si>
    <t>140150507000600000</t>
  </si>
  <si>
    <t>National Government.</t>
  </si>
  <si>
    <t xml:space="preserve">Loans to the extent covered by hold-out on, or </t>
  </si>
  <si>
    <t>140150507500600000</t>
  </si>
  <si>
    <t>assignment of deposits/deposit substitutes</t>
  </si>
  <si>
    <t>Loans or acceptances under letters of credit to the</t>
  </si>
  <si>
    <t>140150508000600000</t>
  </si>
  <si>
    <t>extent  covered by margin deposits</t>
  </si>
  <si>
    <t>5.</t>
  </si>
  <si>
    <t>Loans to the extent guaranteed by IGLF</t>
  </si>
  <si>
    <t>140150508500600000</t>
  </si>
  <si>
    <t>Loans to the extent guaranteed by TIDCORP</t>
  </si>
  <si>
    <t>140150509500600000</t>
  </si>
  <si>
    <t>Maturing within 1 year</t>
  </si>
  <si>
    <t>140150509500611000</t>
  </si>
  <si>
    <t>Maturing beyond 1 year</t>
  </si>
  <si>
    <t>140150509500612000</t>
  </si>
  <si>
    <t>Loans to the extent guaranteed by SBC</t>
  </si>
  <si>
    <t>140150510000600000</t>
  </si>
  <si>
    <t>140150510000611000</t>
  </si>
  <si>
    <t>140150510000612000</t>
  </si>
  <si>
    <t>Real estate mortgage loans to the extent guaranteed</t>
  </si>
  <si>
    <t>140150510500600000</t>
  </si>
  <si>
    <t>by the HGC</t>
  </si>
  <si>
    <t>Bills Purchased</t>
  </si>
  <si>
    <t>140150511500600000</t>
  </si>
  <si>
    <t>Export Bills Purchased</t>
  </si>
  <si>
    <t>140150511500610000</t>
  </si>
  <si>
    <t>Bills Purchased - Documentary</t>
  </si>
  <si>
    <t>140150511500620000</t>
  </si>
  <si>
    <t>Bills Purchased - Clean</t>
  </si>
  <si>
    <t>140150511500630000</t>
  </si>
  <si>
    <t>Customers' Liability on Bills/Drafts  Under LC/TR</t>
  </si>
  <si>
    <t>140150512000600000</t>
  </si>
  <si>
    <t>Import Bills</t>
  </si>
  <si>
    <t>140150512000610000</t>
  </si>
  <si>
    <t>Import Bills Under TRs</t>
  </si>
  <si>
    <t>140150512000620000</t>
  </si>
  <si>
    <t>11.</t>
  </si>
  <si>
    <t>Customers' Liability for this Banks' Acceptances Outstanding</t>
  </si>
  <si>
    <t>140150511000600000</t>
  </si>
  <si>
    <t>12.</t>
  </si>
  <si>
    <t>140150500000610000</t>
  </si>
  <si>
    <t>140150500000611000</t>
  </si>
  <si>
    <t>140150500000612100</t>
  </si>
  <si>
    <t>140150500000612200</t>
  </si>
  <si>
    <t>13.</t>
  </si>
  <si>
    <t>140150500000620000</t>
  </si>
  <si>
    <t>140150500000621000</t>
  </si>
  <si>
    <t>140150500000622000</t>
  </si>
  <si>
    <t>140150500000622100</t>
  </si>
  <si>
    <t>140150500000622110</t>
  </si>
  <si>
    <t>140150500000622200</t>
  </si>
  <si>
    <t>140150500000622300</t>
  </si>
  <si>
    <t>140150500000622400</t>
  </si>
  <si>
    <t>DOSRI Loans</t>
  </si>
  <si>
    <t>Secured</t>
  </si>
  <si>
    <t>(i)</t>
  </si>
  <si>
    <t>REM - Residential</t>
  </si>
  <si>
    <t>(ii)</t>
  </si>
  <si>
    <t>REM - Commercial</t>
  </si>
  <si>
    <t>(iii)</t>
  </si>
  <si>
    <t>Other collateral</t>
  </si>
  <si>
    <t>Unsecured</t>
  </si>
  <si>
    <t>Non-DOSRI Loans</t>
  </si>
  <si>
    <t>Exposure to Real Estate Industry</t>
  </si>
  <si>
    <t>Residential Real Estate Loans</t>
  </si>
  <si>
    <t>Not exceeding P3.5 million</t>
  </si>
  <si>
    <t>Exceeding P3.5 million</t>
  </si>
  <si>
    <t>Guaranteed under National Shelter Program</t>
  </si>
  <si>
    <t>140150013500642100</t>
  </si>
  <si>
    <t>140150013500642200</t>
  </si>
  <si>
    <t>Commercial Real Estate Loans</t>
  </si>
  <si>
    <r>
      <t>1/</t>
    </r>
    <r>
      <rPr>
        <sz val="8"/>
        <rFont val="Arial"/>
        <family val="2"/>
      </rPr>
      <t>Includes Restructured Loans</t>
    </r>
  </si>
  <si>
    <t>140150000000100000</t>
  </si>
  <si>
    <t>140150000500120000</t>
  </si>
  <si>
    <t>140150000500121000</t>
  </si>
  <si>
    <t>140150000500123000</t>
  </si>
  <si>
    <t>140150000500123100</t>
  </si>
  <si>
    <t>140150000500123200</t>
  </si>
  <si>
    <t>140150000500123300</t>
  </si>
  <si>
    <t>140150001000100000</t>
  </si>
  <si>
    <t>140150001005100000</t>
  </si>
  <si>
    <t>140150001010100000</t>
  </si>
  <si>
    <t>140150002000100000</t>
  </si>
  <si>
    <t>140150002500100000</t>
  </si>
  <si>
    <t>140150002505100000</t>
  </si>
  <si>
    <t>140150002510100000</t>
  </si>
  <si>
    <t>140150003000100000</t>
  </si>
  <si>
    <t>140150003500160000</t>
  </si>
  <si>
    <t>140150003500161000</t>
  </si>
  <si>
    <t>140150003500162000</t>
  </si>
  <si>
    <t>140150004000100000</t>
  </si>
  <si>
    <t>140150004500100000</t>
  </si>
  <si>
    <t>140150004505100000</t>
  </si>
  <si>
    <t>140150004510100000</t>
  </si>
  <si>
    <t>140150004515100000</t>
  </si>
  <si>
    <t>140150005000100000</t>
  </si>
  <si>
    <t>140150000000200000</t>
  </si>
  <si>
    <t>140150005500200000</t>
  </si>
  <si>
    <t>140150006000200000</t>
  </si>
  <si>
    <t>140150006500200000</t>
  </si>
  <si>
    <t>140150007000200000</t>
  </si>
  <si>
    <t>140150000000000000</t>
  </si>
  <si>
    <t>140150012500600000</t>
  </si>
  <si>
    <t>140150012505600000</t>
  </si>
  <si>
    <t>140150012510600000</t>
  </si>
  <si>
    <t>140150012515600000</t>
  </si>
  <si>
    <t>140150012520600000</t>
  </si>
  <si>
    <t>140150012525600000</t>
  </si>
  <si>
    <t>140150013000600000</t>
  </si>
  <si>
    <t>140150013005600000</t>
  </si>
  <si>
    <t>140150013010600000</t>
  </si>
  <si>
    <t>140150013015600000</t>
  </si>
  <si>
    <t>140150013020600000</t>
  </si>
  <si>
    <t>140150013025600000</t>
  </si>
  <si>
    <t>140150013500600000</t>
  </si>
  <si>
    <t>140150013505640000</t>
  </si>
  <si>
    <t>140150013500641000</t>
  </si>
  <si>
    <t>140150013500642000</t>
  </si>
  <si>
    <t>140150013510640000</t>
  </si>
  <si>
    <t>140150014000600000</t>
  </si>
  <si>
    <t>140150014000610000</t>
  </si>
  <si>
    <t>140150014000620000</t>
  </si>
  <si>
    <t>140150014000630000</t>
  </si>
  <si>
    <t>140150014500600000</t>
  </si>
  <si>
    <t>140150014500610000</t>
  </si>
  <si>
    <t>140150014500620000</t>
  </si>
  <si>
    <t>140150015000620000</t>
  </si>
  <si>
    <t>1/Includes Restructured Loans</t>
  </si>
  <si>
    <t>Peso Equiv</t>
  </si>
  <si>
    <t>Mining and Quarrying</t>
  </si>
  <si>
    <t>Manufacturing</t>
  </si>
  <si>
    <t>Construction</t>
  </si>
  <si>
    <t>Education</t>
  </si>
  <si>
    <t>Loans and Receivables Arising from Repurchase Agreements, Certificates of Assignment/Participation with Recourse and Securities Lending and Borrowing Transactions</t>
  </si>
  <si>
    <t>By Counterparty</t>
  </si>
  <si>
    <t>Resident</t>
  </si>
  <si>
    <t>140200000000100000</t>
  </si>
  <si>
    <t>Government</t>
  </si>
  <si>
    <t>140200000000120000</t>
  </si>
  <si>
    <t>140200000000121000</t>
  </si>
  <si>
    <t>LGU</t>
  </si>
  <si>
    <t>140200000000122000</t>
  </si>
  <si>
    <t>GOCC</t>
  </si>
  <si>
    <t>140200000000123000</t>
  </si>
  <si>
    <t>140200000000123100</t>
  </si>
  <si>
    <t>140200000000123200</t>
  </si>
  <si>
    <t>140200000000123300</t>
  </si>
  <si>
    <t>BSP</t>
  </si>
  <si>
    <t>140200000000130000</t>
  </si>
  <si>
    <t>Banks</t>
  </si>
  <si>
    <t>140200000000140000</t>
  </si>
  <si>
    <t>140200000000141000</t>
  </si>
  <si>
    <t>Other Banks</t>
  </si>
  <si>
    <t>140200000000142000</t>
  </si>
  <si>
    <t>Private Corporations</t>
  </si>
  <si>
    <t>140200000000160000</t>
  </si>
  <si>
    <t>140200000000161000</t>
  </si>
  <si>
    <t>140200000000162000</t>
  </si>
  <si>
    <t>Individuals</t>
  </si>
  <si>
    <t>140200000000170000</t>
  </si>
  <si>
    <t>Non-Resident</t>
  </si>
  <si>
    <t>140200000000200000</t>
  </si>
  <si>
    <t>Central Government/Central Bank</t>
  </si>
  <si>
    <t>140200000000210000</t>
  </si>
  <si>
    <t>140200000000220000</t>
  </si>
  <si>
    <t>140200000000230000</t>
  </si>
  <si>
    <t>140200000000231000</t>
  </si>
  <si>
    <t>140200000000232000</t>
  </si>
  <si>
    <t>Corporations</t>
  </si>
  <si>
    <t>140200000000240000</t>
  </si>
  <si>
    <t>140200000000250000</t>
  </si>
  <si>
    <t>140200000000000000</t>
  </si>
  <si>
    <t>140200000000610000</t>
  </si>
  <si>
    <t>140200000000611000</t>
  </si>
  <si>
    <t>140200000000612100</t>
  </si>
  <si>
    <t>140200000000612200</t>
  </si>
  <si>
    <t>140200000000620000</t>
  </si>
  <si>
    <t>140200000000621000</t>
  </si>
  <si>
    <t>140200000000622000</t>
  </si>
  <si>
    <t>140200000000622100</t>
  </si>
  <si>
    <t>140200000000622110</t>
  </si>
  <si>
    <t>140200000000622200</t>
  </si>
  <si>
    <t>140200000000622300</t>
  </si>
  <si>
    <t>140200000000622400</t>
  </si>
  <si>
    <t>Loans and Receivables Arising from Repurchase Agreements and Securities Lending and Borrowing Transactions</t>
  </si>
  <si>
    <t>Matrix of Counterparty and Issuer of Collateral Securities</t>
  </si>
  <si>
    <t>Issuer</t>
  </si>
  <si>
    <t>Resident Issuers</t>
  </si>
  <si>
    <t>Non-Resident Issuers</t>
  </si>
  <si>
    <t>Multilateral Agencies</t>
  </si>
  <si>
    <t>Government Securities</t>
  </si>
  <si>
    <t>Central Government/ Central Banks</t>
  </si>
  <si>
    <t>National Gov't</t>
  </si>
  <si>
    <t>LGU guaranteed by LGUGC</t>
  </si>
  <si>
    <t>GOCC guaranteed by Nat'l Gov't</t>
  </si>
  <si>
    <t>Counterparty</t>
  </si>
  <si>
    <t>(Peso Accounts)</t>
  </si>
  <si>
    <t>Central Government/                Central Banks</t>
  </si>
  <si>
    <t>Central Government/                             Central Banks</t>
  </si>
  <si>
    <t>Repricing</t>
  </si>
  <si>
    <t>Performing Financial Assets and Financial Liabilities</t>
  </si>
  <si>
    <t>Maturity</t>
  </si>
  <si>
    <t>Up to one month</t>
  </si>
  <si>
    <t>Over one month to three months</t>
  </si>
  <si>
    <t>Over one year to three years</t>
  </si>
  <si>
    <t>Over three years to five years</t>
  </si>
  <si>
    <t>Over five years to 15 years</t>
  </si>
  <si>
    <t>Over 15 years</t>
  </si>
  <si>
    <t>Asset Accounts</t>
  </si>
  <si>
    <t>Due from Other Banks</t>
  </si>
  <si>
    <t>Financial Assets Held for Trading (excluding equity securities)</t>
  </si>
  <si>
    <t>(a)  National Government Securities</t>
  </si>
  <si>
    <t>(b)  Other Securities</t>
  </si>
  <si>
    <t>Financial Assets Designated at Fair Value through Profit or Loss (excluding equity securities)</t>
  </si>
  <si>
    <t>(5)</t>
  </si>
  <si>
    <t>Held-to-Maturity Financial Assets</t>
  </si>
  <si>
    <t>(6)</t>
  </si>
  <si>
    <t>Unquoted Debt Securities Classified as Loans</t>
  </si>
  <si>
    <t>(7)</t>
  </si>
  <si>
    <t>Loans and Receivables</t>
  </si>
  <si>
    <t>(8)</t>
  </si>
  <si>
    <t>Loans and Receivables Under Repurchase Agreements and Securities Lending and Borrowing Transactions</t>
  </si>
  <si>
    <t>(9)</t>
  </si>
  <si>
    <t>BAYBANK INC (A RURAL BANK)</t>
  </si>
  <si>
    <t>Derivatives with Positive Fair Value Held for Hedging</t>
  </si>
  <si>
    <t>(10)</t>
  </si>
  <si>
    <t>Accrued Interest Income from Financial Assets</t>
  </si>
  <si>
    <t>(11)</t>
  </si>
  <si>
    <t>Sales Contract Receivable</t>
  </si>
  <si>
    <t>Total Asset Accounts</t>
  </si>
  <si>
    <t>100000000000900000</t>
  </si>
  <si>
    <t>Liability Accounts</t>
  </si>
  <si>
    <t>Financial Liabilities Held for Trading</t>
  </si>
  <si>
    <t>Financial Liabilities Designated at Fair Value through Profit or Loss</t>
  </si>
  <si>
    <t>Deposit Liabilities</t>
  </si>
  <si>
    <t>Bills Payable</t>
  </si>
  <si>
    <t>Bonds Payable</t>
  </si>
  <si>
    <t>Unsecured Subordinated Debt</t>
  </si>
  <si>
    <t>Redeemable Preferred Shares</t>
  </si>
  <si>
    <t>Derivatives with Negative Fair Value Held for Hedging</t>
  </si>
  <si>
    <t>Accrued Interest Expense on Financial Liabilities</t>
  </si>
  <si>
    <t>Finance Lease Payment Payable</t>
  </si>
  <si>
    <t>Total Liability Accounts</t>
  </si>
  <si>
    <t>200000000000900000</t>
  </si>
  <si>
    <t>Net</t>
  </si>
  <si>
    <t>999000000000900000</t>
  </si>
  <si>
    <t xml:space="preserve">Net </t>
  </si>
  <si>
    <r>
      <t xml:space="preserve">Loans and Receivables - Others </t>
    </r>
    <r>
      <rPr>
        <b/>
        <vertAlign val="superscript"/>
        <sz val="10"/>
        <rFont val="Arial"/>
        <family val="2"/>
      </rPr>
      <t>1/</t>
    </r>
  </si>
  <si>
    <t>Movements in Allowances for Credit Losses</t>
  </si>
  <si>
    <t>Opening balance</t>
  </si>
  <si>
    <t>Write-offs taken against the allowance</t>
  </si>
  <si>
    <t>Other adjustments</t>
  </si>
  <si>
    <t>Closing Balances</t>
  </si>
  <si>
    <t>Recoveries directly recognized in profit or loss</t>
  </si>
  <si>
    <t>Charge-offs directly recognized in profit or loss</t>
  </si>
  <si>
    <t>Specific allowances for individually assessed financial assets and Specific allowances for collectively assessed financial assets</t>
  </si>
  <si>
    <t>Movements of Allowances for Credit Losses</t>
  </si>
  <si>
    <t>165150000000100000</t>
  </si>
  <si>
    <t>165150000500120000</t>
  </si>
  <si>
    <t>165150000500121000</t>
  </si>
  <si>
    <t>165150000500123000</t>
  </si>
  <si>
    <t>165150000500123100</t>
  </si>
  <si>
    <t>165150000500123200</t>
  </si>
  <si>
    <t>165150000500123300</t>
  </si>
  <si>
    <t>165150001000100000</t>
  </si>
  <si>
    <t>165150001005100000</t>
  </si>
  <si>
    <t>165150001010100000</t>
  </si>
  <si>
    <t>165150002000100000</t>
  </si>
  <si>
    <t>165150002500100000</t>
  </si>
  <si>
    <t>BRIDGEWAY RURAL BANKING CORPORATION</t>
  </si>
  <si>
    <t>165150002505100000</t>
  </si>
  <si>
    <t>165150002510100000</t>
  </si>
  <si>
    <t>165150003000100000</t>
  </si>
  <si>
    <t>165150003500160000</t>
  </si>
  <si>
    <t>165150003500161000</t>
  </si>
  <si>
    <t>165150003500162000</t>
  </si>
  <si>
    <t>165150004000100000</t>
  </si>
  <si>
    <t>165150004500100000</t>
  </si>
  <si>
    <t>165150004505100000</t>
  </si>
  <si>
    <t>165150004510100000</t>
  </si>
  <si>
    <t>165150004515100000</t>
  </si>
  <si>
    <t>165150005000100000</t>
  </si>
  <si>
    <t>165150000000200000</t>
  </si>
  <si>
    <t>165150005500200000</t>
  </si>
  <si>
    <t>165150006000200000</t>
  </si>
  <si>
    <t>165150006500200000</t>
  </si>
  <si>
    <t>165150007000200000</t>
  </si>
  <si>
    <t>165150000000000000</t>
  </si>
  <si>
    <t>Amortized Cost</t>
  </si>
  <si>
    <t>Loans to Government</t>
  </si>
  <si>
    <t>140150000500122000</t>
  </si>
  <si>
    <t>NEGROS COOPERATIVE BANK</t>
  </si>
  <si>
    <t>Microfinance Loans</t>
  </si>
  <si>
    <t xml:space="preserve">Loans to Government </t>
  </si>
  <si>
    <t>140150500500122000</t>
  </si>
  <si>
    <t>140151000500122000</t>
  </si>
  <si>
    <t>1/  Includes Restructured Loans</t>
  </si>
  <si>
    <t>Amounts set aside for estimated credit losses</t>
  </si>
  <si>
    <t>Amounts reversed for estimated credit losses</t>
  </si>
  <si>
    <t>165150000500122000</t>
  </si>
  <si>
    <t>(Amounts in PHP)</t>
  </si>
  <si>
    <t>(12)</t>
  </si>
  <si>
    <t>110000000000900000</t>
  </si>
  <si>
    <t>115000000000900000</t>
  </si>
  <si>
    <t>115000000500900040</t>
  </si>
  <si>
    <t>115000001000900050</t>
  </si>
  <si>
    <t>120000000000900000</t>
  </si>
  <si>
    <t>120000000500900040</t>
  </si>
  <si>
    <t>120000001000900050</t>
  </si>
  <si>
    <t>125000000000900000</t>
  </si>
  <si>
    <t>125000000500900040</t>
  </si>
  <si>
    <t>125000001000900050</t>
  </si>
  <si>
    <t>130000000000900000</t>
  </si>
  <si>
    <t>130000000500900040</t>
  </si>
  <si>
    <t>130000001000900050</t>
  </si>
  <si>
    <t>140000000000900000</t>
  </si>
  <si>
    <t>140200000000900000</t>
  </si>
  <si>
    <t>145050000000900000</t>
  </si>
  <si>
    <t>145200000000900000</t>
  </si>
  <si>
    <t>105200000000900000</t>
  </si>
  <si>
    <t>205000000000900000</t>
  </si>
  <si>
    <t>210000000000900000</t>
  </si>
  <si>
    <t>215000000000900000</t>
  </si>
  <si>
    <t>220100000000900000</t>
  </si>
  <si>
    <t>220150000000900000</t>
  </si>
  <si>
    <t>220200000000900000</t>
  </si>
  <si>
    <t>220250000000900000</t>
  </si>
  <si>
    <t>225100000000900000</t>
  </si>
  <si>
    <t>225200000000900000</t>
  </si>
  <si>
    <t>225250000000900000</t>
  </si>
  <si>
    <t>(Amounts in USD)</t>
  </si>
  <si>
    <t>155250000000900000</t>
  </si>
  <si>
    <t>230850000000900000</t>
  </si>
  <si>
    <t>Residual Maturity</t>
  </si>
  <si>
    <t>100000000000800000</t>
  </si>
  <si>
    <t>200000000000800000</t>
  </si>
  <si>
    <t>999000000000800000</t>
  </si>
  <si>
    <t>105200000000800000</t>
  </si>
  <si>
    <t>110000000000800000</t>
  </si>
  <si>
    <t>115000000000800000</t>
  </si>
  <si>
    <t>115000000000800040</t>
  </si>
  <si>
    <t>120000000000800000</t>
  </si>
  <si>
    <t>120000000000800040</t>
  </si>
  <si>
    <t>120000000000800050</t>
  </si>
  <si>
    <t>125000000000800000</t>
  </si>
  <si>
    <t>125000000000800050</t>
  </si>
  <si>
    <t>130000000000800000</t>
  </si>
  <si>
    <t>130000000000800040</t>
  </si>
  <si>
    <t>130000000000800050</t>
  </si>
  <si>
    <t>140000000000800000</t>
  </si>
  <si>
    <t>140200000000800000</t>
  </si>
  <si>
    <t>145050000000800000</t>
  </si>
  <si>
    <t>RBG IMPERIAL BANK INC(A RURAL BANK)</t>
  </si>
  <si>
    <t>145200000000800000</t>
  </si>
  <si>
    <t>155250000000800000</t>
  </si>
  <si>
    <t>205000000000800000</t>
  </si>
  <si>
    <t>210000000000800000</t>
  </si>
  <si>
    <t>215000000000800000</t>
  </si>
  <si>
    <t>220100000000800000</t>
  </si>
  <si>
    <t>220150000000800000</t>
  </si>
  <si>
    <t>220200000000800000</t>
  </si>
  <si>
    <t>220250000000800000</t>
  </si>
  <si>
    <t>225100000000800000</t>
  </si>
  <si>
    <t>225200000000800000</t>
  </si>
  <si>
    <t>225250000000800000</t>
  </si>
  <si>
    <t>230850000000800000</t>
  </si>
  <si>
    <t>Due from H.O./Branches/Agencies Abroad - (Philippine branch of a foreign bank)</t>
  </si>
  <si>
    <t>Due to H.O./Branches/Agencies Abroad - (Philippine branch of a foreign bank)</t>
  </si>
  <si>
    <t>115000000000800050</t>
  </si>
  <si>
    <t>125000000000800040</t>
  </si>
  <si>
    <t>145151000000800000</t>
  </si>
  <si>
    <t>145151000000900000</t>
  </si>
  <si>
    <t>Solo Reports</t>
  </si>
  <si>
    <t>REM - Agricultural</t>
  </si>
  <si>
    <t>140150012518600000</t>
  </si>
  <si>
    <t>(iv)</t>
  </si>
  <si>
    <t>140150013018600000</t>
  </si>
  <si>
    <t>Agricultural</t>
  </si>
  <si>
    <t>140150013515640000</t>
  </si>
  <si>
    <t>Guaranteed under  the National Shelter Program</t>
  </si>
  <si>
    <t>Guaranteed under the National Shelter Program</t>
  </si>
  <si>
    <t>Classified as to Counterparty</t>
  </si>
  <si>
    <t>140100000500141010</t>
  </si>
  <si>
    <t>140100000500141020</t>
  </si>
  <si>
    <t>140100000500142010</t>
  </si>
  <si>
    <t>140100000500142020</t>
  </si>
  <si>
    <t>NBQBS</t>
  </si>
  <si>
    <t>140100000500230000</t>
  </si>
  <si>
    <t>140100000500231000</t>
  </si>
  <si>
    <t>140100000500232000</t>
  </si>
  <si>
    <r>
      <t xml:space="preserve">Small and Medium Enterprise Loans </t>
    </r>
    <r>
      <rPr>
        <vertAlign val="superscript"/>
        <sz val="8"/>
        <rFont val="Arial"/>
        <family val="2"/>
      </rPr>
      <t>a/</t>
    </r>
  </si>
  <si>
    <t>140150501015100000</t>
  </si>
  <si>
    <t>140150501020100000</t>
  </si>
  <si>
    <r>
      <t>a/</t>
    </r>
    <r>
      <rPr>
        <sz val="8"/>
        <rFont val="Arial"/>
        <family val="2"/>
      </rPr>
      <t xml:space="preserve"> Of which loans used to comply with Agrarian Reform/Other Agricultural Loans</t>
    </r>
  </si>
  <si>
    <t>Small and Medium Enterprise Loans a/</t>
  </si>
  <si>
    <r>
      <t>Small and Medium Enterprise Loans</t>
    </r>
    <r>
      <rPr>
        <vertAlign val="superscript"/>
        <sz val="8"/>
        <rFont val="Arial"/>
        <family val="2"/>
      </rPr>
      <t xml:space="preserve"> a/</t>
    </r>
  </si>
  <si>
    <t>SME Loans</t>
  </si>
  <si>
    <t>Due from BSP</t>
  </si>
  <si>
    <t>105150000000800000</t>
  </si>
  <si>
    <t xml:space="preserve"> (a) Held For Trading Securities</t>
  </si>
  <si>
    <t xml:space="preserve">      (i)  National Government Securities</t>
  </si>
  <si>
    <t xml:space="preserve">      (ii)  Other Securities</t>
  </si>
  <si>
    <t>(b) Derivatives with Positive Fair Value</t>
  </si>
  <si>
    <t>(13)</t>
  </si>
  <si>
    <t>110050000000800000</t>
  </si>
  <si>
    <t>110050000000800040</t>
  </si>
  <si>
    <t>110050000000800050</t>
  </si>
  <si>
    <t>110100000000800000</t>
  </si>
  <si>
    <t>Available-for-Sale Financial Assets (excluding equity securities)</t>
  </si>
  <si>
    <t>(14)</t>
  </si>
  <si>
    <t>155950000000800000</t>
  </si>
  <si>
    <t>Due to Other Banks</t>
  </si>
  <si>
    <t>220050000000800000</t>
  </si>
  <si>
    <t>Financial Liabilities Associated with Transferred Assets</t>
  </si>
  <si>
    <t>225050000000800000</t>
  </si>
  <si>
    <t>230950000000800000</t>
  </si>
  <si>
    <t>(a) Held For Trading Securities</t>
  </si>
  <si>
    <t xml:space="preserve">     (i)  National Government Securities</t>
  </si>
  <si>
    <t xml:space="preserve">     (ii)  Other Securities</t>
  </si>
  <si>
    <t>105150000000900000</t>
  </si>
  <si>
    <t>110050000000900000</t>
  </si>
  <si>
    <t>110050000000900040</t>
  </si>
  <si>
    <t>110050000000900050</t>
  </si>
  <si>
    <t>110100000000900000</t>
  </si>
  <si>
    <t>155950000000900000</t>
  </si>
  <si>
    <t>220050000000900000</t>
  </si>
  <si>
    <t>225050000000900000</t>
  </si>
  <si>
    <t>230950000000900000</t>
  </si>
  <si>
    <t>x</t>
  </si>
  <si>
    <t>(v)</t>
  </si>
  <si>
    <t>Non-risk Assets</t>
  </si>
  <si>
    <t>140150012519600000</t>
  </si>
  <si>
    <t>Loans Granted under the Bank's Fringe Benefit Program</t>
  </si>
  <si>
    <t>140150012528600000</t>
  </si>
  <si>
    <t>(At Net Carrying Amount, except for Items 12 to 16 of the Additional Information)</t>
  </si>
  <si>
    <t>For Items 12 to 16, Loans and Receivables - Others, should be reported at Amortized Cost i.e. Gross of Allowance</t>
  </si>
  <si>
    <t>Classified as to Original Term (At amortized cost)</t>
  </si>
  <si>
    <t>Geographic Regions of Non-Resident Counterparties (At amortized cost)</t>
  </si>
  <si>
    <t>Developing Asia</t>
  </si>
  <si>
    <t>Middle East</t>
  </si>
  <si>
    <t>Central and Eastern Europe</t>
  </si>
  <si>
    <t>Commonwealth of Independent States</t>
  </si>
  <si>
    <t>14.</t>
  </si>
  <si>
    <t>15.</t>
  </si>
  <si>
    <t>16.</t>
  </si>
  <si>
    <t xml:space="preserve">Disclosure of FCDU/EFCDU Loans and Receivables - Others  for  purposes of computing FCDU cover </t>
  </si>
  <si>
    <t>Loans with Specific Approval by the BSP (Section 23 of Circular No. 1389, as amended)</t>
  </si>
  <si>
    <t>Short-term Loans to Resident Private Sector Borrowers which  under existing regulations requires no prior BSP approval and  allowed to be serviced using foreign exchange purchased from the banking system (Section 24.4 of Circular No. 1389, as amended)</t>
  </si>
  <si>
    <t>Loans to Resident Private Sector Borrowers to be serviced using Foreign Exchange Purchased from Outside the Banking System (Section 24.1 of Circular No. 1389, as amended)</t>
  </si>
  <si>
    <t>Loans granted by EFCDU to Non-Resident to be serviced using  Foreign Exchange Purchased from Outside the Banking System (Section 24 of Circular No. 1389, as amended)</t>
  </si>
  <si>
    <t>140150500000622500</t>
  </si>
  <si>
    <t>140150500000622600</t>
  </si>
  <si>
    <t>140150516500600000</t>
  </si>
  <si>
    <t>140150517000600000</t>
  </si>
  <si>
    <t>140150517500600000</t>
  </si>
  <si>
    <t>140150518000600000</t>
  </si>
  <si>
    <t>140100000000622500</t>
  </si>
  <si>
    <t>140100000000622600</t>
  </si>
  <si>
    <t>Gross Loans and Receivables - Others (At Amortized Cost)</t>
  </si>
  <si>
    <t>Type of Business / Industry</t>
  </si>
  <si>
    <t>Borrowers / Type of Loans</t>
  </si>
  <si>
    <t>A.  For Production, by Economic Activity - Total</t>
  </si>
  <si>
    <t>140150000000100001</t>
  </si>
  <si>
    <t>B.  For Household Consumption - Total</t>
  </si>
  <si>
    <t>140150000000100002</t>
  </si>
  <si>
    <t>140150018505600000</t>
  </si>
  <si>
    <t>140150018510600000</t>
  </si>
  <si>
    <t>140150018515600000</t>
  </si>
  <si>
    <t>140150018520600000</t>
  </si>
  <si>
    <t>Public Administration and Defense; Compulsory Social Security</t>
  </si>
  <si>
    <t>Loans to Individuals</t>
  </si>
  <si>
    <t>140150505500100000</t>
  </si>
  <si>
    <t>140200000000622500</t>
  </si>
  <si>
    <t>140200000000622600</t>
  </si>
  <si>
    <t>Disclosure: Of which Interbank Loans Receivable</t>
  </si>
  <si>
    <t>195401000000800000</t>
  </si>
  <si>
    <t>Peso and Foreign Regular Accounts</t>
  </si>
  <si>
    <t>ASPAC RURAL BANK INC</t>
  </si>
  <si>
    <t>BACLARAN RB INC</t>
  </si>
  <si>
    <t>BALANGA RURAL BANK, INC.</t>
  </si>
  <si>
    <t>BALIUAG RB INC</t>
  </si>
  <si>
    <t>BANCO BAKUN INC (A RURAL BANK)</t>
  </si>
  <si>
    <t>BANCO BATANGAN INC(A RB)</t>
  </si>
  <si>
    <t>BANCO MAXIMO INC (A RURAL BANK)</t>
  </si>
  <si>
    <t>BANCO NG MASA (A MF-ORIENTED RB)</t>
  </si>
  <si>
    <t>BANGKO CARRASCAL INC (A RB)</t>
  </si>
  <si>
    <t>BANGKO KABAYAN (A RURAL BANK) INC</t>
  </si>
  <si>
    <t>BANGKO PANGASINAN-A RB INC</t>
  </si>
  <si>
    <t>BANGKO PASIG(RURAL BANK)</t>
  </si>
  <si>
    <t>BANGKO RURAL NG MAGARAO(CAM SUR)INC</t>
  </si>
  <si>
    <t>BANK OF FLORIDA INC (A RB)</t>
  </si>
  <si>
    <t>BANK OF MAKATI (A RURAL BANK) INC</t>
  </si>
  <si>
    <t>BATAAN COOPERATIVE BANK</t>
  </si>
  <si>
    <t>BATANGAS RB FOR COOP INC</t>
  </si>
  <si>
    <t>BENGUET CENTER BANK INC A RB</t>
  </si>
  <si>
    <t>BHF RURAL BANK INC</t>
  </si>
  <si>
    <t>BINAN RURAL BANK INC</t>
  </si>
  <si>
    <t>BINANGONAN RB INC</t>
  </si>
  <si>
    <t>BOLBOK RB INC</t>
  </si>
  <si>
    <t>BUTUAN CITY RB INC</t>
  </si>
  <si>
    <t>CABANATUAN CITY RB INC</t>
  </si>
  <si>
    <t>CAGSAWA RURAL BANK INC</t>
  </si>
  <si>
    <t>CAMILING RB INC</t>
  </si>
  <si>
    <t>CAPIZ SETTLERS COOPERATIVE RB INC</t>
  </si>
  <si>
    <t>CAVITE RURAL BANKING CORP</t>
  </si>
  <si>
    <t>CEBUANA LHUILLIER RB INC</t>
  </si>
  <si>
    <t>CENTRAL EQUITY RURAL BANK INC</t>
  </si>
  <si>
    <t>CITIZEN'S RB(CABIAO) INC</t>
  </si>
  <si>
    <t>CLASSIC RURAL BANK INC</t>
  </si>
  <si>
    <t>COOP BANK OF AGUSAN DEL SUR</t>
  </si>
  <si>
    <t>COOP BANK OF AURORA</t>
  </si>
  <si>
    <t>COOP BANK OF CAMARINES NORTE</t>
  </si>
  <si>
    <t>COOP BANK OF CAVITE</t>
  </si>
  <si>
    <t>COOP BANK OF LA UNION</t>
  </si>
  <si>
    <t>COOP BANK OF MT PROVINCE</t>
  </si>
  <si>
    <t>COOP BANK OF NEGROS ORIENTAL</t>
  </si>
  <si>
    <t>COOP BANK OF PALAWAN</t>
  </si>
  <si>
    <t>COOP BANK OF QUEZON PROVINCE</t>
  </si>
  <si>
    <t>COOP BANK OF SURIGAO DEL SUR</t>
  </si>
  <si>
    <t>COOP BANK OF ZAMBALES</t>
  </si>
  <si>
    <t>COOP RB OF BULACAN INC</t>
  </si>
  <si>
    <t>COOPERATIVE BANK OF CEBU</t>
  </si>
  <si>
    <t>CROWN BANK, INC (A RB)</t>
  </si>
  <si>
    <t>CUYAPO RB INC</t>
  </si>
  <si>
    <t>DE LA O RURAL BANK INC</t>
  </si>
  <si>
    <t>DIAMOND RURAL BANK INC</t>
  </si>
  <si>
    <t>DUMAGUETE RB INC</t>
  </si>
  <si>
    <t>EMERALD RURAL BANK INC</t>
  </si>
  <si>
    <t>EMPIRE RURAL BANK INC</t>
  </si>
  <si>
    <t>ENTREPRENUER RB INC</t>
  </si>
  <si>
    <t>FARMERS RB INC</t>
  </si>
  <si>
    <t>FIL-AGRO RURAL BANK INC</t>
  </si>
  <si>
    <t>FILIPINO SAVERS BANK INC (A RB)</t>
  </si>
  <si>
    <t>FIRST AGRO-INDUSTRIAL RB INC</t>
  </si>
  <si>
    <t>FIRST COMMUNITY BANK INC (RB)</t>
  </si>
  <si>
    <t>FIRST MIDLAND RURAL BANK INC</t>
  </si>
  <si>
    <t>FIRST MINDORO MICROFINANCE RB INC</t>
  </si>
  <si>
    <t>FIRST STATE RURAL BANK INC</t>
  </si>
  <si>
    <t>FIRST UNITED FARMERS RB INC</t>
  </si>
  <si>
    <t>FRONTIER RURAL BANK INC</t>
  </si>
  <si>
    <t>GATEWAY RURAL BANK INC</t>
  </si>
  <si>
    <t>GOLDEN RB OF THE PHILS</t>
  </si>
  <si>
    <t>GRAND-AGRI RURAL BANK</t>
  </si>
  <si>
    <t>GUAGUA RURAL BANK INC</t>
  </si>
  <si>
    <t>GUAGUA SAVERS BANK(A RB) INC</t>
  </si>
  <si>
    <t>ILOCOS SUR COOPERATIVE BANK</t>
  </si>
  <si>
    <t>IMUS RURAL BANK INC</t>
  </si>
  <si>
    <t>INSULAR RURAL BANK</t>
  </si>
  <si>
    <t>JANIUAY RURAL BANK INC</t>
  </si>
  <si>
    <t>KALUYAGAN RURAL BANK INC</t>
  </si>
  <si>
    <t>KEY RURAL BANK INC</t>
  </si>
  <si>
    <t>LAGAWE HIGHLANDS RB INC</t>
  </si>
  <si>
    <t>LAPU-LAPU RB INC</t>
  </si>
  <si>
    <t>LIMCOMA RURAL BANK INC</t>
  </si>
  <si>
    <t>LIPA BANK INC (A RB)</t>
  </si>
  <si>
    <t>LUDB BANK INC (A RB)</t>
  </si>
  <si>
    <t>MAHARLIKA RURAL BANK INC</t>
  </si>
  <si>
    <t>MALARAYAT RB INC</t>
  </si>
  <si>
    <t>MALAYBALAY RB INC</t>
  </si>
  <si>
    <t>METRO SOUTH COOP BANK</t>
  </si>
  <si>
    <t>MILLENNIUM BANK INC-A RB</t>
  </si>
  <si>
    <t>MONEY MALL RB INC</t>
  </si>
  <si>
    <t>NATIONAL TEACHERS &amp; EMP. COOP BANK</t>
  </si>
  <si>
    <t>NEW RB OF AGONCILLO INC</t>
  </si>
  <si>
    <t>NEW RB OF SAN LEONARDO(N.E.) INC</t>
  </si>
  <si>
    <t>NEW RB OF VICTORIAS INC</t>
  </si>
  <si>
    <t>NORTH PACIFIC BANKING CORP (A RB)</t>
  </si>
  <si>
    <t>OCCIDENTAL MINDORO RURAL BANK INC</t>
  </si>
  <si>
    <t>PANGASINAN BANK (A RB) INC</t>
  </si>
  <si>
    <t>PEOPLE'S RB(GEN SANTOS CITY) INC</t>
  </si>
  <si>
    <t>PROGRESSIVE BANK INC(PROG.A RB INC)</t>
  </si>
  <si>
    <t>PROVIDENCE RURAL BANK INC</t>
  </si>
  <si>
    <t>QUEZON CAPITAL RB INC</t>
  </si>
  <si>
    <t>QUEZON TRADERS RB OF CANDELARIA INC</t>
  </si>
  <si>
    <t>RB OF AGOO INC</t>
  </si>
  <si>
    <t>RB OF ALAMINOS (LAGUNA) INC</t>
  </si>
  <si>
    <t>RB OF ALAMINOS (PANGASINAN) INC</t>
  </si>
  <si>
    <t>RB OF ALITAGTAG INC</t>
  </si>
  <si>
    <t>RB OF AMADEO(CAVITE)INC</t>
  </si>
  <si>
    <t>AURORABANK (A MF-ORIENTED RB) INC</t>
  </si>
  <si>
    <t>RB OF ANGELES INC</t>
  </si>
  <si>
    <t>RB OF ANGONO INC</t>
  </si>
  <si>
    <t>RB OF ANTIPOLO INC</t>
  </si>
  <si>
    <t>RB OF APALIT INC</t>
  </si>
  <si>
    <t>RB OF ARITAO INC</t>
  </si>
  <si>
    <t>RB OF ATIMONAN INC</t>
  </si>
  <si>
    <t>RB OF BACNOTAN INC</t>
  </si>
  <si>
    <t>RB OF BACOLOD CITY INC</t>
  </si>
  <si>
    <t>RACSO'S BANK INC (A RURAL BANK)</t>
  </si>
  <si>
    <t>RB OF BAGUIO INC</t>
  </si>
  <si>
    <t>RB OF BAROTAC NUEVO INC</t>
  </si>
  <si>
    <t>RB OF BATAC INC</t>
  </si>
  <si>
    <t>RB OF BAUANG INC</t>
  </si>
  <si>
    <t>RB OF BAY INC</t>
  </si>
  <si>
    <t>RB OF BAYOMBONG INC</t>
  </si>
  <si>
    <t>FIRST TAGUM RURAL BANK INC</t>
  </si>
  <si>
    <t>RB OF BURAUEN INC</t>
  </si>
  <si>
    <t>RB OF BUSTOS INC</t>
  </si>
  <si>
    <t>RB OF CABATUAN (ILOILO) INC</t>
  </si>
  <si>
    <t>RB OF CADIZ INC</t>
  </si>
  <si>
    <t>RB OF CAINTA INC</t>
  </si>
  <si>
    <t>RB OF CALACA INC</t>
  </si>
  <si>
    <t>RB OF CALASIAO INC</t>
  </si>
  <si>
    <t>RB OF CALAUAN INC</t>
  </si>
  <si>
    <t>RB OF CALBAYOG CITY INC</t>
  </si>
  <si>
    <t>RB OF CALOOCAN INC</t>
  </si>
  <si>
    <t>RB OF COTABATO INC</t>
  </si>
  <si>
    <t>RB OF CUENCA INC</t>
  </si>
  <si>
    <t>RB OF DASMARINAS INC</t>
  </si>
  <si>
    <t>RB OF DATU PAGLAS INC</t>
  </si>
  <si>
    <t>RB OF DIGOS INC</t>
  </si>
  <si>
    <t>RB OF DOLORES (QUEZON) INC</t>
  </si>
  <si>
    <t>RB OF DUMANGAS INC</t>
  </si>
  <si>
    <t>RB OF GENERAL TRIAS INC</t>
  </si>
  <si>
    <t>RB OF GINGOOG INC</t>
  </si>
  <si>
    <t>RB OF GOA INC</t>
  </si>
  <si>
    <t>RB OF GUINOBATAN INC</t>
  </si>
  <si>
    <t>RB OF HILONGOS INC</t>
  </si>
  <si>
    <t>RB OF IBAJAY INC</t>
  </si>
  <si>
    <t>RB OF ILIGAN CITY INC</t>
  </si>
  <si>
    <t>RB OF ILOILO CITY INC</t>
  </si>
  <si>
    <t>RB OF INFANTA INC</t>
  </si>
  <si>
    <t>RB OF IROSIN INC</t>
  </si>
  <si>
    <t>RB OF JAEN INC</t>
  </si>
  <si>
    <t>RB OF KAWIT INC</t>
  </si>
  <si>
    <t>RB OF LA TRINIDAD INC</t>
  </si>
  <si>
    <t>RB OF LABRADOR INC</t>
  </si>
  <si>
    <t>RB OF LOBO INC</t>
  </si>
  <si>
    <t>RB OF LUNA (ISABELA) INC</t>
  </si>
  <si>
    <t>RB OF LUNA (K-APAYAO)INC</t>
  </si>
  <si>
    <t>RB OF LUPAO INC</t>
  </si>
  <si>
    <t>RB OF MA-AO INC</t>
  </si>
  <si>
    <t>RB OF MABALACAT INC</t>
  </si>
  <si>
    <t>RB OF MAJAYJAY INC</t>
  </si>
  <si>
    <t>RB OF MALINAO (AKLAN) INC</t>
  </si>
  <si>
    <t>RB OF MALOLOS INC</t>
  </si>
  <si>
    <t>RB OF MAMBUSAO INC</t>
  </si>
  <si>
    <t>RB OF MARAGONDON INC</t>
  </si>
  <si>
    <t>RB OF MARILAG (STA MARIA, LAG)INC</t>
  </si>
  <si>
    <t>RB OF MATI INC</t>
  </si>
  <si>
    <t>RB OF MAUBAN INC</t>
  </si>
  <si>
    <t>RB OF MENDEZ INC</t>
  </si>
  <si>
    <t>RB OF MEXICO INC</t>
  </si>
  <si>
    <t>RB OF MIDSAYAP INC</t>
  </si>
  <si>
    <t>RB OF MONTALBAN INC</t>
  </si>
  <si>
    <t>RB OF NAGCARLAN INC</t>
  </si>
  <si>
    <t>RB OF NAGUILIAN (LA UNION) INC</t>
  </si>
  <si>
    <t>RB OF NAIC INC</t>
  </si>
  <si>
    <t>RB OF NAVAL INC</t>
  </si>
  <si>
    <t>RB OF ODIONGAN INC</t>
  </si>
  <si>
    <t>RB OF PADRE BURGOS (SO LEYTE) INC</t>
  </si>
  <si>
    <t>RB OF PAETE INC</t>
  </si>
  <si>
    <t>RB OF PAGADIAN INC</t>
  </si>
  <si>
    <t>RB OF PAGBILAO INC</t>
  </si>
  <si>
    <t>RB OF PAMPLONA (CAMARINES SUR) INC</t>
  </si>
  <si>
    <t>RB OF PAMPLONA(NEGROS OR) INC</t>
  </si>
  <si>
    <t>RB OF PANAY INC</t>
  </si>
  <si>
    <t>RB OF PILAR (BATAAN) INC</t>
  </si>
  <si>
    <t>RB OF PILAR (SORSOGON) INC</t>
  </si>
  <si>
    <t>RB OF PINAMALAYAN INC</t>
  </si>
  <si>
    <t>RB OF PLARIDEL (BULACAN) INC</t>
  </si>
  <si>
    <t>RB OF PLARIDEL (MISAMIS OCC) INC</t>
  </si>
  <si>
    <t>RB OF POTOTAN INC</t>
  </si>
  <si>
    <t>RB OF POZORRUBIO INC</t>
  </si>
  <si>
    <t>RB OF PURA INC</t>
  </si>
  <si>
    <t>RB OF QUEZON (NUEVA ECIJA) INC</t>
  </si>
  <si>
    <t>RB OF RIZAL (LAGUNA) INC</t>
  </si>
  <si>
    <t>RB OF RIZAL (ZAMBOANGA DEL NORTE)</t>
  </si>
  <si>
    <t>RB OF ROSARIO (LA UNION) INC</t>
  </si>
  <si>
    <t>RB OF ROXAS (OR MINDORO) INC</t>
  </si>
  <si>
    <t>RB OF SALINAS INC</t>
  </si>
  <si>
    <t>BANCO CARMONA INC A RURAL BANK</t>
  </si>
  <si>
    <t>BANCO DE AREVALO INC (A RURAL BANK)</t>
  </si>
  <si>
    <t>BANCO SUAL (A RURAL BANK) INC</t>
  </si>
  <si>
    <t>BANGKO MAGSAYSAY (ISABELA) INC-A RB</t>
  </si>
  <si>
    <t>CANTILAN BANK INC (A RURAL BANK)</t>
  </si>
  <si>
    <t>CAPITOL CITY BANK INC A RURAL BANK</t>
  </si>
  <si>
    <t>CARD BANK INC (A MF RB)</t>
  </si>
  <si>
    <t>COOP BANK OF COTABATO</t>
  </si>
  <si>
    <t>COOPERATIVE BANK OF NUEVA VIZCAYA</t>
  </si>
  <si>
    <t>COOPERATIVE BANK OF TARLAC INC</t>
  </si>
  <si>
    <t>COUNTRYSIDE RB OF PALAUIG(ZAMBALES)</t>
  </si>
  <si>
    <t>1ST MACRO BANK INC (A RURAL BANK)</t>
  </si>
  <si>
    <t>BANCO DE MINDORO INC (A RURAL BANK)</t>
  </si>
  <si>
    <t>BANGKO RURAL NG SAN TEODORO, INC</t>
  </si>
  <si>
    <t>CSFIRST BANK INC - A RURAL BANK</t>
  </si>
  <si>
    <t>D' ASIAN HILLS BANK INC (A RB)</t>
  </si>
  <si>
    <t>FIRST INTEGRITY BNK INC (RB BAILEN)</t>
  </si>
  <si>
    <t>GM BANK OF LUZON INC (A RURAL BANK)</t>
  </si>
  <si>
    <t>FIRST PROVINCIAL BANK INC (A RB)</t>
  </si>
  <si>
    <t>INNOVATIVE BANK INC (A RURAL BANK)</t>
  </si>
  <si>
    <t>KORONADAL RURAL BANK INC</t>
  </si>
  <si>
    <t>MASANTOL RURAL BANK INC</t>
  </si>
  <si>
    <t>MT CARMEL RURAL BANK INC</t>
  </si>
  <si>
    <t>MVSM BANK (A RURAL BANK SINCE 1953)</t>
  </si>
  <si>
    <t>NEW COVENANT BANK INC(A RURAL BANK)</t>
  </si>
  <si>
    <t>NEW RURAL BANK OF TAGKAWAYAN INC</t>
  </si>
  <si>
    <t>PARTNER RURAL BANK (COTABATO) INC</t>
  </si>
  <si>
    <t>PHILIPPINE SME BANK INC A RB</t>
  </si>
  <si>
    <t>PROGRESSIVE RURAL BANK INC</t>
  </si>
  <si>
    <t>RB OF PLACER (SURIGAO DEL NORTE)INC</t>
  </si>
  <si>
    <t>RBT BANK INC A RURAL BANK</t>
  </si>
  <si>
    <t>RNG COASTAL BANK INC(A RURAL BANK)</t>
  </si>
  <si>
    <t>RURAL BANK OF LOBOC INC</t>
  </si>
  <si>
    <t>RURAL BANK OF MAASIN (SO LEYTE) INC</t>
  </si>
  <si>
    <t>RB OF SAN ANTONIO(QUEZON) INC</t>
  </si>
  <si>
    <t>RB OF SAN FERNANDO (C S), INC</t>
  </si>
  <si>
    <t>RB OF SAN FERNANDO (CEBU) INC</t>
  </si>
  <si>
    <t>RB OF SAN JOSE (CAMARINES SUR) INC</t>
  </si>
  <si>
    <t>RB OF SAN JUAN (SO LEYTE) INC</t>
  </si>
  <si>
    <t>RB OF SAN LORENZO RUIZ (SINILOAN)</t>
  </si>
  <si>
    <t>RB OF SAN LUIS (BAT) INC</t>
  </si>
  <si>
    <t>RB OF SAN LUIS (PAMPANGA) INC</t>
  </si>
  <si>
    <t>RB OF MANDAUE INC</t>
  </si>
  <si>
    <t>RB OF SAN MANUEL (ISABELA) INC</t>
  </si>
  <si>
    <t>RB OF SAN MARCELINO INC</t>
  </si>
  <si>
    <t>RB OF SAN MATEO(ISABELA) INC</t>
  </si>
  <si>
    <t>RB OF SAN MIGUEL (ILOILO) INC</t>
  </si>
  <si>
    <t>RB OF SAN NICOLAS (PANGASINAN) INC</t>
  </si>
  <si>
    <t>RB OF SAN QUINTIN INC</t>
  </si>
  <si>
    <t>RB OF SAN RAFAEL (BULACAN) INC</t>
  </si>
  <si>
    <t>RB OF SAPIAN INC</t>
  </si>
  <si>
    <t>RB OF SILAY CITY INC</t>
  </si>
  <si>
    <t>RB OF STA BARBARA (ILOILO) INC</t>
  </si>
  <si>
    <t>RB OF STA MARIA (ILOCOS SUR) INC</t>
  </si>
  <si>
    <t>RB OF STA ROSA (LAGUNA) INC</t>
  </si>
  <si>
    <t>RB OF STO TOMAS(DAVAO N)</t>
  </si>
  <si>
    <t>BANCO DIPOLOG INC A RURAL BANK</t>
  </si>
  <si>
    <t>COMMON WEALTH RB INC</t>
  </si>
  <si>
    <t>ONE NETWORK BANK INC (A RB)</t>
  </si>
  <si>
    <t>MISAMIS BANK INC A RURAL BANK</t>
  </si>
  <si>
    <t xml:space="preserve">Loans to Individuals for Housing Purposes </t>
  </si>
  <si>
    <t xml:space="preserve">Contracts to Sell </t>
  </si>
  <si>
    <t>Schedule of Agri/Agra, SME, and Microfinance Loans and Receivables under Sched 11 Classified as to Counterparty</t>
  </si>
  <si>
    <t>RURAL BANK OF RONDA INC</t>
  </si>
  <si>
    <t>BANCO COOPERATIVA DE ZAMBOANGA</t>
  </si>
  <si>
    <t>LIBERTY BANK (A RURAL BANK) INC</t>
  </si>
  <si>
    <t xml:space="preserve">RURAL BANK OF LINGAYEN INC         </t>
  </si>
  <si>
    <t xml:space="preserve">RB OF TALUGTUG (NE) INC            </t>
  </si>
  <si>
    <t xml:space="preserve">VALIANT BANK INC (A RURAL BANK)    </t>
  </si>
  <si>
    <t>BANK OF ORMOC, INC. (A RURAL BANK)</t>
  </si>
  <si>
    <t>PEOPLES BANK OF CARAGA, INC. (A RURAL BANK)</t>
  </si>
  <si>
    <t>COOPERATIVE BANK OF AGUSAN NORTE-BUTUAN CITY</t>
  </si>
  <si>
    <t xml:space="preserve">COOPERATIVE RURAL BANK OF BOHOL    </t>
  </si>
  <si>
    <t>COUNTRYSIDE COOP RB OF BATANGAS</t>
  </si>
  <si>
    <t>CAVITE UNITED RURAL BANK CORP</t>
  </si>
  <si>
    <t>SG BANK - A RURAL BANK INC</t>
  </si>
  <si>
    <t>AGRIBUSINESS RURAL BANK INC</t>
  </si>
  <si>
    <t>AGRICOM RURAL BANK INC</t>
  </si>
  <si>
    <t>ALIAGA FARMERS RURAL BANK INC</t>
  </si>
  <si>
    <t>AMA RURAL BANK OF MANDALUYONG INC</t>
  </si>
  <si>
    <t>ASIAN CONSUMERS BANK INC - A RB</t>
  </si>
  <si>
    <t>BAGONG BANGKO RURAL NG MALABANG (LS</t>
  </si>
  <si>
    <t>COMMTY RB OF DINGRAS (ILOCOS NO)INC</t>
  </si>
  <si>
    <t>MOUNT MAKILING RURAL BANK INC</t>
  </si>
  <si>
    <t>BANCO RURAL DE GEN TINIO (BRGT) INC</t>
  </si>
  <si>
    <t>BANCO RURAL DE ISLA CORDOVA (CEBU)</t>
  </si>
  <si>
    <t>RURAL BANK OF SAN JUAN INC</t>
  </si>
  <si>
    <t>RURAL BANK OF TANZA (CAVITE) INC</t>
  </si>
  <si>
    <t>BANGKO NUESTRA SRA DEL PILAR INC</t>
  </si>
  <si>
    <t>BANGKO RURAL NG PASACAO(CAM SUR)INC</t>
  </si>
  <si>
    <t>BANGKO RURAL NG TAGOLOAN (MIS OR)</t>
  </si>
  <si>
    <t>BANKO ZAMBALENO INC (BZI) (A RB)</t>
  </si>
  <si>
    <t>BANNAWAG BANK INC (A RURAL BANK)</t>
  </si>
  <si>
    <t>BUILDERS' RURAL BANK INC</t>
  </si>
  <si>
    <t>BUKIDNON BANK INC (A RURAL BANK)</t>
  </si>
  <si>
    <t>CENTURY RURAL BANK INC</t>
  </si>
  <si>
    <t>COMMTY RB OF CATMON (CEBU) INC</t>
  </si>
  <si>
    <t>COMMTY RB OF CLARIN (MIS OCC) INC</t>
  </si>
  <si>
    <t>COMMTY RB OF DAPITAN CITY INC</t>
  </si>
  <si>
    <t>COMMTY RB OF MAGALLON (MP NO) INC</t>
  </si>
  <si>
    <t>COMMTY RB OF MAGSAYSAY (DVO DS) INC</t>
  </si>
  <si>
    <t>COMMTY RB OF MEDELLIN (CEBU) INC</t>
  </si>
  <si>
    <t>NAAWAN COMMUNITY RB (MIS OR) INC</t>
  </si>
  <si>
    <t>COMMTY RB OF ROMBLON (ROMBLON) INC</t>
  </si>
  <si>
    <t>COMMTY RB OF SAN FELIPE (ZAMB) INC</t>
  </si>
  <si>
    <t>COMMTY RB OF SAN GABRIEL (LU) INC</t>
  </si>
  <si>
    <t>COMMUNITY BANK (RB OF ALFONSO INC)</t>
  </si>
  <si>
    <t>COOP BANK OF BENGUET (CBB)</t>
  </si>
  <si>
    <t>COOP BANK OF CAGAYAN</t>
  </si>
  <si>
    <t>COOPERATIVE BANK OF LEYTE</t>
  </si>
  <si>
    <t>COOPERATIVE BANK OF ILOCOS NORTE</t>
  </si>
  <si>
    <t>BUKIDNON COOPERATIVE BANK</t>
  </si>
  <si>
    <t>COOP BANK OF DAVAO DEL SUR (CBDS)</t>
  </si>
  <si>
    <t>ZAMBOANGA DEL NORTE COOPERATIVE BNK</t>
  </si>
  <si>
    <t>COOP BANK OF PAMPANGA INC(COOPBANK)</t>
  </si>
  <si>
    <t>CORDILLERA BANK INC (A RURAL BANK)</t>
  </si>
  <si>
    <t>COUNTRY RB OF TAGIG INC</t>
  </si>
  <si>
    <t>RURAL BNK OF SAN JOSE DEL MONTE INC</t>
  </si>
  <si>
    <t>EAST COAST RB OF HAGONOY INC</t>
  </si>
  <si>
    <t>EASTERN RIZAL (JALAJALA) RURAL BANK</t>
  </si>
  <si>
    <t>ENTERPRISE CAPITAL BANK INC(TAG RB)</t>
  </si>
  <si>
    <t>FARM BANK INC (A RURAL BANK)</t>
  </si>
  <si>
    <t>FILIDIAN RURAL BANK OF ANTIPOLO INC</t>
  </si>
  <si>
    <t>FIRST ISABELA COOP BANK INC(FICOBNK</t>
  </si>
  <si>
    <t>FIRST NAGA RURAL BANK INC</t>
  </si>
  <si>
    <t>GREEN BANK INC (A RURAL BANK)</t>
  </si>
  <si>
    <t>HIGHLAND RURAL BANK INC</t>
  </si>
  <si>
    <t>ILOCANDIA COMMUNITY BANK (RB OF PAS</t>
  </si>
  <si>
    <t>KATIPUNAN BANK (ZAMB DN) INC "A RB"</t>
  </si>
  <si>
    <t>LA CONSOLACION RURAL BANK INC</t>
  </si>
  <si>
    <t>MACTAN RURAL BANK (LAPU-LAPU) INC</t>
  </si>
  <si>
    <t>MALLIG PLAINS RURAL BANK (ISABELA)</t>
  </si>
  <si>
    <t>MASAGANA RURAL BANK (G NAT NE) INC</t>
  </si>
  <si>
    <t>MASUWERTE RB OF BACOOR (CAVITE) INC</t>
  </si>
  <si>
    <t>MEGA RURAL BANK (LUCENA CITY) INC</t>
  </si>
  <si>
    <t>FIRST COMMUNITY COOP BANK OF MIS OC</t>
  </si>
  <si>
    <t>MUNICIPAL RB OF LIBMANAN(CAM SUR)IN</t>
  </si>
  <si>
    <t>MUNICIPAL RB OF NABUA (CAM SUR) INC</t>
  </si>
  <si>
    <t>NEW RB OF BINALBAGAN (NEG OCC) INC</t>
  </si>
  <si>
    <t>OCC. MINDORO COOP BANK (OMCB)</t>
  </si>
  <si>
    <t>OR TAMARAW RB OF NAUJAN(OR MDO) INC</t>
  </si>
  <si>
    <t>ORMON BANK(RB OF MULANAY(QUEZON)INC</t>
  </si>
  <si>
    <t>PANGUIL BAY RB OF OZAMIZ INC</t>
  </si>
  <si>
    <t>PENAFRANCIA RB OF CALABANGA (CS)INC</t>
  </si>
  <si>
    <t>PLANBANK "RB OF CANLUBANG PLANTERS</t>
  </si>
  <si>
    <t>PRES JOSE P LAUREL RB (TANAUAN BAT)</t>
  </si>
  <si>
    <t>PROVIDENT RB OF STA CRUZ(LAGUNA)INC</t>
  </si>
  <si>
    <t>RANG-AY BANK INC (A RURAL BANK)</t>
  </si>
  <si>
    <t>RB OF ABUCAY (BATAAN) INC</t>
  </si>
  <si>
    <t>RB OF ALABAT (QUEZON) INC</t>
  </si>
  <si>
    <t>RB OF ALABEL (SARANGANI) INC</t>
  </si>
  <si>
    <t>RB OF ALICIA (ISABELA) INC</t>
  </si>
  <si>
    <t>RB OF ALIMODIAN (ILOILO) INC</t>
  </si>
  <si>
    <t>RB OF ALTAVAS (AKLAN) INC</t>
  </si>
  <si>
    <t>RB OF AMLAN (NEGROS ORIENTAL) INC</t>
  </si>
  <si>
    <t>RB OF ANDA (PANGASINAN) INC</t>
  </si>
  <si>
    <t>RB OF ANGAT (BULACAN) INC</t>
  </si>
  <si>
    <t>RB OF BACO (ORIENTAL MINDORO) INC</t>
  </si>
  <si>
    <t>RB OF BACONG (NEGROS ORIENTAL) INC</t>
  </si>
  <si>
    <t>RB OF BADIANGAN (ILOILO) INC</t>
  </si>
  <si>
    <t>RB OF BAGABAG (N.V.)INC</t>
  </si>
  <si>
    <t>RB OF BAGAC BATAAN INC</t>
  </si>
  <si>
    <t>RB OF BALETE (AKLAN) INC</t>
  </si>
  <si>
    <t>RB OF BALINGASAG (MISAMIS OR) INC</t>
  </si>
  <si>
    <t>RB OF BALUNGAO (PANGASINAN) INC</t>
  </si>
  <si>
    <t>RB OF BAMBANG (NUEVA VIZCAYA) INC</t>
  </si>
  <si>
    <t>RB OF BANAYOYO (ILOCOS SUR) INC</t>
  </si>
  <si>
    <t>RB OF BANGA (AKLAN) INC</t>
  </si>
  <si>
    <t>RB OF BANGAR (LA UNION) INC</t>
  </si>
  <si>
    <t>RB OF BANSUD (ORIENTAL MINDORO) INC</t>
  </si>
  <si>
    <t>RB OF BARILI (CEBU) INC</t>
  </si>
  <si>
    <t>RB OF BAROTAC VIEJO (ILOILO) INC</t>
  </si>
  <si>
    <t>RB OF BASAY (NEGROS ORIENTAL) INC</t>
  </si>
  <si>
    <t>RB OF BASEY (SAMAR) INC</t>
  </si>
  <si>
    <t>RB OF BATO (LEYTE) INC</t>
  </si>
  <si>
    <t>RB OF BAYAMBANG (PANGASINAN) INC</t>
  </si>
  <si>
    <t>RB OF BAYAWAN (NEGROS ORIENTAL) INC</t>
  </si>
  <si>
    <t>RB OF BOGO (CEBU) INC</t>
  </si>
  <si>
    <t>RB OF BOLINAO (PANG) INC</t>
  </si>
  <si>
    <t>RB OF BONIFACIO (MISAMIS OCC) INC</t>
  </si>
  <si>
    <t>RB OF BONTOC (MT PROVINCE) INC</t>
  </si>
  <si>
    <t>RB OF BORONGAN (EASTERN SAMAR) INC</t>
  </si>
  <si>
    <t>RB OF BROOKE'S POINT (PALAWAN) INC</t>
  </si>
  <si>
    <t>RB OF BUCAY (ABRA) INC</t>
  </si>
  <si>
    <t>RB OF BUENAVISTA (AGUSAN DN) INC</t>
  </si>
  <si>
    <t>RB OF BUGASONG (ANTIQUE) INC</t>
  </si>
  <si>
    <t>RB OF BUGUIAS (BENGUET) INC</t>
  </si>
  <si>
    <t>RB OF CABA (LA UNION) INC</t>
  </si>
  <si>
    <t>RB OF CABADBARAN (AGUSAN) INC</t>
  </si>
  <si>
    <t>RB OF CABANGAN (ZAMBALES) INC</t>
  </si>
  <si>
    <t>RB OF CABUGAO (ILOCOS SUR) INC</t>
  </si>
  <si>
    <t>RB OF CALAMBA (LAGUNA) INC</t>
  </si>
  <si>
    <t>RB OF CALINOG (ILOILO) INC</t>
  </si>
  <si>
    <t>RB OF CAMALIG (ALBAY) INC</t>
  </si>
  <si>
    <t>RB OF CANDELARIA INC</t>
  </si>
  <si>
    <t>RB OF CAPALONGA (CAM NORTE) INC</t>
  </si>
  <si>
    <t>RB OF CARDONA (RIZAL) INC</t>
  </si>
  <si>
    <t>RB OF CASIGURAN (AURORA) INC</t>
  </si>
  <si>
    <t>RB OF CATUBIG (NORTHERN SAMAR) INC</t>
  </si>
  <si>
    <t>RB OF CAUAYAN INC</t>
  </si>
  <si>
    <t>RB OF CAVINTI (LAGUNA) INC</t>
  </si>
  <si>
    <t>RB OF CENTRAL PANGASINAN (BAYAMBANG</t>
  </si>
  <si>
    <t>RB OF CLAVERIA (CAGAYAN) INC</t>
  </si>
  <si>
    <t>RB OF COMPOSTELA (DAVAO DN) INC</t>
  </si>
  <si>
    <t>RB OF CUARTERO (CAPIZ) INC</t>
  </si>
  <si>
    <t>RB OF CUYO (PALAWAN) INC</t>
  </si>
  <si>
    <t>RB OF DONA R TRINIDAD (BULACAN) INC</t>
  </si>
  <si>
    <t>RB OF DONSOL (SORSOGON) INC</t>
  </si>
  <si>
    <t>RB OF DULAG (LEYTE) INC</t>
  </si>
  <si>
    <t>RB OF DUPAX (NUEVA VIZCAYA) INC</t>
  </si>
  <si>
    <t>RB OF EL SALVADOR (MISAMIS OR) INC</t>
  </si>
  <si>
    <t>RB OF ESCALANTE (NEGROS OCC) INC</t>
  </si>
  <si>
    <t>RB OF GAINZA (CAMARINES SUR) INC</t>
  </si>
  <si>
    <t>RB OF GALIMUYOD (ILOCOS SUR) INC</t>
  </si>
  <si>
    <t>RB OF GANDARA (SAMAR) INC</t>
  </si>
  <si>
    <t>RB OF GATTARAN (CAGAYAN) INC</t>
  </si>
  <si>
    <t>RB OF GENERAL LUNA (QUEZON) INC</t>
  </si>
  <si>
    <t>RB OF GITAGUM(MISAMIS ORIENTAL) INC</t>
  </si>
  <si>
    <t>RB OF GLORIA (OR MIN) INC</t>
  </si>
  <si>
    <t>RB OF GUIHULNGAN (NEGROS OR) INC</t>
  </si>
  <si>
    <t>RB OF GUIUAN (EASTERN SAMAR) INC</t>
  </si>
  <si>
    <t>RB OF HAGONOY (DAVAO DEL SUR) INC</t>
  </si>
  <si>
    <t>RB OF HERMOSA (BATAAN) INC</t>
  </si>
  <si>
    <t>RB OF HINDANG (LEYTE) INC</t>
  </si>
  <si>
    <t>RB OF HINUNDAYAN (SO LEYTE) INC</t>
  </si>
  <si>
    <t>RB OF ILOG (NEGROS OCCIDENTAL) INC</t>
  </si>
  <si>
    <t>RB OF INITAO (MISAMIS ORIENTAL) INC</t>
  </si>
  <si>
    <t>RB OF ITOGON (BENGUET) INC</t>
  </si>
  <si>
    <t>RB OF JAMINDAN (CAPIZ) INC</t>
  </si>
  <si>
    <t>RB OF JAVIER (LEYTE) INC</t>
  </si>
  <si>
    <t>RB OF JIMENEZ (MISAMIS OCC) INC</t>
  </si>
  <si>
    <t>RB OF JOSE PANGANIBAN(CAM NORTE)INC</t>
  </si>
  <si>
    <t>RB OF KABASALAN (ZAMB DS) INC</t>
  </si>
  <si>
    <t>RB OF KAPALONG (DAVAO) INC</t>
  </si>
  <si>
    <t>RB OF KAROMATAN (LANAO DN) INC</t>
  </si>
  <si>
    <t>RB OF KIAMBA (SARANGANI) INC</t>
  </si>
  <si>
    <t>RB OF KIBAWE (BUKIDNON) INC</t>
  </si>
  <si>
    <t>RB OF KINOGITAN (MISAMIS OR) INC</t>
  </si>
  <si>
    <t>RB OF LA PAZ INC</t>
  </si>
  <si>
    <t>RB OF LABASON (ZAMBOANGA DN) INC</t>
  </si>
  <si>
    <t>RB OF LANUZA (SURIGAO DEL SUR) INC</t>
  </si>
  <si>
    <t>RB OF LARENA (SIQUIJOR) INC</t>
  </si>
  <si>
    <t>RB OF LEBAK (SULTAN KUDARAT) INC</t>
  </si>
  <si>
    <t>RB OF LEGANES (ILOILO) INC</t>
  </si>
  <si>
    <t>RB OF LEMERY INC</t>
  </si>
  <si>
    <t>RB OF LILOY (ZAMBOANGA DN) INC</t>
  </si>
  <si>
    <t>RB OF LIMAY (BATAAN) INC</t>
  </si>
  <si>
    <t>RB OF LIPA CITY (BATANGAS) INC</t>
  </si>
  <si>
    <t>RB OF LOON (BOHOL) INC</t>
  </si>
  <si>
    <t>RB OF LOPEZ JAENA (MISAMIS OCC) INC</t>
  </si>
  <si>
    <t>RB OF LORETO(SURIGAO DEL NORTE) INC</t>
  </si>
  <si>
    <t>RB OF LUCBAN (QUEZON) INC</t>
  </si>
  <si>
    <t>RB OF LUISIANA (LAGUNA) INC</t>
  </si>
  <si>
    <t>RB OF LUMBAN (LAGUNA) INC</t>
  </si>
  <si>
    <t>RB OF MABITAC (LAGUNA) INC</t>
  </si>
  <si>
    <t>RB OF MADDELA (QUIRINO) INC</t>
  </si>
  <si>
    <t>RB OF MADRIDEJOS (CEBU) INC</t>
  </si>
  <si>
    <t>RB OF MAGDALENA (LAGUNA) INC</t>
  </si>
  <si>
    <t>RB OF MAGSINGAL (ILOCOS SUR) INC</t>
  </si>
  <si>
    <t>RB OF MAHAPLAG (LEYTE) INC</t>
  </si>
  <si>
    <t>RB OF MAIGO (LANAO DEL NORTE) INC</t>
  </si>
  <si>
    <t>RB OF MAKATO (AKLAN) INC</t>
  </si>
  <si>
    <t>RB OF MALITBOG (SOUTHERN LEYTE) INC</t>
  </si>
  <si>
    <t>RB OF MANAPLA (NEG OCC) INC</t>
  </si>
  <si>
    <t>RB OF MANGALDAN INC(BANGKO RURAL NG</t>
  </si>
  <si>
    <t>RB OF MANOLO FORTICH BUKIDNON INC</t>
  </si>
  <si>
    <t>RB OF MANUKAN (ZAMBOANGA DN) INC</t>
  </si>
  <si>
    <t>RB OF MARIA AURORA (QUEZON) INC</t>
  </si>
  <si>
    <t>RB OF MATAG-OB (LEYTE) INC</t>
  </si>
  <si>
    <t>RB OF MEDINA (MISAMIS ORIENTAL) INC</t>
  </si>
  <si>
    <t>RB OF MIAGAO (ILOILO) INC</t>
  </si>
  <si>
    <t>RB OF M'LANG (COTABATO) INC</t>
  </si>
  <si>
    <t>RB OF MONTEVISTA (DAVAO DN) INC</t>
  </si>
  <si>
    <t>RB OF NABUNTURAN (DAVAO DN) INC</t>
  </si>
  <si>
    <t>RB OF NEW WASHINGTON (AKLAN) INC</t>
  </si>
  <si>
    <t>RB OF NORALA (S COTABATO) INC</t>
  </si>
  <si>
    <t>RB OF OCAMPO (CAMARINES SUR) INC</t>
  </si>
  <si>
    <t>RB OF OROQUIETA (MIS OCC) INC</t>
  </si>
  <si>
    <t>RB OF OSLOB (CEBU) INC</t>
  </si>
  <si>
    <t>RB OF OTON (ILOILO) INC</t>
  </si>
  <si>
    <t>RB OF PANA-ON (MIS OCC) INC</t>
  </si>
  <si>
    <t>RB OF PANDI (BULACAN) INC</t>
  </si>
  <si>
    <t>RB OF PANGIL (LAGUNA) INC</t>
  </si>
  <si>
    <t>RB OF PARACALE(CAMARINES NORTE) INC</t>
  </si>
  <si>
    <t>RB OF PAVIA (ILOILO) INC</t>
  </si>
  <si>
    <t>RB OF POLA (ORIENTAL MINDORO) INC</t>
  </si>
  <si>
    <t>RB OF POLOMOLOK(SOUTH COTABATO) INC</t>
  </si>
  <si>
    <t>RB OF PORAC (PAMPANGA) INC</t>
  </si>
  <si>
    <t>RB OF PRES MANUEL A ROXAS (Z DN)INC</t>
  </si>
  <si>
    <t>RB OF PRES QUIRINO (S KUDARAT) INC</t>
  </si>
  <si>
    <t>RB OF PUERTO GALERA (OR MINDORO)INC</t>
  </si>
  <si>
    <t>RB OF RAGAY (CAMARINES SUR) INC</t>
  </si>
  <si>
    <t>RB OF RAMON (ISABELA) INC</t>
  </si>
  <si>
    <t>RB OF REINA MERCEDES (ISABELA) INC</t>
  </si>
  <si>
    <t>RB OF RIZAL (KALINGA-APAYAO)INC</t>
  </si>
  <si>
    <t>RB OF SAGADA(MOUNTAIN PROVINCE)INC</t>
  </si>
  <si>
    <t>RB OF SAGAY INC</t>
  </si>
  <si>
    <t>RB OF SALCEDO (ILOCOS SUR) INC</t>
  </si>
  <si>
    <t>RB OF SALUG(ZAMBOANGA DEL NORTE)INC</t>
  </si>
  <si>
    <t>RB OF SAMPALOC (QUEZON) INC</t>
  </si>
  <si>
    <t>RB OF SAN AGUSTIN (ISABELA) INC</t>
  </si>
  <si>
    <t>RB OF SAN ENRIQUE (ILOILO) INC</t>
  </si>
  <si>
    <t>RB OF SAN FABIAN (PANGASINAN) INC</t>
  </si>
  <si>
    <t>RB OF SAN JACINTO (MASBATE) INC</t>
  </si>
  <si>
    <t>RB OF SAN NARCISO INC</t>
  </si>
  <si>
    <t>RB OF SAN PASCUAL(OBANDO BUL) INC</t>
  </si>
  <si>
    <t>RB OF SAN VICENTE (CAM NORTE) INC</t>
  </si>
  <si>
    <t>RB OF SANCHEZ MIRA (CAGAYAN) INC</t>
  </si>
  <si>
    <t>BANCO SANTIAGO DE LIBON INC</t>
  </si>
  <si>
    <t>RB OF SASMUAN (PAMPANGA) INC</t>
  </si>
  <si>
    <t>RB OF SEVEN LAKES (SAN PABLO) INC</t>
  </si>
  <si>
    <t>RB OF SIATON (SIATON NEGROS OR) INC</t>
  </si>
  <si>
    <t>RB OF SIBALOM (ANTIQUE) INC</t>
  </si>
  <si>
    <t>RB OF SIBULAN NEGROS ORIENTAL INC</t>
  </si>
  <si>
    <t>RB OF SIOCON (ZAMBOANGA DN) INC</t>
  </si>
  <si>
    <t>RB OF SIPOCOT (CAMARINES SUR) INC</t>
  </si>
  <si>
    <t>RB OF SOCORRO (ORIENTAL MINDORO)INC</t>
  </si>
  <si>
    <t>RB OF SOLANO (NUEVA VIZCAYA) INC</t>
  </si>
  <si>
    <t>RB OF STA CATALINA NEGROS OR INC</t>
  </si>
  <si>
    <t>RB OF STA ELENA (CAMS NORTE) INC</t>
  </si>
  <si>
    <t>RB OF SANTA FE (ROMBLON) INC</t>
  </si>
  <si>
    <t>RB OF STA IGNACIA INC</t>
  </si>
  <si>
    <t>RB OF STA MAGDALENA (SORSOGON) INC</t>
  </si>
  <si>
    <t>RB OF STA ROSA DE LIMA (PANIQUI)INC</t>
  </si>
  <si>
    <t>RB OF SUDIPEN (LA UNION) INC</t>
  </si>
  <si>
    <t>RB OF TABUK (KALINGA_APAYAO) INC</t>
  </si>
  <si>
    <t>RB OF TAFT (EASTERN SAMAR) INC</t>
  </si>
  <si>
    <t>TALISAY RURAL BANK INC</t>
  </si>
  <si>
    <t>RB OF TANDAG (SURIGAO DEL SUR) INC</t>
  </si>
  <si>
    <t>RB OF TANGUB CITY (MIS OCC) INC</t>
  </si>
  <si>
    <t>RB OF TAYSAN (BATANGAS) INC</t>
  </si>
  <si>
    <t>RB OF TERESA (RIZAL) INC</t>
  </si>
  <si>
    <t>RB OF TIBIAO (ANTIQUE) INC</t>
  </si>
  <si>
    <t>RB OF TIGAON CAMARINES SUR INC</t>
  </si>
  <si>
    <t>RB OF TIGBAUAN (ILOILO) INC</t>
  </si>
  <si>
    <t>RB OF TUMAUINI (ISABELA) INC</t>
  </si>
  <si>
    <t>RB OF VILLAVERDE (NUEVA VIZCAYA)INC</t>
  </si>
  <si>
    <t>RB OF VILLAVICIOSA (ABRA) INC</t>
  </si>
  <si>
    <t>RB OF ZARRAGA (ILOILO) INC</t>
  </si>
  <si>
    <t>RIZAL RURAL BANK (TAYTAY RIZAL)</t>
  </si>
  <si>
    <t>SADIRI RURAL BANK (SJ ILOCOS S) INC</t>
  </si>
  <si>
    <t>MEYCAUAYAN SECOND RURAL BANK INC</t>
  </si>
  <si>
    <t>SECOND RB OF SAN LUIS PAMPANGA INC</t>
  </si>
  <si>
    <t>SECOND RB OF VALENZUELA (MM) INC</t>
  </si>
  <si>
    <t>SIAM BANK (A RURAL BANK) INC</t>
  </si>
  <si>
    <t>SIARGAO BANK (A RURAL BANK) INC</t>
  </si>
  <si>
    <t>SILAHIS BANK INC (A RURAL BANK)</t>
  </si>
  <si>
    <t>SOUTH BANK (A RURAL BANK) INC</t>
  </si>
  <si>
    <t>SOUTHEAST COUNTRY BANK INC (A RB)</t>
  </si>
  <si>
    <t>ST MICHAEL RB OF TARLAC (TARLAC)INC</t>
  </si>
  <si>
    <t>STA MARIA RURAL BANK INC</t>
  </si>
  <si>
    <t>STO NINO RURAL BANK(TERNATE CAV)INC</t>
  </si>
  <si>
    <t>STO ROSARIO RURAL BANK INC</t>
  </si>
  <si>
    <t>SUNRISE RURAL BANK (ROSARIO BAT)INC</t>
  </si>
  <si>
    <t>RB OF BONGABONG (OR MINDORO) INC</t>
  </si>
  <si>
    <t>XAVIER TIBOD BANK INC (A MFRB)</t>
  </si>
  <si>
    <t>BANK OF LUBAO (A RURAL BANK) INC</t>
  </si>
  <si>
    <t>BANCO LAGUNA INC (A RB SINCE 1965)</t>
  </si>
  <si>
    <t>TOWNCALL RURAL BANK INC</t>
  </si>
  <si>
    <t>UNIVERSAL RB OF LOPEZ (QUEZON) INC</t>
  </si>
  <si>
    <t>VISIONBANK INC A RURAL BANK</t>
  </si>
  <si>
    <t>ZAMBALES RURAL BANK INC</t>
  </si>
  <si>
    <t xml:space="preserve">3. </t>
  </si>
  <si>
    <t>140100018500600000</t>
  </si>
  <si>
    <t>140100018505600000</t>
  </si>
  <si>
    <t>140100018510600000</t>
  </si>
  <si>
    <t>Gross Non-Performing Loans</t>
  </si>
  <si>
    <t>140100018512600000</t>
  </si>
  <si>
    <t>140100018515600000</t>
  </si>
  <si>
    <t>140100018520600000</t>
  </si>
  <si>
    <t>140150018512600000</t>
  </si>
  <si>
    <t>140200018500600000</t>
  </si>
  <si>
    <t>140200018505600000</t>
  </si>
  <si>
    <t>140200018510600000</t>
  </si>
  <si>
    <t>140200018512600000</t>
  </si>
  <si>
    <t>140200018515600000</t>
  </si>
  <si>
    <t>140200018520600000</t>
  </si>
  <si>
    <t>LOANS</t>
  </si>
  <si>
    <t>CONSOLIDATED COOPERATIVE BANK</t>
  </si>
  <si>
    <t>RB OF PADRE GARCIA INC</t>
  </si>
  <si>
    <t>AGRICULTURAL BANK OF THE PHIL INC</t>
  </si>
  <si>
    <t>CARITAS BANCO NG MASA INC (A MFRB)</t>
  </si>
  <si>
    <t>COUNTRY BUILDERS BANK INC (A RB)</t>
  </si>
  <si>
    <t>BANCO DE CALAMBA INC (A RURAL BANK)</t>
  </si>
  <si>
    <t>RB OF STO DOMINGO (NUEVA ECIJA) INC</t>
  </si>
  <si>
    <t>BANKWAYS INC (A RURAL BANK)</t>
  </si>
  <si>
    <t>EAST WEST RURAL BANK INC</t>
  </si>
  <si>
    <t>PALM TREE BANK INC (A RURAL BANK)</t>
  </si>
  <si>
    <t>MARAYO BANK INC (A RURAL BANK)</t>
  </si>
  <si>
    <t>BANGKO NOVELETA INC A RURAL BANK</t>
  </si>
  <si>
    <t>LIFEBANK- A RURAL BANK</t>
  </si>
  <si>
    <t>140150019000600000</t>
  </si>
  <si>
    <t>140200019000600000</t>
  </si>
  <si>
    <t>140200019005600000</t>
  </si>
  <si>
    <t>140200019010600000</t>
  </si>
  <si>
    <t>140200019012600000</t>
  </si>
  <si>
    <t>140200019015600000</t>
  </si>
  <si>
    <t>140200019020600000</t>
  </si>
  <si>
    <t>Agriculture, Forestry and Fishing</t>
  </si>
  <si>
    <t>Electricity, Gas, Steam and Air-Conditioning Supply</t>
  </si>
  <si>
    <t>Water supply, Sewerage, Waste management and Remediation Activities</t>
  </si>
  <si>
    <t>Wholesale and Retail 
Trade, Repair of Motor 
Vehicles, Motorcycles</t>
  </si>
  <si>
    <t>Accommodation and Food Service Activities</t>
  </si>
  <si>
    <t>Transportation and Storage</t>
  </si>
  <si>
    <t>Information and Communication</t>
  </si>
  <si>
    <t>Financial 
and Insurance Activities</t>
  </si>
  <si>
    <t>Real Estate Activities</t>
  </si>
  <si>
    <t>Professional, Scientific and Technical Activities</t>
  </si>
  <si>
    <t>Administrative and Support Service Activities</t>
  </si>
  <si>
    <t>Public Administration 
and Defense; 
Compulsory Social 
Security</t>
  </si>
  <si>
    <t>Human Health and Social Work Activities</t>
  </si>
  <si>
    <t>Arts, Entertainment and Recreation</t>
  </si>
  <si>
    <t>Other Service Activities</t>
  </si>
  <si>
    <t xml:space="preserve"> Activities of Households as Employers and Undifferentiated Goods-and-Services-Producing Activities of Households for Own Use</t>
  </si>
  <si>
    <t>Activities of Extra-Territorial 
Organizations and 
Bodies</t>
  </si>
  <si>
    <t>Loans to Individuals for Housing Purposes</t>
  </si>
  <si>
    <t>140150012805600001</t>
  </si>
  <si>
    <t>140150013500700000</t>
  </si>
  <si>
    <t xml:space="preserve">Wholesale and Retail 
Trade, Repair of Motor 
Vehicles, Motorcycles 
</t>
  </si>
  <si>
    <t>Administrative and support Service Activities</t>
  </si>
  <si>
    <t xml:space="preserve">  Activities of Households as Employers and Undifferentiated Goods-and-Services-Producing Activities of Households for Own Use</t>
  </si>
  <si>
    <t>In 
US $</t>
  </si>
  <si>
    <t>Peso 
Equiv.</t>
  </si>
  <si>
    <r>
      <rPr>
        <b/>
        <sz val="10"/>
        <rFont val="Courier New"/>
        <family val="3"/>
      </rPr>
      <t>Gross</t>
    </r>
    <r>
      <rPr>
        <b/>
        <sz val="10"/>
        <rFont val="Arial"/>
        <family val="2"/>
      </rPr>
      <t xml:space="preserve"> Loans and Receivables - Others (At Amortized Cost)</t>
    </r>
  </si>
  <si>
    <r>
      <t xml:space="preserve">MOVEMENTS IN NON-PERFORMING LOANS (NPLs) </t>
    </r>
    <r>
      <rPr>
        <b/>
        <vertAlign val="superscript"/>
        <sz val="8"/>
        <color indexed="8"/>
        <rFont val="Arial"/>
        <family val="2"/>
      </rPr>
      <t>1/</t>
    </r>
  </si>
  <si>
    <t>By Economic Activity</t>
  </si>
  <si>
    <t>Opening Balance</t>
  </si>
  <si>
    <t>Newly Reclassified to NPL</t>
  </si>
  <si>
    <t>Reasons for the Decline in NPLs</t>
  </si>
  <si>
    <r>
      <t xml:space="preserve">Other Adjustments
</t>
    </r>
    <r>
      <rPr>
        <sz val="8"/>
        <color indexed="8"/>
        <rFont val="Arial"/>
        <family val="2"/>
      </rPr>
      <t>Additions/ (Deductions)</t>
    </r>
  </si>
  <si>
    <t>Closing Balance</t>
  </si>
  <si>
    <t>Collections/ Payments</t>
  </si>
  <si>
    <t>Write-Offs</t>
  </si>
  <si>
    <t>Reclassification/Transfer to</t>
  </si>
  <si>
    <t>Sale to SPV</t>
  </si>
  <si>
    <t>ROPA</t>
  </si>
  <si>
    <t>Performing Status</t>
  </si>
  <si>
    <r>
      <t xml:space="preserve">Restructured Loans Not Considered NPL </t>
    </r>
    <r>
      <rPr>
        <b/>
        <vertAlign val="superscript"/>
        <sz val="8"/>
        <color indexed="8"/>
        <rFont val="Arial"/>
        <family val="2"/>
      </rPr>
      <t>2/</t>
    </r>
  </si>
  <si>
    <t>j = a + b - (sum of c to h) + i</t>
  </si>
  <si>
    <t>h</t>
  </si>
  <si>
    <t>i</t>
  </si>
  <si>
    <t>140000018512000000</t>
  </si>
  <si>
    <t>Loans and Receivables-Others, Residents</t>
  </si>
  <si>
    <t>140150018512100000</t>
  </si>
  <si>
    <t>140150018512100001</t>
  </si>
  <si>
    <t>140150018512100101</t>
  </si>
  <si>
    <t>140150018512100201</t>
  </si>
  <si>
    <t>140150018512100301</t>
  </si>
  <si>
    <t>140150018512100401</t>
  </si>
  <si>
    <t>140150018512100501</t>
  </si>
  <si>
    <t>140150018512100601</t>
  </si>
  <si>
    <t>Wholesale and Retail Trade, Repair of Motor Vehicles, Motorcycles</t>
  </si>
  <si>
    <t>140150018512100701</t>
  </si>
  <si>
    <t>140150018512100801</t>
  </si>
  <si>
    <t>140150018512100901</t>
  </si>
  <si>
    <t>140150018512101001</t>
  </si>
  <si>
    <t>Financial and Insurance Activities</t>
  </si>
  <si>
    <t>140150018512101101</t>
  </si>
  <si>
    <t>140150018512101201</t>
  </si>
  <si>
    <t>140150018512101301</t>
  </si>
  <si>
    <t>140150018512101401</t>
  </si>
  <si>
    <t>140150018512101501</t>
  </si>
  <si>
    <t>140150018512101601</t>
  </si>
  <si>
    <t>140150018512101701</t>
  </si>
  <si>
    <t>140150018512101801</t>
  </si>
  <si>
    <t>140150018512101901</t>
  </si>
  <si>
    <t>Activities of Households as Employers and Undifferentiated Goods-and-Services-Producing Activities of Households for Own Use</t>
  </si>
  <si>
    <t>140150018512102001</t>
  </si>
  <si>
    <t>Activities of Extra-Territorial Organizations and Bodies</t>
  </si>
  <si>
    <t>140150018512102101</t>
  </si>
  <si>
    <t>140150018512100002</t>
  </si>
  <si>
    <t>140150018512100102</t>
  </si>
  <si>
    <t>Credit Card Receivables</t>
  </si>
  <si>
    <t>140150018512100112</t>
  </si>
  <si>
    <t>140150018512100122</t>
  </si>
  <si>
    <t>140150018512100132</t>
  </si>
  <si>
    <r>
      <t>Loans and Receivables-Others, Non-Residents</t>
    </r>
    <r>
      <rPr>
        <sz val="11"/>
        <color indexed="8"/>
        <rFont val="Calibri"/>
        <family val="2"/>
      </rPr>
      <t/>
    </r>
  </si>
  <si>
    <t>140150018512200000</t>
  </si>
  <si>
    <t>140150018512000000</t>
  </si>
  <si>
    <t>Loans and Receivables Arising from RA, CA/PR and SLB Transactions</t>
  </si>
  <si>
    <t>140200018512000000</t>
  </si>
  <si>
    <r>
      <rPr>
        <vertAlign val="superscript"/>
        <sz val="8"/>
        <color indexed="8"/>
        <rFont val="Arial"/>
        <family val="2"/>
      </rPr>
      <t xml:space="preserve">1/ </t>
    </r>
    <r>
      <rPr>
        <sz val="8"/>
        <color indexed="8"/>
        <rFont val="Arial"/>
        <family val="2"/>
      </rPr>
      <t xml:space="preserve"> Gross NPLs as defined under Circular No. 772 dated 16 October 2012</t>
    </r>
  </si>
  <si>
    <r>
      <rPr>
        <vertAlign val="superscript"/>
        <sz val="8"/>
        <color indexed="8"/>
        <rFont val="Arial"/>
        <family val="2"/>
      </rPr>
      <t xml:space="preserve">2/ </t>
    </r>
    <r>
      <rPr>
        <sz val="8"/>
        <color indexed="8"/>
        <rFont val="Arial"/>
        <family val="2"/>
      </rPr>
      <t xml:space="preserve"> Refers to loans which have been restructured but meet the criteria to be considered performing as of restructuring date, as prescribed under Subsection X322.1 of the Manual of Regulations for Banks</t>
    </r>
  </si>
  <si>
    <r>
      <t xml:space="preserve">AGING OF NON-PERFORMING LOANS (NPLs) </t>
    </r>
    <r>
      <rPr>
        <b/>
        <vertAlign val="superscript"/>
        <sz val="8"/>
        <color indexed="8"/>
        <rFont val="Arial"/>
        <family val="2"/>
      </rPr>
      <t>1/</t>
    </r>
  </si>
  <si>
    <r>
      <t xml:space="preserve">Aging of NPLs from Date of Reclassification </t>
    </r>
    <r>
      <rPr>
        <b/>
        <vertAlign val="superscript"/>
        <sz val="8"/>
        <color indexed="8"/>
        <rFont val="Arial"/>
        <family val="2"/>
      </rPr>
      <t>2/</t>
    </r>
  </si>
  <si>
    <t>≤ 1 year</t>
  </si>
  <si>
    <t>&gt; 1 year but ≤ 2 years</t>
  </si>
  <si>
    <t>&gt; 2 years but ≤ 3 years</t>
  </si>
  <si>
    <t>&gt; 3 years but ≤ 4 years</t>
  </si>
  <si>
    <t>&gt; 4 years but ≤ 5 years</t>
  </si>
  <si>
    <t>&gt; 5 years but ≤ 6 years</t>
  </si>
  <si>
    <t>&gt; 6 years but ≤ 7 years</t>
  </si>
  <si>
    <t>&gt; 7 years but ≤ 8 years</t>
  </si>
  <si>
    <t>&gt; 8 years but ≤ 9 years</t>
  </si>
  <si>
    <t>&gt; 9 years but ≤ 10 years</t>
  </si>
  <si>
    <t>&gt; 10 years</t>
  </si>
  <si>
    <t>j</t>
  </si>
  <si>
    <t>k</t>
  </si>
  <si>
    <t>l = sum of a to k</t>
  </si>
  <si>
    <r>
      <rPr>
        <vertAlign val="superscript"/>
        <sz val="8"/>
        <color indexed="8"/>
        <rFont val="Arial"/>
        <family val="2"/>
      </rPr>
      <t xml:space="preserve">2/ </t>
    </r>
    <r>
      <rPr>
        <sz val="8"/>
        <color indexed="8"/>
        <rFont val="Arial"/>
        <family val="2"/>
      </rPr>
      <t xml:space="preserve"> NPLs, including non-performing restructured loans, shall be classified as to time buckets reckoned from the latest date of reclassification of the loan account to non-performing status up to reporting date.</t>
    </r>
  </si>
  <si>
    <r>
      <t>A.</t>
    </r>
    <r>
      <rPr>
        <sz val="11"/>
        <color indexed="8"/>
        <rFont val="Calibri"/>
        <family val="2"/>
      </rPr>
      <t/>
    </r>
  </si>
  <si>
    <t>For Production, by Economic Activity</t>
  </si>
  <si>
    <t>For Household Consumption</t>
  </si>
  <si>
    <t>17.</t>
  </si>
  <si>
    <t>18.</t>
  </si>
  <si>
    <t>19.</t>
  </si>
  <si>
    <t>20.</t>
  </si>
  <si>
    <t>21.</t>
  </si>
  <si>
    <t>Other Microenterprise Loans</t>
  </si>
  <si>
    <t>140150002005100000</t>
  </si>
  <si>
    <t>140150002010100000</t>
  </si>
  <si>
    <t>d.</t>
  </si>
  <si>
    <t xml:space="preserve">c. </t>
  </si>
  <si>
    <t>140150004512100000</t>
  </si>
  <si>
    <r>
      <t xml:space="preserve">Microenterprise Loans </t>
    </r>
    <r>
      <rPr>
        <vertAlign val="superscript"/>
        <sz val="8"/>
        <rFont val="Arial"/>
        <family val="2"/>
      </rPr>
      <t>a/</t>
    </r>
  </si>
  <si>
    <t>140151002005100000</t>
  </si>
  <si>
    <t>140151002010100000</t>
  </si>
  <si>
    <t>140151004512100000</t>
  </si>
  <si>
    <r>
      <rPr>
        <sz val="8"/>
        <rFont val="Arial"/>
        <family val="2"/>
      </rPr>
      <t xml:space="preserve">Microenterprise Loans </t>
    </r>
    <r>
      <rPr>
        <vertAlign val="superscript"/>
        <sz val="8"/>
        <rFont val="Arial"/>
        <family val="2"/>
      </rPr>
      <t>a/</t>
    </r>
  </si>
  <si>
    <t>165150002005100000</t>
  </si>
  <si>
    <t>165150002010100000</t>
  </si>
  <si>
    <t>Microenterprise Loans</t>
  </si>
  <si>
    <t>165150004512100000</t>
  </si>
  <si>
    <t xml:space="preserve">Agri - Agra Loans </t>
  </si>
  <si>
    <t>140150502005100000</t>
  </si>
  <si>
    <t>140150502010100000</t>
  </si>
  <si>
    <t>140150504512100000</t>
  </si>
  <si>
    <t xml:space="preserve">Real estate loans under Circular No. 600 </t>
  </si>
  <si>
    <t>Real estate exposures under M-2012-046</t>
  </si>
  <si>
    <t>Small Enterprises</t>
  </si>
  <si>
    <t>Medium Enterprise</t>
  </si>
  <si>
    <t>1. Auto Loans</t>
  </si>
  <si>
    <t>140150018512110122</t>
  </si>
  <si>
    <t>2. Motorcycle Loans</t>
  </si>
  <si>
    <t>140150018512120122</t>
  </si>
  <si>
    <t>Motor Vehicle Loans</t>
  </si>
  <si>
    <t>Motorcycle Loans</t>
  </si>
  <si>
    <t>140150004510171000</t>
  </si>
  <si>
    <t>140150004510172000</t>
  </si>
  <si>
    <t>165150004510171000</t>
  </si>
  <si>
    <t>165150004510172000</t>
  </si>
  <si>
    <t>140151004510171000</t>
  </si>
  <si>
    <t>140151004510172000</t>
  </si>
  <si>
    <t>140150504510171000</t>
  </si>
  <si>
    <t>140150504510172000</t>
  </si>
  <si>
    <t>Loans to Individuals Primarily for Personal Use Purposes</t>
  </si>
  <si>
    <t>Salary-Based General-Purpose Consumption Loans</t>
  </si>
  <si>
    <t>140150018512100142</t>
  </si>
  <si>
    <t>v13.0</t>
  </si>
  <si>
    <t>Past Due</t>
  </si>
  <si>
    <t>Non-Performing, net of ITL</t>
  </si>
  <si>
    <t>Items in Litigation (ITL)</t>
  </si>
  <si>
    <t>Sum of Non-Performing Loans, net of ITL and ITL columns</t>
  </si>
  <si>
    <t>Past due</t>
  </si>
  <si>
    <t>Over three months to six months</t>
  </si>
  <si>
    <r>
      <t xml:space="preserve">Over </t>
    </r>
    <r>
      <rPr>
        <b/>
        <sz val="8"/>
        <rFont val="Arial"/>
        <family val="2"/>
      </rPr>
      <t>six months to 12 months</t>
    </r>
  </si>
  <si>
    <t>Over six months to 12 months</t>
  </si>
  <si>
    <t>NEW RURAL BANK OF SAN LEONARDO,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</si>
</sst>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_);\(0\)"/>
    <numFmt numFmtId="165" formatCode="00000#"/>
    <numFmt numFmtId="169" formatCode="00000000000#"/>
    <numFmt numFmtId="170" formatCode="000000000000000#"/>
    <numFmt numFmtId="176" formatCode="_(* #,##0_);_(* \(#,##0\);_(* &quot;-&quot;??_);_(@_)"/>
  </numFmts>
  <fonts count="42" x14ac:knownFonts="1">
    <font>
      <sz val="10"/>
      <name val="Arial"/>
    </font>
    <font>
      <sz val="10"/>
      <name val="Arial"/>
    </font>
    <font>
      <sz val="8"/>
      <name val="Arial"/>
      <family val="2"/>
    </font>
    <font>
      <b/>
      <sz val="8"/>
      <name val="Arial"/>
      <family val="2"/>
    </font>
    <font>
      <sz val="8"/>
      <name val="Arial"/>
      <family val="2"/>
    </font>
    <font>
      <b/>
      <sz val="10"/>
      <name val="Arial"/>
      <family val="2"/>
    </font>
    <font>
      <sz val="7"/>
      <name val="Arial"/>
      <family val="2"/>
    </font>
    <font>
      <sz val="6.5"/>
      <name val="Arial"/>
      <family val="2"/>
    </font>
    <font>
      <sz val="8"/>
      <color indexed="12"/>
      <name val="Arial"/>
      <family val="2"/>
    </font>
    <font>
      <sz val="10"/>
      <color indexed="48"/>
      <name val="Arial"/>
      <family val="2"/>
    </font>
    <font>
      <b/>
      <sz val="9"/>
      <name val="Arial"/>
      <family val="2"/>
    </font>
    <font>
      <b/>
      <sz val="8"/>
      <name val="Arial"/>
      <family val="2"/>
    </font>
    <font>
      <sz val="8"/>
      <name val="Arial Narrow"/>
      <family val="2"/>
    </font>
    <font>
      <sz val="8"/>
      <color indexed="20"/>
      <name val="Arial"/>
      <family val="2"/>
    </font>
    <font>
      <sz val="8"/>
      <color indexed="9"/>
      <name val="Arial Narrow"/>
      <family val="2"/>
    </font>
    <font>
      <sz val="8"/>
      <color indexed="9"/>
      <name val="Arial"/>
      <family val="2"/>
    </font>
    <font>
      <b/>
      <vertAlign val="superscript"/>
      <sz val="10"/>
      <name val="Arial"/>
      <family val="2"/>
    </font>
    <font>
      <vertAlign val="superscript"/>
      <sz val="8"/>
      <name val="Arial"/>
      <family val="2"/>
    </font>
    <font>
      <sz val="10"/>
      <color indexed="9"/>
      <name val="Arial"/>
      <family val="2"/>
    </font>
    <font>
      <b/>
      <sz val="8.5"/>
      <name val="Arial"/>
      <family val="2"/>
    </font>
    <font>
      <b/>
      <u/>
      <sz val="8"/>
      <name val="Arial"/>
      <family val="2"/>
    </font>
    <font>
      <sz val="10"/>
      <name val="Arial"/>
      <family val="2"/>
    </font>
    <font>
      <sz val="10"/>
      <name val="Arial"/>
      <family val="2"/>
    </font>
    <font>
      <sz val="8"/>
      <color indexed="9"/>
      <name val="Arial"/>
      <family val="2"/>
    </font>
    <font>
      <sz val="8"/>
      <color indexed="12"/>
      <name val="Arial"/>
      <family val="2"/>
    </font>
    <font>
      <vertAlign val="superscript"/>
      <sz val="8"/>
      <name val="Arial"/>
      <family val="2"/>
    </font>
    <font>
      <sz val="10"/>
      <color indexed="13"/>
      <name val="Arial"/>
      <family val="2"/>
    </font>
    <font>
      <sz val="11"/>
      <color indexed="8"/>
      <name val="Calibri"/>
      <family val="2"/>
    </font>
    <font>
      <b/>
      <sz val="10"/>
      <name val="Courier New"/>
      <family val="3"/>
    </font>
    <font>
      <b/>
      <sz val="8"/>
      <color indexed="8"/>
      <name val="Arial"/>
      <family val="2"/>
    </font>
    <font>
      <b/>
      <vertAlign val="superscript"/>
      <sz val="8"/>
      <color indexed="8"/>
      <name val="Arial"/>
      <family val="2"/>
    </font>
    <font>
      <u/>
      <sz val="8"/>
      <color indexed="8"/>
      <name val="Arial"/>
      <family val="2"/>
    </font>
    <font>
      <sz val="8"/>
      <color indexed="8"/>
      <name val="Arial"/>
      <family val="2"/>
    </font>
    <font>
      <b/>
      <i/>
      <sz val="8"/>
      <color indexed="8"/>
      <name val="Arial"/>
      <family val="2"/>
    </font>
    <font>
      <i/>
      <sz val="8"/>
      <color indexed="8"/>
      <name val="Arial"/>
      <family val="2"/>
    </font>
    <font>
      <vertAlign val="superscript"/>
      <sz val="8"/>
      <color indexed="8"/>
      <name val="Arial"/>
      <family val="2"/>
    </font>
    <font>
      <sz val="11"/>
      <color theme="1"/>
      <name val="Calibri"/>
      <family val="2"/>
      <scheme val="minor"/>
    </font>
    <font>
      <sz val="8"/>
      <color rgb="FF0000FF"/>
      <name val="Arial"/>
      <family val="2"/>
    </font>
    <font>
      <b/>
      <sz val="8"/>
      <color theme="1"/>
      <name val="Arial"/>
      <family val="2"/>
    </font>
    <font>
      <sz val="8"/>
      <color theme="1"/>
      <name val="Arial"/>
      <family val="2"/>
    </font>
    <font>
      <b/>
      <sz val="8"/>
      <color rgb="FF0000FF"/>
      <name val="Arial"/>
      <family val="2"/>
    </font>
    <font>
      <sz val="8"/>
      <color rgb="FFFF0000"/>
      <name val="Courier New"/>
      <family val="3"/>
    </font>
  </fonts>
  <fills count="9">
    <fill>
      <patternFill patternType="none"/>
    </fill>
    <fill>
      <patternFill patternType="gray125"/>
    </fill>
    <fill>
      <patternFill patternType="solid">
        <fgColor indexed="55"/>
        <bgColor indexed="64"/>
      </patternFill>
    </fill>
    <fill>
      <patternFill patternType="solid">
        <fgColor indexed="48"/>
        <bgColor indexed="64"/>
      </patternFill>
    </fill>
    <fill>
      <patternFill patternType="solid">
        <fgColor indexed="23"/>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CCFFCC"/>
        <bgColor indexed="64"/>
      </patternFill>
    </fill>
    <fill>
      <patternFill patternType="solid">
        <fgColor theme="0" tint="-0.34998626667073579"/>
        <bgColor indexed="64"/>
      </patternFill>
    </fill>
  </fills>
  <borders count="22">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left/>
      <right style="thin">
        <color indexed="64"/>
      </right>
      <top/>
      <bottom/>
      <diagonal/>
    </border>
    <border diagonalDown="1">
      <left/>
      <right style="thin">
        <color indexed="64"/>
      </right>
      <top/>
      <bottom/>
      <diagonal style="thin">
        <color indexed="64"/>
      </diagonal>
    </border>
    <border diagonalDown="1">
      <left/>
      <right style="thin">
        <color indexed="64"/>
      </right>
      <top/>
      <bottom style="thin">
        <color indexed="64"/>
      </bottom>
      <diagonal style="thin">
        <color indexed="64"/>
      </diagonal>
    </border>
  </borders>
  <cellStyleXfs count="5">
    <xf numFmtId="0" fontId="0" fillId="0" borderId="0"/>
    <xf numFmtId="43" fontId="27" fillId="0" borderId="0" applyFont="0" applyFill="0" applyBorder="0" applyAlignment="0" applyProtection="0"/>
    <xf numFmtId="0" fontId="21" fillId="0" borderId="0"/>
    <xf numFmtId="0" fontId="36" fillId="0" borderId="0"/>
    <xf numFmtId="0" fontId="36" fillId="0" borderId="0"/>
  </cellStyleXfs>
  <cellXfs count="877">
    <xf numFmtId="0" fontId="0" fillId="0" borderId="0" xfId="0"/>
    <xf numFmtId="0" fontId="4" fillId="0" borderId="0" xfId="0" applyFont="1" applyFill="1" applyBorder="1" applyAlignment="1">
      <alignment vertical="top"/>
    </xf>
    <xf numFmtId="0" fontId="4" fillId="0" borderId="1" xfId="0" applyFont="1" applyFill="1" applyBorder="1" applyAlignment="1">
      <alignment vertical="top"/>
    </xf>
    <xf numFmtId="0" fontId="2" fillId="0" borderId="2" xfId="0" applyFont="1" applyFill="1" applyBorder="1" applyAlignment="1">
      <alignment vertical="top"/>
    </xf>
    <xf numFmtId="0" fontId="3" fillId="0" borderId="0" xfId="0" applyFont="1" applyAlignment="1"/>
    <xf numFmtId="0" fontId="4" fillId="0" borderId="0" xfId="0" applyFont="1"/>
    <xf numFmtId="0" fontId="3" fillId="0" borderId="0" xfId="0" applyFont="1" applyAlignment="1">
      <alignment horizontal="center"/>
    </xf>
    <xf numFmtId="0" fontId="3" fillId="0" borderId="0" xfId="0" applyFont="1" applyBorder="1" applyAlignment="1"/>
    <xf numFmtId="0" fontId="3" fillId="0" borderId="0" xfId="0" applyFont="1" applyBorder="1" applyAlignment="1">
      <alignment horizontal="center"/>
    </xf>
    <xf numFmtId="0" fontId="4" fillId="0" borderId="0" xfId="0" applyFont="1" applyBorder="1"/>
    <xf numFmtId="0" fontId="4" fillId="0" borderId="0" xfId="0" applyFont="1" applyBorder="1" applyAlignment="1">
      <alignment vertical="center"/>
    </xf>
    <xf numFmtId="0" fontId="4" fillId="0" borderId="0" xfId="0" applyFont="1" applyBorder="1" applyAlignment="1">
      <alignment vertical="center" textRotation="90" wrapText="1"/>
    </xf>
    <xf numFmtId="0" fontId="0" fillId="0" borderId="0" xfId="0" applyBorder="1" applyAlignment="1"/>
    <xf numFmtId="0" fontId="2" fillId="0" borderId="1" xfId="0" applyFont="1" applyBorder="1" applyAlignment="1">
      <alignment horizontal="center"/>
    </xf>
    <xf numFmtId="0" fontId="2" fillId="0" borderId="0" xfId="0" applyFont="1" applyBorder="1" applyAlignment="1">
      <alignment horizontal="center"/>
    </xf>
    <xf numFmtId="0" fontId="4" fillId="0" borderId="1" xfId="0" applyFont="1" applyBorder="1" applyAlignment="1">
      <alignment vertical="top"/>
    </xf>
    <xf numFmtId="0" fontId="4" fillId="0" borderId="0" xfId="0" applyFont="1" applyBorder="1" applyAlignment="1">
      <alignment vertical="top"/>
    </xf>
    <xf numFmtId="0" fontId="4" fillId="0" borderId="0" xfId="0" applyFont="1" applyAlignment="1">
      <alignment vertical="top"/>
    </xf>
    <xf numFmtId="165" fontId="4" fillId="0" borderId="0" xfId="0" applyNumberFormat="1" applyFont="1" applyAlignment="1">
      <alignment horizontal="center" vertical="center"/>
    </xf>
    <xf numFmtId="0" fontId="4" fillId="0" borderId="2" xfId="0" applyFont="1" applyFill="1" applyBorder="1" applyAlignment="1">
      <alignment vertical="top"/>
    </xf>
    <xf numFmtId="0" fontId="4" fillId="0" borderId="0" xfId="0" applyFont="1" applyFill="1" applyAlignment="1">
      <alignment vertical="top"/>
    </xf>
    <xf numFmtId="0" fontId="4" fillId="0" borderId="0" xfId="0" applyFont="1" applyFill="1"/>
    <xf numFmtId="0" fontId="4" fillId="0" borderId="0" xfId="0" applyFont="1" applyFill="1" applyBorder="1"/>
    <xf numFmtId="165" fontId="4" fillId="0" borderId="2" xfId="0" applyNumberFormat="1" applyFont="1" applyBorder="1" applyAlignment="1">
      <alignment horizontal="center" vertical="top"/>
    </xf>
    <xf numFmtId="0" fontId="3" fillId="0" borderId="2" xfId="0" applyFont="1" applyBorder="1" applyAlignment="1">
      <alignment horizontal="center" vertical="center" wrapText="1"/>
    </xf>
    <xf numFmtId="0" fontId="6" fillId="0" borderId="0" xfId="0" applyFont="1" applyBorder="1" applyAlignment="1">
      <alignment vertical="center"/>
    </xf>
    <xf numFmtId="0" fontId="6" fillId="0" borderId="0" xfId="0" applyFont="1" applyBorder="1" applyAlignment="1">
      <alignment vertical="center" textRotation="90" wrapText="1"/>
    </xf>
    <xf numFmtId="0" fontId="6" fillId="0" borderId="0" xfId="0" applyFont="1" applyBorder="1"/>
    <xf numFmtId="0" fontId="6" fillId="0" borderId="0" xfId="0" applyFont="1"/>
    <xf numFmtId="0" fontId="6" fillId="0" borderId="0" xfId="0" applyFont="1" applyBorder="1" applyAlignment="1"/>
    <xf numFmtId="0" fontId="6" fillId="0" borderId="1" xfId="0" applyFont="1" applyBorder="1" applyAlignment="1">
      <alignment horizontal="center"/>
    </xf>
    <xf numFmtId="0" fontId="6" fillId="0" borderId="0" xfId="0" applyFont="1" applyBorder="1" applyAlignment="1">
      <alignment horizontal="center"/>
    </xf>
    <xf numFmtId="0" fontId="7" fillId="0" borderId="0" xfId="0" applyFont="1" applyBorder="1" applyAlignment="1">
      <alignment horizontal="center" vertical="center" wrapText="1"/>
    </xf>
    <xf numFmtId="0" fontId="7" fillId="0" borderId="0" xfId="0" applyFont="1" applyBorder="1" applyAlignment="1">
      <alignment horizontal="center" vertical="center" textRotation="90" wrapText="1"/>
    </xf>
    <xf numFmtId="0" fontId="7" fillId="0" borderId="0" xfId="0" applyFont="1" applyBorder="1" applyAlignment="1">
      <alignment vertical="center" wrapText="1"/>
    </xf>
    <xf numFmtId="0" fontId="7" fillId="0" borderId="0" xfId="0" applyFont="1" applyAlignment="1">
      <alignment vertical="center" wrapText="1"/>
    </xf>
    <xf numFmtId="0" fontId="4" fillId="0" borderId="1" xfId="0" applyFont="1" applyBorder="1"/>
    <xf numFmtId="0" fontId="4" fillId="0" borderId="1" xfId="0" applyFont="1" applyFill="1" applyBorder="1"/>
    <xf numFmtId="0" fontId="3" fillId="0" borderId="2" xfId="0" applyFont="1" applyBorder="1" applyAlignment="1">
      <alignment horizontal="center" vertical="center"/>
    </xf>
    <xf numFmtId="165" fontId="3" fillId="0" borderId="2" xfId="0" applyNumberFormat="1" applyFont="1" applyBorder="1" applyAlignment="1">
      <alignment horizontal="center" vertical="center" wrapText="1"/>
    </xf>
    <xf numFmtId="4" fontId="3" fillId="0" borderId="2" xfId="0" applyNumberFormat="1" applyFont="1" applyBorder="1" applyAlignment="1">
      <alignment horizontal="center"/>
    </xf>
    <xf numFmtId="4" fontId="8" fillId="0" borderId="2" xfId="0" applyNumberFormat="1" applyFont="1" applyFill="1" applyBorder="1" applyAlignment="1" applyProtection="1">
      <alignment vertical="top"/>
      <protection hidden="1"/>
    </xf>
    <xf numFmtId="4" fontId="4" fillId="0" borderId="0" xfId="0" applyNumberFormat="1" applyFont="1" applyFill="1"/>
    <xf numFmtId="4" fontId="4" fillId="2" borderId="2" xfId="0" applyNumberFormat="1" applyFont="1" applyFill="1" applyBorder="1" applyAlignment="1">
      <alignment vertical="top"/>
    </xf>
    <xf numFmtId="4" fontId="4" fillId="0" borderId="2" xfId="0" applyNumberFormat="1" applyFont="1" applyFill="1" applyBorder="1" applyAlignment="1" applyProtection="1">
      <alignment vertical="top"/>
      <protection locked="0"/>
    </xf>
    <xf numFmtId="0" fontId="2" fillId="0" borderId="2" xfId="0" applyFont="1" applyFill="1" applyBorder="1" applyAlignment="1">
      <alignment horizontal="right" vertical="top"/>
    </xf>
    <xf numFmtId="0" fontId="3" fillId="0" borderId="2" xfId="0" applyFont="1" applyFill="1" applyBorder="1" applyAlignment="1">
      <alignment horizontal="right" vertical="top"/>
    </xf>
    <xf numFmtId="4" fontId="3" fillId="0" borderId="0" xfId="0" applyNumberFormat="1" applyFont="1" applyAlignment="1">
      <alignment horizontal="center"/>
    </xf>
    <xf numFmtId="4" fontId="4" fillId="0" borderId="0" xfId="0" applyNumberFormat="1" applyFont="1"/>
    <xf numFmtId="4" fontId="8" fillId="0" borderId="2" xfId="0" applyNumberFormat="1" applyFont="1" applyBorder="1" applyAlignment="1" applyProtection="1">
      <alignment vertical="top"/>
      <protection hidden="1"/>
    </xf>
    <xf numFmtId="4" fontId="4" fillId="0" borderId="2" xfId="0" applyNumberFormat="1" applyFont="1" applyBorder="1" applyAlignment="1" applyProtection="1">
      <alignment vertical="top"/>
      <protection locked="0"/>
    </xf>
    <xf numFmtId="4" fontId="6" fillId="0" borderId="2" xfId="0" applyNumberFormat="1" applyFont="1" applyBorder="1" applyAlignment="1">
      <alignment horizontal="center" vertical="center" wrapText="1"/>
    </xf>
    <xf numFmtId="0" fontId="4" fillId="0" borderId="0" xfId="0" applyFont="1" applyAlignment="1">
      <alignment horizontal="right"/>
    </xf>
    <xf numFmtId="4" fontId="3" fillId="0" borderId="0" xfId="0" applyNumberFormat="1" applyFont="1" applyBorder="1" applyAlignment="1">
      <alignment horizontal="center"/>
    </xf>
    <xf numFmtId="0" fontId="3" fillId="0" borderId="0" xfId="0" applyFont="1" applyAlignment="1">
      <alignment horizontal="right"/>
    </xf>
    <xf numFmtId="4" fontId="6" fillId="0" borderId="2" xfId="0" applyNumberFormat="1" applyFont="1" applyBorder="1" applyAlignment="1">
      <alignment horizontal="center" vertical="center"/>
    </xf>
    <xf numFmtId="4" fontId="8" fillId="0" borderId="2" xfId="0" applyNumberFormat="1" applyFont="1" applyBorder="1" applyProtection="1">
      <protection hidden="1"/>
    </xf>
    <xf numFmtId="4" fontId="8" fillId="0" borderId="2" xfId="0" applyNumberFormat="1" applyFont="1" applyFill="1" applyBorder="1" applyProtection="1">
      <protection hidden="1"/>
    </xf>
    <xf numFmtId="4" fontId="4" fillId="0" borderId="2" xfId="0" applyNumberFormat="1" applyFont="1" applyBorder="1" applyProtection="1">
      <protection locked="0"/>
    </xf>
    <xf numFmtId="4" fontId="4" fillId="0" borderId="2" xfId="0" applyNumberFormat="1" applyFont="1" applyFill="1" applyBorder="1" applyProtection="1">
      <protection locked="0"/>
    </xf>
    <xf numFmtId="165" fontId="3" fillId="0" borderId="2" xfId="0" applyNumberFormat="1" applyFont="1" applyBorder="1" applyAlignment="1">
      <alignment horizontal="center" vertical="center"/>
    </xf>
    <xf numFmtId="165" fontId="4" fillId="0" borderId="0" xfId="0" applyNumberFormat="1" applyFont="1" applyAlignment="1">
      <alignment horizontal="right" vertical="center"/>
    </xf>
    <xf numFmtId="4" fontId="4" fillId="2" borderId="2" xfId="0" applyNumberFormat="1" applyFont="1" applyFill="1" applyBorder="1" applyAlignment="1">
      <alignment horizontal="left" vertical="top" wrapText="1"/>
    </xf>
    <xf numFmtId="0" fontId="0" fillId="3" borderId="0" xfId="0" applyFill="1"/>
    <xf numFmtId="0" fontId="9" fillId="3" borderId="0" xfId="0" applyFont="1" applyFill="1"/>
    <xf numFmtId="4" fontId="3" fillId="0" borderId="2" xfId="0" applyNumberFormat="1" applyFont="1" applyBorder="1" applyAlignment="1">
      <alignment horizontal="center" vertical="center" wrapText="1"/>
    </xf>
    <xf numFmtId="0" fontId="5" fillId="0" borderId="0" xfId="0" applyFont="1" applyBorder="1" applyAlignment="1">
      <alignment horizontal="center"/>
    </xf>
    <xf numFmtId="0" fontId="2" fillId="0" borderId="0" xfId="0" applyFont="1" applyFill="1" applyProtection="1"/>
    <xf numFmtId="0" fontId="11" fillId="0" borderId="0" xfId="0" applyFont="1" applyFill="1" applyAlignment="1" applyProtection="1">
      <alignment horizontal="center"/>
    </xf>
    <xf numFmtId="0" fontId="12" fillId="0" borderId="0" xfId="0" applyFont="1" applyFill="1" applyAlignment="1" applyProtection="1">
      <alignment horizontal="center"/>
    </xf>
    <xf numFmtId="0" fontId="12" fillId="0" borderId="0" xfId="0" applyFont="1" applyFill="1" applyProtection="1"/>
    <xf numFmtId="165" fontId="3" fillId="0" borderId="2" xfId="0" applyNumberFormat="1" applyFont="1" applyFill="1" applyBorder="1" applyAlignment="1" applyProtection="1">
      <alignment horizontal="center" vertical="center" wrapText="1"/>
    </xf>
    <xf numFmtId="0" fontId="3" fillId="0" borderId="0" xfId="0" applyFont="1" applyFill="1" applyProtection="1"/>
    <xf numFmtId="0" fontId="3" fillId="0" borderId="2" xfId="0" applyFont="1" applyFill="1" applyBorder="1" applyAlignment="1" applyProtection="1">
      <alignment horizontal="center" vertical="center" wrapText="1"/>
    </xf>
    <xf numFmtId="165" fontId="3" fillId="0" borderId="2" xfId="0" applyNumberFormat="1" applyFont="1" applyFill="1" applyBorder="1" applyAlignment="1" applyProtection="1">
      <alignment horizontal="center" vertical="center"/>
    </xf>
    <xf numFmtId="0" fontId="2" fillId="0" borderId="2" xfId="0" applyFont="1" applyFill="1" applyBorder="1" applyAlignment="1" applyProtection="1">
      <alignment horizontal="center" vertical="center" wrapText="1"/>
    </xf>
    <xf numFmtId="0" fontId="2" fillId="0" borderId="0" xfId="0" applyFont="1" applyFill="1" applyAlignment="1" applyProtection="1">
      <alignment vertical="center" wrapText="1"/>
    </xf>
    <xf numFmtId="0" fontId="12" fillId="0" borderId="2" xfId="0" applyFont="1" applyFill="1" applyBorder="1" applyAlignment="1" applyProtection="1">
      <alignment horizontal="right"/>
    </xf>
    <xf numFmtId="4" fontId="4" fillId="0" borderId="2" xfId="0" applyNumberFormat="1" applyFont="1" applyFill="1" applyBorder="1" applyProtection="1"/>
    <xf numFmtId="0" fontId="2" fillId="0" borderId="2" xfId="0" applyFont="1" applyFill="1" applyBorder="1" applyAlignment="1" applyProtection="1">
      <alignment vertical="top"/>
    </xf>
    <xf numFmtId="0" fontId="12" fillId="0" borderId="2" xfId="0" applyFont="1" applyFill="1" applyBorder="1" applyAlignment="1">
      <alignment horizontal="right" vertical="top"/>
    </xf>
    <xf numFmtId="4" fontId="8" fillId="2" borderId="2" xfId="0" applyNumberFormat="1" applyFont="1" applyFill="1" applyBorder="1" applyAlignment="1" applyProtection="1">
      <alignment vertical="top"/>
      <protection hidden="1"/>
    </xf>
    <xf numFmtId="0" fontId="2" fillId="0" borderId="0" xfId="0" applyFont="1" applyFill="1" applyAlignment="1">
      <alignment vertical="top"/>
    </xf>
    <xf numFmtId="0" fontId="12" fillId="0" borderId="2" xfId="0" applyFont="1" applyFill="1" applyBorder="1" applyAlignment="1" applyProtection="1">
      <alignment horizontal="right" vertical="top"/>
      <protection hidden="1"/>
    </xf>
    <xf numFmtId="4" fontId="4" fillId="0" borderId="2" xfId="0" applyNumberFormat="1" applyFont="1" applyFill="1" applyBorder="1" applyAlignment="1" applyProtection="1">
      <alignment vertical="top"/>
      <protection hidden="1"/>
    </xf>
    <xf numFmtId="4" fontId="4" fillId="2" borderId="2" xfId="0" applyNumberFormat="1" applyFont="1" applyFill="1" applyBorder="1" applyAlignment="1" applyProtection="1">
      <alignment vertical="top"/>
    </xf>
    <xf numFmtId="0" fontId="12" fillId="0" borderId="2" xfId="0" applyFont="1" applyBorder="1" applyAlignment="1" applyProtection="1">
      <alignment horizontal="center" vertical="top"/>
    </xf>
    <xf numFmtId="0" fontId="12" fillId="0" borderId="2" xfId="0" applyFont="1" applyBorder="1" applyAlignment="1">
      <alignment horizontal="right" vertical="top"/>
    </xf>
    <xf numFmtId="0" fontId="12" fillId="0" borderId="0" xfId="0" applyFont="1" applyBorder="1" applyAlignment="1">
      <alignment horizontal="right" vertical="top"/>
    </xf>
    <xf numFmtId="0" fontId="15" fillId="0" borderId="0" xfId="0" applyFont="1" applyFill="1"/>
    <xf numFmtId="0" fontId="12" fillId="0" borderId="0" xfId="0" applyFont="1" applyFill="1" applyAlignment="1">
      <alignment horizontal="center"/>
    </xf>
    <xf numFmtId="0" fontId="12" fillId="0" borderId="0" xfId="0" applyFont="1" applyFill="1"/>
    <xf numFmtId="0" fontId="2" fillId="0" borderId="0" xfId="0" applyFont="1" applyFill="1"/>
    <xf numFmtId="49" fontId="2" fillId="0" borderId="0" xfId="0" applyNumberFormat="1" applyFont="1" applyFill="1"/>
    <xf numFmtId="165" fontId="3" fillId="0" borderId="2" xfId="0" applyNumberFormat="1" applyFont="1" applyFill="1" applyBorder="1" applyAlignment="1">
      <alignment horizontal="center" vertical="center" wrapText="1"/>
    </xf>
    <xf numFmtId="4" fontId="3" fillId="0" borderId="2" xfId="0" applyNumberFormat="1" applyFont="1" applyFill="1" applyBorder="1" applyAlignment="1">
      <alignment horizontal="center" vertical="center" wrapText="1"/>
    </xf>
    <xf numFmtId="0" fontId="3" fillId="0" borderId="2" xfId="0" applyFont="1" applyFill="1" applyBorder="1" applyAlignment="1">
      <alignment horizontal="center" vertical="center" wrapText="1"/>
    </xf>
    <xf numFmtId="4" fontId="4" fillId="0" borderId="2" xfId="0" applyNumberFormat="1" applyFont="1" applyFill="1" applyBorder="1" applyAlignment="1">
      <alignment horizontal="center" vertical="center"/>
    </xf>
    <xf numFmtId="4" fontId="4" fillId="0" borderId="2" xfId="0" applyNumberFormat="1" applyFont="1" applyFill="1" applyBorder="1" applyAlignment="1">
      <alignment horizontal="center" vertical="center" wrapText="1"/>
    </xf>
    <xf numFmtId="0" fontId="2" fillId="0" borderId="0" xfId="0" applyFont="1" applyFill="1" applyAlignment="1">
      <alignment vertical="center" wrapText="1"/>
    </xf>
    <xf numFmtId="4" fontId="4" fillId="0" borderId="2" xfId="0" applyNumberFormat="1" applyFont="1" applyFill="1" applyBorder="1" applyAlignment="1" applyProtection="1">
      <alignment vertical="top"/>
    </xf>
    <xf numFmtId="0" fontId="12" fillId="0" borderId="2" xfId="0" applyFont="1" applyBorder="1" applyAlignment="1">
      <alignment horizontal="center" vertical="top"/>
    </xf>
    <xf numFmtId="4" fontId="4" fillId="2" borderId="2" xfId="0" applyNumberFormat="1" applyFont="1" applyFill="1" applyBorder="1" applyAlignment="1" applyProtection="1">
      <alignment vertical="top"/>
      <protection hidden="1"/>
    </xf>
    <xf numFmtId="165" fontId="2" fillId="0" borderId="2" xfId="0" applyNumberFormat="1" applyFont="1" applyFill="1" applyBorder="1" applyAlignment="1">
      <alignment horizontal="center" vertical="top"/>
    </xf>
    <xf numFmtId="4" fontId="8" fillId="2" borderId="2" xfId="0" applyNumberFormat="1" applyFont="1" applyFill="1" applyBorder="1" applyAlignment="1" applyProtection="1">
      <alignment vertical="top"/>
    </xf>
    <xf numFmtId="4" fontId="8" fillId="0" borderId="2" xfId="0" applyNumberFormat="1" applyFont="1" applyFill="1" applyBorder="1" applyAlignment="1" applyProtection="1">
      <alignment vertical="top"/>
    </xf>
    <xf numFmtId="4" fontId="8" fillId="0" borderId="2" xfId="0" applyNumberFormat="1" applyFont="1" applyBorder="1" applyAlignment="1" applyProtection="1">
      <alignment vertical="top"/>
    </xf>
    <xf numFmtId="0" fontId="2" fillId="0" borderId="0" xfId="0" applyFont="1" applyFill="1" applyBorder="1" applyAlignment="1">
      <alignment horizontal="left" vertical="top" wrapText="1"/>
    </xf>
    <xf numFmtId="165" fontId="4" fillId="0" borderId="0" xfId="0" applyNumberFormat="1" applyFont="1" applyBorder="1" applyAlignment="1">
      <alignment horizontal="center" vertical="top"/>
    </xf>
    <xf numFmtId="49" fontId="17" fillId="0" borderId="0" xfId="0" applyNumberFormat="1" applyFont="1" applyAlignment="1">
      <alignment horizontal="left" vertical="top"/>
    </xf>
    <xf numFmtId="165" fontId="4" fillId="0" borderId="0" xfId="0" applyNumberFormat="1" applyFont="1" applyAlignment="1">
      <alignment horizontal="center" vertical="top"/>
    </xf>
    <xf numFmtId="4" fontId="4" fillId="0" borderId="0" xfId="0" applyNumberFormat="1" applyFont="1" applyAlignment="1">
      <alignment vertical="top"/>
    </xf>
    <xf numFmtId="0" fontId="3" fillId="0" borderId="0" xfId="0" applyFont="1" applyFill="1" applyAlignment="1">
      <alignment horizontal="center"/>
    </xf>
    <xf numFmtId="0" fontId="4" fillId="0" borderId="2" xfId="0" applyFont="1" applyFill="1" applyBorder="1" applyAlignment="1" applyProtection="1">
      <alignment horizontal="right" vertical="top"/>
    </xf>
    <xf numFmtId="4" fontId="4" fillId="0" borderId="2" xfId="0" applyNumberFormat="1" applyFont="1" applyBorder="1" applyAlignment="1" applyProtection="1">
      <alignment vertical="top"/>
    </xf>
    <xf numFmtId="0" fontId="4" fillId="0" borderId="2" xfId="0" applyFont="1" applyFill="1" applyBorder="1" applyAlignment="1">
      <alignment horizontal="right" vertical="top"/>
    </xf>
    <xf numFmtId="0" fontId="4" fillId="0" borderId="0" xfId="0" applyFont="1" applyFill="1" applyAlignment="1">
      <alignment horizontal="right"/>
    </xf>
    <xf numFmtId="0" fontId="2" fillId="0" borderId="0" xfId="0" applyFont="1" applyBorder="1" applyAlignment="1">
      <alignment horizontal="center" vertical="center" wrapText="1"/>
    </xf>
    <xf numFmtId="0" fontId="0" fillId="0" borderId="0" xfId="0" applyBorder="1" applyAlignment="1">
      <alignment horizontal="center" vertical="center" wrapText="1"/>
    </xf>
    <xf numFmtId="0" fontId="4" fillId="0" borderId="0" xfId="0" applyFont="1" applyBorder="1" applyAlignment="1">
      <alignment horizontal="center" vertical="center" textRotation="90" wrapText="1"/>
    </xf>
    <xf numFmtId="0" fontId="4" fillId="0" borderId="0" xfId="0" applyFont="1" applyBorder="1" applyAlignment="1">
      <alignment vertical="center" wrapText="1"/>
    </xf>
    <xf numFmtId="0" fontId="4" fillId="0" borderId="0" xfId="0" applyFont="1" applyAlignment="1">
      <alignment vertical="center" wrapText="1"/>
    </xf>
    <xf numFmtId="0" fontId="12" fillId="0" borderId="0" xfId="0" applyFont="1" applyFill="1" applyBorder="1" applyAlignment="1">
      <alignment horizontal="right" vertical="top"/>
    </xf>
    <xf numFmtId="49" fontId="2" fillId="0" borderId="0" xfId="0" applyNumberFormat="1" applyFont="1" applyFill="1" applyAlignment="1">
      <alignment horizontal="left" vertical="top"/>
    </xf>
    <xf numFmtId="0" fontId="3" fillId="0" borderId="0" xfId="0" applyFont="1" applyFill="1" applyAlignment="1">
      <alignment horizontal="right"/>
    </xf>
    <xf numFmtId="4" fontId="4" fillId="0" borderId="2" xfId="0" applyNumberFormat="1" applyFont="1" applyFill="1" applyBorder="1" applyAlignment="1" applyProtection="1">
      <alignment horizontal="right" vertical="top" wrapText="1"/>
      <protection locked="0"/>
    </xf>
    <xf numFmtId="4" fontId="4" fillId="0" borderId="2" xfId="0" applyNumberFormat="1" applyFont="1" applyFill="1" applyBorder="1" applyAlignment="1" applyProtection="1">
      <alignment horizontal="right" vertical="top"/>
      <protection locked="0"/>
    </xf>
    <xf numFmtId="4" fontId="8" fillId="0" borderId="2" xfId="0" applyNumberFormat="1" applyFont="1" applyFill="1" applyBorder="1" applyAlignment="1" applyProtection="1">
      <alignment horizontal="right" vertical="top"/>
      <protection hidden="1"/>
    </xf>
    <xf numFmtId="0" fontId="4" fillId="0" borderId="0" xfId="0" applyFont="1" applyFill="1" applyAlignment="1">
      <alignment horizontal="center"/>
    </xf>
    <xf numFmtId="4" fontId="8" fillId="0" borderId="2" xfId="0" applyNumberFormat="1" applyFont="1" applyFill="1" applyBorder="1" applyAlignment="1">
      <alignment vertical="top"/>
    </xf>
    <xf numFmtId="4" fontId="3" fillId="0" borderId="0" xfId="0" applyNumberFormat="1" applyFont="1" applyFill="1" applyAlignment="1">
      <alignment horizontal="center"/>
    </xf>
    <xf numFmtId="0" fontId="2" fillId="0" borderId="0" xfId="0" applyFont="1"/>
    <xf numFmtId="4" fontId="2" fillId="0" borderId="0" xfId="0" applyNumberFormat="1" applyFont="1" applyFill="1"/>
    <xf numFmtId="4" fontId="2" fillId="0" borderId="0" xfId="0" applyNumberFormat="1" applyFont="1"/>
    <xf numFmtId="4" fontId="0" fillId="0" borderId="0" xfId="0" applyNumberFormat="1"/>
    <xf numFmtId="170" fontId="3" fillId="0" borderId="2" xfId="0" applyNumberFormat="1" applyFont="1" applyFill="1" applyBorder="1" applyAlignment="1">
      <alignment horizontal="center" vertical="center"/>
    </xf>
    <xf numFmtId="170" fontId="3" fillId="0" borderId="2" xfId="0" applyNumberFormat="1" applyFont="1" applyBorder="1" applyAlignment="1">
      <alignment horizontal="center" vertical="center"/>
    </xf>
    <xf numFmtId="0" fontId="2" fillId="0" borderId="2" xfId="0" applyFont="1" applyFill="1" applyBorder="1"/>
    <xf numFmtId="0" fontId="4" fillId="0" borderId="2" xfId="0" applyNumberFormat="1" applyFont="1" applyBorder="1" applyAlignment="1">
      <alignment horizontal="right"/>
    </xf>
    <xf numFmtId="4" fontId="4" fillId="2" borderId="2" xfId="0" applyNumberFormat="1" applyFont="1" applyFill="1" applyBorder="1"/>
    <xf numFmtId="4" fontId="8" fillId="2" borderId="2" xfId="0" applyNumberFormat="1" applyFont="1" applyFill="1" applyBorder="1" applyProtection="1">
      <protection hidden="1"/>
    </xf>
    <xf numFmtId="0" fontId="4" fillId="0" borderId="2" xfId="0" quotePrefix="1" applyNumberFormat="1" applyFont="1" applyFill="1" applyBorder="1" applyAlignment="1">
      <alignment horizontal="right"/>
    </xf>
    <xf numFmtId="0" fontId="4" fillId="0" borderId="2" xfId="0" applyNumberFormat="1" applyFont="1" applyBorder="1" applyAlignment="1" applyProtection="1">
      <alignment horizontal="right"/>
    </xf>
    <xf numFmtId="4" fontId="4" fillId="0" borderId="2" xfId="0" applyNumberFormat="1" applyFont="1" applyBorder="1" applyProtection="1"/>
    <xf numFmtId="0" fontId="2" fillId="0" borderId="0" xfId="0" applyFont="1" applyFill="1" applyBorder="1"/>
    <xf numFmtId="0" fontId="0" fillId="0" borderId="0" xfId="0" applyBorder="1"/>
    <xf numFmtId="0" fontId="4" fillId="0" borderId="2" xfId="0" applyNumberFormat="1" applyFont="1" applyBorder="1" applyAlignment="1">
      <alignment horizontal="right" vertical="top" wrapText="1"/>
    </xf>
    <xf numFmtId="4" fontId="8" fillId="0" borderId="2" xfId="0" applyNumberFormat="1" applyFont="1" applyBorder="1" applyAlignment="1" applyProtection="1">
      <alignment wrapText="1"/>
      <protection hidden="1"/>
    </xf>
    <xf numFmtId="0" fontId="0" fillId="0" borderId="0" xfId="0" applyNumberFormat="1" applyAlignment="1">
      <alignment horizontal="right"/>
    </xf>
    <xf numFmtId="0" fontId="3" fillId="0" borderId="0" xfId="0" applyFont="1" applyAlignment="1">
      <alignment horizontal="center" wrapText="1"/>
    </xf>
    <xf numFmtId="169" fontId="3" fillId="0" borderId="2" xfId="0" applyNumberFormat="1" applyFont="1" applyFill="1" applyBorder="1" applyAlignment="1">
      <alignment horizontal="center" vertical="center"/>
    </xf>
    <xf numFmtId="0" fontId="4" fillId="0" borderId="2" xfId="0" applyNumberFormat="1" applyFont="1" applyFill="1" applyBorder="1" applyAlignment="1">
      <alignment horizontal="center"/>
    </xf>
    <xf numFmtId="0" fontId="2" fillId="0" borderId="2" xfId="0" applyNumberFormat="1" applyFont="1" applyFill="1" applyBorder="1" applyAlignment="1">
      <alignment horizontal="center"/>
    </xf>
    <xf numFmtId="0" fontId="2" fillId="0" borderId="2" xfId="0" quotePrefix="1"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NumberFormat="1" applyFont="1" applyFill="1"/>
    <xf numFmtId="0" fontId="3" fillId="0" borderId="0" xfId="0" applyFont="1" applyAlignment="1">
      <alignment horizontal="right" wrapText="1"/>
    </xf>
    <xf numFmtId="4" fontId="3" fillId="0" borderId="0" xfId="0" applyNumberFormat="1" applyFont="1" applyAlignment="1">
      <alignment horizontal="center" wrapText="1"/>
    </xf>
    <xf numFmtId="169" fontId="3" fillId="0" borderId="3" xfId="0" applyNumberFormat="1" applyFont="1" applyFill="1" applyBorder="1" applyAlignment="1">
      <alignment horizontal="center" vertical="center"/>
    </xf>
    <xf numFmtId="169" fontId="3" fillId="0" borderId="4" xfId="0" applyNumberFormat="1" applyFont="1" applyFill="1" applyBorder="1" applyAlignment="1">
      <alignment horizontal="center" vertical="center"/>
    </xf>
    <xf numFmtId="169" fontId="3" fillId="0" borderId="5" xfId="0" applyNumberFormat="1" applyFont="1" applyFill="1" applyBorder="1" applyAlignment="1">
      <alignment horizontal="center" vertical="center"/>
    </xf>
    <xf numFmtId="0" fontId="2" fillId="0" borderId="2" xfId="0" applyNumberFormat="1" applyFont="1" applyFill="1" applyBorder="1" applyAlignment="1">
      <alignment horizontal="right"/>
    </xf>
    <xf numFmtId="0" fontId="4" fillId="0" borderId="2" xfId="0" applyNumberFormat="1" applyFont="1" applyFill="1" applyBorder="1" applyAlignment="1">
      <alignment horizontal="right"/>
    </xf>
    <xf numFmtId="0" fontId="4" fillId="0" borderId="2" xfId="0" applyNumberFormat="1" applyFont="1" applyFill="1" applyBorder="1" applyAlignment="1" applyProtection="1">
      <alignment horizontal="right"/>
    </xf>
    <xf numFmtId="4" fontId="4" fillId="2" borderId="2" xfId="0" applyNumberFormat="1" applyFont="1" applyFill="1" applyBorder="1" applyProtection="1"/>
    <xf numFmtId="4" fontId="8" fillId="0" borderId="2" xfId="0" applyNumberFormat="1" applyFont="1" applyBorder="1" applyProtection="1"/>
    <xf numFmtId="4" fontId="8" fillId="2" borderId="2" xfId="0" applyNumberFormat="1" applyFont="1" applyFill="1" applyBorder="1" applyProtection="1"/>
    <xf numFmtId="0" fontId="2" fillId="0" borderId="0" xfId="0" applyNumberFormat="1" applyFont="1" applyFill="1" applyAlignment="1">
      <alignment horizontal="right"/>
    </xf>
    <xf numFmtId="0" fontId="2" fillId="0" borderId="2" xfId="0" applyNumberFormat="1" applyFont="1" applyFill="1" applyBorder="1" applyAlignment="1" applyProtection="1">
      <alignment horizontal="right"/>
    </xf>
    <xf numFmtId="4" fontId="3" fillId="0" borderId="0" xfId="0" applyNumberFormat="1" applyFont="1" applyBorder="1" applyAlignment="1"/>
    <xf numFmtId="0" fontId="3" fillId="0" borderId="6" xfId="0" applyFont="1" applyBorder="1" applyAlignment="1">
      <alignment horizontal="center"/>
    </xf>
    <xf numFmtId="0" fontId="3" fillId="0" borderId="6" xfId="0" applyFont="1" applyBorder="1" applyAlignment="1">
      <alignment horizontal="right"/>
    </xf>
    <xf numFmtId="4" fontId="3" fillId="0" borderId="6" xfId="0" applyNumberFormat="1" applyFont="1" applyBorder="1" applyAlignment="1">
      <alignment horizontal="center"/>
    </xf>
    <xf numFmtId="0" fontId="4" fillId="0" borderId="0" xfId="0" applyFont="1" applyBorder="1" applyAlignment="1"/>
    <xf numFmtId="0" fontId="4" fillId="0" borderId="0" xfId="0" applyFont="1" applyAlignment="1"/>
    <xf numFmtId="0" fontId="4" fillId="0" borderId="2" xfId="0" applyFont="1" applyFill="1" applyBorder="1" applyAlignment="1">
      <alignment horizontal="right"/>
    </xf>
    <xf numFmtId="4" fontId="8" fillId="0" borderId="2" xfId="0" applyNumberFormat="1" applyFont="1" applyBorder="1" applyAlignment="1" applyProtection="1">
      <protection hidden="1"/>
    </xf>
    <xf numFmtId="0" fontId="2" fillId="0" borderId="2" xfId="0" applyFont="1" applyFill="1" applyBorder="1" applyAlignment="1" applyProtection="1">
      <alignment horizontal="right"/>
    </xf>
    <xf numFmtId="0" fontId="2" fillId="0" borderId="2" xfId="0" applyFont="1" applyFill="1" applyBorder="1" applyAlignment="1">
      <alignment horizontal="right"/>
    </xf>
    <xf numFmtId="0" fontId="2" fillId="0" borderId="2" xfId="0" applyFont="1" applyFill="1" applyBorder="1" applyAlignment="1">
      <alignment horizontal="right" wrapText="1"/>
    </xf>
    <xf numFmtId="0" fontId="4" fillId="0" borderId="2" xfId="0" applyFont="1" applyFill="1" applyBorder="1" applyAlignment="1" applyProtection="1">
      <alignment horizontal="right"/>
    </xf>
    <xf numFmtId="0" fontId="2" fillId="0" borderId="2" xfId="0" applyFont="1" applyFill="1" applyBorder="1" applyAlignment="1" applyProtection="1">
      <alignment horizontal="right" wrapText="1"/>
    </xf>
    <xf numFmtId="4" fontId="4" fillId="0" borderId="2" xfId="0" applyNumberFormat="1" applyFont="1" applyBorder="1" applyAlignment="1" applyProtection="1">
      <protection locked="0"/>
    </xf>
    <xf numFmtId="4" fontId="4" fillId="0" borderId="2" xfId="0" applyNumberFormat="1" applyFont="1" applyBorder="1" applyAlignment="1" applyProtection="1">
      <alignment wrapText="1"/>
      <protection locked="0"/>
    </xf>
    <xf numFmtId="4" fontId="4" fillId="0" borderId="2" xfId="0" applyNumberFormat="1" applyFont="1" applyBorder="1" applyAlignment="1" applyProtection="1"/>
    <xf numFmtId="4" fontId="8" fillId="0" borderId="2" xfId="0" applyNumberFormat="1" applyFont="1" applyBorder="1" applyAlignment="1" applyProtection="1">
      <alignment wrapText="1"/>
    </xf>
    <xf numFmtId="4" fontId="4" fillId="2" borderId="2" xfId="0" applyNumberFormat="1" applyFont="1" applyFill="1" applyBorder="1" applyAlignment="1"/>
    <xf numFmtId="4" fontId="4" fillId="0" borderId="2" xfId="0" applyNumberFormat="1" applyFont="1" applyBorder="1" applyAlignment="1" applyProtection="1">
      <alignment wrapText="1"/>
    </xf>
    <xf numFmtId="4" fontId="4" fillId="2" borderId="2" xfId="0" applyNumberFormat="1" applyFont="1" applyFill="1" applyBorder="1" applyAlignment="1" applyProtection="1"/>
    <xf numFmtId="4" fontId="8" fillId="2" borderId="2" xfId="0" applyNumberFormat="1" applyFont="1" applyFill="1" applyBorder="1" applyAlignment="1" applyProtection="1">
      <alignment wrapText="1"/>
    </xf>
    <xf numFmtId="4" fontId="4" fillId="0" borderId="2" xfId="0" applyNumberFormat="1" applyFont="1" applyFill="1" applyBorder="1" applyAlignment="1" applyProtection="1">
      <protection locked="0"/>
    </xf>
    <xf numFmtId="0" fontId="3" fillId="0" borderId="0" xfId="0" applyFont="1" applyFill="1" applyBorder="1" applyAlignment="1">
      <alignment horizontal="center"/>
    </xf>
    <xf numFmtId="0" fontId="3" fillId="0" borderId="0" xfId="0" applyFont="1" applyFill="1" applyBorder="1" applyAlignment="1">
      <alignment horizontal="right"/>
    </xf>
    <xf numFmtId="0" fontId="4" fillId="0" borderId="7" xfId="0" applyFont="1" applyBorder="1" applyAlignment="1"/>
    <xf numFmtId="0" fontId="3" fillId="0" borderId="2" xfId="0" applyFont="1" applyFill="1" applyBorder="1" applyAlignment="1">
      <alignment horizontal="right"/>
    </xf>
    <xf numFmtId="165" fontId="3" fillId="0" borderId="0" xfId="0" applyNumberFormat="1" applyFont="1" applyAlignment="1">
      <alignment horizontal="right" vertical="center"/>
    </xf>
    <xf numFmtId="165" fontId="3" fillId="0" borderId="0" xfId="0" applyNumberFormat="1" applyFont="1" applyAlignment="1">
      <alignment horizontal="center" vertical="center"/>
    </xf>
    <xf numFmtId="2" fontId="3" fillId="0" borderId="0" xfId="0" applyNumberFormat="1" applyFont="1" applyAlignment="1">
      <alignment horizontal="center"/>
    </xf>
    <xf numFmtId="2" fontId="4" fillId="0" borderId="0" xfId="0" applyNumberFormat="1" applyFont="1"/>
    <xf numFmtId="0" fontId="4" fillId="0" borderId="2" xfId="0" applyFont="1" applyBorder="1" applyAlignment="1">
      <alignment horizontal="center" vertical="center" wrapText="1"/>
    </xf>
    <xf numFmtId="0" fontId="4" fillId="0" borderId="2" xfId="0" applyFont="1" applyBorder="1" applyAlignment="1">
      <alignment horizontal="right" vertical="center" wrapText="1"/>
    </xf>
    <xf numFmtId="4" fontId="2" fillId="0" borderId="2" xfId="0" applyNumberFormat="1" applyFont="1" applyBorder="1" applyAlignment="1">
      <alignment horizontal="center" vertical="center" wrapText="1"/>
    </xf>
    <xf numFmtId="2" fontId="2" fillId="0" borderId="2" xfId="0" applyNumberFormat="1" applyFont="1" applyBorder="1" applyAlignment="1">
      <alignment horizontal="center" vertical="center" wrapText="1"/>
    </xf>
    <xf numFmtId="2" fontId="4" fillId="0" borderId="0" xfId="0" applyNumberFormat="1" applyFont="1" applyFill="1"/>
    <xf numFmtId="4" fontId="4" fillId="2" borderId="2" xfId="0" applyNumberFormat="1" applyFont="1" applyFill="1" applyBorder="1" applyProtection="1">
      <protection hidden="1"/>
    </xf>
    <xf numFmtId="4" fontId="8" fillId="0" borderId="2" xfId="0" applyNumberFormat="1" applyFont="1" applyFill="1" applyBorder="1" applyAlignment="1" applyProtection="1">
      <alignment horizontal="right"/>
      <protection hidden="1"/>
    </xf>
    <xf numFmtId="4" fontId="8" fillId="0" borderId="2" xfId="0" applyNumberFormat="1" applyFont="1" applyBorder="1" applyAlignment="1" applyProtection="1">
      <alignment horizontal="right" vertical="top"/>
      <protection hidden="1"/>
    </xf>
    <xf numFmtId="0" fontId="4" fillId="0" borderId="0" xfId="0" applyFont="1" applyFill="1" applyBorder="1" applyAlignment="1">
      <alignment horizontal="right" vertical="top"/>
    </xf>
    <xf numFmtId="4" fontId="2" fillId="0" borderId="0" xfId="0" applyNumberFormat="1" applyFont="1" applyFill="1" applyBorder="1" applyAlignment="1">
      <alignment vertical="top"/>
    </xf>
    <xf numFmtId="49" fontId="2" fillId="0" borderId="0" xfId="0" applyNumberFormat="1" applyFont="1" applyFill="1" applyBorder="1" applyAlignment="1">
      <alignment horizontal="left" vertical="top"/>
    </xf>
    <xf numFmtId="4" fontId="2" fillId="0" borderId="2" xfId="0" applyNumberFormat="1" applyFont="1" applyFill="1" applyBorder="1" applyProtection="1">
      <protection locked="0"/>
    </xf>
    <xf numFmtId="4" fontId="8" fillId="0" borderId="2" xfId="0" applyNumberFormat="1" applyFont="1" applyFill="1" applyBorder="1" applyAlignment="1" applyProtection="1">
      <alignment wrapText="1"/>
      <protection hidden="1"/>
    </xf>
    <xf numFmtId="0" fontId="22" fillId="0" borderId="0" xfId="0" applyFont="1" applyFill="1"/>
    <xf numFmtId="4" fontId="3" fillId="0" borderId="0" xfId="0" applyNumberFormat="1" applyFont="1" applyBorder="1" applyAlignment="1">
      <alignment horizontal="right"/>
    </xf>
    <xf numFmtId="0" fontId="3" fillId="0" borderId="0" xfId="0" applyFont="1" applyBorder="1" applyAlignment="1">
      <alignment horizontal="right"/>
    </xf>
    <xf numFmtId="169" fontId="3" fillId="0" borderId="2" xfId="0" applyNumberFormat="1" applyFont="1" applyBorder="1" applyAlignment="1">
      <alignment horizontal="center" vertical="center"/>
    </xf>
    <xf numFmtId="4" fontId="8" fillId="0" borderId="2" xfId="0" applyNumberFormat="1" applyFont="1" applyBorder="1" applyAlignment="1" applyProtection="1">
      <alignment horizontal="right" wrapText="1"/>
      <protection hidden="1"/>
    </xf>
    <xf numFmtId="4" fontId="8" fillId="0" borderId="2" xfId="0" applyNumberFormat="1" applyFont="1" applyBorder="1" applyAlignment="1" applyProtection="1">
      <alignment horizontal="right" wrapText="1"/>
    </xf>
    <xf numFmtId="4" fontId="4" fillId="0" borderId="2" xfId="0" applyNumberFormat="1" applyFont="1" applyBorder="1"/>
    <xf numFmtId="4" fontId="4" fillId="0" borderId="2" xfId="0" applyNumberFormat="1" applyFont="1" applyBorder="1" applyAlignment="1">
      <alignment wrapText="1"/>
    </xf>
    <xf numFmtId="4" fontId="8" fillId="2" borderId="2" xfId="0" applyNumberFormat="1" applyFont="1" applyFill="1" applyBorder="1" applyAlignment="1" applyProtection="1">
      <alignment horizontal="right" wrapText="1"/>
      <protection hidden="1"/>
    </xf>
    <xf numFmtId="4" fontId="4" fillId="0" borderId="0" xfId="0" applyNumberFormat="1" applyFont="1" applyAlignment="1">
      <alignment horizontal="right"/>
    </xf>
    <xf numFmtId="4" fontId="8" fillId="2" borderId="2" xfId="0" applyNumberFormat="1" applyFont="1" applyFill="1" applyBorder="1" applyAlignment="1" applyProtection="1">
      <alignment horizontal="right" wrapText="1"/>
    </xf>
    <xf numFmtId="49" fontId="3" fillId="0" borderId="2" xfId="0" applyNumberFormat="1" applyFont="1" applyBorder="1" applyAlignment="1" applyProtection="1">
      <alignment horizontal="left" vertical="top"/>
      <protection hidden="1"/>
    </xf>
    <xf numFmtId="0" fontId="13" fillId="0" borderId="2" xfId="0" applyFont="1" applyBorder="1" applyAlignment="1" applyProtection="1">
      <alignment vertical="top"/>
      <protection hidden="1"/>
    </xf>
    <xf numFmtId="0" fontId="2" fillId="0" borderId="2" xfId="0" applyFont="1" applyFill="1" applyBorder="1" applyAlignment="1" applyProtection="1">
      <alignment vertical="top"/>
      <protection hidden="1"/>
    </xf>
    <xf numFmtId="0" fontId="2" fillId="0" borderId="0" xfId="0" applyFont="1" applyFill="1" applyAlignment="1" applyProtection="1">
      <alignment vertical="top"/>
      <protection hidden="1"/>
    </xf>
    <xf numFmtId="0" fontId="2" fillId="0" borderId="0" xfId="0" applyFont="1" applyFill="1" applyAlignment="1" applyProtection="1">
      <alignment vertical="top"/>
    </xf>
    <xf numFmtId="0" fontId="23" fillId="0" borderId="0" xfId="0" applyFont="1" applyFill="1" applyAlignment="1">
      <alignment horizontal="center"/>
    </xf>
    <xf numFmtId="165" fontId="23" fillId="0" borderId="0" xfId="0" applyNumberFormat="1" applyFont="1" applyAlignment="1">
      <alignment horizontal="right" vertical="center"/>
    </xf>
    <xf numFmtId="0" fontId="23" fillId="0" borderId="0" xfId="0" applyFont="1" applyAlignment="1">
      <alignment horizontal="right"/>
    </xf>
    <xf numFmtId="4" fontId="4" fillId="0" borderId="2" xfId="0" applyNumberFormat="1" applyFont="1" applyFill="1" applyBorder="1" applyAlignment="1" applyProtection="1">
      <alignment wrapText="1"/>
      <protection locked="0"/>
    </xf>
    <xf numFmtId="0" fontId="14" fillId="0" borderId="0" xfId="0" applyFont="1" applyAlignment="1">
      <alignment horizontal="center"/>
    </xf>
    <xf numFmtId="0" fontId="15" fillId="0" borderId="0" xfId="0" applyNumberFormat="1" applyFont="1" applyFill="1" applyAlignment="1">
      <alignment horizontal="center"/>
    </xf>
    <xf numFmtId="0" fontId="23" fillId="0" borderId="0" xfId="0" applyFont="1" applyFill="1" applyAlignment="1">
      <alignment horizontal="right"/>
    </xf>
    <xf numFmtId="4" fontId="4" fillId="0" borderId="2" xfId="0" applyNumberFormat="1" applyFont="1" applyFill="1" applyBorder="1" applyAlignment="1" applyProtection="1">
      <alignment horizontal="center" vertical="center"/>
      <protection hidden="1"/>
    </xf>
    <xf numFmtId="4" fontId="4" fillId="0" borderId="2" xfId="0" applyNumberFormat="1" applyFont="1" applyFill="1" applyBorder="1" applyAlignment="1" applyProtection="1">
      <alignment horizontal="center" vertical="center" wrapText="1"/>
      <protection hidden="1"/>
    </xf>
    <xf numFmtId="4" fontId="4" fillId="0" borderId="2" xfId="0" applyNumberFormat="1" applyFont="1" applyFill="1" applyBorder="1" applyAlignment="1" applyProtection="1">
      <alignment horizontal="right" vertical="center" wrapText="1"/>
      <protection hidden="1"/>
    </xf>
    <xf numFmtId="4" fontId="4" fillId="0" borderId="2" xfId="0" applyNumberFormat="1" applyFont="1" applyFill="1" applyBorder="1" applyAlignment="1" applyProtection="1">
      <alignment horizontal="center"/>
      <protection hidden="1"/>
    </xf>
    <xf numFmtId="4" fontId="4" fillId="0" borderId="2" xfId="0" applyNumberFormat="1" applyFont="1" applyFill="1" applyBorder="1" applyAlignment="1" applyProtection="1">
      <alignment horizontal="center" wrapText="1"/>
      <protection hidden="1"/>
    </xf>
    <xf numFmtId="0" fontId="2" fillId="0" borderId="0" xfId="0" applyFont="1" applyFill="1" applyAlignment="1" applyProtection="1">
      <alignment horizontal="left"/>
    </xf>
    <xf numFmtId="0" fontId="2" fillId="0" borderId="0" xfId="0" applyFont="1" applyFill="1" applyAlignment="1">
      <alignment horizontal="left"/>
    </xf>
    <xf numFmtId="0" fontId="3" fillId="0" borderId="0" xfId="0" applyFont="1" applyAlignment="1">
      <alignment horizontal="left"/>
    </xf>
    <xf numFmtId="0" fontId="4" fillId="0" borderId="0" xfId="0" applyFont="1" applyAlignment="1">
      <alignment horizontal="left"/>
    </xf>
    <xf numFmtId="0" fontId="4" fillId="0" borderId="0" xfId="0" applyFont="1" applyFill="1" applyAlignment="1">
      <alignment horizontal="left"/>
    </xf>
    <xf numFmtId="0" fontId="0" fillId="0" borderId="0" xfId="0" applyAlignment="1">
      <alignment horizontal="left"/>
    </xf>
    <xf numFmtId="4" fontId="2" fillId="0" borderId="0" xfId="0" applyNumberFormat="1" applyFont="1" applyAlignment="1">
      <alignment horizontal="left"/>
    </xf>
    <xf numFmtId="0" fontId="2" fillId="0" borderId="0" xfId="0" applyFont="1" applyAlignment="1">
      <alignment horizontal="left"/>
    </xf>
    <xf numFmtId="0" fontId="3" fillId="0" borderId="0" xfId="0" applyFont="1" applyBorder="1" applyAlignment="1">
      <alignment horizontal="left"/>
    </xf>
    <xf numFmtId="0" fontId="11" fillId="0" borderId="0" xfId="0" applyFont="1" applyFill="1" applyAlignment="1">
      <alignment horizontal="center"/>
    </xf>
    <xf numFmtId="165" fontId="2" fillId="0" borderId="0" xfId="0" applyNumberFormat="1" applyFont="1" applyFill="1" applyAlignment="1">
      <alignment horizontal="center" vertical="center" wrapText="1"/>
    </xf>
    <xf numFmtId="0" fontId="2" fillId="0" borderId="2" xfId="0" applyFont="1" applyFill="1" applyBorder="1" applyAlignment="1">
      <alignment horizontal="center" vertical="center"/>
    </xf>
    <xf numFmtId="0" fontId="2" fillId="0" borderId="2" xfId="0" applyFont="1" applyFill="1" applyBorder="1" applyAlignment="1">
      <alignment horizontal="center" vertical="center" wrapText="1"/>
    </xf>
    <xf numFmtId="4" fontId="24" fillId="0" borderId="2" xfId="0" applyNumberFormat="1" applyFont="1" applyFill="1" applyBorder="1" applyAlignment="1" applyProtection="1">
      <alignment vertical="top"/>
      <protection hidden="1"/>
    </xf>
    <xf numFmtId="4" fontId="2" fillId="0" borderId="2" xfId="0" applyNumberFormat="1" applyFont="1" applyFill="1" applyBorder="1" applyAlignment="1" applyProtection="1">
      <alignment vertical="top"/>
      <protection locked="0"/>
    </xf>
    <xf numFmtId="4" fontId="2" fillId="2" borderId="2" xfId="0" applyNumberFormat="1" applyFont="1" applyFill="1" applyBorder="1" applyAlignment="1" applyProtection="1">
      <alignment horizontal="center" vertical="top"/>
      <protection hidden="1"/>
    </xf>
    <xf numFmtId="4" fontId="24" fillId="0" borderId="2" xfId="0" applyNumberFormat="1" applyFont="1" applyFill="1" applyBorder="1" applyAlignment="1" applyProtection="1">
      <alignment horizontal="right" vertical="top"/>
      <protection hidden="1"/>
    </xf>
    <xf numFmtId="4" fontId="2" fillId="2" borderId="2" xfId="0" applyNumberFormat="1" applyFont="1" applyFill="1" applyBorder="1" applyAlignment="1" applyProtection="1">
      <alignment vertical="top"/>
      <protection hidden="1"/>
    </xf>
    <xf numFmtId="4" fontId="4" fillId="4" borderId="2" xfId="0" applyNumberFormat="1" applyFont="1" applyFill="1" applyBorder="1" applyAlignment="1" applyProtection="1">
      <alignment vertical="top"/>
      <protection hidden="1"/>
    </xf>
    <xf numFmtId="4" fontId="8" fillId="4" borderId="2" xfId="0" applyNumberFormat="1" applyFont="1" applyFill="1" applyBorder="1" applyAlignment="1" applyProtection="1">
      <alignment vertical="top"/>
      <protection hidden="1"/>
    </xf>
    <xf numFmtId="0" fontId="4" fillId="0" borderId="5" xfId="0" applyFont="1" applyFill="1" applyBorder="1" applyAlignment="1">
      <alignment vertical="top"/>
    </xf>
    <xf numFmtId="0" fontId="4" fillId="0" borderId="2" xfId="0" applyFont="1" applyFill="1" applyBorder="1" applyAlignment="1">
      <alignment horizontal="center" vertical="center"/>
    </xf>
    <xf numFmtId="0" fontId="4" fillId="0" borderId="2" xfId="0" applyFont="1" applyFill="1" applyBorder="1" applyAlignment="1">
      <alignment horizontal="center" vertical="center" wrapText="1"/>
    </xf>
    <xf numFmtId="4" fontId="1" fillId="0" borderId="2" xfId="0" applyNumberFormat="1" applyFont="1" applyBorder="1" applyAlignment="1" applyProtection="1">
      <alignment horizontal="right"/>
      <protection locked="0"/>
    </xf>
    <xf numFmtId="4" fontId="24" fillId="2" borderId="2" xfId="0" applyNumberFormat="1" applyFont="1" applyFill="1" applyBorder="1" applyAlignment="1" applyProtection="1">
      <alignment horizontal="right" vertical="top"/>
      <protection hidden="1"/>
    </xf>
    <xf numFmtId="4" fontId="1" fillId="2" borderId="2" xfId="0" applyNumberFormat="1" applyFont="1" applyFill="1" applyBorder="1" applyAlignment="1" applyProtection="1">
      <alignment horizontal="right"/>
      <protection hidden="1"/>
    </xf>
    <xf numFmtId="4" fontId="4" fillId="0" borderId="2" xfId="0" applyNumberFormat="1" applyFont="1" applyBorder="1" applyProtection="1">
      <protection hidden="1"/>
    </xf>
    <xf numFmtId="0" fontId="4" fillId="0" borderId="2" xfId="0" applyFont="1" applyFill="1" applyBorder="1" applyAlignment="1" applyProtection="1">
      <alignment horizontal="right"/>
      <protection hidden="1"/>
    </xf>
    <xf numFmtId="0" fontId="4" fillId="0" borderId="2" xfId="0" quotePrefix="1" applyFont="1" applyBorder="1" applyAlignment="1" applyProtection="1">
      <alignment horizontal="left"/>
      <protection hidden="1"/>
    </xf>
    <xf numFmtId="0" fontId="4" fillId="0" borderId="2" xfId="0" applyFont="1" applyBorder="1" applyAlignment="1" applyProtection="1">
      <alignment horizontal="left" vertical="center"/>
      <protection hidden="1"/>
    </xf>
    <xf numFmtId="4" fontId="4" fillId="0" borderId="2" xfId="0" applyNumberFormat="1" applyFont="1" applyBorder="1" applyAlignment="1" applyProtection="1">
      <protection hidden="1"/>
    </xf>
    <xf numFmtId="4" fontId="4" fillId="0" borderId="2" xfId="0" applyNumberFormat="1" applyFont="1" applyBorder="1" applyAlignment="1" applyProtection="1">
      <alignment wrapText="1"/>
      <protection hidden="1"/>
    </xf>
    <xf numFmtId="0" fontId="4" fillId="0" borderId="2" xfId="0" quotePrefix="1" applyFont="1" applyBorder="1" applyAlignment="1" applyProtection="1">
      <alignment vertical="top"/>
      <protection hidden="1"/>
    </xf>
    <xf numFmtId="0" fontId="4" fillId="0" borderId="2" xfId="0" quotePrefix="1" applyFont="1" applyBorder="1" applyProtection="1">
      <protection hidden="1"/>
    </xf>
    <xf numFmtId="0" fontId="4" fillId="0" borderId="2" xfId="0" applyFont="1" applyBorder="1" applyAlignment="1" applyProtection="1">
      <alignment vertical="top" wrapText="1"/>
      <protection hidden="1"/>
    </xf>
    <xf numFmtId="0" fontId="4" fillId="0" borderId="2" xfId="0" applyFont="1" applyBorder="1" applyAlignment="1" applyProtection="1">
      <alignment wrapText="1"/>
      <protection hidden="1"/>
    </xf>
    <xf numFmtId="0" fontId="4" fillId="0" borderId="2" xfId="0" applyFont="1" applyBorder="1" applyProtection="1">
      <protection hidden="1"/>
    </xf>
    <xf numFmtId="0" fontId="4" fillId="0" borderId="0" xfId="0" quotePrefix="1" applyFont="1" applyBorder="1" applyAlignment="1" applyProtection="1">
      <alignment vertical="top"/>
      <protection hidden="1"/>
    </xf>
    <xf numFmtId="0" fontId="5" fillId="0" borderId="0" xfId="0" applyFont="1" applyAlignment="1">
      <alignment horizontal="left" wrapText="1"/>
    </xf>
    <xf numFmtId="0" fontId="3" fillId="0" borderId="0" xfId="0" applyFont="1" applyAlignment="1">
      <alignment horizontal="left" wrapText="1"/>
    </xf>
    <xf numFmtId="49" fontId="4" fillId="0" borderId="2" xfId="0" applyNumberFormat="1" applyFont="1" applyFill="1" applyBorder="1" applyAlignment="1" applyProtection="1">
      <alignment horizontal="center" vertical="top"/>
      <protection hidden="1"/>
    </xf>
    <xf numFmtId="0" fontId="23" fillId="0" borderId="0" xfId="0" applyFont="1" applyAlignment="1">
      <alignment horizontal="center"/>
    </xf>
    <xf numFmtId="49" fontId="4" fillId="0" borderId="2" xfId="0" quotePrefix="1" applyNumberFormat="1" applyFont="1" applyFill="1" applyBorder="1" applyAlignment="1" applyProtection="1">
      <alignment horizontal="center"/>
      <protection hidden="1"/>
    </xf>
    <xf numFmtId="49" fontId="4" fillId="0" borderId="2" xfId="0" quotePrefix="1" applyNumberFormat="1" applyFont="1" applyFill="1" applyBorder="1" applyAlignment="1" applyProtection="1">
      <alignment horizontal="center" vertical="top"/>
      <protection hidden="1"/>
    </xf>
    <xf numFmtId="0" fontId="26" fillId="3" borderId="0" xfId="0" applyFont="1" applyFill="1" applyProtection="1">
      <protection locked="0"/>
    </xf>
    <xf numFmtId="0" fontId="26" fillId="3" borderId="0" xfId="0" applyFont="1" applyFill="1"/>
    <xf numFmtId="1" fontId="26" fillId="3" borderId="0" xfId="0" applyNumberFormat="1" applyFont="1" applyFill="1"/>
    <xf numFmtId="4" fontId="8" fillId="5" borderId="2" xfId="0" applyNumberFormat="1" applyFont="1" applyFill="1" applyBorder="1" applyAlignment="1" applyProtection="1">
      <alignment vertical="top"/>
      <protection hidden="1"/>
    </xf>
    <xf numFmtId="4" fontId="2" fillId="0" borderId="2" xfId="0" applyNumberFormat="1" applyFont="1" applyFill="1" applyBorder="1" applyAlignment="1" applyProtection="1">
      <alignment vertical="top"/>
      <protection hidden="1"/>
    </xf>
    <xf numFmtId="4" fontId="8" fillId="5" borderId="2" xfId="0" applyNumberFormat="1" applyFont="1" applyFill="1" applyBorder="1" applyAlignment="1" applyProtection="1">
      <alignment vertical="top"/>
    </xf>
    <xf numFmtId="4" fontId="2" fillId="5" borderId="2" xfId="0" applyNumberFormat="1" applyFont="1" applyFill="1" applyBorder="1" applyAlignment="1" applyProtection="1">
      <alignment vertical="top"/>
    </xf>
    <xf numFmtId="165" fontId="2" fillId="0" borderId="2" xfId="0" applyNumberFormat="1" applyFont="1" applyBorder="1" applyAlignment="1">
      <alignment horizontal="center" vertical="top"/>
    </xf>
    <xf numFmtId="4" fontId="37" fillId="0" borderId="2" xfId="0" applyNumberFormat="1" applyFont="1" applyFill="1" applyBorder="1" applyAlignment="1" applyProtection="1">
      <alignment vertical="top"/>
      <protection hidden="1"/>
    </xf>
    <xf numFmtId="4" fontId="2" fillId="0" borderId="2" xfId="0" applyNumberFormat="1" applyFont="1" applyBorder="1" applyProtection="1">
      <protection locked="0"/>
    </xf>
    <xf numFmtId="0" fontId="3" fillId="0" borderId="2" xfId="0" applyFont="1" applyFill="1" applyBorder="1" applyAlignment="1" applyProtection="1">
      <alignment horizontal="center" vertical="center"/>
      <protection hidden="1"/>
    </xf>
    <xf numFmtId="165" fontId="3" fillId="0" borderId="2" xfId="0" applyNumberFormat="1" applyFont="1" applyFill="1" applyBorder="1" applyAlignment="1" applyProtection="1">
      <alignment horizontal="center" vertical="center"/>
      <protection hidden="1"/>
    </xf>
    <xf numFmtId="0" fontId="3" fillId="0" borderId="2" xfId="0" applyFont="1" applyFill="1" applyBorder="1" applyProtection="1">
      <protection hidden="1"/>
    </xf>
    <xf numFmtId="0" fontId="2" fillId="0" borderId="2" xfId="0" applyFont="1" applyFill="1" applyBorder="1" applyAlignment="1" applyProtection="1">
      <alignment horizontal="left"/>
      <protection hidden="1"/>
    </xf>
    <xf numFmtId="0" fontId="4" fillId="0" borderId="2" xfId="0" applyFont="1" applyFill="1" applyBorder="1" applyProtection="1">
      <protection hidden="1"/>
    </xf>
    <xf numFmtId="0" fontId="2" fillId="0" borderId="2" xfId="0" applyFont="1" applyFill="1" applyBorder="1" applyProtection="1">
      <protection hidden="1"/>
    </xf>
    <xf numFmtId="0" fontId="4" fillId="0" borderId="2" xfId="0" applyFont="1" applyFill="1" applyBorder="1" applyAlignment="1" applyProtection="1">
      <alignment horizontal="center"/>
      <protection hidden="1"/>
    </xf>
    <xf numFmtId="0" fontId="3" fillId="0" borderId="2" xfId="0" applyFont="1" applyFill="1" applyBorder="1" applyAlignment="1" applyProtection="1">
      <alignment vertical="center"/>
      <protection hidden="1"/>
    </xf>
    <xf numFmtId="0" fontId="2" fillId="0" borderId="2" xfId="0" applyFont="1" applyFill="1" applyBorder="1" applyAlignment="1" applyProtection="1">
      <alignment horizontal="left" vertical="top"/>
      <protection hidden="1"/>
    </xf>
    <xf numFmtId="0" fontId="4" fillId="0" borderId="2" xfId="0" applyFont="1" applyFill="1" applyBorder="1" applyAlignment="1" applyProtection="1">
      <alignment vertical="top"/>
      <protection hidden="1"/>
    </xf>
    <xf numFmtId="0" fontId="4" fillId="0" borderId="2" xfId="0" quotePrefix="1" applyFont="1" applyFill="1" applyBorder="1" applyAlignment="1" applyProtection="1">
      <alignment horizontal="left" vertical="top"/>
      <protection hidden="1"/>
    </xf>
    <xf numFmtId="0" fontId="4" fillId="0" borderId="2" xfId="0" applyFont="1" applyFill="1" applyBorder="1" applyAlignment="1" applyProtection="1">
      <alignment horizontal="left" vertical="top"/>
      <protection hidden="1"/>
    </xf>
    <xf numFmtId="0" fontId="4" fillId="0" borderId="2" xfId="0" applyFont="1" applyFill="1" applyBorder="1" applyAlignment="1" applyProtection="1">
      <alignment horizontal="left" vertical="top" wrapText="1"/>
      <protection hidden="1"/>
    </xf>
    <xf numFmtId="0" fontId="3" fillId="0" borderId="2" xfId="0" applyFont="1" applyFill="1" applyBorder="1" applyAlignment="1" applyProtection="1">
      <alignment vertical="top"/>
      <protection hidden="1"/>
    </xf>
    <xf numFmtId="164" fontId="4" fillId="0" borderId="2" xfId="0" applyNumberFormat="1" applyFont="1" applyFill="1" applyBorder="1" applyAlignment="1" applyProtection="1">
      <alignment vertical="top"/>
      <protection hidden="1"/>
    </xf>
    <xf numFmtId="0" fontId="4" fillId="0" borderId="2" xfId="0" quotePrefix="1" applyFont="1" applyFill="1" applyBorder="1" applyAlignment="1" applyProtection="1">
      <alignment vertical="top"/>
      <protection hidden="1"/>
    </xf>
    <xf numFmtId="0" fontId="2" fillId="0" borderId="2" xfId="0" quotePrefix="1" applyFont="1" applyFill="1" applyBorder="1" applyAlignment="1" applyProtection="1">
      <alignment vertical="top"/>
      <protection hidden="1"/>
    </xf>
    <xf numFmtId="0" fontId="2" fillId="0" borderId="2" xfId="0" quotePrefix="1" applyFont="1" applyBorder="1" applyAlignment="1" applyProtection="1">
      <alignment vertical="top"/>
      <protection hidden="1"/>
    </xf>
    <xf numFmtId="0" fontId="2" fillId="0" borderId="2" xfId="0" applyFont="1" applyBorder="1" applyAlignment="1" applyProtection="1">
      <alignment vertical="top"/>
      <protection hidden="1"/>
    </xf>
    <xf numFmtId="49" fontId="4" fillId="0" borderId="2" xfId="0" quotePrefix="1" applyNumberFormat="1" applyFont="1" applyBorder="1" applyAlignment="1" applyProtection="1">
      <alignment horizontal="center" vertical="top"/>
      <protection hidden="1"/>
    </xf>
    <xf numFmtId="164" fontId="2" fillId="0" borderId="2" xfId="0" applyNumberFormat="1" applyFont="1" applyBorder="1" applyAlignment="1" applyProtection="1">
      <alignment vertical="top"/>
      <protection hidden="1"/>
    </xf>
    <xf numFmtId="0" fontId="2" fillId="0" borderId="8" xfId="0" applyFont="1" applyFill="1" applyBorder="1" applyAlignment="1" applyProtection="1">
      <alignment vertical="top"/>
      <protection hidden="1"/>
    </xf>
    <xf numFmtId="0" fontId="2" fillId="0" borderId="9" xfId="0" applyFont="1" applyFill="1" applyBorder="1" applyAlignment="1" applyProtection="1">
      <alignment vertical="top"/>
      <protection hidden="1"/>
    </xf>
    <xf numFmtId="49" fontId="2" fillId="0" borderId="2" xfId="0" quotePrefix="1" applyNumberFormat="1" applyFont="1" applyFill="1" applyBorder="1" applyAlignment="1" applyProtection="1">
      <alignment horizontal="center" vertical="top"/>
      <protection hidden="1"/>
    </xf>
    <xf numFmtId="0" fontId="3" fillId="0" borderId="2" xfId="0" applyFont="1" applyFill="1" applyBorder="1" applyAlignment="1" applyProtection="1">
      <alignment horizontal="left" vertical="top"/>
      <protection hidden="1"/>
    </xf>
    <xf numFmtId="0" fontId="3" fillId="0" borderId="8" xfId="0" applyFont="1" applyFill="1" applyBorder="1" applyAlignment="1" applyProtection="1">
      <alignment horizontal="left" vertical="top"/>
      <protection hidden="1"/>
    </xf>
    <xf numFmtId="0" fontId="3" fillId="0" borderId="9" xfId="0" applyFont="1" applyFill="1" applyBorder="1" applyAlignment="1" applyProtection="1">
      <alignment horizontal="left" vertical="top"/>
      <protection hidden="1"/>
    </xf>
    <xf numFmtId="49" fontId="2" fillId="0" borderId="2" xfId="0" applyNumberFormat="1" applyFont="1" applyFill="1" applyBorder="1" applyProtection="1">
      <protection hidden="1"/>
    </xf>
    <xf numFmtId="0" fontId="3" fillId="0" borderId="9" xfId="0" applyFont="1" applyFill="1" applyBorder="1" applyAlignment="1" applyProtection="1">
      <alignment vertical="top"/>
      <protection hidden="1"/>
    </xf>
    <xf numFmtId="0" fontId="2" fillId="0" borderId="0" xfId="0" quotePrefix="1" applyFont="1" applyFill="1" applyProtection="1">
      <protection hidden="1"/>
    </xf>
    <xf numFmtId="49" fontId="3" fillId="0" borderId="2" xfId="0" applyNumberFormat="1" applyFont="1" applyFill="1" applyBorder="1" applyAlignment="1" applyProtection="1">
      <alignment horizontal="left" vertical="top"/>
      <protection hidden="1"/>
    </xf>
    <xf numFmtId="49" fontId="2" fillId="0" borderId="2" xfId="0" quotePrefix="1" applyNumberFormat="1" applyFont="1" applyFill="1" applyBorder="1" applyAlignment="1" applyProtection="1">
      <alignment horizontal="right" vertical="top"/>
      <protection hidden="1"/>
    </xf>
    <xf numFmtId="49" fontId="2" fillId="0" borderId="2" xfId="0" applyNumberFormat="1" applyFont="1" applyFill="1" applyBorder="1" applyAlignment="1" applyProtection="1">
      <alignment horizontal="right" vertical="top"/>
      <protection hidden="1"/>
    </xf>
    <xf numFmtId="0" fontId="2" fillId="0" borderId="2" xfId="0" applyFont="1" applyFill="1" applyBorder="1" applyAlignment="1" applyProtection="1">
      <alignment horizontal="left" vertical="top" wrapText="1"/>
      <protection hidden="1"/>
    </xf>
    <xf numFmtId="0" fontId="17" fillId="0" borderId="10" xfId="0" applyFont="1" applyFill="1" applyBorder="1" applyAlignment="1" applyProtection="1">
      <alignment vertical="top"/>
      <protection hidden="1"/>
    </xf>
    <xf numFmtId="0" fontId="4" fillId="0" borderId="8" xfId="0" applyFont="1" applyFill="1" applyBorder="1" applyAlignment="1" applyProtection="1">
      <alignment vertical="top"/>
      <protection hidden="1"/>
    </xf>
    <xf numFmtId="0" fontId="3" fillId="0" borderId="8" xfId="0" applyFont="1" applyFill="1" applyBorder="1" applyAlignment="1" applyProtection="1">
      <alignment vertical="top"/>
      <protection hidden="1"/>
    </xf>
    <xf numFmtId="0" fontId="4" fillId="0" borderId="9" xfId="0" applyFont="1" applyFill="1" applyBorder="1" applyAlignment="1" applyProtection="1">
      <alignment vertical="top"/>
      <protection hidden="1"/>
    </xf>
    <xf numFmtId="49" fontId="4" fillId="0" borderId="9" xfId="0" applyNumberFormat="1" applyFont="1" applyFill="1" applyBorder="1" applyAlignment="1" applyProtection="1">
      <alignment horizontal="right" vertical="top"/>
      <protection hidden="1"/>
    </xf>
    <xf numFmtId="0" fontId="4" fillId="0" borderId="11" xfId="0" quotePrefix="1" applyFont="1" applyFill="1" applyBorder="1" applyAlignment="1" applyProtection="1">
      <alignment vertical="top"/>
      <protection hidden="1"/>
    </xf>
    <xf numFmtId="0" fontId="4" fillId="0" borderId="12" xfId="0" applyFont="1" applyFill="1" applyBorder="1" applyAlignment="1" applyProtection="1">
      <alignment vertical="top"/>
      <protection hidden="1"/>
    </xf>
    <xf numFmtId="49" fontId="4" fillId="0" borderId="12" xfId="0" quotePrefix="1" applyNumberFormat="1" applyFont="1" applyFill="1" applyBorder="1" applyAlignment="1" applyProtection="1">
      <alignment horizontal="right" vertical="top"/>
      <protection hidden="1"/>
    </xf>
    <xf numFmtId="49" fontId="3" fillId="0" borderId="2" xfId="0" applyNumberFormat="1" applyFont="1" applyFill="1" applyBorder="1" applyAlignment="1" applyProtection="1">
      <alignment vertical="top"/>
      <protection hidden="1"/>
    </xf>
    <xf numFmtId="49" fontId="2" fillId="0" borderId="2" xfId="0" quotePrefix="1" applyNumberFormat="1" applyFont="1" applyFill="1" applyBorder="1" applyAlignment="1" applyProtection="1">
      <alignment vertical="top"/>
      <protection hidden="1"/>
    </xf>
    <xf numFmtId="49" fontId="4" fillId="0" borderId="2" xfId="0" quotePrefix="1" applyNumberFormat="1" applyFont="1" applyBorder="1" applyAlignment="1" applyProtection="1">
      <alignment horizontal="right" vertical="top"/>
      <protection hidden="1"/>
    </xf>
    <xf numFmtId="49" fontId="2" fillId="0" borderId="2" xfId="0" applyNumberFormat="1" applyFont="1" applyFill="1" applyBorder="1" applyAlignment="1" applyProtection="1">
      <alignment vertical="top"/>
      <protection hidden="1"/>
    </xf>
    <xf numFmtId="49" fontId="4" fillId="0" borderId="2" xfId="0" applyNumberFormat="1" applyFont="1" applyBorder="1" applyAlignment="1" applyProtection="1">
      <alignment horizontal="right" vertical="top"/>
      <protection hidden="1"/>
    </xf>
    <xf numFmtId="164" fontId="2" fillId="0" borderId="2" xfId="0" applyNumberFormat="1" applyFont="1" applyFill="1" applyBorder="1" applyAlignment="1" applyProtection="1">
      <alignment vertical="top"/>
      <protection hidden="1"/>
    </xf>
    <xf numFmtId="49" fontId="4" fillId="0" borderId="2" xfId="0" quotePrefix="1" applyNumberFormat="1" applyFont="1" applyFill="1" applyBorder="1" applyAlignment="1" applyProtection="1">
      <alignment horizontal="right" vertical="top"/>
      <protection hidden="1"/>
    </xf>
    <xf numFmtId="49" fontId="2" fillId="0" borderId="0" xfId="0" applyNumberFormat="1" applyFont="1" applyFill="1" applyProtection="1">
      <protection hidden="1"/>
    </xf>
    <xf numFmtId="0" fontId="2" fillId="0" borderId="0" xfId="0" applyFont="1" applyFill="1" applyProtection="1">
      <protection hidden="1"/>
    </xf>
    <xf numFmtId="0" fontId="23" fillId="0" borderId="0" xfId="0" applyFont="1" applyFill="1" applyAlignment="1" applyProtection="1">
      <alignment horizontal="center"/>
      <protection hidden="1"/>
    </xf>
    <xf numFmtId="49" fontId="2" fillId="0" borderId="2" xfId="0" applyNumberFormat="1" applyFont="1" applyBorder="1" applyAlignment="1" applyProtection="1">
      <alignment horizontal="right" vertical="top"/>
      <protection hidden="1"/>
    </xf>
    <xf numFmtId="0" fontId="4" fillId="0" borderId="2" xfId="0" applyFont="1" applyBorder="1" applyAlignment="1" applyProtection="1">
      <alignment vertical="top"/>
      <protection hidden="1"/>
    </xf>
    <xf numFmtId="49" fontId="2" fillId="0" borderId="2" xfId="0" quotePrefix="1" applyNumberFormat="1" applyFont="1" applyBorder="1" applyAlignment="1" applyProtection="1">
      <alignment horizontal="right" vertical="top"/>
      <protection hidden="1"/>
    </xf>
    <xf numFmtId="0" fontId="3" fillId="0" borderId="2" xfId="0" applyFont="1" applyBorder="1" applyAlignment="1" applyProtection="1">
      <alignment vertical="top"/>
      <protection hidden="1"/>
    </xf>
    <xf numFmtId="49" fontId="4" fillId="0" borderId="9" xfId="0" applyNumberFormat="1" applyFont="1" applyFill="1" applyBorder="1" applyAlignment="1" applyProtection="1">
      <alignment horizontal="center" vertical="top"/>
      <protection hidden="1"/>
    </xf>
    <xf numFmtId="49" fontId="4" fillId="0" borderId="12" xfId="0" quotePrefix="1" applyNumberFormat="1" applyFont="1" applyFill="1" applyBorder="1" applyAlignment="1" applyProtection="1">
      <alignment horizontal="center" vertical="top"/>
      <protection hidden="1"/>
    </xf>
    <xf numFmtId="49" fontId="4" fillId="0" borderId="2" xfId="0" applyNumberFormat="1" applyFont="1" applyBorder="1" applyAlignment="1" applyProtection="1">
      <alignment horizontal="center" vertical="top"/>
      <protection hidden="1"/>
    </xf>
    <xf numFmtId="49" fontId="4" fillId="0" borderId="2" xfId="0" applyNumberFormat="1" applyFont="1" applyBorder="1" applyAlignment="1" applyProtection="1">
      <alignment horizontal="left" vertical="top"/>
      <protection hidden="1"/>
    </xf>
    <xf numFmtId="0" fontId="4" fillId="0" borderId="8" xfId="0" applyFont="1" applyBorder="1" applyAlignment="1" applyProtection="1">
      <alignment vertical="top"/>
      <protection hidden="1"/>
    </xf>
    <xf numFmtId="0" fontId="4" fillId="0" borderId="9" xfId="0" applyFont="1" applyBorder="1" applyAlignment="1" applyProtection="1">
      <alignment vertical="top"/>
      <protection hidden="1"/>
    </xf>
    <xf numFmtId="0" fontId="4" fillId="0" borderId="5" xfId="0" applyFont="1" applyBorder="1" applyAlignment="1" applyProtection="1">
      <alignment vertical="top"/>
      <protection hidden="1"/>
    </xf>
    <xf numFmtId="0" fontId="4" fillId="0" borderId="0" xfId="0" applyFont="1" applyBorder="1" applyAlignment="1" applyProtection="1">
      <alignment vertical="top"/>
      <protection hidden="1"/>
    </xf>
    <xf numFmtId="0" fontId="4" fillId="0" borderId="0" xfId="0" applyFont="1" applyAlignment="1" applyProtection="1">
      <alignment vertical="top"/>
      <protection hidden="1"/>
    </xf>
    <xf numFmtId="0" fontId="4" fillId="0" borderId="0" xfId="0" applyFont="1" applyFill="1" applyBorder="1" applyAlignment="1" applyProtection="1">
      <alignment vertical="top"/>
      <protection hidden="1"/>
    </xf>
    <xf numFmtId="0" fontId="4" fillId="0" borderId="10" xfId="0" applyFont="1" applyFill="1" applyBorder="1" applyAlignment="1" applyProtection="1">
      <alignment vertical="top"/>
      <protection hidden="1"/>
    </xf>
    <xf numFmtId="0" fontId="2" fillId="0" borderId="2" xfId="0" quotePrefix="1" applyFont="1" applyBorder="1" applyAlignment="1" applyProtection="1">
      <alignment horizontal="right" vertical="top"/>
      <protection hidden="1"/>
    </xf>
    <xf numFmtId="0" fontId="2" fillId="0" borderId="2" xfId="0" quotePrefix="1" applyFont="1" applyFill="1" applyBorder="1" applyAlignment="1" applyProtection="1">
      <alignment horizontal="right" vertical="top"/>
      <protection hidden="1"/>
    </xf>
    <xf numFmtId="49" fontId="4" fillId="0" borderId="2" xfId="0" applyNumberFormat="1" applyFont="1" applyFill="1" applyBorder="1" applyAlignment="1" applyProtection="1">
      <alignment horizontal="right" vertical="top"/>
      <protection hidden="1"/>
    </xf>
    <xf numFmtId="49" fontId="4" fillId="0" borderId="2" xfId="0" applyNumberFormat="1" applyFont="1" applyFill="1" applyBorder="1" applyAlignment="1" applyProtection="1">
      <alignment horizontal="left" vertical="top"/>
      <protection hidden="1"/>
    </xf>
    <xf numFmtId="0" fontId="3" fillId="0" borderId="2" xfId="0" applyFont="1" applyBorder="1" applyAlignment="1" applyProtection="1">
      <alignment vertical="center"/>
      <protection hidden="1"/>
    </xf>
    <xf numFmtId="0" fontId="4" fillId="0" borderId="10" xfId="0" quotePrefix="1" applyFont="1" applyFill="1" applyBorder="1" applyAlignment="1" applyProtection="1">
      <alignment vertical="top"/>
      <protection hidden="1"/>
    </xf>
    <xf numFmtId="0" fontId="3" fillId="0" borderId="2" xfId="0" applyFont="1" applyFill="1" applyBorder="1" applyAlignment="1" applyProtection="1">
      <alignment horizontal="center" vertical="top"/>
      <protection hidden="1"/>
    </xf>
    <xf numFmtId="0" fontId="4" fillId="0" borderId="10" xfId="0" applyFont="1" applyFill="1" applyBorder="1" applyAlignment="1" applyProtection="1">
      <alignment horizontal="left" vertical="top"/>
      <protection hidden="1"/>
    </xf>
    <xf numFmtId="0" fontId="4" fillId="0" borderId="8" xfId="0" applyFont="1" applyFill="1" applyBorder="1" applyAlignment="1" applyProtection="1">
      <alignment horizontal="left" vertical="top"/>
      <protection hidden="1"/>
    </xf>
    <xf numFmtId="0" fontId="4" fillId="0" borderId="9" xfId="0" applyFont="1" applyFill="1" applyBorder="1" applyAlignment="1" applyProtection="1">
      <alignment horizontal="left" vertical="top"/>
      <protection hidden="1"/>
    </xf>
    <xf numFmtId="0" fontId="3" fillId="0" borderId="10" xfId="0" applyFont="1" applyFill="1" applyBorder="1" applyAlignment="1" applyProtection="1">
      <alignment vertical="top"/>
      <protection hidden="1"/>
    </xf>
    <xf numFmtId="0" fontId="0" fillId="0" borderId="2" xfId="0" applyBorder="1" applyAlignment="1" applyProtection="1">
      <alignment wrapText="1"/>
      <protection hidden="1"/>
    </xf>
    <xf numFmtId="49" fontId="2" fillId="0" borderId="2" xfId="0" quotePrefix="1" applyNumberFormat="1" applyFont="1" applyFill="1" applyBorder="1" applyAlignment="1" applyProtection="1">
      <alignment horizontal="center" vertical="top" wrapText="1"/>
      <protection hidden="1"/>
    </xf>
    <xf numFmtId="49" fontId="3" fillId="0" borderId="2" xfId="0" applyNumberFormat="1" applyFont="1" applyFill="1" applyBorder="1" applyAlignment="1" applyProtection="1">
      <alignment horizontal="left" vertical="center"/>
      <protection hidden="1"/>
    </xf>
    <xf numFmtId="49" fontId="3" fillId="0" borderId="2" xfId="0" applyNumberFormat="1" applyFont="1" applyFill="1" applyBorder="1" applyAlignment="1" applyProtection="1">
      <alignment horizontal="left"/>
      <protection hidden="1"/>
    </xf>
    <xf numFmtId="49" fontId="4" fillId="0" borderId="2" xfId="0" quotePrefix="1" applyNumberFormat="1" applyFont="1" applyBorder="1" applyAlignment="1" applyProtection="1">
      <alignment horizontal="center"/>
      <protection hidden="1"/>
    </xf>
    <xf numFmtId="49" fontId="2" fillId="0" borderId="2" xfId="0" applyNumberFormat="1" applyFont="1" applyFill="1" applyBorder="1" applyAlignment="1" applyProtection="1">
      <alignment horizontal="right"/>
      <protection hidden="1"/>
    </xf>
    <xf numFmtId="0" fontId="2" fillId="0" borderId="2" xfId="0" quotePrefix="1" applyFont="1" applyFill="1" applyBorder="1" applyProtection="1">
      <protection hidden="1"/>
    </xf>
    <xf numFmtId="49" fontId="2" fillId="0" borderId="2" xfId="0" quotePrefix="1" applyNumberFormat="1" applyFont="1" applyFill="1" applyBorder="1" applyAlignment="1" applyProtection="1">
      <alignment horizontal="right"/>
      <protection hidden="1"/>
    </xf>
    <xf numFmtId="49" fontId="2" fillId="0" borderId="2" xfId="0" quotePrefix="1" applyNumberFormat="1" applyFont="1" applyFill="1" applyBorder="1" applyAlignment="1" applyProtection="1">
      <alignment horizontal="center"/>
      <protection hidden="1"/>
    </xf>
    <xf numFmtId="0" fontId="0" fillId="0" borderId="2" xfId="0" applyFill="1" applyBorder="1" applyProtection="1">
      <protection hidden="1"/>
    </xf>
    <xf numFmtId="49" fontId="3" fillId="0" borderId="2" xfId="0" applyNumberFormat="1" applyFont="1" applyFill="1" applyBorder="1" applyProtection="1">
      <protection hidden="1"/>
    </xf>
    <xf numFmtId="49" fontId="4" fillId="0" borderId="2" xfId="0" applyNumberFormat="1" applyFont="1" applyBorder="1" applyAlignment="1" applyProtection="1">
      <alignment horizontal="center"/>
      <protection hidden="1"/>
    </xf>
    <xf numFmtId="49" fontId="4" fillId="0" borderId="2" xfId="0" quotePrefix="1" applyNumberFormat="1" applyFont="1" applyBorder="1" applyAlignment="1" applyProtection="1">
      <alignment horizontal="center" vertical="top" wrapText="1"/>
      <protection hidden="1"/>
    </xf>
    <xf numFmtId="164" fontId="2" fillId="0" borderId="2" xfId="0" applyNumberFormat="1" applyFont="1" applyFill="1" applyBorder="1" applyProtection="1">
      <protection hidden="1"/>
    </xf>
    <xf numFmtId="0" fontId="0" fillId="0" borderId="2" xfId="0" applyBorder="1" applyProtection="1">
      <protection hidden="1"/>
    </xf>
    <xf numFmtId="0" fontId="2" fillId="0" borderId="2" xfId="0" applyFont="1" applyBorder="1" applyProtection="1">
      <protection hidden="1"/>
    </xf>
    <xf numFmtId="0" fontId="2" fillId="0" borderId="2" xfId="0" quotePrefix="1" applyFont="1" applyBorder="1" applyProtection="1">
      <protection hidden="1"/>
    </xf>
    <xf numFmtId="169" fontId="3" fillId="0" borderId="2" xfId="0" applyNumberFormat="1" applyFont="1" applyFill="1" applyBorder="1" applyAlignment="1" applyProtection="1">
      <alignment horizontal="center" vertical="center"/>
      <protection hidden="1"/>
    </xf>
    <xf numFmtId="49" fontId="11" fillId="0" borderId="2" xfId="0" applyNumberFormat="1" applyFont="1" applyBorder="1" applyAlignment="1" applyProtection="1">
      <alignment horizontal="left"/>
      <protection hidden="1"/>
    </xf>
    <xf numFmtId="49" fontId="2" fillId="0" borderId="2" xfId="0" applyNumberFormat="1" applyFont="1" applyBorder="1" applyAlignment="1" applyProtection="1">
      <alignment horizontal="right"/>
      <protection hidden="1"/>
    </xf>
    <xf numFmtId="49" fontId="2" fillId="0" borderId="2" xfId="0" applyNumberFormat="1" applyFont="1" applyFill="1" applyBorder="1" applyAlignment="1" applyProtection="1">
      <alignment horizontal="center"/>
      <protection hidden="1"/>
    </xf>
    <xf numFmtId="49" fontId="11" fillId="0" borderId="2" xfId="0" applyNumberFormat="1" applyFont="1" applyFill="1" applyBorder="1" applyAlignment="1" applyProtection="1">
      <alignment horizontal="left"/>
      <protection hidden="1"/>
    </xf>
    <xf numFmtId="0" fontId="11" fillId="0" borderId="2" xfId="0" applyFont="1" applyFill="1" applyBorder="1" applyAlignment="1" applyProtection="1">
      <alignment vertical="center"/>
      <protection hidden="1"/>
    </xf>
    <xf numFmtId="0" fontId="11" fillId="0" borderId="2" xfId="0" applyFont="1" applyFill="1" applyBorder="1" applyProtection="1">
      <protection hidden="1"/>
    </xf>
    <xf numFmtId="169" fontId="3" fillId="0" borderId="2" xfId="0" applyNumberFormat="1" applyFont="1" applyBorder="1" applyAlignment="1" applyProtection="1">
      <alignment horizontal="center" vertical="center"/>
      <protection hidden="1"/>
    </xf>
    <xf numFmtId="0" fontId="3" fillId="0" borderId="2" xfId="0" applyFont="1" applyBorder="1" applyAlignment="1" applyProtection="1">
      <alignment horizontal="left" vertical="center"/>
      <protection hidden="1"/>
    </xf>
    <xf numFmtId="0" fontId="4" fillId="0" borderId="2" xfId="0" applyFont="1" applyBorder="1" applyAlignment="1" applyProtection="1">
      <alignment horizontal="center" vertical="center"/>
      <protection hidden="1"/>
    </xf>
    <xf numFmtId="0" fontId="4" fillId="0" borderId="2" xfId="0" applyFont="1" applyBorder="1" applyAlignment="1" applyProtection="1">
      <alignment horizontal="left"/>
      <protection hidden="1"/>
    </xf>
    <xf numFmtId="0" fontId="2" fillId="0" borderId="2" xfId="0" applyFont="1" applyBorder="1" applyAlignment="1" applyProtection="1">
      <alignment vertical="top" wrapText="1"/>
      <protection hidden="1"/>
    </xf>
    <xf numFmtId="0" fontId="2" fillId="0" borderId="2" xfId="0" applyFont="1" applyBorder="1" applyAlignment="1" applyProtection="1">
      <alignment wrapText="1"/>
      <protection hidden="1"/>
    </xf>
    <xf numFmtId="49" fontId="2" fillId="0" borderId="2" xfId="0" applyNumberFormat="1" applyFont="1" applyFill="1" applyBorder="1" applyAlignment="1" applyProtection="1">
      <alignment horizontal="center" wrapText="1"/>
      <protection hidden="1"/>
    </xf>
    <xf numFmtId="0" fontId="3" fillId="0" borderId="2" xfId="0" applyFont="1" applyBorder="1" applyProtection="1">
      <protection hidden="1"/>
    </xf>
    <xf numFmtId="49" fontId="4" fillId="0" borderId="2" xfId="0" applyNumberFormat="1" applyFont="1" applyFill="1" applyBorder="1" applyAlignment="1" applyProtection="1">
      <alignment horizontal="center"/>
      <protection hidden="1"/>
    </xf>
    <xf numFmtId="0" fontId="2" fillId="0" borderId="2" xfId="0" applyFont="1" applyBorder="1" applyAlignment="1" applyProtection="1">
      <alignment horizontal="right"/>
      <protection hidden="1"/>
    </xf>
    <xf numFmtId="0" fontId="3" fillId="0" borderId="2" xfId="0" applyFont="1" applyBorder="1" applyAlignment="1" applyProtection="1">
      <alignment horizontal="left"/>
      <protection hidden="1"/>
    </xf>
    <xf numFmtId="0" fontId="4" fillId="0" borderId="2" xfId="0" applyFont="1" applyBorder="1" applyAlignment="1" applyProtection="1">
      <alignment horizontal="center"/>
      <protection hidden="1"/>
    </xf>
    <xf numFmtId="0" fontId="4" fillId="0" borderId="10" xfId="0" applyFont="1" applyFill="1" applyBorder="1" applyProtection="1">
      <protection hidden="1"/>
    </xf>
    <xf numFmtId="0" fontId="3" fillId="0" borderId="2" xfId="0" applyFont="1" applyBorder="1" applyAlignment="1" applyProtection="1">
      <alignment horizontal="right"/>
      <protection hidden="1"/>
    </xf>
    <xf numFmtId="4" fontId="8" fillId="6" borderId="2" xfId="0" applyNumberFormat="1" applyFont="1" applyFill="1" applyBorder="1" applyAlignment="1" applyProtection="1">
      <alignment vertical="top"/>
      <protection hidden="1"/>
    </xf>
    <xf numFmtId="4" fontId="8" fillId="0" borderId="2" xfId="0" applyNumberFormat="1" applyFont="1" applyFill="1" applyBorder="1" applyAlignment="1" applyProtection="1">
      <alignment vertical="top" wrapText="1"/>
      <protection hidden="1"/>
    </xf>
    <xf numFmtId="0" fontId="2" fillId="0" borderId="10" xfId="0" quotePrefix="1" applyFont="1" applyFill="1" applyBorder="1" applyAlignment="1">
      <alignment horizontal="right" vertical="top"/>
    </xf>
    <xf numFmtId="49" fontId="2" fillId="0" borderId="2" xfId="0" applyNumberFormat="1" applyFont="1" applyFill="1" applyBorder="1" applyAlignment="1">
      <alignment horizontal="center" vertical="top"/>
    </xf>
    <xf numFmtId="0" fontId="5" fillId="0" borderId="0" xfId="0" applyFont="1" applyFill="1" applyAlignment="1">
      <alignment horizontal="left"/>
    </xf>
    <xf numFmtId="165" fontId="15" fillId="0" borderId="0" xfId="0" applyNumberFormat="1" applyFont="1" applyAlignment="1">
      <alignment horizontal="right" vertical="center"/>
    </xf>
    <xf numFmtId="49" fontId="2" fillId="0" borderId="2" xfId="0" quotePrefix="1" applyNumberFormat="1" applyFont="1" applyFill="1" applyBorder="1" applyAlignment="1">
      <alignment horizontal="center" vertical="top"/>
    </xf>
    <xf numFmtId="165" fontId="2" fillId="7" borderId="2" xfId="0" applyNumberFormat="1" applyFont="1" applyFill="1" applyBorder="1" applyAlignment="1">
      <alignment horizontal="center" vertical="top"/>
    </xf>
    <xf numFmtId="4" fontId="2" fillId="0" borderId="2" xfId="0" applyNumberFormat="1" applyFont="1" applyBorder="1" applyAlignment="1" applyProtection="1">
      <alignment vertical="top"/>
      <protection locked="0"/>
    </xf>
    <xf numFmtId="4" fontId="8" fillId="6" borderId="2" xfId="0" applyNumberFormat="1" applyFont="1" applyFill="1" applyBorder="1" applyAlignment="1" applyProtection="1">
      <alignment vertical="top"/>
    </xf>
    <xf numFmtId="0" fontId="2" fillId="0" borderId="0" xfId="0" applyFont="1" applyFill="1" applyBorder="1" applyAlignment="1">
      <alignment vertical="top"/>
    </xf>
    <xf numFmtId="0" fontId="2" fillId="0" borderId="0" xfId="0" applyFont="1" applyFill="1" applyBorder="1" applyAlignment="1">
      <alignment horizontal="right" vertical="top"/>
    </xf>
    <xf numFmtId="4" fontId="2" fillId="0" borderId="0" xfId="0" applyNumberFormat="1" applyFont="1" applyBorder="1" applyAlignment="1">
      <alignment vertical="top"/>
    </xf>
    <xf numFmtId="0" fontId="2" fillId="0" borderId="0" xfId="0" applyFont="1" applyFill="1" applyAlignment="1">
      <alignment horizontal="right"/>
    </xf>
    <xf numFmtId="0" fontId="2" fillId="0" borderId="0" xfId="0" applyFont="1" applyBorder="1"/>
    <xf numFmtId="4" fontId="2" fillId="2" borderId="2" xfId="0" applyNumberFormat="1" applyFont="1" applyFill="1" applyBorder="1" applyAlignment="1" applyProtection="1">
      <alignment vertical="top"/>
    </xf>
    <xf numFmtId="4" fontId="2" fillId="0" borderId="0" xfId="0" applyNumberFormat="1" applyFont="1" applyAlignment="1">
      <alignment vertical="top"/>
    </xf>
    <xf numFmtId="0" fontId="2" fillId="0" borderId="0" xfId="0" applyFont="1" applyFill="1" applyAlignment="1">
      <alignment horizontal="right" vertical="top"/>
    </xf>
    <xf numFmtId="4" fontId="2" fillId="2" borderId="2" xfId="0" applyNumberFormat="1" applyFont="1" applyFill="1" applyBorder="1" applyAlignment="1">
      <alignment vertical="top"/>
    </xf>
    <xf numFmtId="0" fontId="2" fillId="0" borderId="0" xfId="0" applyFont="1" applyFill="1" applyAlignment="1">
      <alignment horizontal="center"/>
    </xf>
    <xf numFmtId="0" fontId="2" fillId="0" borderId="10" xfId="0" quotePrefix="1" applyFont="1" applyFill="1" applyBorder="1" applyAlignment="1" applyProtection="1">
      <alignment vertical="top"/>
    </xf>
    <xf numFmtId="49" fontId="2" fillId="0" borderId="2" xfId="0" applyNumberFormat="1" applyFont="1" applyFill="1" applyBorder="1" applyAlignment="1" applyProtection="1">
      <alignment horizontal="center" vertical="top"/>
    </xf>
    <xf numFmtId="0" fontId="2" fillId="7" borderId="2" xfId="0" applyFont="1" applyFill="1" applyBorder="1" applyAlignment="1">
      <alignment horizontal="right" vertical="top"/>
    </xf>
    <xf numFmtId="0" fontId="2" fillId="0" borderId="10" xfId="0" applyFont="1" applyFill="1" applyBorder="1" applyAlignment="1" applyProtection="1">
      <alignment vertical="top"/>
    </xf>
    <xf numFmtId="0" fontId="2" fillId="0" borderId="8" xfId="0" applyFont="1" applyFill="1" applyBorder="1" applyAlignment="1" applyProtection="1">
      <alignment vertical="top"/>
    </xf>
    <xf numFmtId="0" fontId="2" fillId="0" borderId="9" xfId="0" applyFont="1" applyFill="1" applyBorder="1" applyAlignment="1" applyProtection="1">
      <alignment vertical="top"/>
    </xf>
    <xf numFmtId="0" fontId="2" fillId="0" borderId="8" xfId="0" quotePrefix="1" applyFont="1" applyFill="1" applyBorder="1" applyAlignment="1" applyProtection="1">
      <alignment vertical="top"/>
    </xf>
    <xf numFmtId="0" fontId="5" fillId="0" borderId="0" xfId="2" applyFont="1" applyAlignment="1"/>
    <xf numFmtId="0" fontId="5" fillId="0" borderId="0" xfId="2" applyFont="1" applyAlignment="1">
      <alignment horizontal="left"/>
    </xf>
    <xf numFmtId="0" fontId="21" fillId="0" borderId="0" xfId="2" applyAlignment="1">
      <alignment horizontal="left"/>
    </xf>
    <xf numFmtId="0" fontId="3" fillId="0" borderId="0" xfId="2" applyFont="1" applyAlignment="1">
      <alignment horizontal="center"/>
    </xf>
    <xf numFmtId="4" fontId="3" fillId="0" borderId="0" xfId="2" applyNumberFormat="1" applyFont="1" applyFill="1" applyAlignment="1">
      <alignment horizontal="center"/>
    </xf>
    <xf numFmtId="0" fontId="21" fillId="0" borderId="0" xfId="2"/>
    <xf numFmtId="165" fontId="3" fillId="0" borderId="2" xfId="2" applyNumberFormat="1" applyFont="1" applyFill="1" applyBorder="1" applyAlignment="1">
      <alignment horizontal="center" vertical="center"/>
    </xf>
    <xf numFmtId="0" fontId="21" fillId="0" borderId="0" xfId="2" applyFill="1"/>
    <xf numFmtId="165" fontId="2" fillId="0" borderId="2" xfId="2" applyNumberFormat="1" applyFont="1" applyFill="1" applyBorder="1" applyAlignment="1">
      <alignment horizontal="center" vertical="center"/>
    </xf>
    <xf numFmtId="0" fontId="21" fillId="0" borderId="0" xfId="2" applyFont="1" applyFill="1"/>
    <xf numFmtId="49" fontId="3" fillId="0" borderId="10" xfId="2" applyNumberFormat="1" applyFont="1" applyBorder="1" applyAlignment="1">
      <alignment horizontal="left" vertical="top"/>
    </xf>
    <xf numFmtId="49" fontId="2" fillId="0" borderId="9" xfId="2" quotePrefix="1" applyNumberFormat="1" applyFont="1" applyBorder="1" applyAlignment="1">
      <alignment horizontal="center" vertical="top"/>
    </xf>
    <xf numFmtId="165" fontId="2" fillId="0" borderId="2" xfId="2" applyNumberFormat="1" applyFont="1" applyBorder="1" applyAlignment="1">
      <alignment horizontal="center" vertical="top"/>
    </xf>
    <xf numFmtId="4" fontId="8" fillId="0" borderId="2" xfId="2" applyNumberFormat="1" applyFont="1" applyFill="1" applyBorder="1" applyAlignment="1" applyProtection="1">
      <alignment vertical="top"/>
      <protection hidden="1"/>
    </xf>
    <xf numFmtId="4" fontId="8" fillId="8" borderId="2" xfId="2" applyNumberFormat="1" applyFont="1" applyFill="1" applyBorder="1" applyAlignment="1" applyProtection="1">
      <alignment vertical="top"/>
    </xf>
    <xf numFmtId="0" fontId="21" fillId="0" borderId="0" xfId="2" applyAlignment="1">
      <alignment vertical="top"/>
    </xf>
    <xf numFmtId="49" fontId="3" fillId="0" borderId="2" xfId="2" applyNumberFormat="1" applyFont="1" applyBorder="1" applyAlignment="1">
      <alignment horizontal="left" vertical="top"/>
    </xf>
    <xf numFmtId="0" fontId="2" fillId="0" borderId="2" xfId="2" applyFont="1" applyBorder="1" applyAlignment="1">
      <alignment vertical="top"/>
    </xf>
    <xf numFmtId="49" fontId="2" fillId="0" borderId="10" xfId="2" applyNumberFormat="1" applyFont="1" applyBorder="1" applyAlignment="1">
      <alignment horizontal="right" vertical="top"/>
    </xf>
    <xf numFmtId="0" fontId="2" fillId="0" borderId="8" xfId="2" applyFont="1" applyBorder="1" applyAlignment="1">
      <alignment vertical="top"/>
    </xf>
    <xf numFmtId="0" fontId="2" fillId="0" borderId="9" xfId="2" applyFont="1" applyBorder="1" applyAlignment="1">
      <alignment vertical="top"/>
    </xf>
    <xf numFmtId="4" fontId="2" fillId="0" borderId="2" xfId="2" applyNumberFormat="1" applyFont="1" applyFill="1" applyBorder="1" applyAlignment="1" applyProtection="1">
      <alignment vertical="top"/>
      <protection locked="0"/>
    </xf>
    <xf numFmtId="0" fontId="2" fillId="0" borderId="8" xfId="2" quotePrefix="1" applyFont="1" applyBorder="1" applyAlignment="1">
      <alignment vertical="top"/>
    </xf>
    <xf numFmtId="0" fontId="2" fillId="0" borderId="0" xfId="2" applyFont="1" applyAlignment="1">
      <alignment vertical="top"/>
    </xf>
    <xf numFmtId="49" fontId="2" fillId="0" borderId="10" xfId="2" applyNumberFormat="1" applyFont="1" applyFill="1" applyBorder="1" applyAlignment="1">
      <alignment horizontal="right" vertical="top"/>
    </xf>
    <xf numFmtId="49" fontId="2" fillId="0" borderId="10" xfId="2" quotePrefix="1" applyNumberFormat="1" applyFont="1" applyFill="1" applyBorder="1" applyAlignment="1">
      <alignment horizontal="right" vertical="top"/>
    </xf>
    <xf numFmtId="49" fontId="2" fillId="0" borderId="9" xfId="2" quotePrefix="1" applyNumberFormat="1" applyFont="1" applyBorder="1" applyAlignment="1">
      <alignment horizontal="center" vertical="top" wrapText="1"/>
    </xf>
    <xf numFmtId="0" fontId="2" fillId="0" borderId="2" xfId="2" applyFont="1" applyBorder="1" applyAlignment="1">
      <alignment vertical="top" wrapText="1"/>
    </xf>
    <xf numFmtId="0" fontId="21" fillId="0" borderId="0" xfId="2" applyFill="1" applyAlignment="1">
      <alignment vertical="top"/>
    </xf>
    <xf numFmtId="49" fontId="2" fillId="0" borderId="10" xfId="2" quotePrefix="1" applyNumberFormat="1" applyFont="1" applyBorder="1" applyAlignment="1">
      <alignment horizontal="right" vertical="top"/>
    </xf>
    <xf numFmtId="0" fontId="2" fillId="0" borderId="8" xfId="2" applyFont="1" applyFill="1" applyBorder="1" applyAlignment="1">
      <alignment vertical="top"/>
    </xf>
    <xf numFmtId="49" fontId="3" fillId="0" borderId="10" xfId="2" applyNumberFormat="1" applyFont="1" applyBorder="1" applyAlignment="1">
      <alignment horizontal="left" vertical="center"/>
    </xf>
    <xf numFmtId="0" fontId="3" fillId="0" borderId="8" xfId="2" applyFont="1" applyBorder="1" applyAlignment="1">
      <alignment vertical="top"/>
    </xf>
    <xf numFmtId="0" fontId="3" fillId="0" borderId="9" xfId="2" applyFont="1" applyBorder="1" applyAlignment="1">
      <alignment vertical="top"/>
    </xf>
    <xf numFmtId="49" fontId="3" fillId="0" borderId="10" xfId="2" applyNumberFormat="1" applyFont="1" applyFill="1" applyBorder="1" applyAlignment="1">
      <alignment horizontal="left" vertical="top"/>
    </xf>
    <xf numFmtId="0" fontId="2" fillId="0" borderId="8" xfId="2" applyFont="1" applyFill="1" applyBorder="1" applyAlignment="1">
      <alignment horizontal="left" vertical="top"/>
    </xf>
    <xf numFmtId="0" fontId="3" fillId="0" borderId="8" xfId="2" applyFont="1" applyFill="1" applyBorder="1" applyAlignment="1">
      <alignment horizontal="left" vertical="top"/>
    </xf>
    <xf numFmtId="0" fontId="3" fillId="0" borderId="9" xfId="2" applyFont="1" applyFill="1" applyBorder="1" applyAlignment="1">
      <alignment horizontal="left" vertical="top"/>
    </xf>
    <xf numFmtId="49" fontId="2" fillId="0" borderId="2" xfId="2" quotePrefix="1" applyNumberFormat="1" applyFont="1" applyFill="1" applyBorder="1" applyAlignment="1">
      <alignment vertical="top" wrapText="1"/>
    </xf>
    <xf numFmtId="0" fontId="2" fillId="0" borderId="2" xfId="2" applyFont="1" applyBorder="1"/>
    <xf numFmtId="0" fontId="21" fillId="0" borderId="2" xfId="2" applyBorder="1"/>
    <xf numFmtId="0" fontId="14" fillId="0" borderId="0" xfId="2" applyFont="1" applyAlignment="1">
      <alignment horizontal="center"/>
    </xf>
    <xf numFmtId="4" fontId="21" fillId="0" borderId="0" xfId="2" applyNumberFormat="1" applyFill="1"/>
    <xf numFmtId="0" fontId="21" fillId="0" borderId="0" xfId="2" applyAlignment="1">
      <alignment horizontal="center"/>
    </xf>
    <xf numFmtId="4" fontId="18" fillId="0" borderId="0" xfId="2" applyNumberFormat="1" applyFont="1" applyFill="1"/>
    <xf numFmtId="0" fontId="5" fillId="0" borderId="0" xfId="2" applyFont="1" applyFill="1" applyAlignment="1">
      <alignment horizontal="left"/>
    </xf>
    <xf numFmtId="0" fontId="2" fillId="0" borderId="10" xfId="2" applyNumberFormat="1" applyFont="1" applyBorder="1" applyAlignment="1">
      <alignment horizontal="right" vertical="top"/>
    </xf>
    <xf numFmtId="4" fontId="8" fillId="8" borderId="2" xfId="2" applyNumberFormat="1" applyFont="1" applyFill="1" applyBorder="1" applyAlignment="1" applyProtection="1">
      <alignment vertical="top"/>
      <protection hidden="1"/>
    </xf>
    <xf numFmtId="0" fontId="3" fillId="0" borderId="0" xfId="2" applyFont="1" applyAlignment="1"/>
    <xf numFmtId="0" fontId="3" fillId="0" borderId="0" xfId="2" applyFont="1" applyFill="1" applyAlignment="1">
      <alignment horizontal="left"/>
    </xf>
    <xf numFmtId="0" fontId="2" fillId="0" borderId="0" xfId="2" applyFont="1" applyAlignment="1">
      <alignment horizontal="left"/>
    </xf>
    <xf numFmtId="0" fontId="2" fillId="0" borderId="0" xfId="2" applyFont="1"/>
    <xf numFmtId="0" fontId="2" fillId="0" borderId="0" xfId="2" applyFont="1" applyFill="1"/>
    <xf numFmtId="0" fontId="2" fillId="0" borderId="2" xfId="2" applyFont="1" applyFill="1" applyBorder="1" applyAlignment="1">
      <alignment horizontal="center" vertical="center" wrapText="1"/>
    </xf>
    <xf numFmtId="0" fontId="2" fillId="0" borderId="0" xfId="2" applyFont="1" applyFill="1" applyAlignment="1">
      <alignment vertical="top"/>
    </xf>
    <xf numFmtId="4" fontId="2" fillId="0" borderId="0" xfId="2" applyNumberFormat="1" applyFont="1" applyFill="1"/>
    <xf numFmtId="4" fontId="15" fillId="0" borderId="0" xfId="2" applyNumberFormat="1" applyFont="1" applyFill="1"/>
    <xf numFmtId="0" fontId="2" fillId="0" borderId="0" xfId="2" applyFont="1" applyAlignment="1">
      <alignment horizontal="center"/>
    </xf>
    <xf numFmtId="4" fontId="2" fillId="2" borderId="2" xfId="2" applyNumberFormat="1" applyFont="1" applyFill="1" applyBorder="1" applyAlignment="1" applyProtection="1">
      <alignment vertical="top"/>
    </xf>
    <xf numFmtId="4" fontId="2" fillId="2" borderId="2" xfId="2" applyNumberFormat="1" applyFont="1" applyFill="1" applyBorder="1" applyAlignment="1" applyProtection="1">
      <alignment vertical="top"/>
      <protection hidden="1"/>
    </xf>
    <xf numFmtId="4" fontId="2" fillId="8" borderId="2" xfId="2" applyNumberFormat="1" applyFont="1" applyFill="1" applyBorder="1" applyAlignment="1" applyProtection="1">
      <alignment vertical="top"/>
      <protection hidden="1"/>
    </xf>
    <xf numFmtId="0" fontId="29" fillId="0" borderId="0" xfId="4" applyFont="1" applyFill="1"/>
    <xf numFmtId="0" fontId="31" fillId="0" borderId="0" xfId="4" applyFont="1" applyFill="1" applyAlignment="1">
      <alignment horizontal="center"/>
    </xf>
    <xf numFmtId="176" fontId="32" fillId="0" borderId="0" xfId="1" applyNumberFormat="1" applyFont="1" applyFill="1"/>
    <xf numFmtId="49" fontId="33" fillId="0" borderId="0" xfId="1" applyNumberFormat="1" applyFont="1" applyFill="1"/>
    <xf numFmtId="0" fontId="38" fillId="0" borderId="0" xfId="4" applyFont="1" applyFill="1"/>
    <xf numFmtId="0" fontId="32" fillId="0" borderId="0" xfId="4" applyFont="1" applyFill="1" applyAlignment="1">
      <alignment horizontal="center"/>
    </xf>
    <xf numFmtId="0" fontId="34" fillId="0" borderId="0" xfId="4" applyFont="1" applyFill="1"/>
    <xf numFmtId="0" fontId="29" fillId="0" borderId="2" xfId="1" applyNumberFormat="1" applyFont="1" applyFill="1" applyBorder="1" applyAlignment="1">
      <alignment horizontal="center" vertical="center" wrapText="1"/>
    </xf>
    <xf numFmtId="0" fontId="38" fillId="0" borderId="2" xfId="4" applyFont="1" applyBorder="1" applyAlignment="1">
      <alignment horizontal="center" vertical="center" wrapText="1"/>
    </xf>
    <xf numFmtId="0" fontId="39" fillId="0" borderId="2" xfId="4" applyFont="1" applyBorder="1" applyAlignment="1">
      <alignment horizontal="center"/>
    </xf>
    <xf numFmtId="0" fontId="32" fillId="0" borderId="2" xfId="1" applyNumberFormat="1" applyFont="1" applyFill="1" applyBorder="1" applyAlignment="1">
      <alignment horizontal="center" vertical="center" wrapText="1"/>
    </xf>
    <xf numFmtId="0" fontId="34" fillId="0" borderId="2" xfId="4" applyFont="1" applyFill="1" applyBorder="1" applyAlignment="1" applyProtection="1">
      <alignment horizontal="center" vertical="center" wrapText="1"/>
    </xf>
    <xf numFmtId="0" fontId="32" fillId="0" borderId="2" xfId="4" applyFont="1" applyFill="1" applyBorder="1" applyAlignment="1" applyProtection="1">
      <alignment horizontal="center" vertical="center" wrapText="1"/>
    </xf>
    <xf numFmtId="176" fontId="34" fillId="0" borderId="2" xfId="1" applyNumberFormat="1" applyFont="1" applyFill="1" applyBorder="1" applyAlignment="1" applyProtection="1">
      <alignment horizontal="center" vertical="center" wrapText="1"/>
    </xf>
    <xf numFmtId="176" fontId="33" fillId="0" borderId="2" xfId="1" applyNumberFormat="1" applyFont="1" applyFill="1" applyBorder="1" applyAlignment="1" applyProtection="1">
      <alignment horizontal="center" vertical="center" wrapText="1"/>
    </xf>
    <xf numFmtId="0" fontId="29" fillId="0" borderId="2" xfId="4" applyFont="1" applyFill="1" applyBorder="1" applyAlignment="1">
      <alignment horizontal="center" vertical="center" wrapText="1"/>
    </xf>
    <xf numFmtId="0" fontId="32" fillId="0" borderId="2" xfId="4" quotePrefix="1" applyFont="1" applyFill="1" applyBorder="1" applyAlignment="1">
      <alignment horizontal="center" vertical="top" wrapText="1"/>
    </xf>
    <xf numFmtId="4" fontId="37" fillId="0" borderId="2" xfId="1" applyNumberFormat="1" applyFont="1" applyFill="1" applyBorder="1" applyProtection="1">
      <protection hidden="1"/>
    </xf>
    <xf numFmtId="0" fontId="29" fillId="0" borderId="2" xfId="4" applyFont="1" applyFill="1" applyBorder="1" applyAlignment="1" applyProtection="1">
      <alignment horizontal="left" vertical="center" wrapText="1"/>
    </xf>
    <xf numFmtId="43" fontId="29" fillId="0" borderId="2" xfId="1" applyFont="1" applyFill="1" applyBorder="1" applyProtection="1"/>
    <xf numFmtId="43" fontId="40" fillId="0" borderId="2" xfId="1" applyFont="1" applyFill="1" applyBorder="1" applyProtection="1"/>
    <xf numFmtId="0" fontId="29" fillId="0" borderId="2" xfId="4" applyFont="1" applyFill="1" applyBorder="1" applyAlignment="1">
      <alignment horizontal="left" vertical="top" wrapText="1"/>
    </xf>
    <xf numFmtId="0" fontId="39" fillId="0" borderId="2" xfId="3" applyFont="1" applyFill="1" applyBorder="1" applyAlignment="1">
      <alignment horizontal="left" vertical="top" wrapText="1"/>
    </xf>
    <xf numFmtId="4" fontId="32" fillId="0" borderId="2" xfId="1" applyNumberFormat="1" applyFont="1" applyFill="1" applyBorder="1" applyAlignment="1" applyProtection="1">
      <alignment vertical="top"/>
      <protection locked="0"/>
    </xf>
    <xf numFmtId="43" fontId="32" fillId="8" borderId="2" xfId="1" applyFont="1" applyFill="1" applyBorder="1" applyAlignment="1" applyProtection="1">
      <alignment vertical="top"/>
    </xf>
    <xf numFmtId="0" fontId="39" fillId="0" borderId="2" xfId="4" applyFont="1" applyFill="1" applyBorder="1" applyAlignment="1">
      <alignment horizontal="left" vertical="top" wrapText="1"/>
    </xf>
    <xf numFmtId="0" fontId="39" fillId="0" borderId="2" xfId="4" applyFont="1" applyFill="1" applyBorder="1" applyAlignment="1">
      <alignment horizontal="left" vertical="top" wrapText="1" indent="2"/>
    </xf>
    <xf numFmtId="0" fontId="39" fillId="0" borderId="0" xfId="4" applyFont="1" applyFill="1"/>
    <xf numFmtId="0" fontId="32" fillId="0" borderId="0" xfId="2" applyFont="1" applyFill="1" applyAlignment="1"/>
    <xf numFmtId="0" fontId="32" fillId="0" borderId="0" xfId="4" applyFont="1" applyAlignment="1"/>
    <xf numFmtId="49" fontId="33" fillId="0" borderId="0" xfId="4" applyNumberFormat="1" applyFont="1" applyAlignment="1"/>
    <xf numFmtId="0" fontId="32" fillId="0" borderId="0" xfId="2" applyFont="1" applyFill="1"/>
    <xf numFmtId="0" fontId="29" fillId="0" borderId="0" xfId="3" applyFont="1" applyFill="1"/>
    <xf numFmtId="0" fontId="32" fillId="0" borderId="0" xfId="3" applyFont="1" applyFill="1"/>
    <xf numFmtId="0" fontId="21" fillId="0" borderId="0" xfId="2" applyFont="1"/>
    <xf numFmtId="176" fontId="29" fillId="0" borderId="0" xfId="1" applyNumberFormat="1" applyFont="1" applyFill="1"/>
    <xf numFmtId="0" fontId="29" fillId="0" borderId="2" xfId="3" applyNumberFormat="1" applyFont="1" applyBorder="1" applyAlignment="1">
      <alignment horizontal="center" vertical="center" wrapText="1"/>
    </xf>
    <xf numFmtId="0" fontId="32" fillId="0" borderId="2" xfId="3" applyFont="1" applyFill="1" applyBorder="1" applyAlignment="1">
      <alignment horizontal="center" vertical="center" wrapText="1"/>
    </xf>
    <xf numFmtId="2" fontId="32" fillId="0" borderId="2" xfId="1" applyNumberFormat="1" applyFont="1" applyFill="1" applyBorder="1" applyAlignment="1">
      <alignment horizontal="center" vertical="center" wrapText="1"/>
    </xf>
    <xf numFmtId="0" fontId="29" fillId="0" borderId="2" xfId="3" applyFont="1" applyFill="1" applyBorder="1" applyAlignment="1">
      <alignment horizontal="center" vertical="center" wrapText="1"/>
    </xf>
    <xf numFmtId="0" fontId="32" fillId="0" borderId="2" xfId="3" quotePrefix="1" applyFont="1" applyFill="1" applyBorder="1" applyAlignment="1">
      <alignment horizontal="center" vertical="top" wrapText="1"/>
    </xf>
    <xf numFmtId="2" fontId="37" fillId="0" borderId="2" xfId="1" applyNumberFormat="1" applyFont="1" applyFill="1" applyBorder="1"/>
    <xf numFmtId="0" fontId="29" fillId="0" borderId="2" xfId="3" applyFont="1" applyFill="1" applyBorder="1" applyAlignment="1">
      <alignment horizontal="left" vertical="top" wrapText="1"/>
    </xf>
    <xf numFmtId="0" fontId="32" fillId="0" borderId="2" xfId="3" applyFont="1" applyFill="1" applyBorder="1" applyAlignment="1">
      <alignment horizontal="left" vertical="top" wrapText="1"/>
    </xf>
    <xf numFmtId="4" fontId="37" fillId="0" borderId="2" xfId="1" applyNumberFormat="1" applyFont="1" applyFill="1" applyBorder="1" applyAlignment="1" applyProtection="1">
      <alignment vertical="top"/>
      <protection hidden="1"/>
    </xf>
    <xf numFmtId="0" fontId="39" fillId="0" borderId="2" xfId="3" applyFont="1" applyFill="1" applyBorder="1" applyAlignment="1">
      <alignment horizontal="left" vertical="top" wrapText="1" indent="2"/>
    </xf>
    <xf numFmtId="0" fontId="39" fillId="0" borderId="0" xfId="3" applyFont="1" applyFill="1"/>
    <xf numFmtId="0" fontId="32" fillId="0" borderId="0" xfId="3" applyFont="1" applyFill="1" applyAlignment="1"/>
    <xf numFmtId="0" fontId="5" fillId="0" borderId="0" xfId="0" applyFont="1" applyAlignment="1"/>
    <xf numFmtId="165" fontId="3" fillId="0" borderId="2" xfId="0" applyNumberFormat="1" applyFont="1" applyFill="1" applyBorder="1" applyAlignment="1">
      <alignment horizontal="center" vertical="center"/>
    </xf>
    <xf numFmtId="0" fontId="0" fillId="0" borderId="0" xfId="0" applyFill="1"/>
    <xf numFmtId="165" fontId="2" fillId="0" borderId="2" xfId="0" applyNumberFormat="1" applyFont="1" applyFill="1" applyBorder="1" applyAlignment="1">
      <alignment horizontal="center" vertical="center"/>
    </xf>
    <xf numFmtId="0" fontId="21" fillId="0" borderId="0" xfId="0" applyFont="1" applyFill="1"/>
    <xf numFmtId="49" fontId="3" fillId="0" borderId="10" xfId="0" applyNumberFormat="1" applyFont="1" applyBorder="1" applyAlignment="1">
      <alignment horizontal="left" vertical="top"/>
    </xf>
    <xf numFmtId="49" fontId="2" fillId="0" borderId="9" xfId="0" quotePrefix="1" applyNumberFormat="1" applyFont="1" applyBorder="1" applyAlignment="1">
      <alignment horizontal="center" vertical="top"/>
    </xf>
    <xf numFmtId="4" fontId="8" fillId="8" borderId="2" xfId="0" applyNumberFormat="1" applyFont="1" applyFill="1" applyBorder="1" applyAlignment="1" applyProtection="1">
      <alignment vertical="top"/>
    </xf>
    <xf numFmtId="0" fontId="0" fillId="0" borderId="0" xfId="0" applyAlignment="1">
      <alignment vertical="top"/>
    </xf>
    <xf numFmtId="49" fontId="3" fillId="0" borderId="2" xfId="0" applyNumberFormat="1" applyFont="1" applyBorder="1" applyAlignment="1">
      <alignment horizontal="left" vertical="top"/>
    </xf>
    <xf numFmtId="0" fontId="2" fillId="0" borderId="2" xfId="0" applyFont="1" applyBorder="1" applyAlignment="1">
      <alignment vertical="top"/>
    </xf>
    <xf numFmtId="49" fontId="2" fillId="0" borderId="10" xfId="0" applyNumberFormat="1" applyFont="1" applyBorder="1" applyAlignment="1">
      <alignment horizontal="right" vertical="top"/>
    </xf>
    <xf numFmtId="0" fontId="2" fillId="0" borderId="8" xfId="0" applyFont="1" applyBorder="1" applyAlignment="1">
      <alignment vertical="top"/>
    </xf>
    <xf numFmtId="0" fontId="2" fillId="0" borderId="9" xfId="0" applyFont="1" applyBorder="1" applyAlignment="1">
      <alignment vertical="top"/>
    </xf>
    <xf numFmtId="4" fontId="8" fillId="8" borderId="2" xfId="0" applyNumberFormat="1" applyFont="1" applyFill="1" applyBorder="1" applyAlignment="1" applyProtection="1">
      <alignment vertical="top"/>
      <protection hidden="1"/>
    </xf>
    <xf numFmtId="0" fontId="2" fillId="0" borderId="8" xfId="0" quotePrefix="1" applyFont="1" applyBorder="1" applyAlignment="1">
      <alignment vertical="top"/>
    </xf>
    <xf numFmtId="0" fontId="2" fillId="0" borderId="0" xfId="0" applyFont="1" applyAlignment="1">
      <alignment vertical="top"/>
    </xf>
    <xf numFmtId="49" fontId="2" fillId="0" borderId="10" xfId="0" applyNumberFormat="1" applyFont="1" applyFill="1" applyBorder="1" applyAlignment="1">
      <alignment horizontal="right" vertical="top"/>
    </xf>
    <xf numFmtId="49" fontId="2" fillId="0" borderId="10" xfId="0" quotePrefix="1" applyNumberFormat="1" applyFont="1" applyFill="1" applyBorder="1" applyAlignment="1">
      <alignment horizontal="right" vertical="top"/>
    </xf>
    <xf numFmtId="49" fontId="2" fillId="0" borderId="9" xfId="0" quotePrefix="1" applyNumberFormat="1" applyFont="1" applyBorder="1" applyAlignment="1">
      <alignment horizontal="center" vertical="top" wrapText="1"/>
    </xf>
    <xf numFmtId="0" fontId="2" fillId="0" borderId="2" xfId="0" applyFont="1" applyBorder="1" applyAlignment="1">
      <alignment vertical="top" wrapText="1"/>
    </xf>
    <xf numFmtId="0" fontId="0" fillId="0" borderId="0" xfId="0" applyFill="1" applyAlignment="1">
      <alignment vertical="top"/>
    </xf>
    <xf numFmtId="49" fontId="2" fillId="0" borderId="10" xfId="0" quotePrefix="1" applyNumberFormat="1" applyFont="1" applyBorder="1" applyAlignment="1">
      <alignment horizontal="right" vertical="top"/>
    </xf>
    <xf numFmtId="0" fontId="2" fillId="0" borderId="8" xfId="0" applyFont="1" applyFill="1" applyBorder="1" applyAlignment="1">
      <alignment vertical="top"/>
    </xf>
    <xf numFmtId="49" fontId="3" fillId="0" borderId="10" xfId="0" applyNumberFormat="1" applyFont="1" applyBorder="1" applyAlignment="1">
      <alignment horizontal="left" vertical="center"/>
    </xf>
    <xf numFmtId="0" fontId="3" fillId="0" borderId="8" xfId="0" applyFont="1" applyBorder="1" applyAlignment="1">
      <alignment vertical="top"/>
    </xf>
    <xf numFmtId="0" fontId="3" fillId="0" borderId="9" xfId="0" applyFont="1" applyBorder="1" applyAlignment="1">
      <alignment vertical="top"/>
    </xf>
    <xf numFmtId="49" fontId="3" fillId="0" borderId="10" xfId="0" applyNumberFormat="1" applyFont="1" applyFill="1" applyBorder="1" applyAlignment="1">
      <alignment horizontal="left" vertical="top"/>
    </xf>
    <xf numFmtId="0" fontId="2" fillId="0" borderId="8" xfId="0" applyFont="1" applyFill="1" applyBorder="1" applyAlignment="1">
      <alignment horizontal="left" vertical="top"/>
    </xf>
    <xf numFmtId="0" fontId="3" fillId="0" borderId="8" xfId="0" applyFont="1" applyFill="1" applyBorder="1" applyAlignment="1">
      <alignment horizontal="left" vertical="top"/>
    </xf>
    <xf numFmtId="0" fontId="3" fillId="0" borderId="9" xfId="0" applyFont="1" applyFill="1" applyBorder="1" applyAlignment="1">
      <alignment horizontal="left" vertical="top"/>
    </xf>
    <xf numFmtId="49" fontId="2" fillId="0" borderId="2" xfId="0" quotePrefix="1" applyNumberFormat="1" applyFont="1" applyFill="1" applyBorder="1" applyAlignment="1">
      <alignment vertical="top" wrapText="1"/>
    </xf>
    <xf numFmtId="0" fontId="2" fillId="0" borderId="2" xfId="0" applyFont="1" applyBorder="1"/>
    <xf numFmtId="0" fontId="0" fillId="0" borderId="2" xfId="0" applyBorder="1"/>
    <xf numFmtId="4" fontId="0" fillId="0" borderId="0" xfId="0" applyNumberFormat="1" applyFill="1"/>
    <xf numFmtId="4" fontId="18" fillId="0" borderId="0" xfId="0" applyNumberFormat="1" applyFont="1" applyFill="1"/>
    <xf numFmtId="0" fontId="0" fillId="0" borderId="0" xfId="0" applyAlignment="1">
      <alignment horizontal="center"/>
    </xf>
    <xf numFmtId="49" fontId="2" fillId="0" borderId="2" xfId="2" quotePrefix="1" applyNumberFormat="1" applyFont="1" applyFill="1" applyBorder="1" applyAlignment="1">
      <alignment horizontal="center" vertical="top" wrapText="1"/>
    </xf>
    <xf numFmtId="0" fontId="29" fillId="0" borderId="2" xfId="4" applyNumberFormat="1" applyFont="1" applyFill="1" applyBorder="1" applyAlignment="1">
      <alignment horizontal="center" vertical="center" wrapText="1"/>
    </xf>
    <xf numFmtId="0" fontId="29" fillId="0" borderId="2" xfId="3" applyNumberFormat="1" applyFont="1" applyFill="1" applyBorder="1" applyAlignment="1">
      <alignment horizontal="center" vertical="center" wrapText="1"/>
    </xf>
    <xf numFmtId="165" fontId="3" fillId="0" borderId="2" xfId="0" applyNumberFormat="1" applyFont="1" applyFill="1" applyBorder="1" applyAlignment="1" applyProtection="1">
      <alignment horizontal="center" vertical="center" wrapText="1"/>
      <protection hidden="1"/>
    </xf>
    <xf numFmtId="0" fontId="5" fillId="0" borderId="2" xfId="0" applyFont="1" applyBorder="1" applyAlignment="1" applyProtection="1">
      <alignment horizontal="center" vertical="center" wrapText="1"/>
      <protection hidden="1"/>
    </xf>
    <xf numFmtId="165" fontId="15" fillId="0" borderId="0" xfId="0" applyNumberFormat="1" applyFont="1" applyFill="1" applyBorder="1" applyAlignment="1">
      <alignment horizontal="center" vertical="top" wrapText="1"/>
    </xf>
    <xf numFmtId="49" fontId="2" fillId="0" borderId="3" xfId="0" quotePrefix="1" applyNumberFormat="1" applyFont="1" applyFill="1" applyBorder="1" applyAlignment="1" applyProtection="1">
      <alignment horizontal="center" vertical="top" wrapText="1"/>
      <protection hidden="1"/>
    </xf>
    <xf numFmtId="165" fontId="15" fillId="0" borderId="7" xfId="0" applyNumberFormat="1" applyFont="1" applyFill="1" applyBorder="1" applyAlignment="1">
      <alignment horizontal="center" vertical="top" wrapText="1"/>
    </xf>
    <xf numFmtId="49" fontId="29" fillId="0" borderId="2" xfId="4" applyNumberFormat="1" applyFont="1" applyFill="1" applyBorder="1" applyAlignment="1" applyProtection="1">
      <alignment vertical="top"/>
      <protection hidden="1"/>
    </xf>
    <xf numFmtId="49" fontId="39" fillId="0" borderId="2" xfId="3" applyNumberFormat="1" applyFont="1" applyFill="1" applyBorder="1" applyAlignment="1" applyProtection="1">
      <alignment vertical="top"/>
      <protection hidden="1"/>
    </xf>
    <xf numFmtId="49" fontId="39" fillId="0" borderId="2" xfId="4" applyNumberFormat="1" applyFont="1" applyFill="1" applyBorder="1" applyAlignment="1" applyProtection="1">
      <alignment vertical="top"/>
      <protection hidden="1"/>
    </xf>
    <xf numFmtId="49" fontId="38" fillId="0" borderId="2" xfId="3" applyNumberFormat="1" applyFont="1" applyFill="1" applyBorder="1" applyAlignment="1" applyProtection="1">
      <alignment vertical="top"/>
      <protection hidden="1"/>
    </xf>
    <xf numFmtId="49" fontId="29" fillId="0" borderId="5" xfId="4" applyNumberFormat="1" applyFont="1" applyFill="1" applyBorder="1" applyAlignment="1" applyProtection="1">
      <alignment vertical="top"/>
      <protection hidden="1"/>
    </xf>
    <xf numFmtId="49" fontId="29" fillId="0" borderId="0" xfId="4" applyNumberFormat="1" applyFont="1" applyFill="1" applyBorder="1" applyAlignment="1" applyProtection="1">
      <alignment vertical="top"/>
      <protection hidden="1"/>
    </xf>
    <xf numFmtId="49" fontId="29" fillId="0" borderId="2" xfId="3" applyNumberFormat="1" applyFont="1" applyFill="1" applyBorder="1" applyAlignment="1" applyProtection="1">
      <alignment vertical="top"/>
      <protection hidden="1"/>
    </xf>
    <xf numFmtId="49" fontId="32" fillId="0" borderId="2" xfId="3" applyNumberFormat="1" applyFont="1" applyFill="1" applyBorder="1" applyAlignment="1" applyProtection="1">
      <alignment vertical="top"/>
      <protection hidden="1"/>
    </xf>
    <xf numFmtId="0" fontId="21" fillId="0" borderId="2" xfId="2" applyFont="1" applyBorder="1"/>
    <xf numFmtId="2" fontId="32" fillId="8" borderId="2" xfId="1" applyNumberFormat="1" applyFont="1" applyFill="1" applyBorder="1" applyAlignment="1" applyProtection="1">
      <alignment vertical="top"/>
    </xf>
    <xf numFmtId="49" fontId="2" fillId="0" borderId="2" xfId="0" quotePrefix="1" applyNumberFormat="1" applyFont="1" applyFill="1" applyBorder="1" applyAlignment="1" applyProtection="1">
      <alignment horizontal="right" vertical="top"/>
    </xf>
    <xf numFmtId="49" fontId="2" fillId="0" borderId="2" xfId="0" quotePrefix="1" applyNumberFormat="1" applyFont="1" applyFill="1" applyBorder="1" applyAlignment="1" applyProtection="1">
      <alignment horizontal="center" vertical="top"/>
    </xf>
    <xf numFmtId="49" fontId="2" fillId="0" borderId="9" xfId="2" quotePrefix="1" applyNumberFormat="1" applyFont="1" applyFill="1" applyBorder="1" applyAlignment="1">
      <alignment horizontal="center" vertical="center"/>
    </xf>
    <xf numFmtId="0" fontId="2" fillId="0" borderId="9" xfId="2" applyFont="1" applyFill="1" applyBorder="1" applyAlignment="1">
      <alignment vertical="top"/>
    </xf>
    <xf numFmtId="49" fontId="2" fillId="0" borderId="2" xfId="0" quotePrefix="1" applyNumberFormat="1" applyFont="1" applyFill="1" applyBorder="1" applyAlignment="1">
      <alignment horizontal="right" vertical="top"/>
    </xf>
    <xf numFmtId="49" fontId="2" fillId="0" borderId="2" xfId="0" applyNumberFormat="1" applyFont="1" applyFill="1" applyBorder="1" applyAlignment="1">
      <alignment horizontal="right" vertical="top"/>
    </xf>
    <xf numFmtId="4" fontId="37" fillId="0" borderId="2" xfId="1" applyNumberFormat="1" applyFont="1" applyFill="1" applyBorder="1"/>
    <xf numFmtId="4" fontId="37" fillId="0" borderId="2" xfId="1" applyNumberFormat="1" applyFont="1" applyFill="1" applyBorder="1" applyAlignment="1">
      <alignment vertical="top"/>
    </xf>
    <xf numFmtId="0" fontId="2" fillId="0" borderId="2" xfId="0" applyFont="1" applyFill="1" applyBorder="1" applyAlignment="1" applyProtection="1">
      <alignment horizontal="center" vertical="top"/>
      <protection hidden="1"/>
    </xf>
    <xf numFmtId="0" fontId="39" fillId="0" borderId="2" xfId="3" applyFont="1" applyFill="1" applyBorder="1" applyAlignment="1">
      <alignment vertical="top"/>
    </xf>
    <xf numFmtId="49" fontId="39" fillId="0" borderId="2" xfId="3" applyNumberFormat="1" applyFont="1" applyFill="1" applyBorder="1" applyAlignment="1" applyProtection="1">
      <alignment horizontal="center" vertical="top"/>
      <protection hidden="1"/>
    </xf>
    <xf numFmtId="0" fontId="39" fillId="0" borderId="2" xfId="4" applyFont="1" applyFill="1" applyBorder="1" applyAlignment="1" applyProtection="1">
      <alignment horizontal="left" vertical="top" wrapText="1" indent="2"/>
      <protection hidden="1"/>
    </xf>
    <xf numFmtId="0" fontId="39" fillId="0" borderId="2" xfId="4" applyFont="1" applyFill="1" applyBorder="1" applyAlignment="1" applyProtection="1">
      <alignment vertical="top"/>
      <protection hidden="1"/>
    </xf>
    <xf numFmtId="49" fontId="39" fillId="0" borderId="2" xfId="4" applyNumberFormat="1" applyFont="1" applyFill="1" applyBorder="1" applyAlignment="1" applyProtection="1">
      <alignment horizontal="center" vertical="top"/>
      <protection hidden="1"/>
    </xf>
    <xf numFmtId="0" fontId="2" fillId="0" borderId="8" xfId="0" applyFont="1" applyBorder="1" applyAlignment="1">
      <alignment horizontal="center" vertical="top"/>
    </xf>
    <xf numFmtId="0" fontId="2" fillId="0" borderId="8" xfId="2" applyFont="1" applyBorder="1" applyAlignment="1">
      <alignment horizontal="center" vertical="top"/>
    </xf>
    <xf numFmtId="49" fontId="2" fillId="0" borderId="2" xfId="0" applyNumberFormat="1" applyFont="1" applyBorder="1" applyAlignment="1">
      <alignment horizontal="right" vertical="top"/>
    </xf>
    <xf numFmtId="0" fontId="2" fillId="0" borderId="2" xfId="0" applyFont="1" applyBorder="1" applyAlignment="1" applyProtection="1">
      <alignment horizontal="center" vertical="top"/>
      <protection hidden="1"/>
    </xf>
    <xf numFmtId="49" fontId="2" fillId="0" borderId="2" xfId="0" applyNumberFormat="1" applyFont="1" applyFill="1" applyBorder="1" applyAlignment="1" applyProtection="1">
      <alignment horizontal="right" vertical="top"/>
    </xf>
    <xf numFmtId="49" fontId="2" fillId="0" borderId="2" xfId="0" applyNumberFormat="1" applyFont="1" applyBorder="1" applyAlignment="1" applyProtection="1">
      <alignment horizontal="right" vertical="top"/>
    </xf>
    <xf numFmtId="0" fontId="2" fillId="0" borderId="2" xfId="0" applyFont="1" applyBorder="1" applyAlignment="1" applyProtection="1">
      <alignment vertical="top"/>
    </xf>
    <xf numFmtId="0" fontId="41" fillId="0" borderId="2" xfId="0" applyFont="1" applyFill="1" applyBorder="1" applyAlignment="1">
      <alignment vertical="top"/>
    </xf>
    <xf numFmtId="0" fontId="2" fillId="0" borderId="2" xfId="2" applyFont="1" applyFill="1" applyBorder="1" applyAlignment="1">
      <alignment vertical="top"/>
    </xf>
    <xf numFmtId="4" fontId="3" fillId="0" borderId="2" xfId="2" applyNumberFormat="1" applyFont="1" applyFill="1" applyBorder="1" applyAlignment="1">
      <alignment horizontal="center" vertical="center" wrapText="1"/>
    </xf>
    <xf numFmtId="0" fontId="3" fillId="0" borderId="8" xfId="2" applyFont="1" applyFill="1" applyBorder="1" applyAlignment="1">
      <alignment vertical="top"/>
    </xf>
    <xf numFmtId="0" fontId="3" fillId="0" borderId="9" xfId="2" applyFont="1" applyFill="1" applyBorder="1" applyAlignment="1">
      <alignment vertical="top"/>
    </xf>
    <xf numFmtId="0" fontId="2" fillId="0" borderId="10" xfId="0" applyFont="1" applyFill="1" applyBorder="1" applyAlignment="1" applyProtection="1">
      <alignment vertical="top"/>
      <protection hidden="1"/>
    </xf>
    <xf numFmtId="49" fontId="2" fillId="0" borderId="9" xfId="0" quotePrefix="1" applyNumberFormat="1" applyFont="1" applyFill="1" applyBorder="1" applyAlignment="1" applyProtection="1">
      <alignment horizontal="center" vertical="top"/>
      <protection hidden="1"/>
    </xf>
    <xf numFmtId="0" fontId="2" fillId="0" borderId="3" xfId="0" applyFont="1" applyFill="1" applyBorder="1" applyAlignment="1" applyProtection="1">
      <alignment horizontal="left" vertical="top"/>
      <protection hidden="1"/>
    </xf>
    <xf numFmtId="0" fontId="3" fillId="0" borderId="3" xfId="0" applyFont="1" applyFill="1" applyBorder="1" applyAlignment="1" applyProtection="1">
      <alignment horizontal="left" vertical="top"/>
      <protection hidden="1"/>
    </xf>
    <xf numFmtId="0" fontId="3" fillId="0" borderId="7" xfId="0" applyFont="1" applyFill="1" applyBorder="1" applyAlignment="1" applyProtection="1">
      <alignment horizontal="left" vertical="top"/>
      <protection hidden="1"/>
    </xf>
    <xf numFmtId="0" fontId="3" fillId="0" borderId="13" xfId="0" applyFont="1" applyFill="1" applyBorder="1" applyAlignment="1" applyProtection="1">
      <alignment horizontal="left" vertical="top"/>
      <protection hidden="1"/>
    </xf>
    <xf numFmtId="0" fontId="2" fillId="0" borderId="5" xfId="0" applyFont="1" applyFill="1" applyBorder="1" applyAlignment="1" applyProtection="1">
      <alignment vertical="top"/>
      <protection hidden="1"/>
    </xf>
    <xf numFmtId="0" fontId="3" fillId="0" borderId="12" xfId="0" applyFont="1" applyFill="1" applyBorder="1" applyAlignment="1" applyProtection="1">
      <alignment vertical="top"/>
      <protection hidden="1"/>
    </xf>
    <xf numFmtId="0" fontId="3" fillId="0" borderId="5" xfId="0" applyFont="1" applyFill="1" applyBorder="1" applyAlignment="1" applyProtection="1">
      <alignment vertical="top"/>
      <protection hidden="1"/>
    </xf>
    <xf numFmtId="0" fontId="3" fillId="0" borderId="2" xfId="0" applyFont="1" applyFill="1" applyBorder="1" applyAlignment="1" applyProtection="1">
      <alignment horizontal="center" vertical="center" wrapText="1"/>
    </xf>
    <xf numFmtId="0" fontId="3" fillId="0" borderId="2" xfId="0" applyFont="1" applyFill="1" applyBorder="1" applyAlignment="1" applyProtection="1">
      <alignment horizontal="center"/>
    </xf>
    <xf numFmtId="0" fontId="3" fillId="0" borderId="10" xfId="0" applyFont="1" applyFill="1" applyBorder="1" applyAlignment="1" applyProtection="1">
      <alignment horizontal="center" vertical="center"/>
    </xf>
    <xf numFmtId="0" fontId="3" fillId="0" borderId="9" xfId="0" applyFont="1" applyFill="1" applyBorder="1" applyAlignment="1" applyProtection="1">
      <alignment horizontal="center" vertical="center"/>
    </xf>
    <xf numFmtId="0" fontId="2" fillId="0" borderId="2" xfId="0" applyFont="1" applyBorder="1" applyAlignment="1" applyProtection="1">
      <alignment horizontal="left" vertical="top" wrapText="1"/>
      <protection hidden="1"/>
    </xf>
    <xf numFmtId="0" fontId="4" fillId="0" borderId="2" xfId="0" applyFont="1" applyFill="1" applyBorder="1" applyAlignment="1" applyProtection="1">
      <alignment horizontal="left" vertical="top" wrapText="1"/>
      <protection hidden="1"/>
    </xf>
    <xf numFmtId="0" fontId="2" fillId="0" borderId="2" xfId="0" applyFont="1" applyFill="1" applyBorder="1" applyAlignment="1" applyProtection="1">
      <alignment horizontal="center" vertical="top"/>
      <protection hidden="1"/>
    </xf>
    <xf numFmtId="0" fontId="3" fillId="0" borderId="10" xfId="0" applyFont="1" applyFill="1" applyBorder="1" applyAlignment="1" applyProtection="1">
      <alignment horizontal="left" vertical="top"/>
      <protection hidden="1"/>
    </xf>
    <xf numFmtId="0" fontId="0" fillId="0" borderId="8" xfId="0" applyBorder="1" applyAlignment="1" applyProtection="1">
      <alignment horizontal="left" vertical="top"/>
      <protection hidden="1"/>
    </xf>
    <xf numFmtId="0" fontId="0" fillId="0" borderId="9" xfId="0" applyBorder="1" applyAlignment="1" applyProtection="1">
      <alignment horizontal="left" vertical="top"/>
      <protection hidden="1"/>
    </xf>
    <xf numFmtId="165" fontId="3" fillId="0" borderId="2" xfId="0" applyNumberFormat="1" applyFont="1" applyFill="1" applyBorder="1" applyAlignment="1" applyProtection="1">
      <alignment horizontal="center" vertical="center" wrapText="1"/>
      <protection hidden="1"/>
    </xf>
    <xf numFmtId="165" fontId="3" fillId="0" borderId="2" xfId="0" applyNumberFormat="1" applyFont="1" applyFill="1" applyBorder="1" applyAlignment="1" applyProtection="1">
      <alignment horizontal="center" vertical="center"/>
      <protection hidden="1"/>
    </xf>
    <xf numFmtId="0" fontId="2" fillId="0" borderId="2" xfId="0" applyFont="1" applyFill="1" applyBorder="1" applyAlignment="1" applyProtection="1">
      <alignment horizontal="left" vertical="top"/>
      <protection hidden="1"/>
    </xf>
    <xf numFmtId="0" fontId="3" fillId="0" borderId="2" xfId="0" applyFont="1" applyFill="1" applyBorder="1" applyAlignment="1" applyProtection="1">
      <alignment horizontal="center" vertical="center"/>
      <protection hidden="1"/>
    </xf>
    <xf numFmtId="0" fontId="5" fillId="0" borderId="0" xfId="0" applyFont="1" applyFill="1" applyAlignment="1" applyProtection="1">
      <alignment horizontal="left"/>
    </xf>
    <xf numFmtId="0" fontId="10" fillId="0" borderId="0" xfId="0" applyFont="1" applyFill="1" applyAlignment="1" applyProtection="1">
      <alignment horizontal="center"/>
    </xf>
    <xf numFmtId="0" fontId="2" fillId="0" borderId="10" xfId="0" applyFont="1" applyFill="1" applyBorder="1" applyAlignment="1" applyProtection="1">
      <alignment horizontal="left" vertical="top" wrapText="1"/>
      <protection hidden="1"/>
    </xf>
    <xf numFmtId="0" fontId="2" fillId="0" borderId="8" xfId="0" applyFont="1" applyFill="1" applyBorder="1" applyAlignment="1" applyProtection="1">
      <alignment horizontal="left" vertical="top" wrapText="1"/>
      <protection hidden="1"/>
    </xf>
    <xf numFmtId="0" fontId="2" fillId="0" borderId="9" xfId="0" applyFont="1" applyFill="1" applyBorder="1" applyAlignment="1" applyProtection="1">
      <alignment horizontal="left" vertical="top" wrapText="1"/>
      <protection hidden="1"/>
    </xf>
    <xf numFmtId="49" fontId="3" fillId="0" borderId="10" xfId="0" applyNumberFormat="1" applyFont="1" applyFill="1" applyBorder="1" applyAlignment="1" applyProtection="1">
      <alignment horizontal="left" vertical="top" wrapText="1"/>
      <protection hidden="1"/>
    </xf>
    <xf numFmtId="49" fontId="3" fillId="0" borderId="8" xfId="0" applyNumberFormat="1" applyFont="1" applyFill="1" applyBorder="1" applyAlignment="1" applyProtection="1">
      <alignment horizontal="left" vertical="top" wrapText="1"/>
      <protection hidden="1"/>
    </xf>
    <xf numFmtId="49" fontId="3" fillId="0" borderId="9" xfId="0" applyNumberFormat="1" applyFont="1" applyFill="1" applyBorder="1" applyAlignment="1" applyProtection="1">
      <alignment horizontal="left" vertical="top" wrapText="1"/>
      <protection hidden="1"/>
    </xf>
    <xf numFmtId="0" fontId="2" fillId="0" borderId="10" xfId="0" applyFont="1" applyFill="1" applyBorder="1" applyAlignment="1">
      <alignment horizontal="left" vertical="top"/>
    </xf>
    <xf numFmtId="0" fontId="2" fillId="0" borderId="8" xfId="0" applyFont="1" applyFill="1" applyBorder="1" applyAlignment="1">
      <alignment horizontal="left" vertical="top"/>
    </xf>
    <xf numFmtId="0" fontId="2" fillId="0" borderId="9" xfId="0" applyFont="1" applyFill="1" applyBorder="1" applyAlignment="1">
      <alignment horizontal="left" vertical="top"/>
    </xf>
    <xf numFmtId="0" fontId="2" fillId="0" borderId="2" xfId="0" applyFont="1" applyFill="1" applyBorder="1" applyAlignment="1" applyProtection="1">
      <alignment horizontal="left" vertical="top" wrapText="1"/>
      <protection hidden="1"/>
    </xf>
    <xf numFmtId="0" fontId="2" fillId="0" borderId="8" xfId="0" applyFont="1" applyBorder="1" applyAlignment="1">
      <alignment vertical="top"/>
    </xf>
    <xf numFmtId="0" fontId="2" fillId="0" borderId="9" xfId="0" applyFont="1" applyBorder="1" applyAlignment="1">
      <alignment vertical="top"/>
    </xf>
    <xf numFmtId="4" fontId="3" fillId="0" borderId="10" xfId="0" applyNumberFormat="1" applyFont="1" applyFill="1" applyBorder="1" applyAlignment="1">
      <alignment horizontal="center" vertical="center"/>
    </xf>
    <xf numFmtId="4" fontId="3" fillId="0" borderId="9" xfId="0" applyNumberFormat="1" applyFont="1" applyFill="1" applyBorder="1" applyAlignment="1">
      <alignment horizontal="center" vertical="center"/>
    </xf>
    <xf numFmtId="0" fontId="5" fillId="0" borderId="0" xfId="0" applyFont="1" applyFill="1" applyAlignment="1">
      <alignment horizontal="left"/>
    </xf>
    <xf numFmtId="4" fontId="3" fillId="0" borderId="2" xfId="0" applyNumberFormat="1" applyFont="1" applyFill="1" applyBorder="1" applyAlignment="1">
      <alignment horizontal="center" vertical="center" wrapText="1"/>
    </xf>
    <xf numFmtId="4" fontId="3" fillId="0" borderId="2" xfId="0" applyNumberFormat="1" applyFont="1" applyFill="1" applyBorder="1" applyAlignment="1">
      <alignment horizontal="center" vertical="center"/>
    </xf>
    <xf numFmtId="0" fontId="5" fillId="0" borderId="0" xfId="0" applyFont="1" applyAlignment="1">
      <alignment horizontal="left"/>
    </xf>
    <xf numFmtId="4" fontId="3" fillId="0" borderId="2" xfId="0" applyNumberFormat="1" applyFont="1" applyBorder="1" applyAlignment="1">
      <alignment horizontal="center" vertical="center" wrapText="1"/>
    </xf>
    <xf numFmtId="4" fontId="5" fillId="0" borderId="2" xfId="0" applyNumberFormat="1" applyFont="1" applyBorder="1" applyAlignment="1">
      <alignment horizontal="center" wrapText="1"/>
    </xf>
    <xf numFmtId="0" fontId="3" fillId="0" borderId="2" xfId="0" applyFont="1" applyBorder="1" applyAlignment="1" applyProtection="1">
      <alignment horizontal="center" vertical="center"/>
      <protection hidden="1"/>
    </xf>
    <xf numFmtId="165" fontId="3" fillId="0" borderId="2" xfId="0" applyNumberFormat="1" applyFont="1" applyBorder="1" applyAlignment="1" applyProtection="1">
      <alignment horizontal="center" vertical="center"/>
      <protection hidden="1"/>
    </xf>
    <xf numFmtId="4" fontId="3" fillId="0" borderId="2" xfId="2" applyNumberFormat="1" applyFont="1" applyFill="1" applyBorder="1" applyAlignment="1">
      <alignment horizontal="center" vertical="center" wrapText="1"/>
    </xf>
    <xf numFmtId="4" fontId="5" fillId="0" borderId="2" xfId="2" applyNumberFormat="1" applyFont="1" applyFill="1" applyBorder="1" applyAlignment="1">
      <alignment horizontal="center" wrapText="1"/>
    </xf>
    <xf numFmtId="4" fontId="3" fillId="0" borderId="3" xfId="2" applyNumberFormat="1" applyFont="1" applyFill="1" applyBorder="1" applyAlignment="1">
      <alignment horizontal="center" vertical="center" wrapText="1"/>
    </xf>
    <xf numFmtId="4" fontId="3" fillId="0" borderId="5" xfId="2" applyNumberFormat="1" applyFont="1" applyFill="1" applyBorder="1" applyAlignment="1">
      <alignment horizontal="center" vertical="center" wrapText="1"/>
    </xf>
    <xf numFmtId="4" fontId="3" fillId="0" borderId="14" xfId="2" applyNumberFormat="1" applyFont="1" applyFill="1" applyBorder="1" applyAlignment="1">
      <alignment horizontal="center" vertical="center" wrapText="1"/>
    </xf>
    <xf numFmtId="4" fontId="3" fillId="0" borderId="13" xfId="2" applyNumberFormat="1" applyFont="1" applyFill="1" applyBorder="1" applyAlignment="1">
      <alignment horizontal="center" vertical="center" wrapText="1"/>
    </xf>
    <xf numFmtId="4" fontId="3" fillId="0" borderId="11" xfId="2" applyNumberFormat="1" applyFont="1" applyFill="1" applyBorder="1" applyAlignment="1">
      <alignment horizontal="center" vertical="center" wrapText="1"/>
    </xf>
    <xf numFmtId="4" fontId="3" fillId="0" borderId="12" xfId="2" applyNumberFormat="1" applyFont="1" applyFill="1" applyBorder="1" applyAlignment="1">
      <alignment horizontal="center" vertical="center" wrapText="1"/>
    </xf>
    <xf numFmtId="0" fontId="2" fillId="0" borderId="9" xfId="0" applyFont="1" applyFill="1" applyBorder="1" applyAlignment="1">
      <alignment horizontal="left" vertical="top" wrapText="1"/>
    </xf>
    <xf numFmtId="0" fontId="2" fillId="0" borderId="2" xfId="0" applyFont="1" applyFill="1" applyBorder="1" applyAlignment="1">
      <alignment horizontal="left" vertical="top" wrapText="1"/>
    </xf>
    <xf numFmtId="0" fontId="3" fillId="0" borderId="8" xfId="0" applyFont="1" applyFill="1" applyBorder="1" applyAlignment="1" applyProtection="1">
      <alignment horizontal="left" vertical="top"/>
      <protection hidden="1"/>
    </xf>
    <xf numFmtId="0" fontId="3" fillId="0" borderId="9" xfId="0" applyFont="1" applyFill="1" applyBorder="1" applyAlignment="1" applyProtection="1">
      <alignment horizontal="left" vertical="top"/>
      <protection hidden="1"/>
    </xf>
    <xf numFmtId="0" fontId="3" fillId="0" borderId="2" xfId="0" applyFont="1" applyFill="1" applyBorder="1" applyAlignment="1" applyProtection="1">
      <alignment horizontal="center" vertical="center" wrapText="1"/>
      <protection hidden="1"/>
    </xf>
    <xf numFmtId="4" fontId="3" fillId="0" borderId="2" xfId="0" applyNumberFormat="1" applyFont="1" applyBorder="1" applyAlignment="1">
      <alignment horizontal="center"/>
    </xf>
    <xf numFmtId="4" fontId="3" fillId="0" borderId="7" xfId="2" applyNumberFormat="1" applyFont="1" applyFill="1" applyBorder="1" applyAlignment="1">
      <alignment horizontal="center" vertical="center" wrapText="1"/>
    </xf>
    <xf numFmtId="4" fontId="3" fillId="0" borderId="10" xfId="2" applyNumberFormat="1" applyFont="1" applyFill="1" applyBorder="1" applyAlignment="1">
      <alignment horizontal="center" vertical="center" wrapText="1"/>
    </xf>
    <xf numFmtId="4" fontId="3" fillId="0" borderId="8" xfId="2" applyNumberFormat="1" applyFont="1" applyFill="1" applyBorder="1" applyAlignment="1">
      <alignment horizontal="center" vertical="center" wrapText="1"/>
    </xf>
    <xf numFmtId="4" fontId="3" fillId="0" borderId="9" xfId="2" applyNumberFormat="1" applyFont="1" applyFill="1" applyBorder="1" applyAlignment="1">
      <alignment horizontal="center" vertical="center" wrapText="1"/>
    </xf>
    <xf numFmtId="4" fontId="5" fillId="0" borderId="2" xfId="0" applyNumberFormat="1" applyFont="1" applyBorder="1" applyAlignment="1">
      <alignment horizontal="center"/>
    </xf>
    <xf numFmtId="4" fontId="5" fillId="0" borderId="2" xfId="2" applyNumberFormat="1" applyFont="1" applyFill="1" applyBorder="1" applyAlignment="1">
      <alignment horizontal="center"/>
    </xf>
    <xf numFmtId="0" fontId="2" fillId="0" borderId="10" xfId="0" applyFont="1" applyFill="1" applyBorder="1" applyAlignment="1">
      <alignment vertical="top" wrapText="1"/>
    </xf>
    <xf numFmtId="0" fontId="2" fillId="0" borderId="8" xfId="0" applyFont="1" applyFill="1" applyBorder="1" applyAlignment="1">
      <alignment vertical="top" wrapText="1"/>
    </xf>
    <xf numFmtId="0" fontId="2" fillId="0" borderId="9" xfId="0" applyFont="1" applyFill="1" applyBorder="1" applyAlignment="1">
      <alignment vertical="top" wrapText="1"/>
    </xf>
    <xf numFmtId="0" fontId="5" fillId="0" borderId="0" xfId="0" applyFont="1" applyBorder="1" applyAlignment="1">
      <alignment horizontal="left"/>
    </xf>
    <xf numFmtId="165" fontId="3" fillId="0" borderId="2" xfId="0" applyNumberFormat="1" applyFont="1" applyBorder="1" applyAlignment="1" applyProtection="1">
      <alignment horizontal="center" vertical="center" wrapText="1"/>
      <protection hidden="1"/>
    </xf>
    <xf numFmtId="0" fontId="3" fillId="0" borderId="2" xfId="0" applyFont="1" applyBorder="1" applyAlignment="1" applyProtection="1">
      <alignment horizontal="center" vertical="center" wrapText="1"/>
      <protection hidden="1"/>
    </xf>
    <xf numFmtId="4" fontId="20" fillId="0" borderId="2" xfId="0" applyNumberFormat="1" applyFont="1" applyFill="1" applyBorder="1" applyAlignment="1">
      <alignment horizontal="center" vertical="center" wrapText="1"/>
    </xf>
    <xf numFmtId="4" fontId="5" fillId="0" borderId="2" xfId="0" applyNumberFormat="1" applyFont="1" applyFill="1" applyBorder="1" applyAlignment="1">
      <alignment horizontal="center" vertical="center" wrapText="1"/>
    </xf>
    <xf numFmtId="0" fontId="4" fillId="0" borderId="2" xfId="0" applyFont="1" applyBorder="1" applyAlignment="1">
      <alignment horizontal="left" vertical="center"/>
    </xf>
    <xf numFmtId="165" fontId="3" fillId="0" borderId="2" xfId="0" applyNumberFormat="1" applyFont="1" applyBorder="1" applyAlignment="1">
      <alignment horizontal="center" vertical="center"/>
    </xf>
    <xf numFmtId="0" fontId="3" fillId="0" borderId="2" xfId="0" applyFont="1" applyBorder="1" applyAlignment="1">
      <alignment horizontal="center" vertical="center"/>
    </xf>
    <xf numFmtId="4" fontId="3" fillId="0" borderId="2" xfId="0" applyNumberFormat="1" applyFont="1" applyBorder="1" applyAlignment="1">
      <alignment horizontal="center" vertical="center"/>
    </xf>
    <xf numFmtId="4" fontId="20" fillId="0" borderId="2" xfId="0" applyNumberFormat="1" applyFont="1" applyBorder="1" applyAlignment="1">
      <alignment horizontal="center" vertical="center"/>
    </xf>
    <xf numFmtId="4" fontId="5" fillId="0" borderId="2" xfId="0" applyNumberFormat="1" applyFont="1" applyBorder="1" applyAlignment="1">
      <alignment horizontal="center" vertical="center"/>
    </xf>
    <xf numFmtId="2" fontId="3" fillId="0" borderId="2" xfId="0" applyNumberFormat="1" applyFont="1" applyBorder="1" applyAlignment="1">
      <alignment horizontal="center" vertical="center"/>
    </xf>
    <xf numFmtId="2" fontId="20" fillId="0" borderId="2" xfId="0" applyNumberFormat="1" applyFont="1" applyBorder="1" applyAlignment="1">
      <alignment horizontal="center" vertical="center"/>
    </xf>
    <xf numFmtId="2" fontId="3" fillId="0" borderId="2" xfId="0" applyNumberFormat="1" applyFont="1" applyBorder="1" applyAlignment="1">
      <alignment horizontal="center" vertical="center" wrapText="1"/>
    </xf>
    <xf numFmtId="0" fontId="4" fillId="0" borderId="2" xfId="0" applyFont="1" applyBorder="1" applyAlignment="1">
      <alignment horizontal="center"/>
    </xf>
    <xf numFmtId="165" fontId="3" fillId="0" borderId="2" xfId="0" applyNumberFormat="1" applyFont="1" applyBorder="1" applyAlignment="1">
      <alignment horizontal="center" vertical="center" wrapText="1"/>
    </xf>
    <xf numFmtId="0" fontId="3" fillId="0" borderId="2" xfId="0" applyFont="1" applyBorder="1" applyAlignment="1">
      <alignment horizontal="center" vertical="center" wrapText="1"/>
    </xf>
    <xf numFmtId="49" fontId="2" fillId="0" borderId="8" xfId="2" applyNumberFormat="1" applyFont="1" applyFill="1" applyBorder="1" applyAlignment="1">
      <alignment horizontal="left" vertical="top" wrapText="1"/>
    </xf>
    <xf numFmtId="0" fontId="2" fillId="0" borderId="8" xfId="2" applyFont="1" applyFill="1" applyBorder="1" applyAlignment="1">
      <alignment vertical="top"/>
    </xf>
    <xf numFmtId="0" fontId="21" fillId="0" borderId="8" xfId="2" applyBorder="1" applyAlignment="1">
      <alignment vertical="top"/>
    </xf>
    <xf numFmtId="0" fontId="21" fillId="0" borderId="9" xfId="2" applyBorder="1" applyAlignment="1">
      <alignment vertical="top"/>
    </xf>
    <xf numFmtId="0" fontId="2" fillId="0" borderId="8" xfId="2" applyFont="1" applyBorder="1" applyAlignment="1">
      <alignment vertical="top"/>
    </xf>
    <xf numFmtId="0" fontId="2" fillId="0" borderId="9" xfId="2" applyFont="1" applyBorder="1" applyAlignment="1">
      <alignment vertical="top"/>
    </xf>
    <xf numFmtId="49" fontId="3" fillId="0" borderId="10" xfId="2" applyNumberFormat="1" applyFont="1" applyFill="1" applyBorder="1" applyAlignment="1">
      <alignment horizontal="left" vertical="top"/>
    </xf>
    <xf numFmtId="0" fontId="2" fillId="0" borderId="8" xfId="2" applyFont="1" applyFill="1" applyBorder="1" applyAlignment="1">
      <alignment horizontal="left" vertical="top"/>
    </xf>
    <xf numFmtId="0" fontId="2" fillId="0" borderId="9" xfId="2" applyFont="1" applyFill="1" applyBorder="1" applyAlignment="1">
      <alignment horizontal="left" vertical="top"/>
    </xf>
    <xf numFmtId="0" fontId="2" fillId="0" borderId="8" xfId="2" applyFont="1" applyFill="1" applyBorder="1" applyAlignment="1">
      <alignment horizontal="left" vertical="top" wrapText="1"/>
    </xf>
    <xf numFmtId="0" fontId="2" fillId="0" borderId="9" xfId="2" applyFont="1" applyFill="1" applyBorder="1" applyAlignment="1">
      <alignment horizontal="left" vertical="top" wrapText="1"/>
    </xf>
    <xf numFmtId="49" fontId="3" fillId="0" borderId="10" xfId="2" applyNumberFormat="1" applyFont="1" applyBorder="1" applyAlignment="1">
      <alignment horizontal="left" vertical="top"/>
    </xf>
    <xf numFmtId="4" fontId="3" fillId="0" borderId="3" xfId="2" applyNumberFormat="1" applyFont="1" applyFill="1" applyBorder="1" applyAlignment="1">
      <alignment horizontal="center" vertical="center" textRotation="90" wrapText="1"/>
    </xf>
    <xf numFmtId="0" fontId="21" fillId="0" borderId="4" xfId="2" applyFill="1" applyBorder="1" applyAlignment="1">
      <alignment horizontal="center" vertical="center" textRotation="90" wrapText="1"/>
    </xf>
    <xf numFmtId="0" fontId="21" fillId="0" borderId="5" xfId="2" applyFill="1" applyBorder="1" applyAlignment="1">
      <alignment horizontal="center" vertical="center" textRotation="90" wrapText="1"/>
    </xf>
    <xf numFmtId="0" fontId="3" fillId="0" borderId="1" xfId="2" quotePrefix="1" applyFont="1" applyFill="1" applyBorder="1" applyAlignment="1">
      <alignment horizontal="left" vertical="center"/>
    </xf>
    <xf numFmtId="0" fontId="3" fillId="0" borderId="0" xfId="2" applyFont="1" applyFill="1" applyBorder="1" applyAlignment="1">
      <alignment horizontal="left" vertical="center"/>
    </xf>
    <xf numFmtId="0" fontId="3" fillId="0" borderId="11" xfId="2" applyFont="1" applyFill="1" applyBorder="1" applyAlignment="1">
      <alignment horizontal="left" vertical="center"/>
    </xf>
    <xf numFmtId="0" fontId="3" fillId="0" borderId="6" xfId="2" applyFont="1" applyFill="1" applyBorder="1" applyAlignment="1">
      <alignment horizontal="left" vertical="center"/>
    </xf>
    <xf numFmtId="0" fontId="3" fillId="0" borderId="20" xfId="2" applyFont="1" applyFill="1" applyBorder="1" applyAlignment="1">
      <alignment horizontal="center" vertical="center"/>
    </xf>
    <xf numFmtId="0" fontId="3" fillId="0" borderId="21" xfId="2" applyFont="1" applyFill="1" applyBorder="1" applyAlignment="1">
      <alignment horizontal="center" vertical="center"/>
    </xf>
    <xf numFmtId="0" fontId="21" fillId="0" borderId="4" xfId="2" applyFont="1" applyFill="1" applyBorder="1" applyAlignment="1">
      <alignment horizontal="center" vertical="center" textRotation="90" wrapText="1"/>
    </xf>
    <xf numFmtId="0" fontId="21" fillId="0" borderId="5" xfId="2" applyFont="1" applyFill="1" applyBorder="1" applyAlignment="1">
      <alignment horizontal="center" vertical="center" textRotation="90" wrapText="1"/>
    </xf>
    <xf numFmtId="4" fontId="3" fillId="0" borderId="4" xfId="2" applyNumberFormat="1" applyFont="1" applyFill="1" applyBorder="1" applyAlignment="1">
      <alignment horizontal="center" vertical="center" textRotation="90" wrapText="1"/>
    </xf>
    <xf numFmtId="4" fontId="3" fillId="0" borderId="5" xfId="2" applyNumberFormat="1" applyFont="1" applyFill="1" applyBorder="1" applyAlignment="1">
      <alignment horizontal="center" vertical="center" textRotation="90" wrapText="1"/>
    </xf>
    <xf numFmtId="0" fontId="3" fillId="0" borderId="15" xfId="2" applyFont="1" applyFill="1" applyBorder="1" applyAlignment="1">
      <alignment horizontal="center" vertical="center"/>
    </xf>
    <xf numFmtId="0" fontId="3" fillId="0" borderId="16" xfId="2" applyFont="1" applyFill="1" applyBorder="1" applyAlignment="1">
      <alignment horizontal="center" vertical="center"/>
    </xf>
    <xf numFmtId="0" fontId="3" fillId="0" borderId="17" xfId="2" applyFont="1" applyFill="1" applyBorder="1" applyAlignment="1">
      <alignment horizontal="center" vertical="center"/>
    </xf>
    <xf numFmtId="0" fontId="3" fillId="0" borderId="18" xfId="2" applyFont="1" applyFill="1" applyBorder="1" applyAlignment="1">
      <alignment horizontal="center" vertical="center"/>
    </xf>
    <xf numFmtId="0" fontId="3" fillId="0" borderId="13" xfId="2" quotePrefix="1" applyFont="1" applyFill="1" applyBorder="1" applyAlignment="1">
      <alignment horizontal="right" vertical="center" wrapText="1"/>
    </xf>
    <xf numFmtId="0" fontId="3" fillId="0" borderId="19" xfId="2" applyFont="1" applyFill="1" applyBorder="1" applyAlignment="1">
      <alignment horizontal="right" vertical="center" wrapText="1"/>
    </xf>
    <xf numFmtId="165" fontId="3" fillId="0" borderId="2" xfId="2" applyNumberFormat="1" applyFont="1" applyFill="1" applyBorder="1" applyAlignment="1">
      <alignment horizontal="center" vertical="center"/>
    </xf>
    <xf numFmtId="4" fontId="3" fillId="0" borderId="14" xfId="2" applyNumberFormat="1" applyFont="1" applyFill="1" applyBorder="1" applyAlignment="1">
      <alignment horizontal="center" vertical="center" textRotation="90" wrapText="1"/>
    </xf>
    <xf numFmtId="0" fontId="21" fillId="0" borderId="1" xfId="2" applyFont="1" applyFill="1" applyBorder="1" applyAlignment="1">
      <alignment horizontal="center" vertical="center" textRotation="90"/>
    </xf>
    <xf numFmtId="0" fontId="21" fillId="0" borderId="11" xfId="2" applyFont="1" applyFill="1" applyBorder="1" applyAlignment="1">
      <alignment horizontal="center" vertical="center" textRotation="90"/>
    </xf>
    <xf numFmtId="4" fontId="3" fillId="0" borderId="2" xfId="2" applyNumberFormat="1" applyFont="1" applyFill="1" applyBorder="1" applyAlignment="1">
      <alignment horizontal="center" vertical="center" textRotation="90" wrapText="1"/>
    </xf>
    <xf numFmtId="0" fontId="2" fillId="0" borderId="2" xfId="2" applyFont="1" applyFill="1" applyBorder="1" applyAlignment="1">
      <alignment horizontal="center" vertical="center" textRotation="90" wrapText="1"/>
    </xf>
    <xf numFmtId="0" fontId="3" fillId="0" borderId="1" xfId="2" quotePrefix="1" applyFont="1" applyFill="1" applyBorder="1" applyAlignment="1">
      <alignment horizontal="center" vertical="center"/>
    </xf>
    <xf numFmtId="0" fontId="3" fillId="0" borderId="0" xfId="2" quotePrefix="1" applyFont="1" applyFill="1" applyBorder="1" applyAlignment="1">
      <alignment horizontal="center" vertical="center"/>
    </xf>
    <xf numFmtId="0" fontId="3" fillId="0" borderId="11" xfId="2" quotePrefix="1" applyFont="1" applyFill="1" applyBorder="1" applyAlignment="1">
      <alignment horizontal="center" vertical="center"/>
    </xf>
    <xf numFmtId="0" fontId="3" fillId="0" borderId="6" xfId="2" quotePrefix="1" applyFont="1" applyFill="1" applyBorder="1" applyAlignment="1">
      <alignment horizontal="center" vertical="center"/>
    </xf>
    <xf numFmtId="4" fontId="3" fillId="0" borderId="13" xfId="2" applyNumberFormat="1" applyFont="1" applyFill="1" applyBorder="1" applyAlignment="1">
      <alignment horizontal="center" vertical="center" textRotation="90" wrapText="1"/>
    </xf>
    <xf numFmtId="4" fontId="3" fillId="0" borderId="1" xfId="2" applyNumberFormat="1" applyFont="1" applyFill="1" applyBorder="1" applyAlignment="1">
      <alignment horizontal="center" vertical="center" textRotation="90" wrapText="1"/>
    </xf>
    <xf numFmtId="4" fontId="3" fillId="0" borderId="19" xfId="2" applyNumberFormat="1" applyFont="1" applyFill="1" applyBorder="1" applyAlignment="1">
      <alignment horizontal="center" vertical="center" textRotation="90" wrapText="1"/>
    </xf>
    <xf numFmtId="4" fontId="3" fillId="0" borderId="11" xfId="2" applyNumberFormat="1" applyFont="1" applyFill="1" applyBorder="1" applyAlignment="1">
      <alignment horizontal="center" vertical="center" textRotation="90" wrapText="1"/>
    </xf>
    <xf numFmtId="4" fontId="3" fillId="0" borderId="12" xfId="2" applyNumberFormat="1" applyFont="1" applyFill="1" applyBorder="1" applyAlignment="1">
      <alignment horizontal="center" vertical="center" textRotation="90" wrapText="1"/>
    </xf>
    <xf numFmtId="0" fontId="3" fillId="0" borderId="15" xfId="0" applyFont="1" applyFill="1" applyBorder="1" applyAlignment="1">
      <alignment horizontal="center" vertical="center"/>
    </xf>
    <xf numFmtId="0" fontId="3" fillId="0" borderId="16" xfId="0" applyFont="1" applyFill="1" applyBorder="1" applyAlignment="1">
      <alignment horizontal="center" vertical="center"/>
    </xf>
    <xf numFmtId="0" fontId="3" fillId="0" borderId="17"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13" xfId="0" quotePrefix="1" applyFont="1" applyFill="1" applyBorder="1" applyAlignment="1">
      <alignment horizontal="right" vertical="center" wrapText="1"/>
    </xf>
    <xf numFmtId="0" fontId="3" fillId="0" borderId="19" xfId="0" applyFont="1" applyFill="1" applyBorder="1" applyAlignment="1">
      <alignment horizontal="right" vertical="center" wrapText="1"/>
    </xf>
    <xf numFmtId="165" fontId="3" fillId="0" borderId="2" xfId="0" applyNumberFormat="1" applyFont="1" applyFill="1" applyBorder="1" applyAlignment="1">
      <alignment horizontal="center" vertical="center"/>
    </xf>
    <xf numFmtId="4" fontId="3" fillId="0" borderId="2" xfId="0" applyNumberFormat="1" applyFont="1" applyFill="1" applyBorder="1" applyAlignment="1">
      <alignment horizontal="center" vertical="center" textRotation="90" wrapText="1"/>
    </xf>
    <xf numFmtId="4" fontId="3" fillId="0" borderId="14" xfId="0" applyNumberFormat="1" applyFont="1" applyFill="1" applyBorder="1" applyAlignment="1">
      <alignment horizontal="center" vertical="center" textRotation="90" wrapText="1"/>
    </xf>
    <xf numFmtId="4" fontId="3" fillId="0" borderId="13" xfId="0" applyNumberFormat="1" applyFont="1" applyFill="1" applyBorder="1" applyAlignment="1">
      <alignment horizontal="center" vertical="center" textRotation="90" wrapText="1"/>
    </xf>
    <xf numFmtId="4" fontId="3" fillId="0" borderId="1" xfId="0" applyNumberFormat="1" applyFont="1" applyFill="1" applyBorder="1" applyAlignment="1">
      <alignment horizontal="center" vertical="center" textRotation="90" wrapText="1"/>
    </xf>
    <xf numFmtId="4" fontId="3" fillId="0" borderId="19" xfId="0" applyNumberFormat="1" applyFont="1" applyFill="1" applyBorder="1" applyAlignment="1">
      <alignment horizontal="center" vertical="center" textRotation="90" wrapText="1"/>
    </xf>
    <xf numFmtId="4" fontId="3" fillId="0" borderId="11" xfId="0" applyNumberFormat="1" applyFont="1" applyFill="1" applyBorder="1" applyAlignment="1">
      <alignment horizontal="center" vertical="center" textRotation="90" wrapText="1"/>
    </xf>
    <xf numFmtId="4" fontId="3" fillId="0" borderId="12" xfId="0" applyNumberFormat="1" applyFont="1" applyFill="1" applyBorder="1" applyAlignment="1">
      <alignment horizontal="center" vertical="center" textRotation="90" wrapText="1"/>
    </xf>
    <xf numFmtId="0" fontId="0" fillId="0" borderId="2" xfId="0" applyFill="1" applyBorder="1" applyAlignment="1">
      <alignment horizontal="center" vertical="center" textRotation="90" wrapText="1"/>
    </xf>
    <xf numFmtId="0" fontId="3" fillId="0" borderId="1" xfId="0" quotePrefix="1" applyFont="1" applyFill="1" applyBorder="1" applyAlignment="1">
      <alignment horizontal="center" vertical="center"/>
    </xf>
    <xf numFmtId="0" fontId="3" fillId="0" borderId="0" xfId="0" quotePrefix="1" applyFont="1" applyFill="1" applyBorder="1" applyAlignment="1">
      <alignment horizontal="center" vertical="center"/>
    </xf>
    <xf numFmtId="0" fontId="3" fillId="0" borderId="11" xfId="0" quotePrefix="1" applyFont="1" applyFill="1" applyBorder="1" applyAlignment="1">
      <alignment horizontal="center" vertical="center"/>
    </xf>
    <xf numFmtId="0" fontId="3" fillId="0" borderId="6" xfId="0" quotePrefix="1" applyFont="1" applyFill="1" applyBorder="1" applyAlignment="1">
      <alignment horizontal="center" vertical="center"/>
    </xf>
    <xf numFmtId="0" fontId="3" fillId="0" borderId="20" xfId="0" applyFont="1" applyFill="1" applyBorder="1" applyAlignment="1">
      <alignment horizontal="center" vertical="center"/>
    </xf>
    <xf numFmtId="0" fontId="3" fillId="0" borderId="21" xfId="0" applyFont="1" applyFill="1" applyBorder="1" applyAlignment="1">
      <alignment horizontal="center" vertical="center"/>
    </xf>
    <xf numFmtId="49" fontId="3" fillId="0" borderId="10" xfId="0" applyNumberFormat="1" applyFont="1" applyBorder="1" applyAlignment="1">
      <alignment horizontal="left" vertical="top"/>
    </xf>
    <xf numFmtId="0" fontId="0" fillId="0" borderId="8" xfId="0" applyBorder="1" applyAlignment="1">
      <alignment vertical="top"/>
    </xf>
    <xf numFmtId="0" fontId="0" fillId="0" borderId="9" xfId="0" applyBorder="1" applyAlignment="1">
      <alignment vertical="top"/>
    </xf>
    <xf numFmtId="0" fontId="2" fillId="0" borderId="8" xfId="0" applyFont="1" applyFill="1" applyBorder="1" applyAlignment="1">
      <alignment horizontal="left" vertical="top" wrapText="1"/>
    </xf>
    <xf numFmtId="49" fontId="2" fillId="0" borderId="8" xfId="0" applyNumberFormat="1" applyFont="1" applyFill="1" applyBorder="1" applyAlignment="1">
      <alignment horizontal="left" vertical="top" wrapText="1"/>
    </xf>
    <xf numFmtId="0" fontId="2" fillId="0" borderId="8" xfId="0" applyFont="1" applyFill="1" applyBorder="1" applyAlignment="1">
      <alignment vertical="top"/>
    </xf>
    <xf numFmtId="49" fontId="3" fillId="0" borderId="10" xfId="0" applyNumberFormat="1" applyFont="1" applyFill="1" applyBorder="1" applyAlignment="1">
      <alignment horizontal="left" vertical="top"/>
    </xf>
    <xf numFmtId="0" fontId="3" fillId="0" borderId="2" xfId="0" applyFont="1" applyFill="1" applyBorder="1" applyAlignment="1">
      <alignment horizontal="center" vertical="center"/>
    </xf>
    <xf numFmtId="0" fontId="3" fillId="0" borderId="2" xfId="0" applyFont="1" applyFill="1" applyBorder="1" applyAlignment="1">
      <alignment horizontal="center" vertical="center" wrapText="1"/>
    </xf>
    <xf numFmtId="0" fontId="3" fillId="0" borderId="2" xfId="0" applyFont="1" applyFill="1" applyBorder="1" applyAlignment="1">
      <alignment horizontal="center"/>
    </xf>
    <xf numFmtId="0" fontId="3" fillId="0" borderId="10"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0" xfId="0" applyFont="1" applyAlignment="1">
      <alignment horizontal="left"/>
    </xf>
    <xf numFmtId="0" fontId="11" fillId="0" borderId="0" xfId="0" applyFont="1" applyFill="1" applyAlignment="1">
      <alignment horizontal="left"/>
    </xf>
    <xf numFmtId="0" fontId="0" fillId="0" borderId="2" xfId="0" applyBorder="1" applyAlignment="1" applyProtection="1">
      <alignment wrapText="1"/>
      <protection hidden="1"/>
    </xf>
    <xf numFmtId="0" fontId="5" fillId="0" borderId="2" xfId="0" applyFont="1" applyBorder="1" applyAlignment="1" applyProtection="1">
      <alignment horizontal="center" vertical="center" wrapText="1"/>
      <protection hidden="1"/>
    </xf>
    <xf numFmtId="0" fontId="29" fillId="0" borderId="10" xfId="4" applyFont="1" applyFill="1" applyBorder="1" applyAlignment="1" applyProtection="1">
      <alignment horizontal="left" vertical="center" wrapText="1"/>
      <protection hidden="1"/>
    </xf>
    <xf numFmtId="0" fontId="29" fillId="0" borderId="8" xfId="4" applyFont="1" applyFill="1" applyBorder="1" applyAlignment="1" applyProtection="1">
      <alignment horizontal="left" vertical="center" wrapText="1"/>
      <protection hidden="1"/>
    </xf>
    <xf numFmtId="0" fontId="29" fillId="0" borderId="9" xfId="4" applyFont="1" applyFill="1" applyBorder="1" applyAlignment="1" applyProtection="1">
      <alignment horizontal="left" vertical="center" wrapText="1"/>
      <protection hidden="1"/>
    </xf>
    <xf numFmtId="0" fontId="34" fillId="0" borderId="10" xfId="4" applyFont="1" applyFill="1" applyBorder="1" applyAlignment="1" applyProtection="1">
      <alignment horizontal="center" vertical="center" wrapText="1"/>
      <protection hidden="1"/>
    </xf>
    <xf numFmtId="0" fontId="34" fillId="0" borderId="8" xfId="4" applyFont="1" applyFill="1" applyBorder="1" applyAlignment="1" applyProtection="1">
      <alignment horizontal="center" vertical="center" wrapText="1"/>
      <protection hidden="1"/>
    </xf>
    <xf numFmtId="0" fontId="34" fillId="0" borderId="9" xfId="4" applyFont="1" applyFill="1" applyBorder="1" applyAlignment="1" applyProtection="1">
      <alignment horizontal="center" vertical="center" wrapText="1"/>
      <protection hidden="1"/>
    </xf>
    <xf numFmtId="0" fontId="29" fillId="0" borderId="10" xfId="4" applyFont="1" applyFill="1" applyBorder="1" applyAlignment="1" applyProtection="1">
      <alignment horizontal="center" vertical="center" wrapText="1"/>
      <protection hidden="1"/>
    </xf>
    <xf numFmtId="0" fontId="29" fillId="0" borderId="8" xfId="4" applyFont="1" applyFill="1" applyBorder="1" applyAlignment="1" applyProtection="1">
      <alignment horizontal="center" vertical="center" wrapText="1"/>
      <protection hidden="1"/>
    </xf>
    <xf numFmtId="0" fontId="29" fillId="0" borderId="9" xfId="4" applyFont="1" applyFill="1" applyBorder="1" applyAlignment="1" applyProtection="1">
      <alignment horizontal="center" vertical="center" wrapText="1"/>
      <protection hidden="1"/>
    </xf>
    <xf numFmtId="49" fontId="39" fillId="0" borderId="10" xfId="3" applyNumberFormat="1" applyFont="1" applyFill="1" applyBorder="1" applyAlignment="1" applyProtection="1">
      <alignment vertical="top" wrapText="1"/>
      <protection hidden="1"/>
    </xf>
    <xf numFmtId="49" fontId="39" fillId="0" borderId="9" xfId="3" applyNumberFormat="1" applyFont="1" applyFill="1" applyBorder="1" applyAlignment="1" applyProtection="1">
      <alignment vertical="top" wrapText="1"/>
      <protection hidden="1"/>
    </xf>
    <xf numFmtId="0" fontId="29" fillId="0" borderId="2" xfId="1" applyNumberFormat="1" applyFont="1" applyFill="1" applyBorder="1" applyAlignment="1">
      <alignment horizontal="center" vertical="center" wrapText="1"/>
    </xf>
    <xf numFmtId="0" fontId="38" fillId="0" borderId="2" xfId="4" applyFont="1" applyBorder="1" applyAlignment="1">
      <alignment horizontal="center" vertical="center" wrapText="1"/>
    </xf>
    <xf numFmtId="0" fontId="39" fillId="0" borderId="2" xfId="4" applyFont="1" applyBorder="1" applyAlignment="1">
      <alignment horizontal="center" vertical="center" wrapText="1"/>
    </xf>
    <xf numFmtId="0" fontId="38" fillId="0" borderId="2" xfId="4" applyNumberFormat="1" applyFont="1" applyBorder="1" applyAlignment="1">
      <alignment horizontal="center" vertical="center" wrapText="1"/>
    </xf>
    <xf numFmtId="0" fontId="39" fillId="0" borderId="3" xfId="4" applyFont="1" applyBorder="1" applyAlignment="1">
      <alignment horizontal="center" wrapText="1"/>
    </xf>
    <xf numFmtId="0" fontId="39" fillId="0" borderId="5" xfId="4" applyFont="1" applyBorder="1" applyAlignment="1">
      <alignment horizontal="center" wrapText="1"/>
    </xf>
    <xf numFmtId="0" fontId="29" fillId="0" borderId="2" xfId="4" applyNumberFormat="1" applyFont="1" applyFill="1" applyBorder="1" applyAlignment="1">
      <alignment horizontal="center" vertical="center" wrapText="1"/>
    </xf>
    <xf numFmtId="0" fontId="39" fillId="0" borderId="2" xfId="4" applyFont="1" applyBorder="1" applyAlignment="1">
      <alignment wrapText="1"/>
    </xf>
    <xf numFmtId="0" fontId="29" fillId="0" borderId="14" xfId="4" applyNumberFormat="1" applyFont="1" applyFill="1" applyBorder="1" applyAlignment="1">
      <alignment horizontal="center" vertical="center" wrapText="1"/>
    </xf>
    <xf numFmtId="0" fontId="29" fillId="0" borderId="7" xfId="4" applyNumberFormat="1" applyFont="1" applyFill="1" applyBorder="1" applyAlignment="1">
      <alignment horizontal="center" vertical="center" wrapText="1"/>
    </xf>
    <xf numFmtId="0" fontId="29" fillId="0" borderId="13" xfId="4" applyNumberFormat="1" applyFont="1" applyFill="1" applyBorder="1" applyAlignment="1">
      <alignment horizontal="center" vertical="center" wrapText="1"/>
    </xf>
    <xf numFmtId="0" fontId="29" fillId="0" borderId="1" xfId="4" applyNumberFormat="1" applyFont="1" applyFill="1" applyBorder="1" applyAlignment="1">
      <alignment horizontal="center" vertical="center" wrapText="1"/>
    </xf>
    <xf numFmtId="0" fontId="29" fillId="0" borderId="0" xfId="4" applyNumberFormat="1" applyFont="1" applyFill="1" applyBorder="1" applyAlignment="1">
      <alignment horizontal="center" vertical="center" wrapText="1"/>
    </xf>
    <xf numFmtId="0" fontId="29" fillId="0" borderId="19" xfId="4" applyNumberFormat="1" applyFont="1" applyFill="1" applyBorder="1" applyAlignment="1">
      <alignment horizontal="center" vertical="center" wrapText="1"/>
    </xf>
    <xf numFmtId="0" fontId="29" fillId="0" borderId="11" xfId="4" applyNumberFormat="1" applyFont="1" applyFill="1" applyBorder="1" applyAlignment="1">
      <alignment horizontal="center" vertical="center" wrapText="1"/>
    </xf>
    <xf numFmtId="0" fontId="29" fillId="0" borderId="6" xfId="4" applyNumberFormat="1" applyFont="1" applyFill="1" applyBorder="1" applyAlignment="1">
      <alignment horizontal="center" vertical="center" wrapText="1"/>
    </xf>
    <xf numFmtId="0" fontId="29" fillId="0" borderId="12" xfId="4" applyNumberFormat="1" applyFont="1" applyFill="1" applyBorder="1" applyAlignment="1">
      <alignment horizontal="center" vertical="center" wrapText="1"/>
    </xf>
    <xf numFmtId="0" fontId="29" fillId="0" borderId="10" xfId="3" applyFont="1" applyFill="1" applyBorder="1" applyAlignment="1">
      <alignment horizontal="left" vertical="center" wrapText="1"/>
    </xf>
    <xf numFmtId="0" fontId="29" fillId="0" borderId="8" xfId="3" applyFont="1" applyFill="1" applyBorder="1" applyAlignment="1">
      <alignment horizontal="left" vertical="center" wrapText="1"/>
    </xf>
    <xf numFmtId="0" fontId="29" fillId="0" borderId="9" xfId="3" applyFont="1" applyFill="1" applyBorder="1" applyAlignment="1">
      <alignment horizontal="left" vertical="center" wrapText="1"/>
    </xf>
    <xf numFmtId="0" fontId="29" fillId="0" borderId="10" xfId="3" applyFont="1" applyFill="1" applyBorder="1" applyAlignment="1">
      <alignment horizontal="center" vertical="center" wrapText="1"/>
    </xf>
    <xf numFmtId="0" fontId="29" fillId="0" borderId="8" xfId="3" applyFont="1" applyFill="1" applyBorder="1" applyAlignment="1">
      <alignment horizontal="center" vertical="center" wrapText="1"/>
    </xf>
    <xf numFmtId="0" fontId="29" fillId="0" borderId="9" xfId="3" applyFont="1" applyFill="1" applyBorder="1" applyAlignment="1">
      <alignment horizontal="center" vertical="center" wrapText="1"/>
    </xf>
    <xf numFmtId="49" fontId="39" fillId="0" borderId="10" xfId="3" applyNumberFormat="1" applyFont="1" applyFill="1" applyBorder="1" applyAlignment="1" applyProtection="1">
      <alignment horizontal="left" vertical="top" wrapText="1"/>
      <protection hidden="1"/>
    </xf>
    <xf numFmtId="49" fontId="39" fillId="0" borderId="9" xfId="3" applyNumberFormat="1" applyFont="1" applyFill="1" applyBorder="1" applyAlignment="1" applyProtection="1">
      <alignment horizontal="left" vertical="top" wrapText="1"/>
      <protection hidden="1"/>
    </xf>
    <xf numFmtId="0" fontId="32" fillId="0" borderId="3" xfId="1" applyNumberFormat="1" applyFont="1" applyFill="1" applyBorder="1" applyAlignment="1">
      <alignment horizontal="center" vertical="center" wrapText="1"/>
    </xf>
    <xf numFmtId="0" fontId="32" fillId="0" borderId="5" xfId="1" applyNumberFormat="1" applyFont="1" applyFill="1" applyBorder="1" applyAlignment="1">
      <alignment horizontal="center" vertical="center" wrapText="1"/>
    </xf>
    <xf numFmtId="0" fontId="29" fillId="0" borderId="2" xfId="3" applyNumberFormat="1" applyFont="1" applyBorder="1" applyAlignment="1">
      <alignment horizontal="center" vertical="center" wrapText="1"/>
    </xf>
    <xf numFmtId="0" fontId="39" fillId="0" borderId="2" xfId="3" applyNumberFormat="1" applyFont="1" applyBorder="1" applyAlignment="1">
      <alignment horizontal="center" vertical="center" wrapText="1"/>
    </xf>
    <xf numFmtId="0" fontId="29" fillId="0" borderId="14" xfId="3" applyNumberFormat="1" applyFont="1" applyFill="1" applyBorder="1" applyAlignment="1">
      <alignment horizontal="center" vertical="center" wrapText="1"/>
    </xf>
    <xf numFmtId="0" fontId="29" fillId="0" borderId="7" xfId="3" applyNumberFormat="1" applyFont="1" applyFill="1" applyBorder="1" applyAlignment="1">
      <alignment horizontal="center" vertical="center" wrapText="1"/>
    </xf>
    <xf numFmtId="0" fontId="29" fillId="0" borderId="13" xfId="3" applyNumberFormat="1" applyFont="1" applyFill="1" applyBorder="1" applyAlignment="1">
      <alignment horizontal="center" vertical="center" wrapText="1"/>
    </xf>
    <xf numFmtId="0" fontId="29" fillId="0" borderId="1" xfId="3" applyNumberFormat="1" applyFont="1" applyFill="1" applyBorder="1" applyAlignment="1">
      <alignment horizontal="center" vertical="center" wrapText="1"/>
    </xf>
    <xf numFmtId="0" fontId="29" fillId="0" borderId="0" xfId="3" applyNumberFormat="1" applyFont="1" applyFill="1" applyBorder="1" applyAlignment="1">
      <alignment horizontal="center" vertical="center" wrapText="1"/>
    </xf>
    <xf numFmtId="0" fontId="29" fillId="0" borderId="19" xfId="3" applyNumberFormat="1" applyFont="1" applyFill="1" applyBorder="1" applyAlignment="1">
      <alignment horizontal="center" vertical="center" wrapText="1"/>
    </xf>
    <xf numFmtId="0" fontId="29" fillId="0" borderId="11" xfId="3" applyNumberFormat="1" applyFont="1" applyFill="1" applyBorder="1" applyAlignment="1">
      <alignment horizontal="center" vertical="center" wrapText="1"/>
    </xf>
    <xf numFmtId="0" fontId="29" fillId="0" borderId="6" xfId="3" applyNumberFormat="1" applyFont="1" applyFill="1" applyBorder="1" applyAlignment="1">
      <alignment horizontal="center" vertical="center" wrapText="1"/>
    </xf>
    <xf numFmtId="0" fontId="29" fillId="0" borderId="12" xfId="3" applyNumberFormat="1" applyFont="1" applyFill="1" applyBorder="1" applyAlignment="1">
      <alignment horizontal="center" vertical="center" wrapText="1"/>
    </xf>
    <xf numFmtId="0" fontId="32" fillId="0" borderId="10" xfId="3" applyFont="1" applyFill="1" applyBorder="1" applyAlignment="1">
      <alignment horizontal="center" vertical="center" wrapText="1"/>
    </xf>
    <xf numFmtId="0" fontId="32" fillId="0" borderId="8" xfId="3" applyFont="1" applyFill="1" applyBorder="1" applyAlignment="1">
      <alignment horizontal="center" vertical="center" wrapText="1"/>
    </xf>
    <xf numFmtId="0" fontId="32" fillId="0" borderId="9" xfId="3" applyFont="1" applyFill="1" applyBorder="1" applyAlignment="1">
      <alignment horizontal="center" vertical="center" wrapText="1"/>
    </xf>
    <xf numFmtId="0" fontId="39" fillId="0" borderId="2" xfId="3" applyFont="1" applyBorder="1" applyAlignment="1">
      <alignment horizontal="center" vertical="center" wrapText="1"/>
    </xf>
    <xf numFmtId="0" fontId="29" fillId="0" borderId="3" xfId="3" applyNumberFormat="1" applyFont="1" applyFill="1" applyBorder="1" applyAlignment="1">
      <alignment horizontal="center" vertical="center" wrapText="1"/>
    </xf>
    <xf numFmtId="0" fontId="29" fillId="0" borderId="4" xfId="3" applyNumberFormat="1" applyFont="1" applyFill="1" applyBorder="1" applyAlignment="1">
      <alignment horizontal="center" vertical="center" wrapText="1"/>
    </xf>
    <xf numFmtId="0" fontId="29" fillId="0" borderId="5" xfId="3" applyNumberFormat="1" applyFont="1" applyFill="1" applyBorder="1" applyAlignment="1">
      <alignment horizontal="center" vertical="center" wrapText="1"/>
    </xf>
    <xf numFmtId="0" fontId="2" fillId="0" borderId="8" xfId="0" applyFont="1" applyFill="1" applyBorder="1" applyAlignment="1" applyProtection="1">
      <alignment horizontal="left" vertical="top" wrapText="1"/>
    </xf>
    <xf numFmtId="0" fontId="2" fillId="0" borderId="9" xfId="0" applyFont="1" applyFill="1" applyBorder="1" applyAlignment="1" applyProtection="1">
      <alignment horizontal="left" vertical="top" wrapText="1"/>
    </xf>
    <xf numFmtId="0" fontId="5" fillId="0" borderId="0" xfId="0" applyFont="1" applyAlignment="1">
      <alignment horizontal="left" wrapText="1"/>
    </xf>
    <xf numFmtId="0" fontId="11" fillId="0" borderId="6" xfId="0" applyFont="1" applyBorder="1" applyAlignment="1">
      <alignment horizontal="left"/>
    </xf>
    <xf numFmtId="4" fontId="3" fillId="0" borderId="14" xfId="0" applyNumberFormat="1" applyFont="1" applyBorder="1" applyAlignment="1">
      <alignment horizontal="center" vertical="center" wrapText="1"/>
    </xf>
    <xf numFmtId="4" fontId="3" fillId="0" borderId="13" xfId="0"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4" fontId="3" fillId="0" borderId="3" xfId="0" applyNumberFormat="1"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2" fillId="0" borderId="2" xfId="0" applyFont="1" applyFill="1" applyBorder="1" applyAlignment="1" applyProtection="1">
      <alignment horizontal="left" wrapText="1"/>
      <protection hidden="1"/>
    </xf>
    <xf numFmtId="170" fontId="3" fillId="0" borderId="2" xfId="0" applyNumberFormat="1" applyFont="1" applyFill="1" applyBorder="1" applyAlignment="1" applyProtection="1">
      <alignment horizontal="center" vertical="center"/>
      <protection hidden="1"/>
    </xf>
    <xf numFmtId="170" fontId="3" fillId="0" borderId="2" xfId="0" applyNumberFormat="1" applyFont="1" applyBorder="1" applyAlignment="1" applyProtection="1">
      <alignment horizontal="center" vertical="center"/>
      <protection hidden="1"/>
    </xf>
    <xf numFmtId="0" fontId="3" fillId="0" borderId="0" xfId="0" applyFont="1" applyFill="1" applyAlignment="1">
      <alignment horizontal="left" wrapText="1"/>
    </xf>
    <xf numFmtId="0" fontId="3" fillId="0" borderId="0" xfId="0" applyFont="1" applyAlignment="1">
      <alignment horizontal="left" wrapText="1"/>
    </xf>
    <xf numFmtId="169" fontId="3" fillId="0" borderId="2" xfId="0" applyNumberFormat="1" applyFont="1" applyFill="1" applyBorder="1" applyAlignment="1" applyProtection="1">
      <alignment horizontal="center" vertical="center"/>
      <protection hidden="1"/>
    </xf>
    <xf numFmtId="4" fontId="19" fillId="0" borderId="2" xfId="0" applyNumberFormat="1" applyFont="1" applyBorder="1" applyAlignment="1">
      <alignment horizontal="center" vertical="center"/>
    </xf>
    <xf numFmtId="169" fontId="3" fillId="0" borderId="3" xfId="0" applyNumberFormat="1" applyFont="1" applyFill="1" applyBorder="1" applyAlignment="1" applyProtection="1">
      <alignment horizontal="center" vertical="center"/>
      <protection hidden="1"/>
    </xf>
    <xf numFmtId="169" fontId="3" fillId="0" borderId="4" xfId="0" applyNumberFormat="1" applyFont="1" applyFill="1" applyBorder="1" applyAlignment="1" applyProtection="1">
      <alignment horizontal="center" vertical="center"/>
      <protection hidden="1"/>
    </xf>
    <xf numFmtId="169" fontId="3" fillId="0" borderId="5" xfId="0" applyNumberFormat="1" applyFont="1" applyFill="1" applyBorder="1" applyAlignment="1" applyProtection="1">
      <alignment horizontal="center" vertical="center"/>
      <protection hidden="1"/>
    </xf>
    <xf numFmtId="4" fontId="19" fillId="0" borderId="2" xfId="0" applyNumberFormat="1" applyFont="1" applyBorder="1" applyAlignment="1">
      <alignment horizontal="center"/>
    </xf>
  </cellXfs>
  <cellStyles count="5">
    <cellStyle name="Comma 2" xfId="1"/>
    <cellStyle name="Normal" xfId="0" builtinId="0"/>
    <cellStyle name="Normal 2" xfId="2"/>
    <cellStyle name="Normal 2 7" xfId="3"/>
    <cellStyle name="Normal 3" xfId="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137"/>
  <sheetViews>
    <sheetView tabSelected="1" zoomScaleNormal="100" zoomScaleSheetLayoutView="80" workbookViewId="0">
      <pane xSplit="8" ySplit="9" topLeftCell="I40" activePane="bottomRight" state="frozen"/>
      <selection pane="topRight" activeCell="I1" sqref="I1"/>
      <selection pane="bottomLeft" activeCell="A10" sqref="A10"/>
      <selection pane="bottomRight" sqref="A1:AF1"/>
    </sheetView>
  </sheetViews>
  <sheetFormatPr defaultRowHeight="12.75" x14ac:dyDescent="0.25"/>
  <cols>
    <col min="1" max="1" width="2.7109375" style="93" customWidth="1"/>
    <col min="2" max="2" width="3" style="92" customWidth="1"/>
    <col min="3" max="3" width="3.5703125" style="92" customWidth="1"/>
    <col min="4" max="4" width="33.28515625" style="92" customWidth="1"/>
    <col min="5" max="5" width="29.85546875" style="92" hidden="1" customWidth="1"/>
    <col min="6" max="6" width="23" style="92" hidden="1" customWidth="1"/>
    <col min="7" max="7" width="17" style="90" customWidth="1"/>
    <col min="8" max="8" width="20.7109375" style="91" hidden="1" customWidth="1"/>
    <col min="9" max="13" width="20.7109375" style="92" customWidth="1"/>
    <col min="14" max="15" width="20.7109375" style="92" hidden="1" customWidth="1"/>
    <col min="16" max="21" width="20.7109375" style="92" customWidth="1"/>
    <col min="22" max="23" width="20.7109375" style="92" hidden="1" customWidth="1"/>
    <col min="24" max="29" width="20.7109375" style="92" customWidth="1"/>
    <col min="30" max="31" width="20.7109375" style="92" hidden="1" customWidth="1"/>
    <col min="32" max="32" width="20.7109375" style="92" customWidth="1"/>
    <col min="33" max="16384" width="9.140625" style="92"/>
  </cols>
  <sheetData>
    <row r="1" spans="1:32" s="240" customFormat="1" x14ac:dyDescent="0.2">
      <c r="A1" s="650" t="s">
        <v>141</v>
      </c>
      <c r="B1" s="650"/>
      <c r="C1" s="650"/>
      <c r="D1" s="650"/>
      <c r="E1" s="650"/>
      <c r="F1" s="650"/>
      <c r="G1" s="650"/>
      <c r="H1" s="650"/>
      <c r="I1" s="650"/>
      <c r="J1" s="650"/>
      <c r="K1" s="650"/>
      <c r="L1" s="650"/>
      <c r="M1" s="650"/>
      <c r="N1" s="650"/>
      <c r="O1" s="650"/>
      <c r="P1" s="650"/>
      <c r="Q1" s="650"/>
      <c r="R1" s="650"/>
      <c r="S1" s="650"/>
      <c r="T1" s="650"/>
      <c r="U1" s="650"/>
      <c r="V1" s="650"/>
      <c r="W1" s="650"/>
      <c r="X1" s="650"/>
      <c r="Y1" s="650"/>
      <c r="Z1" s="650"/>
      <c r="AA1" s="650"/>
      <c r="AB1" s="650"/>
      <c r="AC1" s="650"/>
      <c r="AD1" s="650"/>
      <c r="AE1" s="650"/>
      <c r="AF1" s="650"/>
    </row>
    <row r="2" spans="1:32" s="67" customFormat="1" ht="2.25" hidden="1" customHeight="1" x14ac:dyDescent="0.2">
      <c r="A2" s="651"/>
      <c r="B2" s="651"/>
      <c r="C2" s="651"/>
      <c r="D2" s="651"/>
      <c r="E2" s="651"/>
      <c r="F2" s="651"/>
      <c r="G2" s="651"/>
      <c r="H2" s="651"/>
      <c r="I2" s="651"/>
      <c r="J2" s="651"/>
      <c r="K2" s="651"/>
      <c r="L2" s="651"/>
      <c r="M2" s="651"/>
      <c r="N2" s="651"/>
      <c r="O2" s="651"/>
      <c r="P2" s="651"/>
      <c r="Q2" s="651"/>
      <c r="R2" s="651"/>
      <c r="S2" s="651"/>
      <c r="T2" s="651"/>
      <c r="U2" s="651"/>
      <c r="V2" s="651"/>
      <c r="W2" s="651"/>
      <c r="X2" s="651"/>
      <c r="Y2" s="651"/>
      <c r="Z2" s="651"/>
      <c r="AA2" s="651"/>
      <c r="AB2" s="651"/>
      <c r="AC2" s="651"/>
      <c r="AD2" s="651"/>
      <c r="AE2" s="651"/>
      <c r="AF2" s="651"/>
    </row>
    <row r="3" spans="1:32" s="67" customFormat="1" ht="13.5" customHeight="1" x14ac:dyDescent="0.25">
      <c r="A3" s="68"/>
      <c r="B3" s="68"/>
      <c r="C3" s="68"/>
      <c r="D3" s="68"/>
      <c r="E3" s="68"/>
      <c r="F3" s="68"/>
      <c r="G3" s="69"/>
      <c r="H3" s="70"/>
      <c r="I3" s="68"/>
      <c r="J3" s="68"/>
      <c r="K3" s="68"/>
      <c r="L3" s="68"/>
      <c r="M3" s="68"/>
      <c r="N3" s="68"/>
      <c r="O3" s="68"/>
      <c r="P3" s="68"/>
      <c r="Q3" s="68"/>
      <c r="R3" s="68"/>
      <c r="S3" s="68"/>
      <c r="T3" s="68"/>
      <c r="U3" s="68"/>
      <c r="V3" s="68"/>
      <c r="W3" s="68"/>
      <c r="X3" s="68"/>
      <c r="Y3" s="68"/>
      <c r="Z3" s="68"/>
      <c r="AA3" s="68"/>
      <c r="AB3" s="68"/>
      <c r="AC3" s="68"/>
      <c r="AD3" s="68"/>
      <c r="AE3" s="68"/>
      <c r="AF3" s="68"/>
    </row>
    <row r="4" spans="1:32" s="72" customFormat="1" ht="15" customHeight="1" x14ac:dyDescent="0.2">
      <c r="A4" s="649" t="s">
        <v>45</v>
      </c>
      <c r="B4" s="649"/>
      <c r="C4" s="649"/>
      <c r="D4" s="649"/>
      <c r="E4" s="649"/>
      <c r="F4" s="649"/>
      <c r="G4" s="646" t="s">
        <v>46</v>
      </c>
      <c r="H4" s="71"/>
      <c r="I4" s="637" t="s">
        <v>539</v>
      </c>
      <c r="J4" s="637"/>
      <c r="K4" s="637"/>
      <c r="L4" s="637"/>
      <c r="M4" s="637"/>
      <c r="N4" s="637"/>
      <c r="O4" s="637"/>
      <c r="P4" s="637"/>
      <c r="Q4" s="637" t="s">
        <v>47</v>
      </c>
      <c r="R4" s="637"/>
      <c r="S4" s="637"/>
      <c r="T4" s="637"/>
      <c r="U4" s="637"/>
      <c r="V4" s="637"/>
      <c r="W4" s="637"/>
      <c r="X4" s="637"/>
      <c r="Y4" s="637" t="s">
        <v>48</v>
      </c>
      <c r="Z4" s="637"/>
      <c r="AA4" s="637"/>
      <c r="AB4" s="637"/>
      <c r="AC4" s="637"/>
      <c r="AD4" s="637"/>
      <c r="AE4" s="637"/>
      <c r="AF4" s="637"/>
    </row>
    <row r="5" spans="1:32" s="67" customFormat="1" ht="22.5" customHeight="1" x14ac:dyDescent="0.2">
      <c r="A5" s="649"/>
      <c r="B5" s="649"/>
      <c r="C5" s="649"/>
      <c r="D5" s="649"/>
      <c r="E5" s="649"/>
      <c r="F5" s="649"/>
      <c r="G5" s="646"/>
      <c r="H5" s="71"/>
      <c r="I5" s="636" t="s">
        <v>142</v>
      </c>
      <c r="J5" s="636" t="s">
        <v>49</v>
      </c>
      <c r="K5" s="636"/>
      <c r="L5" s="636" t="s">
        <v>143</v>
      </c>
      <c r="M5" s="636"/>
      <c r="N5" s="638" t="s">
        <v>139</v>
      </c>
      <c r="O5" s="639"/>
      <c r="P5" s="636" t="s">
        <v>144</v>
      </c>
      <c r="Q5" s="636" t="s">
        <v>142</v>
      </c>
      <c r="R5" s="636" t="s">
        <v>49</v>
      </c>
      <c r="S5" s="636"/>
      <c r="T5" s="636" t="s">
        <v>143</v>
      </c>
      <c r="U5" s="636"/>
      <c r="V5" s="638" t="s">
        <v>139</v>
      </c>
      <c r="W5" s="639"/>
      <c r="X5" s="636" t="s">
        <v>144</v>
      </c>
      <c r="Y5" s="636" t="s">
        <v>142</v>
      </c>
      <c r="Z5" s="636" t="s">
        <v>49</v>
      </c>
      <c r="AA5" s="636"/>
      <c r="AB5" s="636" t="s">
        <v>143</v>
      </c>
      <c r="AC5" s="636"/>
      <c r="AD5" s="638" t="s">
        <v>139</v>
      </c>
      <c r="AE5" s="639"/>
      <c r="AF5" s="636" t="s">
        <v>144</v>
      </c>
    </row>
    <row r="6" spans="1:32" s="76" customFormat="1" ht="21.75" customHeight="1" x14ac:dyDescent="0.2">
      <c r="A6" s="649"/>
      <c r="B6" s="649"/>
      <c r="C6" s="649"/>
      <c r="D6" s="649"/>
      <c r="E6" s="649"/>
      <c r="F6" s="649"/>
      <c r="G6" s="647"/>
      <c r="H6" s="74"/>
      <c r="I6" s="636"/>
      <c r="J6" s="75" t="s">
        <v>50</v>
      </c>
      <c r="K6" s="75" t="s">
        <v>51</v>
      </c>
      <c r="L6" s="75" t="s">
        <v>50</v>
      </c>
      <c r="M6" s="75" t="s">
        <v>51</v>
      </c>
      <c r="N6" s="75" t="s">
        <v>50</v>
      </c>
      <c r="O6" s="75" t="s">
        <v>51</v>
      </c>
      <c r="P6" s="636"/>
      <c r="Q6" s="636"/>
      <c r="R6" s="75" t="s">
        <v>50</v>
      </c>
      <c r="S6" s="75" t="s">
        <v>51</v>
      </c>
      <c r="T6" s="75" t="s">
        <v>50</v>
      </c>
      <c r="U6" s="75" t="s">
        <v>51</v>
      </c>
      <c r="V6" s="75" t="s">
        <v>50</v>
      </c>
      <c r="W6" s="75" t="s">
        <v>51</v>
      </c>
      <c r="X6" s="636"/>
      <c r="Y6" s="636"/>
      <c r="Z6" s="75" t="s">
        <v>50</v>
      </c>
      <c r="AA6" s="75" t="s">
        <v>51</v>
      </c>
      <c r="AB6" s="75" t="s">
        <v>50</v>
      </c>
      <c r="AC6" s="75" t="s">
        <v>51</v>
      </c>
      <c r="AD6" s="75" t="s">
        <v>50</v>
      </c>
      <c r="AE6" s="75" t="s">
        <v>51</v>
      </c>
      <c r="AF6" s="636"/>
    </row>
    <row r="7" spans="1:32" s="76" customFormat="1" ht="21.75" hidden="1" customHeight="1" x14ac:dyDescent="0.2">
      <c r="A7" s="294"/>
      <c r="B7" s="294"/>
      <c r="C7" s="294"/>
      <c r="D7" s="294"/>
      <c r="E7" s="294"/>
      <c r="F7" s="294"/>
      <c r="G7" s="295"/>
      <c r="H7" s="74"/>
      <c r="I7" s="73"/>
      <c r="J7" s="75"/>
      <c r="K7" s="75"/>
      <c r="L7" s="75"/>
      <c r="M7" s="75"/>
      <c r="N7" s="75"/>
      <c r="O7" s="75"/>
      <c r="P7" s="73"/>
      <c r="Q7" s="73"/>
      <c r="R7" s="75"/>
      <c r="S7" s="75"/>
      <c r="T7" s="75"/>
      <c r="U7" s="75"/>
      <c r="V7" s="75"/>
      <c r="W7" s="75"/>
      <c r="X7" s="73"/>
      <c r="Y7" s="73"/>
      <c r="Z7" s="75"/>
      <c r="AA7" s="75"/>
      <c r="AB7" s="75"/>
      <c r="AC7" s="75"/>
      <c r="AD7" s="75"/>
      <c r="AE7" s="75"/>
      <c r="AF7" s="73"/>
    </row>
    <row r="8" spans="1:32" s="76" customFormat="1" ht="21.75" hidden="1" customHeight="1" x14ac:dyDescent="0.2">
      <c r="A8" s="294"/>
      <c r="B8" s="294"/>
      <c r="C8" s="294"/>
      <c r="D8" s="294"/>
      <c r="E8" s="294"/>
      <c r="F8" s="294"/>
      <c r="G8" s="295"/>
      <c r="H8" s="74"/>
      <c r="I8" s="73"/>
      <c r="J8" s="75"/>
      <c r="K8" s="75"/>
      <c r="L8" s="75"/>
      <c r="M8" s="75"/>
      <c r="N8" s="75"/>
      <c r="O8" s="75"/>
      <c r="P8" s="73"/>
      <c r="Q8" s="73"/>
      <c r="R8" s="75"/>
      <c r="S8" s="75"/>
      <c r="T8" s="75"/>
      <c r="U8" s="75"/>
      <c r="V8" s="75"/>
      <c r="W8" s="75"/>
      <c r="X8" s="73"/>
      <c r="Y8" s="73"/>
      <c r="Z8" s="75"/>
      <c r="AA8" s="75"/>
      <c r="AB8" s="75"/>
      <c r="AC8" s="75"/>
      <c r="AD8" s="75"/>
      <c r="AE8" s="75"/>
      <c r="AF8" s="73"/>
    </row>
    <row r="9" spans="1:32" s="76" customFormat="1" ht="21.75" hidden="1" customHeight="1" x14ac:dyDescent="0.2">
      <c r="A9" s="294"/>
      <c r="B9" s="294"/>
      <c r="C9" s="294"/>
      <c r="D9" s="294"/>
      <c r="E9" s="294"/>
      <c r="F9" s="294"/>
      <c r="G9" s="295"/>
      <c r="H9" s="74"/>
      <c r="I9" s="73"/>
      <c r="J9" s="75"/>
      <c r="K9" s="75"/>
      <c r="L9" s="75"/>
      <c r="M9" s="75"/>
      <c r="N9" s="75"/>
      <c r="O9" s="75"/>
      <c r="P9" s="73"/>
      <c r="Q9" s="73"/>
      <c r="R9" s="75"/>
      <c r="S9" s="75"/>
      <c r="T9" s="75"/>
      <c r="U9" s="75"/>
      <c r="V9" s="75"/>
      <c r="W9" s="75"/>
      <c r="X9" s="73"/>
      <c r="Y9" s="73"/>
      <c r="Z9" s="75"/>
      <c r="AA9" s="75"/>
      <c r="AB9" s="75"/>
      <c r="AC9" s="75"/>
      <c r="AD9" s="75"/>
      <c r="AE9" s="75"/>
      <c r="AF9" s="73"/>
    </row>
    <row r="10" spans="1:32" s="67" customFormat="1" x14ac:dyDescent="0.25">
      <c r="A10" s="296" t="s">
        <v>145</v>
      </c>
      <c r="B10" s="297"/>
      <c r="C10" s="298"/>
      <c r="D10" s="298"/>
      <c r="E10" s="298"/>
      <c r="F10" s="299"/>
      <c r="G10" s="300"/>
      <c r="H10" s="77"/>
      <c r="I10" s="78"/>
      <c r="J10" s="78"/>
      <c r="K10" s="78"/>
      <c r="L10" s="78"/>
      <c r="M10" s="78"/>
      <c r="N10" s="78"/>
      <c r="O10" s="78"/>
      <c r="P10" s="78"/>
      <c r="Q10" s="78"/>
      <c r="R10" s="78"/>
      <c r="S10" s="78"/>
      <c r="T10" s="78"/>
      <c r="U10" s="78"/>
      <c r="V10" s="78"/>
      <c r="W10" s="78"/>
      <c r="X10" s="78"/>
      <c r="Y10" s="78"/>
      <c r="Z10" s="78"/>
      <c r="AA10" s="78"/>
      <c r="AB10" s="78"/>
      <c r="AC10" s="78"/>
      <c r="AD10" s="78"/>
      <c r="AE10" s="78"/>
      <c r="AF10" s="78"/>
    </row>
    <row r="11" spans="1:32" s="82" customFormat="1" ht="12.75" customHeight="1" x14ac:dyDescent="0.2">
      <c r="A11" s="301" t="s">
        <v>146</v>
      </c>
      <c r="B11" s="302"/>
      <c r="C11" s="303"/>
      <c r="D11" s="303"/>
      <c r="E11" s="303"/>
      <c r="F11" s="225"/>
      <c r="G11" s="283" t="s">
        <v>147</v>
      </c>
      <c r="H11" s="80"/>
      <c r="I11" s="41">
        <f t="shared" ref="I11:O11" si="0">+I12+I15+I18</f>
        <v>0</v>
      </c>
      <c r="J11" s="41">
        <f t="shared" si="0"/>
        <v>0</v>
      </c>
      <c r="K11" s="41">
        <f t="shared" si="0"/>
        <v>0</v>
      </c>
      <c r="L11" s="41">
        <f t="shared" si="0"/>
        <v>0</v>
      </c>
      <c r="M11" s="41">
        <f t="shared" si="0"/>
        <v>0</v>
      </c>
      <c r="N11" s="41">
        <f t="shared" si="0"/>
        <v>0</v>
      </c>
      <c r="O11" s="41">
        <f t="shared" si="0"/>
        <v>0</v>
      </c>
      <c r="P11" s="41">
        <f t="shared" ref="P11:P22" si="1">I11+K11+M11+O11</f>
        <v>0</v>
      </c>
      <c r="Q11" s="41">
        <f t="shared" ref="Q11:W11" si="2">+Q12+Q15+Q18</f>
        <v>0</v>
      </c>
      <c r="R11" s="41">
        <f t="shared" si="2"/>
        <v>0</v>
      </c>
      <c r="S11" s="41">
        <f t="shared" si="2"/>
        <v>0</v>
      </c>
      <c r="T11" s="41">
        <f t="shared" si="2"/>
        <v>0</v>
      </c>
      <c r="U11" s="41">
        <f t="shared" si="2"/>
        <v>0</v>
      </c>
      <c r="V11" s="41">
        <f t="shared" si="2"/>
        <v>0</v>
      </c>
      <c r="W11" s="41">
        <f t="shared" si="2"/>
        <v>0</v>
      </c>
      <c r="X11" s="41">
        <f t="shared" ref="X11:X22" si="3">Q11+S11+U11+W11</f>
        <v>0</v>
      </c>
      <c r="Y11" s="41">
        <f t="shared" ref="Y11:AA12" si="4">I11-Q11</f>
        <v>0</v>
      </c>
      <c r="Z11" s="41">
        <f t="shared" si="4"/>
        <v>0</v>
      </c>
      <c r="AA11" s="41">
        <f t="shared" si="4"/>
        <v>0</v>
      </c>
      <c r="AB11" s="41">
        <f t="shared" ref="AB11:AC22" si="5">L11-T11</f>
        <v>0</v>
      </c>
      <c r="AC11" s="41">
        <f t="shared" si="5"/>
        <v>0</v>
      </c>
      <c r="AD11" s="41">
        <f t="shared" ref="AD11:AE22" si="6">N11-V11</f>
        <v>0</v>
      </c>
      <c r="AE11" s="41">
        <f t="shared" si="6"/>
        <v>0</v>
      </c>
      <c r="AF11" s="41">
        <f t="shared" ref="AF11:AF22" si="7">Y11+AA11+AC11+AE11</f>
        <v>0</v>
      </c>
    </row>
    <row r="12" spans="1:32" s="82" customFormat="1" x14ac:dyDescent="0.2">
      <c r="A12" s="303" t="s">
        <v>148</v>
      </c>
      <c r="B12" s="225" t="s">
        <v>149</v>
      </c>
      <c r="C12" s="303"/>
      <c r="D12" s="303"/>
      <c r="E12" s="303"/>
      <c r="F12" s="225"/>
      <c r="G12" s="283" t="s">
        <v>150</v>
      </c>
      <c r="H12" s="80"/>
      <c r="I12" s="41">
        <f>SUM(I13:I14)</f>
        <v>0</v>
      </c>
      <c r="J12" s="41">
        <f t="shared" ref="J12:Q12" si="8">SUM(J13:J14)</f>
        <v>0</v>
      </c>
      <c r="K12" s="41">
        <f t="shared" si="8"/>
        <v>0</v>
      </c>
      <c r="L12" s="41">
        <f t="shared" si="8"/>
        <v>0</v>
      </c>
      <c r="M12" s="41">
        <f t="shared" si="8"/>
        <v>0</v>
      </c>
      <c r="N12" s="41">
        <f t="shared" si="8"/>
        <v>0</v>
      </c>
      <c r="O12" s="41">
        <f t="shared" si="8"/>
        <v>0</v>
      </c>
      <c r="P12" s="41">
        <f t="shared" si="1"/>
        <v>0</v>
      </c>
      <c r="Q12" s="41">
        <f t="shared" si="8"/>
        <v>0</v>
      </c>
      <c r="R12" s="41">
        <f t="shared" ref="R12:W12" si="9">SUM(R13:R14)</f>
        <v>0</v>
      </c>
      <c r="S12" s="41">
        <f t="shared" si="9"/>
        <v>0</v>
      </c>
      <c r="T12" s="41">
        <f t="shared" si="9"/>
        <v>0</v>
      </c>
      <c r="U12" s="41">
        <f t="shared" si="9"/>
        <v>0</v>
      </c>
      <c r="V12" s="41">
        <f t="shared" si="9"/>
        <v>0</v>
      </c>
      <c r="W12" s="41">
        <f t="shared" si="9"/>
        <v>0</v>
      </c>
      <c r="X12" s="41">
        <f t="shared" si="3"/>
        <v>0</v>
      </c>
      <c r="Y12" s="41">
        <f t="shared" si="4"/>
        <v>0</v>
      </c>
      <c r="Z12" s="41">
        <f t="shared" si="4"/>
        <v>0</v>
      </c>
      <c r="AA12" s="41">
        <f t="shared" si="4"/>
        <v>0</v>
      </c>
      <c r="AB12" s="41">
        <f t="shared" si="5"/>
        <v>0</v>
      </c>
      <c r="AC12" s="41">
        <f t="shared" si="5"/>
        <v>0</v>
      </c>
      <c r="AD12" s="41">
        <f t="shared" si="6"/>
        <v>0</v>
      </c>
      <c r="AE12" s="41">
        <f t="shared" si="6"/>
        <v>0</v>
      </c>
      <c r="AF12" s="41">
        <f t="shared" si="7"/>
        <v>0</v>
      </c>
    </row>
    <row r="13" spans="1:32" s="82" customFormat="1" x14ac:dyDescent="0.2">
      <c r="A13" s="303"/>
      <c r="B13" s="304" t="s">
        <v>161</v>
      </c>
      <c r="C13" s="303" t="s">
        <v>162</v>
      </c>
      <c r="D13" s="303"/>
      <c r="E13" s="303"/>
      <c r="F13" s="303"/>
      <c r="G13" s="283" t="s">
        <v>633</v>
      </c>
      <c r="H13" s="80"/>
      <c r="I13" s="44"/>
      <c r="J13" s="44"/>
      <c r="K13" s="44"/>
      <c r="L13" s="258"/>
      <c r="M13" s="258"/>
      <c r="N13" s="44"/>
      <c r="O13" s="44"/>
      <c r="P13" s="41">
        <f t="shared" si="1"/>
        <v>0</v>
      </c>
      <c r="Q13" s="44"/>
      <c r="R13" s="44"/>
      <c r="S13" s="44"/>
      <c r="T13" s="258"/>
      <c r="U13" s="258"/>
      <c r="V13" s="44"/>
      <c r="W13" s="44"/>
      <c r="X13" s="41">
        <f t="shared" si="3"/>
        <v>0</v>
      </c>
      <c r="Y13" s="41">
        <f>I13-Q13</f>
        <v>0</v>
      </c>
      <c r="Z13" s="41">
        <f>J13-R13</f>
        <v>0</v>
      </c>
      <c r="AA13" s="41">
        <f>K13-S13</f>
        <v>0</v>
      </c>
      <c r="AB13" s="259"/>
      <c r="AC13" s="259"/>
      <c r="AD13" s="41">
        <f>N13-V13</f>
        <v>0</v>
      </c>
      <c r="AE13" s="41">
        <f>O13-W13</f>
        <v>0</v>
      </c>
      <c r="AF13" s="41">
        <f t="shared" si="7"/>
        <v>0</v>
      </c>
    </row>
    <row r="14" spans="1:32" s="82" customFormat="1" x14ac:dyDescent="0.2">
      <c r="A14" s="303"/>
      <c r="B14" s="304" t="s">
        <v>164</v>
      </c>
      <c r="C14" s="303" t="s">
        <v>53</v>
      </c>
      <c r="D14" s="303"/>
      <c r="E14" s="303"/>
      <c r="F14" s="303"/>
      <c r="G14" s="283" t="s">
        <v>634</v>
      </c>
      <c r="H14" s="80"/>
      <c r="I14" s="258"/>
      <c r="J14" s="258"/>
      <c r="K14" s="258"/>
      <c r="L14" s="44"/>
      <c r="M14" s="44"/>
      <c r="N14" s="44"/>
      <c r="O14" s="44"/>
      <c r="P14" s="41">
        <f t="shared" si="1"/>
        <v>0</v>
      </c>
      <c r="Q14" s="258"/>
      <c r="R14" s="258"/>
      <c r="S14" s="258"/>
      <c r="T14" s="44"/>
      <c r="U14" s="44"/>
      <c r="V14" s="44"/>
      <c r="W14" s="44"/>
      <c r="X14" s="41">
        <f t="shared" si="3"/>
        <v>0</v>
      </c>
      <c r="Y14" s="259"/>
      <c r="Z14" s="259"/>
      <c r="AA14" s="259"/>
      <c r="AB14" s="41">
        <f>L14-T14</f>
        <v>0</v>
      </c>
      <c r="AC14" s="41">
        <f>M14-U14</f>
        <v>0</v>
      </c>
      <c r="AD14" s="41">
        <f>N14-V14</f>
        <v>0</v>
      </c>
      <c r="AE14" s="41">
        <f>O14-W14</f>
        <v>0</v>
      </c>
      <c r="AF14" s="41">
        <f t="shared" si="7"/>
        <v>0</v>
      </c>
    </row>
    <row r="15" spans="1:32" s="82" customFormat="1" x14ac:dyDescent="0.2">
      <c r="A15" s="303" t="s">
        <v>151</v>
      </c>
      <c r="B15" s="305" t="s">
        <v>52</v>
      </c>
      <c r="C15" s="303"/>
      <c r="D15" s="303"/>
      <c r="E15" s="303"/>
      <c r="F15" s="225"/>
      <c r="G15" s="283" t="s">
        <v>152</v>
      </c>
      <c r="H15" s="80"/>
      <c r="I15" s="41">
        <f>SUM(I16:I17)</f>
        <v>0</v>
      </c>
      <c r="J15" s="41">
        <f t="shared" ref="J15:Q15" si="10">SUM(J16:J17)</f>
        <v>0</v>
      </c>
      <c r="K15" s="41">
        <f t="shared" si="10"/>
        <v>0</v>
      </c>
      <c r="L15" s="41">
        <f t="shared" si="10"/>
        <v>0</v>
      </c>
      <c r="M15" s="41">
        <f t="shared" si="10"/>
        <v>0</v>
      </c>
      <c r="N15" s="41">
        <f t="shared" si="10"/>
        <v>0</v>
      </c>
      <c r="O15" s="41">
        <f t="shared" si="10"/>
        <v>0</v>
      </c>
      <c r="P15" s="41">
        <f t="shared" si="1"/>
        <v>0</v>
      </c>
      <c r="Q15" s="41">
        <f t="shared" si="10"/>
        <v>0</v>
      </c>
      <c r="R15" s="41">
        <f t="shared" ref="R15:W15" si="11">SUM(R16:R17)</f>
        <v>0</v>
      </c>
      <c r="S15" s="41">
        <f t="shared" si="11"/>
        <v>0</v>
      </c>
      <c r="T15" s="41">
        <f t="shared" si="11"/>
        <v>0</v>
      </c>
      <c r="U15" s="41">
        <f t="shared" si="11"/>
        <v>0</v>
      </c>
      <c r="V15" s="41">
        <f t="shared" si="11"/>
        <v>0</v>
      </c>
      <c r="W15" s="41">
        <f t="shared" si="11"/>
        <v>0</v>
      </c>
      <c r="X15" s="41">
        <f t="shared" si="3"/>
        <v>0</v>
      </c>
      <c r="Y15" s="41">
        <f t="shared" ref="Y15:AA16" si="12">I15-Q15</f>
        <v>0</v>
      </c>
      <c r="Z15" s="41">
        <f t="shared" si="12"/>
        <v>0</v>
      </c>
      <c r="AA15" s="41">
        <f t="shared" si="12"/>
        <v>0</v>
      </c>
      <c r="AB15" s="41">
        <f t="shared" si="5"/>
        <v>0</v>
      </c>
      <c r="AC15" s="41">
        <f t="shared" si="5"/>
        <v>0</v>
      </c>
      <c r="AD15" s="41">
        <f t="shared" si="6"/>
        <v>0</v>
      </c>
      <c r="AE15" s="41">
        <f t="shared" si="6"/>
        <v>0</v>
      </c>
      <c r="AF15" s="41">
        <f t="shared" si="7"/>
        <v>0</v>
      </c>
    </row>
    <row r="16" spans="1:32" s="82" customFormat="1" x14ac:dyDescent="0.2">
      <c r="A16" s="303"/>
      <c r="B16" s="304" t="s">
        <v>161</v>
      </c>
      <c r="C16" s="303" t="s">
        <v>162</v>
      </c>
      <c r="D16" s="306"/>
      <c r="E16" s="306"/>
      <c r="F16" s="303"/>
      <c r="G16" s="283" t="s">
        <v>635</v>
      </c>
      <c r="H16" s="80"/>
      <c r="I16" s="44"/>
      <c r="J16" s="44"/>
      <c r="K16" s="44"/>
      <c r="L16" s="258"/>
      <c r="M16" s="258"/>
      <c r="N16" s="44"/>
      <c r="O16" s="44"/>
      <c r="P16" s="41">
        <f t="shared" si="1"/>
        <v>0</v>
      </c>
      <c r="Q16" s="44"/>
      <c r="R16" s="44"/>
      <c r="S16" s="44"/>
      <c r="T16" s="258"/>
      <c r="U16" s="258"/>
      <c r="V16" s="44"/>
      <c r="W16" s="44"/>
      <c r="X16" s="41">
        <f t="shared" si="3"/>
        <v>0</v>
      </c>
      <c r="Y16" s="41">
        <f t="shared" si="12"/>
        <v>0</v>
      </c>
      <c r="Z16" s="41">
        <f t="shared" si="12"/>
        <v>0</v>
      </c>
      <c r="AA16" s="41">
        <f t="shared" si="12"/>
        <v>0</v>
      </c>
      <c r="AB16" s="259"/>
      <c r="AC16" s="259"/>
      <c r="AD16" s="41">
        <f>N16-V16</f>
        <v>0</v>
      </c>
      <c r="AE16" s="41">
        <f>O16-W16</f>
        <v>0</v>
      </c>
      <c r="AF16" s="41">
        <f t="shared" si="7"/>
        <v>0</v>
      </c>
    </row>
    <row r="17" spans="1:32" s="82" customFormat="1" x14ac:dyDescent="0.2">
      <c r="A17" s="303"/>
      <c r="B17" s="304" t="s">
        <v>164</v>
      </c>
      <c r="C17" s="303" t="s">
        <v>53</v>
      </c>
      <c r="D17" s="306"/>
      <c r="E17" s="306"/>
      <c r="F17" s="303"/>
      <c r="G17" s="283" t="s">
        <v>636</v>
      </c>
      <c r="H17" s="80"/>
      <c r="I17" s="258"/>
      <c r="J17" s="258"/>
      <c r="K17" s="258"/>
      <c r="L17" s="44"/>
      <c r="M17" s="44"/>
      <c r="N17" s="44"/>
      <c r="O17" s="44"/>
      <c r="P17" s="41">
        <f t="shared" si="1"/>
        <v>0</v>
      </c>
      <c r="Q17" s="258"/>
      <c r="R17" s="258"/>
      <c r="S17" s="258"/>
      <c r="T17" s="44"/>
      <c r="U17" s="44"/>
      <c r="V17" s="44"/>
      <c r="W17" s="44"/>
      <c r="X17" s="41">
        <f t="shared" si="3"/>
        <v>0</v>
      </c>
      <c r="Y17" s="259"/>
      <c r="Z17" s="259"/>
      <c r="AA17" s="259"/>
      <c r="AB17" s="41">
        <f>L17-T17</f>
        <v>0</v>
      </c>
      <c r="AC17" s="41">
        <f>M17-U17</f>
        <v>0</v>
      </c>
      <c r="AD17" s="41">
        <f>N17-V17</f>
        <v>0</v>
      </c>
      <c r="AE17" s="41">
        <f>O17-W17</f>
        <v>0</v>
      </c>
      <c r="AF17" s="41">
        <f t="shared" si="7"/>
        <v>0</v>
      </c>
    </row>
    <row r="18" spans="1:32" s="82" customFormat="1" x14ac:dyDescent="0.2">
      <c r="A18" s="303" t="s">
        <v>153</v>
      </c>
      <c r="B18" s="641" t="s">
        <v>637</v>
      </c>
      <c r="C18" s="641"/>
      <c r="D18" s="641"/>
      <c r="E18" s="641"/>
      <c r="F18" s="641"/>
      <c r="G18" s="283" t="s">
        <v>154</v>
      </c>
      <c r="H18" s="80"/>
      <c r="I18" s="44"/>
      <c r="J18" s="258"/>
      <c r="K18" s="258"/>
      <c r="L18" s="44"/>
      <c r="M18" s="44"/>
      <c r="N18" s="44"/>
      <c r="O18" s="44"/>
      <c r="P18" s="41">
        <f t="shared" si="1"/>
        <v>0</v>
      </c>
      <c r="Q18" s="44"/>
      <c r="R18" s="258"/>
      <c r="S18" s="258"/>
      <c r="T18" s="44"/>
      <c r="U18" s="44"/>
      <c r="V18" s="44"/>
      <c r="W18" s="44"/>
      <c r="X18" s="41">
        <f t="shared" si="3"/>
        <v>0</v>
      </c>
      <c r="Y18" s="41">
        <f>I18-Q18</f>
        <v>0</v>
      </c>
      <c r="Z18" s="259"/>
      <c r="AA18" s="259"/>
      <c r="AB18" s="41">
        <f t="shared" si="5"/>
        <v>0</v>
      </c>
      <c r="AC18" s="41">
        <f t="shared" si="5"/>
        <v>0</v>
      </c>
      <c r="AD18" s="41">
        <f t="shared" si="6"/>
        <v>0</v>
      </c>
      <c r="AE18" s="41">
        <f t="shared" si="6"/>
        <v>0</v>
      </c>
      <c r="AF18" s="41">
        <f t="shared" si="7"/>
        <v>0</v>
      </c>
    </row>
    <row r="19" spans="1:32" s="82" customFormat="1" x14ac:dyDescent="0.2">
      <c r="A19" s="307" t="s">
        <v>170</v>
      </c>
      <c r="B19" s="305"/>
      <c r="C19" s="308"/>
      <c r="D19" s="309"/>
      <c r="E19" s="303"/>
      <c r="F19" s="303"/>
      <c r="G19" s="283" t="s">
        <v>638</v>
      </c>
      <c r="H19" s="80"/>
      <c r="I19" s="259"/>
      <c r="J19" s="41">
        <f t="shared" ref="J19:O19" si="13">SUM(J20:J21)</f>
        <v>0</v>
      </c>
      <c r="K19" s="41">
        <f t="shared" si="13"/>
        <v>0</v>
      </c>
      <c r="L19" s="41">
        <f t="shared" si="13"/>
        <v>0</v>
      </c>
      <c r="M19" s="41">
        <f t="shared" si="13"/>
        <v>0</v>
      </c>
      <c r="N19" s="41">
        <f t="shared" si="13"/>
        <v>0</v>
      </c>
      <c r="O19" s="41">
        <f t="shared" si="13"/>
        <v>0</v>
      </c>
      <c r="P19" s="41">
        <f t="shared" si="1"/>
        <v>0</v>
      </c>
      <c r="Q19" s="259"/>
      <c r="R19" s="41">
        <f t="shared" ref="R19:W19" si="14">SUM(R20:R21)</f>
        <v>0</v>
      </c>
      <c r="S19" s="41">
        <f t="shared" si="14"/>
        <v>0</v>
      </c>
      <c r="T19" s="41">
        <f t="shared" si="14"/>
        <v>0</v>
      </c>
      <c r="U19" s="41">
        <f t="shared" si="14"/>
        <v>0</v>
      </c>
      <c r="V19" s="41">
        <f t="shared" si="14"/>
        <v>0</v>
      </c>
      <c r="W19" s="41">
        <f t="shared" si="14"/>
        <v>0</v>
      </c>
      <c r="X19" s="41">
        <f t="shared" si="3"/>
        <v>0</v>
      </c>
      <c r="Y19" s="259"/>
      <c r="Z19" s="41">
        <f t="shared" ref="Z19:AA22" si="15">J19-R19</f>
        <v>0</v>
      </c>
      <c r="AA19" s="41">
        <f t="shared" si="15"/>
        <v>0</v>
      </c>
      <c r="AB19" s="41">
        <f t="shared" si="5"/>
        <v>0</v>
      </c>
      <c r="AC19" s="41">
        <f t="shared" si="5"/>
        <v>0</v>
      </c>
      <c r="AD19" s="41">
        <f t="shared" si="6"/>
        <v>0</v>
      </c>
      <c r="AE19" s="41">
        <f t="shared" si="6"/>
        <v>0</v>
      </c>
      <c r="AF19" s="41">
        <f t="shared" si="7"/>
        <v>0</v>
      </c>
    </row>
    <row r="20" spans="1:32" s="82" customFormat="1" x14ac:dyDescent="0.2">
      <c r="A20" s="303" t="s">
        <v>148</v>
      </c>
      <c r="B20" s="305" t="s">
        <v>172</v>
      </c>
      <c r="C20" s="303"/>
      <c r="D20" s="303"/>
      <c r="E20" s="303"/>
      <c r="F20" s="303"/>
      <c r="G20" s="283" t="s">
        <v>639</v>
      </c>
      <c r="H20" s="80"/>
      <c r="I20" s="258"/>
      <c r="J20" s="44"/>
      <c r="K20" s="44"/>
      <c r="L20" s="44"/>
      <c r="M20" s="44"/>
      <c r="N20" s="44"/>
      <c r="O20" s="44"/>
      <c r="P20" s="41">
        <f t="shared" si="1"/>
        <v>0</v>
      </c>
      <c r="Q20" s="258"/>
      <c r="R20" s="44"/>
      <c r="S20" s="44"/>
      <c r="T20" s="44"/>
      <c r="U20" s="44"/>
      <c r="V20" s="44"/>
      <c r="W20" s="44"/>
      <c r="X20" s="41">
        <f t="shared" si="3"/>
        <v>0</v>
      </c>
      <c r="Y20" s="259"/>
      <c r="Z20" s="41">
        <f t="shared" si="15"/>
        <v>0</v>
      </c>
      <c r="AA20" s="41">
        <f t="shared" si="15"/>
        <v>0</v>
      </c>
      <c r="AB20" s="41">
        <f t="shared" ref="AB20:AE21" si="16">L20-T20</f>
        <v>0</v>
      </c>
      <c r="AC20" s="41">
        <f t="shared" si="16"/>
        <v>0</v>
      </c>
      <c r="AD20" s="41">
        <f t="shared" si="16"/>
        <v>0</v>
      </c>
      <c r="AE20" s="41">
        <f t="shared" si="16"/>
        <v>0</v>
      </c>
      <c r="AF20" s="41">
        <f t="shared" si="7"/>
        <v>0</v>
      </c>
    </row>
    <row r="21" spans="1:32" s="82" customFormat="1" x14ac:dyDescent="0.2">
      <c r="A21" s="303" t="s">
        <v>151</v>
      </c>
      <c r="B21" s="305" t="s">
        <v>52</v>
      </c>
      <c r="C21" s="303"/>
      <c r="D21" s="303"/>
      <c r="E21" s="303"/>
      <c r="F21" s="303"/>
      <c r="G21" s="283" t="s">
        <v>640</v>
      </c>
      <c r="H21" s="80"/>
      <c r="I21" s="258"/>
      <c r="J21" s="44"/>
      <c r="K21" s="44"/>
      <c r="L21" s="44"/>
      <c r="M21" s="44"/>
      <c r="N21" s="44"/>
      <c r="O21" s="44"/>
      <c r="P21" s="41">
        <f t="shared" si="1"/>
        <v>0</v>
      </c>
      <c r="Q21" s="258"/>
      <c r="R21" s="44"/>
      <c r="S21" s="44"/>
      <c r="T21" s="44"/>
      <c r="U21" s="44"/>
      <c r="V21" s="44"/>
      <c r="W21" s="44"/>
      <c r="X21" s="41">
        <f t="shared" si="3"/>
        <v>0</v>
      </c>
      <c r="Y21" s="259"/>
      <c r="Z21" s="41">
        <f t="shared" si="15"/>
        <v>0</v>
      </c>
      <c r="AA21" s="41">
        <f t="shared" si="15"/>
        <v>0</v>
      </c>
      <c r="AB21" s="41">
        <f t="shared" si="16"/>
        <v>0</v>
      </c>
      <c r="AC21" s="41">
        <f t="shared" si="16"/>
        <v>0</v>
      </c>
      <c r="AD21" s="41">
        <f t="shared" si="16"/>
        <v>0</v>
      </c>
      <c r="AE21" s="41">
        <f t="shared" si="16"/>
        <v>0</v>
      </c>
      <c r="AF21" s="41">
        <f t="shared" si="7"/>
        <v>0</v>
      </c>
    </row>
    <row r="22" spans="1:32" s="82" customFormat="1" x14ac:dyDescent="0.2">
      <c r="A22" s="310"/>
      <c r="B22" s="642" t="s">
        <v>155</v>
      </c>
      <c r="C22" s="642"/>
      <c r="D22" s="642"/>
      <c r="E22" s="303"/>
      <c r="F22" s="225"/>
      <c r="G22" s="283" t="s">
        <v>156</v>
      </c>
      <c r="H22" s="80"/>
      <c r="I22" s="41">
        <f>I11+I19</f>
        <v>0</v>
      </c>
      <c r="J22" s="41">
        <f t="shared" ref="J22:W22" si="17">J11+J19</f>
        <v>0</v>
      </c>
      <c r="K22" s="41">
        <f t="shared" si="17"/>
        <v>0</v>
      </c>
      <c r="L22" s="41">
        <f t="shared" si="17"/>
        <v>0</v>
      </c>
      <c r="M22" s="41">
        <f t="shared" si="17"/>
        <v>0</v>
      </c>
      <c r="N22" s="41">
        <f t="shared" si="17"/>
        <v>0</v>
      </c>
      <c r="O22" s="41">
        <f t="shared" si="17"/>
        <v>0</v>
      </c>
      <c r="P22" s="41">
        <f t="shared" si="1"/>
        <v>0</v>
      </c>
      <c r="Q22" s="41">
        <f t="shared" si="17"/>
        <v>0</v>
      </c>
      <c r="R22" s="41">
        <f t="shared" si="17"/>
        <v>0</v>
      </c>
      <c r="S22" s="41">
        <f t="shared" si="17"/>
        <v>0</v>
      </c>
      <c r="T22" s="41">
        <f t="shared" si="17"/>
        <v>0</v>
      </c>
      <c r="U22" s="41">
        <f t="shared" si="17"/>
        <v>0</v>
      </c>
      <c r="V22" s="41">
        <f t="shared" si="17"/>
        <v>0</v>
      </c>
      <c r="W22" s="41">
        <f t="shared" si="17"/>
        <v>0</v>
      </c>
      <c r="X22" s="41">
        <f t="shared" si="3"/>
        <v>0</v>
      </c>
      <c r="Y22" s="41">
        <f>I22-Q22</f>
        <v>0</v>
      </c>
      <c r="Z22" s="41">
        <f t="shared" si="15"/>
        <v>0</v>
      </c>
      <c r="AA22" s="41">
        <f t="shared" si="15"/>
        <v>0</v>
      </c>
      <c r="AB22" s="41">
        <f t="shared" si="5"/>
        <v>0</v>
      </c>
      <c r="AC22" s="41">
        <f t="shared" si="5"/>
        <v>0</v>
      </c>
      <c r="AD22" s="41">
        <f t="shared" si="6"/>
        <v>0</v>
      </c>
      <c r="AE22" s="41">
        <f t="shared" si="6"/>
        <v>0</v>
      </c>
      <c r="AF22" s="41">
        <f t="shared" si="7"/>
        <v>0</v>
      </c>
    </row>
    <row r="23" spans="1:32" s="82" customFormat="1" x14ac:dyDescent="0.2">
      <c r="A23" s="307" t="s">
        <v>157</v>
      </c>
      <c r="B23" s="225"/>
      <c r="C23" s="303"/>
      <c r="D23" s="303"/>
      <c r="E23" s="303"/>
      <c r="F23" s="225"/>
      <c r="G23" s="280" t="s">
        <v>158</v>
      </c>
      <c r="H23" s="83"/>
      <c r="I23" s="84"/>
      <c r="J23" s="84"/>
      <c r="K23" s="84"/>
      <c r="L23" s="84"/>
      <c r="M23" s="84"/>
      <c r="N23" s="84"/>
      <c r="O23" s="84"/>
      <c r="P23" s="41"/>
      <c r="Q23" s="84"/>
      <c r="R23" s="84"/>
      <c r="S23" s="84"/>
      <c r="T23" s="84"/>
      <c r="U23" s="84"/>
      <c r="V23" s="84"/>
      <c r="W23" s="84"/>
      <c r="X23" s="41"/>
      <c r="Y23" s="41"/>
      <c r="Z23" s="41"/>
      <c r="AA23" s="41"/>
      <c r="AB23" s="41"/>
      <c r="AC23" s="41"/>
      <c r="AD23" s="41"/>
      <c r="AE23" s="41"/>
      <c r="AF23" s="41"/>
    </row>
    <row r="24" spans="1:32" s="82" customFormat="1" x14ac:dyDescent="0.2">
      <c r="A24" s="307" t="s">
        <v>146</v>
      </c>
      <c r="B24" s="302"/>
      <c r="C24" s="303"/>
      <c r="D24" s="303"/>
      <c r="E24" s="303"/>
      <c r="F24" s="225"/>
      <c r="G24" s="283" t="s">
        <v>159</v>
      </c>
      <c r="H24" s="80"/>
      <c r="I24" s="41">
        <f>I25+I28+I31</f>
        <v>0</v>
      </c>
      <c r="J24" s="41">
        <f t="shared" ref="J24:O24" si="18">J25+J28+J31</f>
        <v>0</v>
      </c>
      <c r="K24" s="41">
        <f t="shared" si="18"/>
        <v>0</v>
      </c>
      <c r="L24" s="41">
        <f t="shared" si="18"/>
        <v>0</v>
      </c>
      <c r="M24" s="41">
        <f t="shared" si="18"/>
        <v>0</v>
      </c>
      <c r="N24" s="41">
        <f>N25+N28+N31</f>
        <v>0</v>
      </c>
      <c r="O24" s="41">
        <f t="shared" si="18"/>
        <v>0</v>
      </c>
      <c r="P24" s="41">
        <f>I24+K24+M24+O24</f>
        <v>0</v>
      </c>
      <c r="Q24" s="41">
        <f t="shared" ref="Q24:W24" si="19">Q25+Q28+Q31</f>
        <v>0</v>
      </c>
      <c r="R24" s="41">
        <f t="shared" si="19"/>
        <v>0</v>
      </c>
      <c r="S24" s="41">
        <f t="shared" si="19"/>
        <v>0</v>
      </c>
      <c r="T24" s="41">
        <f t="shared" si="19"/>
        <v>0</v>
      </c>
      <c r="U24" s="41">
        <f t="shared" si="19"/>
        <v>0</v>
      </c>
      <c r="V24" s="41">
        <f t="shared" si="19"/>
        <v>0</v>
      </c>
      <c r="W24" s="41">
        <f t="shared" si="19"/>
        <v>0</v>
      </c>
      <c r="X24" s="41">
        <f t="shared" ref="X24:X57" si="20">Q24+S24+U24+W24</f>
        <v>0</v>
      </c>
      <c r="Y24" s="41">
        <f t="shared" ref="Y24:Z26" si="21">I24-Q24</f>
        <v>0</v>
      </c>
      <c r="Z24" s="41">
        <f t="shared" si="21"/>
        <v>0</v>
      </c>
      <c r="AA24" s="41">
        <f>K24-S24</f>
        <v>0</v>
      </c>
      <c r="AB24" s="41">
        <f t="shared" ref="AB24:AB36" si="22">L24-T24</f>
        <v>0</v>
      </c>
      <c r="AC24" s="41">
        <f t="shared" ref="AC24:AC36" si="23">M24-U24</f>
        <v>0</v>
      </c>
      <c r="AD24" s="41">
        <f t="shared" ref="AD24:AD36" si="24">N24-V24</f>
        <v>0</v>
      </c>
      <c r="AE24" s="41">
        <f t="shared" ref="AE24:AE36" si="25">O24-W24</f>
        <v>0</v>
      </c>
      <c r="AF24" s="41">
        <f t="shared" ref="AF24:AF57" si="26">Y24+AA24+AC24+AE24</f>
        <v>0</v>
      </c>
    </row>
    <row r="25" spans="1:32" s="82" customFormat="1" x14ac:dyDescent="0.2">
      <c r="A25" s="303" t="s">
        <v>148</v>
      </c>
      <c r="B25" s="225" t="s">
        <v>149</v>
      </c>
      <c r="C25" s="303"/>
      <c r="D25" s="303"/>
      <c r="E25" s="303"/>
      <c r="F25" s="225"/>
      <c r="G25" s="283" t="s">
        <v>160</v>
      </c>
      <c r="H25" s="80"/>
      <c r="I25" s="41">
        <f>I26</f>
        <v>0</v>
      </c>
      <c r="J25" s="41">
        <f>J26</f>
        <v>0</v>
      </c>
      <c r="K25" s="41">
        <f>K26</f>
        <v>0</v>
      </c>
      <c r="L25" s="41">
        <f>L26+L27</f>
        <v>0</v>
      </c>
      <c r="M25" s="41">
        <f>M26+M27</f>
        <v>0</v>
      </c>
      <c r="N25" s="41">
        <f>N26+N27</f>
        <v>0</v>
      </c>
      <c r="O25" s="41">
        <f>O26+O27</f>
        <v>0</v>
      </c>
      <c r="P25" s="41">
        <f t="shared" ref="P25:P57" si="27">I25+K25+M25+O25</f>
        <v>0</v>
      </c>
      <c r="Q25" s="41">
        <f>Q26</f>
        <v>0</v>
      </c>
      <c r="R25" s="41">
        <f>R26</f>
        <v>0</v>
      </c>
      <c r="S25" s="41">
        <f>S26</f>
        <v>0</v>
      </c>
      <c r="T25" s="41">
        <f>T26+T27</f>
        <v>0</v>
      </c>
      <c r="U25" s="41">
        <f>U26+U27</f>
        <v>0</v>
      </c>
      <c r="V25" s="41">
        <f>V26+V27</f>
        <v>0</v>
      </c>
      <c r="W25" s="41">
        <f>W26+W27</f>
        <v>0</v>
      </c>
      <c r="X25" s="41">
        <f t="shared" si="20"/>
        <v>0</v>
      </c>
      <c r="Y25" s="41">
        <f t="shared" si="21"/>
        <v>0</v>
      </c>
      <c r="Z25" s="41">
        <f t="shared" si="21"/>
        <v>0</v>
      </c>
      <c r="AA25" s="41">
        <f>K25-S25</f>
        <v>0</v>
      </c>
      <c r="AB25" s="41">
        <f t="shared" si="22"/>
        <v>0</v>
      </c>
      <c r="AC25" s="41">
        <f t="shared" si="23"/>
        <v>0</v>
      </c>
      <c r="AD25" s="41">
        <f t="shared" si="24"/>
        <v>0</v>
      </c>
      <c r="AE25" s="41">
        <f t="shared" si="25"/>
        <v>0</v>
      </c>
      <c r="AF25" s="41">
        <f t="shared" si="26"/>
        <v>0</v>
      </c>
    </row>
    <row r="26" spans="1:32" s="82" customFormat="1" x14ac:dyDescent="0.2">
      <c r="A26" s="303"/>
      <c r="B26" s="304" t="s">
        <v>161</v>
      </c>
      <c r="C26" s="303" t="s">
        <v>162</v>
      </c>
      <c r="D26" s="303"/>
      <c r="E26" s="303"/>
      <c r="F26" s="225"/>
      <c r="G26" s="283" t="s">
        <v>163</v>
      </c>
      <c r="H26" s="80"/>
      <c r="I26" s="44"/>
      <c r="J26" s="44"/>
      <c r="K26" s="44"/>
      <c r="L26" s="102"/>
      <c r="M26" s="102"/>
      <c r="N26" s="44"/>
      <c r="O26" s="44"/>
      <c r="P26" s="41">
        <f t="shared" si="27"/>
        <v>0</v>
      </c>
      <c r="Q26" s="44"/>
      <c r="R26" s="44"/>
      <c r="S26" s="44"/>
      <c r="T26" s="102"/>
      <c r="U26" s="102"/>
      <c r="V26" s="44"/>
      <c r="W26" s="44"/>
      <c r="X26" s="41">
        <f t="shared" si="20"/>
        <v>0</v>
      </c>
      <c r="Y26" s="41">
        <f t="shared" si="21"/>
        <v>0</v>
      </c>
      <c r="Z26" s="41">
        <f t="shared" si="21"/>
        <v>0</v>
      </c>
      <c r="AA26" s="41">
        <f>K26-S26</f>
        <v>0</v>
      </c>
      <c r="AB26" s="81"/>
      <c r="AC26" s="81"/>
      <c r="AD26" s="41">
        <f t="shared" si="24"/>
        <v>0</v>
      </c>
      <c r="AE26" s="41">
        <f t="shared" si="25"/>
        <v>0</v>
      </c>
      <c r="AF26" s="41">
        <f t="shared" si="26"/>
        <v>0</v>
      </c>
    </row>
    <row r="27" spans="1:32" s="82" customFormat="1" x14ac:dyDescent="0.2">
      <c r="A27" s="303"/>
      <c r="B27" s="304" t="s">
        <v>164</v>
      </c>
      <c r="C27" s="303" t="s">
        <v>53</v>
      </c>
      <c r="D27" s="303"/>
      <c r="E27" s="303"/>
      <c r="F27" s="225"/>
      <c r="G27" s="283" t="s">
        <v>165</v>
      </c>
      <c r="H27" s="80"/>
      <c r="I27" s="85"/>
      <c r="J27" s="85"/>
      <c r="K27" s="85"/>
      <c r="L27" s="44"/>
      <c r="M27" s="44"/>
      <c r="N27" s="44"/>
      <c r="O27" s="44"/>
      <c r="P27" s="41">
        <f t="shared" si="27"/>
        <v>0</v>
      </c>
      <c r="Q27" s="43"/>
      <c r="R27" s="43"/>
      <c r="S27" s="43"/>
      <c r="T27" s="44"/>
      <c r="U27" s="44"/>
      <c r="V27" s="44"/>
      <c r="W27" s="44"/>
      <c r="X27" s="41">
        <f t="shared" si="20"/>
        <v>0</v>
      </c>
      <c r="Y27" s="81"/>
      <c r="Z27" s="81"/>
      <c r="AA27" s="81"/>
      <c r="AB27" s="41">
        <f t="shared" si="22"/>
        <v>0</v>
      </c>
      <c r="AC27" s="41">
        <f t="shared" si="23"/>
        <v>0</v>
      </c>
      <c r="AD27" s="41">
        <f t="shared" si="24"/>
        <v>0</v>
      </c>
      <c r="AE27" s="41">
        <f t="shared" si="25"/>
        <v>0</v>
      </c>
      <c r="AF27" s="41">
        <f t="shared" si="26"/>
        <v>0</v>
      </c>
    </row>
    <row r="28" spans="1:32" s="82" customFormat="1" x14ac:dyDescent="0.2">
      <c r="A28" s="303" t="s">
        <v>151</v>
      </c>
      <c r="B28" s="641" t="s">
        <v>52</v>
      </c>
      <c r="C28" s="641"/>
      <c r="D28" s="641"/>
      <c r="E28" s="641"/>
      <c r="F28" s="225"/>
      <c r="G28" s="283" t="s">
        <v>166</v>
      </c>
      <c r="H28" s="80"/>
      <c r="I28" s="41">
        <f>I29</f>
        <v>0</v>
      </c>
      <c r="J28" s="41">
        <f>J29</f>
        <v>0</v>
      </c>
      <c r="K28" s="41">
        <f>K29</f>
        <v>0</v>
      </c>
      <c r="L28" s="41">
        <f>L29+L30</f>
        <v>0</v>
      </c>
      <c r="M28" s="41">
        <f>M29+M30</f>
        <v>0</v>
      </c>
      <c r="N28" s="41">
        <f>N29+N30</f>
        <v>0</v>
      </c>
      <c r="O28" s="41">
        <f>O29+O30</f>
        <v>0</v>
      </c>
      <c r="P28" s="41">
        <f t="shared" si="27"/>
        <v>0</v>
      </c>
      <c r="Q28" s="41">
        <f>Q29</f>
        <v>0</v>
      </c>
      <c r="R28" s="41">
        <f>R29</f>
        <v>0</v>
      </c>
      <c r="S28" s="41">
        <f>S29</f>
        <v>0</v>
      </c>
      <c r="T28" s="41">
        <f>T29+T30</f>
        <v>0</v>
      </c>
      <c r="U28" s="41">
        <f>U29+U30</f>
        <v>0</v>
      </c>
      <c r="V28" s="41">
        <f>V29+V30</f>
        <v>0</v>
      </c>
      <c r="W28" s="41">
        <f>W29+W30</f>
        <v>0</v>
      </c>
      <c r="X28" s="41">
        <f t="shared" si="20"/>
        <v>0</v>
      </c>
      <c r="Y28" s="41">
        <f t="shared" ref="Y28:AA29" si="28">I28-Q28</f>
        <v>0</v>
      </c>
      <c r="Z28" s="41">
        <f t="shared" si="28"/>
        <v>0</v>
      </c>
      <c r="AA28" s="41">
        <f t="shared" si="28"/>
        <v>0</v>
      </c>
      <c r="AB28" s="41">
        <f t="shared" si="22"/>
        <v>0</v>
      </c>
      <c r="AC28" s="41">
        <f t="shared" si="23"/>
        <v>0</v>
      </c>
      <c r="AD28" s="41">
        <f t="shared" si="24"/>
        <v>0</v>
      </c>
      <c r="AE28" s="41">
        <f t="shared" si="25"/>
        <v>0</v>
      </c>
      <c r="AF28" s="41">
        <f t="shared" si="26"/>
        <v>0</v>
      </c>
    </row>
    <row r="29" spans="1:32" s="82" customFormat="1" x14ac:dyDescent="0.2">
      <c r="A29" s="303"/>
      <c r="B29" s="304" t="s">
        <v>161</v>
      </c>
      <c r="C29" s="303" t="s">
        <v>162</v>
      </c>
      <c r="D29" s="306"/>
      <c r="E29" s="306"/>
      <c r="F29" s="225"/>
      <c r="G29" s="283" t="s">
        <v>167</v>
      </c>
      <c r="H29" s="80"/>
      <c r="I29" s="44"/>
      <c r="J29" s="44"/>
      <c r="K29" s="44"/>
      <c r="L29" s="258"/>
      <c r="M29" s="258"/>
      <c r="N29" s="44"/>
      <c r="O29" s="44"/>
      <c r="P29" s="41">
        <f t="shared" si="27"/>
        <v>0</v>
      </c>
      <c r="Q29" s="44"/>
      <c r="R29" s="44"/>
      <c r="S29" s="44"/>
      <c r="T29" s="258"/>
      <c r="U29" s="258"/>
      <c r="V29" s="44"/>
      <c r="W29" s="44"/>
      <c r="X29" s="41">
        <f t="shared" si="20"/>
        <v>0</v>
      </c>
      <c r="Y29" s="41">
        <f t="shared" si="28"/>
        <v>0</v>
      </c>
      <c r="Z29" s="41">
        <f t="shared" si="28"/>
        <v>0</v>
      </c>
      <c r="AA29" s="41">
        <f t="shared" si="28"/>
        <v>0</v>
      </c>
      <c r="AB29" s="259"/>
      <c r="AC29" s="259"/>
      <c r="AD29" s="41">
        <f t="shared" si="24"/>
        <v>0</v>
      </c>
      <c r="AE29" s="41">
        <f t="shared" si="25"/>
        <v>0</v>
      </c>
      <c r="AF29" s="41">
        <f t="shared" si="26"/>
        <v>0</v>
      </c>
    </row>
    <row r="30" spans="1:32" s="82" customFormat="1" x14ac:dyDescent="0.2">
      <c r="A30" s="303"/>
      <c r="B30" s="304" t="s">
        <v>164</v>
      </c>
      <c r="C30" s="303" t="s">
        <v>53</v>
      </c>
      <c r="D30" s="306"/>
      <c r="E30" s="306"/>
      <c r="F30" s="225"/>
      <c r="G30" s="283" t="s">
        <v>168</v>
      </c>
      <c r="H30" s="80"/>
      <c r="I30" s="85"/>
      <c r="J30" s="85"/>
      <c r="K30" s="85"/>
      <c r="L30" s="44"/>
      <c r="M30" s="44"/>
      <c r="N30" s="44"/>
      <c r="O30" s="44"/>
      <c r="P30" s="41">
        <f t="shared" si="27"/>
        <v>0</v>
      </c>
      <c r="Q30" s="43"/>
      <c r="R30" s="43"/>
      <c r="S30" s="43"/>
      <c r="T30" s="44"/>
      <c r="U30" s="44"/>
      <c r="V30" s="44"/>
      <c r="W30" s="44"/>
      <c r="X30" s="41">
        <f t="shared" si="20"/>
        <v>0</v>
      </c>
      <c r="Y30" s="81"/>
      <c r="Z30" s="81"/>
      <c r="AA30" s="81"/>
      <c r="AB30" s="41">
        <f t="shared" si="22"/>
        <v>0</v>
      </c>
      <c r="AC30" s="41">
        <f t="shared" si="23"/>
        <v>0</v>
      </c>
      <c r="AD30" s="41">
        <f t="shared" si="24"/>
        <v>0</v>
      </c>
      <c r="AE30" s="41">
        <f t="shared" si="25"/>
        <v>0</v>
      </c>
      <c r="AF30" s="41">
        <f t="shared" si="26"/>
        <v>0</v>
      </c>
    </row>
    <row r="31" spans="1:32" s="82" customFormat="1" x14ac:dyDescent="0.2">
      <c r="A31" s="303" t="s">
        <v>153</v>
      </c>
      <c r="B31" s="641" t="s">
        <v>637</v>
      </c>
      <c r="C31" s="641"/>
      <c r="D31" s="641"/>
      <c r="E31" s="641"/>
      <c r="F31" s="641"/>
      <c r="G31" s="283" t="s">
        <v>169</v>
      </c>
      <c r="H31" s="80"/>
      <c r="I31" s="44"/>
      <c r="J31" s="44"/>
      <c r="K31" s="44"/>
      <c r="L31" s="44"/>
      <c r="M31" s="44"/>
      <c r="N31" s="44"/>
      <c r="O31" s="44"/>
      <c r="P31" s="41">
        <f t="shared" si="27"/>
        <v>0</v>
      </c>
      <c r="Q31" s="44"/>
      <c r="R31" s="44"/>
      <c r="S31" s="44"/>
      <c r="T31" s="44"/>
      <c r="U31" s="44"/>
      <c r="V31" s="44"/>
      <c r="W31" s="44"/>
      <c r="X31" s="41">
        <f t="shared" si="20"/>
        <v>0</v>
      </c>
      <c r="Y31" s="41">
        <f>I31-Q31</f>
        <v>0</v>
      </c>
      <c r="Z31" s="41">
        <f>J31-R31</f>
        <v>0</v>
      </c>
      <c r="AA31" s="41">
        <f>K31-S31</f>
        <v>0</v>
      </c>
      <c r="AB31" s="41">
        <f t="shared" si="22"/>
        <v>0</v>
      </c>
      <c r="AC31" s="41">
        <f t="shared" si="23"/>
        <v>0</v>
      </c>
      <c r="AD31" s="41">
        <f t="shared" si="24"/>
        <v>0</v>
      </c>
      <c r="AE31" s="41">
        <f t="shared" si="25"/>
        <v>0</v>
      </c>
      <c r="AF31" s="41">
        <f t="shared" si="26"/>
        <v>0</v>
      </c>
    </row>
    <row r="32" spans="1:32" s="82" customFormat="1" x14ac:dyDescent="0.2">
      <c r="A32" s="307" t="s">
        <v>170</v>
      </c>
      <c r="B32" s="302"/>
      <c r="C32" s="308"/>
      <c r="D32" s="309"/>
      <c r="E32" s="303"/>
      <c r="F32" s="225"/>
      <c r="G32" s="283" t="s">
        <v>171</v>
      </c>
      <c r="H32" s="80"/>
      <c r="I32" s="85"/>
      <c r="J32" s="41">
        <f t="shared" ref="J32:O32" si="29">J33+J34</f>
        <v>0</v>
      </c>
      <c r="K32" s="41">
        <f t="shared" si="29"/>
        <v>0</v>
      </c>
      <c r="L32" s="41">
        <f t="shared" si="29"/>
        <v>0</v>
      </c>
      <c r="M32" s="41">
        <f t="shared" si="29"/>
        <v>0</v>
      </c>
      <c r="N32" s="41">
        <f t="shared" si="29"/>
        <v>0</v>
      </c>
      <c r="O32" s="41">
        <f t="shared" si="29"/>
        <v>0</v>
      </c>
      <c r="P32" s="41">
        <f t="shared" si="27"/>
        <v>0</v>
      </c>
      <c r="Q32" s="43"/>
      <c r="R32" s="41">
        <f t="shared" ref="R32:W32" si="30">R33+R34</f>
        <v>0</v>
      </c>
      <c r="S32" s="41">
        <f t="shared" si="30"/>
        <v>0</v>
      </c>
      <c r="T32" s="41">
        <f t="shared" si="30"/>
        <v>0</v>
      </c>
      <c r="U32" s="41">
        <f t="shared" si="30"/>
        <v>0</v>
      </c>
      <c r="V32" s="41">
        <f t="shared" si="30"/>
        <v>0</v>
      </c>
      <c r="W32" s="41">
        <f t="shared" si="30"/>
        <v>0</v>
      </c>
      <c r="X32" s="41">
        <f t="shared" si="20"/>
        <v>0</v>
      </c>
      <c r="Y32" s="81"/>
      <c r="Z32" s="41">
        <f t="shared" ref="Z32:AA36" si="31">J32-R32</f>
        <v>0</v>
      </c>
      <c r="AA32" s="41">
        <f t="shared" si="31"/>
        <v>0</v>
      </c>
      <c r="AB32" s="41">
        <f t="shared" si="22"/>
        <v>0</v>
      </c>
      <c r="AC32" s="41">
        <f t="shared" si="23"/>
        <v>0</v>
      </c>
      <c r="AD32" s="41">
        <f t="shared" si="24"/>
        <v>0</v>
      </c>
      <c r="AE32" s="41">
        <f t="shared" si="25"/>
        <v>0</v>
      </c>
      <c r="AF32" s="41">
        <f t="shared" si="26"/>
        <v>0</v>
      </c>
    </row>
    <row r="33" spans="1:32" s="82" customFormat="1" x14ac:dyDescent="0.2">
      <c r="A33" s="303" t="s">
        <v>148</v>
      </c>
      <c r="B33" s="305" t="s">
        <v>172</v>
      </c>
      <c r="C33" s="303"/>
      <c r="D33" s="303"/>
      <c r="E33" s="303"/>
      <c r="F33" s="225"/>
      <c r="G33" s="283" t="s">
        <v>173</v>
      </c>
      <c r="H33" s="80"/>
      <c r="I33" s="85"/>
      <c r="J33" s="44"/>
      <c r="K33" s="44"/>
      <c r="L33" s="44"/>
      <c r="M33" s="44"/>
      <c r="N33" s="44"/>
      <c r="O33" s="44"/>
      <c r="P33" s="41">
        <f t="shared" si="27"/>
        <v>0</v>
      </c>
      <c r="Q33" s="43"/>
      <c r="R33" s="44"/>
      <c r="S33" s="44"/>
      <c r="T33" s="44"/>
      <c r="U33" s="44"/>
      <c r="V33" s="44"/>
      <c r="W33" s="44"/>
      <c r="X33" s="41">
        <f t="shared" si="20"/>
        <v>0</v>
      </c>
      <c r="Y33" s="81"/>
      <c r="Z33" s="41">
        <f t="shared" si="31"/>
        <v>0</v>
      </c>
      <c r="AA33" s="41">
        <f t="shared" si="31"/>
        <v>0</v>
      </c>
      <c r="AB33" s="41">
        <f t="shared" si="22"/>
        <v>0</v>
      </c>
      <c r="AC33" s="41">
        <f t="shared" si="23"/>
        <v>0</v>
      </c>
      <c r="AD33" s="41">
        <f t="shared" si="24"/>
        <v>0</v>
      </c>
      <c r="AE33" s="41">
        <f t="shared" si="25"/>
        <v>0</v>
      </c>
      <c r="AF33" s="41">
        <f t="shared" si="26"/>
        <v>0</v>
      </c>
    </row>
    <row r="34" spans="1:32" s="82" customFormat="1" x14ac:dyDescent="0.2">
      <c r="A34" s="303" t="s">
        <v>151</v>
      </c>
      <c r="B34" s="305" t="s">
        <v>52</v>
      </c>
      <c r="C34" s="303"/>
      <c r="D34" s="303"/>
      <c r="E34" s="303"/>
      <c r="F34" s="225"/>
      <c r="G34" s="283" t="s">
        <v>174</v>
      </c>
      <c r="H34" s="80"/>
      <c r="I34" s="85"/>
      <c r="J34" s="44"/>
      <c r="K34" s="44"/>
      <c r="L34" s="44"/>
      <c r="M34" s="44"/>
      <c r="N34" s="44"/>
      <c r="O34" s="44"/>
      <c r="P34" s="41">
        <f t="shared" si="27"/>
        <v>0</v>
      </c>
      <c r="Q34" s="43"/>
      <c r="R34" s="44"/>
      <c r="S34" s="44"/>
      <c r="T34" s="44"/>
      <c r="U34" s="44"/>
      <c r="V34" s="44"/>
      <c r="W34" s="44"/>
      <c r="X34" s="41">
        <f t="shared" si="20"/>
        <v>0</v>
      </c>
      <c r="Y34" s="81"/>
      <c r="Z34" s="41">
        <f t="shared" si="31"/>
        <v>0</v>
      </c>
      <c r="AA34" s="41">
        <f t="shared" si="31"/>
        <v>0</v>
      </c>
      <c r="AB34" s="41">
        <f t="shared" si="22"/>
        <v>0</v>
      </c>
      <c r="AC34" s="41">
        <f t="shared" si="23"/>
        <v>0</v>
      </c>
      <c r="AD34" s="41">
        <f t="shared" si="24"/>
        <v>0</v>
      </c>
      <c r="AE34" s="41">
        <f t="shared" si="25"/>
        <v>0</v>
      </c>
      <c r="AF34" s="41">
        <f t="shared" si="26"/>
        <v>0</v>
      </c>
    </row>
    <row r="35" spans="1:32" s="82" customFormat="1" x14ac:dyDescent="0.2">
      <c r="A35" s="303"/>
      <c r="B35" s="642" t="s">
        <v>155</v>
      </c>
      <c r="C35" s="642"/>
      <c r="D35" s="642"/>
      <c r="E35" s="303"/>
      <c r="F35" s="225"/>
      <c r="G35" s="283" t="s">
        <v>175</v>
      </c>
      <c r="H35" s="80"/>
      <c r="I35" s="41">
        <f>I24</f>
        <v>0</v>
      </c>
      <c r="J35" s="41">
        <f t="shared" ref="J35:O35" si="32">J24+J32</f>
        <v>0</v>
      </c>
      <c r="K35" s="41">
        <f t="shared" si="32"/>
        <v>0</v>
      </c>
      <c r="L35" s="41">
        <f t="shared" si="32"/>
        <v>0</v>
      </c>
      <c r="M35" s="41">
        <f t="shared" si="32"/>
        <v>0</v>
      </c>
      <c r="N35" s="41">
        <f t="shared" si="32"/>
        <v>0</v>
      </c>
      <c r="O35" s="41">
        <f t="shared" si="32"/>
        <v>0</v>
      </c>
      <c r="P35" s="41">
        <f t="shared" si="27"/>
        <v>0</v>
      </c>
      <c r="Q35" s="41">
        <f>Q24</f>
        <v>0</v>
      </c>
      <c r="R35" s="41">
        <f t="shared" ref="R35:W35" si="33">R24+R32</f>
        <v>0</v>
      </c>
      <c r="S35" s="41">
        <f t="shared" si="33"/>
        <v>0</v>
      </c>
      <c r="T35" s="41">
        <f t="shared" si="33"/>
        <v>0</v>
      </c>
      <c r="U35" s="41">
        <f t="shared" si="33"/>
        <v>0</v>
      </c>
      <c r="V35" s="41">
        <f t="shared" si="33"/>
        <v>0</v>
      </c>
      <c r="W35" s="41">
        <f t="shared" si="33"/>
        <v>0</v>
      </c>
      <c r="X35" s="41">
        <f t="shared" si="20"/>
        <v>0</v>
      </c>
      <c r="Y35" s="41">
        <f>I35-Q35</f>
        <v>0</v>
      </c>
      <c r="Z35" s="41">
        <f t="shared" si="31"/>
        <v>0</v>
      </c>
      <c r="AA35" s="41">
        <f t="shared" si="31"/>
        <v>0</v>
      </c>
      <c r="AB35" s="41">
        <f t="shared" si="22"/>
        <v>0</v>
      </c>
      <c r="AC35" s="41">
        <f t="shared" si="23"/>
        <v>0</v>
      </c>
      <c r="AD35" s="41">
        <f t="shared" si="24"/>
        <v>0</v>
      </c>
      <c r="AE35" s="41">
        <f t="shared" si="25"/>
        <v>0</v>
      </c>
      <c r="AF35" s="41">
        <f t="shared" si="26"/>
        <v>0</v>
      </c>
    </row>
    <row r="36" spans="1:32" s="82" customFormat="1" x14ac:dyDescent="0.2">
      <c r="A36" s="643" t="s">
        <v>140</v>
      </c>
      <c r="B36" s="644"/>
      <c r="C36" s="644"/>
      <c r="D36" s="645"/>
      <c r="E36" s="303"/>
      <c r="F36" s="225"/>
      <c r="G36" s="283" t="s">
        <v>176</v>
      </c>
      <c r="H36" s="80"/>
      <c r="I36" s="41">
        <f>I22+I35</f>
        <v>0</v>
      </c>
      <c r="J36" s="41">
        <f t="shared" ref="J36:O36" si="34">J22+J35</f>
        <v>0</v>
      </c>
      <c r="K36" s="41">
        <f t="shared" si="34"/>
        <v>0</v>
      </c>
      <c r="L36" s="41">
        <f t="shared" si="34"/>
        <v>0</v>
      </c>
      <c r="M36" s="41">
        <f t="shared" si="34"/>
        <v>0</v>
      </c>
      <c r="N36" s="41">
        <f t="shared" si="34"/>
        <v>0</v>
      </c>
      <c r="O36" s="41">
        <f t="shared" si="34"/>
        <v>0</v>
      </c>
      <c r="P36" s="41">
        <f t="shared" si="27"/>
        <v>0</v>
      </c>
      <c r="Q36" s="41">
        <f>Q22+Q35</f>
        <v>0</v>
      </c>
      <c r="R36" s="41">
        <f t="shared" ref="R36:W36" si="35">R22+R35</f>
        <v>0</v>
      </c>
      <c r="S36" s="41">
        <f t="shared" si="35"/>
        <v>0</v>
      </c>
      <c r="T36" s="41">
        <f t="shared" si="35"/>
        <v>0</v>
      </c>
      <c r="U36" s="41">
        <f t="shared" si="35"/>
        <v>0</v>
      </c>
      <c r="V36" s="41">
        <f t="shared" si="35"/>
        <v>0</v>
      </c>
      <c r="W36" s="41">
        <f t="shared" si="35"/>
        <v>0</v>
      </c>
      <c r="X36" s="41">
        <f t="shared" si="20"/>
        <v>0</v>
      </c>
      <c r="Y36" s="41">
        <f>I36-Q36</f>
        <v>0</v>
      </c>
      <c r="Z36" s="41">
        <f t="shared" si="31"/>
        <v>0</v>
      </c>
      <c r="AA36" s="41">
        <f t="shared" si="31"/>
        <v>0</v>
      </c>
      <c r="AB36" s="41">
        <f t="shared" si="22"/>
        <v>0</v>
      </c>
      <c r="AC36" s="41">
        <f t="shared" si="23"/>
        <v>0</v>
      </c>
      <c r="AD36" s="41">
        <f t="shared" si="24"/>
        <v>0</v>
      </c>
      <c r="AE36" s="41">
        <f t="shared" si="25"/>
        <v>0</v>
      </c>
      <c r="AF36" s="41">
        <f t="shared" si="26"/>
        <v>0</v>
      </c>
    </row>
    <row r="37" spans="1:32" s="226" customFormat="1" x14ac:dyDescent="0.2">
      <c r="A37" s="223" t="s">
        <v>177</v>
      </c>
      <c r="B37" s="224"/>
      <c r="C37" s="224"/>
      <c r="D37" s="224"/>
      <c r="E37" s="225"/>
      <c r="F37" s="225"/>
      <c r="G37" s="280"/>
      <c r="H37" s="83"/>
      <c r="I37" s="84"/>
      <c r="J37" s="84"/>
      <c r="K37" s="84"/>
      <c r="L37" s="84"/>
      <c r="M37" s="84"/>
      <c r="N37" s="84"/>
      <c r="O37" s="84"/>
      <c r="P37" s="41"/>
      <c r="Q37" s="84"/>
      <c r="R37" s="84"/>
      <c r="S37" s="84"/>
      <c r="T37" s="84"/>
      <c r="U37" s="84"/>
      <c r="V37" s="84"/>
      <c r="W37" s="84"/>
      <c r="X37" s="41"/>
      <c r="Y37" s="41"/>
      <c r="Z37" s="41"/>
      <c r="AA37" s="41"/>
      <c r="AB37" s="41"/>
      <c r="AC37" s="41"/>
      <c r="AD37" s="41"/>
      <c r="AE37" s="41"/>
      <c r="AF37" s="41"/>
    </row>
    <row r="38" spans="1:32" s="82" customFormat="1" ht="12" customHeight="1" x14ac:dyDescent="0.2">
      <c r="A38" s="311" t="s">
        <v>54</v>
      </c>
      <c r="B38" s="312" t="s">
        <v>178</v>
      </c>
      <c r="C38" s="312"/>
      <c r="D38" s="224"/>
      <c r="E38" s="225"/>
      <c r="F38" s="225"/>
      <c r="G38" s="313" t="s">
        <v>179</v>
      </c>
      <c r="H38" s="87"/>
      <c r="I38" s="41">
        <f>I39+I40+I41</f>
        <v>0</v>
      </c>
      <c r="J38" s="41">
        <f t="shared" ref="J38:O38" si="36">J39+J40+J41</f>
        <v>0</v>
      </c>
      <c r="K38" s="41">
        <f t="shared" si="36"/>
        <v>0</v>
      </c>
      <c r="L38" s="41">
        <f t="shared" si="36"/>
        <v>0</v>
      </c>
      <c r="M38" s="41">
        <f t="shared" si="36"/>
        <v>0</v>
      </c>
      <c r="N38" s="41">
        <f t="shared" si="36"/>
        <v>0</v>
      </c>
      <c r="O38" s="41">
        <f t="shared" si="36"/>
        <v>0</v>
      </c>
      <c r="P38" s="41">
        <f t="shared" si="27"/>
        <v>0</v>
      </c>
      <c r="Q38" s="41">
        <f t="shared" ref="Q38:W38" si="37">Q39+Q40+Q41</f>
        <v>0</v>
      </c>
      <c r="R38" s="41">
        <f t="shared" si="37"/>
        <v>0</v>
      </c>
      <c r="S38" s="41">
        <f t="shared" si="37"/>
        <v>0</v>
      </c>
      <c r="T38" s="41">
        <f t="shared" si="37"/>
        <v>0</v>
      </c>
      <c r="U38" s="41">
        <f t="shared" si="37"/>
        <v>0</v>
      </c>
      <c r="V38" s="41">
        <f t="shared" si="37"/>
        <v>0</v>
      </c>
      <c r="W38" s="41">
        <f t="shared" si="37"/>
        <v>0</v>
      </c>
      <c r="X38" s="41">
        <f t="shared" si="20"/>
        <v>0</v>
      </c>
      <c r="Y38" s="41">
        <f t="shared" ref="Y38:Y57" si="38">I38-Q38</f>
        <v>0</v>
      </c>
      <c r="Z38" s="41">
        <f t="shared" ref="Z38:Z57" si="39">J38-R38</f>
        <v>0</v>
      </c>
      <c r="AA38" s="41">
        <f t="shared" ref="AA38:AA57" si="40">K38-S38</f>
        <v>0</v>
      </c>
      <c r="AB38" s="41">
        <f t="shared" ref="AB38:AB57" si="41">L38-T38</f>
        <v>0</v>
      </c>
      <c r="AC38" s="41">
        <f t="shared" ref="AC38:AC57" si="42">M38-U38</f>
        <v>0</v>
      </c>
      <c r="AD38" s="41">
        <f t="shared" ref="AD38:AD57" si="43">N38-V38</f>
        <v>0</v>
      </c>
      <c r="AE38" s="41">
        <f t="shared" ref="AE38:AE57" si="44">O38-W38</f>
        <v>0</v>
      </c>
      <c r="AF38" s="41">
        <f t="shared" si="26"/>
        <v>0</v>
      </c>
    </row>
    <row r="39" spans="1:32" s="82" customFormat="1" x14ac:dyDescent="0.2">
      <c r="A39" s="312"/>
      <c r="B39" s="312" t="s">
        <v>180</v>
      </c>
      <c r="C39" s="314" t="s">
        <v>181</v>
      </c>
      <c r="D39" s="312"/>
      <c r="E39" s="225"/>
      <c r="F39" s="225"/>
      <c r="G39" s="313" t="s">
        <v>182</v>
      </c>
      <c r="H39" s="87"/>
      <c r="I39" s="44"/>
      <c r="J39" s="44"/>
      <c r="K39" s="44"/>
      <c r="L39" s="44"/>
      <c r="M39" s="44"/>
      <c r="N39" s="44"/>
      <c r="O39" s="44"/>
      <c r="P39" s="41">
        <f t="shared" si="27"/>
        <v>0</v>
      </c>
      <c r="Q39" s="44"/>
      <c r="R39" s="44"/>
      <c r="S39" s="44"/>
      <c r="T39" s="44"/>
      <c r="U39" s="44"/>
      <c r="V39" s="44"/>
      <c r="W39" s="44"/>
      <c r="X39" s="41">
        <f t="shared" si="20"/>
        <v>0</v>
      </c>
      <c r="Y39" s="41">
        <f t="shared" si="38"/>
        <v>0</v>
      </c>
      <c r="Z39" s="41">
        <f t="shared" si="39"/>
        <v>0</v>
      </c>
      <c r="AA39" s="41">
        <f t="shared" si="40"/>
        <v>0</v>
      </c>
      <c r="AB39" s="41">
        <f t="shared" si="41"/>
        <v>0</v>
      </c>
      <c r="AC39" s="41">
        <f t="shared" si="42"/>
        <v>0</v>
      </c>
      <c r="AD39" s="41">
        <f t="shared" si="43"/>
        <v>0</v>
      </c>
      <c r="AE39" s="41">
        <f t="shared" si="44"/>
        <v>0</v>
      </c>
      <c r="AF39" s="41">
        <f t="shared" si="26"/>
        <v>0</v>
      </c>
    </row>
    <row r="40" spans="1:32" s="82" customFormat="1" x14ac:dyDescent="0.2">
      <c r="A40" s="312"/>
      <c r="B40" s="312" t="s">
        <v>183</v>
      </c>
      <c r="C40" s="312" t="s">
        <v>191</v>
      </c>
      <c r="D40" s="312"/>
      <c r="E40" s="225"/>
      <c r="F40" s="225"/>
      <c r="G40" s="313" t="s">
        <v>192</v>
      </c>
      <c r="H40" s="87"/>
      <c r="I40" s="44"/>
      <c r="J40" s="44"/>
      <c r="K40" s="44"/>
      <c r="L40" s="44"/>
      <c r="M40" s="44"/>
      <c r="N40" s="44"/>
      <c r="O40" s="44"/>
      <c r="P40" s="41">
        <f t="shared" si="27"/>
        <v>0</v>
      </c>
      <c r="Q40" s="44"/>
      <c r="R40" s="44"/>
      <c r="S40" s="44"/>
      <c r="T40" s="44"/>
      <c r="U40" s="44"/>
      <c r="V40" s="44"/>
      <c r="W40" s="44"/>
      <c r="X40" s="41">
        <f t="shared" si="20"/>
        <v>0</v>
      </c>
      <c r="Y40" s="41">
        <f t="shared" si="38"/>
        <v>0</v>
      </c>
      <c r="Z40" s="41">
        <f t="shared" si="39"/>
        <v>0</v>
      </c>
      <c r="AA40" s="41">
        <f t="shared" si="40"/>
        <v>0</v>
      </c>
      <c r="AB40" s="41">
        <f t="shared" si="41"/>
        <v>0</v>
      </c>
      <c r="AC40" s="41">
        <f t="shared" si="42"/>
        <v>0</v>
      </c>
      <c r="AD40" s="41">
        <f t="shared" si="43"/>
        <v>0</v>
      </c>
      <c r="AE40" s="41">
        <f t="shared" si="44"/>
        <v>0</v>
      </c>
      <c r="AF40" s="41">
        <f t="shared" si="26"/>
        <v>0</v>
      </c>
    </row>
    <row r="41" spans="1:32" s="82" customFormat="1" x14ac:dyDescent="0.2">
      <c r="A41" s="312"/>
      <c r="B41" s="312" t="s">
        <v>193</v>
      </c>
      <c r="C41" s="312" t="s">
        <v>194</v>
      </c>
      <c r="D41" s="312"/>
      <c r="E41" s="225"/>
      <c r="F41" s="225"/>
      <c r="G41" s="313" t="s">
        <v>195</v>
      </c>
      <c r="H41" s="87"/>
      <c r="I41" s="44"/>
      <c r="J41" s="44"/>
      <c r="K41" s="44"/>
      <c r="L41" s="44"/>
      <c r="M41" s="44"/>
      <c r="N41" s="44"/>
      <c r="O41" s="44"/>
      <c r="P41" s="41">
        <f t="shared" si="27"/>
        <v>0</v>
      </c>
      <c r="Q41" s="44"/>
      <c r="R41" s="44"/>
      <c r="S41" s="44"/>
      <c r="T41" s="44"/>
      <c r="U41" s="44"/>
      <c r="V41" s="44"/>
      <c r="W41" s="44"/>
      <c r="X41" s="41">
        <f t="shared" si="20"/>
        <v>0</v>
      </c>
      <c r="Y41" s="41">
        <f t="shared" si="38"/>
        <v>0</v>
      </c>
      <c r="Z41" s="41">
        <f t="shared" si="39"/>
        <v>0</v>
      </c>
      <c r="AA41" s="41">
        <f t="shared" si="40"/>
        <v>0</v>
      </c>
      <c r="AB41" s="41">
        <f t="shared" si="41"/>
        <v>0</v>
      </c>
      <c r="AC41" s="41">
        <f t="shared" si="42"/>
        <v>0</v>
      </c>
      <c r="AD41" s="41">
        <f t="shared" si="43"/>
        <v>0</v>
      </c>
      <c r="AE41" s="41">
        <f t="shared" si="44"/>
        <v>0</v>
      </c>
      <c r="AF41" s="41">
        <f t="shared" si="26"/>
        <v>0</v>
      </c>
    </row>
    <row r="42" spans="1:32" s="82" customFormat="1" ht="10.5" customHeight="1" x14ac:dyDescent="0.2">
      <c r="A42" s="311" t="s">
        <v>55</v>
      </c>
      <c r="B42" s="640" t="s">
        <v>196</v>
      </c>
      <c r="C42" s="640"/>
      <c r="D42" s="640"/>
      <c r="E42" s="640"/>
      <c r="F42" s="640"/>
      <c r="G42" s="313" t="s">
        <v>197</v>
      </c>
      <c r="H42" s="87"/>
      <c r="I42" s="41">
        <f>I43+I44</f>
        <v>0</v>
      </c>
      <c r="J42" s="41">
        <f t="shared" ref="J42:O42" si="45">J43+J44</f>
        <v>0</v>
      </c>
      <c r="K42" s="41">
        <f t="shared" si="45"/>
        <v>0</v>
      </c>
      <c r="L42" s="41">
        <f t="shared" si="45"/>
        <v>0</v>
      </c>
      <c r="M42" s="41">
        <f t="shared" si="45"/>
        <v>0</v>
      </c>
      <c r="N42" s="41">
        <f t="shared" si="45"/>
        <v>0</v>
      </c>
      <c r="O42" s="41">
        <f t="shared" si="45"/>
        <v>0</v>
      </c>
      <c r="P42" s="41">
        <f t="shared" si="27"/>
        <v>0</v>
      </c>
      <c r="Q42" s="41">
        <f t="shared" ref="Q42:W42" si="46">Q43+Q44</f>
        <v>0</v>
      </c>
      <c r="R42" s="41">
        <f t="shared" si="46"/>
        <v>0</v>
      </c>
      <c r="S42" s="41">
        <f t="shared" si="46"/>
        <v>0</v>
      </c>
      <c r="T42" s="41">
        <f t="shared" si="46"/>
        <v>0</v>
      </c>
      <c r="U42" s="41">
        <f t="shared" si="46"/>
        <v>0</v>
      </c>
      <c r="V42" s="41">
        <f t="shared" si="46"/>
        <v>0</v>
      </c>
      <c r="W42" s="41">
        <f t="shared" si="46"/>
        <v>0</v>
      </c>
      <c r="X42" s="41">
        <f t="shared" si="20"/>
        <v>0</v>
      </c>
      <c r="Y42" s="41">
        <f t="shared" si="38"/>
        <v>0</v>
      </c>
      <c r="Z42" s="41">
        <f t="shared" si="39"/>
        <v>0</v>
      </c>
      <c r="AA42" s="41">
        <f t="shared" si="40"/>
        <v>0</v>
      </c>
      <c r="AB42" s="41">
        <f t="shared" si="41"/>
        <v>0</v>
      </c>
      <c r="AC42" s="41">
        <f t="shared" si="42"/>
        <v>0</v>
      </c>
      <c r="AD42" s="41">
        <f t="shared" si="43"/>
        <v>0</v>
      </c>
      <c r="AE42" s="41">
        <f t="shared" si="44"/>
        <v>0</v>
      </c>
      <c r="AF42" s="41">
        <f t="shared" si="26"/>
        <v>0</v>
      </c>
    </row>
    <row r="43" spans="1:32" s="82" customFormat="1" x14ac:dyDescent="0.2">
      <c r="A43" s="312"/>
      <c r="B43" s="312" t="s">
        <v>180</v>
      </c>
      <c r="C43" s="312" t="s">
        <v>198</v>
      </c>
      <c r="D43" s="312"/>
      <c r="E43" s="312"/>
      <c r="F43" s="225"/>
      <c r="G43" s="313" t="s">
        <v>199</v>
      </c>
      <c r="H43" s="87"/>
      <c r="I43" s="44"/>
      <c r="J43" s="44"/>
      <c r="K43" s="44"/>
      <c r="L43" s="44"/>
      <c r="M43" s="44"/>
      <c r="N43" s="44"/>
      <c r="O43" s="44"/>
      <c r="P43" s="41">
        <f t="shared" si="27"/>
        <v>0</v>
      </c>
      <c r="Q43" s="44"/>
      <c r="R43" s="44"/>
      <c r="S43" s="44"/>
      <c r="T43" s="44"/>
      <c r="U43" s="44"/>
      <c r="V43" s="44"/>
      <c r="W43" s="44"/>
      <c r="X43" s="41">
        <f t="shared" si="20"/>
        <v>0</v>
      </c>
      <c r="Y43" s="41">
        <f t="shared" si="38"/>
        <v>0</v>
      </c>
      <c r="Z43" s="41">
        <f t="shared" si="39"/>
        <v>0</v>
      </c>
      <c r="AA43" s="41">
        <f t="shared" si="40"/>
        <v>0</v>
      </c>
      <c r="AB43" s="41">
        <f t="shared" si="41"/>
        <v>0</v>
      </c>
      <c r="AC43" s="41">
        <f t="shared" si="42"/>
        <v>0</v>
      </c>
      <c r="AD43" s="41">
        <f t="shared" si="43"/>
        <v>0</v>
      </c>
      <c r="AE43" s="41">
        <f t="shared" si="44"/>
        <v>0</v>
      </c>
      <c r="AF43" s="41">
        <f t="shared" si="26"/>
        <v>0</v>
      </c>
    </row>
    <row r="44" spans="1:32" s="82" customFormat="1" ht="11.25" customHeight="1" x14ac:dyDescent="0.2">
      <c r="A44" s="312"/>
      <c r="B44" s="312" t="s">
        <v>183</v>
      </c>
      <c r="C44" s="312" t="s">
        <v>200</v>
      </c>
      <c r="D44" s="312"/>
      <c r="E44" s="312"/>
      <c r="F44" s="225"/>
      <c r="G44" s="313" t="s">
        <v>201</v>
      </c>
      <c r="H44" s="87"/>
      <c r="I44" s="41">
        <f t="shared" ref="I44:O44" si="47">I45+I47+I48+I49+I50+I51</f>
        <v>0</v>
      </c>
      <c r="J44" s="41">
        <f t="shared" si="47"/>
        <v>0</v>
      </c>
      <c r="K44" s="41">
        <f t="shared" si="47"/>
        <v>0</v>
      </c>
      <c r="L44" s="41">
        <f t="shared" si="47"/>
        <v>0</v>
      </c>
      <c r="M44" s="41">
        <f t="shared" si="47"/>
        <v>0</v>
      </c>
      <c r="N44" s="41">
        <f t="shared" si="47"/>
        <v>0</v>
      </c>
      <c r="O44" s="41">
        <f t="shared" si="47"/>
        <v>0</v>
      </c>
      <c r="P44" s="41">
        <f t="shared" si="27"/>
        <v>0</v>
      </c>
      <c r="Q44" s="41">
        <f t="shared" ref="Q44:W44" si="48">Q45+Q47+Q48+Q49+Q50+Q51</f>
        <v>0</v>
      </c>
      <c r="R44" s="41">
        <f t="shared" si="48"/>
        <v>0</v>
      </c>
      <c r="S44" s="41">
        <f t="shared" si="48"/>
        <v>0</v>
      </c>
      <c r="T44" s="41">
        <f t="shared" si="48"/>
        <v>0</v>
      </c>
      <c r="U44" s="41">
        <f t="shared" si="48"/>
        <v>0</v>
      </c>
      <c r="V44" s="41">
        <f t="shared" si="48"/>
        <v>0</v>
      </c>
      <c r="W44" s="41">
        <f t="shared" si="48"/>
        <v>0</v>
      </c>
      <c r="X44" s="41">
        <f t="shared" si="20"/>
        <v>0</v>
      </c>
      <c r="Y44" s="41">
        <f t="shared" si="38"/>
        <v>0</v>
      </c>
      <c r="Z44" s="41">
        <f t="shared" si="39"/>
        <v>0</v>
      </c>
      <c r="AA44" s="41">
        <f t="shared" si="40"/>
        <v>0</v>
      </c>
      <c r="AB44" s="41">
        <f t="shared" si="41"/>
        <v>0</v>
      </c>
      <c r="AC44" s="41">
        <f t="shared" si="42"/>
        <v>0</v>
      </c>
      <c r="AD44" s="41">
        <f t="shared" si="43"/>
        <v>0</v>
      </c>
      <c r="AE44" s="41">
        <f t="shared" si="44"/>
        <v>0</v>
      </c>
      <c r="AF44" s="41">
        <f t="shared" si="26"/>
        <v>0</v>
      </c>
    </row>
    <row r="45" spans="1:32" s="82" customFormat="1" x14ac:dyDescent="0.2">
      <c r="A45" s="312"/>
      <c r="B45" s="312"/>
      <c r="C45" s="311" t="s">
        <v>161</v>
      </c>
      <c r="D45" s="312" t="s">
        <v>202</v>
      </c>
      <c r="E45" s="312"/>
      <c r="F45" s="225"/>
      <c r="G45" s="313" t="s">
        <v>203</v>
      </c>
      <c r="H45" s="87"/>
      <c r="I45" s="44"/>
      <c r="J45" s="44"/>
      <c r="K45" s="44"/>
      <c r="L45" s="44"/>
      <c r="M45" s="44"/>
      <c r="N45" s="44"/>
      <c r="O45" s="44"/>
      <c r="P45" s="41">
        <f t="shared" si="27"/>
        <v>0</v>
      </c>
      <c r="Q45" s="44"/>
      <c r="R45" s="44"/>
      <c r="S45" s="44"/>
      <c r="T45" s="44"/>
      <c r="U45" s="44"/>
      <c r="V45" s="44"/>
      <c r="W45" s="44"/>
      <c r="X45" s="41">
        <f t="shared" si="20"/>
        <v>0</v>
      </c>
      <c r="Y45" s="41">
        <f t="shared" si="38"/>
        <v>0</v>
      </c>
      <c r="Z45" s="41">
        <f t="shared" si="39"/>
        <v>0</v>
      </c>
      <c r="AA45" s="41">
        <f t="shared" si="40"/>
        <v>0</v>
      </c>
      <c r="AB45" s="41">
        <f t="shared" si="41"/>
        <v>0</v>
      </c>
      <c r="AC45" s="41">
        <f t="shared" si="42"/>
        <v>0</v>
      </c>
      <c r="AD45" s="41">
        <f t="shared" si="43"/>
        <v>0</v>
      </c>
      <c r="AE45" s="41">
        <f t="shared" si="44"/>
        <v>0</v>
      </c>
      <c r="AF45" s="41">
        <f t="shared" si="26"/>
        <v>0</v>
      </c>
    </row>
    <row r="46" spans="1:32" s="82" customFormat="1" x14ac:dyDescent="0.2">
      <c r="A46" s="312"/>
      <c r="B46" s="312"/>
      <c r="C46" s="312"/>
      <c r="D46" s="312" t="s">
        <v>204</v>
      </c>
      <c r="E46" s="312"/>
      <c r="F46" s="225"/>
      <c r="G46" s="313" t="s">
        <v>205</v>
      </c>
      <c r="H46" s="87"/>
      <c r="I46" s="44"/>
      <c r="J46" s="44"/>
      <c r="K46" s="44"/>
      <c r="L46" s="44"/>
      <c r="M46" s="44"/>
      <c r="N46" s="44"/>
      <c r="O46" s="44"/>
      <c r="P46" s="41">
        <f t="shared" si="27"/>
        <v>0</v>
      </c>
      <c r="Q46" s="44"/>
      <c r="R46" s="44"/>
      <c r="S46" s="44"/>
      <c r="T46" s="44"/>
      <c r="U46" s="44"/>
      <c r="V46" s="44"/>
      <c r="W46" s="44"/>
      <c r="X46" s="41">
        <f t="shared" si="20"/>
        <v>0</v>
      </c>
      <c r="Y46" s="41">
        <f t="shared" si="38"/>
        <v>0</v>
      </c>
      <c r="Z46" s="41">
        <f t="shared" si="39"/>
        <v>0</v>
      </c>
      <c r="AA46" s="41">
        <f t="shared" si="40"/>
        <v>0</v>
      </c>
      <c r="AB46" s="41">
        <f t="shared" si="41"/>
        <v>0</v>
      </c>
      <c r="AC46" s="41">
        <f t="shared" si="42"/>
        <v>0</v>
      </c>
      <c r="AD46" s="41">
        <f t="shared" si="43"/>
        <v>0</v>
      </c>
      <c r="AE46" s="41">
        <f t="shared" si="44"/>
        <v>0</v>
      </c>
      <c r="AF46" s="41">
        <f t="shared" si="26"/>
        <v>0</v>
      </c>
    </row>
    <row r="47" spans="1:32" s="82" customFormat="1" x14ac:dyDescent="0.2">
      <c r="A47" s="312"/>
      <c r="B47" s="312"/>
      <c r="C47" s="311" t="s">
        <v>164</v>
      </c>
      <c r="D47" s="312" t="s">
        <v>689</v>
      </c>
      <c r="E47" s="312"/>
      <c r="F47" s="225"/>
      <c r="G47" s="313" t="s">
        <v>206</v>
      </c>
      <c r="H47" s="87"/>
      <c r="I47" s="44"/>
      <c r="J47" s="44"/>
      <c r="K47" s="44"/>
      <c r="L47" s="44"/>
      <c r="M47" s="44"/>
      <c r="N47" s="44"/>
      <c r="O47" s="44"/>
      <c r="P47" s="41">
        <f t="shared" si="27"/>
        <v>0</v>
      </c>
      <c r="Q47" s="44"/>
      <c r="R47" s="44"/>
      <c r="S47" s="44"/>
      <c r="T47" s="44"/>
      <c r="U47" s="44"/>
      <c r="V47" s="44"/>
      <c r="W47" s="44"/>
      <c r="X47" s="41">
        <f t="shared" si="20"/>
        <v>0</v>
      </c>
      <c r="Y47" s="41">
        <f t="shared" si="38"/>
        <v>0</v>
      </c>
      <c r="Z47" s="41">
        <f t="shared" si="39"/>
        <v>0</v>
      </c>
      <c r="AA47" s="41">
        <f t="shared" si="40"/>
        <v>0</v>
      </c>
      <c r="AB47" s="41">
        <f t="shared" si="41"/>
        <v>0</v>
      </c>
      <c r="AC47" s="41">
        <f t="shared" si="42"/>
        <v>0</v>
      </c>
      <c r="AD47" s="41">
        <f t="shared" si="43"/>
        <v>0</v>
      </c>
      <c r="AE47" s="41">
        <f t="shared" si="44"/>
        <v>0</v>
      </c>
      <c r="AF47" s="41">
        <f t="shared" si="26"/>
        <v>0</v>
      </c>
    </row>
    <row r="48" spans="1:32" s="82" customFormat="1" x14ac:dyDescent="0.2">
      <c r="A48" s="312"/>
      <c r="B48" s="225"/>
      <c r="C48" s="310" t="s">
        <v>207</v>
      </c>
      <c r="D48" s="225" t="s">
        <v>690</v>
      </c>
      <c r="E48" s="225"/>
      <c r="F48" s="225"/>
      <c r="G48" s="313" t="s">
        <v>208</v>
      </c>
      <c r="H48" s="87"/>
      <c r="I48" s="44"/>
      <c r="J48" s="44"/>
      <c r="K48" s="44"/>
      <c r="L48" s="44"/>
      <c r="M48" s="44"/>
      <c r="N48" s="44"/>
      <c r="O48" s="44"/>
      <c r="P48" s="41">
        <f t="shared" si="27"/>
        <v>0</v>
      </c>
      <c r="Q48" s="44"/>
      <c r="R48" s="44"/>
      <c r="S48" s="44"/>
      <c r="T48" s="44"/>
      <c r="U48" s="44"/>
      <c r="V48" s="44"/>
      <c r="W48" s="44"/>
      <c r="X48" s="41">
        <f t="shared" si="20"/>
        <v>0</v>
      </c>
      <c r="Y48" s="41">
        <f t="shared" si="38"/>
        <v>0</v>
      </c>
      <c r="Z48" s="41">
        <f t="shared" si="39"/>
        <v>0</v>
      </c>
      <c r="AA48" s="41">
        <f t="shared" si="40"/>
        <v>0</v>
      </c>
      <c r="AB48" s="41">
        <f t="shared" si="41"/>
        <v>0</v>
      </c>
      <c r="AC48" s="41">
        <f t="shared" si="42"/>
        <v>0</v>
      </c>
      <c r="AD48" s="41">
        <f t="shared" si="43"/>
        <v>0</v>
      </c>
      <c r="AE48" s="41">
        <f t="shared" si="44"/>
        <v>0</v>
      </c>
      <c r="AF48" s="41">
        <f t="shared" si="26"/>
        <v>0</v>
      </c>
    </row>
    <row r="49" spans="1:32" s="82" customFormat="1" x14ac:dyDescent="0.2">
      <c r="A49" s="312"/>
      <c r="B49" s="225"/>
      <c r="C49" s="310" t="s">
        <v>209</v>
      </c>
      <c r="D49" s="225" t="s">
        <v>210</v>
      </c>
      <c r="E49" s="225"/>
      <c r="F49" s="225"/>
      <c r="G49" s="313" t="s">
        <v>211</v>
      </c>
      <c r="H49" s="87"/>
      <c r="I49" s="44"/>
      <c r="J49" s="44"/>
      <c r="K49" s="44"/>
      <c r="L49" s="44"/>
      <c r="M49" s="44"/>
      <c r="N49" s="44"/>
      <c r="O49" s="44"/>
      <c r="P49" s="41">
        <f t="shared" si="27"/>
        <v>0</v>
      </c>
      <c r="Q49" s="44"/>
      <c r="R49" s="44"/>
      <c r="S49" s="44"/>
      <c r="T49" s="44"/>
      <c r="U49" s="44"/>
      <c r="V49" s="44"/>
      <c r="W49" s="44"/>
      <c r="X49" s="41">
        <f t="shared" si="20"/>
        <v>0</v>
      </c>
      <c r="Y49" s="41">
        <f t="shared" si="38"/>
        <v>0</v>
      </c>
      <c r="Z49" s="41">
        <f t="shared" si="39"/>
        <v>0</v>
      </c>
      <c r="AA49" s="41">
        <f t="shared" si="40"/>
        <v>0</v>
      </c>
      <c r="AB49" s="41">
        <f t="shared" si="41"/>
        <v>0</v>
      </c>
      <c r="AC49" s="41">
        <f t="shared" si="42"/>
        <v>0</v>
      </c>
      <c r="AD49" s="41">
        <f t="shared" si="43"/>
        <v>0</v>
      </c>
      <c r="AE49" s="41">
        <f t="shared" si="44"/>
        <v>0</v>
      </c>
      <c r="AF49" s="41">
        <f t="shared" si="26"/>
        <v>0</v>
      </c>
    </row>
    <row r="50" spans="1:32" s="82" customFormat="1" x14ac:dyDescent="0.2">
      <c r="A50" s="312"/>
      <c r="B50" s="225"/>
      <c r="C50" s="310" t="s">
        <v>465</v>
      </c>
      <c r="D50" s="225" t="s">
        <v>691</v>
      </c>
      <c r="E50" s="225"/>
      <c r="F50" s="225"/>
      <c r="G50" s="313" t="s">
        <v>707</v>
      </c>
      <c r="H50" s="87"/>
      <c r="I50" s="44"/>
      <c r="J50" s="44"/>
      <c r="K50" s="44"/>
      <c r="L50" s="44"/>
      <c r="M50" s="44"/>
      <c r="N50" s="44"/>
      <c r="O50" s="44"/>
      <c r="P50" s="41">
        <f t="shared" si="27"/>
        <v>0</v>
      </c>
      <c r="Q50" s="44"/>
      <c r="R50" s="44"/>
      <c r="S50" s="44"/>
      <c r="T50" s="44"/>
      <c r="U50" s="44"/>
      <c r="V50" s="44"/>
      <c r="W50" s="44"/>
      <c r="X50" s="41">
        <f t="shared" si="20"/>
        <v>0</v>
      </c>
      <c r="Y50" s="41">
        <f t="shared" si="38"/>
        <v>0</v>
      </c>
      <c r="Z50" s="41">
        <f t="shared" si="39"/>
        <v>0</v>
      </c>
      <c r="AA50" s="41">
        <f t="shared" si="40"/>
        <v>0</v>
      </c>
      <c r="AB50" s="41">
        <f t="shared" si="41"/>
        <v>0</v>
      </c>
      <c r="AC50" s="41">
        <f t="shared" si="42"/>
        <v>0</v>
      </c>
      <c r="AD50" s="41">
        <f t="shared" si="43"/>
        <v>0</v>
      </c>
      <c r="AE50" s="41">
        <f t="shared" si="44"/>
        <v>0</v>
      </c>
      <c r="AF50" s="41">
        <f t="shared" si="26"/>
        <v>0</v>
      </c>
    </row>
    <row r="51" spans="1:32" s="82" customFormat="1" x14ac:dyDescent="0.2">
      <c r="A51" s="312"/>
      <c r="B51" s="225"/>
      <c r="C51" s="310" t="s">
        <v>467</v>
      </c>
      <c r="D51" s="225" t="s">
        <v>692</v>
      </c>
      <c r="E51" s="225"/>
      <c r="F51" s="225"/>
      <c r="G51" s="313" t="s">
        <v>708</v>
      </c>
      <c r="H51" s="87"/>
      <c r="I51" s="44"/>
      <c r="J51" s="44"/>
      <c r="K51" s="44"/>
      <c r="L51" s="44"/>
      <c r="M51" s="44"/>
      <c r="N51" s="44"/>
      <c r="O51" s="44"/>
      <c r="P51" s="41">
        <f t="shared" si="27"/>
        <v>0</v>
      </c>
      <c r="Q51" s="44"/>
      <c r="R51" s="44"/>
      <c r="S51" s="44"/>
      <c r="T51" s="44"/>
      <c r="U51" s="44"/>
      <c r="V51" s="44"/>
      <c r="W51" s="44"/>
      <c r="X51" s="41">
        <f t="shared" si="20"/>
        <v>0</v>
      </c>
      <c r="Y51" s="41">
        <f t="shared" si="38"/>
        <v>0</v>
      </c>
      <c r="Z51" s="41">
        <f t="shared" si="39"/>
        <v>0</v>
      </c>
      <c r="AA51" s="41">
        <f t="shared" si="40"/>
        <v>0</v>
      </c>
      <c r="AB51" s="41">
        <f t="shared" si="41"/>
        <v>0</v>
      </c>
      <c r="AC51" s="41">
        <f t="shared" si="42"/>
        <v>0</v>
      </c>
      <c r="AD51" s="41">
        <f t="shared" si="43"/>
        <v>0</v>
      </c>
      <c r="AE51" s="41">
        <f t="shared" si="44"/>
        <v>0</v>
      </c>
      <c r="AF51" s="41">
        <f t="shared" si="26"/>
        <v>0</v>
      </c>
    </row>
    <row r="52" spans="1:32" s="82" customFormat="1" x14ac:dyDescent="0.2">
      <c r="A52" s="310" t="s">
        <v>1284</v>
      </c>
      <c r="B52" s="648" t="s">
        <v>92</v>
      </c>
      <c r="C52" s="648"/>
      <c r="D52" s="648"/>
      <c r="E52" s="315"/>
      <c r="F52" s="316"/>
      <c r="G52" s="317" t="s">
        <v>1285</v>
      </c>
      <c r="H52" s="88"/>
      <c r="I52" s="41">
        <f>I53+I54+I55</f>
        <v>0</v>
      </c>
      <c r="J52" s="41">
        <f t="shared" ref="J52:O52" si="49">J53+J54+J55</f>
        <v>0</v>
      </c>
      <c r="K52" s="41">
        <f t="shared" si="49"/>
        <v>0</v>
      </c>
      <c r="L52" s="41">
        <f t="shared" si="49"/>
        <v>0</v>
      </c>
      <c r="M52" s="41">
        <f t="shared" si="49"/>
        <v>0</v>
      </c>
      <c r="N52" s="41">
        <f t="shared" si="49"/>
        <v>0</v>
      </c>
      <c r="O52" s="41">
        <f t="shared" si="49"/>
        <v>0</v>
      </c>
      <c r="P52" s="41">
        <f t="shared" si="27"/>
        <v>0</v>
      </c>
      <c r="Q52" s="41">
        <f t="shared" ref="Q52:W52" si="50">SUM(Q53:Q55)</f>
        <v>0</v>
      </c>
      <c r="R52" s="41">
        <f t="shared" si="50"/>
        <v>0</v>
      </c>
      <c r="S52" s="41">
        <f t="shared" si="50"/>
        <v>0</v>
      </c>
      <c r="T52" s="41">
        <f t="shared" si="50"/>
        <v>0</v>
      </c>
      <c r="U52" s="41">
        <f t="shared" si="50"/>
        <v>0</v>
      </c>
      <c r="V52" s="41">
        <f t="shared" si="50"/>
        <v>0</v>
      </c>
      <c r="W52" s="41">
        <f t="shared" si="50"/>
        <v>0</v>
      </c>
      <c r="X52" s="41">
        <f t="shared" si="20"/>
        <v>0</v>
      </c>
      <c r="Y52" s="41">
        <f t="shared" si="38"/>
        <v>0</v>
      </c>
      <c r="Z52" s="41">
        <f t="shared" si="39"/>
        <v>0</v>
      </c>
      <c r="AA52" s="41">
        <f t="shared" si="40"/>
        <v>0</v>
      </c>
      <c r="AB52" s="41">
        <f t="shared" si="41"/>
        <v>0</v>
      </c>
      <c r="AC52" s="41">
        <f t="shared" si="42"/>
        <v>0</v>
      </c>
      <c r="AD52" s="41">
        <f t="shared" si="43"/>
        <v>0</v>
      </c>
      <c r="AE52" s="41">
        <f t="shared" si="44"/>
        <v>0</v>
      </c>
      <c r="AF52" s="41">
        <f t="shared" si="26"/>
        <v>0</v>
      </c>
    </row>
    <row r="53" spans="1:32" x14ac:dyDescent="0.2">
      <c r="A53" s="225"/>
      <c r="B53" s="225" t="s">
        <v>180</v>
      </c>
      <c r="C53" s="302" t="s">
        <v>101</v>
      </c>
      <c r="D53" s="318"/>
      <c r="E53" s="319"/>
      <c r="F53" s="320"/>
      <c r="G53" s="317" t="s">
        <v>1286</v>
      </c>
      <c r="H53" s="88"/>
      <c r="I53" s="254"/>
      <c r="J53" s="254"/>
      <c r="K53" s="254"/>
      <c r="L53" s="254"/>
      <c r="M53" s="254"/>
      <c r="N53" s="3"/>
      <c r="O53" s="3"/>
      <c r="P53" s="41">
        <f t="shared" si="27"/>
        <v>0</v>
      </c>
      <c r="Q53" s="254"/>
      <c r="R53" s="254"/>
      <c r="S53" s="254"/>
      <c r="T53" s="254"/>
      <c r="U53" s="254"/>
      <c r="V53" s="254"/>
      <c r="W53" s="254"/>
      <c r="X53" s="41">
        <f t="shared" si="20"/>
        <v>0</v>
      </c>
      <c r="Y53" s="41">
        <f t="shared" si="38"/>
        <v>0</v>
      </c>
      <c r="Z53" s="41">
        <f t="shared" si="39"/>
        <v>0</v>
      </c>
      <c r="AA53" s="41">
        <f t="shared" si="40"/>
        <v>0</v>
      </c>
      <c r="AB53" s="41">
        <f t="shared" si="41"/>
        <v>0</v>
      </c>
      <c r="AC53" s="41">
        <f t="shared" si="42"/>
        <v>0</v>
      </c>
      <c r="AD53" s="41">
        <f t="shared" si="43"/>
        <v>0</v>
      </c>
      <c r="AE53" s="41">
        <f t="shared" si="44"/>
        <v>0</v>
      </c>
      <c r="AF53" s="41">
        <f t="shared" si="26"/>
        <v>0</v>
      </c>
    </row>
    <row r="54" spans="1:32" x14ac:dyDescent="0.25">
      <c r="A54" s="321"/>
      <c r="B54" s="225" t="s">
        <v>183</v>
      </c>
      <c r="C54" s="225" t="s">
        <v>1471</v>
      </c>
      <c r="D54" s="225"/>
      <c r="E54" s="322"/>
      <c r="F54" s="307"/>
      <c r="G54" s="317" t="s">
        <v>1287</v>
      </c>
      <c r="I54" s="254"/>
      <c r="J54" s="254"/>
      <c r="K54" s="254"/>
      <c r="L54" s="254"/>
      <c r="M54" s="254"/>
      <c r="N54" s="137"/>
      <c r="O54" s="137"/>
      <c r="P54" s="41">
        <f t="shared" si="27"/>
        <v>0</v>
      </c>
      <c r="Q54" s="254"/>
      <c r="R54" s="254"/>
      <c r="S54" s="254"/>
      <c r="T54" s="254"/>
      <c r="U54" s="254"/>
      <c r="V54" s="41"/>
      <c r="W54" s="41"/>
      <c r="X54" s="41">
        <f t="shared" si="20"/>
        <v>0</v>
      </c>
      <c r="Y54" s="41">
        <f t="shared" si="38"/>
        <v>0</v>
      </c>
      <c r="Z54" s="41">
        <f t="shared" si="39"/>
        <v>0</v>
      </c>
      <c r="AA54" s="41">
        <f t="shared" si="40"/>
        <v>0</v>
      </c>
      <c r="AB54" s="41">
        <f t="shared" si="41"/>
        <v>0</v>
      </c>
      <c r="AC54" s="41">
        <f t="shared" si="42"/>
        <v>0</v>
      </c>
      <c r="AD54" s="41">
        <f t="shared" si="43"/>
        <v>0</v>
      </c>
      <c r="AE54" s="41">
        <f t="shared" si="44"/>
        <v>0</v>
      </c>
      <c r="AF54" s="41">
        <f t="shared" si="26"/>
        <v>0</v>
      </c>
    </row>
    <row r="55" spans="1:32" x14ac:dyDescent="0.25">
      <c r="A55" s="321"/>
      <c r="B55" s="225" t="s">
        <v>193</v>
      </c>
      <c r="C55" s="225" t="s">
        <v>1288</v>
      </c>
      <c r="D55" s="225"/>
      <c r="E55" s="322"/>
      <c r="F55" s="307"/>
      <c r="G55" s="317" t="s">
        <v>1289</v>
      </c>
      <c r="I55" s="41">
        <f>I56+I57</f>
        <v>0</v>
      </c>
      <c r="J55" s="41">
        <f t="shared" ref="J55:O55" si="51">J56+J57</f>
        <v>0</v>
      </c>
      <c r="K55" s="41">
        <f t="shared" si="51"/>
        <v>0</v>
      </c>
      <c r="L55" s="41">
        <f t="shared" si="51"/>
        <v>0</v>
      </c>
      <c r="M55" s="41">
        <f t="shared" si="51"/>
        <v>0</v>
      </c>
      <c r="N55" s="41">
        <f t="shared" si="51"/>
        <v>0</v>
      </c>
      <c r="O55" s="41">
        <f t="shared" si="51"/>
        <v>0</v>
      </c>
      <c r="P55" s="41">
        <f t="shared" si="27"/>
        <v>0</v>
      </c>
      <c r="Q55" s="41">
        <f t="shared" ref="Q55:W55" si="52">SUM(Q56:Q57)</f>
        <v>0</v>
      </c>
      <c r="R55" s="41">
        <f t="shared" si="52"/>
        <v>0</v>
      </c>
      <c r="S55" s="41">
        <f t="shared" si="52"/>
        <v>0</v>
      </c>
      <c r="T55" s="41">
        <f t="shared" si="52"/>
        <v>0</v>
      </c>
      <c r="U55" s="41">
        <f t="shared" si="52"/>
        <v>0</v>
      </c>
      <c r="V55" s="41">
        <f t="shared" si="52"/>
        <v>0</v>
      </c>
      <c r="W55" s="41">
        <f t="shared" si="52"/>
        <v>0</v>
      </c>
      <c r="X55" s="41">
        <f t="shared" si="20"/>
        <v>0</v>
      </c>
      <c r="Y55" s="41">
        <f t="shared" si="38"/>
        <v>0</v>
      </c>
      <c r="Z55" s="41">
        <f t="shared" si="39"/>
        <v>0</v>
      </c>
      <c r="AA55" s="41">
        <f t="shared" si="40"/>
        <v>0</v>
      </c>
      <c r="AB55" s="41">
        <f t="shared" si="41"/>
        <v>0</v>
      </c>
      <c r="AC55" s="41">
        <f t="shared" si="42"/>
        <v>0</v>
      </c>
      <c r="AD55" s="41">
        <f t="shared" si="43"/>
        <v>0</v>
      </c>
      <c r="AE55" s="41">
        <f t="shared" si="44"/>
        <v>0</v>
      </c>
      <c r="AF55" s="41">
        <f t="shared" si="26"/>
        <v>0</v>
      </c>
    </row>
    <row r="56" spans="1:32" x14ac:dyDescent="0.25">
      <c r="A56" s="321"/>
      <c r="B56" s="225"/>
      <c r="C56" s="323" t="s">
        <v>161</v>
      </c>
      <c r="D56" s="623" t="s">
        <v>1472</v>
      </c>
      <c r="E56" s="322"/>
      <c r="F56" s="307"/>
      <c r="G56" s="317" t="s">
        <v>1290</v>
      </c>
      <c r="I56" s="254"/>
      <c r="J56" s="254"/>
      <c r="K56" s="254"/>
      <c r="L56" s="254"/>
      <c r="M56" s="254"/>
      <c r="N56" s="137"/>
      <c r="O56" s="137"/>
      <c r="P56" s="41">
        <f t="shared" si="27"/>
        <v>0</v>
      </c>
      <c r="Q56" s="254"/>
      <c r="R56" s="254"/>
      <c r="S56" s="254"/>
      <c r="T56" s="254"/>
      <c r="U56" s="254"/>
      <c r="V56" s="41"/>
      <c r="W56" s="41"/>
      <c r="X56" s="41">
        <f t="shared" si="20"/>
        <v>0</v>
      </c>
      <c r="Y56" s="41">
        <f t="shared" si="38"/>
        <v>0</v>
      </c>
      <c r="Z56" s="41">
        <f t="shared" si="39"/>
        <v>0</v>
      </c>
      <c r="AA56" s="41">
        <f t="shared" si="40"/>
        <v>0</v>
      </c>
      <c r="AB56" s="41">
        <f t="shared" si="41"/>
        <v>0</v>
      </c>
      <c r="AC56" s="41">
        <f t="shared" si="42"/>
        <v>0</v>
      </c>
      <c r="AD56" s="41">
        <f t="shared" si="43"/>
        <v>0</v>
      </c>
      <c r="AE56" s="41">
        <f t="shared" si="44"/>
        <v>0</v>
      </c>
      <c r="AF56" s="41">
        <f t="shared" si="26"/>
        <v>0</v>
      </c>
    </row>
    <row r="57" spans="1:32" x14ac:dyDescent="0.25">
      <c r="A57" s="321"/>
      <c r="B57" s="299"/>
      <c r="C57" s="310" t="s">
        <v>164</v>
      </c>
      <c r="D57" s="623" t="s">
        <v>1473</v>
      </c>
      <c r="E57" s="315"/>
      <c r="F57" s="316"/>
      <c r="G57" s="317" t="s">
        <v>1291</v>
      </c>
      <c r="I57" s="254"/>
      <c r="J57" s="254"/>
      <c r="K57" s="254"/>
      <c r="L57" s="254"/>
      <c r="M57" s="254"/>
      <c r="N57" s="137"/>
      <c r="O57" s="137"/>
      <c r="P57" s="41">
        <f t="shared" si="27"/>
        <v>0</v>
      </c>
      <c r="Q57" s="254"/>
      <c r="R57" s="254"/>
      <c r="S57" s="254"/>
      <c r="T57" s="254"/>
      <c r="U57" s="254"/>
      <c r="V57" s="41"/>
      <c r="W57" s="41"/>
      <c r="X57" s="41">
        <f t="shared" si="20"/>
        <v>0</v>
      </c>
      <c r="Y57" s="41">
        <f t="shared" si="38"/>
        <v>0</v>
      </c>
      <c r="Z57" s="41">
        <f t="shared" si="39"/>
        <v>0</v>
      </c>
      <c r="AA57" s="41">
        <f t="shared" si="40"/>
        <v>0</v>
      </c>
      <c r="AB57" s="41">
        <f t="shared" si="41"/>
        <v>0</v>
      </c>
      <c r="AC57" s="41">
        <f t="shared" si="42"/>
        <v>0</v>
      </c>
      <c r="AD57" s="41">
        <f t="shared" si="43"/>
        <v>0</v>
      </c>
      <c r="AE57" s="41">
        <f t="shared" si="44"/>
        <v>0</v>
      </c>
      <c r="AF57" s="41">
        <f t="shared" si="26"/>
        <v>0</v>
      </c>
    </row>
    <row r="58" spans="1:32" x14ac:dyDescent="0.25">
      <c r="G58" s="345" t="s">
        <v>108</v>
      </c>
    </row>
    <row r="134" spans="6:6" x14ac:dyDescent="0.25">
      <c r="F134" s="89"/>
    </row>
    <row r="135" spans="6:6" x14ac:dyDescent="0.25">
      <c r="F135" s="89"/>
    </row>
    <row r="136" spans="6:6" x14ac:dyDescent="0.25">
      <c r="F136" s="89"/>
    </row>
    <row r="137" spans="6:6" x14ac:dyDescent="0.25">
      <c r="F137" s="89"/>
    </row>
  </sheetData>
  <sheetProtection password="A7D8" sheet="1" objects="1" scenarios="1" selectLockedCells="1"/>
  <mergeCells count="30">
    <mergeCell ref="B52:D52"/>
    <mergeCell ref="AD5:AE5"/>
    <mergeCell ref="Y4:AF4"/>
    <mergeCell ref="A4:F6"/>
    <mergeCell ref="A1:AF1"/>
    <mergeCell ref="A2:AF2"/>
    <mergeCell ref="Y5:Y6"/>
    <mergeCell ref="Z5:AA5"/>
    <mergeCell ref="AB5:AC5"/>
    <mergeCell ref="AF5:AF6"/>
    <mergeCell ref="I5:I6"/>
    <mergeCell ref="J5:K5"/>
    <mergeCell ref="B42:F42"/>
    <mergeCell ref="B18:F18"/>
    <mergeCell ref="B31:F31"/>
    <mergeCell ref="B35:D35"/>
    <mergeCell ref="B22:D22"/>
    <mergeCell ref="B28:E28"/>
    <mergeCell ref="A36:D36"/>
    <mergeCell ref="G4:G6"/>
    <mergeCell ref="X5:X6"/>
    <mergeCell ref="Q5:Q6"/>
    <mergeCell ref="Q4:X4"/>
    <mergeCell ref="L5:M5"/>
    <mergeCell ref="P5:P6"/>
    <mergeCell ref="N5:O5"/>
    <mergeCell ref="V5:W5"/>
    <mergeCell ref="I4:P4"/>
    <mergeCell ref="R5:S5"/>
    <mergeCell ref="T5:U5"/>
  </mergeCells>
  <phoneticPr fontId="2" type="noConversion"/>
  <dataValidations count="7">
    <dataValidation type="decimal" operator="lessThanOrEqual" allowBlank="1" showInputMessage="1" showErrorMessage="1" error="Invalid data is entered!" sqref="N46:O46 V46:W46">
      <formula1>N45</formula1>
    </dataValidation>
    <dataValidation type="decimal" operator="greaterThanOrEqual" allowBlank="1" showInputMessage="1" showErrorMessage="1" error="Invalid data is entered!" sqref="I45:O45 Q45:W45 I46:M46 Q46:U46">
      <formula1>I46</formula1>
    </dataValidation>
    <dataValidation type="decimal" allowBlank="1" showInputMessage="1" showErrorMessage="1" sqref="Q44:W44 J36:O36 N23 I44:O44 Q24:W24 I23 Q42:W42 I10 I27:I28 I30 I32:I38 J38:O38 J28:K28 I42:O42 Q38:W38 I55:O55 J52:O52 I52:I54 J53:M54 I56:M57 Q52:W52 V54:W57 Q55:U55">
      <formula1>0</formula1>
      <formula2>99999999999999900</formula2>
    </dataValidation>
    <dataValidation type="decimal" allowBlank="1" showInputMessage="1" showErrorMessage="1" error="Invalid data is entered!" sqref="Q19:W19 O19 N12:N21 O15 J15:M15 Q15:W15 O12 J12:M12 Q12:W12 I29:O29 I39:O41 I43:O43 Q26:W26 T27:W27 Q29:W29 T30:W30 Q31:W31 R33:W34 Q37:W37 Q39:W41 I12:I21 I47:O51 Q47:W51 J13:K13 J16:K16 L14:M14 L17:M18 J19:M21 R13:S13 R16:S16 T14:U14 T17:U18 R20:U21">
      <formula1>0</formula1>
      <formula2>99999999999999900</formula2>
    </dataValidation>
    <dataValidation allowBlank="1" showInputMessage="1" showErrorMessage="1" error="Invalid Data is entered!" sqref="I22:O22 Q22:W22"/>
    <dataValidation type="decimal" allowBlank="1" showInputMessage="1" showErrorMessage="1" error="Invalid Data is entered!" sqref="I26:O26 Q20:Q21 Q16:Q18 Q13:Q14 L30:O30 I31:O31 J33:O34 L27:O27 Q23:W23 Q43:W43 Q53:W53 Q54:U54 Q56:U57">
      <formula1>0</formula1>
      <formula2>99999999999999900</formula2>
    </dataValidation>
    <dataValidation type="decimal" allowBlank="1" showInputMessage="1" showErrorMessage="1" error="invalid data is entered!" sqref="Z22:AC22 Z11:AC18 Z23:AE57">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10&amp;8&amp;U
 &amp;P of &amp;N&amp;C&amp;"Arial,Bold"&amp;8 NEW RURAL BANK OF SAN LEONARDO, INC  [ 04-040656 ]
 As of: September 30, 2017</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35"/>
  <sheetViews>
    <sheetView zoomScaleNormal="100" zoomScaleSheetLayoutView="100" workbookViewId="0">
      <pane xSplit="8" ySplit="9" topLeftCell="I44" activePane="bottomRight" state="frozen"/>
      <selection pane="topRight" activeCell="I1" sqref="I1"/>
      <selection pane="bottomLeft" activeCell="A10" sqref="A10"/>
      <selection pane="bottomRight" activeCell="I50" sqref="I50"/>
    </sheetView>
  </sheetViews>
  <sheetFormatPr defaultRowHeight="11.25" x14ac:dyDescent="0.2"/>
  <cols>
    <col min="1" max="1" width="2.85546875" style="93" customWidth="1"/>
    <col min="2" max="2" width="2.85546875" style="92" customWidth="1"/>
    <col min="3" max="3" width="2.7109375" style="92" customWidth="1"/>
    <col min="4" max="4" width="2.28515625" style="92" customWidth="1"/>
    <col min="5" max="5" width="3.42578125" style="92" customWidth="1"/>
    <col min="6" max="6" width="30.85546875" style="92" customWidth="1"/>
    <col min="7" max="7" width="16.5703125" style="92" bestFit="1" customWidth="1"/>
    <col min="8" max="8" width="16.5703125" style="92" hidden="1" customWidth="1"/>
    <col min="9" max="9" width="25.7109375" style="42" customWidth="1"/>
    <col min="10" max="10" width="20.7109375" style="42" customWidth="1"/>
    <col min="11" max="11" width="25.7109375" style="42" customWidth="1"/>
    <col min="12" max="12" width="20.7109375" style="42" customWidth="1"/>
    <col min="13" max="13" width="25.7109375" style="42" customWidth="1"/>
    <col min="14" max="15" width="25.7109375" style="42" hidden="1" customWidth="1"/>
    <col min="16" max="16" width="25.7109375" style="42" customWidth="1"/>
    <col min="17" max="16384" width="9.140625" style="92"/>
  </cols>
  <sheetData>
    <row r="1" spans="1:16" s="241" customFormat="1" ht="13.5" customHeight="1" x14ac:dyDescent="0.2">
      <c r="A1" s="666" t="s">
        <v>498</v>
      </c>
      <c r="B1" s="666"/>
      <c r="C1" s="666"/>
      <c r="D1" s="666"/>
      <c r="E1" s="666"/>
      <c r="F1" s="666"/>
      <c r="G1" s="666"/>
      <c r="H1" s="666"/>
      <c r="I1" s="666"/>
      <c r="J1" s="666"/>
      <c r="K1" s="666"/>
      <c r="L1" s="666"/>
      <c r="M1" s="666"/>
      <c r="N1" s="666"/>
      <c r="O1" s="666"/>
      <c r="P1" s="666"/>
    </row>
    <row r="2" spans="1:16" s="241" customFormat="1" ht="13.5" customHeight="1" x14ac:dyDescent="0.2">
      <c r="A2" s="666" t="s">
        <v>685</v>
      </c>
      <c r="B2" s="666"/>
      <c r="C2" s="666"/>
      <c r="D2" s="666"/>
      <c r="E2" s="666"/>
      <c r="F2" s="666"/>
      <c r="G2" s="666"/>
      <c r="H2" s="666"/>
      <c r="I2" s="666"/>
      <c r="J2" s="666"/>
      <c r="K2" s="666"/>
      <c r="L2" s="666"/>
      <c r="M2" s="666"/>
      <c r="N2" s="666"/>
      <c r="O2" s="666"/>
      <c r="P2" s="666"/>
    </row>
    <row r="3" spans="1:16" ht="13.5" customHeight="1" x14ac:dyDescent="0.2"/>
    <row r="4" spans="1:16" ht="13.5" hidden="1" customHeight="1" x14ac:dyDescent="0.2"/>
    <row r="5" spans="1:16" ht="13.5" hidden="1" customHeight="1" x14ac:dyDescent="0.2"/>
    <row r="6" spans="1:16" ht="13.5" hidden="1" customHeight="1" x14ac:dyDescent="0.2"/>
    <row r="7" spans="1:16" ht="13.5" hidden="1" customHeight="1" x14ac:dyDescent="0.2"/>
    <row r="8" spans="1:16" ht="18" customHeight="1" x14ac:dyDescent="0.2">
      <c r="A8" s="649" t="s">
        <v>45</v>
      </c>
      <c r="B8" s="649"/>
      <c r="C8" s="649"/>
      <c r="D8" s="649"/>
      <c r="E8" s="649"/>
      <c r="F8" s="649"/>
      <c r="G8" s="646" t="s">
        <v>46</v>
      </c>
      <c r="H8" s="94"/>
      <c r="I8" s="667" t="s">
        <v>56</v>
      </c>
      <c r="J8" s="667" t="s">
        <v>49</v>
      </c>
      <c r="K8" s="667"/>
      <c r="L8" s="668" t="s">
        <v>53</v>
      </c>
      <c r="M8" s="668"/>
      <c r="N8" s="664" t="s">
        <v>139</v>
      </c>
      <c r="O8" s="665"/>
      <c r="P8" s="667" t="s">
        <v>144</v>
      </c>
    </row>
    <row r="9" spans="1:16" s="99" customFormat="1" ht="24" customHeight="1" x14ac:dyDescent="0.2">
      <c r="A9" s="649"/>
      <c r="B9" s="649"/>
      <c r="C9" s="649"/>
      <c r="D9" s="649"/>
      <c r="E9" s="649"/>
      <c r="F9" s="649"/>
      <c r="G9" s="646"/>
      <c r="H9" s="94"/>
      <c r="I9" s="667"/>
      <c r="J9" s="97" t="s">
        <v>50</v>
      </c>
      <c r="K9" s="98" t="s">
        <v>51</v>
      </c>
      <c r="L9" s="97" t="s">
        <v>50</v>
      </c>
      <c r="M9" s="98" t="s">
        <v>51</v>
      </c>
      <c r="N9" s="97" t="s">
        <v>50</v>
      </c>
      <c r="O9" s="98" t="s">
        <v>51</v>
      </c>
      <c r="P9" s="667"/>
    </row>
    <row r="10" spans="1:16" s="82" customFormat="1" x14ac:dyDescent="0.2">
      <c r="A10" s="324" t="s">
        <v>57</v>
      </c>
      <c r="B10" s="225"/>
      <c r="C10" s="225"/>
      <c r="D10" s="225"/>
      <c r="E10" s="225"/>
      <c r="F10" s="225"/>
      <c r="G10" s="325" t="s">
        <v>215</v>
      </c>
      <c r="H10" s="3"/>
      <c r="I10" s="41">
        <f>+'11A1'!O10</f>
        <v>0</v>
      </c>
      <c r="J10" s="41">
        <f>+'11A2'!U10</f>
        <v>0</v>
      </c>
      <c r="K10" s="41">
        <f>+'11A2'!V10</f>
        <v>0</v>
      </c>
      <c r="L10" s="41">
        <f>+'11A3'!U10</f>
        <v>0</v>
      </c>
      <c r="M10" s="41">
        <f>+'11A3'!V10</f>
        <v>0</v>
      </c>
      <c r="N10" s="41">
        <f>+'11A4'!U10</f>
        <v>0</v>
      </c>
      <c r="O10" s="41">
        <f>+'11A4'!V10</f>
        <v>0</v>
      </c>
      <c r="P10" s="41">
        <f>+I10+K10+M10+O10</f>
        <v>0</v>
      </c>
    </row>
    <row r="11" spans="1:16" s="82" customFormat="1" x14ac:dyDescent="0.2">
      <c r="A11" s="326" t="s">
        <v>58</v>
      </c>
      <c r="B11" s="225" t="s">
        <v>544</v>
      </c>
      <c r="C11" s="225"/>
      <c r="D11" s="225"/>
      <c r="E11" s="225"/>
      <c r="F11" s="225"/>
      <c r="G11" s="325" t="s">
        <v>216</v>
      </c>
      <c r="H11" s="3"/>
      <c r="I11" s="41">
        <f>+'11A1'!O11</f>
        <v>0</v>
      </c>
      <c r="J11" s="41">
        <f>+'11A2'!U11</f>
        <v>0</v>
      </c>
      <c r="K11" s="41">
        <f>+'11A2'!V11</f>
        <v>0</v>
      </c>
      <c r="L11" s="41">
        <f>+'11A3'!U11</f>
        <v>0</v>
      </c>
      <c r="M11" s="41">
        <f>+'11A3'!V11</f>
        <v>0</v>
      </c>
      <c r="N11" s="41">
        <f>+'11A4'!U11</f>
        <v>0</v>
      </c>
      <c r="O11" s="41">
        <f>+'11A4'!V11</f>
        <v>0</v>
      </c>
      <c r="P11" s="41">
        <f t="shared" ref="P11:P50" si="0">+I11+K11+M11+O11</f>
        <v>0</v>
      </c>
    </row>
    <row r="12" spans="1:16" s="82" customFormat="1" ht="11.25" customHeight="1" x14ac:dyDescent="0.2">
      <c r="A12" s="326"/>
      <c r="B12" s="225" t="s">
        <v>59</v>
      </c>
      <c r="C12" s="225" t="s">
        <v>60</v>
      </c>
      <c r="D12" s="225"/>
      <c r="E12" s="225"/>
      <c r="F12" s="225"/>
      <c r="G12" s="325" t="s">
        <v>217</v>
      </c>
      <c r="H12" s="3"/>
      <c r="I12" s="41">
        <f>+'11A1'!O12</f>
        <v>0</v>
      </c>
      <c r="J12" s="41">
        <f>+'11A2'!U12</f>
        <v>0</v>
      </c>
      <c r="K12" s="41">
        <f>+'11A2'!V12</f>
        <v>0</v>
      </c>
      <c r="L12" s="41">
        <f>+'11A3'!U12</f>
        <v>0</v>
      </c>
      <c r="M12" s="41">
        <f>+'11A3'!V12</f>
        <v>0</v>
      </c>
      <c r="N12" s="41">
        <f>+'11A4'!U12</f>
        <v>0</v>
      </c>
      <c r="O12" s="41">
        <f>+'11A4'!V12</f>
        <v>0</v>
      </c>
      <c r="P12" s="41">
        <f t="shared" si="0"/>
        <v>0</v>
      </c>
    </row>
    <row r="13" spans="1:16" s="82" customFormat="1" ht="11.25" customHeight="1" x14ac:dyDescent="0.2">
      <c r="A13" s="326"/>
      <c r="B13" s="225" t="s">
        <v>61</v>
      </c>
      <c r="C13" s="225" t="s">
        <v>72</v>
      </c>
      <c r="D13" s="225"/>
      <c r="E13" s="225"/>
      <c r="F13" s="225"/>
      <c r="G13" s="325" t="s">
        <v>545</v>
      </c>
      <c r="H13" s="3"/>
      <c r="I13" s="41">
        <f>+'11A1'!O13</f>
        <v>0</v>
      </c>
      <c r="J13" s="41">
        <f>+'11A2'!U13</f>
        <v>0</v>
      </c>
      <c r="K13" s="41">
        <f>+'11A2'!V13</f>
        <v>0</v>
      </c>
      <c r="L13" s="41">
        <f>+'11A3'!U13</f>
        <v>0</v>
      </c>
      <c r="M13" s="41">
        <f>+'11A3'!V13</f>
        <v>0</v>
      </c>
      <c r="N13" s="41">
        <f>+'11A4'!U13</f>
        <v>0</v>
      </c>
      <c r="O13" s="41">
        <f>+'11A4'!V13</f>
        <v>0</v>
      </c>
      <c r="P13" s="41">
        <f t="shared" si="0"/>
        <v>0</v>
      </c>
    </row>
    <row r="14" spans="1:16" s="82" customFormat="1" x14ac:dyDescent="0.2">
      <c r="A14" s="326"/>
      <c r="B14" s="225" t="s">
        <v>71</v>
      </c>
      <c r="C14" s="225" t="s">
        <v>62</v>
      </c>
      <c r="D14" s="225"/>
      <c r="E14" s="225"/>
      <c r="F14" s="225"/>
      <c r="G14" s="325" t="s">
        <v>218</v>
      </c>
      <c r="H14" s="3"/>
      <c r="I14" s="41">
        <f>+'11A1'!O14</f>
        <v>0</v>
      </c>
      <c r="J14" s="41">
        <f>+'11A2'!U14</f>
        <v>0</v>
      </c>
      <c r="K14" s="41">
        <f>+'11A2'!V14</f>
        <v>0</v>
      </c>
      <c r="L14" s="41">
        <f>+'11A3'!U14</f>
        <v>0</v>
      </c>
      <c r="M14" s="41">
        <f>+'11A3'!V14</f>
        <v>0</v>
      </c>
      <c r="N14" s="41">
        <f>+'11A4'!U14</f>
        <v>0</v>
      </c>
      <c r="O14" s="41">
        <f>+'11A4'!V14</f>
        <v>0</v>
      </c>
      <c r="P14" s="41">
        <f t="shared" si="0"/>
        <v>0</v>
      </c>
    </row>
    <row r="15" spans="1:16" s="82" customFormat="1" x14ac:dyDescent="0.2">
      <c r="A15" s="326"/>
      <c r="B15" s="225"/>
      <c r="C15" s="310" t="s">
        <v>54</v>
      </c>
      <c r="D15" s="225" t="s">
        <v>63</v>
      </c>
      <c r="E15" s="225"/>
      <c r="F15" s="225"/>
      <c r="G15" s="325" t="s">
        <v>219</v>
      </c>
      <c r="H15" s="3"/>
      <c r="I15" s="41">
        <f>+'11A1'!O15</f>
        <v>0</v>
      </c>
      <c r="J15" s="41">
        <f>+'11A2'!U15</f>
        <v>0</v>
      </c>
      <c r="K15" s="41">
        <f>+'11A2'!V15</f>
        <v>0</v>
      </c>
      <c r="L15" s="41">
        <f>+'11A3'!U15</f>
        <v>0</v>
      </c>
      <c r="M15" s="41">
        <f>+'11A3'!V15</f>
        <v>0</v>
      </c>
      <c r="N15" s="41">
        <f>+'11A4'!U15</f>
        <v>0</v>
      </c>
      <c r="O15" s="41">
        <f>+'11A4'!V15</f>
        <v>0</v>
      </c>
      <c r="P15" s="41">
        <f t="shared" si="0"/>
        <v>0</v>
      </c>
    </row>
    <row r="16" spans="1:16" s="82" customFormat="1" x14ac:dyDescent="0.2">
      <c r="A16" s="326"/>
      <c r="B16" s="225"/>
      <c r="C16" s="310" t="s">
        <v>55</v>
      </c>
      <c r="D16" s="225" t="s">
        <v>64</v>
      </c>
      <c r="E16" s="225"/>
      <c r="F16" s="225"/>
      <c r="G16" s="325" t="s">
        <v>220</v>
      </c>
      <c r="H16" s="3"/>
      <c r="I16" s="41">
        <f>+'11A1'!O16</f>
        <v>0</v>
      </c>
      <c r="J16" s="41">
        <f>+'11A2'!U16</f>
        <v>0</v>
      </c>
      <c r="K16" s="41">
        <f>+'11A2'!V16</f>
        <v>0</v>
      </c>
      <c r="L16" s="41">
        <f>+'11A3'!U16</f>
        <v>0</v>
      </c>
      <c r="M16" s="41">
        <f>+'11A3'!V16</f>
        <v>0</v>
      </c>
      <c r="N16" s="41">
        <f>+'11A4'!U16</f>
        <v>0</v>
      </c>
      <c r="O16" s="41">
        <f>+'11A4'!V16</f>
        <v>0</v>
      </c>
      <c r="P16" s="41">
        <f t="shared" si="0"/>
        <v>0</v>
      </c>
    </row>
    <row r="17" spans="1:16" s="82" customFormat="1" x14ac:dyDescent="0.2">
      <c r="A17" s="326"/>
      <c r="B17" s="225"/>
      <c r="C17" s="310" t="s">
        <v>65</v>
      </c>
      <c r="D17" s="225" t="s">
        <v>66</v>
      </c>
      <c r="E17" s="225"/>
      <c r="F17" s="225"/>
      <c r="G17" s="325" t="s">
        <v>221</v>
      </c>
      <c r="H17" s="3"/>
      <c r="I17" s="41">
        <f>+'11A1'!O17</f>
        <v>0</v>
      </c>
      <c r="J17" s="41">
        <f>+'11A2'!U17</f>
        <v>0</v>
      </c>
      <c r="K17" s="41">
        <f>+'11A2'!V17</f>
        <v>0</v>
      </c>
      <c r="L17" s="41">
        <f>+'11A3'!U17</f>
        <v>0</v>
      </c>
      <c r="M17" s="41">
        <f>+'11A3'!V17</f>
        <v>0</v>
      </c>
      <c r="N17" s="41">
        <f>+'11A4'!U17</f>
        <v>0</v>
      </c>
      <c r="O17" s="41">
        <f>+'11A4'!V17</f>
        <v>0</v>
      </c>
      <c r="P17" s="41">
        <f t="shared" si="0"/>
        <v>0</v>
      </c>
    </row>
    <row r="18" spans="1:16" s="82" customFormat="1" x14ac:dyDescent="0.2">
      <c r="A18" s="326" t="s">
        <v>55</v>
      </c>
      <c r="B18" s="225" t="s">
        <v>67</v>
      </c>
      <c r="C18" s="225"/>
      <c r="D18" s="225"/>
      <c r="E18" s="225"/>
      <c r="F18" s="225"/>
      <c r="G18" s="325" t="s">
        <v>222</v>
      </c>
      <c r="H18" s="3"/>
      <c r="I18" s="41">
        <f>+'11A1'!O18</f>
        <v>0</v>
      </c>
      <c r="J18" s="41">
        <f>+'11A2'!U18</f>
        <v>0</v>
      </c>
      <c r="K18" s="41">
        <f>+'11A2'!V18</f>
        <v>0</v>
      </c>
      <c r="L18" s="41">
        <f>+'11A3'!U18</f>
        <v>0</v>
      </c>
      <c r="M18" s="41">
        <f>+'11A3'!V18</f>
        <v>0</v>
      </c>
      <c r="N18" s="41">
        <f>+'11A4'!U18</f>
        <v>0</v>
      </c>
      <c r="O18" s="41">
        <f>+'11A4'!V18</f>
        <v>0</v>
      </c>
      <c r="P18" s="41">
        <f t="shared" si="0"/>
        <v>0</v>
      </c>
    </row>
    <row r="19" spans="1:16" s="82" customFormat="1" x14ac:dyDescent="0.2">
      <c r="A19" s="326"/>
      <c r="B19" s="225" t="s">
        <v>59</v>
      </c>
      <c r="C19" s="225" t="s">
        <v>68</v>
      </c>
      <c r="D19" s="225"/>
      <c r="E19" s="225"/>
      <c r="F19" s="225"/>
      <c r="G19" s="325" t="s">
        <v>223</v>
      </c>
      <c r="H19" s="3"/>
      <c r="I19" s="41">
        <f>+'11A1'!O19</f>
        <v>0</v>
      </c>
      <c r="J19" s="41">
        <f>+'11A2'!U19</f>
        <v>0</v>
      </c>
      <c r="K19" s="41">
        <f>+'11A2'!V19</f>
        <v>0</v>
      </c>
      <c r="L19" s="41">
        <f>+'11A3'!U19</f>
        <v>0</v>
      </c>
      <c r="M19" s="41">
        <f>+'11A3'!V19</f>
        <v>0</v>
      </c>
      <c r="N19" s="41">
        <f>+'11A4'!U19</f>
        <v>0</v>
      </c>
      <c r="O19" s="41">
        <f>+'11A4'!V19</f>
        <v>0</v>
      </c>
      <c r="P19" s="41">
        <f t="shared" si="0"/>
        <v>0</v>
      </c>
    </row>
    <row r="20" spans="1:16" s="82" customFormat="1" x14ac:dyDescent="0.2">
      <c r="A20" s="326"/>
      <c r="B20" s="225" t="s">
        <v>69</v>
      </c>
      <c r="C20" s="225" t="s">
        <v>70</v>
      </c>
      <c r="D20" s="225"/>
      <c r="E20" s="225"/>
      <c r="F20" s="225"/>
      <c r="G20" s="325" t="s">
        <v>224</v>
      </c>
      <c r="H20" s="3"/>
      <c r="I20" s="41">
        <f>+'11A1'!O20</f>
        <v>0</v>
      </c>
      <c r="J20" s="41">
        <f>+'11A2'!U20</f>
        <v>0</v>
      </c>
      <c r="K20" s="41">
        <f>+'11A2'!V20</f>
        <v>0</v>
      </c>
      <c r="L20" s="41">
        <f>+'11A3'!U20</f>
        <v>0</v>
      </c>
      <c r="M20" s="41">
        <f>+'11A3'!V20</f>
        <v>0</v>
      </c>
      <c r="N20" s="41">
        <f>+'11A4'!U20</f>
        <v>0</v>
      </c>
      <c r="O20" s="41">
        <f>+'11A4'!V20</f>
        <v>0</v>
      </c>
      <c r="P20" s="41">
        <f t="shared" si="0"/>
        <v>0</v>
      </c>
    </row>
    <row r="21" spans="1:16" s="82" customFormat="1" x14ac:dyDescent="0.2">
      <c r="A21" s="326" t="s">
        <v>65</v>
      </c>
      <c r="B21" s="3" t="s">
        <v>1436</v>
      </c>
      <c r="C21" s="3"/>
      <c r="D21" s="3"/>
      <c r="E21" s="3"/>
      <c r="F21" s="3"/>
      <c r="G21" s="605" t="s">
        <v>225</v>
      </c>
      <c r="H21" s="3"/>
      <c r="I21" s="41">
        <f>+'11A1'!O21</f>
        <v>0</v>
      </c>
      <c r="J21" s="41">
        <f>+'11A2'!U21</f>
        <v>0</v>
      </c>
      <c r="K21" s="41">
        <f>+'11A2'!V21</f>
        <v>0</v>
      </c>
      <c r="L21" s="41">
        <f>+'11A3'!U21</f>
        <v>0</v>
      </c>
      <c r="M21" s="41">
        <f>+'11A3'!V21</f>
        <v>0</v>
      </c>
      <c r="N21" s="41">
        <f>+'11A4'!U21</f>
        <v>0</v>
      </c>
      <c r="O21" s="41">
        <f>+'11A4'!V21</f>
        <v>0</v>
      </c>
      <c r="P21" s="41">
        <f t="shared" si="0"/>
        <v>0</v>
      </c>
    </row>
    <row r="22" spans="1:16" s="82" customFormat="1" x14ac:dyDescent="0.2">
      <c r="A22" s="326"/>
      <c r="B22" s="3" t="s">
        <v>59</v>
      </c>
      <c r="C22" s="658" t="s">
        <v>543</v>
      </c>
      <c r="D22" s="659"/>
      <c r="E22" s="659"/>
      <c r="F22" s="660"/>
      <c r="G22" s="605" t="s">
        <v>1446</v>
      </c>
      <c r="H22" s="3"/>
      <c r="I22" s="41">
        <f>+'11A1'!O22</f>
        <v>0</v>
      </c>
      <c r="J22" s="41">
        <f>+'11A2'!U22</f>
        <v>0</v>
      </c>
      <c r="K22" s="41">
        <f>+'11A2'!V22</f>
        <v>0</v>
      </c>
      <c r="L22" s="41">
        <f>+'11A3'!U22</f>
        <v>0</v>
      </c>
      <c r="M22" s="41">
        <f>+'11A3'!V22</f>
        <v>0</v>
      </c>
      <c r="N22" s="41">
        <f>+'11A4'!U22</f>
        <v>0</v>
      </c>
      <c r="O22" s="41">
        <f>+'11A4'!V22</f>
        <v>0</v>
      </c>
      <c r="P22" s="41">
        <f>+I22+K22+M22+O22</f>
        <v>0</v>
      </c>
    </row>
    <row r="23" spans="1:16" s="82" customFormat="1" x14ac:dyDescent="0.2">
      <c r="A23" s="326"/>
      <c r="B23" s="3" t="s">
        <v>61</v>
      </c>
      <c r="C23" s="658" t="s">
        <v>1430</v>
      </c>
      <c r="D23" s="659"/>
      <c r="E23" s="659"/>
      <c r="F23" s="660"/>
      <c r="G23" s="605" t="s">
        <v>1447</v>
      </c>
      <c r="H23" s="3"/>
      <c r="I23" s="41">
        <f>+'11A1'!O23</f>
        <v>0</v>
      </c>
      <c r="J23" s="41">
        <f>+'11A2'!U23</f>
        <v>0</v>
      </c>
      <c r="K23" s="41">
        <f>+'11A2'!V23</f>
        <v>0</v>
      </c>
      <c r="L23" s="41">
        <f>+'11A3'!U23</f>
        <v>0</v>
      </c>
      <c r="M23" s="41">
        <f>+'11A3'!V23</f>
        <v>0</v>
      </c>
      <c r="N23" s="41">
        <f>+'11A4'!U23</f>
        <v>0</v>
      </c>
      <c r="O23" s="41">
        <f>+'11A4'!V23</f>
        <v>0</v>
      </c>
      <c r="P23" s="41">
        <f>+I23+K23+M23+O23</f>
        <v>0</v>
      </c>
    </row>
    <row r="24" spans="1:16" s="82" customFormat="1" x14ac:dyDescent="0.2">
      <c r="A24" s="326" t="s">
        <v>90</v>
      </c>
      <c r="B24" s="225" t="s">
        <v>641</v>
      </c>
      <c r="C24" s="225"/>
      <c r="D24" s="225"/>
      <c r="E24" s="225"/>
      <c r="F24" s="225"/>
      <c r="G24" s="325" t="s">
        <v>226</v>
      </c>
      <c r="H24" s="3"/>
      <c r="I24" s="41">
        <f>+'11A1'!O24</f>
        <v>0</v>
      </c>
      <c r="J24" s="41">
        <f>+'11A2'!U24</f>
        <v>0</v>
      </c>
      <c r="K24" s="41">
        <f>+'11A2'!V24</f>
        <v>0</v>
      </c>
      <c r="L24" s="41">
        <f>+'11A3'!U24</f>
        <v>0</v>
      </c>
      <c r="M24" s="41">
        <f>+'11A3'!V24</f>
        <v>0</v>
      </c>
      <c r="N24" s="41">
        <f>+'11A4'!U24</f>
        <v>0</v>
      </c>
      <c r="O24" s="41">
        <f>+'11A4'!V24</f>
        <v>0</v>
      </c>
      <c r="P24" s="41">
        <f t="shared" si="0"/>
        <v>0</v>
      </c>
    </row>
    <row r="25" spans="1:16" s="82" customFormat="1" x14ac:dyDescent="0.2">
      <c r="A25" s="326"/>
      <c r="B25" s="225" t="s">
        <v>59</v>
      </c>
      <c r="C25" s="225" t="s">
        <v>1451</v>
      </c>
      <c r="D25" s="225"/>
      <c r="E25" s="225"/>
      <c r="F25" s="225"/>
      <c r="G25" s="325" t="s">
        <v>227</v>
      </c>
      <c r="H25" s="3"/>
      <c r="I25" s="41">
        <f>+'11A1'!O25</f>
        <v>0</v>
      </c>
      <c r="J25" s="41">
        <f>+'11A2'!U25</f>
        <v>0</v>
      </c>
      <c r="K25" s="41">
        <f>+'11A2'!V25</f>
        <v>0</v>
      </c>
      <c r="L25" s="41">
        <f>+'11A3'!U25</f>
        <v>0</v>
      </c>
      <c r="M25" s="41">
        <f>+'11A3'!V25</f>
        <v>0</v>
      </c>
      <c r="N25" s="41">
        <f>+'11A4'!U25</f>
        <v>0</v>
      </c>
      <c r="O25" s="41">
        <f>+'11A4'!V25</f>
        <v>0</v>
      </c>
      <c r="P25" s="41">
        <f t="shared" si="0"/>
        <v>0</v>
      </c>
    </row>
    <row r="26" spans="1:16" s="82" customFormat="1" x14ac:dyDescent="0.2">
      <c r="A26" s="326"/>
      <c r="B26" s="225" t="s">
        <v>69</v>
      </c>
      <c r="C26" s="225" t="s">
        <v>1452</v>
      </c>
      <c r="D26" s="225"/>
      <c r="E26" s="225"/>
      <c r="F26" s="225"/>
      <c r="G26" s="325" t="s">
        <v>228</v>
      </c>
      <c r="H26" s="3"/>
      <c r="I26" s="41">
        <f>+'11A1'!O26</f>
        <v>0</v>
      </c>
      <c r="J26" s="41">
        <f>+'11A2'!U26</f>
        <v>0</v>
      </c>
      <c r="K26" s="41">
        <f>+'11A2'!V26</f>
        <v>0</v>
      </c>
      <c r="L26" s="41">
        <f>+'11A3'!U26</f>
        <v>0</v>
      </c>
      <c r="M26" s="41">
        <f>+'11A3'!V26</f>
        <v>0</v>
      </c>
      <c r="N26" s="41">
        <f>+'11A4'!U26</f>
        <v>0</v>
      </c>
      <c r="O26" s="41">
        <f>+'11A4'!V26</f>
        <v>0</v>
      </c>
      <c r="P26" s="41">
        <f t="shared" si="0"/>
        <v>0</v>
      </c>
    </row>
    <row r="27" spans="1:16" s="82" customFormat="1" x14ac:dyDescent="0.2">
      <c r="A27" s="326" t="s">
        <v>257</v>
      </c>
      <c r="B27" s="225" t="s">
        <v>75</v>
      </c>
      <c r="C27" s="225"/>
      <c r="D27" s="225"/>
      <c r="E27" s="225"/>
      <c r="F27" s="225"/>
      <c r="G27" s="325" t="s">
        <v>229</v>
      </c>
      <c r="H27" s="3"/>
      <c r="I27" s="41">
        <f>+'11A1'!O27</f>
        <v>0</v>
      </c>
      <c r="J27" s="41">
        <f>+'11A2'!U27</f>
        <v>0</v>
      </c>
      <c r="K27" s="41">
        <f>+'11A2'!V27</f>
        <v>0</v>
      </c>
      <c r="L27" s="41">
        <f>+'11A3'!U27</f>
        <v>0</v>
      </c>
      <c r="M27" s="41">
        <f>+'11A3'!V27</f>
        <v>0</v>
      </c>
      <c r="N27" s="41">
        <f>+'11A4'!U27</f>
        <v>0</v>
      </c>
      <c r="O27" s="41">
        <f>+'11A4'!V27</f>
        <v>0</v>
      </c>
      <c r="P27" s="41">
        <f t="shared" si="0"/>
        <v>0</v>
      </c>
    </row>
    <row r="28" spans="1:16" s="82" customFormat="1" x14ac:dyDescent="0.2">
      <c r="A28" s="326" t="s">
        <v>74</v>
      </c>
      <c r="B28" s="225" t="s">
        <v>77</v>
      </c>
      <c r="C28" s="225"/>
      <c r="D28" s="225"/>
      <c r="E28" s="225"/>
      <c r="F28" s="225"/>
      <c r="G28" s="325" t="s">
        <v>230</v>
      </c>
      <c r="H28" s="3"/>
      <c r="I28" s="41">
        <f>+'11A1'!O28</f>
        <v>0</v>
      </c>
      <c r="J28" s="41">
        <f>+'11A2'!U28</f>
        <v>0</v>
      </c>
      <c r="K28" s="41">
        <f>+'11A2'!V28</f>
        <v>0</v>
      </c>
      <c r="L28" s="41">
        <f>+'11A3'!U28</f>
        <v>0</v>
      </c>
      <c r="M28" s="41">
        <f>+'11A3'!V28</f>
        <v>0</v>
      </c>
      <c r="N28" s="41">
        <f>+'11A4'!U28</f>
        <v>0</v>
      </c>
      <c r="O28" s="41">
        <f>+'11A4'!V28</f>
        <v>0</v>
      </c>
      <c r="P28" s="41">
        <f t="shared" si="0"/>
        <v>0</v>
      </c>
    </row>
    <row r="29" spans="1:16" s="82" customFormat="1" x14ac:dyDescent="0.2">
      <c r="A29" s="326"/>
      <c r="B29" s="225" t="s">
        <v>59</v>
      </c>
      <c r="C29" s="225" t="s">
        <v>78</v>
      </c>
      <c r="D29" s="225"/>
      <c r="E29" s="225"/>
      <c r="F29" s="225"/>
      <c r="G29" s="325" t="s">
        <v>231</v>
      </c>
      <c r="H29" s="3"/>
      <c r="I29" s="41">
        <f>+'11A1'!O29</f>
        <v>0</v>
      </c>
      <c r="J29" s="41">
        <f>+'11A2'!U29</f>
        <v>0</v>
      </c>
      <c r="K29" s="41">
        <f>+'11A2'!V29</f>
        <v>0</v>
      </c>
      <c r="L29" s="41">
        <f>+'11A3'!U29</f>
        <v>0</v>
      </c>
      <c r="M29" s="41">
        <f>+'11A3'!V29</f>
        <v>0</v>
      </c>
      <c r="N29" s="41">
        <f>+'11A4'!U29</f>
        <v>0</v>
      </c>
      <c r="O29" s="41">
        <f>+'11A4'!V29</f>
        <v>0</v>
      </c>
      <c r="P29" s="41">
        <f t="shared" si="0"/>
        <v>0</v>
      </c>
    </row>
    <row r="30" spans="1:16" s="82" customFormat="1" x14ac:dyDescent="0.2">
      <c r="A30" s="326"/>
      <c r="B30" s="225" t="s">
        <v>61</v>
      </c>
      <c r="C30" s="225" t="s">
        <v>66</v>
      </c>
      <c r="D30" s="225"/>
      <c r="E30" s="225"/>
      <c r="F30" s="225"/>
      <c r="G30" s="325" t="s">
        <v>232</v>
      </c>
      <c r="H30" s="3"/>
      <c r="I30" s="41">
        <f>+'11A1'!O30</f>
        <v>0</v>
      </c>
      <c r="J30" s="41">
        <f>+'11A2'!U30</f>
        <v>0</v>
      </c>
      <c r="K30" s="41">
        <f>+'11A2'!V30</f>
        <v>0</v>
      </c>
      <c r="L30" s="41">
        <f>+'11A3'!U30</f>
        <v>0</v>
      </c>
      <c r="M30" s="41">
        <f>+'11A3'!V30</f>
        <v>0</v>
      </c>
      <c r="N30" s="41">
        <f>+'11A4'!U30</f>
        <v>0</v>
      </c>
      <c r="O30" s="41">
        <f>+'11A4'!V30</f>
        <v>0</v>
      </c>
      <c r="P30" s="41">
        <f t="shared" si="0"/>
        <v>0</v>
      </c>
    </row>
    <row r="31" spans="1:16" s="82" customFormat="1" ht="24.75" customHeight="1" x14ac:dyDescent="0.2">
      <c r="A31" s="326" t="s">
        <v>76</v>
      </c>
      <c r="B31" s="661" t="s">
        <v>80</v>
      </c>
      <c r="C31" s="661"/>
      <c r="D31" s="661"/>
      <c r="E31" s="661"/>
      <c r="F31" s="661"/>
      <c r="G31" s="325" t="s">
        <v>233</v>
      </c>
      <c r="H31" s="3"/>
      <c r="I31" s="41">
        <f>+'11A1'!O31</f>
        <v>0</v>
      </c>
      <c r="J31" s="41">
        <f>+'11A2'!U31</f>
        <v>0</v>
      </c>
      <c r="K31" s="41">
        <f>+'11A2'!V31</f>
        <v>0</v>
      </c>
      <c r="L31" s="41">
        <f>+'11A3'!U31</f>
        <v>0</v>
      </c>
      <c r="M31" s="41">
        <f>+'11A3'!V31</f>
        <v>0</v>
      </c>
      <c r="N31" s="41">
        <f>+'11A4'!U31</f>
        <v>0</v>
      </c>
      <c r="O31" s="41">
        <f>+'11A4'!V31</f>
        <v>0</v>
      </c>
      <c r="P31" s="41">
        <f t="shared" si="0"/>
        <v>0</v>
      </c>
    </row>
    <row r="32" spans="1:16" s="82" customFormat="1" x14ac:dyDescent="0.2">
      <c r="A32" s="326" t="s">
        <v>79</v>
      </c>
      <c r="B32" s="225" t="s">
        <v>1467</v>
      </c>
      <c r="C32" s="225"/>
      <c r="D32" s="225"/>
      <c r="E32" s="225"/>
      <c r="F32" s="225"/>
      <c r="G32" s="325" t="s">
        <v>234</v>
      </c>
      <c r="H32" s="3"/>
      <c r="I32" s="41">
        <f>+'11A1'!O32</f>
        <v>0</v>
      </c>
      <c r="J32" s="41">
        <f>+'11A2'!U32</f>
        <v>0</v>
      </c>
      <c r="K32" s="41">
        <f>+'11A2'!V32</f>
        <v>0</v>
      </c>
      <c r="L32" s="41">
        <f>+'11A3'!U32</f>
        <v>0</v>
      </c>
      <c r="M32" s="41">
        <f>+'11A3'!V32</f>
        <v>0</v>
      </c>
      <c r="N32" s="41">
        <f>+'11A4'!U32</f>
        <v>0</v>
      </c>
      <c r="O32" s="41">
        <f>+'11A4'!V32</f>
        <v>0</v>
      </c>
      <c r="P32" s="41">
        <f t="shared" si="0"/>
        <v>0</v>
      </c>
    </row>
    <row r="33" spans="1:16" s="82" customFormat="1" x14ac:dyDescent="0.2">
      <c r="A33" s="326"/>
      <c r="B33" s="225" t="s">
        <v>59</v>
      </c>
      <c r="C33" s="225" t="s">
        <v>82</v>
      </c>
      <c r="D33" s="225"/>
      <c r="E33" s="225"/>
      <c r="F33" s="225"/>
      <c r="G33" s="325" t="s">
        <v>235</v>
      </c>
      <c r="H33" s="3"/>
      <c r="I33" s="41">
        <f>+'11A1'!O33</f>
        <v>0</v>
      </c>
      <c r="J33" s="41">
        <f>+'11A2'!U33</f>
        <v>0</v>
      </c>
      <c r="K33" s="41">
        <f>+'11A2'!V33</f>
        <v>0</v>
      </c>
      <c r="L33" s="41">
        <f>+'11A3'!U33</f>
        <v>0</v>
      </c>
      <c r="M33" s="41">
        <f>+'11A3'!V33</f>
        <v>0</v>
      </c>
      <c r="N33" s="41">
        <f>+'11A4'!U33</f>
        <v>0</v>
      </c>
      <c r="O33" s="41">
        <f>+'11A4'!V33</f>
        <v>0</v>
      </c>
      <c r="P33" s="41">
        <f t="shared" si="0"/>
        <v>0</v>
      </c>
    </row>
    <row r="34" spans="1:16" s="82" customFormat="1" x14ac:dyDescent="0.2">
      <c r="A34" s="326"/>
      <c r="B34" s="225" t="s">
        <v>61</v>
      </c>
      <c r="C34" s="662" t="s">
        <v>1457</v>
      </c>
      <c r="D34" s="662"/>
      <c r="E34" s="662"/>
      <c r="F34" s="663"/>
      <c r="G34" s="325" t="s">
        <v>236</v>
      </c>
      <c r="H34" s="3"/>
      <c r="I34" s="41">
        <f>+'11A1'!O34</f>
        <v>0</v>
      </c>
      <c r="J34" s="41">
        <f>+'11A2'!U34</f>
        <v>0</v>
      </c>
      <c r="K34" s="41">
        <f>+'11A2'!V34</f>
        <v>0</v>
      </c>
      <c r="L34" s="41">
        <f>+'11A3'!U34</f>
        <v>0</v>
      </c>
      <c r="M34" s="41">
        <f>+'11A3'!V34</f>
        <v>0</v>
      </c>
      <c r="N34" s="41">
        <f>+'11A4'!U34</f>
        <v>0</v>
      </c>
      <c r="O34" s="41">
        <f>+'11A4'!V34</f>
        <v>0</v>
      </c>
      <c r="P34" s="41">
        <f t="shared" si="0"/>
        <v>0</v>
      </c>
    </row>
    <row r="35" spans="1:16" s="82" customFormat="1" x14ac:dyDescent="0.2">
      <c r="A35" s="606"/>
      <c r="B35" s="622"/>
      <c r="C35" s="225" t="s">
        <v>54</v>
      </c>
      <c r="D35" s="225" t="s">
        <v>83</v>
      </c>
      <c r="E35" s="225"/>
      <c r="F35" s="225"/>
      <c r="G35" s="609" t="s">
        <v>1465</v>
      </c>
      <c r="H35" s="3"/>
      <c r="I35" s="41">
        <f>+'11A1'!O35</f>
        <v>0</v>
      </c>
      <c r="J35" s="41">
        <f>+'11A2'!U35</f>
        <v>0</v>
      </c>
      <c r="K35" s="41">
        <f>+'11A2'!V35</f>
        <v>0</v>
      </c>
      <c r="L35" s="41">
        <f>+'11A3'!U35</f>
        <v>0</v>
      </c>
      <c r="M35" s="41">
        <f>+'11A3'!V35</f>
        <v>0</v>
      </c>
      <c r="N35" s="41">
        <f>+'11A4'!U35</f>
        <v>0</v>
      </c>
      <c r="O35" s="41">
        <f>+'11A4'!V35</f>
        <v>0</v>
      </c>
      <c r="P35" s="41">
        <f t="shared" si="0"/>
        <v>0</v>
      </c>
    </row>
    <row r="36" spans="1:16" s="82" customFormat="1" x14ac:dyDescent="0.2">
      <c r="A36" s="606"/>
      <c r="B36" s="622"/>
      <c r="C36" s="225" t="s">
        <v>55</v>
      </c>
      <c r="D36" s="225" t="s">
        <v>1458</v>
      </c>
      <c r="E36" s="225"/>
      <c r="F36" s="225"/>
      <c r="G36" s="609" t="s">
        <v>1466</v>
      </c>
      <c r="H36" s="3"/>
      <c r="I36" s="41">
        <f>+'11A1'!O36</f>
        <v>0</v>
      </c>
      <c r="J36" s="41">
        <f>+'11A2'!U36</f>
        <v>0</v>
      </c>
      <c r="K36" s="41">
        <f>+'11A2'!V36</f>
        <v>0</v>
      </c>
      <c r="L36" s="41">
        <f>+'11A3'!U36</f>
        <v>0</v>
      </c>
      <c r="M36" s="41">
        <f>+'11A3'!V36</f>
        <v>0</v>
      </c>
      <c r="N36" s="41">
        <f>+'11A4'!U36</f>
        <v>0</v>
      </c>
      <c r="O36" s="41">
        <f>+'11A4'!V36</f>
        <v>0</v>
      </c>
      <c r="P36" s="41">
        <f t="shared" si="0"/>
        <v>0</v>
      </c>
    </row>
    <row r="37" spans="1:16" s="82" customFormat="1" x14ac:dyDescent="0.2">
      <c r="A37" s="606"/>
      <c r="B37" s="3" t="s">
        <v>1434</v>
      </c>
      <c r="C37" s="3" t="s">
        <v>1468</v>
      </c>
      <c r="D37" s="3"/>
      <c r="E37" s="3"/>
      <c r="F37" s="3"/>
      <c r="G37" s="605" t="s">
        <v>1448</v>
      </c>
      <c r="H37" s="3"/>
      <c r="I37" s="41">
        <f>+'11A1'!O37</f>
        <v>0</v>
      </c>
      <c r="J37" s="41">
        <f>+'11A2'!U37</f>
        <v>0</v>
      </c>
      <c r="K37" s="41">
        <f>+'11A2'!V37</f>
        <v>0</v>
      </c>
      <c r="L37" s="41">
        <f>+'11A3'!U37</f>
        <v>0</v>
      </c>
      <c r="M37" s="41">
        <f>+'11A3'!V37</f>
        <v>0</v>
      </c>
      <c r="N37" s="41">
        <f>+'11A4'!U37</f>
        <v>0</v>
      </c>
      <c r="O37" s="41">
        <f>+'11A4'!V37</f>
        <v>0</v>
      </c>
      <c r="P37" s="41">
        <f>+I37+K37+M37+O37</f>
        <v>0</v>
      </c>
    </row>
    <row r="38" spans="1:16" s="82" customFormat="1" x14ac:dyDescent="0.2">
      <c r="A38" s="326"/>
      <c r="B38" s="225" t="s">
        <v>1433</v>
      </c>
      <c r="C38" s="225" t="s">
        <v>52</v>
      </c>
      <c r="D38" s="225"/>
      <c r="E38" s="225"/>
      <c r="F38" s="225"/>
      <c r="G38" s="325" t="s">
        <v>237</v>
      </c>
      <c r="H38" s="3"/>
      <c r="I38" s="41">
        <f>+'11A1'!O38</f>
        <v>0</v>
      </c>
      <c r="J38" s="41">
        <f>+'11A2'!U38</f>
        <v>0</v>
      </c>
      <c r="K38" s="41">
        <f>+'11A2'!V38</f>
        <v>0</v>
      </c>
      <c r="L38" s="41">
        <f>+'11A3'!U38</f>
        <v>0</v>
      </c>
      <c r="M38" s="41">
        <f>+'11A3'!V38</f>
        <v>0</v>
      </c>
      <c r="N38" s="41">
        <f>+'11A4'!U38</f>
        <v>0</v>
      </c>
      <c r="O38" s="41">
        <f>+'11A4'!V38</f>
        <v>0</v>
      </c>
      <c r="P38" s="41">
        <f t="shared" si="0"/>
        <v>0</v>
      </c>
    </row>
    <row r="39" spans="1:16" s="82" customFormat="1" x14ac:dyDescent="0.2">
      <c r="A39" s="326" t="s">
        <v>81</v>
      </c>
      <c r="B39" s="225" t="s">
        <v>85</v>
      </c>
      <c r="C39" s="225"/>
      <c r="D39" s="225"/>
      <c r="E39" s="225"/>
      <c r="F39" s="225"/>
      <c r="G39" s="325" t="s">
        <v>238</v>
      </c>
      <c r="H39" s="3"/>
      <c r="I39" s="41">
        <f>+'11A1'!O39</f>
        <v>0</v>
      </c>
      <c r="J39" s="41">
        <f>+'11A2'!U39</f>
        <v>0</v>
      </c>
      <c r="K39" s="41">
        <f>+'11A2'!V39</f>
        <v>0</v>
      </c>
      <c r="L39" s="41">
        <f>+'11A3'!U39</f>
        <v>0</v>
      </c>
      <c r="M39" s="41">
        <f>+'11A3'!V39</f>
        <v>0</v>
      </c>
      <c r="N39" s="41">
        <f>+'11A4'!U39</f>
        <v>0</v>
      </c>
      <c r="O39" s="41">
        <f>+'11A4'!V39</f>
        <v>0</v>
      </c>
      <c r="P39" s="41">
        <f t="shared" si="0"/>
        <v>0</v>
      </c>
    </row>
    <row r="40" spans="1:16" s="82" customFormat="1" x14ac:dyDescent="0.2">
      <c r="A40" s="324" t="s">
        <v>86</v>
      </c>
      <c r="B40" s="225"/>
      <c r="C40" s="225"/>
      <c r="D40" s="225"/>
      <c r="E40" s="225"/>
      <c r="F40" s="225"/>
      <c r="G40" s="325" t="s">
        <v>239</v>
      </c>
      <c r="H40" s="3"/>
      <c r="I40" s="41">
        <f>+'11A1'!O40</f>
        <v>0</v>
      </c>
      <c r="J40" s="43"/>
      <c r="K40" s="43"/>
      <c r="L40" s="41">
        <f>+'11A3'!U40</f>
        <v>0</v>
      </c>
      <c r="M40" s="41">
        <f>+'11A3'!V40</f>
        <v>0</v>
      </c>
      <c r="N40" s="41">
        <f>+'11A4'!U40</f>
        <v>0</v>
      </c>
      <c r="O40" s="41">
        <f>+'11A4'!V40</f>
        <v>0</v>
      </c>
      <c r="P40" s="41">
        <f t="shared" si="0"/>
        <v>0</v>
      </c>
    </row>
    <row r="41" spans="1:16" s="82" customFormat="1" x14ac:dyDescent="0.2">
      <c r="A41" s="325" t="s">
        <v>54</v>
      </c>
      <c r="B41" s="225" t="s">
        <v>87</v>
      </c>
      <c r="C41" s="225"/>
      <c r="D41" s="225"/>
      <c r="E41" s="225"/>
      <c r="F41" s="225"/>
      <c r="G41" s="325" t="s">
        <v>240</v>
      </c>
      <c r="H41" s="3"/>
      <c r="I41" s="43"/>
      <c r="J41" s="43"/>
      <c r="K41" s="43"/>
      <c r="L41" s="41">
        <f>+'11A3'!U41</f>
        <v>0</v>
      </c>
      <c r="M41" s="41">
        <f>+'11A3'!V41</f>
        <v>0</v>
      </c>
      <c r="N41" s="41">
        <f>+'11A4'!U41</f>
        <v>0</v>
      </c>
      <c r="O41" s="41">
        <f>+'11A4'!V41</f>
        <v>0</v>
      </c>
      <c r="P41" s="41">
        <f t="shared" si="0"/>
        <v>0</v>
      </c>
    </row>
    <row r="42" spans="1:16" s="82" customFormat="1" x14ac:dyDescent="0.2">
      <c r="A42" s="325" t="s">
        <v>55</v>
      </c>
      <c r="B42" s="225" t="s">
        <v>88</v>
      </c>
      <c r="C42" s="225"/>
      <c r="D42" s="225"/>
      <c r="E42" s="225"/>
      <c r="F42" s="225"/>
      <c r="G42" s="325" t="s">
        <v>241</v>
      </c>
      <c r="H42" s="3"/>
      <c r="I42" s="43"/>
      <c r="J42" s="43"/>
      <c r="K42" s="43"/>
      <c r="L42" s="41">
        <f>+'11A3'!U42</f>
        <v>0</v>
      </c>
      <c r="M42" s="41">
        <f>+'11A3'!V42</f>
        <v>0</v>
      </c>
      <c r="N42" s="41">
        <f>+'11A4'!U42</f>
        <v>0</v>
      </c>
      <c r="O42" s="41">
        <f>+'11A4'!V42</f>
        <v>0</v>
      </c>
      <c r="P42" s="41">
        <f t="shared" si="0"/>
        <v>0</v>
      </c>
    </row>
    <row r="43" spans="1:16" s="82" customFormat="1" x14ac:dyDescent="0.2">
      <c r="A43" s="325" t="s">
        <v>65</v>
      </c>
      <c r="B43" s="225" t="s">
        <v>89</v>
      </c>
      <c r="C43" s="225"/>
      <c r="D43" s="225"/>
      <c r="E43" s="225"/>
      <c r="F43" s="225"/>
      <c r="G43" s="325" t="s">
        <v>242</v>
      </c>
      <c r="H43" s="3"/>
      <c r="I43" s="43"/>
      <c r="J43" s="43"/>
      <c r="K43" s="43"/>
      <c r="L43" s="41">
        <f>+'11A3'!U43</f>
        <v>0</v>
      </c>
      <c r="M43" s="41">
        <f>+'11A3'!V43</f>
        <v>0</v>
      </c>
      <c r="N43" s="41">
        <f>+'11A4'!U43</f>
        <v>0</v>
      </c>
      <c r="O43" s="41">
        <f>+'11A4'!V43</f>
        <v>0</v>
      </c>
      <c r="P43" s="41">
        <f t="shared" si="0"/>
        <v>0</v>
      </c>
    </row>
    <row r="44" spans="1:16" s="82" customFormat="1" x14ac:dyDescent="0.2">
      <c r="A44" s="325" t="s">
        <v>90</v>
      </c>
      <c r="B44" s="225" t="s">
        <v>91</v>
      </c>
      <c r="C44" s="225"/>
      <c r="D44" s="225"/>
      <c r="E44" s="225"/>
      <c r="F44" s="225"/>
      <c r="G44" s="325" t="s">
        <v>243</v>
      </c>
      <c r="H44" s="3"/>
      <c r="I44" s="41">
        <f>+'11A1'!O44</f>
        <v>0</v>
      </c>
      <c r="J44" s="43"/>
      <c r="K44" s="43"/>
      <c r="L44" s="41">
        <f>+'11A3'!U44</f>
        <v>0</v>
      </c>
      <c r="M44" s="41">
        <f>+'11A3'!V44</f>
        <v>0</v>
      </c>
      <c r="N44" s="41">
        <f>+'11A4'!U44</f>
        <v>0</v>
      </c>
      <c r="O44" s="41">
        <f>+'11A4'!V44</f>
        <v>0</v>
      </c>
      <c r="P44" s="41">
        <f t="shared" si="0"/>
        <v>0</v>
      </c>
    </row>
    <row r="45" spans="1:16" s="82" customFormat="1" x14ac:dyDescent="0.2">
      <c r="A45" s="307" t="s">
        <v>140</v>
      </c>
      <c r="B45" s="225"/>
      <c r="C45" s="226"/>
      <c r="D45" s="307"/>
      <c r="E45" s="225"/>
      <c r="F45" s="225"/>
      <c r="G45" s="325" t="s">
        <v>244</v>
      </c>
      <c r="H45" s="3"/>
      <c r="I45" s="41">
        <f>+'11A1'!O45</f>
        <v>0</v>
      </c>
      <c r="J45" s="41">
        <f>+'11A2'!U45</f>
        <v>0</v>
      </c>
      <c r="K45" s="41">
        <f>+'11A2'!V45</f>
        <v>0</v>
      </c>
      <c r="L45" s="41">
        <f>+'11A3'!U45</f>
        <v>0</v>
      </c>
      <c r="M45" s="41">
        <f>+'11A3'!V45</f>
        <v>0</v>
      </c>
      <c r="N45" s="41">
        <f>+'11A4'!U45</f>
        <v>0</v>
      </c>
      <c r="O45" s="41">
        <f>+'11A4'!V45</f>
        <v>0</v>
      </c>
      <c r="P45" s="41">
        <f t="shared" si="0"/>
        <v>0</v>
      </c>
    </row>
    <row r="46" spans="1:16" s="82" customFormat="1" x14ac:dyDescent="0.2">
      <c r="A46" s="328" t="s">
        <v>644</v>
      </c>
      <c r="B46" s="329"/>
      <c r="C46" s="329"/>
      <c r="D46" s="330"/>
      <c r="E46" s="329"/>
      <c r="F46" s="331"/>
      <c r="G46" s="332"/>
      <c r="H46" s="3"/>
      <c r="I46" s="41"/>
      <c r="J46" s="41"/>
      <c r="K46" s="41"/>
      <c r="L46" s="41"/>
      <c r="M46" s="41"/>
      <c r="N46" s="41"/>
      <c r="O46" s="41"/>
      <c r="P46" s="41"/>
    </row>
    <row r="47" spans="1:16" s="82" customFormat="1" x14ac:dyDescent="0.2">
      <c r="A47" s="333" t="s">
        <v>161</v>
      </c>
      <c r="B47" s="303" t="s">
        <v>68</v>
      </c>
      <c r="C47" s="303"/>
      <c r="D47" s="303"/>
      <c r="E47" s="303"/>
      <c r="F47" s="334"/>
      <c r="G47" s="335" t="s">
        <v>642</v>
      </c>
      <c r="H47" s="3"/>
      <c r="I47" s="41">
        <f>+'11A1'!O47</f>
        <v>0</v>
      </c>
      <c r="J47" s="41">
        <f>+'11A2'!U47</f>
        <v>0</v>
      </c>
      <c r="K47" s="41">
        <f>+'11A2'!V47</f>
        <v>0</v>
      </c>
      <c r="L47" s="41">
        <f>+'11A3'!U47</f>
        <v>0</v>
      </c>
      <c r="M47" s="41">
        <f>+'11A3'!V47</f>
        <v>0</v>
      </c>
      <c r="N47" s="41">
        <f>+'11A4'!U47</f>
        <v>0</v>
      </c>
      <c r="O47" s="41">
        <f>+'11A4'!V47</f>
        <v>0</v>
      </c>
      <c r="P47" s="41">
        <f t="shared" si="0"/>
        <v>0</v>
      </c>
    </row>
    <row r="48" spans="1:16" s="82" customFormat="1" x14ac:dyDescent="0.2">
      <c r="A48" s="333" t="s">
        <v>164</v>
      </c>
      <c r="B48" s="303" t="s">
        <v>70</v>
      </c>
      <c r="C48" s="303"/>
      <c r="D48" s="303"/>
      <c r="E48" s="303"/>
      <c r="F48" s="334"/>
      <c r="G48" s="335" t="s">
        <v>643</v>
      </c>
      <c r="H48" s="3"/>
      <c r="I48" s="41">
        <f>+'11A1'!O48</f>
        <v>0</v>
      </c>
      <c r="J48" s="41">
        <f>+'11A2'!U48</f>
        <v>0</v>
      </c>
      <c r="K48" s="41">
        <f>+'11A2'!V48</f>
        <v>0</v>
      </c>
      <c r="L48" s="41">
        <f>+'11A3'!U48</f>
        <v>0</v>
      </c>
      <c r="M48" s="41">
        <f>+'11A3'!V48</f>
        <v>0</v>
      </c>
      <c r="N48" s="41">
        <f>+'11A4'!U48</f>
        <v>0</v>
      </c>
      <c r="O48" s="41">
        <f>+'11A4'!V48</f>
        <v>0</v>
      </c>
      <c r="P48" s="41">
        <f t="shared" si="0"/>
        <v>0</v>
      </c>
    </row>
    <row r="49" spans="1:16" s="82" customFormat="1" x14ac:dyDescent="0.2">
      <c r="A49" s="336" t="s">
        <v>245</v>
      </c>
      <c r="B49" s="225"/>
      <c r="C49" s="225"/>
      <c r="D49" s="225"/>
      <c r="E49" s="225"/>
      <c r="F49" s="225"/>
      <c r="G49" s="326" t="s">
        <v>158</v>
      </c>
      <c r="H49" s="79"/>
      <c r="I49" s="100"/>
      <c r="J49" s="100"/>
      <c r="K49" s="100"/>
      <c r="L49" s="100"/>
      <c r="M49" s="100"/>
      <c r="N49" s="100"/>
      <c r="O49" s="100"/>
      <c r="P49" s="84"/>
    </row>
    <row r="50" spans="1:16" s="82" customFormat="1" ht="12.75" x14ac:dyDescent="0.2">
      <c r="A50" s="337" t="s">
        <v>54</v>
      </c>
      <c r="B50" s="225" t="s">
        <v>246</v>
      </c>
      <c r="C50" s="225"/>
      <c r="D50" s="225"/>
      <c r="E50" s="225"/>
      <c r="F50" s="225"/>
      <c r="G50" s="338" t="s">
        <v>247</v>
      </c>
      <c r="H50" s="101"/>
      <c r="I50" s="44"/>
      <c r="J50" s="43"/>
      <c r="K50" s="43"/>
      <c r="L50" s="43"/>
      <c r="M50" s="43"/>
      <c r="N50" s="44"/>
      <c r="O50" s="44"/>
      <c r="P50" s="41">
        <f t="shared" si="0"/>
        <v>0</v>
      </c>
    </row>
    <row r="51" spans="1:16" s="82" customFormat="1" ht="12.75" x14ac:dyDescent="0.2">
      <c r="A51" s="337" t="s">
        <v>55</v>
      </c>
      <c r="B51" s="225" t="s">
        <v>248</v>
      </c>
      <c r="C51" s="225"/>
      <c r="D51" s="225"/>
      <c r="E51" s="225"/>
      <c r="F51" s="225"/>
      <c r="G51" s="338" t="s">
        <v>249</v>
      </c>
      <c r="H51" s="101"/>
      <c r="I51" s="44"/>
      <c r="J51" s="44"/>
      <c r="K51" s="44"/>
      <c r="L51" s="44"/>
      <c r="M51" s="44"/>
      <c r="N51" s="44"/>
      <c r="O51" s="44"/>
      <c r="P51" s="41">
        <f t="shared" ref="P51:P93" si="1">+I51+K51+M51+O51</f>
        <v>0</v>
      </c>
    </row>
    <row r="52" spans="1:16" s="227" customFormat="1" ht="12.75" x14ac:dyDescent="0.2">
      <c r="A52" s="339"/>
      <c r="B52" s="225" t="s">
        <v>250</v>
      </c>
      <c r="C52" s="225"/>
      <c r="D52" s="225"/>
      <c r="E52" s="225"/>
      <c r="F52" s="225"/>
      <c r="G52" s="340"/>
      <c r="H52" s="86"/>
      <c r="I52" s="100"/>
      <c r="J52" s="84"/>
      <c r="K52" s="84"/>
      <c r="L52" s="100"/>
      <c r="M52" s="100"/>
      <c r="N52" s="100"/>
      <c r="O52" s="100"/>
      <c r="P52" s="41"/>
    </row>
    <row r="53" spans="1:16" s="82" customFormat="1" ht="12.75" x14ac:dyDescent="0.2">
      <c r="A53" s="337" t="s">
        <v>65</v>
      </c>
      <c r="B53" s="225" t="s">
        <v>251</v>
      </c>
      <c r="C53" s="225"/>
      <c r="D53" s="225"/>
      <c r="E53" s="225"/>
      <c r="F53" s="225"/>
      <c r="G53" s="338" t="s">
        <v>252</v>
      </c>
      <c r="H53" s="101"/>
      <c r="I53" s="44"/>
      <c r="J53" s="44"/>
      <c r="K53" s="44"/>
      <c r="L53" s="44"/>
      <c r="M53" s="44"/>
      <c r="N53" s="44"/>
      <c r="O53" s="44"/>
      <c r="P53" s="41">
        <f t="shared" si="1"/>
        <v>0</v>
      </c>
    </row>
    <row r="54" spans="1:16" s="227" customFormat="1" ht="12.75" x14ac:dyDescent="0.2">
      <c r="A54" s="339"/>
      <c r="B54" s="225" t="s">
        <v>253</v>
      </c>
      <c r="C54" s="225"/>
      <c r="D54" s="225"/>
      <c r="E54" s="225"/>
      <c r="F54" s="225"/>
      <c r="G54" s="340"/>
      <c r="H54" s="86"/>
      <c r="I54" s="100"/>
      <c r="J54" s="84"/>
      <c r="K54" s="84"/>
      <c r="L54" s="100"/>
      <c r="M54" s="100"/>
      <c r="N54" s="100"/>
      <c r="O54" s="100"/>
      <c r="P54" s="41"/>
    </row>
    <row r="55" spans="1:16" s="82" customFormat="1" ht="12.75" x14ac:dyDescent="0.2">
      <c r="A55" s="337" t="s">
        <v>90</v>
      </c>
      <c r="B55" s="225" t="s">
        <v>254</v>
      </c>
      <c r="C55" s="225"/>
      <c r="D55" s="225"/>
      <c r="E55" s="225"/>
      <c r="F55" s="225"/>
      <c r="G55" s="338" t="s">
        <v>255</v>
      </c>
      <c r="H55" s="101"/>
      <c r="I55" s="44"/>
      <c r="J55" s="44"/>
      <c r="K55" s="44"/>
      <c r="L55" s="44"/>
      <c r="M55" s="44"/>
      <c r="N55" s="44"/>
      <c r="O55" s="44"/>
      <c r="P55" s="41">
        <f t="shared" si="1"/>
        <v>0</v>
      </c>
    </row>
    <row r="56" spans="1:16" s="227" customFormat="1" ht="12.75" x14ac:dyDescent="0.2">
      <c r="A56" s="339"/>
      <c r="B56" s="225" t="s">
        <v>256</v>
      </c>
      <c r="C56" s="225"/>
      <c r="D56" s="225"/>
      <c r="E56" s="225"/>
      <c r="F56" s="225"/>
      <c r="G56" s="340"/>
      <c r="H56" s="86"/>
      <c r="I56" s="100"/>
      <c r="J56" s="84"/>
      <c r="K56" s="84"/>
      <c r="L56" s="100"/>
      <c r="M56" s="100"/>
      <c r="N56" s="100"/>
      <c r="O56" s="100"/>
      <c r="P56" s="41"/>
    </row>
    <row r="57" spans="1:16" s="82" customFormat="1" ht="12.75" x14ac:dyDescent="0.2">
      <c r="A57" s="337" t="s">
        <v>257</v>
      </c>
      <c r="B57" s="225" t="s">
        <v>258</v>
      </c>
      <c r="C57" s="225"/>
      <c r="D57" s="225"/>
      <c r="E57" s="225"/>
      <c r="F57" s="225"/>
      <c r="G57" s="338" t="s">
        <v>259</v>
      </c>
      <c r="H57" s="101"/>
      <c r="I57" s="44"/>
      <c r="J57" s="44"/>
      <c r="K57" s="44"/>
      <c r="L57" s="44"/>
      <c r="M57" s="44"/>
      <c r="N57" s="44"/>
      <c r="O57" s="44"/>
      <c r="P57" s="41">
        <f t="shared" si="1"/>
        <v>0</v>
      </c>
    </row>
    <row r="58" spans="1:16" s="82" customFormat="1" ht="12.75" x14ac:dyDescent="0.2">
      <c r="A58" s="337" t="s">
        <v>74</v>
      </c>
      <c r="B58" s="225" t="s">
        <v>260</v>
      </c>
      <c r="C58" s="225"/>
      <c r="D58" s="225"/>
      <c r="E58" s="225"/>
      <c r="F58" s="225"/>
      <c r="G58" s="338" t="s">
        <v>261</v>
      </c>
      <c r="H58" s="101"/>
      <c r="I58" s="41">
        <f t="shared" ref="I58:O58" si="2">I59+I60</f>
        <v>0</v>
      </c>
      <c r="J58" s="41">
        <f t="shared" si="2"/>
        <v>0</v>
      </c>
      <c r="K58" s="41">
        <f t="shared" si="2"/>
        <v>0</v>
      </c>
      <c r="L58" s="41">
        <f t="shared" si="2"/>
        <v>0</v>
      </c>
      <c r="M58" s="41">
        <f t="shared" si="2"/>
        <v>0</v>
      </c>
      <c r="N58" s="41">
        <f t="shared" si="2"/>
        <v>0</v>
      </c>
      <c r="O58" s="41">
        <f t="shared" si="2"/>
        <v>0</v>
      </c>
      <c r="P58" s="41">
        <f t="shared" si="1"/>
        <v>0</v>
      </c>
    </row>
    <row r="59" spans="1:16" s="82" customFormat="1" ht="12.75" x14ac:dyDescent="0.2">
      <c r="A59" s="337"/>
      <c r="B59" s="225" t="s">
        <v>59</v>
      </c>
      <c r="C59" s="225" t="s">
        <v>262</v>
      </c>
      <c r="D59" s="225"/>
      <c r="E59" s="225"/>
      <c r="F59" s="225"/>
      <c r="G59" s="338" t="s">
        <v>263</v>
      </c>
      <c r="H59" s="101"/>
      <c r="I59" s="44"/>
      <c r="J59" s="44"/>
      <c r="K59" s="44"/>
      <c r="L59" s="44"/>
      <c r="M59" s="44"/>
      <c r="N59" s="44"/>
      <c r="O59" s="44"/>
      <c r="P59" s="41">
        <f t="shared" si="1"/>
        <v>0</v>
      </c>
    </row>
    <row r="60" spans="1:16" s="82" customFormat="1" ht="12.75" x14ac:dyDescent="0.2">
      <c r="A60" s="337"/>
      <c r="B60" s="225" t="s">
        <v>61</v>
      </c>
      <c r="C60" s="225" t="s">
        <v>264</v>
      </c>
      <c r="D60" s="225"/>
      <c r="E60" s="225"/>
      <c r="F60" s="225"/>
      <c r="G60" s="338" t="s">
        <v>265</v>
      </c>
      <c r="H60" s="101"/>
      <c r="I60" s="44"/>
      <c r="J60" s="44"/>
      <c r="K60" s="44"/>
      <c r="L60" s="44"/>
      <c r="M60" s="44"/>
      <c r="N60" s="44"/>
      <c r="O60" s="44"/>
      <c r="P60" s="41">
        <f t="shared" si="1"/>
        <v>0</v>
      </c>
    </row>
    <row r="61" spans="1:16" s="82" customFormat="1" ht="12.75" x14ac:dyDescent="0.2">
      <c r="A61" s="337" t="s">
        <v>76</v>
      </c>
      <c r="B61" s="225" t="s">
        <v>266</v>
      </c>
      <c r="C61" s="225"/>
      <c r="D61" s="225"/>
      <c r="E61" s="225"/>
      <c r="F61" s="225"/>
      <c r="G61" s="338" t="s">
        <v>267</v>
      </c>
      <c r="H61" s="101"/>
      <c r="I61" s="41">
        <f t="shared" ref="I61:O61" si="3">I62+I63</f>
        <v>0</v>
      </c>
      <c r="J61" s="41">
        <f t="shared" si="3"/>
        <v>0</v>
      </c>
      <c r="K61" s="41">
        <f t="shared" si="3"/>
        <v>0</v>
      </c>
      <c r="L61" s="41">
        <f t="shared" si="3"/>
        <v>0</v>
      </c>
      <c r="M61" s="41">
        <f t="shared" si="3"/>
        <v>0</v>
      </c>
      <c r="N61" s="41">
        <f t="shared" si="3"/>
        <v>0</v>
      </c>
      <c r="O61" s="41">
        <f t="shared" si="3"/>
        <v>0</v>
      </c>
      <c r="P61" s="41">
        <f t="shared" si="1"/>
        <v>0</v>
      </c>
    </row>
    <row r="62" spans="1:16" s="82" customFormat="1" ht="12.75" x14ac:dyDescent="0.2">
      <c r="A62" s="339"/>
      <c r="B62" s="225" t="s">
        <v>59</v>
      </c>
      <c r="C62" s="225" t="s">
        <v>262</v>
      </c>
      <c r="D62" s="225"/>
      <c r="E62" s="225"/>
      <c r="F62" s="225"/>
      <c r="G62" s="338" t="s">
        <v>268</v>
      </c>
      <c r="H62" s="101"/>
      <c r="I62" s="44"/>
      <c r="J62" s="44"/>
      <c r="K62" s="44"/>
      <c r="L62" s="44"/>
      <c r="M62" s="44"/>
      <c r="N62" s="44"/>
      <c r="O62" s="44"/>
      <c r="P62" s="41">
        <f t="shared" si="1"/>
        <v>0</v>
      </c>
    </row>
    <row r="63" spans="1:16" s="82" customFormat="1" ht="12.75" x14ac:dyDescent="0.2">
      <c r="A63" s="339"/>
      <c r="B63" s="225" t="s">
        <v>61</v>
      </c>
      <c r="C63" s="225" t="s">
        <v>264</v>
      </c>
      <c r="D63" s="225"/>
      <c r="E63" s="225"/>
      <c r="F63" s="225"/>
      <c r="G63" s="338" t="s">
        <v>269</v>
      </c>
      <c r="H63" s="101"/>
      <c r="I63" s="44"/>
      <c r="J63" s="44"/>
      <c r="K63" s="44"/>
      <c r="L63" s="44"/>
      <c r="M63" s="44"/>
      <c r="N63" s="44"/>
      <c r="O63" s="44"/>
      <c r="P63" s="41">
        <f t="shared" si="1"/>
        <v>0</v>
      </c>
    </row>
    <row r="64" spans="1:16" s="82" customFormat="1" ht="12.75" x14ac:dyDescent="0.2">
      <c r="A64" s="337" t="s">
        <v>79</v>
      </c>
      <c r="B64" s="225" t="s">
        <v>270</v>
      </c>
      <c r="C64" s="225"/>
      <c r="D64" s="225"/>
      <c r="E64" s="225"/>
      <c r="F64" s="225"/>
      <c r="G64" s="338" t="s">
        <v>271</v>
      </c>
      <c r="H64" s="101"/>
      <c r="I64" s="44"/>
      <c r="J64" s="44"/>
      <c r="K64" s="44"/>
      <c r="L64" s="44"/>
      <c r="M64" s="44"/>
      <c r="N64" s="44"/>
      <c r="O64" s="44"/>
      <c r="P64" s="41">
        <f t="shared" si="1"/>
        <v>0</v>
      </c>
    </row>
    <row r="65" spans="1:16" s="82" customFormat="1" ht="12.75" x14ac:dyDescent="0.2">
      <c r="A65" s="339"/>
      <c r="B65" s="225" t="s">
        <v>272</v>
      </c>
      <c r="C65" s="225"/>
      <c r="D65" s="225"/>
      <c r="E65" s="225"/>
      <c r="F65" s="225"/>
      <c r="G65" s="340"/>
      <c r="H65" s="101"/>
      <c r="I65" s="100"/>
      <c r="J65" s="84"/>
      <c r="K65" s="84"/>
      <c r="L65" s="100"/>
      <c r="M65" s="100"/>
      <c r="N65" s="100"/>
      <c r="O65" s="100"/>
      <c r="P65" s="41"/>
    </row>
    <row r="66" spans="1:16" s="82" customFormat="1" ht="12.75" x14ac:dyDescent="0.2">
      <c r="A66" s="337" t="s">
        <v>81</v>
      </c>
      <c r="B66" s="225" t="s">
        <v>273</v>
      </c>
      <c r="C66" s="225"/>
      <c r="D66" s="225"/>
      <c r="E66" s="225"/>
      <c r="F66" s="225"/>
      <c r="G66" s="338" t="s">
        <v>274</v>
      </c>
      <c r="H66" s="101"/>
      <c r="I66" s="41">
        <f>+'11A1'!O74</f>
        <v>0</v>
      </c>
      <c r="J66" s="41">
        <f>+'11A2'!U74</f>
        <v>0</v>
      </c>
      <c r="K66" s="41">
        <f>+'11A2'!V74</f>
        <v>0</v>
      </c>
      <c r="L66" s="41">
        <f>+'11A3'!U74</f>
        <v>0</v>
      </c>
      <c r="M66" s="41">
        <f>+'11A3'!V74</f>
        <v>0</v>
      </c>
      <c r="N66" s="41">
        <f>+'11A4'!U74</f>
        <v>0</v>
      </c>
      <c r="O66" s="41">
        <f>+'11A4'!V74</f>
        <v>0</v>
      </c>
      <c r="P66" s="41">
        <f t="shared" si="1"/>
        <v>0</v>
      </c>
    </row>
    <row r="67" spans="1:16" s="82" customFormat="1" ht="12.75" x14ac:dyDescent="0.2">
      <c r="A67" s="337"/>
      <c r="B67" s="225" t="s">
        <v>180</v>
      </c>
      <c r="C67" s="225" t="s">
        <v>275</v>
      </c>
      <c r="D67" s="225"/>
      <c r="E67" s="225"/>
      <c r="F67" s="225"/>
      <c r="G67" s="338" t="s">
        <v>276</v>
      </c>
      <c r="H67" s="101"/>
      <c r="I67" s="41">
        <f>+'11A1'!O75</f>
        <v>0</v>
      </c>
      <c r="J67" s="41">
        <f>+'11A2'!U75</f>
        <v>0</v>
      </c>
      <c r="K67" s="41">
        <f>+'11A2'!V75</f>
        <v>0</v>
      </c>
      <c r="L67" s="41">
        <f>+'11A3'!U75</f>
        <v>0</v>
      </c>
      <c r="M67" s="41">
        <f>+'11A3'!V75</f>
        <v>0</v>
      </c>
      <c r="N67" s="41">
        <f>+'11A4'!U75</f>
        <v>0</v>
      </c>
      <c r="O67" s="41">
        <f>+'11A4'!V75</f>
        <v>0</v>
      </c>
      <c r="P67" s="41">
        <f t="shared" si="1"/>
        <v>0</v>
      </c>
    </row>
    <row r="68" spans="1:16" s="82" customFormat="1" ht="12.75" x14ac:dyDescent="0.2">
      <c r="A68" s="337"/>
      <c r="B68" s="225" t="s">
        <v>183</v>
      </c>
      <c r="C68" s="225" t="s">
        <v>277</v>
      </c>
      <c r="D68" s="225"/>
      <c r="E68" s="225"/>
      <c r="F68" s="225"/>
      <c r="G68" s="338" t="s">
        <v>278</v>
      </c>
      <c r="H68" s="101"/>
      <c r="I68" s="41">
        <f>+'11A1'!O76</f>
        <v>0</v>
      </c>
      <c r="J68" s="41">
        <f>+'11A2'!U76</f>
        <v>0</v>
      </c>
      <c r="K68" s="41">
        <f>+'11A2'!V76</f>
        <v>0</v>
      </c>
      <c r="L68" s="43"/>
      <c r="M68" s="43"/>
      <c r="N68" s="41">
        <f>+'11A4'!U76</f>
        <v>0</v>
      </c>
      <c r="O68" s="41">
        <f>+'11A4'!V76</f>
        <v>0</v>
      </c>
      <c r="P68" s="41">
        <f t="shared" si="1"/>
        <v>0</v>
      </c>
    </row>
    <row r="69" spans="1:16" s="82" customFormat="1" ht="12.75" x14ac:dyDescent="0.2">
      <c r="A69" s="337"/>
      <c r="B69" s="225" t="s">
        <v>193</v>
      </c>
      <c r="C69" s="225" t="s">
        <v>279</v>
      </c>
      <c r="D69" s="225"/>
      <c r="E69" s="225"/>
      <c r="F69" s="225"/>
      <c r="G69" s="338" t="s">
        <v>280</v>
      </c>
      <c r="H69" s="101"/>
      <c r="I69" s="41">
        <f>+'11A1'!O77</f>
        <v>0</v>
      </c>
      <c r="J69" s="41">
        <f>+'11A2'!U77</f>
        <v>0</v>
      </c>
      <c r="K69" s="41">
        <f>+'11A2'!V77</f>
        <v>0</v>
      </c>
      <c r="L69" s="41">
        <f>+'11A3'!U77</f>
        <v>0</v>
      </c>
      <c r="M69" s="41">
        <f>+'11A3'!V77</f>
        <v>0</v>
      </c>
      <c r="N69" s="41">
        <f>+'11A4'!U77</f>
        <v>0</v>
      </c>
      <c r="O69" s="41">
        <f>+'11A4'!V77</f>
        <v>0</v>
      </c>
      <c r="P69" s="41">
        <f>+I69+K69+M69+O69</f>
        <v>0</v>
      </c>
    </row>
    <row r="70" spans="1:16" s="82" customFormat="1" ht="12.75" x14ac:dyDescent="0.2">
      <c r="A70" s="337" t="s">
        <v>84</v>
      </c>
      <c r="B70" s="225" t="s">
        <v>281</v>
      </c>
      <c r="C70" s="225"/>
      <c r="D70" s="225"/>
      <c r="E70" s="225"/>
      <c r="F70" s="225"/>
      <c r="G70" s="338" t="s">
        <v>282</v>
      </c>
      <c r="H70" s="101"/>
      <c r="I70" s="41">
        <f>+'11A1'!O78</f>
        <v>0</v>
      </c>
      <c r="J70" s="41">
        <f>+'11A2'!U78</f>
        <v>0</v>
      </c>
      <c r="K70" s="41">
        <f>+'11A2'!V78</f>
        <v>0</v>
      </c>
      <c r="L70" s="43"/>
      <c r="M70" s="43"/>
      <c r="N70" s="41">
        <f>+'11A4'!U78</f>
        <v>0</v>
      </c>
      <c r="O70" s="41">
        <f>+'11A4'!V78</f>
        <v>0</v>
      </c>
      <c r="P70" s="41">
        <f t="shared" si="1"/>
        <v>0</v>
      </c>
    </row>
    <row r="71" spans="1:16" s="82" customFormat="1" ht="12.75" x14ac:dyDescent="0.2">
      <c r="A71" s="337"/>
      <c r="B71" s="225" t="s">
        <v>180</v>
      </c>
      <c r="C71" s="225" t="s">
        <v>283</v>
      </c>
      <c r="D71" s="225"/>
      <c r="E71" s="225"/>
      <c r="F71" s="225"/>
      <c r="G71" s="338" t="s">
        <v>284</v>
      </c>
      <c r="H71" s="101"/>
      <c r="I71" s="41">
        <f>+'11A1'!O79</f>
        <v>0</v>
      </c>
      <c r="J71" s="41">
        <f>+'11A2'!U79</f>
        <v>0</v>
      </c>
      <c r="K71" s="41">
        <f>+'11A2'!V79</f>
        <v>0</v>
      </c>
      <c r="L71" s="43"/>
      <c r="M71" s="43"/>
      <c r="N71" s="41">
        <f>+'11A4'!U79</f>
        <v>0</v>
      </c>
      <c r="O71" s="41">
        <f>+'11A4'!V79</f>
        <v>0</v>
      </c>
      <c r="P71" s="41">
        <f t="shared" si="1"/>
        <v>0</v>
      </c>
    </row>
    <row r="72" spans="1:16" s="82" customFormat="1" ht="12.75" x14ac:dyDescent="0.2">
      <c r="A72" s="337"/>
      <c r="B72" s="225" t="s">
        <v>183</v>
      </c>
      <c r="C72" s="225" t="s">
        <v>285</v>
      </c>
      <c r="D72" s="225"/>
      <c r="E72" s="225"/>
      <c r="F72" s="225"/>
      <c r="G72" s="338" t="s">
        <v>286</v>
      </c>
      <c r="H72" s="101"/>
      <c r="I72" s="41">
        <f>+'11A1'!O80</f>
        <v>0</v>
      </c>
      <c r="J72" s="41">
        <f>+'11A2'!U80</f>
        <v>0</v>
      </c>
      <c r="K72" s="41">
        <f>+'11A2'!V80</f>
        <v>0</v>
      </c>
      <c r="L72" s="43"/>
      <c r="M72" s="43"/>
      <c r="N72" s="41">
        <f>+'11A4'!U80</f>
        <v>0</v>
      </c>
      <c r="O72" s="41">
        <f>+'11A4'!V80</f>
        <v>0</v>
      </c>
      <c r="P72" s="41">
        <f t="shared" si="1"/>
        <v>0</v>
      </c>
    </row>
    <row r="73" spans="1:16" s="82" customFormat="1" ht="12.75" customHeight="1" x14ac:dyDescent="0.2">
      <c r="A73" s="337" t="s">
        <v>287</v>
      </c>
      <c r="B73" s="661" t="s">
        <v>288</v>
      </c>
      <c r="C73" s="661"/>
      <c r="D73" s="661"/>
      <c r="E73" s="661"/>
      <c r="F73" s="661"/>
      <c r="G73" s="338" t="s">
        <v>289</v>
      </c>
      <c r="H73" s="101"/>
      <c r="I73" s="41">
        <f>+'11A1'!O81</f>
        <v>0</v>
      </c>
      <c r="J73" s="41">
        <f>+'11A2'!U81</f>
        <v>0</v>
      </c>
      <c r="K73" s="41">
        <f>+'11A2'!V81</f>
        <v>0</v>
      </c>
      <c r="L73" s="41">
        <f>+'11A3'!U81</f>
        <v>0</v>
      </c>
      <c r="M73" s="41">
        <f>+'11A3'!V81</f>
        <v>0</v>
      </c>
      <c r="N73" s="41">
        <f>+'11A4'!U81</f>
        <v>0</v>
      </c>
      <c r="O73" s="41">
        <f>+'11A4'!V81</f>
        <v>0</v>
      </c>
      <c r="P73" s="41">
        <f t="shared" si="1"/>
        <v>0</v>
      </c>
    </row>
    <row r="74" spans="1:16" s="82" customFormat="1" ht="12.75" customHeight="1" x14ac:dyDescent="0.2">
      <c r="A74" s="339" t="s">
        <v>686</v>
      </c>
      <c r="B74" s="327"/>
      <c r="C74" s="327"/>
      <c r="D74" s="327"/>
      <c r="E74" s="327"/>
      <c r="F74" s="327"/>
      <c r="G74" s="338"/>
      <c r="H74" s="101"/>
      <c r="I74" s="41"/>
      <c r="J74" s="41"/>
      <c r="K74" s="41"/>
      <c r="L74" s="41"/>
      <c r="M74" s="41"/>
      <c r="N74" s="41"/>
      <c r="O74" s="41"/>
      <c r="P74" s="41"/>
    </row>
    <row r="75" spans="1:16" s="82" customFormat="1" ht="12.75" x14ac:dyDescent="0.2">
      <c r="A75" s="337" t="s">
        <v>290</v>
      </c>
      <c r="B75" s="225" t="s">
        <v>687</v>
      </c>
      <c r="C75" s="341"/>
      <c r="D75" s="225"/>
      <c r="E75" s="225"/>
      <c r="F75" s="225"/>
      <c r="G75" s="338" t="s">
        <v>291</v>
      </c>
      <c r="H75" s="101"/>
      <c r="I75" s="41">
        <f t="shared" ref="I75:O75" si="4">I76+I77+I78</f>
        <v>0</v>
      </c>
      <c r="J75" s="41">
        <f t="shared" si="4"/>
        <v>0</v>
      </c>
      <c r="K75" s="41">
        <f t="shared" si="4"/>
        <v>0</v>
      </c>
      <c r="L75" s="41">
        <f t="shared" si="4"/>
        <v>0</v>
      </c>
      <c r="M75" s="41">
        <f t="shared" si="4"/>
        <v>0</v>
      </c>
      <c r="N75" s="41">
        <f t="shared" si="4"/>
        <v>0</v>
      </c>
      <c r="O75" s="41">
        <f t="shared" si="4"/>
        <v>0</v>
      </c>
      <c r="P75" s="41">
        <f t="shared" si="1"/>
        <v>0</v>
      </c>
    </row>
    <row r="76" spans="1:16" s="82" customFormat="1" ht="12.75" x14ac:dyDescent="0.2">
      <c r="A76" s="339"/>
      <c r="B76" s="225" t="s">
        <v>180</v>
      </c>
      <c r="C76" s="341" t="s">
        <v>181</v>
      </c>
      <c r="D76" s="225"/>
      <c r="E76" s="225"/>
      <c r="F76" s="225"/>
      <c r="G76" s="338" t="s">
        <v>292</v>
      </c>
      <c r="H76" s="101"/>
      <c r="I76" s="44"/>
      <c r="J76" s="44"/>
      <c r="K76" s="44"/>
      <c r="L76" s="44"/>
      <c r="M76" s="44"/>
      <c r="N76" s="44"/>
      <c r="O76" s="44"/>
      <c r="P76" s="41">
        <f t="shared" si="1"/>
        <v>0</v>
      </c>
    </row>
    <row r="77" spans="1:16" s="82" customFormat="1" ht="12.75" x14ac:dyDescent="0.2">
      <c r="A77" s="339"/>
      <c r="B77" s="225" t="s">
        <v>183</v>
      </c>
      <c r="C77" s="225" t="s">
        <v>191</v>
      </c>
      <c r="D77" s="225"/>
      <c r="E77" s="225"/>
      <c r="F77" s="225"/>
      <c r="G77" s="338" t="s">
        <v>293</v>
      </c>
      <c r="H77" s="101"/>
      <c r="I77" s="44"/>
      <c r="J77" s="44"/>
      <c r="K77" s="44"/>
      <c r="L77" s="44"/>
      <c r="M77" s="44"/>
      <c r="N77" s="44"/>
      <c r="O77" s="44"/>
      <c r="P77" s="41">
        <f t="shared" si="1"/>
        <v>0</v>
      </c>
    </row>
    <row r="78" spans="1:16" s="82" customFormat="1" ht="12.75" x14ac:dyDescent="0.2">
      <c r="A78" s="339"/>
      <c r="B78" s="225" t="s">
        <v>193</v>
      </c>
      <c r="C78" s="225" t="s">
        <v>194</v>
      </c>
      <c r="D78" s="225"/>
      <c r="E78" s="225"/>
      <c r="F78" s="225"/>
      <c r="G78" s="338" t="s">
        <v>294</v>
      </c>
      <c r="H78" s="101"/>
      <c r="I78" s="44"/>
      <c r="J78" s="44"/>
      <c r="K78" s="44"/>
      <c r="L78" s="44"/>
      <c r="M78" s="44"/>
      <c r="N78" s="44"/>
      <c r="O78" s="44"/>
      <c r="P78" s="41">
        <f t="shared" si="1"/>
        <v>0</v>
      </c>
    </row>
    <row r="79" spans="1:16" s="82" customFormat="1" ht="12.75" customHeight="1" x14ac:dyDescent="0.2">
      <c r="A79" s="337" t="s">
        <v>295</v>
      </c>
      <c r="B79" s="661" t="s">
        <v>688</v>
      </c>
      <c r="C79" s="661"/>
      <c r="D79" s="661"/>
      <c r="E79" s="661"/>
      <c r="F79" s="661"/>
      <c r="G79" s="338" t="s">
        <v>296</v>
      </c>
      <c r="H79" s="101"/>
      <c r="I79" s="41">
        <f t="shared" ref="I79:O79" si="5">I80+I81</f>
        <v>0</v>
      </c>
      <c r="J79" s="41">
        <f t="shared" si="5"/>
        <v>0</v>
      </c>
      <c r="K79" s="41">
        <f t="shared" si="5"/>
        <v>0</v>
      </c>
      <c r="L79" s="41">
        <f t="shared" si="5"/>
        <v>0</v>
      </c>
      <c r="M79" s="41">
        <f t="shared" si="5"/>
        <v>0</v>
      </c>
      <c r="N79" s="41">
        <f t="shared" si="5"/>
        <v>0</v>
      </c>
      <c r="O79" s="41">
        <f t="shared" si="5"/>
        <v>0</v>
      </c>
      <c r="P79" s="41">
        <f t="shared" si="1"/>
        <v>0</v>
      </c>
    </row>
    <row r="80" spans="1:16" s="82" customFormat="1" ht="12.75" x14ac:dyDescent="0.2">
      <c r="A80" s="339"/>
      <c r="B80" s="225" t="s">
        <v>180</v>
      </c>
      <c r="C80" s="225" t="s">
        <v>198</v>
      </c>
      <c r="D80" s="225"/>
      <c r="E80" s="225"/>
      <c r="F80" s="225"/>
      <c r="G80" s="338" t="s">
        <v>297</v>
      </c>
      <c r="H80" s="101"/>
      <c r="I80" s="44"/>
      <c r="J80" s="44"/>
      <c r="K80" s="44"/>
      <c r="L80" s="44"/>
      <c r="M80" s="44"/>
      <c r="N80" s="44"/>
      <c r="O80" s="44"/>
      <c r="P80" s="41">
        <f t="shared" si="1"/>
        <v>0</v>
      </c>
    </row>
    <row r="81" spans="1:16" s="82" customFormat="1" ht="12.75" x14ac:dyDescent="0.2">
      <c r="A81" s="339"/>
      <c r="B81" s="225" t="s">
        <v>183</v>
      </c>
      <c r="C81" s="225" t="s">
        <v>200</v>
      </c>
      <c r="D81" s="225"/>
      <c r="E81" s="225"/>
      <c r="F81" s="225"/>
      <c r="G81" s="338" t="s">
        <v>298</v>
      </c>
      <c r="H81" s="101"/>
      <c r="I81" s="41">
        <f t="shared" ref="I81:O81" si="6">I82+I84+I85+I86+I87+I88</f>
        <v>0</v>
      </c>
      <c r="J81" s="41">
        <f t="shared" si="6"/>
        <v>0</v>
      </c>
      <c r="K81" s="41">
        <f t="shared" si="6"/>
        <v>0</v>
      </c>
      <c r="L81" s="41">
        <f t="shared" si="6"/>
        <v>0</v>
      </c>
      <c r="M81" s="41">
        <f t="shared" si="6"/>
        <v>0</v>
      </c>
      <c r="N81" s="41">
        <f t="shared" si="6"/>
        <v>0</v>
      </c>
      <c r="O81" s="41">
        <f t="shared" si="6"/>
        <v>0</v>
      </c>
      <c r="P81" s="41">
        <f t="shared" si="1"/>
        <v>0</v>
      </c>
    </row>
    <row r="82" spans="1:16" s="82" customFormat="1" ht="12.75" x14ac:dyDescent="0.2">
      <c r="A82" s="339"/>
      <c r="B82" s="225"/>
      <c r="C82" s="310" t="s">
        <v>161</v>
      </c>
      <c r="D82" s="225" t="s">
        <v>202</v>
      </c>
      <c r="E82" s="225"/>
      <c r="F82" s="225"/>
      <c r="G82" s="338" t="s">
        <v>299</v>
      </c>
      <c r="H82" s="101"/>
      <c r="I82" s="44"/>
      <c r="J82" s="44"/>
      <c r="K82" s="44"/>
      <c r="L82" s="44"/>
      <c r="M82" s="44"/>
      <c r="N82" s="44"/>
      <c r="O82" s="44"/>
      <c r="P82" s="41">
        <f t="shared" si="1"/>
        <v>0</v>
      </c>
    </row>
    <row r="83" spans="1:16" s="82" customFormat="1" ht="12.75" x14ac:dyDescent="0.2">
      <c r="A83" s="339"/>
      <c r="B83" s="225"/>
      <c r="C83" s="225"/>
      <c r="D83" s="225" t="s">
        <v>204</v>
      </c>
      <c r="E83" s="225"/>
      <c r="F83" s="225"/>
      <c r="G83" s="338" t="s">
        <v>300</v>
      </c>
      <c r="H83" s="101"/>
      <c r="I83" s="44"/>
      <c r="J83" s="44"/>
      <c r="K83" s="44"/>
      <c r="L83" s="44"/>
      <c r="M83" s="44"/>
      <c r="N83" s="44"/>
      <c r="O83" s="44"/>
      <c r="P83" s="41">
        <f t="shared" si="1"/>
        <v>0</v>
      </c>
    </row>
    <row r="84" spans="1:16" s="82" customFormat="1" ht="12.75" x14ac:dyDescent="0.2">
      <c r="A84" s="339"/>
      <c r="B84" s="225"/>
      <c r="C84" s="310" t="s">
        <v>164</v>
      </c>
      <c r="D84" s="225" t="s">
        <v>689</v>
      </c>
      <c r="E84" s="225"/>
      <c r="F84" s="225"/>
      <c r="G84" s="338" t="s">
        <v>301</v>
      </c>
      <c r="H84" s="101"/>
      <c r="I84" s="44"/>
      <c r="J84" s="44"/>
      <c r="K84" s="44"/>
      <c r="L84" s="44"/>
      <c r="M84" s="44"/>
      <c r="N84" s="44"/>
      <c r="O84" s="44"/>
      <c r="P84" s="41">
        <f t="shared" si="1"/>
        <v>0</v>
      </c>
    </row>
    <row r="85" spans="1:16" s="82" customFormat="1" ht="12.75" x14ac:dyDescent="0.2">
      <c r="A85" s="339"/>
      <c r="B85" s="225"/>
      <c r="C85" s="310" t="s">
        <v>207</v>
      </c>
      <c r="D85" s="225" t="s">
        <v>690</v>
      </c>
      <c r="E85" s="225"/>
      <c r="F85" s="225"/>
      <c r="G85" s="338" t="s">
        <v>302</v>
      </c>
      <c r="H85" s="101"/>
      <c r="I85" s="44"/>
      <c r="J85" s="44"/>
      <c r="K85" s="44"/>
      <c r="L85" s="44"/>
      <c r="M85" s="44"/>
      <c r="N85" s="44"/>
      <c r="O85" s="44"/>
      <c r="P85" s="41">
        <f t="shared" si="1"/>
        <v>0</v>
      </c>
    </row>
    <row r="86" spans="1:16" s="82" customFormat="1" ht="12.75" x14ac:dyDescent="0.2">
      <c r="A86" s="339"/>
      <c r="B86" s="225"/>
      <c r="C86" s="310" t="s">
        <v>209</v>
      </c>
      <c r="D86" s="225" t="s">
        <v>210</v>
      </c>
      <c r="E86" s="225"/>
      <c r="F86" s="225"/>
      <c r="G86" s="338" t="s">
        <v>303</v>
      </c>
      <c r="H86" s="101"/>
      <c r="I86" s="44"/>
      <c r="J86" s="44"/>
      <c r="K86" s="44"/>
      <c r="L86" s="44"/>
      <c r="M86" s="44"/>
      <c r="N86" s="44"/>
      <c r="O86" s="44"/>
      <c r="P86" s="41">
        <f t="shared" si="1"/>
        <v>0</v>
      </c>
    </row>
    <row r="87" spans="1:16" s="82" customFormat="1" ht="12.75" x14ac:dyDescent="0.2">
      <c r="A87" s="339"/>
      <c r="B87" s="225"/>
      <c r="C87" s="310" t="s">
        <v>465</v>
      </c>
      <c r="D87" s="225" t="s">
        <v>691</v>
      </c>
      <c r="E87" s="225"/>
      <c r="F87" s="225"/>
      <c r="G87" s="338" t="s">
        <v>701</v>
      </c>
      <c r="H87" s="101"/>
      <c r="I87" s="44"/>
      <c r="J87" s="44"/>
      <c r="K87" s="44"/>
      <c r="L87" s="44"/>
      <c r="M87" s="44"/>
      <c r="N87" s="44"/>
      <c r="O87" s="44"/>
      <c r="P87" s="41">
        <f t="shared" si="1"/>
        <v>0</v>
      </c>
    </row>
    <row r="88" spans="1:16" s="82" customFormat="1" ht="12.75" x14ac:dyDescent="0.2">
      <c r="A88" s="339"/>
      <c r="B88" s="225"/>
      <c r="C88" s="310" t="s">
        <v>467</v>
      </c>
      <c r="D88" s="225" t="s">
        <v>692</v>
      </c>
      <c r="E88" s="225"/>
      <c r="F88" s="225"/>
      <c r="G88" s="338" t="s">
        <v>702</v>
      </c>
      <c r="H88" s="101"/>
      <c r="I88" s="44"/>
      <c r="J88" s="44"/>
      <c r="K88" s="44"/>
      <c r="L88" s="44"/>
      <c r="M88" s="44"/>
      <c r="N88" s="44"/>
      <c r="O88" s="44"/>
      <c r="P88" s="41">
        <f t="shared" si="1"/>
        <v>0</v>
      </c>
    </row>
    <row r="89" spans="1:16" s="82" customFormat="1" ht="39.75" customHeight="1" x14ac:dyDescent="0.2">
      <c r="A89" s="655" t="s">
        <v>696</v>
      </c>
      <c r="B89" s="656"/>
      <c r="C89" s="656"/>
      <c r="D89" s="656"/>
      <c r="E89" s="656"/>
      <c r="F89" s="657"/>
      <c r="G89" s="342"/>
      <c r="H89" s="101"/>
      <c r="I89" s="102"/>
      <c r="J89" s="102"/>
      <c r="K89" s="102"/>
      <c r="L89" s="44"/>
      <c r="M89" s="44"/>
      <c r="N89" s="44"/>
      <c r="O89" s="44"/>
      <c r="P89" s="41"/>
    </row>
    <row r="90" spans="1:16" s="82" customFormat="1" ht="26.25" customHeight="1" x14ac:dyDescent="0.2">
      <c r="A90" s="337" t="s">
        <v>54</v>
      </c>
      <c r="B90" s="652" t="s">
        <v>697</v>
      </c>
      <c r="C90" s="653"/>
      <c r="D90" s="653"/>
      <c r="E90" s="653"/>
      <c r="F90" s="654"/>
      <c r="G90" s="338" t="s">
        <v>703</v>
      </c>
      <c r="H90" s="101"/>
      <c r="I90" s="102"/>
      <c r="J90" s="102"/>
      <c r="K90" s="102"/>
      <c r="L90" s="44"/>
      <c r="M90" s="44"/>
      <c r="N90" s="44"/>
      <c r="O90" s="44"/>
      <c r="P90" s="41">
        <f t="shared" si="1"/>
        <v>0</v>
      </c>
    </row>
    <row r="91" spans="1:16" s="82" customFormat="1" ht="59.25" customHeight="1" x14ac:dyDescent="0.2">
      <c r="A91" s="337" t="s">
        <v>55</v>
      </c>
      <c r="B91" s="652" t="s">
        <v>698</v>
      </c>
      <c r="C91" s="653"/>
      <c r="D91" s="653"/>
      <c r="E91" s="653"/>
      <c r="F91" s="654"/>
      <c r="G91" s="338" t="s">
        <v>704</v>
      </c>
      <c r="H91" s="101"/>
      <c r="I91" s="102"/>
      <c r="J91" s="102"/>
      <c r="K91" s="102"/>
      <c r="L91" s="44"/>
      <c r="M91" s="44"/>
      <c r="N91" s="44"/>
      <c r="O91" s="44"/>
      <c r="P91" s="41">
        <f t="shared" si="1"/>
        <v>0</v>
      </c>
    </row>
    <row r="92" spans="1:16" s="82" customFormat="1" ht="47.25" customHeight="1" x14ac:dyDescent="0.2">
      <c r="A92" s="337" t="s">
        <v>65</v>
      </c>
      <c r="B92" s="652" t="s">
        <v>699</v>
      </c>
      <c r="C92" s="653"/>
      <c r="D92" s="653"/>
      <c r="E92" s="653"/>
      <c r="F92" s="654"/>
      <c r="G92" s="338" t="s">
        <v>705</v>
      </c>
      <c r="H92" s="101"/>
      <c r="I92" s="102"/>
      <c r="J92" s="102"/>
      <c r="K92" s="102"/>
      <c r="L92" s="44"/>
      <c r="M92" s="44"/>
      <c r="N92" s="44"/>
      <c r="O92" s="44"/>
      <c r="P92" s="41">
        <f t="shared" si="1"/>
        <v>0</v>
      </c>
    </row>
    <row r="93" spans="1:16" s="82" customFormat="1" ht="47.25" customHeight="1" x14ac:dyDescent="0.2">
      <c r="A93" s="337" t="s">
        <v>90</v>
      </c>
      <c r="B93" s="652" t="s">
        <v>700</v>
      </c>
      <c r="C93" s="653"/>
      <c r="D93" s="653"/>
      <c r="E93" s="653"/>
      <c r="F93" s="654"/>
      <c r="G93" s="338" t="s">
        <v>706</v>
      </c>
      <c r="H93" s="101"/>
      <c r="I93" s="102"/>
      <c r="J93" s="102"/>
      <c r="K93" s="102"/>
      <c r="L93" s="44"/>
      <c r="M93" s="44"/>
      <c r="N93" s="44"/>
      <c r="O93" s="44"/>
      <c r="P93" s="41">
        <f t="shared" si="1"/>
        <v>0</v>
      </c>
    </row>
    <row r="94" spans="1:16" x14ac:dyDescent="0.2">
      <c r="A94" s="343"/>
      <c r="B94" s="344"/>
      <c r="C94" s="344"/>
      <c r="D94" s="344"/>
      <c r="E94" s="344"/>
      <c r="F94" s="344"/>
      <c r="G94" s="345" t="s">
        <v>108</v>
      </c>
    </row>
    <row r="95" spans="1:16" x14ac:dyDescent="0.2">
      <c r="B95" s="92" t="s">
        <v>547</v>
      </c>
    </row>
    <row r="132" spans="6:6" x14ac:dyDescent="0.2">
      <c r="F132" s="89"/>
    </row>
    <row r="133" spans="6:6" x14ac:dyDescent="0.2">
      <c r="F133" s="89"/>
    </row>
    <row r="134" spans="6:6" x14ac:dyDescent="0.2">
      <c r="F134" s="89"/>
    </row>
    <row r="135" spans="6:6" x14ac:dyDescent="0.2">
      <c r="F135" s="89"/>
    </row>
  </sheetData>
  <sheetProtection password="A6D8" sheet="1" objects="1" scenarios="1" selectLockedCells="1"/>
  <mergeCells count="20">
    <mergeCell ref="G8:G9"/>
    <mergeCell ref="N8:O8"/>
    <mergeCell ref="A1:P1"/>
    <mergeCell ref="B73:F73"/>
    <mergeCell ref="A2:P2"/>
    <mergeCell ref="P8:P9"/>
    <mergeCell ref="L8:M8"/>
    <mergeCell ref="J8:K8"/>
    <mergeCell ref="I8:I9"/>
    <mergeCell ref="A8:F9"/>
    <mergeCell ref="B90:F90"/>
    <mergeCell ref="B91:F91"/>
    <mergeCell ref="B92:F92"/>
    <mergeCell ref="B93:F93"/>
    <mergeCell ref="A89:F89"/>
    <mergeCell ref="C22:F22"/>
    <mergeCell ref="C23:F23"/>
    <mergeCell ref="B79:F79"/>
    <mergeCell ref="B31:F31"/>
    <mergeCell ref="C34:F34"/>
  </mergeCells>
  <phoneticPr fontId="2" type="noConversion"/>
  <dataValidations count="5">
    <dataValidation type="decimal" operator="lessThanOrEqual" allowBlank="1" showInputMessage="1" showErrorMessage="1" error="Invalid data is entered!" sqref="I83:O83">
      <formula1>I82</formula1>
    </dataValidation>
    <dataValidation type="decimal" operator="greaterThanOrEqual" allowBlank="1" showInputMessage="1" showErrorMessage="1" error="Invalid data is entered!" sqref="I82:O82">
      <formula1>I83</formula1>
    </dataValidation>
    <dataValidation type="decimal" allowBlank="1" showInputMessage="1" showErrorMessage="1" error="Invalid data is entered!" sqref="L59:O60 I84:O93 L51:O57">
      <formula1>0</formula1>
      <formula2>99999999999999900</formula2>
    </dataValidation>
    <dataValidation type="decimal" allowBlank="1" showInputMessage="1" showErrorMessage="1" error="Invalid Data is entered!" sqref="I50:I57 L62:O65 J51:K51 J53:K53 J55:K55 J57:K57 J59:K60 J62:K64">
      <formula1>0</formula1>
      <formula2>99999999999999900</formula2>
    </dataValidation>
    <dataValidation type="decimal" allowBlank="1" showInputMessage="1" showErrorMessage="1" error="invalid data is entered!" sqref="I80:O80 I59:I60 I62:I65 I76:O7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11&amp;8&amp;U
&amp;P of &amp;N&amp;C&amp;"Arial,Bold"&amp;8 NEW RURAL BANK OF SAN LEONARDO, INC  [ 04-040656 ]
 As of: September 30, 2017</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833"/>
  <sheetViews>
    <sheetView zoomScaleNormal="100" zoomScaleSheetLayoutView="100" workbookViewId="0">
      <pane xSplit="8" ySplit="9" topLeftCell="I10" activePane="bottomRight" state="frozen"/>
      <selection pane="topRight" activeCell="I1" sqref="I1"/>
      <selection pane="bottomLeft" activeCell="A10" sqref="A10"/>
      <selection pane="bottomRight" sqref="A1:O1"/>
    </sheetView>
  </sheetViews>
  <sheetFormatPr defaultColWidth="20.7109375" defaultRowHeight="11.25" x14ac:dyDescent="0.2"/>
  <cols>
    <col min="1" max="1" width="4" style="5" customWidth="1"/>
    <col min="2" max="2" width="2.85546875" style="5" customWidth="1"/>
    <col min="3" max="3" width="4.28515625" style="5" customWidth="1"/>
    <col min="4" max="5" width="2.5703125" style="5" customWidth="1"/>
    <col min="6" max="6" width="33.140625" style="5" customWidth="1"/>
    <col min="7" max="7" width="17.42578125" style="18" bestFit="1" customWidth="1"/>
    <col min="8" max="8" width="24.28515625" style="18" hidden="1" customWidth="1"/>
    <col min="9" max="15" width="25.7109375" style="48"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20.7109375" style="5"/>
  </cols>
  <sheetData>
    <row r="1" spans="1:26" s="243" customFormat="1" ht="14.25" x14ac:dyDescent="0.2">
      <c r="A1" s="669" t="s">
        <v>498</v>
      </c>
      <c r="B1" s="669"/>
      <c r="C1" s="669"/>
      <c r="D1" s="669"/>
      <c r="E1" s="669"/>
      <c r="F1" s="669"/>
      <c r="G1" s="669"/>
      <c r="H1" s="669"/>
      <c r="I1" s="669"/>
      <c r="J1" s="669"/>
      <c r="K1" s="669"/>
      <c r="L1" s="669"/>
      <c r="M1" s="669"/>
      <c r="N1" s="669"/>
      <c r="O1" s="669"/>
      <c r="P1" s="242"/>
      <c r="Q1" s="242"/>
      <c r="R1" s="242"/>
      <c r="S1" s="242"/>
      <c r="T1" s="242"/>
      <c r="U1" s="242"/>
      <c r="V1" s="242"/>
      <c r="W1" s="242"/>
      <c r="X1" s="242"/>
    </row>
    <row r="2" spans="1:26" s="243" customFormat="1" ht="12.75" x14ac:dyDescent="0.2">
      <c r="A2" s="669" t="s">
        <v>92</v>
      </c>
      <c r="B2" s="669"/>
      <c r="C2" s="669"/>
      <c r="D2" s="669"/>
      <c r="E2" s="669"/>
      <c r="F2" s="669"/>
      <c r="G2" s="669"/>
      <c r="H2" s="669"/>
      <c r="I2" s="669"/>
      <c r="J2" s="669"/>
      <c r="K2" s="669"/>
      <c r="L2" s="669"/>
      <c r="M2" s="669"/>
      <c r="N2" s="669"/>
      <c r="O2" s="669"/>
      <c r="P2" s="242"/>
      <c r="Q2" s="242"/>
      <c r="R2" s="242"/>
      <c r="S2" s="242"/>
      <c r="T2" s="242"/>
      <c r="U2" s="242"/>
      <c r="V2" s="242"/>
      <c r="W2" s="242"/>
      <c r="X2" s="242"/>
    </row>
    <row r="3" spans="1:26" s="243" customFormat="1" ht="12.75" x14ac:dyDescent="0.2">
      <c r="A3" s="669" t="s">
        <v>93</v>
      </c>
      <c r="B3" s="669"/>
      <c r="C3" s="669"/>
      <c r="D3" s="669"/>
      <c r="E3" s="669"/>
      <c r="F3" s="669"/>
      <c r="G3" s="669"/>
      <c r="H3" s="669"/>
      <c r="I3" s="669"/>
      <c r="J3" s="669"/>
      <c r="K3" s="669"/>
      <c r="L3" s="669"/>
      <c r="M3" s="669"/>
      <c r="N3" s="669"/>
      <c r="O3" s="669"/>
      <c r="P3" s="242"/>
      <c r="Q3" s="242"/>
      <c r="R3" s="242"/>
      <c r="S3" s="242"/>
      <c r="T3" s="242"/>
      <c r="U3" s="242"/>
      <c r="V3" s="242"/>
      <c r="W3" s="242"/>
      <c r="X3" s="242"/>
    </row>
    <row r="4" spans="1:26" x14ac:dyDescent="0.2">
      <c r="A4" s="6"/>
      <c r="B4" s="6"/>
      <c r="C4" s="6"/>
      <c r="D4" s="6"/>
      <c r="E4" s="6"/>
      <c r="F4" s="6"/>
      <c r="G4" s="6"/>
      <c r="H4" s="6"/>
      <c r="I4" s="47"/>
      <c r="J4" s="47"/>
      <c r="K4" s="47"/>
      <c r="L4" s="47"/>
      <c r="M4" s="47"/>
      <c r="N4" s="47"/>
      <c r="O4" s="47"/>
      <c r="P4" s="4"/>
      <c r="Q4" s="4"/>
      <c r="R4" s="4"/>
      <c r="S4" s="4"/>
      <c r="T4" s="4"/>
      <c r="U4" s="4"/>
      <c r="V4" s="4"/>
      <c r="W4" s="4"/>
      <c r="X4" s="4"/>
    </row>
    <row r="5" spans="1:26" ht="11.25" customHeight="1" x14ac:dyDescent="0.2">
      <c r="A5" s="672" t="s">
        <v>45</v>
      </c>
      <c r="B5" s="672"/>
      <c r="C5" s="672"/>
      <c r="D5" s="672"/>
      <c r="E5" s="672"/>
      <c r="F5" s="672"/>
      <c r="G5" s="673" t="s">
        <v>46</v>
      </c>
      <c r="H5" s="60"/>
      <c r="I5" s="40" t="s">
        <v>94</v>
      </c>
      <c r="J5" s="40" t="s">
        <v>95</v>
      </c>
      <c r="K5" s="40" t="s">
        <v>96</v>
      </c>
      <c r="L5" s="40" t="s">
        <v>97</v>
      </c>
      <c r="M5" s="40" t="s">
        <v>98</v>
      </c>
      <c r="N5" s="40" t="s">
        <v>99</v>
      </c>
      <c r="O5" s="40" t="s">
        <v>100</v>
      </c>
      <c r="P5" s="7"/>
      <c r="Q5" s="7"/>
      <c r="R5" s="7"/>
      <c r="S5" s="7"/>
      <c r="T5" s="7"/>
      <c r="U5" s="8"/>
      <c r="V5" s="8"/>
      <c r="W5" s="8"/>
      <c r="X5" s="8"/>
      <c r="Y5" s="9"/>
      <c r="Z5" s="9"/>
    </row>
    <row r="6" spans="1:26" ht="11.25" customHeight="1" x14ac:dyDescent="0.2">
      <c r="A6" s="672"/>
      <c r="B6" s="672"/>
      <c r="C6" s="672"/>
      <c r="D6" s="672"/>
      <c r="E6" s="672"/>
      <c r="F6" s="672"/>
      <c r="G6" s="673"/>
      <c r="H6" s="60"/>
      <c r="I6" s="670" t="s">
        <v>101</v>
      </c>
      <c r="J6" s="674" t="s">
        <v>1471</v>
      </c>
      <c r="K6" s="678" t="s">
        <v>1474</v>
      </c>
      <c r="L6" s="679"/>
      <c r="M6" s="670" t="s">
        <v>102</v>
      </c>
      <c r="N6" s="670" t="s">
        <v>47</v>
      </c>
      <c r="O6" s="670" t="s">
        <v>48</v>
      </c>
      <c r="P6" s="10"/>
      <c r="Q6" s="10"/>
      <c r="R6" s="10"/>
      <c r="S6" s="10"/>
      <c r="T6" s="10"/>
      <c r="U6" s="11"/>
      <c r="V6" s="11"/>
      <c r="W6" s="11"/>
      <c r="X6" s="11"/>
      <c r="Y6" s="9"/>
      <c r="Z6" s="9"/>
    </row>
    <row r="7" spans="1:26" ht="12.75" x14ac:dyDescent="0.2">
      <c r="A7" s="672"/>
      <c r="B7" s="672"/>
      <c r="C7" s="672"/>
      <c r="D7" s="672"/>
      <c r="E7" s="672"/>
      <c r="F7" s="672"/>
      <c r="G7" s="673"/>
      <c r="H7" s="60"/>
      <c r="I7" s="671"/>
      <c r="J7" s="675"/>
      <c r="K7" s="680"/>
      <c r="L7" s="681"/>
      <c r="M7" s="671" t="s">
        <v>107</v>
      </c>
      <c r="N7" s="671" t="s">
        <v>103</v>
      </c>
      <c r="O7" s="671"/>
      <c r="P7" s="10"/>
      <c r="Q7" s="10"/>
      <c r="R7" s="10"/>
      <c r="S7" s="10"/>
      <c r="T7" s="10"/>
      <c r="U7" s="12"/>
      <c r="V7" s="11"/>
      <c r="W7" s="11"/>
      <c r="X7" s="11"/>
      <c r="Y7" s="9"/>
      <c r="Z7" s="9"/>
    </row>
    <row r="8" spans="1:26" ht="27.75" customHeight="1" x14ac:dyDescent="0.2">
      <c r="A8" s="672"/>
      <c r="B8" s="672"/>
      <c r="C8" s="672"/>
      <c r="D8" s="672"/>
      <c r="E8" s="672"/>
      <c r="F8" s="672"/>
      <c r="G8" s="673"/>
      <c r="H8" s="60"/>
      <c r="I8" s="671"/>
      <c r="J8" s="675"/>
      <c r="K8" s="676" t="s">
        <v>1472</v>
      </c>
      <c r="L8" s="676" t="s">
        <v>1473</v>
      </c>
      <c r="M8" s="671"/>
      <c r="N8" s="671"/>
      <c r="O8" s="671"/>
      <c r="P8" s="10"/>
      <c r="Q8" s="10"/>
      <c r="R8" s="10"/>
      <c r="S8" s="10"/>
      <c r="T8" s="10"/>
      <c r="U8" s="12"/>
      <c r="V8" s="11"/>
      <c r="W8" s="11"/>
      <c r="X8" s="11"/>
      <c r="Y8" s="9"/>
      <c r="Z8" s="9"/>
    </row>
    <row r="9" spans="1:26" ht="12.75" x14ac:dyDescent="0.2">
      <c r="A9" s="672"/>
      <c r="B9" s="672"/>
      <c r="C9" s="672"/>
      <c r="D9" s="672"/>
      <c r="E9" s="672"/>
      <c r="F9" s="672"/>
      <c r="G9" s="673"/>
      <c r="H9" s="60"/>
      <c r="I9" s="671"/>
      <c r="J9" s="675"/>
      <c r="K9" s="677"/>
      <c r="L9" s="677"/>
      <c r="M9" s="671"/>
      <c r="N9" s="671"/>
      <c r="O9" s="671"/>
      <c r="P9" s="10"/>
      <c r="Q9" s="10"/>
      <c r="R9" s="10"/>
      <c r="S9" s="10"/>
      <c r="T9" s="10"/>
      <c r="U9" s="12"/>
      <c r="V9" s="11"/>
      <c r="W9" s="11"/>
      <c r="X9" s="11"/>
      <c r="Y9" s="9"/>
      <c r="Z9" s="9"/>
    </row>
    <row r="10" spans="1:26" s="17" customFormat="1" x14ac:dyDescent="0.2">
      <c r="A10" s="223" t="s">
        <v>57</v>
      </c>
      <c r="B10" s="312"/>
      <c r="C10" s="312"/>
      <c r="D10" s="312"/>
      <c r="E10" s="312"/>
      <c r="F10" s="225"/>
      <c r="G10" s="317" t="s">
        <v>323</v>
      </c>
      <c r="H10" s="103"/>
      <c r="I10" s="41">
        <f>'11A1'!I10+'11A2'!J10+'11A3'!J10+'11A4'!J10</f>
        <v>0</v>
      </c>
      <c r="J10" s="49">
        <f>'11A1'!J10+'11A2'!L10+'11A3'!L10+'11A4'!L10</f>
        <v>0</v>
      </c>
      <c r="K10" s="49">
        <f>'11A1'!K10+'11A2'!N10+'11A3'!N10+'11A4'!N10</f>
        <v>0</v>
      </c>
      <c r="L10" s="49">
        <f>'11A1'!L10+'11A2'!P10+'11A3'!P10+'11A4'!P10</f>
        <v>0</v>
      </c>
      <c r="M10" s="49">
        <f>'11A1'!M10+'11A2'!R10+'11A3'!R10+'11A4'!R10</f>
        <v>0</v>
      </c>
      <c r="N10" s="49">
        <f>'11A1'!N10+'11A2'!T10+'11A3'!T10+'11A4'!T10</f>
        <v>0</v>
      </c>
      <c r="O10" s="49">
        <f>'11A1'!O10+'11A2'!V10+'11A3'!V10+'11A4'!V10</f>
        <v>0</v>
      </c>
      <c r="P10" s="15"/>
      <c r="Q10" s="16"/>
      <c r="R10" s="16"/>
      <c r="S10" s="16"/>
      <c r="T10" s="16"/>
      <c r="U10" s="16"/>
      <c r="V10" s="16"/>
      <c r="W10" s="16"/>
      <c r="X10" s="16"/>
      <c r="Y10" s="16"/>
      <c r="Z10" s="16"/>
    </row>
    <row r="11" spans="1:26" s="17" customFormat="1" x14ac:dyDescent="0.2">
      <c r="A11" s="346" t="s">
        <v>58</v>
      </c>
      <c r="B11" s="312" t="s">
        <v>540</v>
      </c>
      <c r="C11" s="312"/>
      <c r="D11" s="312"/>
      <c r="E11" s="312"/>
      <c r="F11" s="225"/>
      <c r="G11" s="317" t="s">
        <v>324</v>
      </c>
      <c r="H11" s="103"/>
      <c r="I11" s="41">
        <f>'11A1'!I11+'11A2'!J11+'11A3'!J11+'11A4'!J11</f>
        <v>0</v>
      </c>
      <c r="J11" s="49">
        <f>'11A1'!J11+'11A2'!L11+'11A3'!L11+'11A4'!L11</f>
        <v>0</v>
      </c>
      <c r="K11" s="49">
        <f>'11A1'!K11+'11A2'!N11+'11A3'!N11+'11A4'!N11</f>
        <v>0</v>
      </c>
      <c r="L11" s="49">
        <f>'11A1'!L11+'11A2'!P11+'11A3'!P11+'11A4'!P11</f>
        <v>0</v>
      </c>
      <c r="M11" s="49">
        <f>'11A1'!M11+'11A2'!R11+'11A3'!R11+'11A4'!R11</f>
        <v>0</v>
      </c>
      <c r="N11" s="49">
        <f>'11A1'!N11+'11A2'!T11+'11A3'!T11+'11A4'!T11</f>
        <v>0</v>
      </c>
      <c r="O11" s="49">
        <f>'11A1'!O11+'11A2'!V11+'11A3'!V11+'11A4'!V11</f>
        <v>0</v>
      </c>
      <c r="P11" s="15"/>
      <c r="Q11" s="16"/>
      <c r="R11" s="16"/>
      <c r="S11" s="16"/>
      <c r="T11" s="16"/>
      <c r="U11" s="16"/>
      <c r="V11" s="16"/>
      <c r="W11" s="16"/>
      <c r="X11" s="16"/>
      <c r="Y11" s="16"/>
      <c r="Z11" s="16"/>
    </row>
    <row r="12" spans="1:26" s="17" customFormat="1" x14ac:dyDescent="0.2">
      <c r="A12" s="346"/>
      <c r="B12" s="312" t="s">
        <v>59</v>
      </c>
      <c r="C12" s="312" t="s">
        <v>60</v>
      </c>
      <c r="D12" s="312"/>
      <c r="E12" s="312"/>
      <c r="F12" s="225"/>
      <c r="G12" s="317" t="s">
        <v>325</v>
      </c>
      <c r="H12" s="103"/>
      <c r="I12" s="41">
        <f>'11A1'!I12+'11A2'!J12+'11A3'!J12+'11A4'!J12</f>
        <v>0</v>
      </c>
      <c r="J12" s="49">
        <f>'11A1'!J12+'11A2'!L12+'11A3'!L12+'11A4'!L12</f>
        <v>0</v>
      </c>
      <c r="K12" s="49">
        <f>'11A1'!K12+'11A2'!N12+'11A3'!N12+'11A4'!N12</f>
        <v>0</v>
      </c>
      <c r="L12" s="49">
        <f>'11A1'!L12+'11A2'!P12+'11A3'!P12+'11A4'!P12</f>
        <v>0</v>
      </c>
      <c r="M12" s="49">
        <f>'11A1'!M12+'11A2'!R12+'11A3'!R12+'11A4'!R12</f>
        <v>0</v>
      </c>
      <c r="N12" s="49">
        <f>'11A1'!N12+'11A2'!T12+'11A3'!T12+'11A4'!T12</f>
        <v>0</v>
      </c>
      <c r="O12" s="49">
        <f>'11A1'!O12+'11A2'!V12+'11A3'!V12+'11A4'!V12</f>
        <v>0</v>
      </c>
      <c r="P12" s="15"/>
      <c r="Q12" s="16"/>
      <c r="R12" s="16"/>
      <c r="S12" s="16"/>
      <c r="T12" s="16"/>
      <c r="U12" s="16"/>
      <c r="V12" s="16"/>
      <c r="W12" s="16"/>
      <c r="X12" s="16"/>
      <c r="Y12" s="16"/>
      <c r="Z12" s="16"/>
    </row>
    <row r="13" spans="1:26" s="17" customFormat="1" x14ac:dyDescent="0.2">
      <c r="A13" s="346"/>
      <c r="B13" s="312" t="s">
        <v>61</v>
      </c>
      <c r="C13" s="312" t="s">
        <v>72</v>
      </c>
      <c r="D13" s="312"/>
      <c r="E13" s="312"/>
      <c r="F13" s="225"/>
      <c r="G13" s="317" t="s">
        <v>541</v>
      </c>
      <c r="H13" s="103"/>
      <c r="I13" s="41">
        <f>'11A1'!I13+'11A2'!J13+'11A3'!J13+'11A4'!J13</f>
        <v>0</v>
      </c>
      <c r="J13" s="49">
        <f>'11A1'!J13+'11A2'!L13+'11A3'!L13+'11A4'!L13</f>
        <v>0</v>
      </c>
      <c r="K13" s="49">
        <f>'11A1'!K13+'11A2'!N13+'11A3'!N13+'11A4'!N13</f>
        <v>0</v>
      </c>
      <c r="L13" s="49">
        <f>'11A1'!L13+'11A2'!P13+'11A3'!P13+'11A4'!P13</f>
        <v>0</v>
      </c>
      <c r="M13" s="49">
        <f>'11A1'!M13+'11A2'!R13+'11A3'!R13+'11A4'!R13</f>
        <v>0</v>
      </c>
      <c r="N13" s="49">
        <f>'11A1'!N13+'11A2'!T13+'11A3'!T13+'11A4'!T13</f>
        <v>0</v>
      </c>
      <c r="O13" s="49">
        <f>'11A1'!O13+'11A2'!V13+'11A3'!V13+'11A4'!V13</f>
        <v>0</v>
      </c>
      <c r="P13" s="15"/>
      <c r="Q13" s="16"/>
      <c r="R13" s="16"/>
      <c r="S13" s="16"/>
      <c r="T13" s="16"/>
      <c r="U13" s="16"/>
      <c r="V13" s="16"/>
      <c r="W13" s="16"/>
      <c r="X13" s="16"/>
      <c r="Y13" s="16"/>
      <c r="Z13" s="16"/>
    </row>
    <row r="14" spans="1:26" s="17" customFormat="1" x14ac:dyDescent="0.2">
      <c r="A14" s="346"/>
      <c r="B14" s="312" t="s">
        <v>71</v>
      </c>
      <c r="C14" s="312" t="s">
        <v>62</v>
      </c>
      <c r="D14" s="312"/>
      <c r="E14" s="312"/>
      <c r="F14" s="225"/>
      <c r="G14" s="317" t="s">
        <v>326</v>
      </c>
      <c r="H14" s="103"/>
      <c r="I14" s="41">
        <f>'11A1'!I14+'11A2'!J14+'11A3'!J14+'11A4'!J14</f>
        <v>0</v>
      </c>
      <c r="J14" s="49">
        <f>'11A1'!J14+'11A2'!L14+'11A3'!L14+'11A4'!L14</f>
        <v>0</v>
      </c>
      <c r="K14" s="49">
        <f>'11A1'!K14+'11A2'!N14+'11A3'!N14+'11A4'!N14</f>
        <v>0</v>
      </c>
      <c r="L14" s="49">
        <f>'11A1'!L14+'11A2'!P14+'11A3'!P14+'11A4'!P14</f>
        <v>0</v>
      </c>
      <c r="M14" s="49">
        <f>'11A1'!M14+'11A2'!R14+'11A3'!R14+'11A4'!R14</f>
        <v>0</v>
      </c>
      <c r="N14" s="49">
        <f>'11A1'!N14+'11A2'!T14+'11A3'!T14+'11A4'!T14</f>
        <v>0</v>
      </c>
      <c r="O14" s="49">
        <f>'11A1'!O14+'11A2'!V14+'11A3'!V14+'11A4'!V14</f>
        <v>0</v>
      </c>
      <c r="P14" s="15"/>
      <c r="Q14" s="16"/>
      <c r="R14" s="16"/>
      <c r="S14" s="16"/>
      <c r="T14" s="16"/>
      <c r="U14" s="16"/>
      <c r="V14" s="16"/>
      <c r="W14" s="16"/>
      <c r="X14" s="16"/>
      <c r="Y14" s="16"/>
      <c r="Z14" s="16"/>
    </row>
    <row r="15" spans="1:26" s="17" customFormat="1" x14ac:dyDescent="0.2">
      <c r="A15" s="346"/>
      <c r="B15" s="312"/>
      <c r="C15" s="311" t="s">
        <v>54</v>
      </c>
      <c r="D15" s="312" t="s">
        <v>63</v>
      </c>
      <c r="E15" s="312"/>
      <c r="F15" s="225"/>
      <c r="G15" s="317" t="s">
        <v>327</v>
      </c>
      <c r="H15" s="103"/>
      <c r="I15" s="41">
        <f>'11A1'!I15+'11A2'!J15+'11A3'!J15+'11A4'!J15</f>
        <v>0</v>
      </c>
      <c r="J15" s="49">
        <f>'11A1'!J15+'11A2'!L15+'11A3'!L15+'11A4'!L15</f>
        <v>0</v>
      </c>
      <c r="K15" s="49">
        <f>'11A1'!K15+'11A2'!N15+'11A3'!N15+'11A4'!N15</f>
        <v>0</v>
      </c>
      <c r="L15" s="49">
        <f>'11A1'!L15+'11A2'!P15+'11A3'!P15+'11A4'!P15</f>
        <v>0</v>
      </c>
      <c r="M15" s="49">
        <f>'11A1'!M15+'11A2'!R15+'11A3'!R15+'11A4'!R15</f>
        <v>0</v>
      </c>
      <c r="N15" s="49">
        <f>'11A1'!N15+'11A2'!T15+'11A3'!T15+'11A4'!T15</f>
        <v>0</v>
      </c>
      <c r="O15" s="49">
        <f>'11A1'!O15+'11A2'!V15+'11A3'!V15+'11A4'!V15</f>
        <v>0</v>
      </c>
      <c r="P15" s="15"/>
      <c r="Q15" s="16"/>
      <c r="R15" s="16"/>
      <c r="S15" s="16"/>
      <c r="T15" s="16"/>
      <c r="U15" s="16"/>
      <c r="V15" s="16"/>
      <c r="W15" s="16"/>
      <c r="X15" s="16"/>
      <c r="Y15" s="16"/>
      <c r="Z15" s="16"/>
    </row>
    <row r="16" spans="1:26" s="17" customFormat="1" x14ac:dyDescent="0.2">
      <c r="A16" s="346"/>
      <c r="B16" s="312"/>
      <c r="C16" s="311" t="s">
        <v>55</v>
      </c>
      <c r="D16" s="312" t="s">
        <v>64</v>
      </c>
      <c r="E16" s="312"/>
      <c r="F16" s="225"/>
      <c r="G16" s="317" t="s">
        <v>328</v>
      </c>
      <c r="H16" s="103"/>
      <c r="I16" s="41">
        <f>'11A1'!I16+'11A2'!J16+'11A3'!J16+'11A4'!J16</f>
        <v>0</v>
      </c>
      <c r="J16" s="49">
        <f>'11A1'!J16+'11A2'!L16+'11A3'!L16+'11A4'!L16</f>
        <v>0</v>
      </c>
      <c r="K16" s="49">
        <f>'11A1'!K16+'11A2'!N16+'11A3'!N16+'11A4'!N16</f>
        <v>0</v>
      </c>
      <c r="L16" s="49">
        <f>'11A1'!L16+'11A2'!P16+'11A3'!P16+'11A4'!P16</f>
        <v>0</v>
      </c>
      <c r="M16" s="49">
        <f>'11A1'!M16+'11A2'!R16+'11A3'!R16+'11A4'!R16</f>
        <v>0</v>
      </c>
      <c r="N16" s="49">
        <f>'11A1'!N16+'11A2'!T16+'11A3'!T16+'11A4'!T16</f>
        <v>0</v>
      </c>
      <c r="O16" s="49">
        <f>'11A1'!O16+'11A2'!V16+'11A3'!V16+'11A4'!V16</f>
        <v>0</v>
      </c>
      <c r="P16" s="15"/>
      <c r="Q16" s="16"/>
      <c r="R16" s="16"/>
      <c r="S16" s="16"/>
      <c r="T16" s="16"/>
      <c r="U16" s="16"/>
      <c r="V16" s="16"/>
      <c r="W16" s="16"/>
      <c r="X16" s="16"/>
      <c r="Y16" s="16"/>
      <c r="Z16" s="16"/>
    </row>
    <row r="17" spans="1:26" s="17" customFormat="1" x14ac:dyDescent="0.2">
      <c r="A17" s="346"/>
      <c r="B17" s="312"/>
      <c r="C17" s="311" t="s">
        <v>65</v>
      </c>
      <c r="D17" s="312" t="s">
        <v>66</v>
      </c>
      <c r="E17" s="312"/>
      <c r="F17" s="225"/>
      <c r="G17" s="317" t="s">
        <v>329</v>
      </c>
      <c r="H17" s="103"/>
      <c r="I17" s="41">
        <f>'11A1'!I17+'11A2'!J17+'11A3'!J17+'11A4'!J17</f>
        <v>0</v>
      </c>
      <c r="J17" s="49">
        <f>'11A1'!J17+'11A2'!L17+'11A3'!L17+'11A4'!L17</f>
        <v>0</v>
      </c>
      <c r="K17" s="49">
        <f>'11A1'!K17+'11A2'!N17+'11A3'!N17+'11A4'!N17</f>
        <v>0</v>
      </c>
      <c r="L17" s="49">
        <f>'11A1'!L17+'11A2'!P17+'11A3'!P17+'11A4'!P17</f>
        <v>0</v>
      </c>
      <c r="M17" s="49">
        <f>'11A1'!M17+'11A2'!R17+'11A3'!R17+'11A4'!R17</f>
        <v>0</v>
      </c>
      <c r="N17" s="49">
        <f>'11A1'!N17+'11A2'!T17+'11A3'!T17+'11A4'!T17</f>
        <v>0</v>
      </c>
      <c r="O17" s="49">
        <f>'11A1'!O17+'11A2'!V17+'11A3'!V17+'11A4'!V17</f>
        <v>0</v>
      </c>
      <c r="P17" s="15"/>
      <c r="Q17" s="16"/>
      <c r="R17" s="16"/>
      <c r="S17" s="16"/>
      <c r="T17" s="16"/>
      <c r="U17" s="16"/>
      <c r="V17" s="16"/>
      <c r="W17" s="16"/>
      <c r="X17" s="16"/>
      <c r="Y17" s="16"/>
      <c r="Z17" s="16"/>
    </row>
    <row r="18" spans="1:26" s="17" customFormat="1" x14ac:dyDescent="0.2">
      <c r="A18" s="346" t="s">
        <v>55</v>
      </c>
      <c r="B18" s="312" t="s">
        <v>67</v>
      </c>
      <c r="C18" s="312"/>
      <c r="D18" s="312"/>
      <c r="E18" s="312"/>
      <c r="F18" s="225"/>
      <c r="G18" s="317" t="s">
        <v>330</v>
      </c>
      <c r="H18" s="103"/>
      <c r="I18" s="41">
        <f>'11A1'!I18+'11A2'!J18+'11A3'!J18+'11A4'!J18</f>
        <v>0</v>
      </c>
      <c r="J18" s="49">
        <f>'11A1'!J18+'11A2'!L18+'11A3'!L18+'11A4'!L18</f>
        <v>0</v>
      </c>
      <c r="K18" s="49">
        <f>'11A1'!K18+'11A2'!N18+'11A3'!N18+'11A4'!N18</f>
        <v>0</v>
      </c>
      <c r="L18" s="49">
        <f>'11A1'!L18+'11A2'!P18+'11A3'!P18+'11A4'!P18</f>
        <v>0</v>
      </c>
      <c r="M18" s="49">
        <f>'11A1'!M18+'11A2'!R18+'11A3'!R18+'11A4'!R18</f>
        <v>0</v>
      </c>
      <c r="N18" s="49">
        <f>'11A1'!N18+'11A2'!T18+'11A3'!T18+'11A4'!T18</f>
        <v>0</v>
      </c>
      <c r="O18" s="49">
        <f>'11A1'!O18+'11A2'!V18+'11A3'!V18+'11A4'!V18</f>
        <v>0</v>
      </c>
      <c r="P18" s="15"/>
      <c r="Q18" s="16"/>
      <c r="R18" s="16"/>
      <c r="S18" s="16"/>
      <c r="T18" s="16"/>
      <c r="U18" s="16"/>
      <c r="V18" s="16"/>
      <c r="W18" s="16"/>
      <c r="X18" s="16"/>
      <c r="Y18" s="16"/>
      <c r="Z18" s="16"/>
    </row>
    <row r="19" spans="1:26" s="17" customFormat="1" x14ac:dyDescent="0.2">
      <c r="A19" s="346"/>
      <c r="B19" s="312" t="s">
        <v>59</v>
      </c>
      <c r="C19" s="312" t="s">
        <v>68</v>
      </c>
      <c r="D19" s="312"/>
      <c r="E19" s="312"/>
      <c r="F19" s="225"/>
      <c r="G19" s="317" t="s">
        <v>331</v>
      </c>
      <c r="H19" s="103"/>
      <c r="I19" s="41">
        <f>'11A1'!I19+'11A2'!J19+'11A3'!J19+'11A4'!J19</f>
        <v>0</v>
      </c>
      <c r="J19" s="49">
        <f>'11A1'!J19+'11A2'!L19+'11A3'!L19+'11A4'!L19</f>
        <v>0</v>
      </c>
      <c r="K19" s="49">
        <f>'11A1'!K19+'11A2'!N19+'11A3'!N19+'11A4'!N19</f>
        <v>0</v>
      </c>
      <c r="L19" s="49">
        <f>'11A1'!L19+'11A2'!P19+'11A3'!P19+'11A4'!P19</f>
        <v>0</v>
      </c>
      <c r="M19" s="49">
        <f>'11A1'!M19+'11A2'!R19+'11A3'!R19+'11A4'!R19</f>
        <v>0</v>
      </c>
      <c r="N19" s="49">
        <f>'11A1'!N19+'11A2'!T19+'11A3'!T19+'11A4'!T19</f>
        <v>0</v>
      </c>
      <c r="O19" s="49">
        <f>'11A1'!O19+'11A2'!V19+'11A3'!V19+'11A4'!V19</f>
        <v>0</v>
      </c>
      <c r="P19" s="15"/>
      <c r="Q19" s="16"/>
      <c r="R19" s="16"/>
      <c r="S19" s="16"/>
      <c r="T19" s="16"/>
      <c r="U19" s="16"/>
      <c r="V19" s="16"/>
      <c r="W19" s="16"/>
      <c r="X19" s="16"/>
      <c r="Y19" s="16"/>
      <c r="Z19" s="16"/>
    </row>
    <row r="20" spans="1:26" s="17" customFormat="1" x14ac:dyDescent="0.2">
      <c r="A20" s="346"/>
      <c r="B20" s="312" t="s">
        <v>69</v>
      </c>
      <c r="C20" s="312" t="s">
        <v>70</v>
      </c>
      <c r="D20" s="312"/>
      <c r="E20" s="312"/>
      <c r="F20" s="225"/>
      <c r="G20" s="317" t="s">
        <v>332</v>
      </c>
      <c r="H20" s="103"/>
      <c r="I20" s="41">
        <f>'11A1'!I20+'11A2'!J20+'11A3'!J20+'11A4'!J20</f>
        <v>0</v>
      </c>
      <c r="J20" s="49">
        <f>'11A1'!J20+'11A2'!L20+'11A3'!L20+'11A4'!L20</f>
        <v>0</v>
      </c>
      <c r="K20" s="49">
        <f>'11A1'!K20+'11A2'!N20+'11A3'!N20+'11A4'!N20</f>
        <v>0</v>
      </c>
      <c r="L20" s="49">
        <f>'11A1'!L20+'11A2'!P20+'11A3'!P20+'11A4'!P20</f>
        <v>0</v>
      </c>
      <c r="M20" s="49">
        <f>'11A1'!M20+'11A2'!R20+'11A3'!R20+'11A4'!R20</f>
        <v>0</v>
      </c>
      <c r="N20" s="49">
        <f>'11A1'!N20+'11A2'!T20+'11A3'!T20+'11A4'!T20</f>
        <v>0</v>
      </c>
      <c r="O20" s="49">
        <f>'11A1'!O20+'11A2'!V20+'11A3'!V20+'11A4'!V20</f>
        <v>0</v>
      </c>
      <c r="P20" s="15"/>
      <c r="Q20" s="16"/>
      <c r="R20" s="16"/>
      <c r="S20" s="16"/>
      <c r="T20" s="16"/>
      <c r="U20" s="16"/>
      <c r="V20" s="16"/>
      <c r="W20" s="16"/>
      <c r="X20" s="16"/>
      <c r="Y20" s="16"/>
      <c r="Z20" s="16"/>
    </row>
    <row r="21" spans="1:26" s="17" customFormat="1" x14ac:dyDescent="0.2">
      <c r="A21" s="346" t="s">
        <v>65</v>
      </c>
      <c r="B21" s="3" t="s">
        <v>1436</v>
      </c>
      <c r="C21" s="3"/>
      <c r="D21" s="3"/>
      <c r="E21" s="3"/>
      <c r="F21" s="3"/>
      <c r="G21" s="602" t="s">
        <v>333</v>
      </c>
      <c r="H21" s="103"/>
      <c r="I21" s="41">
        <f>'11A1'!I21+'11A2'!J21+'11A3'!J21+'11A4'!J21</f>
        <v>0</v>
      </c>
      <c r="J21" s="49">
        <f>'11A1'!J21+'11A2'!L21+'11A3'!L21+'11A4'!L21</f>
        <v>0</v>
      </c>
      <c r="K21" s="49">
        <f>'11A1'!K21+'11A2'!N21+'11A3'!N21+'11A4'!N21</f>
        <v>0</v>
      </c>
      <c r="L21" s="49">
        <f>'11A1'!L21+'11A2'!P21+'11A3'!P21+'11A4'!P21</f>
        <v>0</v>
      </c>
      <c r="M21" s="49">
        <f>'11A1'!M21+'11A2'!R21+'11A3'!R21+'11A4'!R21</f>
        <v>0</v>
      </c>
      <c r="N21" s="49">
        <f>'11A1'!N21+'11A2'!T21+'11A3'!T21+'11A4'!T21</f>
        <v>0</v>
      </c>
      <c r="O21" s="49">
        <f>'11A1'!O21+'11A2'!V21+'11A3'!V21+'11A4'!V21</f>
        <v>0</v>
      </c>
      <c r="P21" s="15"/>
      <c r="Q21" s="16"/>
      <c r="R21" s="16"/>
      <c r="S21" s="16"/>
      <c r="T21" s="16"/>
      <c r="U21" s="16"/>
      <c r="V21" s="16"/>
      <c r="W21" s="16"/>
      <c r="X21" s="16"/>
      <c r="Y21" s="16"/>
      <c r="Z21" s="16"/>
    </row>
    <row r="22" spans="1:26" s="17" customFormat="1" x14ac:dyDescent="0.2">
      <c r="A22" s="346"/>
      <c r="B22" s="3" t="s">
        <v>59</v>
      </c>
      <c r="C22" s="658" t="s">
        <v>543</v>
      </c>
      <c r="D22" s="659"/>
      <c r="E22" s="659"/>
      <c r="F22" s="660"/>
      <c r="G22" s="602" t="s">
        <v>1431</v>
      </c>
      <c r="H22" s="103"/>
      <c r="I22" s="41">
        <f>'11A1'!I22+'11A2'!J22+'11A3'!J22+'11A4'!J22</f>
        <v>0</v>
      </c>
      <c r="J22" s="49">
        <f>'11A1'!J22+'11A2'!L22+'11A3'!L22+'11A4'!L22</f>
        <v>0</v>
      </c>
      <c r="K22" s="49">
        <f>'11A1'!K22+'11A2'!N22+'11A3'!N22+'11A4'!N22</f>
        <v>0</v>
      </c>
      <c r="L22" s="49">
        <f>'11A1'!L22+'11A2'!P22+'11A3'!P22+'11A4'!P22</f>
        <v>0</v>
      </c>
      <c r="M22" s="49">
        <f>'11A1'!M22+'11A2'!R22+'11A3'!R22+'11A4'!R22</f>
        <v>0</v>
      </c>
      <c r="N22" s="49">
        <f>'11A1'!N22+'11A2'!T22+'11A3'!T22+'11A4'!T22</f>
        <v>0</v>
      </c>
      <c r="O22" s="49">
        <f>'11A1'!O22+'11A2'!V22+'11A3'!V22+'11A4'!V22</f>
        <v>0</v>
      </c>
      <c r="P22" s="15"/>
      <c r="Q22" s="16"/>
      <c r="R22" s="16"/>
      <c r="S22" s="16"/>
      <c r="T22" s="16"/>
      <c r="U22" s="16"/>
      <c r="V22" s="16"/>
      <c r="W22" s="16"/>
      <c r="X22" s="16"/>
      <c r="Y22" s="16"/>
      <c r="Z22" s="16"/>
    </row>
    <row r="23" spans="1:26" s="17" customFormat="1" x14ac:dyDescent="0.2">
      <c r="A23" s="346"/>
      <c r="B23" s="3" t="s">
        <v>61</v>
      </c>
      <c r="C23" s="658" t="s">
        <v>1430</v>
      </c>
      <c r="D23" s="659"/>
      <c r="E23" s="659"/>
      <c r="F23" s="660"/>
      <c r="G23" s="602" t="s">
        <v>1432</v>
      </c>
      <c r="H23" s="103"/>
      <c r="I23" s="41">
        <f>'11A1'!I23+'11A2'!J23+'11A3'!J23+'11A4'!J23</f>
        <v>0</v>
      </c>
      <c r="J23" s="49">
        <f>'11A1'!J23+'11A2'!L23+'11A3'!L23+'11A4'!L23</f>
        <v>0</v>
      </c>
      <c r="K23" s="49">
        <f>'11A1'!K23+'11A2'!N23+'11A3'!N23+'11A4'!N23</f>
        <v>0</v>
      </c>
      <c r="L23" s="49">
        <f>'11A1'!L23+'11A2'!P23+'11A3'!P23+'11A4'!P23</f>
        <v>0</v>
      </c>
      <c r="M23" s="49">
        <f>'11A1'!M23+'11A2'!R23+'11A3'!R23+'11A4'!R23</f>
        <v>0</v>
      </c>
      <c r="N23" s="49">
        <f>'11A1'!N23+'11A2'!T23+'11A3'!T23+'11A4'!T23</f>
        <v>0</v>
      </c>
      <c r="O23" s="49">
        <f>'11A1'!O23+'11A2'!V23+'11A3'!V23+'11A4'!V23</f>
        <v>0</v>
      </c>
      <c r="P23" s="15"/>
      <c r="Q23" s="16"/>
      <c r="R23" s="16"/>
      <c r="S23" s="16"/>
      <c r="T23" s="16"/>
      <c r="U23" s="16"/>
      <c r="V23" s="16"/>
      <c r="W23" s="16"/>
      <c r="X23" s="16"/>
      <c r="Y23" s="16"/>
      <c r="Z23" s="16"/>
    </row>
    <row r="24" spans="1:26" s="17" customFormat="1" x14ac:dyDescent="0.2">
      <c r="A24" s="346" t="s">
        <v>90</v>
      </c>
      <c r="B24" s="312" t="s">
        <v>641</v>
      </c>
      <c r="C24" s="312"/>
      <c r="D24" s="312"/>
      <c r="E24" s="312"/>
      <c r="F24" s="225"/>
      <c r="G24" s="317" t="s">
        <v>334</v>
      </c>
      <c r="H24" s="103"/>
      <c r="I24" s="41">
        <f>'11A1'!I24+'11A2'!J24+'11A3'!J24+'11A4'!J24</f>
        <v>0</v>
      </c>
      <c r="J24" s="49">
        <f>'11A1'!J24+'11A2'!L24+'11A3'!L24+'11A4'!L24</f>
        <v>0</v>
      </c>
      <c r="K24" s="49">
        <f>'11A1'!K24+'11A2'!N24+'11A3'!N24+'11A4'!N24</f>
        <v>0</v>
      </c>
      <c r="L24" s="49">
        <f>'11A1'!L24+'11A2'!P24+'11A3'!P24+'11A4'!P24</f>
        <v>0</v>
      </c>
      <c r="M24" s="49">
        <f>'11A1'!M24+'11A2'!R24+'11A3'!R24+'11A4'!R24</f>
        <v>0</v>
      </c>
      <c r="N24" s="49">
        <f>'11A1'!N24+'11A2'!T24+'11A3'!T24+'11A4'!T24</f>
        <v>0</v>
      </c>
      <c r="O24" s="49">
        <f>'11A1'!O24+'11A2'!V24+'11A3'!V24+'11A4'!V24</f>
        <v>0</v>
      </c>
      <c r="P24" s="15"/>
      <c r="Q24" s="16"/>
      <c r="R24" s="16"/>
      <c r="S24" s="16"/>
      <c r="T24" s="16"/>
      <c r="U24" s="16"/>
      <c r="V24" s="16"/>
      <c r="W24" s="16"/>
      <c r="X24" s="16"/>
      <c r="Y24" s="16"/>
      <c r="Z24" s="16"/>
    </row>
    <row r="25" spans="1:26" s="17" customFormat="1" x14ac:dyDescent="0.2">
      <c r="A25" s="346"/>
      <c r="B25" s="312" t="s">
        <v>59</v>
      </c>
      <c r="C25" s="312" t="s">
        <v>1451</v>
      </c>
      <c r="D25" s="312"/>
      <c r="E25" s="312"/>
      <c r="F25" s="225"/>
      <c r="G25" s="317" t="s">
        <v>335</v>
      </c>
      <c r="H25" s="103"/>
      <c r="I25" s="41">
        <f>'11A1'!I25+'11A2'!J25+'11A3'!J25+'11A4'!J25</f>
        <v>0</v>
      </c>
      <c r="J25" s="49">
        <f>'11A1'!J25+'11A2'!L25+'11A3'!L25+'11A4'!L25</f>
        <v>0</v>
      </c>
      <c r="K25" s="49">
        <f>'11A1'!K25+'11A2'!N25+'11A3'!N25+'11A4'!N25</f>
        <v>0</v>
      </c>
      <c r="L25" s="49">
        <f>'11A1'!L25+'11A2'!P25+'11A3'!P25+'11A4'!P25</f>
        <v>0</v>
      </c>
      <c r="M25" s="49">
        <f>'11A1'!M25+'11A2'!R25+'11A3'!R25+'11A4'!R25</f>
        <v>0</v>
      </c>
      <c r="N25" s="49">
        <f>'11A1'!N25+'11A2'!T25+'11A3'!T25+'11A4'!T25</f>
        <v>0</v>
      </c>
      <c r="O25" s="49">
        <f>'11A1'!O25+'11A2'!V25+'11A3'!V25+'11A4'!V25</f>
        <v>0</v>
      </c>
      <c r="P25" s="15"/>
      <c r="Q25" s="16"/>
      <c r="R25" s="16"/>
      <c r="S25" s="16"/>
      <c r="T25" s="16"/>
      <c r="U25" s="16"/>
      <c r="V25" s="16"/>
      <c r="W25" s="16"/>
      <c r="X25" s="16"/>
      <c r="Y25" s="16"/>
      <c r="Z25" s="16"/>
    </row>
    <row r="26" spans="1:26" s="17" customFormat="1" x14ac:dyDescent="0.2">
      <c r="A26" s="346"/>
      <c r="B26" s="312" t="s">
        <v>69</v>
      </c>
      <c r="C26" s="312" t="s">
        <v>1452</v>
      </c>
      <c r="D26" s="312"/>
      <c r="E26" s="312"/>
      <c r="F26" s="225"/>
      <c r="G26" s="317" t="s">
        <v>336</v>
      </c>
      <c r="H26" s="103"/>
      <c r="I26" s="41">
        <f>'11A1'!I26+'11A2'!J26+'11A3'!J26+'11A4'!J26</f>
        <v>0</v>
      </c>
      <c r="J26" s="49">
        <f>'11A1'!J26+'11A2'!L26+'11A3'!L26+'11A4'!L26</f>
        <v>0</v>
      </c>
      <c r="K26" s="49">
        <f>'11A1'!K26+'11A2'!N26+'11A3'!N26+'11A4'!N26</f>
        <v>0</v>
      </c>
      <c r="L26" s="49">
        <f>'11A1'!L26+'11A2'!P26+'11A3'!P26+'11A4'!P26</f>
        <v>0</v>
      </c>
      <c r="M26" s="49">
        <f>'11A1'!M26+'11A2'!R26+'11A3'!R26+'11A4'!R26</f>
        <v>0</v>
      </c>
      <c r="N26" s="49">
        <f>'11A1'!N26+'11A2'!T26+'11A3'!T26+'11A4'!T26</f>
        <v>0</v>
      </c>
      <c r="O26" s="49">
        <f>'11A1'!O26+'11A2'!V26+'11A3'!V26+'11A4'!V26</f>
        <v>0</v>
      </c>
      <c r="P26" s="15"/>
      <c r="Q26" s="16"/>
      <c r="R26" s="16"/>
      <c r="S26" s="16"/>
      <c r="T26" s="16"/>
      <c r="U26" s="16"/>
      <c r="V26" s="16"/>
      <c r="W26" s="16"/>
      <c r="X26" s="16"/>
      <c r="Y26" s="16"/>
      <c r="Z26" s="16"/>
    </row>
    <row r="27" spans="1:26" s="17" customFormat="1" x14ac:dyDescent="0.2">
      <c r="A27" s="346" t="s">
        <v>257</v>
      </c>
      <c r="B27" s="312" t="s">
        <v>983</v>
      </c>
      <c r="C27" s="312"/>
      <c r="D27" s="312"/>
      <c r="E27" s="312"/>
      <c r="F27" s="225"/>
      <c r="G27" s="317" t="s">
        <v>337</v>
      </c>
      <c r="H27" s="103"/>
      <c r="I27" s="41">
        <f>'11A1'!I27+'11A2'!J27+'11A3'!J27+'11A4'!J27</f>
        <v>0</v>
      </c>
      <c r="J27" s="49">
        <f>'11A1'!J27+'11A2'!L27+'11A3'!L27+'11A4'!L27</f>
        <v>0</v>
      </c>
      <c r="K27" s="49">
        <f>'11A1'!K27+'11A2'!N27+'11A3'!N27+'11A4'!N27</f>
        <v>0</v>
      </c>
      <c r="L27" s="49">
        <f>'11A1'!L27+'11A2'!P27+'11A3'!P27+'11A4'!P27</f>
        <v>0</v>
      </c>
      <c r="M27" s="49">
        <f>'11A1'!M27+'11A2'!R27+'11A3'!R27+'11A4'!R27</f>
        <v>0</v>
      </c>
      <c r="N27" s="49">
        <f>'11A1'!N27+'11A2'!T27+'11A3'!T27+'11A4'!T27</f>
        <v>0</v>
      </c>
      <c r="O27" s="49">
        <f>'11A1'!O27+'11A2'!V27+'11A3'!V27+'11A4'!V27</f>
        <v>0</v>
      </c>
      <c r="P27" s="15"/>
      <c r="Q27" s="16"/>
      <c r="R27" s="16"/>
      <c r="S27" s="16"/>
      <c r="T27" s="16"/>
      <c r="U27" s="16"/>
      <c r="V27" s="16"/>
      <c r="W27" s="16"/>
      <c r="X27" s="16"/>
      <c r="Y27" s="16"/>
      <c r="Z27" s="16"/>
    </row>
    <row r="28" spans="1:26" s="17" customFormat="1" x14ac:dyDescent="0.2">
      <c r="A28" s="346" t="s">
        <v>74</v>
      </c>
      <c r="B28" s="312" t="s">
        <v>77</v>
      </c>
      <c r="C28" s="312"/>
      <c r="D28" s="312"/>
      <c r="E28" s="312"/>
      <c r="F28" s="225"/>
      <c r="G28" s="317" t="s">
        <v>338</v>
      </c>
      <c r="H28" s="103"/>
      <c r="I28" s="41">
        <f>'11A1'!I28+'11A2'!J28+'11A3'!J28+'11A4'!J28</f>
        <v>0</v>
      </c>
      <c r="J28" s="49">
        <f>'11A1'!J28+'11A2'!L28+'11A3'!L28+'11A4'!L28</f>
        <v>0</v>
      </c>
      <c r="K28" s="49">
        <f>'11A1'!K28+'11A2'!N28+'11A3'!N28+'11A4'!N28</f>
        <v>0</v>
      </c>
      <c r="L28" s="49">
        <f>'11A1'!L28+'11A2'!P28+'11A3'!P28+'11A4'!P28</f>
        <v>0</v>
      </c>
      <c r="M28" s="49">
        <f>'11A1'!M28+'11A2'!R28+'11A3'!R28+'11A4'!R28</f>
        <v>0</v>
      </c>
      <c r="N28" s="49">
        <f>'11A1'!N28+'11A2'!T28+'11A3'!T28+'11A4'!T28</f>
        <v>0</v>
      </c>
      <c r="O28" s="49">
        <f>'11A1'!O28+'11A2'!V28+'11A3'!V28+'11A4'!V28</f>
        <v>0</v>
      </c>
      <c r="P28" s="15"/>
      <c r="Q28" s="16"/>
      <c r="R28" s="16"/>
      <c r="S28" s="16"/>
      <c r="T28" s="16"/>
      <c r="U28" s="16"/>
      <c r="V28" s="16"/>
      <c r="W28" s="16"/>
      <c r="X28" s="16"/>
      <c r="Y28" s="16"/>
      <c r="Z28" s="16"/>
    </row>
    <row r="29" spans="1:26" s="17" customFormat="1" x14ac:dyDescent="0.2">
      <c r="A29" s="346"/>
      <c r="B29" s="312" t="s">
        <v>59</v>
      </c>
      <c r="C29" s="312" t="s">
        <v>78</v>
      </c>
      <c r="D29" s="312"/>
      <c r="E29" s="312"/>
      <c r="F29" s="225"/>
      <c r="G29" s="317" t="s">
        <v>339</v>
      </c>
      <c r="H29" s="103"/>
      <c r="I29" s="41">
        <f>'11A1'!I29+'11A2'!J29+'11A3'!J29+'11A4'!J29</f>
        <v>0</v>
      </c>
      <c r="J29" s="49">
        <f>'11A1'!J29+'11A2'!L29+'11A3'!L29+'11A4'!L29</f>
        <v>0</v>
      </c>
      <c r="K29" s="49">
        <f>'11A1'!K29+'11A2'!N29+'11A3'!N29+'11A4'!N29</f>
        <v>0</v>
      </c>
      <c r="L29" s="49">
        <f>'11A1'!L29+'11A2'!P29+'11A3'!P29+'11A4'!P29</f>
        <v>0</v>
      </c>
      <c r="M29" s="49">
        <f>'11A1'!M29+'11A2'!R29+'11A3'!R29+'11A4'!R29</f>
        <v>0</v>
      </c>
      <c r="N29" s="49">
        <f>'11A1'!N29+'11A2'!T29+'11A3'!T29+'11A4'!T29</f>
        <v>0</v>
      </c>
      <c r="O29" s="49">
        <f>'11A1'!O29+'11A2'!V29+'11A3'!V29+'11A4'!V29</f>
        <v>0</v>
      </c>
      <c r="P29" s="15"/>
      <c r="Q29" s="16"/>
      <c r="R29" s="16"/>
      <c r="S29" s="16"/>
      <c r="T29" s="16"/>
      <c r="U29" s="16"/>
      <c r="V29" s="16"/>
      <c r="W29" s="16"/>
      <c r="X29" s="16"/>
      <c r="Y29" s="16"/>
      <c r="Z29" s="16"/>
    </row>
    <row r="30" spans="1:26" s="17" customFormat="1" x14ac:dyDescent="0.2">
      <c r="A30" s="346"/>
      <c r="B30" s="312" t="s">
        <v>61</v>
      </c>
      <c r="C30" s="312" t="s">
        <v>66</v>
      </c>
      <c r="D30" s="312"/>
      <c r="E30" s="312"/>
      <c r="F30" s="225"/>
      <c r="G30" s="317" t="s">
        <v>340</v>
      </c>
      <c r="H30" s="103"/>
      <c r="I30" s="41">
        <f>'11A1'!I30+'11A2'!J30+'11A3'!J30+'11A4'!J30</f>
        <v>0</v>
      </c>
      <c r="J30" s="49">
        <f>'11A1'!J30+'11A2'!L30+'11A3'!L30+'11A4'!L30</f>
        <v>0</v>
      </c>
      <c r="K30" s="49">
        <f>'11A1'!K30+'11A2'!N30+'11A3'!N30+'11A4'!N30</f>
        <v>0</v>
      </c>
      <c r="L30" s="49">
        <f>'11A1'!L30+'11A2'!P30+'11A3'!P30+'11A4'!P30</f>
        <v>0</v>
      </c>
      <c r="M30" s="49">
        <f>'11A1'!M30+'11A2'!R30+'11A3'!R30+'11A4'!R30</f>
        <v>0</v>
      </c>
      <c r="N30" s="49">
        <f>'11A1'!N30+'11A2'!T30+'11A3'!T30+'11A4'!T30</f>
        <v>0</v>
      </c>
      <c r="O30" s="49">
        <f>'11A1'!O30+'11A2'!V30+'11A3'!V30+'11A4'!V30</f>
        <v>0</v>
      </c>
      <c r="P30" s="15"/>
      <c r="Q30" s="16"/>
      <c r="R30" s="16"/>
      <c r="S30" s="16"/>
      <c r="T30" s="16"/>
      <c r="U30" s="16"/>
      <c r="V30" s="16"/>
      <c r="W30" s="16"/>
      <c r="X30" s="16"/>
      <c r="Y30" s="16"/>
      <c r="Z30" s="16"/>
    </row>
    <row r="31" spans="1:26" s="17" customFormat="1" x14ac:dyDescent="0.2">
      <c r="A31" s="346" t="s">
        <v>76</v>
      </c>
      <c r="B31" s="640" t="s">
        <v>982</v>
      </c>
      <c r="C31" s="640"/>
      <c r="D31" s="640"/>
      <c r="E31" s="640"/>
      <c r="F31" s="640"/>
      <c r="G31" s="317" t="s">
        <v>341</v>
      </c>
      <c r="H31" s="103"/>
      <c r="I31" s="41">
        <f>'11A1'!I31+'11A2'!J31+'11A3'!J31+'11A4'!J31</f>
        <v>0</v>
      </c>
      <c r="J31" s="49">
        <f>'11A1'!J31+'11A2'!L31+'11A3'!L31+'11A4'!L31</f>
        <v>0</v>
      </c>
      <c r="K31" s="49">
        <f>'11A1'!K31+'11A2'!N31+'11A3'!N31+'11A4'!N31</f>
        <v>0</v>
      </c>
      <c r="L31" s="49">
        <f>'11A1'!L31+'11A2'!P31+'11A3'!P31+'11A4'!P31</f>
        <v>0</v>
      </c>
      <c r="M31" s="49">
        <f>'11A1'!M31+'11A2'!R31+'11A3'!R31+'11A4'!R31</f>
        <v>0</v>
      </c>
      <c r="N31" s="49">
        <f>'11A1'!N31+'11A2'!T31+'11A3'!T31+'11A4'!T31</f>
        <v>0</v>
      </c>
      <c r="O31" s="49">
        <f>'11A1'!O31+'11A2'!V31+'11A3'!V31+'11A4'!V31</f>
        <v>0</v>
      </c>
      <c r="P31" s="15"/>
      <c r="Q31" s="16"/>
      <c r="R31" s="16"/>
      <c r="S31" s="16"/>
      <c r="T31" s="16"/>
      <c r="U31" s="16"/>
      <c r="V31" s="16"/>
      <c r="W31" s="16"/>
      <c r="X31" s="16"/>
      <c r="Y31" s="16"/>
      <c r="Z31" s="16"/>
    </row>
    <row r="32" spans="1:26" s="17" customFormat="1" x14ac:dyDescent="0.2">
      <c r="A32" s="346" t="s">
        <v>79</v>
      </c>
      <c r="B32" s="312" t="s">
        <v>1467</v>
      </c>
      <c r="C32" s="312"/>
      <c r="D32" s="312"/>
      <c r="E32" s="312"/>
      <c r="F32" s="225"/>
      <c r="G32" s="317" t="s">
        <v>342</v>
      </c>
      <c r="H32" s="103"/>
      <c r="I32" s="41">
        <f>'11A1'!I32+'11A2'!J32+'11A3'!J32+'11A4'!J32</f>
        <v>0</v>
      </c>
      <c r="J32" s="49">
        <f>'11A1'!J32+'11A2'!L32+'11A3'!L32+'11A4'!L32</f>
        <v>0</v>
      </c>
      <c r="K32" s="49">
        <f>'11A1'!K32+'11A2'!N32+'11A3'!N32+'11A4'!N32</f>
        <v>0</v>
      </c>
      <c r="L32" s="49">
        <f>'11A1'!L32+'11A2'!P32+'11A3'!P32+'11A4'!P32</f>
        <v>0</v>
      </c>
      <c r="M32" s="49">
        <f>'11A1'!M32+'11A2'!R32+'11A3'!R32+'11A4'!R32</f>
        <v>0</v>
      </c>
      <c r="N32" s="49">
        <f>'11A1'!N32+'11A2'!T32+'11A3'!T32+'11A4'!T32</f>
        <v>0</v>
      </c>
      <c r="O32" s="49">
        <f>'11A1'!O32+'11A2'!V32+'11A3'!V32+'11A4'!V32</f>
        <v>0</v>
      </c>
      <c r="P32" s="15"/>
      <c r="Q32" s="16"/>
      <c r="R32" s="16"/>
      <c r="S32" s="16"/>
      <c r="T32" s="16"/>
      <c r="U32" s="16"/>
      <c r="V32" s="16"/>
      <c r="W32" s="16"/>
      <c r="X32" s="16"/>
      <c r="Y32" s="16"/>
      <c r="Z32" s="16"/>
    </row>
    <row r="33" spans="1:26" s="17" customFormat="1" x14ac:dyDescent="0.2">
      <c r="A33" s="346"/>
      <c r="B33" s="312" t="s">
        <v>59</v>
      </c>
      <c r="C33" s="312" t="s">
        <v>82</v>
      </c>
      <c r="D33" s="312"/>
      <c r="E33" s="312"/>
      <c r="F33" s="225"/>
      <c r="G33" s="317" t="s">
        <v>343</v>
      </c>
      <c r="H33" s="103"/>
      <c r="I33" s="41">
        <f>'11A1'!I33+'11A2'!J33+'11A3'!J33+'11A4'!J33</f>
        <v>0</v>
      </c>
      <c r="J33" s="49">
        <f>'11A1'!J33+'11A2'!L33+'11A3'!L33+'11A4'!L33</f>
        <v>0</v>
      </c>
      <c r="K33" s="49">
        <f>'11A1'!K33+'11A2'!N33+'11A3'!N33+'11A4'!N33</f>
        <v>0</v>
      </c>
      <c r="L33" s="49">
        <f>'11A1'!L33+'11A2'!P33+'11A3'!P33+'11A4'!P33</f>
        <v>0</v>
      </c>
      <c r="M33" s="49">
        <f>'11A1'!M33+'11A2'!R33+'11A3'!R33+'11A4'!R33</f>
        <v>0</v>
      </c>
      <c r="N33" s="49">
        <f>'11A1'!N33+'11A2'!T33+'11A3'!T33+'11A4'!T33</f>
        <v>0</v>
      </c>
      <c r="O33" s="49">
        <f>'11A1'!O33+'11A2'!V33+'11A3'!V33+'11A4'!V33</f>
        <v>0</v>
      </c>
      <c r="P33" s="15"/>
      <c r="Q33" s="16"/>
      <c r="R33" s="16"/>
      <c r="S33" s="16"/>
      <c r="T33" s="16"/>
      <c r="U33" s="16"/>
      <c r="V33" s="16"/>
      <c r="W33" s="16"/>
      <c r="X33" s="16"/>
      <c r="Y33" s="16"/>
      <c r="Z33" s="16"/>
    </row>
    <row r="34" spans="1:26" s="17" customFormat="1" x14ac:dyDescent="0.2">
      <c r="A34" s="346"/>
      <c r="B34" s="312" t="s">
        <v>61</v>
      </c>
      <c r="C34" s="662" t="s">
        <v>1457</v>
      </c>
      <c r="D34" s="662"/>
      <c r="E34" s="662"/>
      <c r="F34" s="663"/>
      <c r="G34" s="317" t="s">
        <v>344</v>
      </c>
      <c r="H34" s="103"/>
      <c r="I34" s="41">
        <f>'11A1'!I34+'11A2'!J34+'11A3'!J34+'11A4'!J34</f>
        <v>0</v>
      </c>
      <c r="J34" s="49">
        <f>'11A1'!J34+'11A2'!L34+'11A3'!L34+'11A4'!L34</f>
        <v>0</v>
      </c>
      <c r="K34" s="49">
        <f>'11A1'!K34+'11A2'!N34+'11A3'!N34+'11A4'!N34</f>
        <v>0</v>
      </c>
      <c r="L34" s="49">
        <f>'11A1'!L34+'11A2'!P34+'11A3'!P34+'11A4'!P34</f>
        <v>0</v>
      </c>
      <c r="M34" s="49">
        <f>'11A1'!M34+'11A2'!R34+'11A3'!R34+'11A4'!R34</f>
        <v>0</v>
      </c>
      <c r="N34" s="49">
        <f>'11A1'!N34+'11A2'!T34+'11A3'!T34+'11A4'!T34</f>
        <v>0</v>
      </c>
      <c r="O34" s="49">
        <f>'11A1'!O34+'11A2'!V34+'11A3'!V34+'11A4'!V34</f>
        <v>0</v>
      </c>
      <c r="P34" s="15"/>
      <c r="Q34" s="16"/>
      <c r="R34" s="16"/>
      <c r="S34" s="16"/>
      <c r="T34" s="16"/>
      <c r="U34" s="16"/>
      <c r="V34" s="16"/>
      <c r="W34" s="16"/>
      <c r="X34" s="16"/>
      <c r="Y34" s="16"/>
      <c r="Z34" s="16"/>
    </row>
    <row r="35" spans="1:26" s="17" customFormat="1" x14ac:dyDescent="0.2">
      <c r="A35" s="620"/>
      <c r="B35" s="621"/>
      <c r="C35" s="312" t="s">
        <v>54</v>
      </c>
      <c r="D35" s="312" t="s">
        <v>83</v>
      </c>
      <c r="E35" s="312"/>
      <c r="F35" s="312"/>
      <c r="G35" s="618" t="s">
        <v>1459</v>
      </c>
      <c r="H35" s="103"/>
      <c r="I35" s="41">
        <f>'11A1'!I35+'11A2'!J35+'11A3'!J35+'11A4'!J35</f>
        <v>0</v>
      </c>
      <c r="J35" s="49">
        <f>'11A1'!J35+'11A2'!L35+'11A3'!L35+'11A4'!L35</f>
        <v>0</v>
      </c>
      <c r="K35" s="49">
        <f>'11A1'!K35+'11A2'!N35+'11A3'!N35+'11A4'!N35</f>
        <v>0</v>
      </c>
      <c r="L35" s="49">
        <f>'11A1'!L35+'11A2'!P35+'11A3'!P35+'11A4'!P35</f>
        <v>0</v>
      </c>
      <c r="M35" s="49">
        <f>'11A1'!M35+'11A2'!R35+'11A3'!R35+'11A4'!R35</f>
        <v>0</v>
      </c>
      <c r="N35" s="49">
        <f>'11A1'!N35+'11A2'!T35+'11A3'!T35+'11A4'!T35</f>
        <v>0</v>
      </c>
      <c r="O35" s="49">
        <f>'11A1'!O35+'11A2'!V35+'11A3'!V35+'11A4'!V35</f>
        <v>0</v>
      </c>
      <c r="P35" s="15"/>
      <c r="Q35" s="16"/>
      <c r="R35" s="16"/>
      <c r="S35" s="16"/>
      <c r="T35" s="16"/>
      <c r="U35" s="16"/>
      <c r="V35" s="16"/>
      <c r="W35" s="16"/>
      <c r="X35" s="16"/>
      <c r="Y35" s="16"/>
      <c r="Z35" s="16"/>
    </row>
    <row r="36" spans="1:26" s="17" customFormat="1" x14ac:dyDescent="0.2">
      <c r="A36" s="620"/>
      <c r="B36" s="621"/>
      <c r="C36" s="312" t="s">
        <v>55</v>
      </c>
      <c r="D36" s="312" t="s">
        <v>1458</v>
      </c>
      <c r="E36" s="312"/>
      <c r="F36" s="312"/>
      <c r="G36" s="618" t="s">
        <v>1460</v>
      </c>
      <c r="H36" s="103"/>
      <c r="I36" s="41">
        <f>'11A1'!I36+'11A2'!J36+'11A3'!J36+'11A4'!J36</f>
        <v>0</v>
      </c>
      <c r="J36" s="49">
        <f>'11A1'!J36+'11A2'!L36+'11A3'!L36+'11A4'!L36</f>
        <v>0</v>
      </c>
      <c r="K36" s="49">
        <f>'11A1'!K36+'11A2'!N36+'11A3'!N36+'11A4'!N36</f>
        <v>0</v>
      </c>
      <c r="L36" s="49">
        <f>'11A1'!L36+'11A2'!P36+'11A3'!P36+'11A4'!P36</f>
        <v>0</v>
      </c>
      <c r="M36" s="49">
        <f>'11A1'!M36+'11A2'!R36+'11A3'!R36+'11A4'!R36</f>
        <v>0</v>
      </c>
      <c r="N36" s="49">
        <f>'11A1'!N36+'11A2'!T36+'11A3'!T36+'11A4'!T36</f>
        <v>0</v>
      </c>
      <c r="O36" s="49">
        <f>'11A1'!O36+'11A2'!V36+'11A3'!V36+'11A4'!V36</f>
        <v>0</v>
      </c>
      <c r="P36" s="15"/>
      <c r="Q36" s="16"/>
      <c r="R36" s="16"/>
      <c r="S36" s="16"/>
      <c r="T36" s="16"/>
      <c r="U36" s="16"/>
      <c r="V36" s="16"/>
      <c r="W36" s="16"/>
      <c r="X36" s="16"/>
      <c r="Y36" s="16"/>
      <c r="Z36" s="16"/>
    </row>
    <row r="37" spans="1:26" s="17" customFormat="1" x14ac:dyDescent="0.2">
      <c r="A37" s="346"/>
      <c r="B37" s="3" t="s">
        <v>1434</v>
      </c>
      <c r="C37" s="3" t="s">
        <v>1468</v>
      </c>
      <c r="D37" s="3"/>
      <c r="E37" s="3"/>
      <c r="F37" s="79"/>
      <c r="G37" s="602" t="s">
        <v>1435</v>
      </c>
      <c r="H37" s="103"/>
      <c r="I37" s="41">
        <f>'11A1'!I37+'11A2'!J37+'11A3'!J37+'11A4'!J37</f>
        <v>0</v>
      </c>
      <c r="J37" s="49">
        <f>'11A1'!J37+'11A2'!L37+'11A3'!L37+'11A4'!L37</f>
        <v>0</v>
      </c>
      <c r="K37" s="49">
        <f>'11A1'!K37+'11A2'!N37+'11A3'!N37+'11A4'!N37</f>
        <v>0</v>
      </c>
      <c r="L37" s="49">
        <f>'11A1'!L37+'11A2'!P37+'11A3'!P37+'11A4'!P37</f>
        <v>0</v>
      </c>
      <c r="M37" s="49">
        <f>'11A1'!M37+'11A2'!R37+'11A3'!R37+'11A4'!R37</f>
        <v>0</v>
      </c>
      <c r="N37" s="49">
        <f>'11A1'!N37+'11A2'!T37+'11A3'!T37+'11A4'!T37</f>
        <v>0</v>
      </c>
      <c r="O37" s="49">
        <f>'11A1'!O37+'11A2'!V37+'11A3'!V37+'11A4'!V37</f>
        <v>0</v>
      </c>
      <c r="P37" s="15"/>
      <c r="Q37" s="16"/>
      <c r="R37" s="16"/>
      <c r="S37" s="16"/>
      <c r="T37" s="16"/>
      <c r="U37" s="16"/>
      <c r="V37" s="16"/>
      <c r="W37" s="16"/>
      <c r="X37" s="16"/>
      <c r="Y37" s="16"/>
      <c r="Z37" s="16"/>
    </row>
    <row r="38" spans="1:26" s="17" customFormat="1" x14ac:dyDescent="0.2">
      <c r="A38" s="346"/>
      <c r="B38" s="312" t="s">
        <v>1433</v>
      </c>
      <c r="C38" s="312" t="s">
        <v>52</v>
      </c>
      <c r="D38" s="312"/>
      <c r="E38" s="312"/>
      <c r="F38" s="225"/>
      <c r="G38" s="317" t="s">
        <v>345</v>
      </c>
      <c r="H38" s="103"/>
      <c r="I38" s="41">
        <f>'11A1'!I38+'11A2'!J38+'11A3'!J38+'11A4'!J38</f>
        <v>0</v>
      </c>
      <c r="J38" s="49">
        <f>'11A1'!J38+'11A2'!L38+'11A3'!L38+'11A4'!L38</f>
        <v>0</v>
      </c>
      <c r="K38" s="49">
        <f>'11A1'!K38+'11A2'!N38+'11A3'!N38+'11A4'!N38</f>
        <v>0</v>
      </c>
      <c r="L38" s="49">
        <f>'11A1'!L38+'11A2'!P38+'11A3'!P38+'11A4'!P38</f>
        <v>0</v>
      </c>
      <c r="M38" s="49">
        <f>'11A1'!M38+'11A2'!R38+'11A3'!R38+'11A4'!R38</f>
        <v>0</v>
      </c>
      <c r="N38" s="49">
        <f>'11A1'!N38+'11A2'!T38+'11A3'!T38+'11A4'!T38</f>
        <v>0</v>
      </c>
      <c r="O38" s="49">
        <f>'11A1'!O38+'11A2'!V38+'11A3'!V38+'11A4'!V38</f>
        <v>0</v>
      </c>
      <c r="P38" s="15"/>
      <c r="Q38" s="16"/>
      <c r="R38" s="16"/>
      <c r="S38" s="16"/>
      <c r="T38" s="16"/>
      <c r="U38" s="16"/>
      <c r="V38" s="16"/>
      <c r="W38" s="16"/>
      <c r="X38" s="16"/>
      <c r="Y38" s="16"/>
      <c r="Z38" s="16"/>
    </row>
    <row r="39" spans="1:26" s="17" customFormat="1" x14ac:dyDescent="0.2">
      <c r="A39" s="346" t="s">
        <v>81</v>
      </c>
      <c r="B39" s="312" t="s">
        <v>85</v>
      </c>
      <c r="C39" s="312"/>
      <c r="D39" s="312"/>
      <c r="E39" s="312"/>
      <c r="F39" s="225"/>
      <c r="G39" s="317" t="s">
        <v>346</v>
      </c>
      <c r="H39" s="103"/>
      <c r="I39" s="41">
        <f>'11A1'!I39+'11A2'!J39+'11A3'!J39+'11A4'!J39</f>
        <v>0</v>
      </c>
      <c r="J39" s="49">
        <f>'11A1'!J39+'11A2'!L39+'11A3'!L39+'11A4'!L39</f>
        <v>0</v>
      </c>
      <c r="K39" s="49">
        <f>'11A1'!K39+'11A2'!N39+'11A3'!N39+'11A4'!N39</f>
        <v>0</v>
      </c>
      <c r="L39" s="49">
        <f>'11A1'!L39+'11A2'!P39+'11A3'!P39+'11A4'!P39</f>
        <v>0</v>
      </c>
      <c r="M39" s="49">
        <f>'11A1'!M39+'11A2'!R39+'11A3'!R39+'11A4'!R39</f>
        <v>0</v>
      </c>
      <c r="N39" s="49">
        <f>'11A1'!N39+'11A2'!T39+'11A3'!T39+'11A4'!T39</f>
        <v>0</v>
      </c>
      <c r="O39" s="49">
        <f>'11A1'!O39+'11A2'!V39+'11A3'!V39+'11A4'!V39</f>
        <v>0</v>
      </c>
      <c r="P39" s="15"/>
      <c r="Q39" s="16"/>
      <c r="R39" s="16"/>
      <c r="S39" s="16"/>
      <c r="T39" s="16"/>
      <c r="U39" s="16"/>
      <c r="V39" s="16"/>
      <c r="W39" s="16"/>
      <c r="X39" s="16"/>
      <c r="Y39" s="16"/>
      <c r="Z39" s="16"/>
    </row>
    <row r="40" spans="1:26" s="17" customFormat="1" x14ac:dyDescent="0.2">
      <c r="A40" s="223" t="s">
        <v>86</v>
      </c>
      <c r="B40" s="312"/>
      <c r="C40" s="312"/>
      <c r="D40" s="312"/>
      <c r="E40" s="312"/>
      <c r="F40" s="347"/>
      <c r="G40" s="317" t="s">
        <v>347</v>
      </c>
      <c r="H40" s="103"/>
      <c r="I40" s="41">
        <f>'11A1'!I40+'11A2'!J40+'11A3'!J40+'11A4'!J40</f>
        <v>0</v>
      </c>
      <c r="J40" s="49">
        <f>'11A1'!J40+'11A2'!L40+'11A3'!L40+'11A4'!L40</f>
        <v>0</v>
      </c>
      <c r="K40" s="49">
        <f>'11A1'!K40+'11A2'!N40+'11A3'!N40+'11A4'!N40</f>
        <v>0</v>
      </c>
      <c r="L40" s="49">
        <f>'11A1'!L40+'11A2'!P40+'11A3'!P40+'11A4'!P40</f>
        <v>0</v>
      </c>
      <c r="M40" s="49">
        <f>'11A1'!M40+'11A2'!R40+'11A3'!R40+'11A4'!R40</f>
        <v>0</v>
      </c>
      <c r="N40" s="49">
        <f>'11A1'!N40+'11A2'!T40+'11A3'!T40+'11A4'!T40</f>
        <v>0</v>
      </c>
      <c r="O40" s="49">
        <f>'11A1'!O40+'11A2'!V40+'11A3'!V40+'11A4'!V40</f>
        <v>0</v>
      </c>
      <c r="P40" s="15"/>
      <c r="Q40" s="16"/>
      <c r="R40" s="16"/>
      <c r="S40" s="16"/>
      <c r="T40" s="16"/>
      <c r="U40" s="16"/>
      <c r="V40" s="16"/>
      <c r="W40" s="16"/>
      <c r="X40" s="16"/>
      <c r="Y40" s="16"/>
      <c r="Z40" s="16"/>
    </row>
    <row r="41" spans="1:26" s="17" customFormat="1" x14ac:dyDescent="0.2">
      <c r="A41" s="348" t="s">
        <v>54</v>
      </c>
      <c r="B41" s="225" t="s">
        <v>87</v>
      </c>
      <c r="C41" s="312"/>
      <c r="D41" s="312"/>
      <c r="E41" s="312"/>
      <c r="F41" s="347"/>
      <c r="G41" s="317" t="s">
        <v>348</v>
      </c>
      <c r="H41" s="103"/>
      <c r="I41" s="41">
        <f>'11A1'!I41+'11A2'!J41+'11A3'!J41+'11A4'!J41</f>
        <v>0</v>
      </c>
      <c r="J41" s="49">
        <f>'11A1'!J41+'11A2'!L41+'11A3'!L41+'11A4'!L41</f>
        <v>0</v>
      </c>
      <c r="K41" s="49">
        <f>'11A1'!K41+'11A2'!N41+'11A3'!N41+'11A4'!N41</f>
        <v>0</v>
      </c>
      <c r="L41" s="49">
        <f>'11A1'!L41+'11A2'!P41+'11A3'!P41+'11A4'!P41</f>
        <v>0</v>
      </c>
      <c r="M41" s="49">
        <f>'11A1'!M41+'11A2'!R41+'11A3'!R41+'11A4'!R41</f>
        <v>0</v>
      </c>
      <c r="N41" s="49">
        <f>'11A1'!N41+'11A2'!T41+'11A3'!T41+'11A4'!T41</f>
        <v>0</v>
      </c>
      <c r="O41" s="49">
        <f>'11A1'!O41+'11A2'!V41+'11A3'!V41+'11A4'!V41</f>
        <v>0</v>
      </c>
      <c r="P41" s="15"/>
      <c r="Q41" s="16"/>
      <c r="R41" s="16"/>
      <c r="S41" s="16"/>
      <c r="T41" s="16"/>
      <c r="U41" s="16"/>
      <c r="V41" s="16"/>
      <c r="W41" s="16"/>
      <c r="X41" s="16"/>
      <c r="Y41" s="16"/>
      <c r="Z41" s="16"/>
    </row>
    <row r="42" spans="1:26" s="17" customFormat="1" x14ac:dyDescent="0.2">
      <c r="A42" s="348" t="s">
        <v>55</v>
      </c>
      <c r="B42" s="225" t="s">
        <v>88</v>
      </c>
      <c r="C42" s="312"/>
      <c r="D42" s="312"/>
      <c r="E42" s="312"/>
      <c r="F42" s="347"/>
      <c r="G42" s="317" t="s">
        <v>349</v>
      </c>
      <c r="H42" s="103"/>
      <c r="I42" s="41">
        <f>'11A1'!I42+'11A2'!J42+'11A3'!J42+'11A4'!J42</f>
        <v>0</v>
      </c>
      <c r="J42" s="49">
        <f>'11A1'!J42+'11A2'!L42+'11A3'!L42+'11A4'!L42</f>
        <v>0</v>
      </c>
      <c r="K42" s="49">
        <f>'11A1'!K42+'11A2'!N42+'11A3'!N42+'11A4'!N42</f>
        <v>0</v>
      </c>
      <c r="L42" s="49">
        <f>'11A1'!L42+'11A2'!P42+'11A3'!P42+'11A4'!P42</f>
        <v>0</v>
      </c>
      <c r="M42" s="49">
        <f>'11A1'!M42+'11A2'!R42+'11A3'!R42+'11A4'!R42</f>
        <v>0</v>
      </c>
      <c r="N42" s="49">
        <f>'11A1'!N42+'11A2'!T42+'11A3'!T42+'11A4'!T42</f>
        <v>0</v>
      </c>
      <c r="O42" s="49">
        <f>'11A1'!O42+'11A2'!V42+'11A3'!V42+'11A4'!V42</f>
        <v>0</v>
      </c>
      <c r="P42" s="15"/>
      <c r="Q42" s="16"/>
      <c r="R42" s="16"/>
      <c r="S42" s="16"/>
      <c r="T42" s="16"/>
      <c r="U42" s="16"/>
      <c r="V42" s="16"/>
      <c r="W42" s="16"/>
      <c r="X42" s="16"/>
      <c r="Y42" s="16"/>
      <c r="Z42" s="16"/>
    </row>
    <row r="43" spans="1:26" s="17" customFormat="1" x14ac:dyDescent="0.2">
      <c r="A43" s="348" t="s">
        <v>65</v>
      </c>
      <c r="B43" s="312" t="s">
        <v>89</v>
      </c>
      <c r="C43" s="312"/>
      <c r="D43" s="312"/>
      <c r="E43" s="312"/>
      <c r="F43" s="347"/>
      <c r="G43" s="317" t="s">
        <v>350</v>
      </c>
      <c r="H43" s="103"/>
      <c r="I43" s="41">
        <f>'11A1'!I43+'11A2'!J43+'11A3'!J43+'11A4'!J43</f>
        <v>0</v>
      </c>
      <c r="J43" s="49">
        <f>'11A1'!J43+'11A2'!L43+'11A3'!L43+'11A4'!L43</f>
        <v>0</v>
      </c>
      <c r="K43" s="49">
        <f>'11A1'!K43+'11A2'!N43+'11A3'!N43+'11A4'!N43</f>
        <v>0</v>
      </c>
      <c r="L43" s="49">
        <f>'11A1'!L43+'11A2'!P43+'11A3'!P43+'11A4'!P43</f>
        <v>0</v>
      </c>
      <c r="M43" s="49">
        <f>'11A1'!M43+'11A2'!R43+'11A3'!R43+'11A4'!R43</f>
        <v>0</v>
      </c>
      <c r="N43" s="49">
        <f>'11A1'!N43+'11A2'!T43+'11A3'!T43+'11A4'!T43</f>
        <v>0</v>
      </c>
      <c r="O43" s="49">
        <f>'11A1'!O43+'11A2'!V43+'11A3'!V43+'11A4'!V43</f>
        <v>0</v>
      </c>
      <c r="P43" s="15"/>
      <c r="Q43" s="16"/>
      <c r="R43" s="16"/>
      <c r="S43" s="16"/>
      <c r="T43" s="16"/>
      <c r="U43" s="16"/>
      <c r="V43" s="16"/>
      <c r="W43" s="16"/>
      <c r="X43" s="16"/>
      <c r="Y43" s="16"/>
      <c r="Z43" s="16"/>
    </row>
    <row r="44" spans="1:26" s="17" customFormat="1" x14ac:dyDescent="0.2">
      <c r="A44" s="348" t="s">
        <v>90</v>
      </c>
      <c r="B44" s="312" t="s">
        <v>91</v>
      </c>
      <c r="C44" s="312"/>
      <c r="D44" s="312"/>
      <c r="E44" s="312"/>
      <c r="F44" s="347"/>
      <c r="G44" s="317" t="s">
        <v>351</v>
      </c>
      <c r="H44" s="103"/>
      <c r="I44" s="41">
        <f>'11A1'!I44+'11A2'!J44+'11A3'!J44+'11A4'!J44</f>
        <v>0</v>
      </c>
      <c r="J44" s="49">
        <f>'11A1'!J44+'11A2'!L44+'11A3'!L44+'11A4'!L44</f>
        <v>0</v>
      </c>
      <c r="K44" s="49">
        <f>'11A1'!K44+'11A2'!N44+'11A3'!N44+'11A4'!N44</f>
        <v>0</v>
      </c>
      <c r="L44" s="49">
        <f>'11A1'!L44+'11A2'!P44+'11A3'!P44+'11A4'!P44</f>
        <v>0</v>
      </c>
      <c r="M44" s="49">
        <f>'11A1'!M44+'11A2'!R44+'11A3'!R44+'11A4'!R44</f>
        <v>0</v>
      </c>
      <c r="N44" s="49">
        <f>'11A1'!N44+'11A2'!T44+'11A3'!T44+'11A4'!T44</f>
        <v>0</v>
      </c>
      <c r="O44" s="49">
        <f>'11A1'!O44+'11A2'!V44+'11A3'!V44+'11A4'!V44</f>
        <v>0</v>
      </c>
      <c r="P44" s="15"/>
      <c r="Q44" s="16"/>
      <c r="R44" s="16"/>
      <c r="S44" s="16"/>
      <c r="T44" s="16"/>
      <c r="U44" s="16"/>
      <c r="V44" s="16"/>
      <c r="W44" s="16"/>
      <c r="X44" s="16"/>
      <c r="Y44" s="16"/>
      <c r="Z44" s="16"/>
    </row>
    <row r="45" spans="1:26" s="17" customFormat="1" x14ac:dyDescent="0.2">
      <c r="A45" s="349" t="s">
        <v>140</v>
      </c>
      <c r="B45" s="349"/>
      <c r="C45" s="349"/>
      <c r="D45" s="349"/>
      <c r="E45" s="349"/>
      <c r="F45" s="349"/>
      <c r="G45" s="317" t="s">
        <v>352</v>
      </c>
      <c r="H45" s="103"/>
      <c r="I45" s="41">
        <f>'11A1'!I45+'11A2'!J45+'11A3'!J45+'11A4'!J45</f>
        <v>0</v>
      </c>
      <c r="J45" s="49">
        <f>'11A1'!J45+'11A2'!L45+'11A3'!L45+'11A4'!L45</f>
        <v>0</v>
      </c>
      <c r="K45" s="49">
        <f>'11A1'!K45+'11A2'!N45+'11A3'!N45+'11A4'!N45</f>
        <v>0</v>
      </c>
      <c r="L45" s="49">
        <f>'11A1'!L45+'11A2'!P45+'11A3'!P45+'11A4'!P45</f>
        <v>0</v>
      </c>
      <c r="M45" s="49">
        <f>'11A1'!M45+'11A2'!R45+'11A3'!R45+'11A4'!R45</f>
        <v>0</v>
      </c>
      <c r="N45" s="49">
        <f>'11A1'!N45+'11A2'!T45+'11A3'!T45+'11A4'!T45</f>
        <v>0</v>
      </c>
      <c r="O45" s="49">
        <f>'11A1'!O45+'11A2'!V45+'11A3'!V45+'11A4'!V45</f>
        <v>0</v>
      </c>
      <c r="P45" s="15"/>
      <c r="Q45" s="16"/>
      <c r="R45" s="16"/>
      <c r="S45" s="16"/>
      <c r="T45" s="16"/>
      <c r="U45" s="16"/>
      <c r="V45" s="16"/>
      <c r="W45" s="16"/>
      <c r="X45" s="16"/>
      <c r="Y45" s="16"/>
      <c r="Z45" s="16"/>
    </row>
    <row r="46" spans="1:26" s="17" customFormat="1" x14ac:dyDescent="0.2">
      <c r="A46" s="328" t="s">
        <v>644</v>
      </c>
      <c r="B46" s="329"/>
      <c r="C46" s="329"/>
      <c r="D46" s="330"/>
      <c r="E46" s="329"/>
      <c r="F46" s="331"/>
      <c r="G46" s="350"/>
      <c r="H46" s="103"/>
      <c r="I46" s="41"/>
      <c r="J46" s="49"/>
      <c r="K46" s="49"/>
      <c r="L46" s="49"/>
      <c r="M46" s="49"/>
      <c r="N46" s="49"/>
      <c r="O46" s="49"/>
      <c r="P46" s="16"/>
      <c r="Q46" s="16"/>
      <c r="R46" s="16"/>
      <c r="S46" s="16"/>
      <c r="T46" s="16"/>
      <c r="U46" s="16"/>
      <c r="V46" s="16"/>
      <c r="W46" s="16"/>
      <c r="X46" s="16"/>
      <c r="Y46" s="16"/>
      <c r="Z46" s="16"/>
    </row>
    <row r="47" spans="1:26" s="17" customFormat="1" x14ac:dyDescent="0.2">
      <c r="A47" s="333" t="s">
        <v>161</v>
      </c>
      <c r="B47" s="303" t="s">
        <v>68</v>
      </c>
      <c r="C47" s="303"/>
      <c r="D47" s="303"/>
      <c r="E47" s="303"/>
      <c r="F47" s="334"/>
      <c r="G47" s="351" t="s">
        <v>642</v>
      </c>
      <c r="H47" s="103"/>
      <c r="I47" s="41">
        <f>'11A1'!I47+'11A2'!J47+'11A3'!J47+'11A4'!J47</f>
        <v>0</v>
      </c>
      <c r="J47" s="49">
        <f>'11A1'!J47+'11A2'!L47+'11A3'!L47+'11A4'!L47</f>
        <v>0</v>
      </c>
      <c r="K47" s="49">
        <f>'11A1'!K47+'11A2'!N47+'11A3'!N47+'11A4'!N47</f>
        <v>0</v>
      </c>
      <c r="L47" s="49">
        <f>'11A1'!L47+'11A2'!P47+'11A3'!P47+'11A4'!P47</f>
        <v>0</v>
      </c>
      <c r="M47" s="49">
        <f>'11A1'!M47+'11A2'!R47+'11A3'!R47+'11A4'!R47</f>
        <v>0</v>
      </c>
      <c r="N47" s="49">
        <f>'11A1'!N47+'11A2'!T47+'11A3'!T47+'11A4'!T47</f>
        <v>0</v>
      </c>
      <c r="O47" s="49">
        <f>'11A1'!O47+'11A2'!V47+'11A3'!V47+'11A4'!V47</f>
        <v>0</v>
      </c>
      <c r="P47" s="16"/>
      <c r="Q47" s="16"/>
      <c r="R47" s="16"/>
      <c r="S47" s="16"/>
      <c r="T47" s="16"/>
      <c r="U47" s="16"/>
      <c r="V47" s="16"/>
      <c r="W47" s="16"/>
      <c r="X47" s="16"/>
      <c r="Y47" s="16"/>
      <c r="Z47" s="16"/>
    </row>
    <row r="48" spans="1:26" s="17" customFormat="1" x14ac:dyDescent="0.2">
      <c r="A48" s="333" t="s">
        <v>164</v>
      </c>
      <c r="B48" s="303" t="s">
        <v>70</v>
      </c>
      <c r="C48" s="303"/>
      <c r="D48" s="303"/>
      <c r="E48" s="303"/>
      <c r="F48" s="334"/>
      <c r="G48" s="351" t="s">
        <v>643</v>
      </c>
      <c r="H48" s="103"/>
      <c r="I48" s="41">
        <f>'11A1'!I48+'11A2'!J48+'11A3'!J48+'11A4'!J48</f>
        <v>0</v>
      </c>
      <c r="J48" s="49">
        <f>'11A1'!J48+'11A2'!L48+'11A3'!L48+'11A4'!L48</f>
        <v>0</v>
      </c>
      <c r="K48" s="49">
        <f>'11A1'!K48+'11A2'!N48+'11A3'!N48+'11A4'!N48</f>
        <v>0</v>
      </c>
      <c r="L48" s="49">
        <f>'11A1'!L48+'11A2'!P48+'11A3'!P48+'11A4'!P48</f>
        <v>0</v>
      </c>
      <c r="M48" s="49">
        <f>'11A1'!M48+'11A2'!R48+'11A3'!R48+'11A4'!R48</f>
        <v>0</v>
      </c>
      <c r="N48" s="49">
        <f>'11A1'!N48+'11A2'!T48+'11A3'!T48+'11A4'!T48</f>
        <v>0</v>
      </c>
      <c r="O48" s="49">
        <f>'11A1'!O48+'11A2'!V48+'11A3'!V48+'11A4'!V48</f>
        <v>0</v>
      </c>
      <c r="P48" s="16"/>
      <c r="Q48" s="16"/>
      <c r="R48" s="16"/>
      <c r="S48" s="16"/>
      <c r="T48" s="16"/>
      <c r="U48" s="16"/>
      <c r="V48" s="16"/>
      <c r="W48" s="16"/>
      <c r="X48" s="16"/>
      <c r="Y48" s="16"/>
      <c r="Z48" s="16"/>
    </row>
    <row r="49" spans="1:26" s="17" customFormat="1" x14ac:dyDescent="0.2">
      <c r="A49" s="223" t="s">
        <v>177</v>
      </c>
      <c r="B49" s="312"/>
      <c r="C49" s="347"/>
      <c r="D49" s="347"/>
      <c r="E49" s="347"/>
      <c r="F49" s="347"/>
      <c r="G49" s="352"/>
      <c r="H49" s="23"/>
      <c r="I49" s="105"/>
      <c r="J49" s="106"/>
      <c r="K49" s="106"/>
      <c r="L49" s="106"/>
      <c r="M49" s="106"/>
      <c r="N49" s="106"/>
      <c r="O49" s="106"/>
      <c r="P49" s="16"/>
      <c r="Q49" s="16"/>
      <c r="R49" s="16"/>
      <c r="S49" s="16"/>
      <c r="T49" s="16"/>
      <c r="U49" s="16"/>
      <c r="V49" s="16"/>
      <c r="W49" s="16"/>
      <c r="X49" s="16"/>
      <c r="Y49" s="16"/>
      <c r="Z49" s="16"/>
    </row>
    <row r="50" spans="1:26" s="17" customFormat="1" x14ac:dyDescent="0.2">
      <c r="A50" s="338" t="s">
        <v>54</v>
      </c>
      <c r="B50" s="353" t="s">
        <v>304</v>
      </c>
      <c r="C50" s="347"/>
      <c r="D50" s="347"/>
      <c r="E50" s="347"/>
      <c r="F50" s="347"/>
      <c r="G50" s="313" t="s">
        <v>353</v>
      </c>
      <c r="H50" s="23"/>
      <c r="I50" s="41">
        <f>'11A1'!I50+'11A2'!J50+'11A3'!J50+'11A4'!J50</f>
        <v>0</v>
      </c>
      <c r="J50" s="49">
        <f>'11A1'!J50+'11A2'!L50+'11A3'!L50+'11A4'!L50</f>
        <v>0</v>
      </c>
      <c r="K50" s="49">
        <f>'11A1'!K50+'11A2'!N50+'11A3'!N50+'11A4'!N50</f>
        <v>0</v>
      </c>
      <c r="L50" s="49">
        <f>'11A1'!L50+'11A2'!P50+'11A3'!P50+'11A4'!P50</f>
        <v>0</v>
      </c>
      <c r="M50" s="49">
        <f>'11A1'!M50+'11A2'!R50+'11A3'!R50+'11A4'!R50</f>
        <v>0</v>
      </c>
      <c r="N50" s="49">
        <f>'11A1'!N50+'11A2'!T50+'11A3'!T50+'11A4'!T50</f>
        <v>0</v>
      </c>
      <c r="O50" s="49">
        <f>'11A1'!O50+'11A2'!V50+'11A3'!V50+'11A4'!V50</f>
        <v>0</v>
      </c>
      <c r="P50" s="16"/>
      <c r="Q50" s="16"/>
      <c r="R50" s="16"/>
      <c r="S50" s="16"/>
      <c r="T50" s="16"/>
      <c r="U50" s="16"/>
      <c r="V50" s="16"/>
      <c r="W50" s="16"/>
      <c r="X50" s="16"/>
      <c r="Y50" s="16"/>
      <c r="Z50" s="16"/>
    </row>
    <row r="51" spans="1:26" s="17" customFormat="1" x14ac:dyDescent="0.2">
      <c r="A51" s="340"/>
      <c r="B51" s="312" t="s">
        <v>59</v>
      </c>
      <c r="C51" s="347" t="s">
        <v>305</v>
      </c>
      <c r="D51" s="347"/>
      <c r="E51" s="347"/>
      <c r="F51" s="347"/>
      <c r="G51" s="313" t="s">
        <v>354</v>
      </c>
      <c r="H51" s="23"/>
      <c r="I51" s="41">
        <f>'11A1'!I51+'11A2'!J51+'11A3'!J51+'11A4'!J51</f>
        <v>0</v>
      </c>
      <c r="J51" s="49">
        <f>'11A1'!J51+'11A2'!L51+'11A3'!L51+'11A4'!L51</f>
        <v>0</v>
      </c>
      <c r="K51" s="49">
        <f>'11A1'!K51+'11A2'!N51+'11A3'!N51+'11A4'!N51</f>
        <v>0</v>
      </c>
      <c r="L51" s="49">
        <f>'11A1'!L51+'11A2'!P51+'11A3'!P51+'11A4'!P51</f>
        <v>0</v>
      </c>
      <c r="M51" s="49">
        <f>'11A1'!M51+'11A2'!R51+'11A3'!R51+'11A4'!R51</f>
        <v>0</v>
      </c>
      <c r="N51" s="49">
        <f>'11A1'!N51+'11A2'!T51+'11A3'!T51+'11A4'!T51</f>
        <v>0</v>
      </c>
      <c r="O51" s="49">
        <f>'11A1'!O51+'11A2'!V51+'11A3'!V51+'11A4'!V51</f>
        <v>0</v>
      </c>
      <c r="P51" s="16"/>
      <c r="Q51" s="16"/>
      <c r="R51" s="16"/>
      <c r="S51" s="16"/>
      <c r="T51" s="16"/>
      <c r="U51" s="16"/>
      <c r="V51" s="16"/>
      <c r="W51" s="16"/>
      <c r="X51" s="16"/>
      <c r="Y51" s="16"/>
      <c r="Z51" s="16"/>
    </row>
    <row r="52" spans="1:26" s="17" customFormat="1" x14ac:dyDescent="0.2">
      <c r="A52" s="340"/>
      <c r="B52" s="312"/>
      <c r="C52" s="347" t="s">
        <v>306</v>
      </c>
      <c r="D52" s="347" t="s">
        <v>307</v>
      </c>
      <c r="E52" s="347"/>
      <c r="F52" s="347"/>
      <c r="G52" s="313" t="s">
        <v>355</v>
      </c>
      <c r="H52" s="23"/>
      <c r="I52" s="41">
        <f>'11A1'!I52+'11A2'!J52+'11A3'!J52+'11A4'!J52</f>
        <v>0</v>
      </c>
      <c r="J52" s="49">
        <f>'11A1'!J52+'11A2'!L52+'11A3'!L52+'11A4'!L52</f>
        <v>0</v>
      </c>
      <c r="K52" s="49">
        <f>'11A1'!K52+'11A2'!N52+'11A3'!N52+'11A4'!N52</f>
        <v>0</v>
      </c>
      <c r="L52" s="49">
        <f>'11A1'!L52+'11A2'!P52+'11A3'!P52+'11A4'!P52</f>
        <v>0</v>
      </c>
      <c r="M52" s="49">
        <f>'11A1'!M52+'11A2'!R52+'11A3'!R52+'11A4'!R52</f>
        <v>0</v>
      </c>
      <c r="N52" s="49">
        <f>'11A1'!N52+'11A2'!T52+'11A3'!T52+'11A4'!T52</f>
        <v>0</v>
      </c>
      <c r="O52" s="49">
        <f>'11A1'!O52+'11A2'!V52+'11A3'!V52+'11A4'!V52</f>
        <v>0</v>
      </c>
      <c r="P52" s="16"/>
      <c r="Q52" s="16"/>
      <c r="R52" s="16"/>
      <c r="S52" s="16"/>
      <c r="T52" s="16"/>
      <c r="U52" s="16"/>
      <c r="V52" s="16"/>
      <c r="W52" s="16"/>
      <c r="X52" s="16"/>
      <c r="Y52" s="16"/>
      <c r="Z52" s="16"/>
    </row>
    <row r="53" spans="1:26" s="17" customFormat="1" x14ac:dyDescent="0.2">
      <c r="A53" s="340"/>
      <c r="B53" s="312"/>
      <c r="C53" s="347" t="s">
        <v>308</v>
      </c>
      <c r="D53" s="347" t="s">
        <v>309</v>
      </c>
      <c r="E53" s="347"/>
      <c r="F53" s="347"/>
      <c r="G53" s="313" t="s">
        <v>356</v>
      </c>
      <c r="H53" s="23"/>
      <c r="I53" s="41">
        <f>'11A1'!I53+'11A2'!J53+'11A3'!J53+'11A4'!J53</f>
        <v>0</v>
      </c>
      <c r="J53" s="49">
        <f>'11A1'!J53+'11A2'!L53+'11A3'!L53+'11A4'!L53</f>
        <v>0</v>
      </c>
      <c r="K53" s="49">
        <f>'11A1'!K53+'11A2'!N53+'11A3'!N53+'11A4'!N53</f>
        <v>0</v>
      </c>
      <c r="L53" s="49">
        <f>'11A1'!L53+'11A2'!P53+'11A3'!P53+'11A4'!P53</f>
        <v>0</v>
      </c>
      <c r="M53" s="49">
        <f>'11A1'!M53+'11A2'!R53+'11A3'!R53+'11A4'!R53</f>
        <v>0</v>
      </c>
      <c r="N53" s="49">
        <f>'11A1'!N53+'11A2'!T53+'11A3'!T53+'11A4'!T53</f>
        <v>0</v>
      </c>
      <c r="O53" s="49">
        <f>'11A1'!O53+'11A2'!V53+'11A3'!V53+'11A4'!V53</f>
        <v>0</v>
      </c>
      <c r="P53" s="16"/>
      <c r="Q53" s="16"/>
      <c r="R53" s="16"/>
      <c r="S53" s="16"/>
      <c r="T53" s="16"/>
      <c r="U53" s="16"/>
      <c r="V53" s="16"/>
      <c r="W53" s="16"/>
      <c r="X53" s="16"/>
      <c r="Y53" s="16"/>
      <c r="Z53" s="16"/>
    </row>
    <row r="54" spans="1:26" s="17" customFormat="1" x14ac:dyDescent="0.2">
      <c r="A54" s="340"/>
      <c r="B54" s="312"/>
      <c r="C54" s="347" t="s">
        <v>310</v>
      </c>
      <c r="D54" s="354" t="s">
        <v>624</v>
      </c>
      <c r="E54" s="355"/>
      <c r="F54" s="347"/>
      <c r="G54" s="313" t="s">
        <v>625</v>
      </c>
      <c r="H54" s="23"/>
      <c r="I54" s="41">
        <f>'11A1'!I54+'11A2'!J54+'11A3'!J54+'11A4'!J54</f>
        <v>0</v>
      </c>
      <c r="J54" s="49">
        <f>'11A1'!J54+'11A2'!L54+'11A3'!L54+'11A4'!L54</f>
        <v>0</v>
      </c>
      <c r="K54" s="49">
        <f>'11A1'!K54+'11A2'!N54+'11A3'!N54+'11A4'!N54</f>
        <v>0</v>
      </c>
      <c r="L54" s="49">
        <f>'11A1'!L54+'11A2'!P54+'11A3'!P54+'11A4'!P54</f>
        <v>0</v>
      </c>
      <c r="M54" s="49">
        <f>'11A1'!M54+'11A2'!R54+'11A3'!R54+'11A4'!R54</f>
        <v>0</v>
      </c>
      <c r="N54" s="49">
        <f>'11A1'!N54+'11A2'!T54+'11A3'!T54+'11A4'!T54</f>
        <v>0</v>
      </c>
      <c r="O54" s="49">
        <f>'11A1'!O54+'11A2'!V54+'11A3'!V54+'11A4'!V54</f>
        <v>0</v>
      </c>
      <c r="P54" s="16"/>
      <c r="Q54" s="16"/>
      <c r="R54" s="16"/>
      <c r="S54" s="16"/>
      <c r="T54" s="16"/>
      <c r="U54" s="16"/>
      <c r="V54" s="16"/>
      <c r="W54" s="16"/>
      <c r="X54" s="16"/>
      <c r="Y54" s="16"/>
      <c r="Z54" s="16"/>
    </row>
    <row r="55" spans="1:26" s="17" customFormat="1" x14ac:dyDescent="0.2">
      <c r="A55" s="340"/>
      <c r="B55" s="312"/>
      <c r="C55" s="356" t="s">
        <v>626</v>
      </c>
      <c r="D55" s="357" t="s">
        <v>681</v>
      </c>
      <c r="E55" s="357"/>
      <c r="F55" s="347"/>
      <c r="G55" s="313" t="s">
        <v>682</v>
      </c>
      <c r="H55" s="23"/>
      <c r="I55" s="41">
        <f>'11A1'!I55+'11A2'!J55+'11A3'!J55+'11A4'!J55</f>
        <v>0</v>
      </c>
      <c r="J55" s="49">
        <f>'11A1'!J55+'11A2'!L55+'11A3'!L55+'11A4'!L55</f>
        <v>0</v>
      </c>
      <c r="K55" s="49">
        <f>'11A1'!K55+'11A2'!N55+'11A3'!N55+'11A4'!N55</f>
        <v>0</v>
      </c>
      <c r="L55" s="49">
        <f>'11A1'!L55+'11A2'!P55+'11A3'!P55+'11A4'!P55</f>
        <v>0</v>
      </c>
      <c r="M55" s="49">
        <f>'11A1'!M55+'11A2'!R55+'11A3'!R55+'11A4'!R55</f>
        <v>0</v>
      </c>
      <c r="N55" s="49">
        <f>'11A1'!N55+'11A2'!T55+'11A3'!T55+'11A4'!T55</f>
        <v>0</v>
      </c>
      <c r="O55" s="49">
        <f>'11A1'!O55+'11A2'!V55+'11A3'!V55+'11A4'!V55</f>
        <v>0</v>
      </c>
      <c r="P55" s="16"/>
      <c r="Q55" s="16"/>
      <c r="R55" s="16"/>
      <c r="S55" s="16"/>
      <c r="T55" s="16"/>
      <c r="U55" s="16"/>
      <c r="V55" s="16"/>
      <c r="W55" s="16"/>
      <c r="X55" s="16"/>
      <c r="Y55" s="16"/>
      <c r="Z55" s="16"/>
    </row>
    <row r="56" spans="1:26" s="17" customFormat="1" x14ac:dyDescent="0.2">
      <c r="A56" s="340"/>
      <c r="B56" s="312"/>
      <c r="C56" s="347" t="s">
        <v>680</v>
      </c>
      <c r="D56" s="347" t="s">
        <v>311</v>
      </c>
      <c r="E56" s="347"/>
      <c r="F56" s="347"/>
      <c r="G56" s="313" t="s">
        <v>357</v>
      </c>
      <c r="H56" s="23"/>
      <c r="I56" s="41">
        <f>'11A1'!I56+'11A2'!J56+'11A3'!J56+'11A4'!J56</f>
        <v>0</v>
      </c>
      <c r="J56" s="49">
        <f>'11A1'!J56+'11A2'!L56+'11A3'!L56+'11A4'!L56</f>
        <v>0</v>
      </c>
      <c r="K56" s="49">
        <f>'11A1'!K56+'11A2'!N56+'11A3'!N56+'11A4'!N56</f>
        <v>0</v>
      </c>
      <c r="L56" s="49">
        <f>'11A1'!L56+'11A2'!P56+'11A3'!P56+'11A4'!P56</f>
        <v>0</v>
      </c>
      <c r="M56" s="49">
        <f>'11A1'!M56+'11A2'!R56+'11A3'!R56+'11A4'!R56</f>
        <v>0</v>
      </c>
      <c r="N56" s="49">
        <f>'11A1'!N56+'11A2'!T56+'11A3'!T56+'11A4'!T56</f>
        <v>0</v>
      </c>
      <c r="O56" s="49">
        <f>'11A1'!O56+'11A2'!V56+'11A3'!V56+'11A4'!V56</f>
        <v>0</v>
      </c>
      <c r="P56" s="16"/>
      <c r="Q56" s="16"/>
      <c r="R56" s="16"/>
      <c r="S56" s="16"/>
      <c r="T56" s="16"/>
      <c r="U56" s="16"/>
      <c r="V56" s="16"/>
      <c r="W56" s="16"/>
      <c r="X56" s="16"/>
      <c r="Y56" s="16"/>
      <c r="Z56" s="16"/>
    </row>
    <row r="57" spans="1:26" s="17" customFormat="1" x14ac:dyDescent="0.2">
      <c r="A57" s="340"/>
      <c r="B57" s="312" t="s">
        <v>61</v>
      </c>
      <c r="C57" s="347" t="s">
        <v>312</v>
      </c>
      <c r="D57" s="347"/>
      <c r="E57" s="347"/>
      <c r="F57" s="347"/>
      <c r="G57" s="313" t="s">
        <v>358</v>
      </c>
      <c r="H57" s="23"/>
      <c r="I57" s="41">
        <f>'11A1'!I57+'11A2'!J57+'11A3'!J57+'11A4'!J57</f>
        <v>0</v>
      </c>
      <c r="J57" s="49">
        <f>'11A1'!J57+'11A2'!L57+'11A3'!L57+'11A4'!L57</f>
        <v>0</v>
      </c>
      <c r="K57" s="49">
        <f>'11A1'!K57+'11A2'!N57+'11A3'!N57+'11A4'!N57</f>
        <v>0</v>
      </c>
      <c r="L57" s="49">
        <f>'11A1'!L57+'11A2'!P57+'11A3'!P57+'11A4'!P57</f>
        <v>0</v>
      </c>
      <c r="M57" s="49">
        <f>'11A1'!M57+'11A2'!R57+'11A3'!R57+'11A4'!R57</f>
        <v>0</v>
      </c>
      <c r="N57" s="49">
        <f>'11A1'!N57+'11A2'!T57+'11A3'!T57+'11A4'!T57</f>
        <v>0</v>
      </c>
      <c r="O57" s="49">
        <f>'11A1'!O57+'11A2'!V57+'11A3'!V57+'11A4'!V57</f>
        <v>0</v>
      </c>
      <c r="P57" s="16"/>
      <c r="Q57" s="16"/>
      <c r="R57" s="16"/>
      <c r="S57" s="16"/>
      <c r="T57" s="16"/>
      <c r="U57" s="16"/>
      <c r="V57" s="16"/>
      <c r="W57" s="16"/>
      <c r="X57" s="16"/>
      <c r="Y57" s="16"/>
      <c r="Z57" s="16"/>
    </row>
    <row r="58" spans="1:26" s="17" customFormat="1" x14ac:dyDescent="0.2">
      <c r="A58" s="340"/>
      <c r="B58" s="312" t="s">
        <v>71</v>
      </c>
      <c r="C58" s="347" t="s">
        <v>683</v>
      </c>
      <c r="D58" s="347"/>
      <c r="E58" s="347"/>
      <c r="F58" s="347"/>
      <c r="G58" s="313" t="s">
        <v>684</v>
      </c>
      <c r="H58" s="23"/>
      <c r="I58" s="41">
        <f>'11A1'!I58+'11A2'!J58+'11A3'!J58+'11A4'!J58</f>
        <v>0</v>
      </c>
      <c r="J58" s="49">
        <f>'11A1'!J58+'11A2'!L58+'11A3'!L58+'11A4'!L58</f>
        <v>0</v>
      </c>
      <c r="K58" s="49">
        <f>'11A1'!K58+'11A2'!N58+'11A3'!N58+'11A4'!N58</f>
        <v>0</v>
      </c>
      <c r="L58" s="49">
        <f>'11A1'!L58+'11A2'!P58+'11A3'!P58+'11A4'!P58</f>
        <v>0</v>
      </c>
      <c r="M58" s="49">
        <f>'11A1'!M58+'11A2'!R58+'11A3'!R58+'11A4'!R58</f>
        <v>0</v>
      </c>
      <c r="N58" s="49">
        <f>'11A1'!N58+'11A2'!T58+'11A3'!T58+'11A4'!T58</f>
        <v>0</v>
      </c>
      <c r="O58" s="49">
        <f>'11A1'!O58+'11A2'!V58+'11A3'!V58+'11A4'!V58</f>
        <v>0</v>
      </c>
      <c r="P58" s="16"/>
      <c r="Q58" s="16"/>
      <c r="R58" s="16"/>
      <c r="S58" s="16"/>
      <c r="T58" s="16"/>
      <c r="U58" s="16"/>
      <c r="V58" s="16"/>
      <c r="W58" s="16"/>
      <c r="X58" s="16"/>
      <c r="Y58" s="16"/>
      <c r="Z58" s="16"/>
    </row>
    <row r="59" spans="1:26" s="17" customFormat="1" x14ac:dyDescent="0.2">
      <c r="A59" s="338" t="s">
        <v>55</v>
      </c>
      <c r="B59" s="312" t="s">
        <v>313</v>
      </c>
      <c r="C59" s="347"/>
      <c r="D59" s="347"/>
      <c r="E59" s="347"/>
      <c r="F59" s="347"/>
      <c r="G59" s="313" t="s">
        <v>359</v>
      </c>
      <c r="H59" s="23"/>
      <c r="I59" s="41">
        <f>'11A1'!I59+'11A2'!J59+'11A3'!J59+'11A4'!J59</f>
        <v>0</v>
      </c>
      <c r="J59" s="49">
        <f>'11A1'!J59+'11A2'!L59+'11A3'!L59+'11A4'!L59</f>
        <v>0</v>
      </c>
      <c r="K59" s="49">
        <f>'11A1'!K59+'11A2'!N59+'11A3'!N59+'11A4'!N59</f>
        <v>0</v>
      </c>
      <c r="L59" s="49">
        <f>'11A1'!L59+'11A2'!P59+'11A3'!P59+'11A4'!P59</f>
        <v>0</v>
      </c>
      <c r="M59" s="49">
        <f>'11A1'!M59+'11A2'!R59+'11A3'!R59+'11A4'!R59</f>
        <v>0</v>
      </c>
      <c r="N59" s="49">
        <f>'11A1'!N59+'11A2'!T59+'11A3'!T59+'11A4'!T59</f>
        <v>0</v>
      </c>
      <c r="O59" s="49">
        <f>'11A1'!O59+'11A2'!V59+'11A3'!V59+'11A4'!V59</f>
        <v>0</v>
      </c>
      <c r="P59" s="16"/>
      <c r="Q59" s="16"/>
      <c r="R59" s="16"/>
      <c r="S59" s="16"/>
      <c r="T59" s="16"/>
      <c r="U59" s="16"/>
      <c r="V59" s="16"/>
      <c r="W59" s="16"/>
      <c r="X59" s="16"/>
      <c r="Y59" s="16"/>
      <c r="Z59" s="16"/>
    </row>
    <row r="60" spans="1:26" s="17" customFormat="1" x14ac:dyDescent="0.2">
      <c r="A60" s="340"/>
      <c r="B60" s="312" t="s">
        <v>59</v>
      </c>
      <c r="C60" s="347" t="s">
        <v>305</v>
      </c>
      <c r="D60" s="347"/>
      <c r="E60" s="347"/>
      <c r="F60" s="347"/>
      <c r="G60" s="313" t="s">
        <v>360</v>
      </c>
      <c r="H60" s="23"/>
      <c r="I60" s="41">
        <f>'11A1'!I60+'11A2'!J60+'11A3'!J60+'11A4'!J60</f>
        <v>0</v>
      </c>
      <c r="J60" s="49">
        <f>'11A1'!J60+'11A2'!L60+'11A3'!L60+'11A4'!L60</f>
        <v>0</v>
      </c>
      <c r="K60" s="49">
        <f>'11A1'!K60+'11A2'!N60+'11A3'!N60+'11A4'!N60</f>
        <v>0</v>
      </c>
      <c r="L60" s="49">
        <f>'11A1'!L60+'11A2'!P60+'11A3'!P60+'11A4'!P60</f>
        <v>0</v>
      </c>
      <c r="M60" s="49">
        <f>'11A1'!M60+'11A2'!R60+'11A3'!R60+'11A4'!R60</f>
        <v>0</v>
      </c>
      <c r="N60" s="49">
        <f>'11A1'!N60+'11A2'!T60+'11A3'!T60+'11A4'!T60</f>
        <v>0</v>
      </c>
      <c r="O60" s="49">
        <f>'11A1'!O60+'11A2'!V60+'11A3'!V60+'11A4'!V60</f>
        <v>0</v>
      </c>
      <c r="P60" s="16"/>
      <c r="Q60" s="16"/>
      <c r="R60" s="16"/>
      <c r="S60" s="16"/>
      <c r="T60" s="16"/>
      <c r="U60" s="16"/>
      <c r="V60" s="16"/>
      <c r="W60" s="16"/>
      <c r="X60" s="16"/>
      <c r="Y60" s="16"/>
      <c r="Z60" s="16"/>
    </row>
    <row r="61" spans="1:26" s="17" customFormat="1" x14ac:dyDescent="0.2">
      <c r="A61" s="340"/>
      <c r="B61" s="312"/>
      <c r="C61" s="347" t="s">
        <v>306</v>
      </c>
      <c r="D61" s="347" t="s">
        <v>307</v>
      </c>
      <c r="E61" s="347"/>
      <c r="F61" s="347"/>
      <c r="G61" s="313" t="s">
        <v>361</v>
      </c>
      <c r="H61" s="23"/>
      <c r="I61" s="41">
        <f>'11A1'!I61+'11A2'!J61+'11A3'!J61+'11A4'!J61</f>
        <v>0</v>
      </c>
      <c r="J61" s="49">
        <f>'11A1'!J61+'11A2'!L61+'11A3'!L61+'11A4'!L61</f>
        <v>0</v>
      </c>
      <c r="K61" s="49">
        <f>'11A1'!K61+'11A2'!N61+'11A3'!N61+'11A4'!N61</f>
        <v>0</v>
      </c>
      <c r="L61" s="49">
        <f>'11A1'!L61+'11A2'!P61+'11A3'!P61+'11A4'!P61</f>
        <v>0</v>
      </c>
      <c r="M61" s="49">
        <f>'11A1'!M61+'11A2'!R61+'11A3'!R61+'11A4'!R61</f>
        <v>0</v>
      </c>
      <c r="N61" s="49">
        <f>'11A1'!N61+'11A2'!T61+'11A3'!T61+'11A4'!T61</f>
        <v>0</v>
      </c>
      <c r="O61" s="49">
        <f>'11A1'!O61+'11A2'!V61+'11A3'!V61+'11A4'!V61</f>
        <v>0</v>
      </c>
      <c r="P61" s="16"/>
      <c r="Q61" s="16"/>
      <c r="R61" s="16"/>
      <c r="S61" s="16"/>
      <c r="T61" s="16"/>
      <c r="U61" s="16"/>
      <c r="V61" s="16"/>
      <c r="W61" s="16"/>
      <c r="X61" s="16"/>
      <c r="Y61" s="16"/>
      <c r="Z61" s="16"/>
    </row>
    <row r="62" spans="1:26" s="17" customFormat="1" x14ac:dyDescent="0.2">
      <c r="A62" s="340"/>
      <c r="B62" s="312"/>
      <c r="C62" s="347" t="s">
        <v>308</v>
      </c>
      <c r="D62" s="347" t="s">
        <v>309</v>
      </c>
      <c r="E62" s="347"/>
      <c r="F62" s="347"/>
      <c r="G62" s="313" t="s">
        <v>362</v>
      </c>
      <c r="H62" s="23"/>
      <c r="I62" s="41">
        <f>'11A1'!I62+'11A2'!J62+'11A3'!J62+'11A4'!J62</f>
        <v>0</v>
      </c>
      <c r="J62" s="49">
        <f>'11A1'!J62+'11A2'!L62+'11A3'!L62+'11A4'!L62</f>
        <v>0</v>
      </c>
      <c r="K62" s="49">
        <f>'11A1'!K62+'11A2'!N62+'11A3'!N62+'11A4'!N62</f>
        <v>0</v>
      </c>
      <c r="L62" s="49">
        <f>'11A1'!L62+'11A2'!P62+'11A3'!P62+'11A4'!P62</f>
        <v>0</v>
      </c>
      <c r="M62" s="49">
        <f>'11A1'!M62+'11A2'!R62+'11A3'!R62+'11A4'!R62</f>
        <v>0</v>
      </c>
      <c r="N62" s="49">
        <f>'11A1'!N62+'11A2'!T62+'11A3'!T62+'11A4'!T62</f>
        <v>0</v>
      </c>
      <c r="O62" s="49">
        <f>'11A1'!O62+'11A2'!V62+'11A3'!V62+'11A4'!V62</f>
        <v>0</v>
      </c>
      <c r="P62" s="16"/>
      <c r="Q62" s="16"/>
      <c r="R62" s="16"/>
      <c r="S62" s="16"/>
      <c r="T62" s="16"/>
      <c r="U62" s="16"/>
      <c r="V62" s="16"/>
      <c r="W62" s="16"/>
      <c r="X62" s="16"/>
      <c r="Y62" s="16"/>
      <c r="Z62" s="16"/>
    </row>
    <row r="63" spans="1:26" s="17" customFormat="1" x14ac:dyDescent="0.2">
      <c r="A63" s="340"/>
      <c r="B63" s="312"/>
      <c r="C63" s="357" t="s">
        <v>310</v>
      </c>
      <c r="D63" s="357" t="s">
        <v>624</v>
      </c>
      <c r="E63" s="357"/>
      <c r="F63" s="347"/>
      <c r="G63" s="313" t="s">
        <v>627</v>
      </c>
      <c r="H63" s="23"/>
      <c r="I63" s="41">
        <f>'11A1'!I63+'11A2'!J63+'11A3'!J63+'11A4'!J63</f>
        <v>0</v>
      </c>
      <c r="J63" s="49">
        <f>'11A1'!J63+'11A2'!L63+'11A3'!L63+'11A4'!L63</f>
        <v>0</v>
      </c>
      <c r="K63" s="49">
        <f>'11A1'!K63+'11A2'!N63+'11A3'!N63+'11A4'!N63</f>
        <v>0</v>
      </c>
      <c r="L63" s="49">
        <f>'11A1'!L63+'11A2'!P63+'11A3'!P63+'11A4'!P63</f>
        <v>0</v>
      </c>
      <c r="M63" s="49">
        <f>'11A1'!M63+'11A2'!R63+'11A3'!R63+'11A4'!R63</f>
        <v>0</v>
      </c>
      <c r="N63" s="49">
        <f>'11A1'!N63+'11A2'!T63+'11A3'!T63+'11A4'!T63</f>
        <v>0</v>
      </c>
      <c r="O63" s="49">
        <f>'11A1'!O63+'11A2'!V63+'11A3'!V63+'11A4'!V63</f>
        <v>0</v>
      </c>
      <c r="P63" s="16"/>
      <c r="Q63" s="16"/>
      <c r="R63" s="16"/>
      <c r="S63" s="16"/>
      <c r="T63" s="16"/>
      <c r="U63" s="16"/>
      <c r="V63" s="16"/>
      <c r="W63" s="16"/>
      <c r="X63" s="16"/>
      <c r="Y63" s="16"/>
      <c r="Z63" s="16"/>
    </row>
    <row r="64" spans="1:26" s="17" customFormat="1" x14ac:dyDescent="0.2">
      <c r="A64" s="340"/>
      <c r="B64" s="312"/>
      <c r="C64" s="347" t="s">
        <v>626</v>
      </c>
      <c r="D64" s="347" t="s">
        <v>311</v>
      </c>
      <c r="E64" s="347"/>
      <c r="F64" s="347"/>
      <c r="G64" s="313" t="s">
        <v>363</v>
      </c>
      <c r="H64" s="23"/>
      <c r="I64" s="41">
        <f>'11A1'!I64+'11A2'!J64+'11A3'!J64+'11A4'!J64</f>
        <v>0</v>
      </c>
      <c r="J64" s="49">
        <f>'11A1'!J64+'11A2'!L64+'11A3'!L64+'11A4'!L64</f>
        <v>0</v>
      </c>
      <c r="K64" s="49">
        <f>'11A1'!K64+'11A2'!N64+'11A3'!N64+'11A4'!N64</f>
        <v>0</v>
      </c>
      <c r="L64" s="49">
        <f>'11A1'!L64+'11A2'!P64+'11A3'!P64+'11A4'!P64</f>
        <v>0</v>
      </c>
      <c r="M64" s="49">
        <f>'11A1'!M64+'11A2'!R64+'11A3'!R64+'11A4'!R64</f>
        <v>0</v>
      </c>
      <c r="N64" s="49">
        <f>'11A1'!N64+'11A2'!T64+'11A3'!T64+'11A4'!T64</f>
        <v>0</v>
      </c>
      <c r="O64" s="49">
        <f>'11A1'!O64+'11A2'!V64+'11A3'!V64+'11A4'!V64</f>
        <v>0</v>
      </c>
      <c r="P64" s="16"/>
      <c r="Q64" s="16"/>
      <c r="R64" s="16"/>
      <c r="S64" s="16"/>
      <c r="T64" s="16"/>
      <c r="U64" s="16"/>
      <c r="V64" s="16"/>
      <c r="W64" s="16"/>
      <c r="X64" s="16"/>
      <c r="Y64" s="16"/>
      <c r="Z64" s="16"/>
    </row>
    <row r="65" spans="1:26" s="17" customFormat="1" x14ac:dyDescent="0.2">
      <c r="A65" s="340"/>
      <c r="B65" s="312" t="s">
        <v>61</v>
      </c>
      <c r="C65" s="347" t="s">
        <v>312</v>
      </c>
      <c r="D65" s="347"/>
      <c r="E65" s="347"/>
      <c r="F65" s="347"/>
      <c r="G65" s="313" t="s">
        <v>364</v>
      </c>
      <c r="H65" s="23"/>
      <c r="I65" s="41">
        <f>'11A1'!I65+'11A2'!J65+'11A3'!J65+'11A4'!J65</f>
        <v>0</v>
      </c>
      <c r="J65" s="49">
        <f>'11A1'!J65+'11A2'!L65+'11A3'!L65+'11A4'!L65</f>
        <v>0</v>
      </c>
      <c r="K65" s="49">
        <f>'11A1'!K65+'11A2'!N65+'11A3'!N65+'11A4'!N65</f>
        <v>0</v>
      </c>
      <c r="L65" s="49">
        <f>'11A1'!L65+'11A2'!P65+'11A3'!P65+'11A4'!P65</f>
        <v>0</v>
      </c>
      <c r="M65" s="49">
        <f>'11A1'!M65+'11A2'!R65+'11A3'!R65+'11A4'!R65</f>
        <v>0</v>
      </c>
      <c r="N65" s="49">
        <f>'11A1'!N65+'11A2'!T65+'11A3'!T65+'11A4'!T65</f>
        <v>0</v>
      </c>
      <c r="O65" s="49">
        <f>'11A1'!O65+'11A2'!V65+'11A3'!V65+'11A4'!V65</f>
        <v>0</v>
      </c>
      <c r="P65" s="16"/>
      <c r="Q65" s="16"/>
      <c r="R65" s="16"/>
      <c r="S65" s="16"/>
      <c r="T65" s="16"/>
      <c r="U65" s="16"/>
      <c r="V65" s="16"/>
      <c r="W65" s="16"/>
      <c r="X65" s="16"/>
      <c r="Y65" s="16"/>
      <c r="Z65" s="16"/>
    </row>
    <row r="66" spans="1:26" s="17" customFormat="1" x14ac:dyDescent="0.2">
      <c r="A66" s="338" t="s">
        <v>65</v>
      </c>
      <c r="B66" s="312" t="s">
        <v>314</v>
      </c>
      <c r="C66" s="347"/>
      <c r="D66" s="347"/>
      <c r="E66" s="347"/>
      <c r="F66" s="347"/>
      <c r="G66" s="313" t="s">
        <v>365</v>
      </c>
      <c r="H66" s="23"/>
      <c r="I66" s="41">
        <f>'11A1'!I66+'11A2'!J66+'11A3'!J66+'11A4'!J66</f>
        <v>0</v>
      </c>
      <c r="J66" s="49">
        <f>'11A1'!J66+'11A2'!L66+'11A3'!L66+'11A4'!L66</f>
        <v>0</v>
      </c>
      <c r="K66" s="49">
        <f>'11A1'!K66+'11A2'!N66+'11A3'!N66+'11A4'!N66</f>
        <v>0</v>
      </c>
      <c r="L66" s="49">
        <f>'11A1'!L66+'11A2'!P66+'11A3'!P66+'11A4'!P66</f>
        <v>0</v>
      </c>
      <c r="M66" s="49">
        <f>'11A1'!M66+'11A2'!R66+'11A3'!R66+'11A4'!R66</f>
        <v>0</v>
      </c>
      <c r="N66" s="49">
        <f>'11A1'!N66+'11A2'!T66+'11A3'!T66+'11A4'!T66</f>
        <v>0</v>
      </c>
      <c r="O66" s="49">
        <f>'11A1'!O66+'11A2'!V66+'11A3'!V66+'11A4'!V66</f>
        <v>0</v>
      </c>
      <c r="P66" s="16"/>
      <c r="Q66" s="16"/>
      <c r="R66" s="16"/>
      <c r="S66" s="16"/>
      <c r="T66" s="16"/>
      <c r="U66" s="16"/>
      <c r="V66" s="16"/>
      <c r="W66" s="16"/>
      <c r="X66" s="16"/>
      <c r="Y66" s="16"/>
      <c r="Z66" s="16"/>
    </row>
    <row r="67" spans="1:26" s="17" customFormat="1" x14ac:dyDescent="0.2">
      <c r="A67" s="338"/>
      <c r="B67" s="225" t="s">
        <v>59</v>
      </c>
      <c r="C67" s="303" t="s">
        <v>315</v>
      </c>
      <c r="D67" s="303"/>
      <c r="E67" s="303"/>
      <c r="F67" s="303"/>
      <c r="G67" s="313" t="s">
        <v>366</v>
      </c>
      <c r="H67" s="23"/>
      <c r="I67" s="41">
        <f>'11A1'!I67+'11A2'!J67+'11A3'!J67+'11A4'!J67</f>
        <v>0</v>
      </c>
      <c r="J67" s="49">
        <f>'11A1'!J67+'11A2'!L67+'11A3'!L67+'11A4'!L67</f>
        <v>0</v>
      </c>
      <c r="K67" s="49">
        <f>'11A1'!K67+'11A2'!N67+'11A3'!N67+'11A4'!N67</f>
        <v>0</v>
      </c>
      <c r="L67" s="49">
        <f>'11A1'!L67+'11A2'!P67+'11A3'!P67+'11A4'!P67</f>
        <v>0</v>
      </c>
      <c r="M67" s="49">
        <f>'11A1'!M67+'11A2'!R67+'11A3'!R67+'11A4'!R67</f>
        <v>0</v>
      </c>
      <c r="N67" s="49">
        <f>'11A1'!N67+'11A2'!T67+'11A3'!T67+'11A4'!T67</f>
        <v>0</v>
      </c>
      <c r="O67" s="49">
        <f>'11A1'!O67+'11A2'!V67+'11A3'!V67+'11A4'!V67</f>
        <v>0</v>
      </c>
      <c r="P67" s="16"/>
      <c r="Q67" s="16"/>
      <c r="R67" s="16"/>
      <c r="S67" s="16"/>
      <c r="T67" s="16"/>
      <c r="U67" s="16"/>
      <c r="V67" s="16"/>
      <c r="W67" s="16"/>
      <c r="X67" s="16"/>
      <c r="Y67" s="16"/>
      <c r="Z67" s="16"/>
    </row>
    <row r="68" spans="1:26" s="17" customFormat="1" x14ac:dyDescent="0.2">
      <c r="A68" s="338"/>
      <c r="B68" s="225"/>
      <c r="C68" s="303" t="s">
        <v>306</v>
      </c>
      <c r="D68" s="303" t="s">
        <v>316</v>
      </c>
      <c r="E68" s="303"/>
      <c r="F68" s="303"/>
      <c r="G68" s="313" t="s">
        <v>367</v>
      </c>
      <c r="H68" s="23"/>
      <c r="I68" s="41">
        <f>'11A1'!I68+'11A2'!J68+'11A3'!J68+'11A4'!J68</f>
        <v>0</v>
      </c>
      <c r="J68" s="49">
        <f>'11A1'!J68+'11A2'!L68+'11A3'!L68+'11A4'!L68</f>
        <v>0</v>
      </c>
      <c r="K68" s="49">
        <f>'11A1'!K68+'11A2'!N68+'11A3'!N68+'11A4'!N68</f>
        <v>0</v>
      </c>
      <c r="L68" s="49">
        <f>'11A1'!L68+'11A2'!P68+'11A3'!P68+'11A4'!P68</f>
        <v>0</v>
      </c>
      <c r="M68" s="49">
        <f>'11A1'!M68+'11A2'!R68+'11A3'!R68+'11A4'!R68</f>
        <v>0</v>
      </c>
      <c r="N68" s="49">
        <f>'11A1'!N68+'11A2'!T68+'11A3'!T68+'11A4'!T68</f>
        <v>0</v>
      </c>
      <c r="O68" s="49">
        <f>'11A1'!O68+'11A2'!V68+'11A3'!V68+'11A4'!V68</f>
        <v>0</v>
      </c>
      <c r="P68" s="16"/>
      <c r="Q68" s="16"/>
      <c r="R68" s="16"/>
      <c r="S68" s="16"/>
      <c r="T68" s="16"/>
      <c r="U68" s="16"/>
      <c r="V68" s="16"/>
      <c r="W68" s="16"/>
      <c r="X68" s="16"/>
      <c r="Y68" s="16"/>
      <c r="Z68" s="16"/>
    </row>
    <row r="69" spans="1:26" s="17" customFormat="1" x14ac:dyDescent="0.2">
      <c r="A69" s="338"/>
      <c r="B69" s="225"/>
      <c r="C69" s="303" t="s">
        <v>308</v>
      </c>
      <c r="D69" s="303" t="s">
        <v>317</v>
      </c>
      <c r="E69" s="303"/>
      <c r="F69" s="303"/>
      <c r="G69" s="313" t="s">
        <v>368</v>
      </c>
      <c r="H69" s="23"/>
      <c r="I69" s="41">
        <f>'11A1'!I69+'11A2'!J69+'11A3'!J69+'11A4'!J69</f>
        <v>0</v>
      </c>
      <c r="J69" s="49">
        <f>'11A1'!J69+'11A2'!L69+'11A3'!L69+'11A4'!L69</f>
        <v>0</v>
      </c>
      <c r="K69" s="49">
        <f>'11A1'!K69+'11A2'!N69+'11A3'!N69+'11A4'!N69</f>
        <v>0</v>
      </c>
      <c r="L69" s="49">
        <f>'11A1'!L69+'11A2'!P69+'11A3'!P69+'11A4'!P69</f>
        <v>0</v>
      </c>
      <c r="M69" s="49">
        <f>'11A1'!M69+'11A2'!R69+'11A3'!R69+'11A4'!R69</f>
        <v>0</v>
      </c>
      <c r="N69" s="49">
        <f>'11A1'!N69+'11A2'!T69+'11A3'!T69+'11A4'!T69</f>
        <v>0</v>
      </c>
      <c r="O69" s="49">
        <f>'11A1'!O69+'11A2'!V69+'11A3'!V69+'11A4'!V69</f>
        <v>0</v>
      </c>
      <c r="P69" s="16"/>
      <c r="Q69" s="16"/>
      <c r="R69" s="16"/>
      <c r="S69" s="16"/>
      <c r="T69" s="16"/>
      <c r="U69" s="16"/>
      <c r="V69" s="16"/>
      <c r="W69" s="16"/>
      <c r="X69" s="16"/>
      <c r="Y69" s="16"/>
      <c r="Z69" s="16"/>
    </row>
    <row r="70" spans="1:26" s="17" customFormat="1" x14ac:dyDescent="0.2">
      <c r="A70" s="338"/>
      <c r="B70" s="225"/>
      <c r="C70" s="303"/>
      <c r="D70" s="309" t="s">
        <v>161</v>
      </c>
      <c r="E70" s="303" t="s">
        <v>318</v>
      </c>
      <c r="F70" s="347"/>
      <c r="G70" s="313" t="s">
        <v>319</v>
      </c>
      <c r="H70" s="23"/>
      <c r="I70" s="41">
        <f>'11A1'!I70+'11A2'!J70+'11A3'!J70+'11A4'!J70</f>
        <v>0</v>
      </c>
      <c r="J70" s="49">
        <f>'11A1'!J70+'11A2'!L70+'11A3'!L70+'11A4'!L70</f>
        <v>0</v>
      </c>
      <c r="K70" s="49">
        <f>'11A1'!K70+'11A2'!N70+'11A3'!N70+'11A4'!N70</f>
        <v>0</v>
      </c>
      <c r="L70" s="49">
        <f>'11A1'!L70+'11A2'!P70+'11A3'!P70+'11A4'!P70</f>
        <v>0</v>
      </c>
      <c r="M70" s="49">
        <f>'11A1'!M70+'11A2'!R70+'11A3'!R70+'11A4'!R70</f>
        <v>0</v>
      </c>
      <c r="N70" s="49">
        <f>'11A1'!N70+'11A2'!T70+'11A3'!T70+'11A4'!T70</f>
        <v>0</v>
      </c>
      <c r="O70" s="49">
        <f>'11A1'!O70+'11A2'!V70+'11A3'!V70+'11A4'!V70</f>
        <v>0</v>
      </c>
      <c r="P70" s="16"/>
      <c r="Q70" s="16"/>
      <c r="R70" s="16"/>
      <c r="S70" s="16"/>
      <c r="T70" s="16"/>
      <c r="U70" s="16"/>
      <c r="V70" s="16"/>
      <c r="W70" s="16"/>
      <c r="X70" s="16"/>
      <c r="Y70" s="16"/>
      <c r="Z70" s="16"/>
    </row>
    <row r="71" spans="1:26" s="17" customFormat="1" x14ac:dyDescent="0.2">
      <c r="A71" s="338"/>
      <c r="B71" s="225"/>
      <c r="C71" s="303"/>
      <c r="D71" s="309" t="s">
        <v>164</v>
      </c>
      <c r="E71" s="303" t="s">
        <v>52</v>
      </c>
      <c r="F71" s="358"/>
      <c r="G71" s="313" t="s">
        <v>320</v>
      </c>
      <c r="H71" s="23"/>
      <c r="I71" s="41">
        <f>'11A1'!I71+'11A2'!J71+'11A3'!J71+'11A4'!J71</f>
        <v>0</v>
      </c>
      <c r="J71" s="49">
        <f>'11A1'!J71+'11A2'!L71+'11A3'!L71+'11A4'!L71</f>
        <v>0</v>
      </c>
      <c r="K71" s="49">
        <f>'11A1'!K71+'11A2'!N71+'11A3'!N71+'11A4'!N71</f>
        <v>0</v>
      </c>
      <c r="L71" s="49">
        <f>'11A1'!L71+'11A2'!P71+'11A3'!P71+'11A4'!P71</f>
        <v>0</v>
      </c>
      <c r="M71" s="49">
        <f>'11A1'!M71+'11A2'!R71+'11A3'!R71+'11A4'!R71</f>
        <v>0</v>
      </c>
      <c r="N71" s="49">
        <f>'11A1'!N71+'11A2'!T71+'11A3'!T71+'11A4'!T71</f>
        <v>0</v>
      </c>
      <c r="O71" s="49">
        <f>'11A1'!O71+'11A2'!V71+'11A3'!V71+'11A4'!V71</f>
        <v>0</v>
      </c>
      <c r="P71" s="16"/>
      <c r="Q71" s="16"/>
      <c r="R71" s="16"/>
      <c r="S71" s="16"/>
      <c r="T71" s="16"/>
      <c r="U71" s="16"/>
      <c r="V71" s="16"/>
      <c r="W71" s="16"/>
      <c r="X71" s="16"/>
      <c r="Y71" s="16"/>
      <c r="Z71" s="16"/>
    </row>
    <row r="72" spans="1:26" s="17" customFormat="1" x14ac:dyDescent="0.2">
      <c r="A72" s="338"/>
      <c r="B72" s="225" t="s">
        <v>61</v>
      </c>
      <c r="C72" s="303" t="s">
        <v>321</v>
      </c>
      <c r="D72" s="303"/>
      <c r="E72" s="303"/>
      <c r="F72" s="303"/>
      <c r="G72" s="313" t="s">
        <v>369</v>
      </c>
      <c r="H72" s="23"/>
      <c r="I72" s="41">
        <f>'11A1'!I72+'11A2'!J72+'11A3'!J72+'11A4'!J72</f>
        <v>0</v>
      </c>
      <c r="J72" s="49">
        <f>'11A1'!J72+'11A2'!L72+'11A3'!L72+'11A4'!L72</f>
        <v>0</v>
      </c>
      <c r="K72" s="49">
        <f>'11A1'!K72+'11A2'!N72+'11A3'!N72+'11A4'!N72</f>
        <v>0</v>
      </c>
      <c r="L72" s="49">
        <f>'11A1'!L72+'11A2'!P72+'11A3'!P72+'11A4'!P72</f>
        <v>0</v>
      </c>
      <c r="M72" s="49">
        <f>'11A1'!M72+'11A2'!R72+'11A3'!R72+'11A4'!R72</f>
        <v>0</v>
      </c>
      <c r="N72" s="49">
        <f>'11A1'!N72+'11A2'!T72+'11A3'!T72+'11A4'!T72</f>
        <v>0</v>
      </c>
      <c r="O72" s="49">
        <f>'11A1'!O72+'11A2'!V72+'11A3'!V72+'11A4'!V72</f>
        <v>0</v>
      </c>
      <c r="P72" s="16"/>
      <c r="Q72" s="16"/>
      <c r="R72" s="16"/>
      <c r="S72" s="16"/>
      <c r="T72" s="16"/>
      <c r="U72" s="16"/>
      <c r="V72" s="16"/>
      <c r="W72" s="16"/>
      <c r="X72" s="16"/>
      <c r="Y72" s="16"/>
      <c r="Z72" s="16"/>
    </row>
    <row r="73" spans="1:26" s="17" customFormat="1" x14ac:dyDescent="0.2">
      <c r="A73" s="338"/>
      <c r="B73" s="359" t="s">
        <v>71</v>
      </c>
      <c r="C73" s="360" t="s">
        <v>628</v>
      </c>
      <c r="D73" s="359"/>
      <c r="E73" s="359"/>
      <c r="F73" s="303"/>
      <c r="G73" s="313" t="s">
        <v>629</v>
      </c>
      <c r="H73" s="23"/>
      <c r="I73" s="41">
        <f>'11A1'!I73+'11A2'!J73+'11A3'!J73+'11A4'!J73</f>
        <v>0</v>
      </c>
      <c r="J73" s="49">
        <f>'11A1'!J73+'11A2'!L73+'11A3'!L73+'11A4'!L73</f>
        <v>0</v>
      </c>
      <c r="K73" s="49">
        <f>'11A1'!K73+'11A2'!N73+'11A3'!N73+'11A4'!N73</f>
        <v>0</v>
      </c>
      <c r="L73" s="49">
        <f>'11A1'!L73+'11A2'!P73+'11A3'!P73+'11A4'!P73</f>
        <v>0</v>
      </c>
      <c r="M73" s="49">
        <f>'11A1'!M73+'11A2'!R73+'11A3'!R73+'11A4'!R73</f>
        <v>0</v>
      </c>
      <c r="N73" s="49">
        <f>'11A1'!N73+'11A2'!T73+'11A3'!T73+'11A4'!T73</f>
        <v>0</v>
      </c>
      <c r="O73" s="49">
        <f>'11A1'!O73+'11A2'!V73+'11A3'!V73+'11A4'!V73</f>
        <v>0</v>
      </c>
      <c r="P73" s="16"/>
      <c r="Q73" s="16"/>
      <c r="R73" s="16"/>
      <c r="S73" s="16"/>
      <c r="T73" s="16"/>
      <c r="U73" s="16"/>
      <c r="V73" s="16"/>
      <c r="W73" s="16"/>
      <c r="X73" s="16"/>
      <c r="Y73" s="16"/>
      <c r="Z73" s="16"/>
    </row>
    <row r="74" spans="1:26" s="17" customFormat="1" x14ac:dyDescent="0.2">
      <c r="A74" s="361" t="s">
        <v>90</v>
      </c>
      <c r="B74" s="303" t="s">
        <v>273</v>
      </c>
      <c r="C74" s="303"/>
      <c r="D74" s="303"/>
      <c r="E74" s="303"/>
      <c r="F74" s="303"/>
      <c r="G74" s="313" t="s">
        <v>370</v>
      </c>
      <c r="H74" s="23"/>
      <c r="I74" s="41">
        <f>'11A1'!I74+'11A2'!J74+'11A3'!J74+'11A4'!J74</f>
        <v>0</v>
      </c>
      <c r="J74" s="49">
        <f>'11A1'!J74+'11A2'!L74+'11A3'!L74+'11A4'!L74</f>
        <v>0</v>
      </c>
      <c r="K74" s="49">
        <f>'11A1'!K74+'11A2'!N74+'11A3'!N74+'11A4'!N74</f>
        <v>0</v>
      </c>
      <c r="L74" s="49">
        <f>'11A1'!L74+'11A2'!P74+'11A3'!P74+'11A4'!P74</f>
        <v>0</v>
      </c>
      <c r="M74" s="49">
        <f>'11A1'!M74+'11A2'!R74+'11A3'!R74+'11A4'!R74</f>
        <v>0</v>
      </c>
      <c r="N74" s="49">
        <f>'11A1'!N74+'11A2'!T74+'11A3'!T74+'11A4'!T74</f>
        <v>0</v>
      </c>
      <c r="O74" s="49">
        <f>'11A1'!O74+'11A2'!V74+'11A3'!V74+'11A4'!V74</f>
        <v>0</v>
      </c>
      <c r="P74" s="16"/>
      <c r="Q74" s="16"/>
      <c r="R74" s="16"/>
      <c r="S74" s="16"/>
      <c r="T74" s="16"/>
      <c r="U74" s="16"/>
      <c r="V74" s="16"/>
      <c r="W74" s="16"/>
      <c r="X74" s="16"/>
      <c r="Y74" s="16"/>
      <c r="Z74" s="16"/>
    </row>
    <row r="75" spans="1:26" s="17" customFormat="1" x14ac:dyDescent="0.2">
      <c r="A75" s="361"/>
      <c r="B75" s="225" t="s">
        <v>180</v>
      </c>
      <c r="C75" s="225" t="s">
        <v>275</v>
      </c>
      <c r="D75" s="225"/>
      <c r="E75" s="225"/>
      <c r="F75" s="225"/>
      <c r="G75" s="313" t="s">
        <v>371</v>
      </c>
      <c r="H75" s="23"/>
      <c r="I75" s="41">
        <f>'11A1'!I75+'11A2'!J75+'11A3'!J75+'11A4'!J75</f>
        <v>0</v>
      </c>
      <c r="J75" s="49">
        <f>'11A1'!J75+'11A2'!L75+'11A3'!L75+'11A4'!L75</f>
        <v>0</v>
      </c>
      <c r="K75" s="49">
        <f>'11A1'!K75+'11A2'!N75+'11A3'!N75+'11A4'!N75</f>
        <v>0</v>
      </c>
      <c r="L75" s="49">
        <f>'11A1'!L75+'11A2'!P75+'11A3'!P75+'11A4'!P75</f>
        <v>0</v>
      </c>
      <c r="M75" s="49">
        <f>'11A1'!M75+'11A2'!R75+'11A3'!R75+'11A4'!R75</f>
        <v>0</v>
      </c>
      <c r="N75" s="49">
        <f>'11A1'!N75+'11A2'!T75+'11A3'!T75+'11A4'!T75</f>
        <v>0</v>
      </c>
      <c r="O75" s="49">
        <f>'11A1'!O75+'11A2'!V75+'11A3'!V75+'11A4'!V75</f>
        <v>0</v>
      </c>
      <c r="P75" s="16"/>
      <c r="Q75" s="16"/>
      <c r="R75" s="16"/>
      <c r="S75" s="16"/>
      <c r="T75" s="16"/>
      <c r="U75" s="16"/>
      <c r="V75" s="16"/>
      <c r="W75" s="16"/>
      <c r="X75" s="16"/>
      <c r="Y75" s="16"/>
      <c r="Z75" s="16"/>
    </row>
    <row r="76" spans="1:26" s="17" customFormat="1" x14ac:dyDescent="0.2">
      <c r="A76" s="361"/>
      <c r="B76" s="225" t="s">
        <v>183</v>
      </c>
      <c r="C76" s="225" t="s">
        <v>277</v>
      </c>
      <c r="D76" s="225"/>
      <c r="E76" s="225"/>
      <c r="F76" s="225"/>
      <c r="G76" s="313" t="s">
        <v>372</v>
      </c>
      <c r="H76" s="23"/>
      <c r="I76" s="41">
        <f>'11A1'!I76+'11A2'!J76+'11A3'!J76+'11A4'!J76</f>
        <v>0</v>
      </c>
      <c r="J76" s="49">
        <f>'11A1'!J76+'11A2'!L76+'11A3'!L76+'11A4'!L76</f>
        <v>0</v>
      </c>
      <c r="K76" s="49">
        <f>'11A1'!K76+'11A2'!N76+'11A3'!N76+'11A4'!N76</f>
        <v>0</v>
      </c>
      <c r="L76" s="49">
        <f>'11A1'!L76+'11A2'!P76+'11A3'!P76+'11A4'!P76</f>
        <v>0</v>
      </c>
      <c r="M76" s="49">
        <f>'11A1'!M76+'11A2'!R76+'11A3'!R76+'11A4'!R76</f>
        <v>0</v>
      </c>
      <c r="N76" s="49">
        <f>'11A1'!N76+'11A2'!T76+'11A3'!T76+'11A4'!T76</f>
        <v>0</v>
      </c>
      <c r="O76" s="49">
        <f>'11A1'!O76+'11A2'!V76+'11A3'!V76+'11A4'!V76</f>
        <v>0</v>
      </c>
      <c r="P76" s="16"/>
      <c r="Q76" s="16"/>
      <c r="R76" s="16"/>
      <c r="S76" s="16"/>
      <c r="T76" s="16"/>
      <c r="U76" s="16"/>
      <c r="V76" s="16"/>
      <c r="W76" s="16"/>
      <c r="X76" s="16"/>
      <c r="Y76" s="16"/>
      <c r="Z76" s="16"/>
    </row>
    <row r="77" spans="1:26" s="17" customFormat="1" x14ac:dyDescent="0.2">
      <c r="A77" s="361"/>
      <c r="B77" s="225" t="s">
        <v>193</v>
      </c>
      <c r="C77" s="225" t="s">
        <v>279</v>
      </c>
      <c r="D77" s="225"/>
      <c r="E77" s="225"/>
      <c r="F77" s="225"/>
      <c r="G77" s="313" t="s">
        <v>373</v>
      </c>
      <c r="H77" s="23"/>
      <c r="I77" s="41">
        <f>'11A1'!I77+'11A2'!J77+'11A3'!J77+'11A4'!J77</f>
        <v>0</v>
      </c>
      <c r="J77" s="49">
        <f>'11A1'!J77+'11A2'!L77+'11A3'!L77+'11A4'!L77</f>
        <v>0</v>
      </c>
      <c r="K77" s="49">
        <f>'11A1'!K77+'11A2'!N77+'11A3'!N77+'11A4'!N77</f>
        <v>0</v>
      </c>
      <c r="L77" s="49">
        <f>'11A1'!L77+'11A2'!P77+'11A3'!P77+'11A4'!P77</f>
        <v>0</v>
      </c>
      <c r="M77" s="49">
        <f>'11A1'!M77+'11A2'!R77+'11A3'!R77+'11A4'!R77</f>
        <v>0</v>
      </c>
      <c r="N77" s="49">
        <f>'11A1'!N77+'11A2'!T77+'11A3'!T77+'11A4'!T77</f>
        <v>0</v>
      </c>
      <c r="O77" s="49">
        <f>'11A1'!O77+'11A2'!V77+'11A3'!V77+'11A4'!V77</f>
        <v>0</v>
      </c>
      <c r="P77" s="16"/>
      <c r="Q77" s="16"/>
      <c r="R77" s="16"/>
      <c r="S77" s="16"/>
      <c r="T77" s="16"/>
      <c r="U77" s="16"/>
      <c r="V77" s="16"/>
      <c r="W77" s="16"/>
      <c r="X77" s="16"/>
      <c r="Y77" s="16"/>
      <c r="Z77" s="16"/>
    </row>
    <row r="78" spans="1:26" s="17" customFormat="1" x14ac:dyDescent="0.2">
      <c r="A78" s="361" t="s">
        <v>257</v>
      </c>
      <c r="B78" s="303" t="s">
        <v>281</v>
      </c>
      <c r="C78" s="303"/>
      <c r="D78" s="303"/>
      <c r="E78" s="303"/>
      <c r="F78" s="303"/>
      <c r="G78" s="313" t="s">
        <v>374</v>
      </c>
      <c r="H78" s="23"/>
      <c r="I78" s="41">
        <f>'11A1'!I78+'11A2'!J78+'11A3'!J78+'11A4'!J78</f>
        <v>0</v>
      </c>
      <c r="J78" s="49">
        <f>'11A1'!J78+'11A2'!L78+'11A3'!L78+'11A4'!L78</f>
        <v>0</v>
      </c>
      <c r="K78" s="49">
        <f>'11A1'!K78+'11A2'!N78+'11A3'!N78+'11A4'!N78</f>
        <v>0</v>
      </c>
      <c r="L78" s="49">
        <f>'11A1'!L78+'11A2'!P78+'11A3'!P78+'11A4'!P78</f>
        <v>0</v>
      </c>
      <c r="M78" s="49">
        <f>'11A1'!M78+'11A2'!R78+'11A3'!R78+'11A4'!R78</f>
        <v>0</v>
      </c>
      <c r="N78" s="49">
        <f>'11A1'!N78+'11A2'!T78+'11A3'!T78+'11A4'!T78</f>
        <v>0</v>
      </c>
      <c r="O78" s="49">
        <f>'11A1'!O78+'11A2'!V78+'11A3'!V78+'11A4'!V78</f>
        <v>0</v>
      </c>
      <c r="P78" s="16"/>
      <c r="Q78" s="16"/>
      <c r="R78" s="16"/>
      <c r="S78" s="16"/>
      <c r="T78" s="16"/>
      <c r="U78" s="16"/>
      <c r="V78" s="16"/>
      <c r="W78" s="16"/>
      <c r="X78" s="16"/>
      <c r="Y78" s="16"/>
      <c r="Z78" s="16"/>
    </row>
    <row r="79" spans="1:26" s="17" customFormat="1" x14ac:dyDescent="0.2">
      <c r="A79" s="361"/>
      <c r="B79" s="225" t="s">
        <v>180</v>
      </c>
      <c r="C79" s="225" t="s">
        <v>283</v>
      </c>
      <c r="D79" s="225"/>
      <c r="E79" s="225"/>
      <c r="F79" s="225"/>
      <c r="G79" s="313" t="s">
        <v>375</v>
      </c>
      <c r="H79" s="23"/>
      <c r="I79" s="41">
        <f>'11A1'!I79+'11A2'!J79+'11A3'!J79+'11A4'!J79</f>
        <v>0</v>
      </c>
      <c r="J79" s="49">
        <f>'11A1'!J79+'11A2'!L79+'11A3'!L79+'11A4'!L79</f>
        <v>0</v>
      </c>
      <c r="K79" s="49">
        <f>'11A1'!K79+'11A2'!N79+'11A3'!N79+'11A4'!N79</f>
        <v>0</v>
      </c>
      <c r="L79" s="49">
        <f>'11A1'!L79+'11A2'!P79+'11A3'!P79+'11A4'!P79</f>
        <v>0</v>
      </c>
      <c r="M79" s="49">
        <f>'11A1'!M79+'11A2'!R79+'11A3'!R79+'11A4'!R79</f>
        <v>0</v>
      </c>
      <c r="N79" s="49">
        <f>'11A1'!N79+'11A2'!T79+'11A3'!T79+'11A4'!T79</f>
        <v>0</v>
      </c>
      <c r="O79" s="49">
        <f>'11A1'!O79+'11A2'!V79+'11A3'!V79+'11A4'!V79</f>
        <v>0</v>
      </c>
      <c r="P79" s="16"/>
      <c r="Q79" s="16"/>
      <c r="R79" s="16"/>
      <c r="S79" s="16"/>
      <c r="T79" s="16"/>
      <c r="U79" s="16"/>
      <c r="V79" s="16"/>
      <c r="W79" s="16"/>
      <c r="X79" s="16"/>
      <c r="Y79" s="16"/>
      <c r="Z79" s="16"/>
    </row>
    <row r="80" spans="1:26" s="17" customFormat="1" x14ac:dyDescent="0.2">
      <c r="A80" s="361"/>
      <c r="B80" s="225" t="s">
        <v>183</v>
      </c>
      <c r="C80" s="225" t="s">
        <v>285</v>
      </c>
      <c r="D80" s="225"/>
      <c r="E80" s="225"/>
      <c r="F80" s="225"/>
      <c r="G80" s="313" t="s">
        <v>376</v>
      </c>
      <c r="H80" s="23"/>
      <c r="I80" s="41">
        <f>'11A1'!I80+'11A2'!J80+'11A3'!J80+'11A4'!J80</f>
        <v>0</v>
      </c>
      <c r="J80" s="49">
        <f>'11A1'!J80+'11A2'!L80+'11A3'!L80+'11A4'!L80</f>
        <v>0</v>
      </c>
      <c r="K80" s="49">
        <f>'11A1'!K80+'11A2'!N80+'11A3'!N80+'11A4'!N80</f>
        <v>0</v>
      </c>
      <c r="L80" s="49">
        <f>'11A1'!L80+'11A2'!P80+'11A3'!P80+'11A4'!P80</f>
        <v>0</v>
      </c>
      <c r="M80" s="49">
        <f>'11A1'!M80+'11A2'!R80+'11A3'!R80+'11A4'!R80</f>
        <v>0</v>
      </c>
      <c r="N80" s="49">
        <f>'11A1'!N80+'11A2'!T80+'11A3'!T80+'11A4'!T80</f>
        <v>0</v>
      </c>
      <c r="O80" s="49">
        <f>'11A1'!O80+'11A2'!V80+'11A3'!V80+'11A4'!V80</f>
        <v>0</v>
      </c>
      <c r="P80" s="16"/>
      <c r="Q80" s="16"/>
      <c r="R80" s="16"/>
      <c r="S80" s="16"/>
      <c r="T80" s="16"/>
      <c r="U80" s="16"/>
      <c r="V80" s="16"/>
      <c r="W80" s="16"/>
      <c r="X80" s="16"/>
      <c r="Y80" s="16"/>
      <c r="Z80" s="16"/>
    </row>
    <row r="81" spans="1:26" s="17" customFormat="1" ht="13.5" customHeight="1" x14ac:dyDescent="0.2">
      <c r="A81" s="361" t="s">
        <v>74</v>
      </c>
      <c r="B81" s="661" t="s">
        <v>288</v>
      </c>
      <c r="C81" s="661"/>
      <c r="D81" s="661"/>
      <c r="E81" s="661"/>
      <c r="F81" s="661"/>
      <c r="G81" s="313" t="s">
        <v>377</v>
      </c>
      <c r="H81" s="23"/>
      <c r="I81" s="41">
        <f>'11A1'!I81+'11A2'!J81+'11A3'!J81+'11A4'!J81</f>
        <v>0</v>
      </c>
      <c r="J81" s="49">
        <f>'11A1'!J81+'11A2'!L81+'11A3'!L81+'11A4'!L81</f>
        <v>0</v>
      </c>
      <c r="K81" s="49">
        <f>'11A1'!K81+'11A2'!N81+'11A3'!N81+'11A4'!N81</f>
        <v>0</v>
      </c>
      <c r="L81" s="49">
        <f>'11A1'!L81+'11A2'!P81+'11A3'!P81+'11A4'!P81</f>
        <v>0</v>
      </c>
      <c r="M81" s="49">
        <f>'11A1'!M81+'11A2'!R81+'11A3'!R81+'11A4'!R81</f>
        <v>0</v>
      </c>
      <c r="N81" s="49">
        <f>'11A1'!N81+'11A2'!T81+'11A3'!T81+'11A4'!T81</f>
        <v>0</v>
      </c>
      <c r="O81" s="49">
        <f>'11A1'!O81+'11A2'!V81+'11A3'!V81+'11A4'!V81</f>
        <v>0</v>
      </c>
      <c r="P81" s="16"/>
      <c r="Q81" s="16"/>
      <c r="R81" s="16"/>
      <c r="S81" s="16"/>
      <c r="T81" s="16"/>
      <c r="U81" s="16"/>
      <c r="V81" s="16"/>
      <c r="W81" s="16"/>
      <c r="X81" s="16"/>
      <c r="Y81" s="16"/>
      <c r="Z81" s="16"/>
    </row>
    <row r="82" spans="1:26" s="17" customFormat="1" x14ac:dyDescent="0.2">
      <c r="A82" s="362" t="s">
        <v>76</v>
      </c>
      <c r="B82" s="661" t="s">
        <v>1288</v>
      </c>
      <c r="C82" s="661"/>
      <c r="D82" s="661"/>
      <c r="E82" s="661"/>
      <c r="F82" s="661"/>
      <c r="G82" s="317" t="s">
        <v>1292</v>
      </c>
      <c r="H82" s="291"/>
      <c r="I82" s="287"/>
      <c r="J82" s="287"/>
      <c r="K82" s="49">
        <f>'11A1'!K82+'11A2'!N82+'11A3'!N82+'11A4'!N82</f>
        <v>0</v>
      </c>
      <c r="L82" s="49">
        <f>'11A1'!L82+'11A2'!P82+'11A3'!P82+'11A4'!P82</f>
        <v>0</v>
      </c>
      <c r="M82" s="49">
        <f>'11A1'!M82+'11A2'!R82+'11A3'!R82+'11A4'!R82</f>
        <v>0</v>
      </c>
      <c r="N82" s="287"/>
      <c r="O82" s="287"/>
      <c r="P82" s="16"/>
      <c r="Q82" s="16"/>
      <c r="R82" s="16"/>
      <c r="S82" s="16"/>
      <c r="T82" s="16"/>
      <c r="U82" s="16"/>
      <c r="V82" s="16"/>
      <c r="W82" s="16"/>
      <c r="X82" s="16"/>
      <c r="Y82" s="16"/>
      <c r="Z82" s="16"/>
    </row>
    <row r="83" spans="1:26" s="17" customFormat="1" x14ac:dyDescent="0.2">
      <c r="A83" s="412" t="s">
        <v>79</v>
      </c>
      <c r="B83" s="682" t="s">
        <v>47</v>
      </c>
      <c r="C83" s="683"/>
      <c r="D83" s="683"/>
      <c r="E83" s="683"/>
      <c r="F83" s="683"/>
      <c r="G83" s="413" t="s">
        <v>1313</v>
      </c>
      <c r="H83" s="108"/>
      <c r="I83" s="41">
        <f>'11A1'!I83+'11A2'!J83+'11A3'!J83+'11A4'!J83</f>
        <v>0</v>
      </c>
      <c r="J83" s="49">
        <f>'11A1'!J83+'11A2'!L83+'11A3'!L83+'11A4'!L83</f>
        <v>0</v>
      </c>
      <c r="K83" s="49">
        <f>'11A1'!K83+'11A2'!N83+'11A3'!N83+'11A4'!N83</f>
        <v>0</v>
      </c>
      <c r="L83" s="49">
        <f>'11A1'!L83+'11A2'!P83+'11A3'!P83+'11A4'!P83</f>
        <v>0</v>
      </c>
      <c r="M83" s="410"/>
      <c r="N83" s="411">
        <f>SUM(I83:L83)</f>
        <v>0</v>
      </c>
      <c r="O83" s="410"/>
      <c r="P83" s="16"/>
      <c r="Q83" s="16"/>
      <c r="R83" s="16"/>
      <c r="S83" s="16"/>
      <c r="T83" s="16"/>
      <c r="U83" s="16"/>
      <c r="V83" s="16"/>
      <c r="W83" s="16"/>
      <c r="X83" s="16"/>
      <c r="Y83" s="16"/>
      <c r="Z83" s="16"/>
    </row>
    <row r="84" spans="1:26" ht="11.25" customHeight="1" x14ac:dyDescent="0.2">
      <c r="A84" s="17"/>
      <c r="C84" s="17"/>
      <c r="D84" s="17"/>
      <c r="E84" s="17"/>
      <c r="F84" s="17"/>
      <c r="G84" s="415" t="s">
        <v>108</v>
      </c>
      <c r="H84" s="110"/>
      <c r="I84" s="111"/>
      <c r="J84" s="111"/>
      <c r="K84" s="111"/>
      <c r="L84" s="111"/>
      <c r="M84" s="111"/>
      <c r="N84" s="111"/>
      <c r="O84" s="111"/>
      <c r="P84" s="9"/>
      <c r="Q84" s="9"/>
      <c r="R84" s="9"/>
      <c r="S84" s="9"/>
      <c r="T84" s="9"/>
      <c r="U84" s="9"/>
      <c r="V84" s="9"/>
      <c r="W84" s="9"/>
      <c r="X84" s="9"/>
      <c r="Y84" s="9"/>
      <c r="Z84" s="9"/>
    </row>
    <row r="85" spans="1:26" ht="11.25" customHeight="1" x14ac:dyDescent="0.2">
      <c r="B85" s="109" t="s">
        <v>322</v>
      </c>
    </row>
    <row r="86" spans="1:26" ht="11.25" customHeight="1" x14ac:dyDescent="0.2"/>
    <row r="87" spans="1:26" ht="11.25" customHeight="1" x14ac:dyDescent="0.2"/>
    <row r="88" spans="1:26" ht="11.25" customHeight="1" x14ac:dyDescent="0.2"/>
    <row r="89" spans="1:26" ht="11.25" customHeight="1" x14ac:dyDescent="0.2"/>
    <row r="90" spans="1:26" ht="11.25" customHeight="1" x14ac:dyDescent="0.2"/>
    <row r="91" spans="1:26" ht="11.25" customHeight="1" x14ac:dyDescent="0.2"/>
    <row r="92" spans="1:26" ht="11.25" customHeight="1" x14ac:dyDescent="0.2"/>
    <row r="93" spans="1:26" ht="11.25" customHeight="1" x14ac:dyDescent="0.2"/>
    <row r="94" spans="1:26" ht="11.25" customHeight="1" x14ac:dyDescent="0.2"/>
    <row r="95" spans="1:26" ht="11.25" customHeight="1" x14ac:dyDescent="0.2"/>
    <row r="96" spans="1:2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sheetData>
  <sheetProtection password="D4C5" sheet="1" objects="1" scenarios="1" selectLockedCells="1"/>
  <mergeCells count="20">
    <mergeCell ref="L8:L9"/>
    <mergeCell ref="K8:K9"/>
    <mergeCell ref="K6:L7"/>
    <mergeCell ref="B83:F83"/>
    <mergeCell ref="B82:F82"/>
    <mergeCell ref="B31:F31"/>
    <mergeCell ref="B81:F81"/>
    <mergeCell ref="C22:F22"/>
    <mergeCell ref="C23:F23"/>
    <mergeCell ref="C34:F34"/>
    <mergeCell ref="A1:O1"/>
    <mergeCell ref="A2:O2"/>
    <mergeCell ref="A3:O3"/>
    <mergeCell ref="I6:I9"/>
    <mergeCell ref="O6:O9"/>
    <mergeCell ref="M6:M9"/>
    <mergeCell ref="N6:N9"/>
    <mergeCell ref="A5:F9"/>
    <mergeCell ref="G5:G9"/>
    <mergeCell ref="J6:J9"/>
  </mergeCells>
  <phoneticPr fontId="2" type="noConversion"/>
  <printOptions horizontalCentered="1"/>
  <pageMargins left="0.25" right="0.25" top="1" bottom="0.5" header="0.6" footer="0.5"/>
  <pageSetup paperSize="9" scale="75" orientation="landscape" horizontalDpi="360" verticalDpi="360" r:id="rId1"/>
  <headerFooter alignWithMargins="0">
    <oddHeader>&amp;R&amp;"Arial,Bold"&amp;9&amp;USchedule 11a&amp;8&amp;U
&amp;P of &amp;N&amp;C&amp;"Arial,Bold"&amp;8 NEW RURAL BANK OF SAN LEONARDO, INC  [ 04-040656 ]
 As of: September 30, 2017</oddHeader>
  </headerFooter>
  <rowBreaks count="1" manualBreakCount="1">
    <brk id="48" max="14"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833"/>
  <sheetViews>
    <sheetView zoomScaleNormal="100" workbookViewId="0">
      <pane xSplit="8" ySplit="9" topLeftCell="I12" activePane="bottomRight" state="frozen"/>
      <selection pane="topRight" activeCell="I1" sqref="I1"/>
      <selection pane="bottomLeft" activeCell="A10" sqref="A10"/>
      <selection pane="bottomRight" activeCell="I12" sqref="I12"/>
    </sheetView>
  </sheetViews>
  <sheetFormatPr defaultColWidth="20.7109375" defaultRowHeight="11.25" x14ac:dyDescent="0.2"/>
  <cols>
    <col min="1" max="1" width="4" style="21" customWidth="1"/>
    <col min="2" max="2" width="2.85546875" style="21" customWidth="1"/>
    <col min="3" max="3" width="3.7109375" style="21" customWidth="1"/>
    <col min="4" max="5" width="2.5703125" style="21" customWidth="1"/>
    <col min="6" max="6" width="33.7109375" style="21" customWidth="1"/>
    <col min="7" max="7" width="16.5703125" style="21" bestFit="1" customWidth="1"/>
    <col min="8" max="8" width="16.5703125" style="21" hidden="1" customWidth="1"/>
    <col min="9" max="15" width="25.7109375" style="48"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20.7109375" style="5"/>
  </cols>
  <sheetData>
    <row r="1" spans="1:26" s="243" customFormat="1" ht="14.25" x14ac:dyDescent="0.2">
      <c r="A1" s="669" t="s">
        <v>498</v>
      </c>
      <c r="B1" s="669"/>
      <c r="C1" s="669"/>
      <c r="D1" s="669"/>
      <c r="E1" s="669"/>
      <c r="F1" s="669"/>
      <c r="G1" s="669"/>
      <c r="H1" s="669"/>
      <c r="I1" s="669"/>
      <c r="J1" s="669"/>
      <c r="K1" s="669"/>
      <c r="L1" s="669"/>
      <c r="M1" s="669"/>
      <c r="N1" s="669"/>
      <c r="O1" s="669"/>
      <c r="P1" s="242"/>
      <c r="Q1" s="242"/>
      <c r="R1" s="242"/>
      <c r="S1" s="242"/>
      <c r="T1" s="242"/>
      <c r="U1" s="242"/>
      <c r="V1" s="242"/>
      <c r="W1" s="242"/>
      <c r="X1" s="242"/>
    </row>
    <row r="2" spans="1:26" s="243" customFormat="1" ht="12.75" x14ac:dyDescent="0.2">
      <c r="A2" s="669" t="s">
        <v>92</v>
      </c>
      <c r="B2" s="669"/>
      <c r="C2" s="669"/>
      <c r="D2" s="669"/>
      <c r="E2" s="669"/>
      <c r="F2" s="669"/>
      <c r="G2" s="669"/>
      <c r="H2" s="669"/>
      <c r="I2" s="669"/>
      <c r="J2" s="669"/>
      <c r="K2" s="669"/>
      <c r="L2" s="669"/>
      <c r="M2" s="669"/>
      <c r="N2" s="669"/>
      <c r="O2" s="669"/>
      <c r="P2" s="242"/>
      <c r="Q2" s="242"/>
      <c r="R2" s="242"/>
      <c r="S2" s="242"/>
      <c r="T2" s="242"/>
      <c r="U2" s="242"/>
      <c r="V2" s="242"/>
      <c r="W2" s="242"/>
      <c r="X2" s="242"/>
    </row>
    <row r="3" spans="1:26" s="243" customFormat="1" ht="12.75" x14ac:dyDescent="0.2">
      <c r="A3" s="669" t="s">
        <v>56</v>
      </c>
      <c r="B3" s="669"/>
      <c r="C3" s="669"/>
      <c r="D3" s="669"/>
      <c r="E3" s="669"/>
      <c r="F3" s="669"/>
      <c r="G3" s="669"/>
      <c r="H3" s="669"/>
      <c r="I3" s="669"/>
      <c r="J3" s="669"/>
      <c r="K3" s="669"/>
      <c r="L3" s="669"/>
      <c r="M3" s="669"/>
      <c r="N3" s="669"/>
      <c r="O3" s="669"/>
      <c r="P3" s="242"/>
      <c r="Q3" s="242"/>
      <c r="R3" s="242"/>
      <c r="S3" s="242"/>
      <c r="T3" s="242"/>
      <c r="U3" s="242"/>
      <c r="V3" s="242"/>
      <c r="W3" s="242"/>
      <c r="X3" s="242"/>
    </row>
    <row r="4" spans="1:26" x14ac:dyDescent="0.2">
      <c r="A4" s="112"/>
      <c r="B4" s="112"/>
      <c r="C4" s="112"/>
      <c r="D4" s="112"/>
      <c r="E4" s="112"/>
      <c r="F4" s="112"/>
      <c r="G4" s="112"/>
      <c r="H4" s="112"/>
      <c r="I4" s="47"/>
      <c r="J4" s="47"/>
      <c r="K4" s="47"/>
      <c r="L4" s="47"/>
      <c r="M4" s="47"/>
      <c r="N4" s="47"/>
      <c r="O4" s="47"/>
      <c r="P4" s="4"/>
      <c r="Q4" s="4"/>
      <c r="R4" s="4"/>
      <c r="S4" s="4"/>
      <c r="T4" s="4"/>
      <c r="U4" s="4"/>
      <c r="V4" s="4"/>
      <c r="W4" s="4"/>
      <c r="X4" s="4"/>
    </row>
    <row r="5" spans="1:26" ht="11.25" customHeight="1" x14ac:dyDescent="0.2">
      <c r="A5" s="649" t="s">
        <v>45</v>
      </c>
      <c r="B5" s="649"/>
      <c r="C5" s="649"/>
      <c r="D5" s="649"/>
      <c r="E5" s="649"/>
      <c r="F5" s="649"/>
      <c r="G5" s="646" t="s">
        <v>46</v>
      </c>
      <c r="H5" s="94"/>
      <c r="I5" s="40" t="s">
        <v>94</v>
      </c>
      <c r="J5" s="40" t="s">
        <v>95</v>
      </c>
      <c r="K5" s="40" t="s">
        <v>96</v>
      </c>
      <c r="L5" s="40" t="s">
        <v>97</v>
      </c>
      <c r="M5" s="40" t="s">
        <v>98</v>
      </c>
      <c r="N5" s="40" t="s">
        <v>99</v>
      </c>
      <c r="O5" s="40" t="s">
        <v>100</v>
      </c>
      <c r="P5" s="7"/>
      <c r="Q5" s="7"/>
      <c r="R5" s="7"/>
      <c r="S5" s="7"/>
      <c r="T5" s="7"/>
      <c r="U5" s="8"/>
      <c r="V5" s="8"/>
      <c r="W5" s="8"/>
      <c r="X5" s="8"/>
      <c r="Y5" s="9"/>
      <c r="Z5" s="9"/>
    </row>
    <row r="6" spans="1:26" ht="11.25" customHeight="1" x14ac:dyDescent="0.2">
      <c r="A6" s="649"/>
      <c r="B6" s="649"/>
      <c r="C6" s="649"/>
      <c r="D6" s="649"/>
      <c r="E6" s="649"/>
      <c r="F6" s="649"/>
      <c r="G6" s="646"/>
      <c r="H6" s="94"/>
      <c r="I6" s="670" t="s">
        <v>101</v>
      </c>
      <c r="J6" s="674" t="s">
        <v>1471</v>
      </c>
      <c r="K6" s="678" t="s">
        <v>1474</v>
      </c>
      <c r="L6" s="679"/>
      <c r="M6" s="670" t="s">
        <v>102</v>
      </c>
      <c r="N6" s="670" t="s">
        <v>47</v>
      </c>
      <c r="O6" s="670" t="s">
        <v>48</v>
      </c>
      <c r="P6" s="10"/>
      <c r="Q6" s="10"/>
      <c r="R6" s="10"/>
      <c r="S6" s="10"/>
      <c r="T6" s="10"/>
      <c r="U6" s="11"/>
      <c r="V6" s="11"/>
      <c r="W6" s="11"/>
      <c r="X6" s="11"/>
      <c r="Y6" s="9"/>
      <c r="Z6" s="9"/>
    </row>
    <row r="7" spans="1:26" ht="12.75" x14ac:dyDescent="0.2">
      <c r="A7" s="649"/>
      <c r="B7" s="649"/>
      <c r="C7" s="649"/>
      <c r="D7" s="649"/>
      <c r="E7" s="649"/>
      <c r="F7" s="649"/>
      <c r="G7" s="646"/>
      <c r="H7" s="94"/>
      <c r="I7" s="671"/>
      <c r="J7" s="675"/>
      <c r="K7" s="680"/>
      <c r="L7" s="681"/>
      <c r="M7" s="671" t="s">
        <v>107</v>
      </c>
      <c r="N7" s="671" t="s">
        <v>103</v>
      </c>
      <c r="O7" s="671"/>
      <c r="P7" s="10"/>
      <c r="Q7" s="10"/>
      <c r="R7" s="10"/>
      <c r="S7" s="10"/>
      <c r="T7" s="10"/>
      <c r="U7" s="12"/>
      <c r="V7" s="11"/>
      <c r="W7" s="11"/>
      <c r="X7" s="11"/>
      <c r="Y7" s="9"/>
      <c r="Z7" s="9"/>
    </row>
    <row r="8" spans="1:26" ht="27.75" customHeight="1" x14ac:dyDescent="0.2">
      <c r="A8" s="649"/>
      <c r="B8" s="649"/>
      <c r="C8" s="649"/>
      <c r="D8" s="649"/>
      <c r="E8" s="649"/>
      <c r="F8" s="649"/>
      <c r="G8" s="646"/>
      <c r="H8" s="94"/>
      <c r="I8" s="671"/>
      <c r="J8" s="675"/>
      <c r="K8" s="676" t="s">
        <v>1472</v>
      </c>
      <c r="L8" s="676" t="s">
        <v>1473</v>
      </c>
      <c r="M8" s="671"/>
      <c r="N8" s="671"/>
      <c r="O8" s="671"/>
      <c r="P8" s="10"/>
      <c r="Q8" s="10"/>
      <c r="R8" s="10"/>
      <c r="S8" s="10"/>
      <c r="T8" s="10"/>
      <c r="U8" s="12"/>
      <c r="V8" s="11"/>
      <c r="W8" s="11"/>
      <c r="X8" s="11"/>
      <c r="Y8" s="9"/>
      <c r="Z8" s="9"/>
    </row>
    <row r="9" spans="1:26" ht="12.75" x14ac:dyDescent="0.2">
      <c r="A9" s="649"/>
      <c r="B9" s="649"/>
      <c r="C9" s="649"/>
      <c r="D9" s="649"/>
      <c r="E9" s="649"/>
      <c r="F9" s="649"/>
      <c r="G9" s="646"/>
      <c r="H9" s="94"/>
      <c r="I9" s="671"/>
      <c r="J9" s="675"/>
      <c r="K9" s="677"/>
      <c r="L9" s="677"/>
      <c r="M9" s="671"/>
      <c r="N9" s="671"/>
      <c r="O9" s="671"/>
      <c r="P9" s="10"/>
      <c r="Q9" s="10"/>
      <c r="R9" s="10"/>
      <c r="S9" s="10"/>
      <c r="T9" s="10"/>
      <c r="U9" s="12"/>
      <c r="V9" s="11"/>
      <c r="W9" s="11"/>
      <c r="X9" s="11"/>
      <c r="Y9" s="9"/>
      <c r="Z9" s="9"/>
    </row>
    <row r="10" spans="1:26" s="17" customFormat="1" x14ac:dyDescent="0.2">
      <c r="A10" s="324" t="s">
        <v>57</v>
      </c>
      <c r="B10" s="225"/>
      <c r="C10" s="225"/>
      <c r="D10" s="225"/>
      <c r="E10" s="225"/>
      <c r="F10" s="225"/>
      <c r="G10" s="325" t="s">
        <v>323</v>
      </c>
      <c r="H10" s="45"/>
      <c r="I10" s="41">
        <f>+I11+I18+I21+I24+I27+I28+I31+I32+I39</f>
        <v>0</v>
      </c>
      <c r="J10" s="41">
        <f>+J11+J18+J21+J24+J27+J28+J31+J32+J39</f>
        <v>0</v>
      </c>
      <c r="K10" s="41">
        <f>+K11+K18+K21+K24+K27+K28+K31+K32+K39</f>
        <v>0</v>
      </c>
      <c r="L10" s="41">
        <f>+L11+L18+L21+L24+L27+L28+L31+L32+L39</f>
        <v>0</v>
      </c>
      <c r="M10" s="41">
        <f>+I10+J10+K10+L10</f>
        <v>0</v>
      </c>
      <c r="N10" s="41">
        <f>+N11+N18+N21+N24+N27+N28+N31+N32+N39</f>
        <v>0</v>
      </c>
      <c r="O10" s="41">
        <f>+M10-N10</f>
        <v>0</v>
      </c>
      <c r="P10" s="16"/>
      <c r="Q10" s="16"/>
      <c r="R10" s="16"/>
      <c r="S10" s="16"/>
      <c r="T10" s="16"/>
      <c r="U10" s="16"/>
      <c r="V10" s="16"/>
      <c r="W10" s="16"/>
      <c r="X10" s="16"/>
      <c r="Y10" s="16"/>
      <c r="Z10" s="16"/>
    </row>
    <row r="11" spans="1:26" s="17" customFormat="1" x14ac:dyDescent="0.2">
      <c r="A11" s="326" t="s">
        <v>58</v>
      </c>
      <c r="B11" s="225" t="s">
        <v>540</v>
      </c>
      <c r="C11" s="225"/>
      <c r="D11" s="225"/>
      <c r="E11" s="225"/>
      <c r="F11" s="225"/>
      <c r="G11" s="325" t="s">
        <v>324</v>
      </c>
      <c r="H11" s="45"/>
      <c r="I11" s="41">
        <f>+I12+I13+I14</f>
        <v>0</v>
      </c>
      <c r="J11" s="41">
        <f>+J12+J13+J14</f>
        <v>0</v>
      </c>
      <c r="K11" s="41">
        <f>+K12+K13+K14</f>
        <v>0</v>
      </c>
      <c r="L11" s="41">
        <f>+L12+L13+L14</f>
        <v>0</v>
      </c>
      <c r="M11" s="41">
        <f t="shared" ref="M11:M40" si="0">+I11+J11+K11+L11</f>
        <v>0</v>
      </c>
      <c r="N11" s="41">
        <f>+N12+N13+N14</f>
        <v>0</v>
      </c>
      <c r="O11" s="41">
        <f t="shared" ref="O11:O40" si="1">+M11-N11</f>
        <v>0</v>
      </c>
      <c r="P11" s="16"/>
      <c r="Q11" s="16"/>
      <c r="R11" s="16"/>
      <c r="S11" s="16"/>
      <c r="T11" s="16"/>
      <c r="U11" s="16"/>
      <c r="V11" s="16"/>
      <c r="W11" s="16"/>
      <c r="X11" s="16"/>
      <c r="Y11" s="16"/>
      <c r="Z11" s="16"/>
    </row>
    <row r="12" spans="1:26" s="17" customFormat="1" x14ac:dyDescent="0.2">
      <c r="A12" s="326"/>
      <c r="B12" s="225" t="s">
        <v>59</v>
      </c>
      <c r="C12" s="225" t="s">
        <v>60</v>
      </c>
      <c r="D12" s="225"/>
      <c r="E12" s="225"/>
      <c r="F12" s="225"/>
      <c r="G12" s="325" t="s">
        <v>325</v>
      </c>
      <c r="H12" s="45"/>
      <c r="I12" s="44"/>
      <c r="J12" s="44"/>
      <c r="K12" s="44"/>
      <c r="L12" s="44"/>
      <c r="M12" s="41">
        <f t="shared" si="0"/>
        <v>0</v>
      </c>
      <c r="N12" s="44"/>
      <c r="O12" s="41">
        <f t="shared" si="1"/>
        <v>0</v>
      </c>
      <c r="P12" s="16"/>
      <c r="Q12" s="16"/>
      <c r="R12" s="16"/>
      <c r="S12" s="16"/>
      <c r="T12" s="16"/>
      <c r="U12" s="16"/>
      <c r="V12" s="16"/>
      <c r="W12" s="16"/>
      <c r="X12" s="16"/>
      <c r="Y12" s="16"/>
      <c r="Z12" s="16"/>
    </row>
    <row r="13" spans="1:26" s="17" customFormat="1" x14ac:dyDescent="0.2">
      <c r="A13" s="326"/>
      <c r="B13" s="225" t="s">
        <v>61</v>
      </c>
      <c r="C13" s="225" t="s">
        <v>72</v>
      </c>
      <c r="D13" s="225"/>
      <c r="E13" s="225"/>
      <c r="F13" s="225"/>
      <c r="G13" s="325" t="s">
        <v>541</v>
      </c>
      <c r="H13" s="45"/>
      <c r="I13" s="44"/>
      <c r="J13" s="44"/>
      <c r="K13" s="44"/>
      <c r="L13" s="44"/>
      <c r="M13" s="41">
        <f t="shared" si="0"/>
        <v>0</v>
      </c>
      <c r="N13" s="44"/>
      <c r="O13" s="41">
        <f t="shared" si="1"/>
        <v>0</v>
      </c>
      <c r="P13" s="16"/>
      <c r="Q13" s="16"/>
      <c r="R13" s="16"/>
      <c r="S13" s="16"/>
      <c r="T13" s="16"/>
      <c r="U13" s="16"/>
      <c r="V13" s="16"/>
      <c r="W13" s="16"/>
      <c r="X13" s="16"/>
      <c r="Y13" s="16"/>
      <c r="Z13" s="16"/>
    </row>
    <row r="14" spans="1:26" s="17" customFormat="1" x14ac:dyDescent="0.2">
      <c r="A14" s="326"/>
      <c r="B14" s="225" t="s">
        <v>71</v>
      </c>
      <c r="C14" s="225" t="s">
        <v>62</v>
      </c>
      <c r="D14" s="225"/>
      <c r="E14" s="225"/>
      <c r="F14" s="225"/>
      <c r="G14" s="325" t="s">
        <v>326</v>
      </c>
      <c r="H14" s="45"/>
      <c r="I14" s="41">
        <f>+I15+I16+I17</f>
        <v>0</v>
      </c>
      <c r="J14" s="41">
        <f>+J15+J16+J17</f>
        <v>0</v>
      </c>
      <c r="K14" s="41">
        <f>+K15+K16+K17</f>
        <v>0</v>
      </c>
      <c r="L14" s="41">
        <f>+L15+L16+L17</f>
        <v>0</v>
      </c>
      <c r="M14" s="41">
        <f t="shared" si="0"/>
        <v>0</v>
      </c>
      <c r="N14" s="41">
        <f>+N15+N16+N17</f>
        <v>0</v>
      </c>
      <c r="O14" s="41">
        <f t="shared" si="1"/>
        <v>0</v>
      </c>
      <c r="P14" s="16"/>
      <c r="Q14" s="16"/>
      <c r="R14" s="16"/>
      <c r="S14" s="16"/>
      <c r="T14" s="16"/>
      <c r="U14" s="16"/>
      <c r="V14" s="16"/>
      <c r="W14" s="16"/>
      <c r="X14" s="16"/>
      <c r="Y14" s="16"/>
      <c r="Z14" s="16"/>
    </row>
    <row r="15" spans="1:26" s="17" customFormat="1" x14ac:dyDescent="0.2">
      <c r="A15" s="326"/>
      <c r="B15" s="225"/>
      <c r="C15" s="310" t="s">
        <v>54</v>
      </c>
      <c r="D15" s="225" t="s">
        <v>63</v>
      </c>
      <c r="E15" s="225"/>
      <c r="F15" s="225"/>
      <c r="G15" s="325" t="s">
        <v>327</v>
      </c>
      <c r="H15" s="45"/>
      <c r="I15" s="44"/>
      <c r="J15" s="44"/>
      <c r="K15" s="44"/>
      <c r="L15" s="44"/>
      <c r="M15" s="41">
        <f t="shared" si="0"/>
        <v>0</v>
      </c>
      <c r="N15" s="44"/>
      <c r="O15" s="41">
        <f t="shared" si="1"/>
        <v>0</v>
      </c>
      <c r="P15" s="16"/>
      <c r="Q15" s="16"/>
      <c r="R15" s="16"/>
      <c r="S15" s="16"/>
      <c r="T15" s="16"/>
      <c r="U15" s="16"/>
      <c r="V15" s="16"/>
      <c r="W15" s="16"/>
      <c r="X15" s="16"/>
      <c r="Y15" s="16"/>
      <c r="Z15" s="16"/>
    </row>
    <row r="16" spans="1:26" s="17" customFormat="1" x14ac:dyDescent="0.2">
      <c r="A16" s="326"/>
      <c r="B16" s="225"/>
      <c r="C16" s="310" t="s">
        <v>55</v>
      </c>
      <c r="D16" s="225" t="s">
        <v>64</v>
      </c>
      <c r="E16" s="225"/>
      <c r="F16" s="225"/>
      <c r="G16" s="325" t="s">
        <v>328</v>
      </c>
      <c r="H16" s="45"/>
      <c r="I16" s="44"/>
      <c r="J16" s="44"/>
      <c r="K16" s="44"/>
      <c r="L16" s="44"/>
      <c r="M16" s="41">
        <f t="shared" si="0"/>
        <v>0</v>
      </c>
      <c r="N16" s="44"/>
      <c r="O16" s="41">
        <f t="shared" si="1"/>
        <v>0</v>
      </c>
      <c r="P16" s="16"/>
      <c r="Q16" s="16"/>
      <c r="R16" s="16"/>
      <c r="S16" s="16"/>
      <c r="T16" s="16"/>
      <c r="U16" s="16"/>
      <c r="V16" s="16"/>
      <c r="W16" s="16"/>
      <c r="X16" s="16"/>
      <c r="Y16" s="16"/>
      <c r="Z16" s="16"/>
    </row>
    <row r="17" spans="1:26" s="17" customFormat="1" x14ac:dyDescent="0.2">
      <c r="A17" s="326"/>
      <c r="B17" s="225"/>
      <c r="C17" s="310" t="s">
        <v>65</v>
      </c>
      <c r="D17" s="225" t="s">
        <v>66</v>
      </c>
      <c r="E17" s="225"/>
      <c r="F17" s="225"/>
      <c r="G17" s="325" t="s">
        <v>329</v>
      </c>
      <c r="H17" s="45"/>
      <c r="I17" s="44"/>
      <c r="J17" s="44"/>
      <c r="K17" s="44"/>
      <c r="L17" s="44"/>
      <c r="M17" s="41">
        <f t="shared" si="0"/>
        <v>0</v>
      </c>
      <c r="N17" s="44"/>
      <c r="O17" s="41">
        <f t="shared" si="1"/>
        <v>0</v>
      </c>
      <c r="P17" s="16"/>
      <c r="Q17" s="16"/>
      <c r="R17" s="16"/>
      <c r="S17" s="16"/>
      <c r="T17" s="16"/>
      <c r="U17" s="16"/>
      <c r="V17" s="16"/>
      <c r="W17" s="16"/>
      <c r="X17" s="16"/>
      <c r="Y17" s="16"/>
      <c r="Z17" s="16"/>
    </row>
    <row r="18" spans="1:26" s="17" customFormat="1" x14ac:dyDescent="0.2">
      <c r="A18" s="326" t="s">
        <v>55</v>
      </c>
      <c r="B18" s="225" t="s">
        <v>67</v>
      </c>
      <c r="C18" s="225"/>
      <c r="D18" s="225"/>
      <c r="E18" s="225"/>
      <c r="F18" s="225"/>
      <c r="G18" s="325" t="s">
        <v>330</v>
      </c>
      <c r="H18" s="45"/>
      <c r="I18" s="41">
        <f>+I19+I20</f>
        <v>0</v>
      </c>
      <c r="J18" s="41">
        <f>+J19+J20</f>
        <v>0</v>
      </c>
      <c r="K18" s="41">
        <f>+K19+K20</f>
        <v>0</v>
      </c>
      <c r="L18" s="41">
        <f>+L19+L20</f>
        <v>0</v>
      </c>
      <c r="M18" s="41">
        <f t="shared" si="0"/>
        <v>0</v>
      </c>
      <c r="N18" s="41">
        <f>+N19+N20</f>
        <v>0</v>
      </c>
      <c r="O18" s="41">
        <f t="shared" si="1"/>
        <v>0</v>
      </c>
      <c r="P18" s="16"/>
      <c r="Q18" s="16"/>
      <c r="R18" s="16"/>
      <c r="S18" s="16"/>
      <c r="T18" s="16"/>
      <c r="U18" s="16"/>
      <c r="V18" s="16"/>
      <c r="W18" s="16"/>
      <c r="X18" s="16"/>
      <c r="Y18" s="16"/>
      <c r="Z18" s="16"/>
    </row>
    <row r="19" spans="1:26" s="17" customFormat="1" x14ac:dyDescent="0.2">
      <c r="A19" s="326"/>
      <c r="B19" s="225" t="s">
        <v>59</v>
      </c>
      <c r="C19" s="225" t="s">
        <v>68</v>
      </c>
      <c r="D19" s="225"/>
      <c r="E19" s="225"/>
      <c r="F19" s="225"/>
      <c r="G19" s="325" t="s">
        <v>331</v>
      </c>
      <c r="H19" s="45"/>
      <c r="I19" s="44"/>
      <c r="J19" s="44"/>
      <c r="K19" s="44"/>
      <c r="L19" s="44"/>
      <c r="M19" s="41">
        <f t="shared" si="0"/>
        <v>0</v>
      </c>
      <c r="N19" s="44"/>
      <c r="O19" s="41">
        <f t="shared" si="1"/>
        <v>0</v>
      </c>
      <c r="P19" s="16"/>
      <c r="Q19" s="16"/>
      <c r="R19" s="16"/>
      <c r="S19" s="16"/>
      <c r="T19" s="16"/>
      <c r="U19" s="16"/>
      <c r="V19" s="16"/>
      <c r="W19" s="16"/>
      <c r="X19" s="16"/>
      <c r="Y19" s="16"/>
      <c r="Z19" s="16"/>
    </row>
    <row r="20" spans="1:26" s="17" customFormat="1" x14ac:dyDescent="0.2">
      <c r="A20" s="326"/>
      <c r="B20" s="225" t="s">
        <v>69</v>
      </c>
      <c r="C20" s="225" t="s">
        <v>70</v>
      </c>
      <c r="D20" s="225"/>
      <c r="E20" s="225"/>
      <c r="F20" s="225"/>
      <c r="G20" s="325" t="s">
        <v>332</v>
      </c>
      <c r="H20" s="45"/>
      <c r="I20" s="44"/>
      <c r="J20" s="44"/>
      <c r="K20" s="44"/>
      <c r="L20" s="44"/>
      <c r="M20" s="41">
        <f t="shared" si="0"/>
        <v>0</v>
      </c>
      <c r="N20" s="44"/>
      <c r="O20" s="41">
        <f t="shared" si="1"/>
        <v>0</v>
      </c>
      <c r="P20" s="16"/>
      <c r="Q20" s="16"/>
      <c r="R20" s="16"/>
      <c r="S20" s="16"/>
      <c r="T20" s="16"/>
      <c r="U20" s="16"/>
      <c r="V20" s="16"/>
      <c r="W20" s="16"/>
      <c r="X20" s="16"/>
      <c r="Y20" s="16"/>
      <c r="Z20" s="16"/>
    </row>
    <row r="21" spans="1:26" s="17" customFormat="1" x14ac:dyDescent="0.2">
      <c r="A21" s="326" t="s">
        <v>65</v>
      </c>
      <c r="B21" s="225" t="s">
        <v>1436</v>
      </c>
      <c r="C21" s="225"/>
      <c r="D21" s="225"/>
      <c r="E21" s="225"/>
      <c r="F21" s="225"/>
      <c r="G21" s="325" t="s">
        <v>333</v>
      </c>
      <c r="H21" s="45"/>
      <c r="I21" s="41">
        <f>+I22+I23</f>
        <v>0</v>
      </c>
      <c r="J21" s="41">
        <f>+J22+J23</f>
        <v>0</v>
      </c>
      <c r="K21" s="41">
        <f>+K22+K23</f>
        <v>0</v>
      </c>
      <c r="L21" s="41">
        <f>+L22+L23</f>
        <v>0</v>
      </c>
      <c r="M21" s="41">
        <f>+I21+J21+K21+L21</f>
        <v>0</v>
      </c>
      <c r="N21" s="41">
        <f>+N22+N23</f>
        <v>0</v>
      </c>
      <c r="O21" s="41">
        <f>+M21-N21</f>
        <v>0</v>
      </c>
      <c r="P21" s="16"/>
      <c r="Q21" s="16"/>
      <c r="R21" s="16"/>
      <c r="S21" s="16"/>
      <c r="T21" s="16"/>
      <c r="U21" s="16"/>
      <c r="V21" s="16"/>
      <c r="W21" s="16"/>
      <c r="X21" s="16"/>
      <c r="Y21" s="16"/>
      <c r="Z21" s="16"/>
    </row>
    <row r="22" spans="1:26" s="17" customFormat="1" x14ac:dyDescent="0.2">
      <c r="A22" s="326"/>
      <c r="B22" s="3" t="s">
        <v>59</v>
      </c>
      <c r="C22" s="658" t="s">
        <v>543</v>
      </c>
      <c r="D22" s="659"/>
      <c r="E22" s="659"/>
      <c r="F22" s="660"/>
      <c r="G22" s="601" t="s">
        <v>1431</v>
      </c>
      <c r="H22" s="45"/>
      <c r="I22" s="44"/>
      <c r="J22" s="44"/>
      <c r="K22" s="44"/>
      <c r="L22" s="44"/>
      <c r="M22" s="41">
        <f>+I22+J22+K22+L22</f>
        <v>0</v>
      </c>
      <c r="N22" s="44"/>
      <c r="O22" s="41">
        <f>+M22-N22</f>
        <v>0</v>
      </c>
      <c r="P22" s="16"/>
      <c r="Q22" s="16"/>
      <c r="R22" s="16"/>
      <c r="S22" s="16"/>
      <c r="T22" s="16"/>
      <c r="U22" s="16"/>
      <c r="V22" s="16"/>
      <c r="W22" s="16"/>
      <c r="X22" s="16"/>
      <c r="Y22" s="16"/>
      <c r="Z22" s="16"/>
    </row>
    <row r="23" spans="1:26" s="17" customFormat="1" x14ac:dyDescent="0.2">
      <c r="A23" s="326"/>
      <c r="B23" s="3" t="s">
        <v>61</v>
      </c>
      <c r="C23" s="658" t="s">
        <v>1430</v>
      </c>
      <c r="D23" s="659"/>
      <c r="E23" s="659"/>
      <c r="F23" s="660"/>
      <c r="G23" s="601" t="s">
        <v>1432</v>
      </c>
      <c r="H23" s="45"/>
      <c r="I23" s="44"/>
      <c r="J23" s="44"/>
      <c r="K23" s="44"/>
      <c r="L23" s="44"/>
      <c r="M23" s="41">
        <f>+I23+J23+K23+L23</f>
        <v>0</v>
      </c>
      <c r="N23" s="44"/>
      <c r="O23" s="41">
        <f>+M23-N23</f>
        <v>0</v>
      </c>
      <c r="P23" s="16"/>
      <c r="Q23" s="16"/>
      <c r="R23" s="16"/>
      <c r="S23" s="16"/>
      <c r="T23" s="16"/>
      <c r="U23" s="16"/>
      <c r="V23" s="16"/>
      <c r="W23" s="16"/>
      <c r="X23" s="16"/>
      <c r="Y23" s="16"/>
      <c r="Z23" s="16"/>
    </row>
    <row r="24" spans="1:26" s="17" customFormat="1" x14ac:dyDescent="0.2">
      <c r="A24" s="326" t="s">
        <v>90</v>
      </c>
      <c r="B24" s="225" t="s">
        <v>641</v>
      </c>
      <c r="C24" s="225"/>
      <c r="D24" s="225"/>
      <c r="E24" s="225"/>
      <c r="F24" s="225"/>
      <c r="G24" s="325" t="s">
        <v>334</v>
      </c>
      <c r="H24" s="45"/>
      <c r="I24" s="41">
        <f>+I25+I26</f>
        <v>0</v>
      </c>
      <c r="J24" s="41">
        <f>+J25+J26</f>
        <v>0</v>
      </c>
      <c r="K24" s="41">
        <f>+K25+K26</f>
        <v>0</v>
      </c>
      <c r="L24" s="41">
        <f>+L25+L26</f>
        <v>0</v>
      </c>
      <c r="M24" s="41">
        <f t="shared" si="0"/>
        <v>0</v>
      </c>
      <c r="N24" s="41">
        <f>+N25+N26</f>
        <v>0</v>
      </c>
      <c r="O24" s="41">
        <f t="shared" si="1"/>
        <v>0</v>
      </c>
      <c r="P24" s="16"/>
      <c r="Q24" s="16"/>
      <c r="R24" s="16"/>
      <c r="S24" s="16"/>
      <c r="T24" s="16"/>
      <c r="U24" s="16"/>
      <c r="V24" s="16"/>
      <c r="W24" s="16"/>
      <c r="X24" s="16"/>
      <c r="Y24" s="16"/>
      <c r="Z24" s="16"/>
    </row>
    <row r="25" spans="1:26" s="17" customFormat="1" x14ac:dyDescent="0.2">
      <c r="A25" s="326"/>
      <c r="B25" s="225" t="s">
        <v>59</v>
      </c>
      <c r="C25" s="225" t="s">
        <v>1451</v>
      </c>
      <c r="D25" s="225"/>
      <c r="E25" s="225"/>
      <c r="F25" s="225"/>
      <c r="G25" s="325" t="s">
        <v>335</v>
      </c>
      <c r="H25" s="45"/>
      <c r="I25" s="44"/>
      <c r="J25" s="44"/>
      <c r="K25" s="44"/>
      <c r="L25" s="44"/>
      <c r="M25" s="41">
        <f t="shared" si="0"/>
        <v>0</v>
      </c>
      <c r="N25" s="44"/>
      <c r="O25" s="41">
        <f t="shared" si="1"/>
        <v>0</v>
      </c>
      <c r="P25" s="16"/>
      <c r="Q25" s="16"/>
      <c r="R25" s="16"/>
      <c r="S25" s="16"/>
      <c r="T25" s="16"/>
      <c r="U25" s="16"/>
      <c r="V25" s="16"/>
      <c r="W25" s="16"/>
      <c r="X25" s="16"/>
      <c r="Y25" s="16"/>
      <c r="Z25" s="16"/>
    </row>
    <row r="26" spans="1:26" s="17" customFormat="1" x14ac:dyDescent="0.2">
      <c r="A26" s="326"/>
      <c r="B26" s="225" t="s">
        <v>69</v>
      </c>
      <c r="C26" s="225" t="s">
        <v>1452</v>
      </c>
      <c r="D26" s="225"/>
      <c r="E26" s="225"/>
      <c r="F26" s="225"/>
      <c r="G26" s="325" t="s">
        <v>336</v>
      </c>
      <c r="H26" s="45"/>
      <c r="I26" s="44"/>
      <c r="J26" s="44"/>
      <c r="K26" s="44"/>
      <c r="L26" s="44"/>
      <c r="M26" s="41">
        <f t="shared" si="0"/>
        <v>0</v>
      </c>
      <c r="N26" s="44"/>
      <c r="O26" s="41">
        <f t="shared" si="1"/>
        <v>0</v>
      </c>
      <c r="P26" s="16"/>
      <c r="Q26" s="16"/>
      <c r="R26" s="16"/>
      <c r="S26" s="16"/>
      <c r="T26" s="16"/>
      <c r="U26" s="16"/>
      <c r="V26" s="16"/>
      <c r="W26" s="16"/>
      <c r="X26" s="16"/>
      <c r="Y26" s="16"/>
      <c r="Z26" s="16"/>
    </row>
    <row r="27" spans="1:26" s="17" customFormat="1" x14ac:dyDescent="0.2">
      <c r="A27" s="326" t="s">
        <v>257</v>
      </c>
      <c r="B27" s="225" t="s">
        <v>983</v>
      </c>
      <c r="C27" s="225"/>
      <c r="D27" s="225"/>
      <c r="E27" s="225"/>
      <c r="F27" s="225"/>
      <c r="G27" s="325" t="s">
        <v>337</v>
      </c>
      <c r="H27" s="45"/>
      <c r="I27" s="44"/>
      <c r="J27" s="44"/>
      <c r="K27" s="44"/>
      <c r="L27" s="44"/>
      <c r="M27" s="41">
        <f t="shared" si="0"/>
        <v>0</v>
      </c>
      <c r="N27" s="44"/>
      <c r="O27" s="41">
        <f t="shared" si="1"/>
        <v>0</v>
      </c>
      <c r="P27" s="16"/>
      <c r="Q27" s="16"/>
      <c r="R27" s="16"/>
      <c r="S27" s="16"/>
      <c r="T27" s="16"/>
      <c r="U27" s="16"/>
      <c r="V27" s="16"/>
      <c r="W27" s="16"/>
      <c r="X27" s="16"/>
      <c r="Y27" s="16"/>
      <c r="Z27" s="16"/>
    </row>
    <row r="28" spans="1:26" s="17" customFormat="1" x14ac:dyDescent="0.2">
      <c r="A28" s="326" t="s">
        <v>74</v>
      </c>
      <c r="B28" s="225" t="s">
        <v>77</v>
      </c>
      <c r="C28" s="225"/>
      <c r="D28" s="225"/>
      <c r="E28" s="225"/>
      <c r="F28" s="225"/>
      <c r="G28" s="325" t="s">
        <v>338</v>
      </c>
      <c r="H28" s="45"/>
      <c r="I28" s="41">
        <f>+I29+I30</f>
        <v>0</v>
      </c>
      <c r="J28" s="41">
        <f>+J29+J30</f>
        <v>0</v>
      </c>
      <c r="K28" s="41">
        <f>+K29+K30</f>
        <v>0</v>
      </c>
      <c r="L28" s="41">
        <f>+L29+L30</f>
        <v>0</v>
      </c>
      <c r="M28" s="41">
        <f t="shared" si="0"/>
        <v>0</v>
      </c>
      <c r="N28" s="41">
        <f>+N29+N30</f>
        <v>0</v>
      </c>
      <c r="O28" s="41">
        <f t="shared" si="1"/>
        <v>0</v>
      </c>
      <c r="P28" s="16"/>
      <c r="Q28" s="16"/>
      <c r="R28" s="16"/>
      <c r="S28" s="16"/>
      <c r="T28" s="16"/>
      <c r="U28" s="16"/>
      <c r="V28" s="16"/>
      <c r="W28" s="16"/>
      <c r="X28" s="16"/>
      <c r="Y28" s="16"/>
      <c r="Z28" s="16"/>
    </row>
    <row r="29" spans="1:26" s="17" customFormat="1" x14ac:dyDescent="0.2">
      <c r="A29" s="326"/>
      <c r="B29" s="225" t="s">
        <v>59</v>
      </c>
      <c r="C29" s="225" t="s">
        <v>78</v>
      </c>
      <c r="D29" s="225"/>
      <c r="E29" s="225"/>
      <c r="F29" s="225"/>
      <c r="G29" s="325" t="s">
        <v>339</v>
      </c>
      <c r="H29" s="45"/>
      <c r="I29" s="44"/>
      <c r="J29" s="44"/>
      <c r="K29" s="44"/>
      <c r="L29" s="44"/>
      <c r="M29" s="41">
        <f t="shared" si="0"/>
        <v>0</v>
      </c>
      <c r="N29" s="44"/>
      <c r="O29" s="41">
        <f t="shared" si="1"/>
        <v>0</v>
      </c>
      <c r="P29" s="16"/>
      <c r="Q29" s="16"/>
      <c r="R29" s="16"/>
      <c r="S29" s="16"/>
      <c r="T29" s="16"/>
      <c r="U29" s="16"/>
      <c r="V29" s="16"/>
      <c r="W29" s="16"/>
      <c r="X29" s="16"/>
      <c r="Y29" s="16"/>
      <c r="Z29" s="16"/>
    </row>
    <row r="30" spans="1:26" s="17" customFormat="1" x14ac:dyDescent="0.2">
      <c r="A30" s="326"/>
      <c r="B30" s="225" t="s">
        <v>61</v>
      </c>
      <c r="C30" s="225" t="s">
        <v>66</v>
      </c>
      <c r="D30" s="225"/>
      <c r="E30" s="225"/>
      <c r="F30" s="225"/>
      <c r="G30" s="325" t="s">
        <v>340</v>
      </c>
      <c r="H30" s="45"/>
      <c r="I30" s="44"/>
      <c r="J30" s="44"/>
      <c r="K30" s="44"/>
      <c r="L30" s="44"/>
      <c r="M30" s="41">
        <f t="shared" si="0"/>
        <v>0</v>
      </c>
      <c r="N30" s="44"/>
      <c r="O30" s="41">
        <f t="shared" si="1"/>
        <v>0</v>
      </c>
      <c r="P30" s="16"/>
      <c r="Q30" s="16"/>
      <c r="R30" s="16"/>
      <c r="S30" s="16"/>
      <c r="T30" s="16"/>
      <c r="U30" s="16"/>
      <c r="V30" s="16"/>
      <c r="W30" s="16"/>
      <c r="X30" s="16"/>
      <c r="Y30" s="16"/>
      <c r="Z30" s="16"/>
    </row>
    <row r="31" spans="1:26" s="17" customFormat="1" x14ac:dyDescent="0.2">
      <c r="A31" s="326" t="s">
        <v>76</v>
      </c>
      <c r="B31" s="661" t="s">
        <v>982</v>
      </c>
      <c r="C31" s="661"/>
      <c r="D31" s="661"/>
      <c r="E31" s="661"/>
      <c r="F31" s="661"/>
      <c r="G31" s="325" t="s">
        <v>341</v>
      </c>
      <c r="H31" s="45"/>
      <c r="I31" s="44"/>
      <c r="J31" s="44"/>
      <c r="K31" s="44"/>
      <c r="L31" s="44"/>
      <c r="M31" s="41">
        <f t="shared" si="0"/>
        <v>0</v>
      </c>
      <c r="N31" s="44"/>
      <c r="O31" s="41">
        <f t="shared" si="1"/>
        <v>0</v>
      </c>
      <c r="P31" s="16"/>
      <c r="Q31" s="16"/>
      <c r="R31" s="16"/>
      <c r="S31" s="16"/>
      <c r="T31" s="16"/>
      <c r="U31" s="16"/>
      <c r="V31" s="16"/>
      <c r="W31" s="16"/>
      <c r="X31" s="16"/>
      <c r="Y31" s="16"/>
      <c r="Z31" s="16"/>
    </row>
    <row r="32" spans="1:26" s="17" customFormat="1" x14ac:dyDescent="0.2">
      <c r="A32" s="326" t="s">
        <v>79</v>
      </c>
      <c r="B32" s="225" t="s">
        <v>1467</v>
      </c>
      <c r="C32" s="225"/>
      <c r="D32" s="225"/>
      <c r="E32" s="225"/>
      <c r="F32" s="225"/>
      <c r="G32" s="325" t="s">
        <v>342</v>
      </c>
      <c r="H32" s="45"/>
      <c r="I32" s="41">
        <f>+I33+I34+I37+I38</f>
        <v>0</v>
      </c>
      <c r="J32" s="41">
        <f>+J33+J34+J37+J38</f>
        <v>0</v>
      </c>
      <c r="K32" s="41">
        <f>+K33+K34+K37+K38</f>
        <v>0</v>
      </c>
      <c r="L32" s="41">
        <f>+L33+L34+L37+L38</f>
        <v>0</v>
      </c>
      <c r="M32" s="41">
        <f t="shared" si="0"/>
        <v>0</v>
      </c>
      <c r="N32" s="41">
        <f>+N33+N34+N37+N38</f>
        <v>0</v>
      </c>
      <c r="O32" s="41">
        <f t="shared" si="1"/>
        <v>0</v>
      </c>
      <c r="P32" s="16"/>
      <c r="Q32" s="16"/>
      <c r="R32" s="16"/>
      <c r="S32" s="16"/>
      <c r="T32" s="16"/>
      <c r="U32" s="16"/>
      <c r="V32" s="16"/>
      <c r="W32" s="16"/>
      <c r="X32" s="16"/>
      <c r="Y32" s="16"/>
      <c r="Z32" s="16"/>
    </row>
    <row r="33" spans="1:26" s="17" customFormat="1" x14ac:dyDescent="0.2">
      <c r="A33" s="326"/>
      <c r="B33" s="225" t="s">
        <v>59</v>
      </c>
      <c r="C33" s="225" t="s">
        <v>82</v>
      </c>
      <c r="D33" s="225"/>
      <c r="E33" s="225"/>
      <c r="F33" s="225"/>
      <c r="G33" s="325" t="s">
        <v>343</v>
      </c>
      <c r="H33" s="45"/>
      <c r="I33" s="44"/>
      <c r="J33" s="44"/>
      <c r="K33" s="44"/>
      <c r="L33" s="44"/>
      <c r="M33" s="41">
        <f t="shared" si="0"/>
        <v>0</v>
      </c>
      <c r="N33" s="44"/>
      <c r="O33" s="41">
        <f t="shared" si="1"/>
        <v>0</v>
      </c>
      <c r="P33" s="16"/>
      <c r="Q33" s="16"/>
      <c r="R33" s="16"/>
      <c r="S33" s="16"/>
      <c r="T33" s="16"/>
      <c r="U33" s="16"/>
      <c r="V33" s="16"/>
      <c r="W33" s="16"/>
      <c r="X33" s="16"/>
      <c r="Y33" s="16"/>
      <c r="Z33" s="16"/>
    </row>
    <row r="34" spans="1:26" s="17" customFormat="1" x14ac:dyDescent="0.2">
      <c r="A34" s="326"/>
      <c r="B34" s="225" t="s">
        <v>61</v>
      </c>
      <c r="C34" s="662" t="s">
        <v>1457</v>
      </c>
      <c r="D34" s="662"/>
      <c r="E34" s="662"/>
      <c r="F34" s="663"/>
      <c r="G34" s="325" t="s">
        <v>344</v>
      </c>
      <c r="H34" s="45"/>
      <c r="I34" s="41">
        <f>I35+I36</f>
        <v>0</v>
      </c>
      <c r="J34" s="41">
        <f>J35+J36</f>
        <v>0</v>
      </c>
      <c r="K34" s="41">
        <f>K35+K36</f>
        <v>0</v>
      </c>
      <c r="L34" s="41">
        <f>L35+L36</f>
        <v>0</v>
      </c>
      <c r="M34" s="41">
        <f t="shared" si="0"/>
        <v>0</v>
      </c>
      <c r="N34" s="41">
        <f>N35+N36</f>
        <v>0</v>
      </c>
      <c r="O34" s="41">
        <f t="shared" si="1"/>
        <v>0</v>
      </c>
      <c r="P34" s="16"/>
      <c r="Q34" s="16"/>
      <c r="R34" s="16"/>
      <c r="S34" s="16"/>
      <c r="T34" s="16"/>
      <c r="U34" s="16"/>
      <c r="V34" s="16"/>
      <c r="W34" s="16"/>
      <c r="X34" s="16"/>
      <c r="Y34" s="16"/>
      <c r="Z34" s="16"/>
    </row>
    <row r="35" spans="1:26" s="17" customFormat="1" x14ac:dyDescent="0.2">
      <c r="A35" s="619"/>
      <c r="B35" s="79"/>
      <c r="C35" s="225" t="s">
        <v>54</v>
      </c>
      <c r="D35" s="225" t="s">
        <v>83</v>
      </c>
      <c r="E35" s="225"/>
      <c r="F35" s="225"/>
      <c r="G35" s="609" t="s">
        <v>1459</v>
      </c>
      <c r="H35" s="45"/>
      <c r="I35" s="44"/>
      <c r="J35" s="44"/>
      <c r="K35" s="44"/>
      <c r="L35" s="44"/>
      <c r="M35" s="41">
        <f>+I35+J35+K35+L35</f>
        <v>0</v>
      </c>
      <c r="N35" s="44"/>
      <c r="O35" s="41">
        <f>+M35-N35</f>
        <v>0</v>
      </c>
      <c r="P35" s="16"/>
      <c r="Q35" s="16"/>
      <c r="R35" s="16"/>
      <c r="S35" s="16"/>
      <c r="T35" s="16"/>
      <c r="U35" s="16"/>
      <c r="V35" s="16"/>
      <c r="W35" s="16"/>
      <c r="X35" s="16"/>
      <c r="Y35" s="16"/>
      <c r="Z35" s="16"/>
    </row>
    <row r="36" spans="1:26" s="17" customFormat="1" x14ac:dyDescent="0.2">
      <c r="A36" s="619"/>
      <c r="B36" s="79"/>
      <c r="C36" s="225" t="s">
        <v>55</v>
      </c>
      <c r="D36" s="225" t="s">
        <v>1458</v>
      </c>
      <c r="E36" s="225"/>
      <c r="F36" s="225"/>
      <c r="G36" s="609" t="s">
        <v>1460</v>
      </c>
      <c r="H36" s="45"/>
      <c r="I36" s="44"/>
      <c r="J36" s="44"/>
      <c r="K36" s="44"/>
      <c r="L36" s="44"/>
      <c r="M36" s="41">
        <f>+I36+J36+K36+L36</f>
        <v>0</v>
      </c>
      <c r="N36" s="44"/>
      <c r="O36" s="41">
        <f>+M36-N36</f>
        <v>0</v>
      </c>
      <c r="P36" s="16"/>
      <c r="Q36" s="16"/>
      <c r="R36" s="16"/>
      <c r="S36" s="16"/>
      <c r="T36" s="16"/>
      <c r="U36" s="16"/>
      <c r="V36" s="16"/>
      <c r="W36" s="16"/>
      <c r="X36" s="16"/>
      <c r="Y36" s="16"/>
      <c r="Z36" s="16"/>
    </row>
    <row r="37" spans="1:26" s="17" customFormat="1" x14ac:dyDescent="0.2">
      <c r="A37" s="326"/>
      <c r="B37" s="3" t="s">
        <v>1434</v>
      </c>
      <c r="C37" s="3" t="s">
        <v>1468</v>
      </c>
      <c r="D37" s="3"/>
      <c r="E37" s="3"/>
      <c r="F37" s="79"/>
      <c r="G37" s="601" t="s">
        <v>1435</v>
      </c>
      <c r="H37" s="45"/>
      <c r="I37" s="44"/>
      <c r="J37" s="44"/>
      <c r="K37" s="44"/>
      <c r="L37" s="44"/>
      <c r="M37" s="41">
        <f>+I37+J37+K37+L37</f>
        <v>0</v>
      </c>
      <c r="N37" s="44"/>
      <c r="O37" s="41">
        <f>+M37-N37</f>
        <v>0</v>
      </c>
      <c r="P37" s="16"/>
      <c r="Q37" s="16"/>
      <c r="R37" s="16"/>
      <c r="S37" s="16"/>
      <c r="T37" s="16"/>
      <c r="U37" s="16"/>
      <c r="V37" s="16"/>
      <c r="W37" s="16"/>
      <c r="X37" s="16"/>
      <c r="Y37" s="16"/>
      <c r="Z37" s="16"/>
    </row>
    <row r="38" spans="1:26" s="17" customFormat="1" x14ac:dyDescent="0.2">
      <c r="A38" s="326"/>
      <c r="B38" s="225" t="s">
        <v>1433</v>
      </c>
      <c r="C38" s="225" t="s">
        <v>52</v>
      </c>
      <c r="D38" s="225"/>
      <c r="E38" s="225"/>
      <c r="F38" s="225"/>
      <c r="G38" s="325" t="s">
        <v>345</v>
      </c>
      <c r="H38" s="45"/>
      <c r="I38" s="44"/>
      <c r="J38" s="44"/>
      <c r="K38" s="44"/>
      <c r="L38" s="44"/>
      <c r="M38" s="41">
        <f t="shared" si="0"/>
        <v>0</v>
      </c>
      <c r="N38" s="44"/>
      <c r="O38" s="41">
        <f t="shared" si="1"/>
        <v>0</v>
      </c>
      <c r="P38" s="16"/>
      <c r="Q38" s="16"/>
      <c r="R38" s="16"/>
      <c r="S38" s="16"/>
      <c r="T38" s="16"/>
      <c r="U38" s="16"/>
      <c r="V38" s="16"/>
      <c r="W38" s="16"/>
      <c r="X38" s="16"/>
      <c r="Y38" s="16"/>
      <c r="Z38" s="16"/>
    </row>
    <row r="39" spans="1:26" s="17" customFormat="1" x14ac:dyDescent="0.2">
      <c r="A39" s="326" t="s">
        <v>81</v>
      </c>
      <c r="B39" s="225" t="s">
        <v>85</v>
      </c>
      <c r="C39" s="225"/>
      <c r="D39" s="225"/>
      <c r="E39" s="225"/>
      <c r="F39" s="225"/>
      <c r="G39" s="325" t="s">
        <v>346</v>
      </c>
      <c r="H39" s="45"/>
      <c r="I39" s="44"/>
      <c r="J39" s="44"/>
      <c r="K39" s="44"/>
      <c r="L39" s="44"/>
      <c r="M39" s="41">
        <f t="shared" si="0"/>
        <v>0</v>
      </c>
      <c r="N39" s="44"/>
      <c r="O39" s="41">
        <f t="shared" si="1"/>
        <v>0</v>
      </c>
      <c r="P39" s="16"/>
      <c r="Q39" s="16"/>
      <c r="R39" s="16"/>
      <c r="S39" s="16"/>
      <c r="T39" s="16"/>
      <c r="U39" s="16"/>
      <c r="V39" s="16"/>
      <c r="W39" s="16"/>
      <c r="X39" s="16"/>
      <c r="Y39" s="16"/>
      <c r="Z39" s="16"/>
    </row>
    <row r="40" spans="1:26" s="17" customFormat="1" x14ac:dyDescent="0.2">
      <c r="A40" s="324" t="s">
        <v>86</v>
      </c>
      <c r="B40" s="225"/>
      <c r="C40" s="225"/>
      <c r="D40" s="225"/>
      <c r="E40" s="225"/>
      <c r="F40" s="303"/>
      <c r="G40" s="325" t="s">
        <v>347</v>
      </c>
      <c r="H40" s="45"/>
      <c r="I40" s="41">
        <f>I41+I42+I43+I44</f>
        <v>0</v>
      </c>
      <c r="J40" s="41">
        <f>J41+J42+J43+J44</f>
        <v>0</v>
      </c>
      <c r="K40" s="41">
        <f>K41+K42+K43+K44</f>
        <v>0</v>
      </c>
      <c r="L40" s="41">
        <f>L41+L42+L43+L44</f>
        <v>0</v>
      </c>
      <c r="M40" s="41">
        <f t="shared" si="0"/>
        <v>0</v>
      </c>
      <c r="N40" s="41">
        <f>N41+N42+N43+N44</f>
        <v>0</v>
      </c>
      <c r="O40" s="41">
        <f t="shared" si="1"/>
        <v>0</v>
      </c>
      <c r="P40" s="16"/>
      <c r="Q40" s="16"/>
      <c r="R40" s="16"/>
      <c r="S40" s="16"/>
      <c r="T40" s="16"/>
      <c r="U40" s="16"/>
      <c r="V40" s="16"/>
      <c r="W40" s="16"/>
      <c r="X40" s="16"/>
      <c r="Y40" s="16"/>
      <c r="Z40" s="16"/>
    </row>
    <row r="41" spans="1:26" s="17" customFormat="1" x14ac:dyDescent="0.2">
      <c r="A41" s="325" t="s">
        <v>54</v>
      </c>
      <c r="B41" s="225" t="s">
        <v>87</v>
      </c>
      <c r="C41" s="225"/>
      <c r="D41" s="225"/>
      <c r="E41" s="225"/>
      <c r="F41" s="303"/>
      <c r="G41" s="325" t="s">
        <v>348</v>
      </c>
      <c r="H41" s="45"/>
      <c r="I41" s="43"/>
      <c r="J41" s="43"/>
      <c r="K41" s="43"/>
      <c r="L41" s="43"/>
      <c r="M41" s="43"/>
      <c r="N41" s="43"/>
      <c r="O41" s="43"/>
      <c r="P41" s="16"/>
      <c r="Q41" s="16"/>
      <c r="R41" s="16"/>
      <c r="S41" s="16"/>
      <c r="T41" s="16"/>
      <c r="U41" s="16"/>
      <c r="V41" s="16"/>
      <c r="W41" s="16"/>
      <c r="X41" s="16"/>
      <c r="Y41" s="16"/>
      <c r="Z41" s="16"/>
    </row>
    <row r="42" spans="1:26" s="17" customFormat="1" x14ac:dyDescent="0.2">
      <c r="A42" s="325" t="s">
        <v>55</v>
      </c>
      <c r="B42" s="225" t="s">
        <v>88</v>
      </c>
      <c r="C42" s="225"/>
      <c r="D42" s="225"/>
      <c r="E42" s="225"/>
      <c r="F42" s="303"/>
      <c r="G42" s="325" t="s">
        <v>349</v>
      </c>
      <c r="H42" s="45"/>
      <c r="I42" s="43"/>
      <c r="J42" s="43"/>
      <c r="K42" s="43"/>
      <c r="L42" s="43"/>
      <c r="M42" s="43"/>
      <c r="N42" s="43"/>
      <c r="O42" s="43"/>
      <c r="P42" s="16"/>
      <c r="Q42" s="16"/>
      <c r="R42" s="16"/>
      <c r="S42" s="16"/>
      <c r="T42" s="16"/>
      <c r="U42" s="16"/>
      <c r="V42" s="16"/>
      <c r="W42" s="16"/>
      <c r="X42" s="16"/>
      <c r="Y42" s="16"/>
      <c r="Z42" s="16"/>
    </row>
    <row r="43" spans="1:26" s="17" customFormat="1" x14ac:dyDescent="0.2">
      <c r="A43" s="325" t="s">
        <v>65</v>
      </c>
      <c r="B43" s="225" t="s">
        <v>89</v>
      </c>
      <c r="C43" s="225"/>
      <c r="D43" s="225"/>
      <c r="E43" s="225"/>
      <c r="F43" s="303"/>
      <c r="G43" s="325" t="s">
        <v>350</v>
      </c>
      <c r="H43" s="45"/>
      <c r="I43" s="43"/>
      <c r="J43" s="43"/>
      <c r="K43" s="43"/>
      <c r="L43" s="43"/>
      <c r="M43" s="43"/>
      <c r="N43" s="43"/>
      <c r="O43" s="43"/>
      <c r="P43" s="16"/>
      <c r="Q43" s="16"/>
      <c r="R43" s="16"/>
      <c r="S43" s="16"/>
      <c r="T43" s="16"/>
      <c r="U43" s="16"/>
      <c r="V43" s="16"/>
      <c r="W43" s="16"/>
      <c r="X43" s="16"/>
      <c r="Y43" s="16"/>
      <c r="Z43" s="16"/>
    </row>
    <row r="44" spans="1:26" s="17" customFormat="1" x14ac:dyDescent="0.2">
      <c r="A44" s="325" t="s">
        <v>90</v>
      </c>
      <c r="B44" s="225" t="s">
        <v>91</v>
      </c>
      <c r="C44" s="225"/>
      <c r="D44" s="225"/>
      <c r="E44" s="225"/>
      <c r="F44" s="303"/>
      <c r="G44" s="325" t="s">
        <v>351</v>
      </c>
      <c r="H44" s="45"/>
      <c r="I44" s="44"/>
      <c r="J44" s="44"/>
      <c r="K44" s="44"/>
      <c r="L44" s="44"/>
      <c r="M44" s="41">
        <f>+I44+J44+K44+L44</f>
        <v>0</v>
      </c>
      <c r="N44" s="44"/>
      <c r="O44" s="41">
        <f>+M44-N44</f>
        <v>0</v>
      </c>
      <c r="P44" s="16"/>
      <c r="Q44" s="16"/>
      <c r="R44" s="16"/>
      <c r="S44" s="16"/>
      <c r="T44" s="16"/>
      <c r="U44" s="16"/>
      <c r="V44" s="16"/>
      <c r="W44" s="16"/>
      <c r="X44" s="16"/>
      <c r="Y44" s="16"/>
      <c r="Z44" s="16"/>
    </row>
    <row r="45" spans="1:26" s="20" customFormat="1" x14ac:dyDescent="0.2">
      <c r="A45" s="643" t="s">
        <v>104</v>
      </c>
      <c r="B45" s="684"/>
      <c r="C45" s="684"/>
      <c r="D45" s="684"/>
      <c r="E45" s="684"/>
      <c r="F45" s="685"/>
      <c r="G45" s="342" t="s">
        <v>352</v>
      </c>
      <c r="H45" s="46"/>
      <c r="I45" s="41">
        <f>+I10+I40</f>
        <v>0</v>
      </c>
      <c r="J45" s="41">
        <f>+J10+J40</f>
        <v>0</v>
      </c>
      <c r="K45" s="41">
        <f>+K10+K40</f>
        <v>0</v>
      </c>
      <c r="L45" s="41">
        <f>+L10+L40</f>
        <v>0</v>
      </c>
      <c r="M45" s="41">
        <f>+I45+J45+K45+L45</f>
        <v>0</v>
      </c>
      <c r="N45" s="41">
        <f>+N10+N40</f>
        <v>0</v>
      </c>
      <c r="O45" s="41">
        <f>+M45-N45</f>
        <v>0</v>
      </c>
      <c r="P45" s="1"/>
      <c r="Q45" s="1"/>
      <c r="R45" s="1"/>
      <c r="S45" s="1"/>
      <c r="T45" s="1"/>
      <c r="U45" s="1"/>
      <c r="V45" s="1"/>
      <c r="W45" s="1"/>
      <c r="X45" s="1"/>
      <c r="Y45" s="1"/>
      <c r="Z45" s="1"/>
    </row>
    <row r="46" spans="1:26" s="20" customFormat="1" x14ac:dyDescent="0.2">
      <c r="A46" s="328" t="s">
        <v>644</v>
      </c>
      <c r="B46" s="329"/>
      <c r="C46" s="329"/>
      <c r="D46" s="330"/>
      <c r="E46" s="329"/>
      <c r="F46" s="331"/>
      <c r="G46" s="332"/>
      <c r="H46" s="46"/>
      <c r="I46" s="41"/>
      <c r="J46" s="41"/>
      <c r="K46" s="41"/>
      <c r="L46" s="41"/>
      <c r="M46" s="41"/>
      <c r="N46" s="41"/>
      <c r="O46" s="41"/>
      <c r="P46" s="1"/>
      <c r="Q46" s="1"/>
      <c r="R46" s="1"/>
      <c r="S46" s="1"/>
      <c r="T46" s="1"/>
      <c r="U46" s="1"/>
      <c r="V46" s="1"/>
      <c r="W46" s="1"/>
      <c r="X46" s="1"/>
      <c r="Y46" s="1"/>
      <c r="Z46" s="1"/>
    </row>
    <row r="47" spans="1:26" s="20" customFormat="1" x14ac:dyDescent="0.2">
      <c r="A47" s="333" t="s">
        <v>161</v>
      </c>
      <c r="B47" s="303" t="s">
        <v>68</v>
      </c>
      <c r="C47" s="303"/>
      <c r="D47" s="303"/>
      <c r="E47" s="303"/>
      <c r="F47" s="334"/>
      <c r="G47" s="335" t="s">
        <v>642</v>
      </c>
      <c r="H47" s="46"/>
      <c r="I47" s="44"/>
      <c r="J47" s="44"/>
      <c r="K47" s="44"/>
      <c r="L47" s="44"/>
      <c r="M47" s="41">
        <f>+I47+J47+K47+L47</f>
        <v>0</v>
      </c>
      <c r="N47" s="44"/>
      <c r="O47" s="41">
        <f>+M47-N47</f>
        <v>0</v>
      </c>
      <c r="P47" s="1"/>
      <c r="Q47" s="1"/>
      <c r="R47" s="1"/>
      <c r="S47" s="1"/>
      <c r="T47" s="1"/>
      <c r="U47" s="1"/>
      <c r="V47" s="1"/>
      <c r="W47" s="1"/>
      <c r="X47" s="1"/>
      <c r="Y47" s="1"/>
      <c r="Z47" s="1"/>
    </row>
    <row r="48" spans="1:26" s="20" customFormat="1" x14ac:dyDescent="0.2">
      <c r="A48" s="333" t="s">
        <v>164</v>
      </c>
      <c r="B48" s="303" t="s">
        <v>70</v>
      </c>
      <c r="C48" s="303"/>
      <c r="D48" s="303"/>
      <c r="E48" s="303"/>
      <c r="F48" s="334"/>
      <c r="G48" s="335" t="s">
        <v>643</v>
      </c>
      <c r="H48" s="46"/>
      <c r="I48" s="44"/>
      <c r="J48" s="44"/>
      <c r="K48" s="44"/>
      <c r="L48" s="44"/>
      <c r="M48" s="41">
        <f>+I48+J48+K48+L48</f>
        <v>0</v>
      </c>
      <c r="N48" s="44"/>
      <c r="O48" s="41">
        <f>+M48-N48</f>
        <v>0</v>
      </c>
      <c r="P48" s="1"/>
      <c r="Q48" s="1"/>
      <c r="R48" s="1"/>
      <c r="S48" s="1"/>
      <c r="T48" s="1"/>
      <c r="U48" s="1"/>
      <c r="V48" s="1"/>
      <c r="W48" s="1"/>
      <c r="X48" s="1"/>
      <c r="Y48" s="1"/>
      <c r="Z48" s="1"/>
    </row>
    <row r="49" spans="1:26" s="17" customFormat="1" x14ac:dyDescent="0.2">
      <c r="A49" s="324" t="s">
        <v>177</v>
      </c>
      <c r="B49" s="225"/>
      <c r="C49" s="303"/>
      <c r="D49" s="303"/>
      <c r="E49" s="303"/>
      <c r="F49" s="303"/>
      <c r="G49" s="363"/>
      <c r="H49" s="113"/>
      <c r="I49" s="114"/>
      <c r="J49" s="114"/>
      <c r="K49" s="114"/>
      <c r="L49" s="114"/>
      <c r="M49" s="105"/>
      <c r="N49" s="114"/>
      <c r="O49" s="105"/>
      <c r="P49" s="16"/>
      <c r="Q49" s="16"/>
      <c r="R49" s="16"/>
      <c r="S49" s="16"/>
      <c r="T49" s="16"/>
      <c r="U49" s="16"/>
      <c r="V49" s="16"/>
      <c r="W49" s="16"/>
      <c r="X49" s="16"/>
      <c r="Y49" s="16"/>
      <c r="Z49" s="16"/>
    </row>
    <row r="50" spans="1:26" s="17" customFormat="1" ht="12.75" x14ac:dyDescent="0.2">
      <c r="A50" s="342" t="s">
        <v>54</v>
      </c>
      <c r="B50" s="364" t="s">
        <v>304</v>
      </c>
      <c r="C50" s="303"/>
      <c r="D50" s="303"/>
      <c r="E50" s="303"/>
      <c r="F50" s="303"/>
      <c r="G50" s="342" t="s">
        <v>353</v>
      </c>
      <c r="H50" s="80"/>
      <c r="I50" s="49">
        <f>+I51+I57</f>
        <v>0</v>
      </c>
      <c r="J50" s="49">
        <f>+J51+J57</f>
        <v>0</v>
      </c>
      <c r="K50" s="49">
        <f>+K51+K57</f>
        <v>0</v>
      </c>
      <c r="L50" s="49">
        <f>+L51+L57</f>
        <v>0</v>
      </c>
      <c r="M50" s="41">
        <f t="shared" ref="M50:M75" si="2">+I50+J50+K50+L50</f>
        <v>0</v>
      </c>
      <c r="N50" s="49">
        <f>+N51+N57</f>
        <v>0</v>
      </c>
      <c r="O50" s="41">
        <f t="shared" ref="O50:O81" si="3">+M50-N50</f>
        <v>0</v>
      </c>
      <c r="P50" s="16"/>
      <c r="Q50" s="16"/>
      <c r="R50" s="16"/>
      <c r="S50" s="16"/>
      <c r="T50" s="16"/>
      <c r="U50" s="16"/>
      <c r="V50" s="16"/>
      <c r="W50" s="16"/>
      <c r="X50" s="16"/>
      <c r="Y50" s="16"/>
      <c r="Z50" s="16"/>
    </row>
    <row r="51" spans="1:26" s="17" customFormat="1" ht="12.75" x14ac:dyDescent="0.2">
      <c r="A51" s="363"/>
      <c r="B51" s="225" t="s">
        <v>59</v>
      </c>
      <c r="C51" s="303" t="s">
        <v>305</v>
      </c>
      <c r="D51" s="303"/>
      <c r="E51" s="303"/>
      <c r="F51" s="303"/>
      <c r="G51" s="342" t="s">
        <v>354</v>
      </c>
      <c r="H51" s="80"/>
      <c r="I51" s="49">
        <f>SUM(I52:I56)</f>
        <v>0</v>
      </c>
      <c r="J51" s="49">
        <f>SUM(J52:J56)</f>
        <v>0</v>
      </c>
      <c r="K51" s="49">
        <f>SUM(K52:K56)</f>
        <v>0</v>
      </c>
      <c r="L51" s="49">
        <f>SUM(L52:L56)</f>
        <v>0</v>
      </c>
      <c r="M51" s="41">
        <f t="shared" si="2"/>
        <v>0</v>
      </c>
      <c r="N51" s="49">
        <f>SUM(N52:N56)</f>
        <v>0</v>
      </c>
      <c r="O51" s="41">
        <f t="shared" si="3"/>
        <v>0</v>
      </c>
      <c r="P51" s="16"/>
      <c r="Q51" s="16"/>
      <c r="R51" s="16"/>
      <c r="S51" s="16"/>
      <c r="T51" s="16"/>
      <c r="U51" s="16"/>
      <c r="V51" s="16"/>
      <c r="W51" s="16"/>
      <c r="X51" s="16"/>
      <c r="Y51" s="16"/>
      <c r="Z51" s="16"/>
    </row>
    <row r="52" spans="1:26" s="17" customFormat="1" ht="12.75" x14ac:dyDescent="0.2">
      <c r="A52" s="363"/>
      <c r="B52" s="225"/>
      <c r="C52" s="303" t="s">
        <v>306</v>
      </c>
      <c r="D52" s="303" t="s">
        <v>307</v>
      </c>
      <c r="E52" s="303"/>
      <c r="F52" s="303"/>
      <c r="G52" s="342" t="s">
        <v>355</v>
      </c>
      <c r="H52" s="80"/>
      <c r="I52" s="50"/>
      <c r="J52" s="50"/>
      <c r="K52" s="50"/>
      <c r="L52" s="50"/>
      <c r="M52" s="41">
        <f t="shared" si="2"/>
        <v>0</v>
      </c>
      <c r="N52" s="50"/>
      <c r="O52" s="41">
        <f t="shared" si="3"/>
        <v>0</v>
      </c>
      <c r="P52" s="16"/>
      <c r="Q52" s="16"/>
      <c r="R52" s="16"/>
      <c r="S52" s="16"/>
      <c r="T52" s="16"/>
      <c r="U52" s="16"/>
      <c r="V52" s="16"/>
      <c r="W52" s="16"/>
      <c r="X52" s="16"/>
      <c r="Y52" s="16"/>
      <c r="Z52" s="16"/>
    </row>
    <row r="53" spans="1:26" s="17" customFormat="1" ht="12.75" x14ac:dyDescent="0.2">
      <c r="A53" s="363"/>
      <c r="B53" s="225"/>
      <c r="C53" s="303" t="s">
        <v>308</v>
      </c>
      <c r="D53" s="303" t="s">
        <v>309</v>
      </c>
      <c r="E53" s="303"/>
      <c r="F53" s="303"/>
      <c r="G53" s="342" t="s">
        <v>356</v>
      </c>
      <c r="H53" s="80"/>
      <c r="I53" s="50"/>
      <c r="J53" s="50"/>
      <c r="K53" s="50"/>
      <c r="L53" s="50"/>
      <c r="M53" s="41">
        <f t="shared" si="2"/>
        <v>0</v>
      </c>
      <c r="N53" s="50"/>
      <c r="O53" s="41">
        <f t="shared" si="3"/>
        <v>0</v>
      </c>
      <c r="P53" s="16"/>
      <c r="Q53" s="16"/>
      <c r="R53" s="16"/>
      <c r="S53" s="16"/>
      <c r="T53" s="16"/>
      <c r="U53" s="16"/>
      <c r="V53" s="16"/>
      <c r="W53" s="16"/>
      <c r="X53" s="16"/>
      <c r="Y53" s="16"/>
      <c r="Z53" s="16"/>
    </row>
    <row r="54" spans="1:26" s="17" customFormat="1" ht="12.75" x14ac:dyDescent="0.2">
      <c r="A54" s="363"/>
      <c r="B54" s="225"/>
      <c r="C54" s="347" t="s">
        <v>310</v>
      </c>
      <c r="D54" s="354" t="s">
        <v>624</v>
      </c>
      <c r="E54" s="355"/>
      <c r="F54" s="347"/>
      <c r="G54" s="338" t="s">
        <v>625</v>
      </c>
      <c r="H54" s="80"/>
      <c r="I54" s="50"/>
      <c r="J54" s="50"/>
      <c r="K54" s="50"/>
      <c r="L54" s="50"/>
      <c r="M54" s="41">
        <f t="shared" si="2"/>
        <v>0</v>
      </c>
      <c r="N54" s="50"/>
      <c r="O54" s="41">
        <f t="shared" si="3"/>
        <v>0</v>
      </c>
      <c r="P54" s="16"/>
      <c r="Q54" s="16"/>
      <c r="R54" s="16"/>
      <c r="S54" s="16"/>
      <c r="T54" s="16"/>
      <c r="U54" s="16"/>
      <c r="V54" s="16"/>
      <c r="W54" s="16"/>
      <c r="X54" s="16"/>
      <c r="Y54" s="16"/>
      <c r="Z54" s="16"/>
    </row>
    <row r="55" spans="1:26" s="17" customFormat="1" ht="12.75" x14ac:dyDescent="0.2">
      <c r="A55" s="363"/>
      <c r="B55" s="225"/>
      <c r="C55" s="356" t="s">
        <v>626</v>
      </c>
      <c r="D55" s="357" t="s">
        <v>681</v>
      </c>
      <c r="E55" s="357"/>
      <c r="F55" s="347"/>
      <c r="G55" s="338" t="s">
        <v>682</v>
      </c>
      <c r="H55" s="80"/>
      <c r="I55" s="50"/>
      <c r="J55" s="50"/>
      <c r="K55" s="50"/>
      <c r="L55" s="50"/>
      <c r="M55" s="41">
        <f t="shared" si="2"/>
        <v>0</v>
      </c>
      <c r="N55" s="50"/>
      <c r="O55" s="41">
        <f t="shared" si="3"/>
        <v>0</v>
      </c>
      <c r="P55" s="16"/>
      <c r="Q55" s="16"/>
      <c r="R55" s="16"/>
      <c r="S55" s="16"/>
      <c r="T55" s="16"/>
      <c r="U55" s="16"/>
      <c r="V55" s="16"/>
      <c r="W55" s="16"/>
      <c r="X55" s="16"/>
      <c r="Y55" s="16"/>
      <c r="Z55" s="16"/>
    </row>
    <row r="56" spans="1:26" s="17" customFormat="1" ht="12.75" x14ac:dyDescent="0.2">
      <c r="A56" s="363"/>
      <c r="B56" s="225"/>
      <c r="C56" s="303" t="s">
        <v>680</v>
      </c>
      <c r="D56" s="303" t="s">
        <v>311</v>
      </c>
      <c r="E56" s="303"/>
      <c r="F56" s="303"/>
      <c r="G56" s="342" t="s">
        <v>357</v>
      </c>
      <c r="H56" s="80"/>
      <c r="I56" s="50"/>
      <c r="J56" s="50"/>
      <c r="K56" s="50"/>
      <c r="L56" s="50"/>
      <c r="M56" s="41">
        <f t="shared" si="2"/>
        <v>0</v>
      </c>
      <c r="N56" s="50"/>
      <c r="O56" s="41">
        <f t="shared" si="3"/>
        <v>0</v>
      </c>
      <c r="P56" s="16"/>
      <c r="Q56" s="16"/>
      <c r="R56" s="16"/>
      <c r="S56" s="16"/>
      <c r="T56" s="16"/>
      <c r="U56" s="16"/>
      <c r="V56" s="16"/>
      <c r="W56" s="16"/>
      <c r="X56" s="16"/>
      <c r="Y56" s="16"/>
      <c r="Z56" s="16"/>
    </row>
    <row r="57" spans="1:26" s="17" customFormat="1" ht="12.75" x14ac:dyDescent="0.2">
      <c r="A57" s="363"/>
      <c r="B57" s="225" t="s">
        <v>61</v>
      </c>
      <c r="C57" s="303" t="s">
        <v>312</v>
      </c>
      <c r="D57" s="303"/>
      <c r="E57" s="303"/>
      <c r="F57" s="303"/>
      <c r="G57" s="342" t="s">
        <v>358</v>
      </c>
      <c r="H57" s="80"/>
      <c r="I57" s="50"/>
      <c r="J57" s="50"/>
      <c r="K57" s="50"/>
      <c r="L57" s="50"/>
      <c r="M57" s="41">
        <f t="shared" si="2"/>
        <v>0</v>
      </c>
      <c r="N57" s="50"/>
      <c r="O57" s="41">
        <f t="shared" si="3"/>
        <v>0</v>
      </c>
      <c r="P57" s="16"/>
      <c r="Q57" s="16"/>
      <c r="R57" s="16"/>
      <c r="S57" s="16"/>
      <c r="T57" s="16"/>
      <c r="U57" s="16"/>
      <c r="V57" s="16"/>
      <c r="W57" s="16"/>
      <c r="X57" s="16"/>
      <c r="Y57" s="16"/>
      <c r="Z57" s="16"/>
    </row>
    <row r="58" spans="1:26" s="17" customFormat="1" ht="12.75" x14ac:dyDescent="0.2">
      <c r="A58" s="363"/>
      <c r="B58" s="225" t="s">
        <v>71</v>
      </c>
      <c r="C58" s="303" t="s">
        <v>683</v>
      </c>
      <c r="D58" s="303"/>
      <c r="E58" s="303"/>
      <c r="F58" s="303"/>
      <c r="G58" s="342" t="s">
        <v>684</v>
      </c>
      <c r="H58" s="80"/>
      <c r="I58" s="50"/>
      <c r="J58" s="50"/>
      <c r="K58" s="50"/>
      <c r="L58" s="50"/>
      <c r="M58" s="41">
        <f t="shared" si="2"/>
        <v>0</v>
      </c>
      <c r="N58" s="50"/>
      <c r="O58" s="41">
        <f t="shared" si="3"/>
        <v>0</v>
      </c>
      <c r="P58" s="16"/>
      <c r="Q58" s="16"/>
      <c r="R58" s="16"/>
      <c r="S58" s="16"/>
      <c r="T58" s="16"/>
      <c r="U58" s="16"/>
      <c r="V58" s="16"/>
      <c r="W58" s="16"/>
      <c r="X58" s="16"/>
      <c r="Y58" s="16"/>
      <c r="Z58" s="16"/>
    </row>
    <row r="59" spans="1:26" s="17" customFormat="1" ht="12.75" x14ac:dyDescent="0.2">
      <c r="A59" s="342" t="s">
        <v>55</v>
      </c>
      <c r="B59" s="225" t="s">
        <v>313</v>
      </c>
      <c r="C59" s="303"/>
      <c r="D59" s="303"/>
      <c r="E59" s="303"/>
      <c r="F59" s="303"/>
      <c r="G59" s="342" t="s">
        <v>359</v>
      </c>
      <c r="H59" s="80"/>
      <c r="I59" s="49">
        <f>+I60+I65</f>
        <v>0</v>
      </c>
      <c r="J59" s="49">
        <f>+J60+J65</f>
        <v>0</v>
      </c>
      <c r="K59" s="49">
        <f>+K60+K65</f>
        <v>0</v>
      </c>
      <c r="L59" s="49">
        <f>+L60+L65</f>
        <v>0</v>
      </c>
      <c r="M59" s="41">
        <f t="shared" si="2"/>
        <v>0</v>
      </c>
      <c r="N59" s="49">
        <f>+N60+N65</f>
        <v>0</v>
      </c>
      <c r="O59" s="41">
        <f t="shared" si="3"/>
        <v>0</v>
      </c>
      <c r="P59" s="16"/>
      <c r="Q59" s="16"/>
      <c r="R59" s="16"/>
      <c r="S59" s="16"/>
      <c r="T59" s="16"/>
      <c r="U59" s="16"/>
      <c r="V59" s="16"/>
      <c r="W59" s="16"/>
      <c r="X59" s="16"/>
      <c r="Y59" s="16"/>
      <c r="Z59" s="16"/>
    </row>
    <row r="60" spans="1:26" s="17" customFormat="1" ht="12.75" x14ac:dyDescent="0.2">
      <c r="A60" s="363"/>
      <c r="B60" s="225" t="s">
        <v>59</v>
      </c>
      <c r="C60" s="303" t="s">
        <v>305</v>
      </c>
      <c r="D60" s="303"/>
      <c r="E60" s="303"/>
      <c r="F60" s="303"/>
      <c r="G60" s="342" t="s">
        <v>360</v>
      </c>
      <c r="H60" s="80"/>
      <c r="I60" s="49">
        <f>SUM(I61:I64)</f>
        <v>0</v>
      </c>
      <c r="J60" s="49">
        <f>SUM(J61:J64)</f>
        <v>0</v>
      </c>
      <c r="K60" s="49">
        <f>SUM(K61:K64)</f>
        <v>0</v>
      </c>
      <c r="L60" s="49">
        <f>SUM(L61:L64)</f>
        <v>0</v>
      </c>
      <c r="M60" s="41">
        <f t="shared" si="2"/>
        <v>0</v>
      </c>
      <c r="N60" s="49">
        <f>SUM(N61:N64)</f>
        <v>0</v>
      </c>
      <c r="O60" s="41">
        <f t="shared" si="3"/>
        <v>0</v>
      </c>
      <c r="P60" s="16"/>
      <c r="Q60" s="16"/>
      <c r="R60" s="16"/>
      <c r="S60" s="16"/>
      <c r="T60" s="16"/>
      <c r="U60" s="16"/>
      <c r="V60" s="16"/>
      <c r="W60" s="16"/>
      <c r="X60" s="16"/>
      <c r="Y60" s="16"/>
      <c r="Z60" s="16"/>
    </row>
    <row r="61" spans="1:26" s="17" customFormat="1" ht="12.75" x14ac:dyDescent="0.2">
      <c r="A61" s="363"/>
      <c r="B61" s="225"/>
      <c r="C61" s="303" t="s">
        <v>306</v>
      </c>
      <c r="D61" s="303" t="s">
        <v>307</v>
      </c>
      <c r="E61" s="303"/>
      <c r="F61" s="303"/>
      <c r="G61" s="342" t="s">
        <v>361</v>
      </c>
      <c r="H61" s="80"/>
      <c r="I61" s="50"/>
      <c r="J61" s="50"/>
      <c r="K61" s="50"/>
      <c r="L61" s="50"/>
      <c r="M61" s="41">
        <f t="shared" si="2"/>
        <v>0</v>
      </c>
      <c r="N61" s="50"/>
      <c r="O61" s="41">
        <f t="shared" si="3"/>
        <v>0</v>
      </c>
      <c r="P61" s="16"/>
      <c r="Q61" s="16"/>
      <c r="R61" s="16"/>
      <c r="S61" s="16"/>
      <c r="T61" s="16"/>
      <c r="U61" s="16"/>
      <c r="V61" s="16"/>
      <c r="W61" s="16"/>
      <c r="X61" s="16"/>
      <c r="Y61" s="16"/>
      <c r="Z61" s="16"/>
    </row>
    <row r="62" spans="1:26" s="17" customFormat="1" ht="12.75" x14ac:dyDescent="0.2">
      <c r="A62" s="363"/>
      <c r="B62" s="225"/>
      <c r="C62" s="303" t="s">
        <v>308</v>
      </c>
      <c r="D62" s="303" t="s">
        <v>309</v>
      </c>
      <c r="E62" s="303"/>
      <c r="F62" s="303"/>
      <c r="G62" s="342" t="s">
        <v>362</v>
      </c>
      <c r="H62" s="80"/>
      <c r="I62" s="50"/>
      <c r="J62" s="50"/>
      <c r="K62" s="50"/>
      <c r="L62" s="50"/>
      <c r="M62" s="41">
        <f t="shared" si="2"/>
        <v>0</v>
      </c>
      <c r="N62" s="50"/>
      <c r="O62" s="41">
        <f t="shared" si="3"/>
        <v>0</v>
      </c>
      <c r="P62" s="16"/>
      <c r="Q62" s="16"/>
      <c r="R62" s="16"/>
      <c r="S62" s="16"/>
      <c r="T62" s="16"/>
      <c r="U62" s="16"/>
      <c r="V62" s="16"/>
      <c r="W62" s="16"/>
      <c r="X62" s="16"/>
      <c r="Y62" s="16"/>
      <c r="Z62" s="16"/>
    </row>
    <row r="63" spans="1:26" s="17" customFormat="1" ht="12.75" x14ac:dyDescent="0.2">
      <c r="A63" s="363"/>
      <c r="B63" s="225"/>
      <c r="C63" s="357" t="s">
        <v>310</v>
      </c>
      <c r="D63" s="357" t="s">
        <v>624</v>
      </c>
      <c r="E63" s="357"/>
      <c r="F63" s="347"/>
      <c r="G63" s="338" t="s">
        <v>627</v>
      </c>
      <c r="H63" s="80"/>
      <c r="I63" s="50"/>
      <c r="J63" s="50"/>
      <c r="K63" s="50"/>
      <c r="L63" s="50"/>
      <c r="M63" s="41">
        <f t="shared" si="2"/>
        <v>0</v>
      </c>
      <c r="N63" s="50"/>
      <c r="O63" s="41">
        <f t="shared" si="3"/>
        <v>0</v>
      </c>
      <c r="P63" s="16"/>
      <c r="Q63" s="16"/>
      <c r="R63" s="16"/>
      <c r="S63" s="16"/>
      <c r="T63" s="16"/>
      <c r="U63" s="16"/>
      <c r="V63" s="16"/>
      <c r="W63" s="16"/>
      <c r="X63" s="16"/>
      <c r="Y63" s="16"/>
      <c r="Z63" s="16"/>
    </row>
    <row r="64" spans="1:26" s="17" customFormat="1" ht="12.75" x14ac:dyDescent="0.2">
      <c r="A64" s="363"/>
      <c r="B64" s="225"/>
      <c r="C64" s="303" t="s">
        <v>626</v>
      </c>
      <c r="D64" s="303" t="s">
        <v>311</v>
      </c>
      <c r="E64" s="303"/>
      <c r="F64" s="303"/>
      <c r="G64" s="342" t="s">
        <v>363</v>
      </c>
      <c r="H64" s="80"/>
      <c r="I64" s="50"/>
      <c r="J64" s="50"/>
      <c r="K64" s="50"/>
      <c r="L64" s="50"/>
      <c r="M64" s="41">
        <f t="shared" si="2"/>
        <v>0</v>
      </c>
      <c r="N64" s="50"/>
      <c r="O64" s="41">
        <f t="shared" si="3"/>
        <v>0</v>
      </c>
      <c r="P64" s="16"/>
      <c r="Q64" s="16"/>
      <c r="R64" s="16"/>
      <c r="S64" s="16"/>
      <c r="T64" s="16"/>
      <c r="U64" s="16"/>
      <c r="V64" s="16"/>
      <c r="W64" s="16"/>
      <c r="X64" s="16"/>
      <c r="Y64" s="16"/>
      <c r="Z64" s="16"/>
    </row>
    <row r="65" spans="1:26" s="17" customFormat="1" ht="12.75" x14ac:dyDescent="0.2">
      <c r="A65" s="363"/>
      <c r="B65" s="225" t="s">
        <v>61</v>
      </c>
      <c r="C65" s="303" t="s">
        <v>312</v>
      </c>
      <c r="D65" s="303"/>
      <c r="E65" s="303"/>
      <c r="F65" s="303"/>
      <c r="G65" s="342" t="s">
        <v>364</v>
      </c>
      <c r="H65" s="80"/>
      <c r="I65" s="50"/>
      <c r="J65" s="50"/>
      <c r="K65" s="50"/>
      <c r="L65" s="50"/>
      <c r="M65" s="41">
        <f t="shared" si="2"/>
        <v>0</v>
      </c>
      <c r="N65" s="50"/>
      <c r="O65" s="41">
        <f t="shared" si="3"/>
        <v>0</v>
      </c>
      <c r="P65" s="16"/>
      <c r="Q65" s="16"/>
      <c r="R65" s="16"/>
      <c r="S65" s="16"/>
      <c r="T65" s="16"/>
      <c r="U65" s="16"/>
      <c r="V65" s="16"/>
      <c r="W65" s="16"/>
      <c r="X65" s="16"/>
      <c r="Y65" s="16"/>
      <c r="Z65" s="16"/>
    </row>
    <row r="66" spans="1:26" s="17" customFormat="1" ht="12.75" x14ac:dyDescent="0.2">
      <c r="A66" s="342" t="s">
        <v>65</v>
      </c>
      <c r="B66" s="225" t="s">
        <v>314</v>
      </c>
      <c r="C66" s="303"/>
      <c r="D66" s="303"/>
      <c r="E66" s="303"/>
      <c r="F66" s="303"/>
      <c r="G66" s="342" t="s">
        <v>365</v>
      </c>
      <c r="H66" s="80"/>
      <c r="I66" s="49">
        <f>I67+I72+I73</f>
        <v>0</v>
      </c>
      <c r="J66" s="49">
        <f>J67+J72+J73</f>
        <v>0</v>
      </c>
      <c r="K66" s="49">
        <f>K67+K72+K73</f>
        <v>0</v>
      </c>
      <c r="L66" s="49">
        <f>L67+L72+L73</f>
        <v>0</v>
      </c>
      <c r="M66" s="41">
        <f t="shared" si="2"/>
        <v>0</v>
      </c>
      <c r="N66" s="49">
        <f>N67+N72+N73</f>
        <v>0</v>
      </c>
      <c r="O66" s="41">
        <f t="shared" si="3"/>
        <v>0</v>
      </c>
      <c r="P66" s="16"/>
      <c r="Q66" s="16"/>
      <c r="R66" s="16"/>
      <c r="S66" s="16"/>
      <c r="T66" s="16"/>
      <c r="U66" s="16"/>
      <c r="V66" s="16"/>
      <c r="W66" s="16"/>
      <c r="X66" s="16"/>
      <c r="Y66" s="16"/>
      <c r="Z66" s="16"/>
    </row>
    <row r="67" spans="1:26" s="17" customFormat="1" ht="12.75" x14ac:dyDescent="0.2">
      <c r="A67" s="342"/>
      <c r="B67" s="225" t="s">
        <v>59</v>
      </c>
      <c r="C67" s="303" t="s">
        <v>315</v>
      </c>
      <c r="D67" s="303"/>
      <c r="E67" s="303"/>
      <c r="F67" s="303"/>
      <c r="G67" s="342" t="s">
        <v>366</v>
      </c>
      <c r="H67" s="80"/>
      <c r="I67" s="49">
        <f>+I68+I69</f>
        <v>0</v>
      </c>
      <c r="J67" s="49">
        <f>+J68+J69</f>
        <v>0</v>
      </c>
      <c r="K67" s="49">
        <f>+K68+K69</f>
        <v>0</v>
      </c>
      <c r="L67" s="49">
        <f>+L68+L69</f>
        <v>0</v>
      </c>
      <c r="M67" s="41">
        <f t="shared" si="2"/>
        <v>0</v>
      </c>
      <c r="N67" s="49">
        <f>+N68+N69</f>
        <v>0</v>
      </c>
      <c r="O67" s="41">
        <f t="shared" si="3"/>
        <v>0</v>
      </c>
      <c r="P67" s="16"/>
      <c r="Q67" s="16"/>
      <c r="R67" s="16"/>
      <c r="S67" s="16"/>
      <c r="T67" s="16"/>
      <c r="U67" s="16"/>
      <c r="V67" s="16"/>
      <c r="W67" s="16"/>
      <c r="X67" s="16"/>
      <c r="Y67" s="16"/>
      <c r="Z67" s="16"/>
    </row>
    <row r="68" spans="1:26" s="17" customFormat="1" ht="12.75" x14ac:dyDescent="0.2">
      <c r="A68" s="342"/>
      <c r="B68" s="225"/>
      <c r="C68" s="303" t="s">
        <v>306</v>
      </c>
      <c r="D68" s="303" t="s">
        <v>316</v>
      </c>
      <c r="E68" s="303"/>
      <c r="F68" s="303"/>
      <c r="G68" s="342" t="s">
        <v>367</v>
      </c>
      <c r="H68" s="80"/>
      <c r="I68" s="50"/>
      <c r="J68" s="50"/>
      <c r="K68" s="50"/>
      <c r="L68" s="50"/>
      <c r="M68" s="41">
        <f t="shared" si="2"/>
        <v>0</v>
      </c>
      <c r="N68" s="50"/>
      <c r="O68" s="41">
        <f t="shared" si="3"/>
        <v>0</v>
      </c>
      <c r="P68" s="16"/>
      <c r="Q68" s="16"/>
      <c r="R68" s="16"/>
      <c r="S68" s="16"/>
      <c r="T68" s="16"/>
      <c r="U68" s="16"/>
      <c r="V68" s="16"/>
      <c r="W68" s="16"/>
      <c r="X68" s="16"/>
      <c r="Y68" s="16"/>
      <c r="Z68" s="16"/>
    </row>
    <row r="69" spans="1:26" s="17" customFormat="1" ht="12.75" x14ac:dyDescent="0.2">
      <c r="A69" s="342"/>
      <c r="B69" s="225"/>
      <c r="C69" s="303" t="s">
        <v>308</v>
      </c>
      <c r="D69" s="303" t="s">
        <v>317</v>
      </c>
      <c r="E69" s="303"/>
      <c r="F69" s="303"/>
      <c r="G69" s="342" t="s">
        <v>368</v>
      </c>
      <c r="H69" s="80"/>
      <c r="I69" s="49">
        <f>+I70+I71</f>
        <v>0</v>
      </c>
      <c r="J69" s="49">
        <f>+J70+J71</f>
        <v>0</v>
      </c>
      <c r="K69" s="49">
        <f>+K70+K71</f>
        <v>0</v>
      </c>
      <c r="L69" s="49">
        <f>+L70+L71</f>
        <v>0</v>
      </c>
      <c r="M69" s="41">
        <f t="shared" si="2"/>
        <v>0</v>
      </c>
      <c r="N69" s="49">
        <f>+N70+N71</f>
        <v>0</v>
      </c>
      <c r="O69" s="41">
        <f t="shared" si="3"/>
        <v>0</v>
      </c>
      <c r="P69" s="16"/>
      <c r="Q69" s="16"/>
      <c r="R69" s="16"/>
      <c r="S69" s="16"/>
      <c r="T69" s="16"/>
      <c r="U69" s="16"/>
      <c r="V69" s="16"/>
      <c r="W69" s="16"/>
      <c r="X69" s="16"/>
      <c r="Y69" s="16"/>
      <c r="Z69" s="16"/>
    </row>
    <row r="70" spans="1:26" s="17" customFormat="1" ht="12.75" x14ac:dyDescent="0.2">
      <c r="A70" s="342"/>
      <c r="B70" s="225"/>
      <c r="C70" s="303"/>
      <c r="D70" s="309" t="s">
        <v>161</v>
      </c>
      <c r="E70" s="303" t="s">
        <v>318</v>
      </c>
      <c r="F70" s="347"/>
      <c r="G70" s="342" t="s">
        <v>319</v>
      </c>
      <c r="H70" s="80"/>
      <c r="I70" s="50"/>
      <c r="J70" s="50"/>
      <c r="K70" s="50"/>
      <c r="L70" s="50"/>
      <c r="M70" s="41">
        <f t="shared" si="2"/>
        <v>0</v>
      </c>
      <c r="N70" s="50"/>
      <c r="O70" s="41">
        <f t="shared" si="3"/>
        <v>0</v>
      </c>
      <c r="P70" s="16"/>
      <c r="Q70" s="16"/>
      <c r="R70" s="16"/>
      <c r="S70" s="16"/>
      <c r="T70" s="16"/>
      <c r="U70" s="16"/>
      <c r="V70" s="16"/>
      <c r="W70" s="16"/>
      <c r="X70" s="16"/>
      <c r="Y70" s="16"/>
      <c r="Z70" s="16"/>
    </row>
    <row r="71" spans="1:26" s="17" customFormat="1" ht="12.75" x14ac:dyDescent="0.2">
      <c r="A71" s="342"/>
      <c r="B71" s="225"/>
      <c r="C71" s="303"/>
      <c r="D71" s="309" t="s">
        <v>164</v>
      </c>
      <c r="E71" s="303" t="s">
        <v>52</v>
      </c>
      <c r="F71" s="358"/>
      <c r="G71" s="342" t="s">
        <v>320</v>
      </c>
      <c r="H71" s="80"/>
      <c r="I71" s="50"/>
      <c r="J71" s="50"/>
      <c r="K71" s="50"/>
      <c r="L71" s="50"/>
      <c r="M71" s="41">
        <f t="shared" si="2"/>
        <v>0</v>
      </c>
      <c r="N71" s="50"/>
      <c r="O71" s="41">
        <f t="shared" si="3"/>
        <v>0</v>
      </c>
      <c r="P71" s="16"/>
      <c r="Q71" s="16"/>
      <c r="R71" s="16"/>
      <c r="S71" s="16"/>
      <c r="T71" s="16"/>
      <c r="U71" s="16"/>
      <c r="V71" s="16"/>
      <c r="W71" s="16"/>
      <c r="X71" s="16"/>
      <c r="Y71" s="16"/>
      <c r="Z71" s="16"/>
    </row>
    <row r="72" spans="1:26" s="17" customFormat="1" ht="12.75" x14ac:dyDescent="0.2">
      <c r="A72" s="342"/>
      <c r="B72" s="225" t="s">
        <v>61</v>
      </c>
      <c r="C72" s="303" t="s">
        <v>321</v>
      </c>
      <c r="D72" s="303"/>
      <c r="E72" s="303"/>
      <c r="F72" s="303"/>
      <c r="G72" s="342" t="s">
        <v>369</v>
      </c>
      <c r="H72" s="80"/>
      <c r="I72" s="50"/>
      <c r="J72" s="50"/>
      <c r="K72" s="50"/>
      <c r="L72" s="50"/>
      <c r="M72" s="41">
        <f t="shared" si="2"/>
        <v>0</v>
      </c>
      <c r="N72" s="50"/>
      <c r="O72" s="41">
        <f t="shared" si="3"/>
        <v>0</v>
      </c>
      <c r="P72" s="16"/>
      <c r="Q72" s="16"/>
      <c r="R72" s="16"/>
      <c r="S72" s="16"/>
      <c r="T72" s="16"/>
      <c r="U72" s="16"/>
      <c r="V72" s="16"/>
      <c r="W72" s="16"/>
      <c r="X72" s="16"/>
      <c r="Y72" s="16"/>
      <c r="Z72" s="16"/>
    </row>
    <row r="73" spans="1:26" s="17" customFormat="1" ht="12.75" x14ac:dyDescent="0.2">
      <c r="A73" s="342"/>
      <c r="B73" s="359" t="s">
        <v>71</v>
      </c>
      <c r="C73" s="360" t="s">
        <v>628</v>
      </c>
      <c r="D73" s="359"/>
      <c r="E73" s="359"/>
      <c r="F73" s="303"/>
      <c r="G73" s="313" t="s">
        <v>629</v>
      </c>
      <c r="H73" s="80"/>
      <c r="I73" s="50"/>
      <c r="J73" s="50"/>
      <c r="K73" s="50"/>
      <c r="L73" s="50"/>
      <c r="M73" s="41">
        <f t="shared" si="2"/>
        <v>0</v>
      </c>
      <c r="N73" s="50"/>
      <c r="O73" s="41">
        <f t="shared" si="3"/>
        <v>0</v>
      </c>
      <c r="P73" s="16"/>
      <c r="Q73" s="16"/>
      <c r="R73" s="16"/>
      <c r="S73" s="16"/>
      <c r="T73" s="16"/>
      <c r="U73" s="16"/>
      <c r="V73" s="16"/>
      <c r="W73" s="16"/>
      <c r="X73" s="16"/>
      <c r="Y73" s="16"/>
      <c r="Z73" s="16"/>
    </row>
    <row r="74" spans="1:26" s="17" customFormat="1" ht="12.75" x14ac:dyDescent="0.2">
      <c r="A74" s="362" t="s">
        <v>90</v>
      </c>
      <c r="B74" s="303" t="s">
        <v>273</v>
      </c>
      <c r="C74" s="303"/>
      <c r="D74" s="303"/>
      <c r="E74" s="303"/>
      <c r="F74" s="303"/>
      <c r="G74" s="342" t="s">
        <v>370</v>
      </c>
      <c r="H74" s="80"/>
      <c r="I74" s="49">
        <f>+I75+I76+I77</f>
        <v>0</v>
      </c>
      <c r="J74" s="49">
        <f>+J75+J76+J77</f>
        <v>0</v>
      </c>
      <c r="K74" s="49">
        <f>+K75+K76+K77</f>
        <v>0</v>
      </c>
      <c r="L74" s="49">
        <f>+L75+L76+L77</f>
        <v>0</v>
      </c>
      <c r="M74" s="41">
        <f t="shared" si="2"/>
        <v>0</v>
      </c>
      <c r="N74" s="49">
        <f>+N75+N76+N77</f>
        <v>0</v>
      </c>
      <c r="O74" s="41">
        <f t="shared" si="3"/>
        <v>0</v>
      </c>
      <c r="P74" s="16"/>
      <c r="Q74" s="16"/>
      <c r="R74" s="16"/>
      <c r="S74" s="16"/>
      <c r="T74" s="16"/>
      <c r="U74" s="16"/>
      <c r="V74" s="16"/>
      <c r="W74" s="16"/>
      <c r="X74" s="16"/>
      <c r="Y74" s="16"/>
      <c r="Z74" s="16"/>
    </row>
    <row r="75" spans="1:26" s="17" customFormat="1" ht="12.75" x14ac:dyDescent="0.2">
      <c r="A75" s="362"/>
      <c r="B75" s="225" t="s">
        <v>180</v>
      </c>
      <c r="C75" s="225" t="s">
        <v>275</v>
      </c>
      <c r="D75" s="225"/>
      <c r="E75" s="225"/>
      <c r="F75" s="225"/>
      <c r="G75" s="342" t="s">
        <v>371</v>
      </c>
      <c r="H75" s="80"/>
      <c r="I75" s="50"/>
      <c r="J75" s="50"/>
      <c r="K75" s="50"/>
      <c r="L75" s="50"/>
      <c r="M75" s="41">
        <f t="shared" si="2"/>
        <v>0</v>
      </c>
      <c r="N75" s="50"/>
      <c r="O75" s="41">
        <f t="shared" si="3"/>
        <v>0</v>
      </c>
      <c r="P75" s="16"/>
      <c r="Q75" s="16"/>
      <c r="R75" s="16"/>
      <c r="S75" s="16"/>
      <c r="T75" s="16"/>
      <c r="U75" s="16"/>
      <c r="V75" s="16"/>
      <c r="W75" s="16"/>
      <c r="X75" s="16"/>
      <c r="Y75" s="16"/>
      <c r="Z75" s="16"/>
    </row>
    <row r="76" spans="1:26" s="17" customFormat="1" ht="12.75" x14ac:dyDescent="0.2">
      <c r="A76" s="362"/>
      <c r="B76" s="225" t="s">
        <v>183</v>
      </c>
      <c r="C76" s="225" t="s">
        <v>277</v>
      </c>
      <c r="D76" s="225"/>
      <c r="E76" s="225"/>
      <c r="F76" s="225"/>
      <c r="G76" s="342" t="s">
        <v>372</v>
      </c>
      <c r="H76" s="80"/>
      <c r="I76" s="50"/>
      <c r="J76" s="50"/>
      <c r="K76" s="50"/>
      <c r="L76" s="50"/>
      <c r="M76" s="41">
        <f t="shared" ref="M76:M82" si="4">+I76+J76+K76+L76</f>
        <v>0</v>
      </c>
      <c r="N76" s="50"/>
      <c r="O76" s="41">
        <f t="shared" si="3"/>
        <v>0</v>
      </c>
      <c r="P76" s="16"/>
      <c r="Q76" s="16"/>
      <c r="R76" s="16"/>
      <c r="S76" s="16"/>
      <c r="T76" s="16"/>
      <c r="U76" s="16"/>
      <c r="V76" s="16"/>
      <c r="W76" s="16"/>
      <c r="X76" s="16"/>
      <c r="Y76" s="16"/>
      <c r="Z76" s="16"/>
    </row>
    <row r="77" spans="1:26" s="17" customFormat="1" ht="12.75" x14ac:dyDescent="0.2">
      <c r="A77" s="362"/>
      <c r="B77" s="225" t="s">
        <v>193</v>
      </c>
      <c r="C77" s="225" t="s">
        <v>279</v>
      </c>
      <c r="D77" s="225"/>
      <c r="E77" s="225"/>
      <c r="F77" s="225"/>
      <c r="G77" s="342" t="s">
        <v>373</v>
      </c>
      <c r="H77" s="80"/>
      <c r="I77" s="50"/>
      <c r="J77" s="50"/>
      <c r="K77" s="50"/>
      <c r="L77" s="50"/>
      <c r="M77" s="41">
        <f t="shared" si="4"/>
        <v>0</v>
      </c>
      <c r="N77" s="50"/>
      <c r="O77" s="41">
        <f t="shared" si="3"/>
        <v>0</v>
      </c>
      <c r="P77" s="16"/>
      <c r="Q77" s="16"/>
      <c r="R77" s="16"/>
      <c r="S77" s="16"/>
      <c r="T77" s="16"/>
      <c r="U77" s="16"/>
      <c r="V77" s="16"/>
      <c r="W77" s="16"/>
      <c r="X77" s="16"/>
      <c r="Y77" s="16"/>
      <c r="Z77" s="16"/>
    </row>
    <row r="78" spans="1:26" s="17" customFormat="1" ht="12.75" x14ac:dyDescent="0.2">
      <c r="A78" s="362" t="s">
        <v>257</v>
      </c>
      <c r="B78" s="303" t="s">
        <v>281</v>
      </c>
      <c r="C78" s="303"/>
      <c r="D78" s="303"/>
      <c r="E78" s="303"/>
      <c r="F78" s="303"/>
      <c r="G78" s="342" t="s">
        <v>374</v>
      </c>
      <c r="H78" s="80"/>
      <c r="I78" s="49">
        <f>+I79+I80</f>
        <v>0</v>
      </c>
      <c r="J78" s="49">
        <f>+J79+J80</f>
        <v>0</v>
      </c>
      <c r="K78" s="49">
        <f>+K79+K80</f>
        <v>0</v>
      </c>
      <c r="L78" s="49">
        <f>+L79+L80</f>
        <v>0</v>
      </c>
      <c r="M78" s="41">
        <f t="shared" si="4"/>
        <v>0</v>
      </c>
      <c r="N78" s="49">
        <f>+N79+N80</f>
        <v>0</v>
      </c>
      <c r="O78" s="41">
        <f t="shared" si="3"/>
        <v>0</v>
      </c>
      <c r="P78" s="16"/>
      <c r="Q78" s="16"/>
      <c r="R78" s="16"/>
      <c r="S78" s="16"/>
      <c r="T78" s="16"/>
      <c r="U78" s="16"/>
      <c r="V78" s="16"/>
      <c r="W78" s="16"/>
      <c r="X78" s="16"/>
      <c r="Y78" s="16"/>
      <c r="Z78" s="16"/>
    </row>
    <row r="79" spans="1:26" s="17" customFormat="1" ht="12.75" x14ac:dyDescent="0.2">
      <c r="A79" s="362"/>
      <c r="B79" s="225" t="s">
        <v>180</v>
      </c>
      <c r="C79" s="225" t="s">
        <v>283</v>
      </c>
      <c r="D79" s="225"/>
      <c r="E79" s="225"/>
      <c r="F79" s="225"/>
      <c r="G79" s="342" t="s">
        <v>375</v>
      </c>
      <c r="H79" s="80"/>
      <c r="I79" s="50"/>
      <c r="J79" s="50"/>
      <c r="K79" s="50"/>
      <c r="L79" s="50"/>
      <c r="M79" s="41">
        <f t="shared" si="4"/>
        <v>0</v>
      </c>
      <c r="N79" s="50"/>
      <c r="O79" s="41">
        <f t="shared" si="3"/>
        <v>0</v>
      </c>
      <c r="P79" s="16"/>
      <c r="Q79" s="16"/>
      <c r="R79" s="16"/>
      <c r="S79" s="16"/>
      <c r="T79" s="16"/>
      <c r="U79" s="16"/>
      <c r="V79" s="16"/>
      <c r="W79" s="16"/>
      <c r="X79" s="16"/>
      <c r="Y79" s="16"/>
      <c r="Z79" s="16"/>
    </row>
    <row r="80" spans="1:26" s="17" customFormat="1" ht="12.75" x14ac:dyDescent="0.2">
      <c r="A80" s="362"/>
      <c r="B80" s="225" t="s">
        <v>183</v>
      </c>
      <c r="C80" s="225" t="s">
        <v>285</v>
      </c>
      <c r="D80" s="225"/>
      <c r="E80" s="225"/>
      <c r="F80" s="225"/>
      <c r="G80" s="342" t="s">
        <v>376</v>
      </c>
      <c r="H80" s="80"/>
      <c r="I80" s="50"/>
      <c r="J80" s="50"/>
      <c r="K80" s="50"/>
      <c r="L80" s="50"/>
      <c r="M80" s="41">
        <f t="shared" si="4"/>
        <v>0</v>
      </c>
      <c r="N80" s="50"/>
      <c r="O80" s="41">
        <f t="shared" si="3"/>
        <v>0</v>
      </c>
      <c r="P80" s="16"/>
      <c r="Q80" s="16"/>
      <c r="R80" s="16"/>
      <c r="S80" s="16"/>
      <c r="T80" s="16"/>
      <c r="U80" s="16"/>
      <c r="V80" s="16"/>
      <c r="W80" s="16"/>
      <c r="X80" s="16"/>
      <c r="Y80" s="16"/>
      <c r="Z80" s="16"/>
    </row>
    <row r="81" spans="1:26" s="17" customFormat="1" ht="12.75" x14ac:dyDescent="0.2">
      <c r="A81" s="362" t="s">
        <v>74</v>
      </c>
      <c r="B81" s="661" t="s">
        <v>288</v>
      </c>
      <c r="C81" s="661"/>
      <c r="D81" s="661"/>
      <c r="E81" s="661"/>
      <c r="F81" s="661"/>
      <c r="G81" s="342" t="s">
        <v>377</v>
      </c>
      <c r="H81" s="80"/>
      <c r="I81" s="50"/>
      <c r="J81" s="50"/>
      <c r="K81" s="50"/>
      <c r="L81" s="50"/>
      <c r="M81" s="41">
        <f t="shared" si="4"/>
        <v>0</v>
      </c>
      <c r="N81" s="50"/>
      <c r="O81" s="41">
        <f t="shared" si="3"/>
        <v>0</v>
      </c>
      <c r="P81" s="16"/>
      <c r="Q81" s="16"/>
      <c r="R81" s="16"/>
      <c r="S81" s="16"/>
      <c r="T81" s="16"/>
      <c r="U81" s="16"/>
      <c r="V81" s="16"/>
      <c r="W81" s="16"/>
      <c r="X81" s="16"/>
      <c r="Y81" s="16"/>
      <c r="Z81" s="16"/>
    </row>
    <row r="82" spans="1:26" s="17" customFormat="1" ht="12.75" x14ac:dyDescent="0.2">
      <c r="A82" s="362" t="s">
        <v>76</v>
      </c>
      <c r="B82" s="661" t="s">
        <v>1288</v>
      </c>
      <c r="C82" s="661"/>
      <c r="D82" s="661"/>
      <c r="E82" s="661"/>
      <c r="F82" s="661"/>
      <c r="G82" s="317" t="s">
        <v>1292</v>
      </c>
      <c r="H82" s="122"/>
      <c r="I82" s="290"/>
      <c r="J82" s="290"/>
      <c r="K82" s="292">
        <f>K45</f>
        <v>0</v>
      </c>
      <c r="L82" s="292">
        <f>L45</f>
        <v>0</v>
      </c>
      <c r="M82" s="41">
        <f t="shared" si="4"/>
        <v>0</v>
      </c>
      <c r="N82" s="290"/>
      <c r="O82" s="289"/>
      <c r="P82" s="16"/>
      <c r="Q82" s="16"/>
      <c r="R82" s="16"/>
      <c r="S82" s="16"/>
      <c r="T82" s="16"/>
      <c r="U82" s="16"/>
      <c r="V82" s="16"/>
      <c r="W82" s="16"/>
      <c r="X82" s="16"/>
      <c r="Y82" s="16"/>
      <c r="Z82" s="16"/>
    </row>
    <row r="83" spans="1:26" s="17" customFormat="1" x14ac:dyDescent="0.2">
      <c r="A83" s="412" t="s">
        <v>79</v>
      </c>
      <c r="B83" s="682" t="s">
        <v>47</v>
      </c>
      <c r="C83" s="683"/>
      <c r="D83" s="683"/>
      <c r="E83" s="683"/>
      <c r="F83" s="683"/>
      <c r="G83" s="416" t="s">
        <v>1313</v>
      </c>
      <c r="H83" s="417"/>
      <c r="I83" s="418"/>
      <c r="J83" s="418"/>
      <c r="K83" s="418"/>
      <c r="L83" s="418"/>
      <c r="M83" s="419"/>
      <c r="N83" s="411">
        <f>SUM(I83:L83)</f>
        <v>0</v>
      </c>
      <c r="O83" s="419"/>
      <c r="P83" s="16"/>
      <c r="Q83" s="16"/>
      <c r="R83" s="16"/>
      <c r="S83" s="16"/>
      <c r="T83" s="16"/>
      <c r="U83" s="16"/>
      <c r="V83" s="16"/>
      <c r="W83" s="16"/>
      <c r="X83" s="16"/>
      <c r="Y83" s="16"/>
      <c r="Z83" s="16"/>
    </row>
    <row r="84" spans="1:26" ht="11.25" customHeight="1" x14ac:dyDescent="0.2">
      <c r="A84" s="420"/>
      <c r="B84" s="107"/>
      <c r="C84" s="420"/>
      <c r="D84" s="420"/>
      <c r="E84" s="420"/>
      <c r="F84" s="420"/>
      <c r="G84" s="415" t="s">
        <v>108</v>
      </c>
      <c r="H84" s="421"/>
      <c r="I84" s="422"/>
      <c r="J84" s="422"/>
      <c r="K84" s="422"/>
      <c r="L84" s="422"/>
      <c r="M84" s="422"/>
      <c r="N84" s="422"/>
      <c r="O84" s="208"/>
      <c r="P84" s="9"/>
      <c r="Q84" s="9"/>
      <c r="R84" s="9"/>
      <c r="S84" s="9"/>
      <c r="T84" s="9"/>
      <c r="U84" s="9"/>
      <c r="V84" s="9"/>
      <c r="W84" s="9"/>
      <c r="X84" s="9"/>
      <c r="Y84" s="9"/>
    </row>
    <row r="85" spans="1:26" ht="11.25" customHeight="1" x14ac:dyDescent="0.2">
      <c r="A85" s="92"/>
      <c r="B85" s="209" t="s">
        <v>378</v>
      </c>
      <c r="C85" s="92"/>
      <c r="D85" s="92"/>
      <c r="E85" s="92"/>
      <c r="F85" s="92"/>
      <c r="G85" s="423"/>
      <c r="H85" s="423"/>
      <c r="I85" s="133"/>
      <c r="J85" s="133"/>
      <c r="K85" s="133"/>
      <c r="L85" s="133"/>
      <c r="M85" s="133"/>
      <c r="N85" s="133"/>
      <c r="O85" s="424"/>
    </row>
    <row r="86" spans="1:26" ht="11.25" customHeight="1" x14ac:dyDescent="0.2">
      <c r="O86" s="5"/>
    </row>
    <row r="87" spans="1:26" ht="11.25" customHeight="1" x14ac:dyDescent="0.2">
      <c r="O87" s="5"/>
    </row>
    <row r="88" spans="1:26" ht="11.25" customHeight="1" x14ac:dyDescent="0.2">
      <c r="O88" s="5"/>
    </row>
    <row r="89" spans="1:26" ht="11.25" customHeight="1" x14ac:dyDescent="0.2">
      <c r="O89" s="5"/>
    </row>
    <row r="90" spans="1:26" ht="11.25" customHeight="1" x14ac:dyDescent="0.2">
      <c r="O90" s="5"/>
    </row>
    <row r="91" spans="1:26" ht="11.25" customHeight="1" x14ac:dyDescent="0.2">
      <c r="O91" s="5"/>
    </row>
    <row r="92" spans="1:26" ht="11.25" customHeight="1" x14ac:dyDescent="0.2">
      <c r="O92" s="5"/>
    </row>
    <row r="93" spans="1:26" ht="11.25" customHeight="1" x14ac:dyDescent="0.2">
      <c r="O93" s="5"/>
    </row>
    <row r="94" spans="1:26" ht="11.25" customHeight="1" x14ac:dyDescent="0.2">
      <c r="O94" s="5"/>
    </row>
    <row r="95" spans="1:26" ht="11.25" customHeight="1" x14ac:dyDescent="0.2"/>
    <row r="96" spans="1:2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sheetData>
  <sheetProtection password="F0FA" sheet="1" objects="1" scenarios="1" selectLockedCells="1"/>
  <mergeCells count="21">
    <mergeCell ref="L8:L9"/>
    <mergeCell ref="B83:F83"/>
    <mergeCell ref="N6:N9"/>
    <mergeCell ref="O6:O9"/>
    <mergeCell ref="B31:F31"/>
    <mergeCell ref="A45:F45"/>
    <mergeCell ref="M6:M9"/>
    <mergeCell ref="B81:F81"/>
    <mergeCell ref="C22:F22"/>
    <mergeCell ref="C23:F23"/>
    <mergeCell ref="C34:F34"/>
    <mergeCell ref="A1:O1"/>
    <mergeCell ref="A2:O2"/>
    <mergeCell ref="A3:O3"/>
    <mergeCell ref="A5:F9"/>
    <mergeCell ref="G5:G9"/>
    <mergeCell ref="B82:F82"/>
    <mergeCell ref="I6:I9"/>
    <mergeCell ref="J6:J9"/>
    <mergeCell ref="K8:K9"/>
    <mergeCell ref="K6:L7"/>
  </mergeCells>
  <phoneticPr fontId="2" type="noConversion"/>
  <dataValidations count="1">
    <dataValidation type="decimal" allowBlank="1" showInputMessage="1" showErrorMessage="1" sqref="I25:L27 I29:L31 I22:L23 I52:L58 I61:L65 I68:L68 I70:L73 N75:N77 N25:N27 N29:N31 N70:N73 N52:N58 N61:N65 N68 N19:N20 N15:N17 N12:N13 I75:L77 I15:L17 I12:L13 N79:N82 I79:L83 I44:L44 N44 I47:L48 N47:N48 I19:L20 N22:N23 I33:L39 N33:N39">
      <formula1>0</formula1>
      <formula2>99999999999999900</formula2>
    </dataValidation>
  </dataValidations>
  <pageMargins left="0.25" right="0.25" top="1" bottom="0.5" header="0.5" footer="0.5"/>
  <pageSetup orientation="landscape" horizontalDpi="360" verticalDpi="360" r:id="rId1"/>
  <headerFooter alignWithMargins="0">
    <oddHeader>&amp;R&amp;"Arial,Bold"&amp;8&amp;USchedule 11a1&amp;U
&amp;P of &amp;N&amp;C&amp;"Arial,Bold"&amp;8 NEW RURAL BANK OF SAN LEONARDO, INC  [ 04-040656 ]
 As of: September 30, 2017</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91"/>
  <sheetViews>
    <sheetView zoomScaleNormal="100" zoomScaleSheetLayoutView="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1" customWidth="1"/>
    <col min="2" max="2" width="2.5703125" style="21" customWidth="1"/>
    <col min="3" max="3" width="3.28515625" style="21" customWidth="1"/>
    <col min="4" max="5" width="4.140625" style="21" customWidth="1"/>
    <col min="6" max="6" width="32.5703125" style="21" customWidth="1"/>
    <col min="7" max="7" width="16.5703125" style="21" bestFit="1" customWidth="1"/>
    <col min="8" max="8" width="16.5703125" style="21"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48" customWidth="1"/>
    <col min="18" max="18" width="25.7109375" style="48" customWidth="1"/>
    <col min="19" max="19" width="20.7109375" style="48" customWidth="1"/>
    <col min="20" max="20" width="25.7109375" style="48" customWidth="1"/>
    <col min="21" max="21" width="20.7109375" style="48" customWidth="1"/>
    <col min="22" max="22" width="25.7109375" style="48" customWidth="1"/>
    <col min="23" max="23" width="5.28515625" style="5" customWidth="1"/>
    <col min="24" max="25" width="5.7109375" style="5" customWidth="1"/>
    <col min="26" max="26" width="5.5703125" style="5" customWidth="1"/>
    <col min="27" max="28" width="6.5703125" style="5" customWidth="1"/>
    <col min="29" max="29" width="6.7109375" style="5" customWidth="1"/>
    <col min="30" max="30" width="5.7109375" style="5" customWidth="1"/>
    <col min="31" max="16384" width="12.7109375" style="5"/>
  </cols>
  <sheetData>
    <row r="1" spans="1:32" s="243" customFormat="1" ht="14.25" x14ac:dyDescent="0.2">
      <c r="A1" s="669" t="s">
        <v>498</v>
      </c>
      <c r="B1" s="669"/>
      <c r="C1" s="669"/>
      <c r="D1" s="669"/>
      <c r="E1" s="669"/>
      <c r="F1" s="669"/>
      <c r="G1" s="669"/>
      <c r="H1" s="669"/>
      <c r="I1" s="669"/>
      <c r="J1" s="669"/>
      <c r="K1" s="669"/>
      <c r="L1" s="669"/>
      <c r="M1" s="669"/>
      <c r="N1" s="669"/>
      <c r="O1" s="669"/>
      <c r="P1" s="669"/>
      <c r="Q1" s="669"/>
      <c r="R1" s="669"/>
      <c r="S1" s="669"/>
      <c r="T1" s="669"/>
      <c r="U1" s="669"/>
      <c r="V1" s="669"/>
      <c r="W1" s="242"/>
      <c r="X1" s="242"/>
      <c r="Y1" s="242"/>
      <c r="Z1" s="242"/>
      <c r="AA1" s="242"/>
      <c r="AB1" s="242"/>
      <c r="AC1" s="242"/>
      <c r="AD1" s="242"/>
    </row>
    <row r="2" spans="1:32" s="243" customFormat="1" ht="12.75" x14ac:dyDescent="0.2">
      <c r="A2" s="669" t="s">
        <v>92</v>
      </c>
      <c r="B2" s="669"/>
      <c r="C2" s="669"/>
      <c r="D2" s="669"/>
      <c r="E2" s="669"/>
      <c r="F2" s="669"/>
      <c r="G2" s="669"/>
      <c r="H2" s="669"/>
      <c r="I2" s="669"/>
      <c r="J2" s="669"/>
      <c r="K2" s="669"/>
      <c r="L2" s="669"/>
      <c r="M2" s="669"/>
      <c r="N2" s="669"/>
      <c r="O2" s="669"/>
      <c r="P2" s="669"/>
      <c r="Q2" s="669"/>
      <c r="R2" s="669"/>
      <c r="S2" s="669"/>
      <c r="T2" s="669"/>
      <c r="U2" s="669"/>
      <c r="V2" s="669"/>
      <c r="W2" s="242"/>
      <c r="X2" s="242"/>
      <c r="Y2" s="242"/>
      <c r="Z2" s="242"/>
      <c r="AA2" s="242"/>
      <c r="AB2" s="242"/>
      <c r="AC2" s="242"/>
      <c r="AD2" s="242"/>
    </row>
    <row r="3" spans="1:32" s="243" customFormat="1" ht="12.75" x14ac:dyDescent="0.2">
      <c r="A3" s="669" t="s">
        <v>49</v>
      </c>
      <c r="B3" s="669"/>
      <c r="C3" s="669"/>
      <c r="D3" s="669"/>
      <c r="E3" s="669"/>
      <c r="F3" s="669"/>
      <c r="G3" s="669"/>
      <c r="H3" s="669"/>
      <c r="I3" s="669"/>
      <c r="J3" s="669"/>
      <c r="K3" s="669"/>
      <c r="L3" s="669"/>
      <c r="M3" s="669"/>
      <c r="N3" s="669"/>
      <c r="O3" s="669"/>
      <c r="P3" s="669"/>
      <c r="Q3" s="669"/>
      <c r="R3" s="669"/>
      <c r="S3" s="669"/>
      <c r="T3" s="669"/>
      <c r="U3" s="669"/>
      <c r="V3" s="669"/>
      <c r="W3" s="242"/>
      <c r="X3" s="242"/>
      <c r="Y3" s="242"/>
      <c r="Z3" s="242"/>
      <c r="AA3" s="242"/>
      <c r="AB3" s="242"/>
      <c r="AC3" s="242"/>
      <c r="AD3" s="242"/>
    </row>
    <row r="4" spans="1:32" x14ac:dyDescent="0.2">
      <c r="A4" s="112"/>
      <c r="B4" s="112"/>
      <c r="C4" s="112"/>
      <c r="D4" s="112"/>
      <c r="E4" s="112"/>
      <c r="F4" s="112"/>
      <c r="G4" s="112"/>
      <c r="H4" s="112"/>
      <c r="I4" s="47"/>
      <c r="J4" s="47"/>
      <c r="K4" s="47"/>
      <c r="L4" s="47"/>
      <c r="M4" s="47"/>
      <c r="N4" s="47"/>
      <c r="O4" s="47"/>
      <c r="P4" s="47"/>
      <c r="Q4" s="47"/>
      <c r="R4" s="47"/>
      <c r="S4" s="47"/>
      <c r="T4" s="47"/>
      <c r="U4" s="47"/>
      <c r="V4" s="47"/>
      <c r="W4" s="4"/>
      <c r="X4" s="4"/>
      <c r="Y4" s="4"/>
      <c r="Z4" s="4"/>
      <c r="AA4" s="4"/>
      <c r="AB4" s="4"/>
      <c r="AC4" s="4"/>
      <c r="AD4" s="4"/>
    </row>
    <row r="5" spans="1:32" ht="12.75" customHeight="1" x14ac:dyDescent="0.2">
      <c r="A5" s="649" t="s">
        <v>45</v>
      </c>
      <c r="B5" s="649"/>
      <c r="C5" s="649"/>
      <c r="D5" s="649"/>
      <c r="E5" s="649"/>
      <c r="F5" s="649"/>
      <c r="G5" s="686" t="s">
        <v>46</v>
      </c>
      <c r="H5" s="96"/>
      <c r="I5" s="687" t="s">
        <v>94</v>
      </c>
      <c r="J5" s="687"/>
      <c r="K5" s="687" t="s">
        <v>95</v>
      </c>
      <c r="L5" s="687"/>
      <c r="M5" s="687" t="s">
        <v>96</v>
      </c>
      <c r="N5" s="687"/>
      <c r="O5" s="687" t="s">
        <v>97</v>
      </c>
      <c r="P5" s="687"/>
      <c r="Q5" s="687" t="s">
        <v>98</v>
      </c>
      <c r="R5" s="687"/>
      <c r="S5" s="687" t="s">
        <v>99</v>
      </c>
      <c r="T5" s="687"/>
      <c r="U5" s="687" t="s">
        <v>100</v>
      </c>
      <c r="V5" s="687"/>
      <c r="W5" s="7"/>
      <c r="X5" s="7"/>
      <c r="Y5" s="7"/>
      <c r="Z5" s="7"/>
      <c r="AA5" s="8"/>
      <c r="AB5" s="8"/>
      <c r="AC5" s="8"/>
      <c r="AD5" s="8"/>
      <c r="AE5" s="9"/>
      <c r="AF5" s="9"/>
    </row>
    <row r="6" spans="1:32" ht="12.75" customHeight="1" x14ac:dyDescent="0.2">
      <c r="A6" s="649"/>
      <c r="B6" s="649"/>
      <c r="C6" s="649"/>
      <c r="D6" s="649"/>
      <c r="E6" s="649"/>
      <c r="F6" s="649"/>
      <c r="G6" s="686"/>
      <c r="H6" s="96"/>
      <c r="I6" s="670" t="s">
        <v>101</v>
      </c>
      <c r="J6" s="670"/>
      <c r="K6" s="674" t="s">
        <v>1471</v>
      </c>
      <c r="L6" s="674"/>
      <c r="M6" s="678" t="s">
        <v>1474</v>
      </c>
      <c r="N6" s="688"/>
      <c r="O6" s="688"/>
      <c r="P6" s="679"/>
      <c r="Q6" s="670" t="s">
        <v>102</v>
      </c>
      <c r="R6" s="670"/>
      <c r="S6" s="670" t="s">
        <v>47</v>
      </c>
      <c r="T6" s="670"/>
      <c r="U6" s="670" t="s">
        <v>48</v>
      </c>
      <c r="V6" s="670"/>
      <c r="W6" s="10"/>
      <c r="X6" s="10"/>
      <c r="Y6" s="10"/>
      <c r="Z6" s="10"/>
      <c r="AA6" s="11"/>
      <c r="AB6" s="11"/>
      <c r="AC6" s="11"/>
      <c r="AD6" s="11"/>
      <c r="AE6" s="9"/>
      <c r="AF6" s="9"/>
    </row>
    <row r="7" spans="1:32" ht="17.25" customHeight="1" x14ac:dyDescent="0.2">
      <c r="A7" s="649"/>
      <c r="B7" s="649"/>
      <c r="C7" s="649"/>
      <c r="D7" s="649"/>
      <c r="E7" s="649"/>
      <c r="F7" s="649"/>
      <c r="G7" s="686"/>
      <c r="H7" s="96"/>
      <c r="I7" s="670"/>
      <c r="J7" s="670"/>
      <c r="K7" s="674"/>
      <c r="L7" s="674"/>
      <c r="M7" s="678" t="s">
        <v>1472</v>
      </c>
      <c r="N7" s="679"/>
      <c r="O7" s="676" t="s">
        <v>1473</v>
      </c>
      <c r="P7" s="676"/>
      <c r="Q7" s="670"/>
      <c r="R7" s="670"/>
      <c r="S7" s="670"/>
      <c r="T7" s="670"/>
      <c r="U7" s="670"/>
      <c r="V7" s="670"/>
      <c r="W7" s="10"/>
      <c r="X7" s="10"/>
      <c r="Y7" s="10"/>
      <c r="Z7" s="10"/>
      <c r="AA7" s="12"/>
      <c r="AB7" s="11"/>
      <c r="AC7" s="11"/>
      <c r="AD7" s="11"/>
      <c r="AE7" s="9"/>
      <c r="AF7" s="9"/>
    </row>
    <row r="8" spans="1:32" ht="27.75" customHeight="1" x14ac:dyDescent="0.2">
      <c r="A8" s="649"/>
      <c r="B8" s="649"/>
      <c r="C8" s="649"/>
      <c r="D8" s="649"/>
      <c r="E8" s="649"/>
      <c r="F8" s="649"/>
      <c r="G8" s="686"/>
      <c r="H8" s="96"/>
      <c r="I8" s="670"/>
      <c r="J8" s="670"/>
      <c r="K8" s="674"/>
      <c r="L8" s="674"/>
      <c r="M8" s="680"/>
      <c r="N8" s="681"/>
      <c r="O8" s="677"/>
      <c r="P8" s="677"/>
      <c r="Q8" s="670"/>
      <c r="R8" s="670"/>
      <c r="S8" s="670"/>
      <c r="T8" s="670"/>
      <c r="U8" s="670"/>
      <c r="V8" s="670"/>
      <c r="W8" s="14"/>
      <c r="X8" s="14"/>
      <c r="Y8" s="14"/>
      <c r="Z8" s="14"/>
      <c r="AA8" s="12"/>
      <c r="AB8" s="11"/>
      <c r="AC8" s="11"/>
      <c r="AD8" s="11"/>
      <c r="AE8" s="9"/>
      <c r="AF8" s="9"/>
    </row>
    <row r="9" spans="1:32" s="121" customFormat="1" ht="22.5" customHeight="1" x14ac:dyDescent="0.2">
      <c r="A9" s="649"/>
      <c r="B9" s="649"/>
      <c r="C9" s="649"/>
      <c r="D9" s="649"/>
      <c r="E9" s="649"/>
      <c r="F9" s="649"/>
      <c r="G9" s="686"/>
      <c r="H9" s="96"/>
      <c r="I9" s="51" t="s">
        <v>50</v>
      </c>
      <c r="J9" s="51" t="s">
        <v>379</v>
      </c>
      <c r="K9" s="51" t="s">
        <v>50</v>
      </c>
      <c r="L9" s="51" t="s">
        <v>379</v>
      </c>
      <c r="M9" s="51" t="s">
        <v>50</v>
      </c>
      <c r="N9" s="51" t="s">
        <v>379</v>
      </c>
      <c r="O9" s="51" t="s">
        <v>50</v>
      </c>
      <c r="P9" s="51" t="s">
        <v>379</v>
      </c>
      <c r="Q9" s="51" t="s">
        <v>50</v>
      </c>
      <c r="R9" s="51" t="s">
        <v>379</v>
      </c>
      <c r="S9" s="51" t="s">
        <v>50</v>
      </c>
      <c r="T9" s="51" t="s">
        <v>379</v>
      </c>
      <c r="U9" s="51" t="s">
        <v>50</v>
      </c>
      <c r="V9" s="51" t="s">
        <v>379</v>
      </c>
      <c r="W9" s="117"/>
      <c r="X9" s="117"/>
      <c r="Y9" s="117"/>
      <c r="Z9" s="117"/>
      <c r="AA9" s="118"/>
      <c r="AB9" s="119"/>
      <c r="AC9" s="119"/>
      <c r="AD9" s="119"/>
      <c r="AE9" s="120"/>
      <c r="AF9" s="120"/>
    </row>
    <row r="10" spans="1:32" s="17" customFormat="1" x14ac:dyDescent="0.2">
      <c r="A10" s="324" t="s">
        <v>57</v>
      </c>
      <c r="B10" s="225"/>
      <c r="C10" s="225"/>
      <c r="D10" s="225"/>
      <c r="E10" s="225"/>
      <c r="F10" s="225"/>
      <c r="G10" s="325" t="s">
        <v>323</v>
      </c>
      <c r="H10" s="45"/>
      <c r="I10" s="49">
        <f t="shared" ref="I10:P10" si="0">I11+I18+I21+I24+I27+I28+I31+I32+I39</f>
        <v>0</v>
      </c>
      <c r="J10" s="49">
        <f t="shared" si="0"/>
        <v>0</v>
      </c>
      <c r="K10" s="49">
        <f t="shared" si="0"/>
        <v>0</v>
      </c>
      <c r="L10" s="49">
        <f t="shared" si="0"/>
        <v>0</v>
      </c>
      <c r="M10" s="49">
        <f t="shared" si="0"/>
        <v>0</v>
      </c>
      <c r="N10" s="49">
        <f t="shared" si="0"/>
        <v>0</v>
      </c>
      <c r="O10" s="49">
        <f t="shared" si="0"/>
        <v>0</v>
      </c>
      <c r="P10" s="49">
        <f t="shared" si="0"/>
        <v>0</v>
      </c>
      <c r="Q10" s="49">
        <f t="shared" ref="Q10:Q17" si="1">O10+M10+K10+I10</f>
        <v>0</v>
      </c>
      <c r="R10" s="49">
        <f t="shared" ref="R10:R39" si="2">P10+N10+L10+J10</f>
        <v>0</v>
      </c>
      <c r="S10" s="49">
        <f>S11+S18+S21+S24+S27+S28+S31+S32+S39</f>
        <v>0</v>
      </c>
      <c r="T10" s="49">
        <f>T11+T18+T21+T24+T27+T28+T31+T32+T39</f>
        <v>0</v>
      </c>
      <c r="U10" s="49">
        <f t="shared" ref="U10:U17" si="3">Q10-S10</f>
        <v>0</v>
      </c>
      <c r="V10" s="49">
        <f t="shared" ref="V10:V39" si="4">R10-T10</f>
        <v>0</v>
      </c>
      <c r="W10" s="16"/>
      <c r="X10" s="16"/>
      <c r="Y10" s="16"/>
      <c r="Z10" s="16"/>
      <c r="AA10" s="16"/>
      <c r="AB10" s="16"/>
      <c r="AC10" s="16"/>
      <c r="AD10" s="16"/>
      <c r="AE10" s="16"/>
      <c r="AF10" s="16"/>
    </row>
    <row r="11" spans="1:32" s="17" customFormat="1" x14ac:dyDescent="0.2">
      <c r="A11" s="326" t="s">
        <v>58</v>
      </c>
      <c r="B11" s="225" t="s">
        <v>540</v>
      </c>
      <c r="C11" s="225"/>
      <c r="D11" s="225"/>
      <c r="E11" s="225"/>
      <c r="F11" s="225"/>
      <c r="G11" s="325" t="s">
        <v>324</v>
      </c>
      <c r="H11" s="45"/>
      <c r="I11" s="49">
        <f t="shared" ref="I11:P11" si="5">+I12+I13+I14</f>
        <v>0</v>
      </c>
      <c r="J11" s="49">
        <f t="shared" si="5"/>
        <v>0</v>
      </c>
      <c r="K11" s="49">
        <f t="shared" si="5"/>
        <v>0</v>
      </c>
      <c r="L11" s="49">
        <f t="shared" si="5"/>
        <v>0</v>
      </c>
      <c r="M11" s="49">
        <f t="shared" si="5"/>
        <v>0</v>
      </c>
      <c r="N11" s="49">
        <f t="shared" si="5"/>
        <v>0</v>
      </c>
      <c r="O11" s="49">
        <f t="shared" si="5"/>
        <v>0</v>
      </c>
      <c r="P11" s="49">
        <f t="shared" si="5"/>
        <v>0</v>
      </c>
      <c r="Q11" s="49">
        <f t="shared" si="1"/>
        <v>0</v>
      </c>
      <c r="R11" s="49">
        <f t="shared" si="2"/>
        <v>0</v>
      </c>
      <c r="S11" s="49">
        <f>+S12+S13+S14</f>
        <v>0</v>
      </c>
      <c r="T11" s="49">
        <f>+T12+T13+T14</f>
        <v>0</v>
      </c>
      <c r="U11" s="49">
        <f t="shared" si="3"/>
        <v>0</v>
      </c>
      <c r="V11" s="49">
        <f t="shared" si="4"/>
        <v>0</v>
      </c>
      <c r="W11" s="16"/>
      <c r="X11" s="16"/>
      <c r="Y11" s="16"/>
      <c r="Z11" s="16"/>
      <c r="AA11" s="16"/>
      <c r="AB11" s="16"/>
      <c r="AC11" s="16"/>
      <c r="AD11" s="16"/>
      <c r="AE11" s="16"/>
      <c r="AF11" s="16"/>
    </row>
    <row r="12" spans="1:32" s="17" customFormat="1" x14ac:dyDescent="0.2">
      <c r="A12" s="326"/>
      <c r="B12" s="225" t="s">
        <v>59</v>
      </c>
      <c r="C12" s="225" t="s">
        <v>60</v>
      </c>
      <c r="D12" s="225"/>
      <c r="E12" s="225"/>
      <c r="F12" s="225"/>
      <c r="G12" s="325" t="s">
        <v>325</v>
      </c>
      <c r="H12" s="45"/>
      <c r="I12" s="50"/>
      <c r="J12" s="50"/>
      <c r="K12" s="50"/>
      <c r="L12" s="50"/>
      <c r="M12" s="50"/>
      <c r="N12" s="50"/>
      <c r="O12" s="50"/>
      <c r="P12" s="50"/>
      <c r="Q12" s="49">
        <f t="shared" si="1"/>
        <v>0</v>
      </c>
      <c r="R12" s="49">
        <f t="shared" si="2"/>
        <v>0</v>
      </c>
      <c r="S12" s="50"/>
      <c r="T12" s="50"/>
      <c r="U12" s="49">
        <f t="shared" si="3"/>
        <v>0</v>
      </c>
      <c r="V12" s="49">
        <f t="shared" si="4"/>
        <v>0</v>
      </c>
      <c r="W12" s="16"/>
      <c r="X12" s="16"/>
      <c r="Y12" s="16"/>
      <c r="Z12" s="16"/>
      <c r="AA12" s="16"/>
      <c r="AB12" s="16"/>
      <c r="AC12" s="16"/>
      <c r="AD12" s="16"/>
      <c r="AE12" s="16"/>
      <c r="AF12" s="16"/>
    </row>
    <row r="13" spans="1:32" s="17" customFormat="1" x14ac:dyDescent="0.2">
      <c r="A13" s="326"/>
      <c r="B13" s="225" t="s">
        <v>61</v>
      </c>
      <c r="C13" s="225" t="s">
        <v>72</v>
      </c>
      <c r="D13" s="225"/>
      <c r="E13" s="225"/>
      <c r="F13" s="225"/>
      <c r="G13" s="325" t="s">
        <v>541</v>
      </c>
      <c r="H13" s="45"/>
      <c r="I13" s="50"/>
      <c r="J13" s="50"/>
      <c r="K13" s="50"/>
      <c r="L13" s="50"/>
      <c r="M13" s="50"/>
      <c r="N13" s="50"/>
      <c r="O13" s="50"/>
      <c r="P13" s="50"/>
      <c r="Q13" s="49">
        <f t="shared" si="1"/>
        <v>0</v>
      </c>
      <c r="R13" s="49">
        <f>P13+N13+L13+J13</f>
        <v>0</v>
      </c>
      <c r="S13" s="50"/>
      <c r="T13" s="50"/>
      <c r="U13" s="49">
        <f t="shared" si="3"/>
        <v>0</v>
      </c>
      <c r="V13" s="49">
        <f>R13-T13</f>
        <v>0</v>
      </c>
      <c r="W13" s="16"/>
      <c r="X13" s="16"/>
      <c r="Y13" s="16"/>
      <c r="Z13" s="16"/>
      <c r="AA13" s="16"/>
      <c r="AB13" s="16"/>
      <c r="AC13" s="16"/>
      <c r="AD13" s="16"/>
      <c r="AE13" s="16"/>
      <c r="AF13" s="16"/>
    </row>
    <row r="14" spans="1:32" s="17" customFormat="1" x14ac:dyDescent="0.2">
      <c r="A14" s="326"/>
      <c r="B14" s="225" t="s">
        <v>71</v>
      </c>
      <c r="C14" s="225" t="s">
        <v>62</v>
      </c>
      <c r="D14" s="225"/>
      <c r="E14" s="225"/>
      <c r="F14" s="225"/>
      <c r="G14" s="325" t="s">
        <v>326</v>
      </c>
      <c r="H14" s="45"/>
      <c r="I14" s="49">
        <f t="shared" ref="I14:P14" si="6">I15+I16+I17</f>
        <v>0</v>
      </c>
      <c r="J14" s="49">
        <f t="shared" si="6"/>
        <v>0</v>
      </c>
      <c r="K14" s="49">
        <f t="shared" si="6"/>
        <v>0</v>
      </c>
      <c r="L14" s="49">
        <f t="shared" si="6"/>
        <v>0</v>
      </c>
      <c r="M14" s="49">
        <f t="shared" si="6"/>
        <v>0</v>
      </c>
      <c r="N14" s="49">
        <f t="shared" si="6"/>
        <v>0</v>
      </c>
      <c r="O14" s="49">
        <f t="shared" si="6"/>
        <v>0</v>
      </c>
      <c r="P14" s="49">
        <f t="shared" si="6"/>
        <v>0</v>
      </c>
      <c r="Q14" s="49">
        <f t="shared" si="1"/>
        <v>0</v>
      </c>
      <c r="R14" s="49">
        <f t="shared" si="2"/>
        <v>0</v>
      </c>
      <c r="S14" s="49">
        <f>S15+S16+S17</f>
        <v>0</v>
      </c>
      <c r="T14" s="49">
        <f>T15+T16+T17</f>
        <v>0</v>
      </c>
      <c r="U14" s="49">
        <f t="shared" si="3"/>
        <v>0</v>
      </c>
      <c r="V14" s="49">
        <f t="shared" si="4"/>
        <v>0</v>
      </c>
      <c r="W14" s="16"/>
      <c r="X14" s="16"/>
      <c r="Y14" s="16"/>
      <c r="Z14" s="16"/>
      <c r="AA14" s="16"/>
      <c r="AB14" s="16"/>
      <c r="AC14" s="16"/>
      <c r="AD14" s="16"/>
      <c r="AE14" s="16"/>
      <c r="AF14" s="16"/>
    </row>
    <row r="15" spans="1:32" s="17" customFormat="1" x14ac:dyDescent="0.2">
      <c r="A15" s="326"/>
      <c r="B15" s="225"/>
      <c r="C15" s="310" t="s">
        <v>54</v>
      </c>
      <c r="D15" s="225" t="s">
        <v>63</v>
      </c>
      <c r="E15" s="225"/>
      <c r="F15" s="225"/>
      <c r="G15" s="325" t="s">
        <v>327</v>
      </c>
      <c r="H15" s="45"/>
      <c r="I15" s="50"/>
      <c r="J15" s="50"/>
      <c r="K15" s="50"/>
      <c r="L15" s="50"/>
      <c r="M15" s="50"/>
      <c r="N15" s="50"/>
      <c r="O15" s="50"/>
      <c r="P15" s="50"/>
      <c r="Q15" s="49">
        <f t="shared" si="1"/>
        <v>0</v>
      </c>
      <c r="R15" s="49">
        <f t="shared" si="2"/>
        <v>0</v>
      </c>
      <c r="S15" s="50"/>
      <c r="T15" s="50"/>
      <c r="U15" s="49">
        <f t="shared" si="3"/>
        <v>0</v>
      </c>
      <c r="V15" s="49">
        <f t="shared" si="4"/>
        <v>0</v>
      </c>
      <c r="W15" s="16"/>
      <c r="X15" s="16"/>
      <c r="Y15" s="16"/>
      <c r="Z15" s="16"/>
      <c r="AA15" s="16"/>
      <c r="AB15" s="16"/>
      <c r="AC15" s="16"/>
      <c r="AD15" s="16"/>
      <c r="AE15" s="16"/>
      <c r="AF15" s="16"/>
    </row>
    <row r="16" spans="1:32" s="17" customFormat="1" x14ac:dyDescent="0.2">
      <c r="A16" s="326"/>
      <c r="B16" s="225"/>
      <c r="C16" s="310" t="s">
        <v>55</v>
      </c>
      <c r="D16" s="225" t="s">
        <v>64</v>
      </c>
      <c r="E16" s="225"/>
      <c r="F16" s="225"/>
      <c r="G16" s="325" t="s">
        <v>328</v>
      </c>
      <c r="H16" s="45"/>
      <c r="I16" s="50"/>
      <c r="J16" s="50"/>
      <c r="K16" s="50"/>
      <c r="L16" s="50"/>
      <c r="M16" s="50"/>
      <c r="N16" s="50"/>
      <c r="O16" s="50"/>
      <c r="P16" s="50"/>
      <c r="Q16" s="49">
        <f t="shared" si="1"/>
        <v>0</v>
      </c>
      <c r="R16" s="49">
        <f t="shared" si="2"/>
        <v>0</v>
      </c>
      <c r="S16" s="50"/>
      <c r="T16" s="50"/>
      <c r="U16" s="49">
        <f t="shared" si="3"/>
        <v>0</v>
      </c>
      <c r="V16" s="49">
        <f t="shared" si="4"/>
        <v>0</v>
      </c>
      <c r="W16" s="16"/>
      <c r="X16" s="16"/>
      <c r="Y16" s="16"/>
      <c r="Z16" s="16"/>
      <c r="AA16" s="16"/>
      <c r="AB16" s="16"/>
      <c r="AC16" s="16"/>
      <c r="AD16" s="16"/>
      <c r="AE16" s="16"/>
      <c r="AF16" s="16"/>
    </row>
    <row r="17" spans="1:32" s="17" customFormat="1" x14ac:dyDescent="0.2">
      <c r="A17" s="326"/>
      <c r="B17" s="225"/>
      <c r="C17" s="310" t="s">
        <v>65</v>
      </c>
      <c r="D17" s="225" t="s">
        <v>66</v>
      </c>
      <c r="E17" s="225"/>
      <c r="F17" s="225"/>
      <c r="G17" s="325" t="s">
        <v>329</v>
      </c>
      <c r="H17" s="45"/>
      <c r="I17" s="44"/>
      <c r="J17" s="44"/>
      <c r="K17" s="44"/>
      <c r="L17" s="44"/>
      <c r="M17" s="44"/>
      <c r="N17" s="44"/>
      <c r="O17" s="44"/>
      <c r="P17" s="44"/>
      <c r="Q17" s="49">
        <f t="shared" si="1"/>
        <v>0</v>
      </c>
      <c r="R17" s="49">
        <f t="shared" si="2"/>
        <v>0</v>
      </c>
      <c r="S17" s="44"/>
      <c r="T17" s="44"/>
      <c r="U17" s="49">
        <f t="shared" si="3"/>
        <v>0</v>
      </c>
      <c r="V17" s="49">
        <f t="shared" si="4"/>
        <v>0</v>
      </c>
      <c r="W17" s="16"/>
      <c r="X17" s="16"/>
      <c r="Y17" s="16"/>
      <c r="Z17" s="16"/>
      <c r="AA17" s="16"/>
      <c r="AB17" s="16"/>
      <c r="AC17" s="16"/>
      <c r="AD17" s="16"/>
      <c r="AE17" s="16"/>
      <c r="AF17" s="16"/>
    </row>
    <row r="18" spans="1:32" s="17" customFormat="1" x14ac:dyDescent="0.2">
      <c r="A18" s="326" t="s">
        <v>55</v>
      </c>
      <c r="B18" s="225" t="s">
        <v>67</v>
      </c>
      <c r="C18" s="225"/>
      <c r="D18" s="225"/>
      <c r="E18" s="225"/>
      <c r="F18" s="225"/>
      <c r="G18" s="325" t="s">
        <v>330</v>
      </c>
      <c r="H18" s="45"/>
      <c r="I18" s="41">
        <f>I19+I20</f>
        <v>0</v>
      </c>
      <c r="J18" s="41">
        <f t="shared" ref="J18:P18" si="7">J19+J20</f>
        <v>0</v>
      </c>
      <c r="K18" s="41">
        <f t="shared" si="7"/>
        <v>0</v>
      </c>
      <c r="L18" s="41">
        <f t="shared" si="7"/>
        <v>0</v>
      </c>
      <c r="M18" s="41">
        <f t="shared" si="7"/>
        <v>0</v>
      </c>
      <c r="N18" s="41">
        <f t="shared" si="7"/>
        <v>0</v>
      </c>
      <c r="O18" s="41">
        <f t="shared" si="7"/>
        <v>0</v>
      </c>
      <c r="P18" s="41">
        <f t="shared" si="7"/>
        <v>0</v>
      </c>
      <c r="Q18" s="49">
        <f t="shared" ref="Q18:R20" si="8">O18+M18+K18+I18</f>
        <v>0</v>
      </c>
      <c r="R18" s="49">
        <f t="shared" si="8"/>
        <v>0</v>
      </c>
      <c r="S18" s="41">
        <f>S19+S20</f>
        <v>0</v>
      </c>
      <c r="T18" s="41">
        <f>T19+T20</f>
        <v>0</v>
      </c>
      <c r="U18" s="49">
        <f t="shared" ref="U18:V20" si="9">Q18-S18</f>
        <v>0</v>
      </c>
      <c r="V18" s="49">
        <f t="shared" si="9"/>
        <v>0</v>
      </c>
      <c r="W18" s="16"/>
      <c r="X18" s="16"/>
      <c r="Y18" s="16"/>
      <c r="Z18" s="16"/>
      <c r="AA18" s="16"/>
      <c r="AB18" s="16"/>
      <c r="AC18" s="16"/>
      <c r="AD18" s="16"/>
      <c r="AE18" s="16"/>
      <c r="AF18" s="16"/>
    </row>
    <row r="19" spans="1:32" s="17" customFormat="1" x14ac:dyDescent="0.2">
      <c r="A19" s="326"/>
      <c r="B19" s="225" t="s">
        <v>59</v>
      </c>
      <c r="C19" s="225" t="s">
        <v>68</v>
      </c>
      <c r="D19" s="225"/>
      <c r="E19" s="225"/>
      <c r="F19" s="225"/>
      <c r="G19" s="325" t="s">
        <v>331</v>
      </c>
      <c r="H19" s="45"/>
      <c r="I19" s="44"/>
      <c r="J19" s="44"/>
      <c r="K19" s="44"/>
      <c r="L19" s="44"/>
      <c r="M19" s="44"/>
      <c r="N19" s="44"/>
      <c r="O19" s="44"/>
      <c r="P19" s="44"/>
      <c r="Q19" s="49">
        <f t="shared" si="8"/>
        <v>0</v>
      </c>
      <c r="R19" s="49">
        <f t="shared" si="8"/>
        <v>0</v>
      </c>
      <c r="S19" s="44"/>
      <c r="T19" s="44"/>
      <c r="U19" s="49">
        <f t="shared" si="9"/>
        <v>0</v>
      </c>
      <c r="V19" s="49">
        <f t="shared" si="9"/>
        <v>0</v>
      </c>
      <c r="W19" s="16"/>
      <c r="X19" s="16"/>
      <c r="Y19" s="16"/>
      <c r="Z19" s="16"/>
      <c r="AA19" s="16"/>
      <c r="AB19" s="16"/>
      <c r="AC19" s="16"/>
      <c r="AD19" s="16"/>
      <c r="AE19" s="16"/>
      <c r="AF19" s="16"/>
    </row>
    <row r="20" spans="1:32" s="17" customFormat="1" x14ac:dyDescent="0.2">
      <c r="A20" s="326"/>
      <c r="B20" s="225" t="s">
        <v>69</v>
      </c>
      <c r="C20" s="225" t="s">
        <v>70</v>
      </c>
      <c r="D20" s="225"/>
      <c r="E20" s="225"/>
      <c r="F20" s="225"/>
      <c r="G20" s="325" t="s">
        <v>332</v>
      </c>
      <c r="H20" s="45"/>
      <c r="I20" s="44"/>
      <c r="J20" s="44"/>
      <c r="K20" s="44"/>
      <c r="L20" s="44"/>
      <c r="M20" s="44"/>
      <c r="N20" s="44"/>
      <c r="O20" s="44"/>
      <c r="P20" s="44"/>
      <c r="Q20" s="49">
        <f t="shared" si="8"/>
        <v>0</v>
      </c>
      <c r="R20" s="49">
        <f t="shared" si="8"/>
        <v>0</v>
      </c>
      <c r="S20" s="44"/>
      <c r="T20" s="44"/>
      <c r="U20" s="49">
        <f t="shared" si="9"/>
        <v>0</v>
      </c>
      <c r="V20" s="49">
        <f t="shared" si="9"/>
        <v>0</v>
      </c>
      <c r="W20" s="16"/>
      <c r="X20" s="16"/>
      <c r="Y20" s="16"/>
      <c r="Z20" s="16"/>
      <c r="AA20" s="16"/>
      <c r="AB20" s="16"/>
      <c r="AC20" s="16"/>
      <c r="AD20" s="16"/>
      <c r="AE20" s="16"/>
      <c r="AF20" s="16"/>
    </row>
    <row r="21" spans="1:32" s="17" customFormat="1" x14ac:dyDescent="0.2">
      <c r="A21" s="326" t="s">
        <v>65</v>
      </c>
      <c r="B21" s="225" t="s">
        <v>1436</v>
      </c>
      <c r="C21" s="225"/>
      <c r="D21" s="225"/>
      <c r="E21" s="225"/>
      <c r="F21" s="225"/>
      <c r="G21" s="325" t="s">
        <v>333</v>
      </c>
      <c r="H21" s="45"/>
      <c r="I21" s="41">
        <f>I22+I23</f>
        <v>0</v>
      </c>
      <c r="J21" s="41">
        <f t="shared" ref="J21:P21" si="10">J22+J23</f>
        <v>0</v>
      </c>
      <c r="K21" s="41">
        <f t="shared" si="10"/>
        <v>0</v>
      </c>
      <c r="L21" s="41">
        <f t="shared" si="10"/>
        <v>0</v>
      </c>
      <c r="M21" s="41">
        <f t="shared" si="10"/>
        <v>0</v>
      </c>
      <c r="N21" s="41">
        <f t="shared" si="10"/>
        <v>0</v>
      </c>
      <c r="O21" s="41">
        <f t="shared" si="10"/>
        <v>0</v>
      </c>
      <c r="P21" s="41">
        <f t="shared" si="10"/>
        <v>0</v>
      </c>
      <c r="Q21" s="49">
        <f t="shared" ref="Q21:R23" si="11">O21+M21+K21+I21</f>
        <v>0</v>
      </c>
      <c r="R21" s="49">
        <f t="shared" si="11"/>
        <v>0</v>
      </c>
      <c r="S21" s="41">
        <f>S22+S23</f>
        <v>0</v>
      </c>
      <c r="T21" s="41">
        <f>T22+T23</f>
        <v>0</v>
      </c>
      <c r="U21" s="49">
        <f t="shared" ref="U21:V23" si="12">Q21-S21</f>
        <v>0</v>
      </c>
      <c r="V21" s="49">
        <f t="shared" si="12"/>
        <v>0</v>
      </c>
      <c r="W21" s="16"/>
      <c r="X21" s="16"/>
      <c r="Y21" s="16"/>
      <c r="Z21" s="16"/>
      <c r="AA21" s="16"/>
      <c r="AB21" s="16"/>
      <c r="AC21" s="16"/>
      <c r="AD21" s="16"/>
      <c r="AE21" s="16"/>
      <c r="AF21" s="16"/>
    </row>
    <row r="22" spans="1:32" s="17" customFormat="1" x14ac:dyDescent="0.2">
      <c r="A22" s="326"/>
      <c r="B22" s="3" t="s">
        <v>59</v>
      </c>
      <c r="C22" s="658" t="s">
        <v>543</v>
      </c>
      <c r="D22" s="659"/>
      <c r="E22" s="659"/>
      <c r="F22" s="660"/>
      <c r="G22" s="601" t="s">
        <v>1431</v>
      </c>
      <c r="H22" s="45"/>
      <c r="I22" s="44"/>
      <c r="J22" s="44"/>
      <c r="K22" s="44"/>
      <c r="L22" s="44"/>
      <c r="M22" s="44"/>
      <c r="N22" s="44"/>
      <c r="O22" s="44"/>
      <c r="P22" s="44"/>
      <c r="Q22" s="49">
        <f t="shared" si="11"/>
        <v>0</v>
      </c>
      <c r="R22" s="49">
        <f t="shared" si="11"/>
        <v>0</v>
      </c>
      <c r="S22" s="44"/>
      <c r="T22" s="44"/>
      <c r="U22" s="49">
        <f t="shared" si="12"/>
        <v>0</v>
      </c>
      <c r="V22" s="49">
        <f t="shared" si="12"/>
        <v>0</v>
      </c>
      <c r="W22" s="16"/>
      <c r="X22" s="16"/>
      <c r="Y22" s="16"/>
      <c r="Z22" s="16"/>
      <c r="AA22" s="16"/>
      <c r="AB22" s="16"/>
      <c r="AC22" s="16"/>
      <c r="AD22" s="16"/>
      <c r="AE22" s="16"/>
      <c r="AF22" s="16"/>
    </row>
    <row r="23" spans="1:32" s="17" customFormat="1" x14ac:dyDescent="0.2">
      <c r="A23" s="326"/>
      <c r="B23" s="3" t="s">
        <v>61</v>
      </c>
      <c r="C23" s="658" t="s">
        <v>1430</v>
      </c>
      <c r="D23" s="659"/>
      <c r="E23" s="659"/>
      <c r="F23" s="660"/>
      <c r="G23" s="601" t="s">
        <v>1432</v>
      </c>
      <c r="H23" s="45"/>
      <c r="I23" s="44"/>
      <c r="J23" s="44"/>
      <c r="K23" s="44"/>
      <c r="L23" s="44"/>
      <c r="M23" s="44"/>
      <c r="N23" s="44"/>
      <c r="O23" s="44"/>
      <c r="P23" s="44"/>
      <c r="Q23" s="49">
        <f t="shared" si="11"/>
        <v>0</v>
      </c>
      <c r="R23" s="49">
        <f t="shared" si="11"/>
        <v>0</v>
      </c>
      <c r="S23" s="44"/>
      <c r="T23" s="44"/>
      <c r="U23" s="49">
        <f t="shared" si="12"/>
        <v>0</v>
      </c>
      <c r="V23" s="49">
        <f t="shared" si="12"/>
        <v>0</v>
      </c>
      <c r="W23" s="16"/>
      <c r="X23" s="16"/>
      <c r="Y23" s="16"/>
      <c r="Z23" s="16"/>
      <c r="AA23" s="16"/>
      <c r="AB23" s="16"/>
      <c r="AC23" s="16"/>
      <c r="AD23" s="16"/>
      <c r="AE23" s="16"/>
      <c r="AF23" s="16"/>
    </row>
    <row r="24" spans="1:32" s="17" customFormat="1" x14ac:dyDescent="0.2">
      <c r="A24" s="326" t="s">
        <v>90</v>
      </c>
      <c r="B24" s="225" t="s">
        <v>641</v>
      </c>
      <c r="C24" s="225"/>
      <c r="D24" s="225"/>
      <c r="E24" s="225"/>
      <c r="F24" s="225"/>
      <c r="G24" s="325" t="s">
        <v>334</v>
      </c>
      <c r="H24" s="45"/>
      <c r="I24" s="41">
        <f>I25+I26</f>
        <v>0</v>
      </c>
      <c r="J24" s="41">
        <f t="shared" ref="J24:P24" si="13">J25+J26</f>
        <v>0</v>
      </c>
      <c r="K24" s="41">
        <f t="shared" si="13"/>
        <v>0</v>
      </c>
      <c r="L24" s="41">
        <f t="shared" si="13"/>
        <v>0</v>
      </c>
      <c r="M24" s="41">
        <f t="shared" si="13"/>
        <v>0</v>
      </c>
      <c r="N24" s="41">
        <f t="shared" si="13"/>
        <v>0</v>
      </c>
      <c r="O24" s="41">
        <f t="shared" si="13"/>
        <v>0</v>
      </c>
      <c r="P24" s="41">
        <f t="shared" si="13"/>
        <v>0</v>
      </c>
      <c r="Q24" s="49">
        <f t="shared" ref="Q24:R26" si="14">O24+M24+K24+I24</f>
        <v>0</v>
      </c>
      <c r="R24" s="49">
        <f t="shared" si="14"/>
        <v>0</v>
      </c>
      <c r="S24" s="41">
        <f>S25+S26</f>
        <v>0</v>
      </c>
      <c r="T24" s="41">
        <f>T25+T26</f>
        <v>0</v>
      </c>
      <c r="U24" s="49">
        <f t="shared" ref="U24:V26" si="15">Q24-S24</f>
        <v>0</v>
      </c>
      <c r="V24" s="49">
        <f t="shared" si="15"/>
        <v>0</v>
      </c>
      <c r="W24" s="16"/>
      <c r="X24" s="16"/>
      <c r="Y24" s="16"/>
      <c r="Z24" s="16"/>
      <c r="AA24" s="16"/>
      <c r="AB24" s="16"/>
      <c r="AC24" s="16"/>
      <c r="AD24" s="16"/>
      <c r="AE24" s="16"/>
      <c r="AF24" s="16"/>
    </row>
    <row r="25" spans="1:32" s="17" customFormat="1" x14ac:dyDescent="0.2">
      <c r="A25" s="326"/>
      <c r="B25" s="225" t="s">
        <v>59</v>
      </c>
      <c r="C25" s="225" t="s">
        <v>1451</v>
      </c>
      <c r="D25" s="225"/>
      <c r="E25" s="225"/>
      <c r="F25" s="225"/>
      <c r="G25" s="325" t="s">
        <v>335</v>
      </c>
      <c r="H25" s="45"/>
      <c r="I25" s="44"/>
      <c r="J25" s="44"/>
      <c r="K25" s="44"/>
      <c r="L25" s="44"/>
      <c r="M25" s="44"/>
      <c r="N25" s="44"/>
      <c r="O25" s="44"/>
      <c r="P25" s="44"/>
      <c r="Q25" s="49">
        <f t="shared" si="14"/>
        <v>0</v>
      </c>
      <c r="R25" s="49">
        <f t="shared" si="14"/>
        <v>0</v>
      </c>
      <c r="S25" s="44"/>
      <c r="T25" s="44"/>
      <c r="U25" s="49">
        <f t="shared" si="15"/>
        <v>0</v>
      </c>
      <c r="V25" s="49">
        <f t="shared" si="15"/>
        <v>0</v>
      </c>
      <c r="W25" s="16"/>
      <c r="X25" s="16"/>
      <c r="Y25" s="16"/>
      <c r="Z25" s="16"/>
      <c r="AA25" s="16"/>
      <c r="AB25" s="16"/>
      <c r="AC25" s="16"/>
      <c r="AD25" s="16"/>
      <c r="AE25" s="16"/>
      <c r="AF25" s="16"/>
    </row>
    <row r="26" spans="1:32" s="17" customFormat="1" x14ac:dyDescent="0.2">
      <c r="A26" s="326"/>
      <c r="B26" s="225" t="s">
        <v>69</v>
      </c>
      <c r="C26" s="225" t="s">
        <v>1452</v>
      </c>
      <c r="D26" s="225"/>
      <c r="E26" s="225"/>
      <c r="F26" s="225"/>
      <c r="G26" s="325" t="s">
        <v>336</v>
      </c>
      <c r="H26" s="45"/>
      <c r="I26" s="44"/>
      <c r="J26" s="44"/>
      <c r="K26" s="44"/>
      <c r="L26" s="44"/>
      <c r="M26" s="44"/>
      <c r="N26" s="44"/>
      <c r="O26" s="44"/>
      <c r="P26" s="44"/>
      <c r="Q26" s="49">
        <f t="shared" si="14"/>
        <v>0</v>
      </c>
      <c r="R26" s="49">
        <f t="shared" si="14"/>
        <v>0</v>
      </c>
      <c r="S26" s="44"/>
      <c r="T26" s="44"/>
      <c r="U26" s="49">
        <f t="shared" si="15"/>
        <v>0</v>
      </c>
      <c r="V26" s="49">
        <f t="shared" si="15"/>
        <v>0</v>
      </c>
      <c r="W26" s="16"/>
      <c r="X26" s="16"/>
      <c r="Y26" s="16"/>
      <c r="Z26" s="16"/>
      <c r="AA26" s="16"/>
      <c r="AB26" s="16"/>
      <c r="AC26" s="16"/>
      <c r="AD26" s="16"/>
      <c r="AE26" s="16"/>
      <c r="AF26" s="16"/>
    </row>
    <row r="27" spans="1:32" s="17" customFormat="1" x14ac:dyDescent="0.2">
      <c r="A27" s="326" t="s">
        <v>257</v>
      </c>
      <c r="B27" s="225" t="s">
        <v>983</v>
      </c>
      <c r="C27" s="225"/>
      <c r="D27" s="225"/>
      <c r="E27" s="225"/>
      <c r="F27" s="225"/>
      <c r="G27" s="325" t="s">
        <v>337</v>
      </c>
      <c r="H27" s="45"/>
      <c r="I27" s="44"/>
      <c r="J27" s="44"/>
      <c r="K27" s="44"/>
      <c r="L27" s="44"/>
      <c r="M27" s="44"/>
      <c r="N27" s="44"/>
      <c r="O27" s="44"/>
      <c r="P27" s="44"/>
      <c r="Q27" s="49">
        <f t="shared" ref="Q27:Q39" si="16">O27+M27+K27+I27</f>
        <v>0</v>
      </c>
      <c r="R27" s="49">
        <f t="shared" si="2"/>
        <v>0</v>
      </c>
      <c r="S27" s="44"/>
      <c r="T27" s="44"/>
      <c r="U27" s="49">
        <f t="shared" ref="U27:U39" si="17">Q27-S27</f>
        <v>0</v>
      </c>
      <c r="V27" s="49">
        <f t="shared" si="4"/>
        <v>0</v>
      </c>
      <c r="W27" s="16"/>
      <c r="X27" s="16"/>
      <c r="Y27" s="16"/>
      <c r="Z27" s="16"/>
      <c r="AA27" s="16"/>
      <c r="AB27" s="16"/>
      <c r="AC27" s="16"/>
      <c r="AD27" s="16"/>
      <c r="AE27" s="16"/>
      <c r="AF27" s="16"/>
    </row>
    <row r="28" spans="1:32" s="17" customFormat="1" x14ac:dyDescent="0.2">
      <c r="A28" s="326" t="s">
        <v>74</v>
      </c>
      <c r="B28" s="225" t="s">
        <v>77</v>
      </c>
      <c r="C28" s="225"/>
      <c r="D28" s="225"/>
      <c r="E28" s="225"/>
      <c r="F28" s="225"/>
      <c r="G28" s="325" t="s">
        <v>338</v>
      </c>
      <c r="H28" s="45"/>
      <c r="I28" s="41">
        <f t="shared" ref="I28:P28" si="18">I29+I30</f>
        <v>0</v>
      </c>
      <c r="J28" s="41">
        <f t="shared" si="18"/>
        <v>0</v>
      </c>
      <c r="K28" s="41">
        <f t="shared" si="18"/>
        <v>0</v>
      </c>
      <c r="L28" s="41">
        <f t="shared" si="18"/>
        <v>0</v>
      </c>
      <c r="M28" s="41">
        <f t="shared" si="18"/>
        <v>0</v>
      </c>
      <c r="N28" s="41">
        <f t="shared" si="18"/>
        <v>0</v>
      </c>
      <c r="O28" s="41">
        <f t="shared" si="18"/>
        <v>0</v>
      </c>
      <c r="P28" s="41">
        <f t="shared" si="18"/>
        <v>0</v>
      </c>
      <c r="Q28" s="49">
        <f t="shared" si="16"/>
        <v>0</v>
      </c>
      <c r="R28" s="49">
        <f t="shared" si="2"/>
        <v>0</v>
      </c>
      <c r="S28" s="41">
        <f>S29+S30</f>
        <v>0</v>
      </c>
      <c r="T28" s="41">
        <f>T29+T30</f>
        <v>0</v>
      </c>
      <c r="U28" s="49">
        <f t="shared" si="17"/>
        <v>0</v>
      </c>
      <c r="V28" s="49">
        <f t="shared" si="4"/>
        <v>0</v>
      </c>
      <c r="W28" s="16"/>
      <c r="X28" s="16"/>
      <c r="Y28" s="16"/>
      <c r="Z28" s="16"/>
      <c r="AA28" s="16"/>
      <c r="AB28" s="16"/>
      <c r="AC28" s="16"/>
      <c r="AD28" s="16"/>
      <c r="AE28" s="16"/>
      <c r="AF28" s="16"/>
    </row>
    <row r="29" spans="1:32" s="17" customFormat="1" x14ac:dyDescent="0.2">
      <c r="A29" s="326"/>
      <c r="B29" s="225" t="s">
        <v>59</v>
      </c>
      <c r="C29" s="225" t="s">
        <v>78</v>
      </c>
      <c r="D29" s="225"/>
      <c r="E29" s="225"/>
      <c r="F29" s="225"/>
      <c r="G29" s="325" t="s">
        <v>339</v>
      </c>
      <c r="H29" s="45"/>
      <c r="I29" s="44"/>
      <c r="J29" s="44"/>
      <c r="K29" s="44"/>
      <c r="L29" s="44"/>
      <c r="M29" s="44"/>
      <c r="N29" s="44"/>
      <c r="O29" s="44"/>
      <c r="P29" s="44"/>
      <c r="Q29" s="49">
        <f t="shared" si="16"/>
        <v>0</v>
      </c>
      <c r="R29" s="49">
        <f t="shared" si="2"/>
        <v>0</v>
      </c>
      <c r="S29" s="44"/>
      <c r="T29" s="44"/>
      <c r="U29" s="49">
        <f t="shared" si="17"/>
        <v>0</v>
      </c>
      <c r="V29" s="49">
        <f t="shared" si="4"/>
        <v>0</v>
      </c>
      <c r="W29" s="16"/>
      <c r="X29" s="16"/>
      <c r="Y29" s="16"/>
      <c r="Z29" s="16"/>
      <c r="AA29" s="16"/>
      <c r="AB29" s="16"/>
      <c r="AC29" s="16"/>
      <c r="AD29" s="16"/>
      <c r="AE29" s="16"/>
      <c r="AF29" s="16"/>
    </row>
    <row r="30" spans="1:32" s="17" customFormat="1" x14ac:dyDescent="0.2">
      <c r="A30" s="326"/>
      <c r="B30" s="225" t="s">
        <v>61</v>
      </c>
      <c r="C30" s="225" t="s">
        <v>66</v>
      </c>
      <c r="D30" s="225"/>
      <c r="E30" s="225"/>
      <c r="F30" s="225"/>
      <c r="G30" s="325" t="s">
        <v>340</v>
      </c>
      <c r="H30" s="45"/>
      <c r="I30" s="44"/>
      <c r="J30" s="44"/>
      <c r="K30" s="44"/>
      <c r="L30" s="44"/>
      <c r="M30" s="44"/>
      <c r="N30" s="44"/>
      <c r="O30" s="44"/>
      <c r="P30" s="44"/>
      <c r="Q30" s="49">
        <f t="shared" si="16"/>
        <v>0</v>
      </c>
      <c r="R30" s="49">
        <f t="shared" si="2"/>
        <v>0</v>
      </c>
      <c r="S30" s="44"/>
      <c r="T30" s="44"/>
      <c r="U30" s="49">
        <f t="shared" si="17"/>
        <v>0</v>
      </c>
      <c r="V30" s="49">
        <f t="shared" si="4"/>
        <v>0</v>
      </c>
      <c r="W30" s="16"/>
      <c r="X30" s="16"/>
      <c r="Y30" s="16"/>
      <c r="Z30" s="16"/>
      <c r="AA30" s="16"/>
      <c r="AB30" s="16"/>
      <c r="AC30" s="16"/>
      <c r="AD30" s="16"/>
      <c r="AE30" s="16"/>
      <c r="AF30" s="16"/>
    </row>
    <row r="31" spans="1:32" s="17" customFormat="1" ht="24.75" customHeight="1" x14ac:dyDescent="0.2">
      <c r="A31" s="326" t="s">
        <v>76</v>
      </c>
      <c r="B31" s="661" t="s">
        <v>982</v>
      </c>
      <c r="C31" s="661"/>
      <c r="D31" s="661"/>
      <c r="E31" s="661"/>
      <c r="F31" s="661"/>
      <c r="G31" s="325" t="s">
        <v>341</v>
      </c>
      <c r="H31" s="45"/>
      <c r="I31" s="44"/>
      <c r="J31" s="44"/>
      <c r="K31" s="44"/>
      <c r="L31" s="44"/>
      <c r="M31" s="44"/>
      <c r="N31" s="44"/>
      <c r="O31" s="44"/>
      <c r="P31" s="44"/>
      <c r="Q31" s="49">
        <f t="shared" si="16"/>
        <v>0</v>
      </c>
      <c r="R31" s="49">
        <f t="shared" si="2"/>
        <v>0</v>
      </c>
      <c r="S31" s="44"/>
      <c r="T31" s="44"/>
      <c r="U31" s="49">
        <f t="shared" si="17"/>
        <v>0</v>
      </c>
      <c r="V31" s="49">
        <f t="shared" si="4"/>
        <v>0</v>
      </c>
      <c r="W31" s="16"/>
      <c r="X31" s="16"/>
      <c r="Y31" s="16"/>
      <c r="Z31" s="16"/>
      <c r="AA31" s="16"/>
      <c r="AB31" s="16"/>
      <c r="AC31" s="16"/>
      <c r="AD31" s="16"/>
      <c r="AE31" s="16"/>
      <c r="AF31" s="16"/>
    </row>
    <row r="32" spans="1:32" s="17" customFormat="1" x14ac:dyDescent="0.2">
      <c r="A32" s="326" t="s">
        <v>79</v>
      </c>
      <c r="B32" s="225" t="s">
        <v>1467</v>
      </c>
      <c r="C32" s="225"/>
      <c r="D32" s="225"/>
      <c r="E32" s="225"/>
      <c r="F32" s="225"/>
      <c r="G32" s="325" t="s">
        <v>342</v>
      </c>
      <c r="H32" s="45"/>
      <c r="I32" s="41">
        <f>I33+I34+I37+I38</f>
        <v>0</v>
      </c>
      <c r="J32" s="41">
        <f t="shared" ref="J32:P32" si="19">J33+J34+J37+J38</f>
        <v>0</v>
      </c>
      <c r="K32" s="41">
        <f t="shared" si="19"/>
        <v>0</v>
      </c>
      <c r="L32" s="41">
        <f t="shared" si="19"/>
        <v>0</v>
      </c>
      <c r="M32" s="41">
        <f t="shared" si="19"/>
        <v>0</v>
      </c>
      <c r="N32" s="41">
        <f t="shared" si="19"/>
        <v>0</v>
      </c>
      <c r="O32" s="41">
        <f t="shared" si="19"/>
        <v>0</v>
      </c>
      <c r="P32" s="41">
        <f t="shared" si="19"/>
        <v>0</v>
      </c>
      <c r="Q32" s="49">
        <f t="shared" si="16"/>
        <v>0</v>
      </c>
      <c r="R32" s="49">
        <f t="shared" si="2"/>
        <v>0</v>
      </c>
      <c r="S32" s="41">
        <f>S33+S34+S37+S38</f>
        <v>0</v>
      </c>
      <c r="T32" s="41">
        <f>T33+T34+T37+T38</f>
        <v>0</v>
      </c>
      <c r="U32" s="49">
        <f t="shared" si="17"/>
        <v>0</v>
      </c>
      <c r="V32" s="49">
        <f t="shared" si="4"/>
        <v>0</v>
      </c>
      <c r="W32" s="16"/>
      <c r="X32" s="16"/>
      <c r="Y32" s="16"/>
      <c r="Z32" s="16"/>
      <c r="AA32" s="16"/>
      <c r="AB32" s="16"/>
      <c r="AC32" s="16"/>
      <c r="AD32" s="16"/>
      <c r="AE32" s="16"/>
      <c r="AF32" s="16"/>
    </row>
    <row r="33" spans="1:38" s="17" customFormat="1" x14ac:dyDescent="0.2">
      <c r="A33" s="326"/>
      <c r="B33" s="225" t="s">
        <v>59</v>
      </c>
      <c r="C33" s="225" t="s">
        <v>82</v>
      </c>
      <c r="D33" s="225"/>
      <c r="E33" s="225"/>
      <c r="F33" s="225"/>
      <c r="G33" s="325" t="s">
        <v>343</v>
      </c>
      <c r="H33" s="45"/>
      <c r="I33" s="44"/>
      <c r="J33" s="44"/>
      <c r="K33" s="44"/>
      <c r="L33" s="44"/>
      <c r="M33" s="44"/>
      <c r="N33" s="44"/>
      <c r="O33" s="44"/>
      <c r="P33" s="44"/>
      <c r="Q33" s="49">
        <f t="shared" si="16"/>
        <v>0</v>
      </c>
      <c r="R33" s="49">
        <f t="shared" si="2"/>
        <v>0</v>
      </c>
      <c r="S33" s="44"/>
      <c r="T33" s="44"/>
      <c r="U33" s="49">
        <f t="shared" si="17"/>
        <v>0</v>
      </c>
      <c r="V33" s="49">
        <f t="shared" si="4"/>
        <v>0</v>
      </c>
      <c r="W33" s="16"/>
      <c r="X33" s="16"/>
      <c r="Y33" s="16"/>
      <c r="Z33" s="16"/>
      <c r="AA33" s="16"/>
      <c r="AB33" s="16"/>
      <c r="AC33" s="16"/>
      <c r="AD33" s="16"/>
      <c r="AE33" s="16"/>
      <c r="AF33" s="16"/>
    </row>
    <row r="34" spans="1:38" s="17" customFormat="1" x14ac:dyDescent="0.2">
      <c r="A34" s="326"/>
      <c r="B34" s="225" t="s">
        <v>61</v>
      </c>
      <c r="C34" s="662" t="s">
        <v>1457</v>
      </c>
      <c r="D34" s="662"/>
      <c r="E34" s="662"/>
      <c r="F34" s="663"/>
      <c r="G34" s="325" t="s">
        <v>344</v>
      </c>
      <c r="H34" s="45"/>
      <c r="I34" s="41">
        <f>I35+I36</f>
        <v>0</v>
      </c>
      <c r="J34" s="41">
        <f t="shared" ref="J34:P34" si="20">J35+J36</f>
        <v>0</v>
      </c>
      <c r="K34" s="41">
        <f t="shared" si="20"/>
        <v>0</v>
      </c>
      <c r="L34" s="41">
        <f t="shared" si="20"/>
        <v>0</v>
      </c>
      <c r="M34" s="41">
        <f t="shared" si="20"/>
        <v>0</v>
      </c>
      <c r="N34" s="41">
        <f t="shared" si="20"/>
        <v>0</v>
      </c>
      <c r="O34" s="41">
        <f t="shared" si="20"/>
        <v>0</v>
      </c>
      <c r="P34" s="41">
        <f t="shared" si="20"/>
        <v>0</v>
      </c>
      <c r="Q34" s="41">
        <f t="shared" si="16"/>
        <v>0</v>
      </c>
      <c r="R34" s="41">
        <f>P34+N34+L34+J34</f>
        <v>0</v>
      </c>
      <c r="S34" s="41">
        <f>S35+S36</f>
        <v>0</v>
      </c>
      <c r="T34" s="41">
        <f>T35+T36</f>
        <v>0</v>
      </c>
      <c r="U34" s="41">
        <f t="shared" si="17"/>
        <v>0</v>
      </c>
      <c r="V34" s="41">
        <f>R34-T34</f>
        <v>0</v>
      </c>
      <c r="W34" s="1"/>
      <c r="X34" s="1"/>
      <c r="Y34" s="1"/>
      <c r="Z34" s="1"/>
      <c r="AA34" s="1"/>
      <c r="AB34" s="1"/>
      <c r="AC34" s="1"/>
      <c r="AD34" s="1"/>
      <c r="AE34" s="1"/>
      <c r="AF34" s="1"/>
      <c r="AG34" s="20"/>
      <c r="AH34" s="20"/>
      <c r="AI34" s="20"/>
      <c r="AJ34" s="20"/>
      <c r="AK34" s="20"/>
      <c r="AL34" s="20"/>
    </row>
    <row r="35" spans="1:38" s="17" customFormat="1" x14ac:dyDescent="0.2">
      <c r="A35" s="619"/>
      <c r="B35" s="79"/>
      <c r="C35" s="225" t="s">
        <v>54</v>
      </c>
      <c r="D35" s="225" t="s">
        <v>83</v>
      </c>
      <c r="E35" s="225"/>
      <c r="F35" s="225"/>
      <c r="G35" s="609" t="s">
        <v>1459</v>
      </c>
      <c r="H35" s="45"/>
      <c r="I35" s="44"/>
      <c r="J35" s="44"/>
      <c r="K35" s="44"/>
      <c r="L35" s="44"/>
      <c r="M35" s="44"/>
      <c r="N35" s="44"/>
      <c r="O35" s="44"/>
      <c r="P35" s="44"/>
      <c r="Q35" s="49">
        <f t="shared" si="16"/>
        <v>0</v>
      </c>
      <c r="R35" s="49">
        <f>P35+N35+L35+J35</f>
        <v>0</v>
      </c>
      <c r="S35" s="44"/>
      <c r="T35" s="44"/>
      <c r="U35" s="49">
        <f t="shared" si="17"/>
        <v>0</v>
      </c>
      <c r="V35" s="49">
        <f>R35-T35</f>
        <v>0</v>
      </c>
      <c r="W35" s="1"/>
      <c r="X35" s="1"/>
      <c r="Y35" s="1"/>
      <c r="Z35" s="1"/>
      <c r="AA35" s="1"/>
      <c r="AB35" s="1"/>
      <c r="AC35" s="1"/>
      <c r="AD35" s="1"/>
      <c r="AE35" s="1"/>
      <c r="AF35" s="1"/>
      <c r="AG35" s="20"/>
      <c r="AH35" s="20"/>
      <c r="AI35" s="20"/>
      <c r="AJ35" s="20"/>
      <c r="AK35" s="20"/>
      <c r="AL35" s="20"/>
    </row>
    <row r="36" spans="1:38" s="17" customFormat="1" x14ac:dyDescent="0.2">
      <c r="A36" s="619"/>
      <c r="B36" s="79"/>
      <c r="C36" s="225" t="s">
        <v>55</v>
      </c>
      <c r="D36" s="225" t="s">
        <v>1458</v>
      </c>
      <c r="E36" s="225"/>
      <c r="F36" s="225"/>
      <c r="G36" s="609" t="s">
        <v>1460</v>
      </c>
      <c r="H36" s="45"/>
      <c r="I36" s="44"/>
      <c r="J36" s="44"/>
      <c r="K36" s="44"/>
      <c r="L36" s="44"/>
      <c r="M36" s="44"/>
      <c r="N36" s="44"/>
      <c r="O36" s="44"/>
      <c r="P36" s="44"/>
      <c r="Q36" s="49">
        <f t="shared" si="16"/>
        <v>0</v>
      </c>
      <c r="R36" s="49">
        <f>P36+N36+L36+J36</f>
        <v>0</v>
      </c>
      <c r="S36" s="44"/>
      <c r="T36" s="44"/>
      <c r="U36" s="49">
        <f t="shared" si="17"/>
        <v>0</v>
      </c>
      <c r="V36" s="49">
        <f>R36-T36</f>
        <v>0</v>
      </c>
      <c r="W36" s="1"/>
      <c r="X36" s="1"/>
      <c r="Y36" s="1"/>
      <c r="Z36" s="1"/>
      <c r="AA36" s="1"/>
      <c r="AB36" s="1"/>
      <c r="AC36" s="1"/>
      <c r="AD36" s="1"/>
      <c r="AE36" s="1"/>
      <c r="AF36" s="1"/>
      <c r="AG36" s="20"/>
      <c r="AH36" s="20"/>
      <c r="AI36" s="20"/>
      <c r="AJ36" s="20"/>
      <c r="AK36" s="20"/>
      <c r="AL36" s="20"/>
    </row>
    <row r="37" spans="1:38" s="17" customFormat="1" x14ac:dyDescent="0.2">
      <c r="A37" s="326"/>
      <c r="B37" s="3" t="s">
        <v>1434</v>
      </c>
      <c r="C37" s="3" t="s">
        <v>1468</v>
      </c>
      <c r="D37" s="3"/>
      <c r="E37" s="3"/>
      <c r="F37" s="79"/>
      <c r="G37" s="601" t="s">
        <v>1435</v>
      </c>
      <c r="H37" s="45"/>
      <c r="I37" s="44"/>
      <c r="J37" s="44"/>
      <c r="K37" s="44"/>
      <c r="L37" s="44"/>
      <c r="M37" s="44"/>
      <c r="N37" s="44"/>
      <c r="O37" s="44"/>
      <c r="P37" s="44"/>
      <c r="Q37" s="49">
        <f t="shared" si="16"/>
        <v>0</v>
      </c>
      <c r="R37" s="49">
        <f>P37+N37+L37+J37</f>
        <v>0</v>
      </c>
      <c r="S37" s="44"/>
      <c r="T37" s="44"/>
      <c r="U37" s="49">
        <f t="shared" si="17"/>
        <v>0</v>
      </c>
      <c r="V37" s="49">
        <f>R37-T37</f>
        <v>0</v>
      </c>
      <c r="W37" s="1"/>
      <c r="X37" s="1"/>
      <c r="Y37" s="1"/>
      <c r="Z37" s="1"/>
      <c r="AA37" s="1"/>
      <c r="AB37" s="1"/>
      <c r="AC37" s="1"/>
      <c r="AD37" s="1"/>
      <c r="AE37" s="1"/>
      <c r="AF37" s="1"/>
      <c r="AG37" s="20"/>
      <c r="AH37" s="20"/>
      <c r="AI37" s="20"/>
      <c r="AJ37" s="20"/>
      <c r="AK37" s="20"/>
      <c r="AL37" s="20"/>
    </row>
    <row r="38" spans="1:38" s="17" customFormat="1" x14ac:dyDescent="0.2">
      <c r="A38" s="326"/>
      <c r="B38" s="225" t="s">
        <v>1433</v>
      </c>
      <c r="C38" s="225" t="s">
        <v>52</v>
      </c>
      <c r="D38" s="225"/>
      <c r="E38" s="225"/>
      <c r="F38" s="225"/>
      <c r="G38" s="325" t="s">
        <v>345</v>
      </c>
      <c r="H38" s="45"/>
      <c r="I38" s="44"/>
      <c r="J38" s="44"/>
      <c r="K38" s="44"/>
      <c r="L38" s="44"/>
      <c r="M38" s="44"/>
      <c r="N38" s="44"/>
      <c r="O38" s="44"/>
      <c r="P38" s="44"/>
      <c r="Q38" s="49">
        <f t="shared" si="16"/>
        <v>0</v>
      </c>
      <c r="R38" s="49">
        <f t="shared" si="2"/>
        <v>0</v>
      </c>
      <c r="S38" s="44"/>
      <c r="T38" s="44"/>
      <c r="U38" s="49">
        <f t="shared" si="17"/>
        <v>0</v>
      </c>
      <c r="V38" s="49">
        <f t="shared" si="4"/>
        <v>0</v>
      </c>
      <c r="W38" s="1"/>
      <c r="X38" s="1"/>
      <c r="Y38" s="1"/>
      <c r="Z38" s="1"/>
      <c r="AA38" s="1"/>
      <c r="AB38" s="1"/>
      <c r="AC38" s="1"/>
      <c r="AD38" s="1"/>
      <c r="AE38" s="1"/>
      <c r="AF38" s="1"/>
      <c r="AG38" s="20"/>
      <c r="AH38" s="20"/>
      <c r="AI38" s="20"/>
      <c r="AJ38" s="20"/>
      <c r="AK38" s="20"/>
      <c r="AL38" s="20"/>
    </row>
    <row r="39" spans="1:38" s="17" customFormat="1" x14ac:dyDescent="0.2">
      <c r="A39" s="326" t="s">
        <v>81</v>
      </c>
      <c r="B39" s="225" t="s">
        <v>85</v>
      </c>
      <c r="C39" s="225"/>
      <c r="D39" s="225"/>
      <c r="E39" s="225"/>
      <c r="F39" s="225"/>
      <c r="G39" s="325" t="s">
        <v>346</v>
      </c>
      <c r="H39" s="45"/>
      <c r="I39" s="50"/>
      <c r="J39" s="44"/>
      <c r="K39" s="44"/>
      <c r="L39" s="44"/>
      <c r="M39" s="44"/>
      <c r="N39" s="44"/>
      <c r="O39" s="44"/>
      <c r="P39" s="44"/>
      <c r="Q39" s="49">
        <f t="shared" si="16"/>
        <v>0</v>
      </c>
      <c r="R39" s="49">
        <f t="shared" si="2"/>
        <v>0</v>
      </c>
      <c r="S39" s="44"/>
      <c r="T39" s="44"/>
      <c r="U39" s="49">
        <f t="shared" si="17"/>
        <v>0</v>
      </c>
      <c r="V39" s="49">
        <f t="shared" si="4"/>
        <v>0</v>
      </c>
      <c r="W39" s="1"/>
      <c r="X39" s="1"/>
      <c r="Y39" s="1"/>
      <c r="Z39" s="1"/>
      <c r="AA39" s="1"/>
      <c r="AB39" s="1"/>
      <c r="AC39" s="1"/>
      <c r="AD39" s="1"/>
      <c r="AE39" s="1"/>
      <c r="AF39" s="1"/>
      <c r="AG39" s="20"/>
      <c r="AH39" s="20"/>
      <c r="AI39" s="20"/>
      <c r="AJ39" s="20"/>
      <c r="AK39" s="20"/>
      <c r="AL39" s="20"/>
    </row>
    <row r="40" spans="1:38" s="17" customFormat="1" x14ac:dyDescent="0.2">
      <c r="A40" s="324" t="s">
        <v>86</v>
      </c>
      <c r="B40" s="225"/>
      <c r="C40" s="225"/>
      <c r="D40" s="225"/>
      <c r="E40" s="225"/>
      <c r="F40" s="303"/>
      <c r="G40" s="325" t="s">
        <v>347</v>
      </c>
      <c r="H40" s="45"/>
      <c r="I40" s="43"/>
      <c r="J40" s="43"/>
      <c r="K40" s="43"/>
      <c r="L40" s="43"/>
      <c r="M40" s="43"/>
      <c r="N40" s="43"/>
      <c r="O40" s="43"/>
      <c r="P40" s="43"/>
      <c r="Q40" s="43"/>
      <c r="R40" s="43"/>
      <c r="S40" s="43"/>
      <c r="T40" s="43"/>
      <c r="U40" s="43"/>
      <c r="V40" s="43"/>
      <c r="W40" s="1"/>
      <c r="X40" s="1"/>
      <c r="Y40" s="1"/>
      <c r="Z40" s="1"/>
      <c r="AA40" s="1"/>
      <c r="AB40" s="1"/>
      <c r="AC40" s="1"/>
      <c r="AD40" s="1"/>
      <c r="AE40" s="1"/>
      <c r="AF40" s="1"/>
      <c r="AG40" s="20"/>
      <c r="AH40" s="20"/>
      <c r="AI40" s="20"/>
      <c r="AJ40" s="20"/>
      <c r="AK40" s="20"/>
      <c r="AL40" s="20"/>
    </row>
    <row r="41" spans="1:38" s="17" customFormat="1" x14ac:dyDescent="0.2">
      <c r="A41" s="325" t="s">
        <v>54</v>
      </c>
      <c r="B41" s="225" t="s">
        <v>87</v>
      </c>
      <c r="C41" s="225"/>
      <c r="D41" s="225"/>
      <c r="E41" s="225"/>
      <c r="F41" s="303"/>
      <c r="G41" s="325" t="s">
        <v>348</v>
      </c>
      <c r="H41" s="45"/>
      <c r="I41" s="43"/>
      <c r="J41" s="43"/>
      <c r="K41" s="43"/>
      <c r="L41" s="43"/>
      <c r="M41" s="43"/>
      <c r="N41" s="43"/>
      <c r="O41" s="43"/>
      <c r="P41" s="43"/>
      <c r="Q41" s="43"/>
      <c r="R41" s="43"/>
      <c r="S41" s="43"/>
      <c r="T41" s="43"/>
      <c r="U41" s="43"/>
      <c r="V41" s="43"/>
      <c r="W41" s="1"/>
      <c r="X41" s="1"/>
      <c r="Y41" s="1"/>
      <c r="Z41" s="1"/>
      <c r="AA41" s="1"/>
      <c r="AB41" s="1"/>
      <c r="AC41" s="1"/>
      <c r="AD41" s="1"/>
      <c r="AE41" s="1"/>
      <c r="AF41" s="1"/>
      <c r="AG41" s="20"/>
      <c r="AH41" s="20"/>
      <c r="AI41" s="20"/>
      <c r="AJ41" s="20"/>
      <c r="AK41" s="20"/>
      <c r="AL41" s="20"/>
    </row>
    <row r="42" spans="1:38" s="17" customFormat="1" x14ac:dyDescent="0.2">
      <c r="A42" s="325" t="s">
        <v>55</v>
      </c>
      <c r="B42" s="225" t="s">
        <v>88</v>
      </c>
      <c r="C42" s="225"/>
      <c r="D42" s="225"/>
      <c r="E42" s="225"/>
      <c r="F42" s="303"/>
      <c r="G42" s="325" t="s">
        <v>349</v>
      </c>
      <c r="H42" s="45"/>
      <c r="I42" s="43"/>
      <c r="J42" s="43"/>
      <c r="K42" s="43"/>
      <c r="L42" s="43"/>
      <c r="M42" s="43"/>
      <c r="N42" s="43"/>
      <c r="O42" s="43"/>
      <c r="P42" s="43"/>
      <c r="Q42" s="43"/>
      <c r="R42" s="43"/>
      <c r="S42" s="43"/>
      <c r="T42" s="43"/>
      <c r="U42" s="43"/>
      <c r="V42" s="43"/>
      <c r="W42" s="1"/>
      <c r="X42" s="1"/>
      <c r="Y42" s="1"/>
      <c r="Z42" s="1"/>
      <c r="AA42" s="1"/>
      <c r="AB42" s="1"/>
      <c r="AC42" s="1"/>
      <c r="AD42" s="1"/>
      <c r="AE42" s="1"/>
      <c r="AF42" s="1"/>
      <c r="AG42" s="20"/>
      <c r="AH42" s="20"/>
      <c r="AI42" s="20"/>
      <c r="AJ42" s="20"/>
      <c r="AK42" s="20"/>
      <c r="AL42" s="20"/>
    </row>
    <row r="43" spans="1:38" s="17" customFormat="1" x14ac:dyDescent="0.2">
      <c r="A43" s="325" t="s">
        <v>65</v>
      </c>
      <c r="B43" s="225" t="s">
        <v>89</v>
      </c>
      <c r="C43" s="225"/>
      <c r="D43" s="225"/>
      <c r="E43" s="225"/>
      <c r="F43" s="303"/>
      <c r="G43" s="325" t="s">
        <v>350</v>
      </c>
      <c r="H43" s="45"/>
      <c r="I43" s="43"/>
      <c r="J43" s="43"/>
      <c r="K43" s="43"/>
      <c r="L43" s="43"/>
      <c r="M43" s="43"/>
      <c r="N43" s="43"/>
      <c r="O43" s="43"/>
      <c r="P43" s="43"/>
      <c r="Q43" s="43"/>
      <c r="R43" s="43"/>
      <c r="S43" s="43"/>
      <c r="T43" s="43"/>
      <c r="U43" s="43"/>
      <c r="V43" s="43"/>
      <c r="W43" s="1"/>
      <c r="X43" s="1"/>
      <c r="Y43" s="1"/>
      <c r="Z43" s="1"/>
      <c r="AA43" s="1"/>
      <c r="AB43" s="1"/>
      <c r="AC43" s="1"/>
      <c r="AD43" s="1"/>
      <c r="AE43" s="1"/>
      <c r="AF43" s="1"/>
      <c r="AG43" s="20"/>
      <c r="AH43" s="20"/>
      <c r="AI43" s="20"/>
      <c r="AJ43" s="20"/>
      <c r="AK43" s="20"/>
      <c r="AL43" s="20"/>
    </row>
    <row r="44" spans="1:38" s="17" customFormat="1" x14ac:dyDescent="0.2">
      <c r="A44" s="325" t="s">
        <v>90</v>
      </c>
      <c r="B44" s="225" t="s">
        <v>91</v>
      </c>
      <c r="C44" s="225"/>
      <c r="D44" s="225"/>
      <c r="E44" s="225"/>
      <c r="F44" s="303"/>
      <c r="G44" s="325" t="s">
        <v>351</v>
      </c>
      <c r="H44" s="45"/>
      <c r="I44" s="62"/>
      <c r="J44" s="43"/>
      <c r="K44" s="43"/>
      <c r="L44" s="43"/>
      <c r="M44" s="43"/>
      <c r="N44" s="43"/>
      <c r="O44" s="43"/>
      <c r="P44" s="43"/>
      <c r="Q44" s="43"/>
      <c r="R44" s="43"/>
      <c r="S44" s="43"/>
      <c r="T44" s="43"/>
      <c r="U44" s="43"/>
      <c r="V44" s="43"/>
      <c r="W44" s="1"/>
      <c r="X44" s="1"/>
      <c r="Y44" s="1"/>
      <c r="Z44" s="1"/>
      <c r="AA44" s="1"/>
      <c r="AB44" s="1"/>
      <c r="AC44" s="1"/>
      <c r="AD44" s="1"/>
      <c r="AE44" s="1"/>
      <c r="AF44" s="1"/>
      <c r="AG44" s="20"/>
      <c r="AH44" s="20"/>
      <c r="AI44" s="20"/>
      <c r="AJ44" s="20"/>
      <c r="AK44" s="20"/>
      <c r="AL44" s="20"/>
    </row>
    <row r="45" spans="1:38" s="20" customFormat="1" x14ac:dyDescent="0.2">
      <c r="A45" s="643" t="s">
        <v>104</v>
      </c>
      <c r="B45" s="684"/>
      <c r="C45" s="684"/>
      <c r="D45" s="684"/>
      <c r="E45" s="684"/>
      <c r="F45" s="685"/>
      <c r="G45" s="342" t="s">
        <v>352</v>
      </c>
      <c r="H45" s="115"/>
      <c r="I45" s="206">
        <f t="shared" ref="I45:P45" si="21">I40+I10</f>
        <v>0</v>
      </c>
      <c r="J45" s="206">
        <f t="shared" si="21"/>
        <v>0</v>
      </c>
      <c r="K45" s="206">
        <f t="shared" si="21"/>
        <v>0</v>
      </c>
      <c r="L45" s="206">
        <f t="shared" si="21"/>
        <v>0</v>
      </c>
      <c r="M45" s="206">
        <f t="shared" si="21"/>
        <v>0</v>
      </c>
      <c r="N45" s="206">
        <f t="shared" si="21"/>
        <v>0</v>
      </c>
      <c r="O45" s="206">
        <f t="shared" si="21"/>
        <v>0</v>
      </c>
      <c r="P45" s="206">
        <f t="shared" si="21"/>
        <v>0</v>
      </c>
      <c r="Q45" s="49">
        <f>O45+M45+K45+I45</f>
        <v>0</v>
      </c>
      <c r="R45" s="49">
        <f>P45+N45+L45+J45</f>
        <v>0</v>
      </c>
      <c r="S45" s="206">
        <f>S40+S10</f>
        <v>0</v>
      </c>
      <c r="T45" s="206">
        <f>T40+T10</f>
        <v>0</v>
      </c>
      <c r="U45" s="49">
        <f>Q45-S45</f>
        <v>0</v>
      </c>
      <c r="V45" s="49">
        <f>R45-T45</f>
        <v>0</v>
      </c>
      <c r="W45" s="1"/>
      <c r="X45" s="1"/>
      <c r="Y45" s="1"/>
      <c r="Z45" s="1"/>
      <c r="AA45" s="1"/>
      <c r="AB45" s="1"/>
      <c r="AC45" s="1"/>
      <c r="AD45" s="1"/>
      <c r="AE45" s="1"/>
      <c r="AF45" s="1"/>
    </row>
    <row r="46" spans="1:38" s="20" customFormat="1" x14ac:dyDescent="0.2">
      <c r="A46" s="328" t="s">
        <v>644</v>
      </c>
      <c r="B46" s="329"/>
      <c r="C46" s="329"/>
      <c r="D46" s="330"/>
      <c r="E46" s="329"/>
      <c r="F46" s="331"/>
      <c r="G46" s="332"/>
      <c r="H46" s="115"/>
      <c r="I46" s="206"/>
      <c r="J46" s="206"/>
      <c r="K46" s="206"/>
      <c r="L46" s="206"/>
      <c r="M46" s="206"/>
      <c r="N46" s="206"/>
      <c r="O46" s="206"/>
      <c r="P46" s="206"/>
      <c r="Q46" s="49"/>
      <c r="R46" s="49"/>
      <c r="S46" s="206"/>
      <c r="T46" s="206"/>
      <c r="U46" s="49"/>
      <c r="V46" s="49"/>
      <c r="W46" s="1"/>
      <c r="X46" s="1"/>
      <c r="Y46" s="1"/>
      <c r="Z46" s="1"/>
      <c r="AA46" s="1"/>
      <c r="AB46" s="1"/>
      <c r="AC46" s="1"/>
      <c r="AD46" s="1"/>
      <c r="AE46" s="1"/>
      <c r="AF46" s="1"/>
    </row>
    <row r="47" spans="1:38" s="20" customFormat="1" x14ac:dyDescent="0.2">
      <c r="A47" s="333" t="s">
        <v>161</v>
      </c>
      <c r="B47" s="303" t="s">
        <v>68</v>
      </c>
      <c r="C47" s="303"/>
      <c r="D47" s="303"/>
      <c r="E47" s="303"/>
      <c r="F47" s="334"/>
      <c r="G47" s="335" t="s">
        <v>642</v>
      </c>
      <c r="H47" s="115"/>
      <c r="I47" s="50"/>
      <c r="J47" s="50"/>
      <c r="K47" s="50"/>
      <c r="L47" s="50"/>
      <c r="M47" s="50"/>
      <c r="N47" s="50"/>
      <c r="O47" s="50"/>
      <c r="P47" s="50"/>
      <c r="Q47" s="49">
        <f>O47+M47+K47+I47</f>
        <v>0</v>
      </c>
      <c r="R47" s="49">
        <f>P47+N47+L47+J47</f>
        <v>0</v>
      </c>
      <c r="S47" s="50"/>
      <c r="T47" s="50"/>
      <c r="U47" s="49">
        <f>Q47-S47</f>
        <v>0</v>
      </c>
      <c r="V47" s="49">
        <f>R47-T47</f>
        <v>0</v>
      </c>
      <c r="W47" s="1"/>
      <c r="X47" s="1"/>
      <c r="Y47" s="1"/>
      <c r="Z47" s="1"/>
      <c r="AA47" s="1"/>
      <c r="AB47" s="1"/>
      <c r="AC47" s="1"/>
      <c r="AD47" s="1"/>
      <c r="AE47" s="1"/>
      <c r="AF47" s="1"/>
    </row>
    <row r="48" spans="1:38" s="20" customFormat="1" x14ac:dyDescent="0.2">
      <c r="A48" s="333" t="s">
        <v>164</v>
      </c>
      <c r="B48" s="303" t="s">
        <v>70</v>
      </c>
      <c r="C48" s="303"/>
      <c r="D48" s="303"/>
      <c r="E48" s="303"/>
      <c r="F48" s="334"/>
      <c r="G48" s="335" t="s">
        <v>643</v>
      </c>
      <c r="H48" s="115"/>
      <c r="I48" s="50"/>
      <c r="J48" s="50"/>
      <c r="K48" s="50"/>
      <c r="L48" s="50"/>
      <c r="M48" s="50"/>
      <c r="N48" s="50"/>
      <c r="O48" s="50"/>
      <c r="P48" s="50"/>
      <c r="Q48" s="49">
        <f>O48+M48+K48+I48</f>
        <v>0</v>
      </c>
      <c r="R48" s="49">
        <f>P48+N48+L48+J48</f>
        <v>0</v>
      </c>
      <c r="S48" s="50"/>
      <c r="T48" s="50"/>
      <c r="U48" s="49">
        <f>Q48-S48</f>
        <v>0</v>
      </c>
      <c r="V48" s="49">
        <f>R48-T48</f>
        <v>0</v>
      </c>
      <c r="W48" s="1"/>
      <c r="X48" s="1"/>
      <c r="Y48" s="1"/>
      <c r="Z48" s="1"/>
      <c r="AA48" s="1"/>
      <c r="AB48" s="1"/>
      <c r="AC48" s="1"/>
      <c r="AD48" s="1"/>
      <c r="AE48" s="1"/>
      <c r="AF48" s="1"/>
    </row>
    <row r="49" spans="1:32" s="17" customFormat="1" x14ac:dyDescent="0.2">
      <c r="A49" s="324" t="s">
        <v>177</v>
      </c>
      <c r="B49" s="225"/>
      <c r="C49" s="303"/>
      <c r="D49" s="303"/>
      <c r="E49" s="303"/>
      <c r="F49" s="303"/>
      <c r="G49" s="363"/>
      <c r="H49" s="113"/>
      <c r="I49" s="114"/>
      <c r="J49" s="114"/>
      <c r="K49" s="114"/>
      <c r="L49" s="114"/>
      <c r="M49" s="114"/>
      <c r="N49" s="114"/>
      <c r="O49" s="114"/>
      <c r="P49" s="114"/>
      <c r="Q49" s="106"/>
      <c r="R49" s="106"/>
      <c r="S49" s="114"/>
      <c r="T49" s="114"/>
      <c r="U49" s="106"/>
      <c r="V49" s="106"/>
      <c r="W49" s="16"/>
      <c r="X49" s="16"/>
      <c r="Y49" s="16"/>
      <c r="Z49" s="16"/>
      <c r="AA49" s="16"/>
      <c r="AB49" s="16"/>
      <c r="AC49" s="16"/>
      <c r="AD49" s="16"/>
      <c r="AE49" s="16"/>
      <c r="AF49" s="16"/>
    </row>
    <row r="50" spans="1:32" s="17" customFormat="1" ht="12.75" x14ac:dyDescent="0.2">
      <c r="A50" s="342" t="s">
        <v>54</v>
      </c>
      <c r="B50" s="364" t="s">
        <v>304</v>
      </c>
      <c r="C50" s="303"/>
      <c r="D50" s="303"/>
      <c r="E50" s="303"/>
      <c r="F50" s="303"/>
      <c r="G50" s="342" t="s">
        <v>353</v>
      </c>
      <c r="H50" s="80"/>
      <c r="I50" s="49">
        <f t="shared" ref="I50:P50" si="22">I51+I57</f>
        <v>0</v>
      </c>
      <c r="J50" s="49">
        <f t="shared" si="22"/>
        <v>0</v>
      </c>
      <c r="K50" s="49">
        <f t="shared" si="22"/>
        <v>0</v>
      </c>
      <c r="L50" s="49">
        <f t="shared" si="22"/>
        <v>0</v>
      </c>
      <c r="M50" s="49">
        <f t="shared" si="22"/>
        <v>0</v>
      </c>
      <c r="N50" s="49">
        <f t="shared" si="22"/>
        <v>0</v>
      </c>
      <c r="O50" s="49">
        <f t="shared" si="22"/>
        <v>0</v>
      </c>
      <c r="P50" s="49">
        <f t="shared" si="22"/>
        <v>0</v>
      </c>
      <c r="Q50" s="49">
        <f t="shared" ref="Q50:Q82" si="23">O50+M50+K50+I50</f>
        <v>0</v>
      </c>
      <c r="R50" s="49">
        <f t="shared" ref="R50:R82" si="24">P50+N50+L50+J50</f>
        <v>0</v>
      </c>
      <c r="S50" s="49">
        <f>S51+S57</f>
        <v>0</v>
      </c>
      <c r="T50" s="49">
        <f>T51+T57</f>
        <v>0</v>
      </c>
      <c r="U50" s="49">
        <f t="shared" ref="U50:U81" si="25">Q50-S50</f>
        <v>0</v>
      </c>
      <c r="V50" s="49">
        <f t="shared" ref="V50:V81" si="26">R50-T50</f>
        <v>0</v>
      </c>
      <c r="W50" s="16"/>
      <c r="X50" s="16"/>
      <c r="Y50" s="16"/>
      <c r="Z50" s="16"/>
      <c r="AA50" s="16"/>
      <c r="AB50" s="16"/>
      <c r="AC50" s="16"/>
      <c r="AD50" s="16"/>
      <c r="AE50" s="16"/>
      <c r="AF50" s="16"/>
    </row>
    <row r="51" spans="1:32" s="17" customFormat="1" ht="12.75" x14ac:dyDescent="0.2">
      <c r="A51" s="363"/>
      <c r="B51" s="225" t="s">
        <v>59</v>
      </c>
      <c r="C51" s="303" t="s">
        <v>305</v>
      </c>
      <c r="D51" s="303"/>
      <c r="E51" s="303"/>
      <c r="F51" s="303"/>
      <c r="G51" s="342" t="s">
        <v>354</v>
      </c>
      <c r="H51" s="80"/>
      <c r="I51" s="49">
        <f t="shared" ref="I51:P51" si="27">I52+I53+I54+I55+I56</f>
        <v>0</v>
      </c>
      <c r="J51" s="49">
        <f t="shared" si="27"/>
        <v>0</v>
      </c>
      <c r="K51" s="49">
        <f t="shared" si="27"/>
        <v>0</v>
      </c>
      <c r="L51" s="49">
        <f t="shared" si="27"/>
        <v>0</v>
      </c>
      <c r="M51" s="49">
        <f t="shared" si="27"/>
        <v>0</v>
      </c>
      <c r="N51" s="49">
        <f t="shared" si="27"/>
        <v>0</v>
      </c>
      <c r="O51" s="49">
        <f t="shared" si="27"/>
        <v>0</v>
      </c>
      <c r="P51" s="49">
        <f t="shared" si="27"/>
        <v>0</v>
      </c>
      <c r="Q51" s="49">
        <f t="shared" si="23"/>
        <v>0</v>
      </c>
      <c r="R51" s="49">
        <f t="shared" si="24"/>
        <v>0</v>
      </c>
      <c r="S51" s="49">
        <f>S52+S53+S54+S55+S56</f>
        <v>0</v>
      </c>
      <c r="T51" s="49">
        <f>T52+T53+T54+T55+T56</f>
        <v>0</v>
      </c>
      <c r="U51" s="49">
        <f t="shared" si="25"/>
        <v>0</v>
      </c>
      <c r="V51" s="49">
        <f t="shared" si="26"/>
        <v>0</v>
      </c>
      <c r="W51" s="16"/>
      <c r="X51" s="16"/>
      <c r="Y51" s="16"/>
      <c r="Z51" s="16"/>
      <c r="AA51" s="16"/>
      <c r="AB51" s="16"/>
      <c r="AC51" s="16"/>
      <c r="AD51" s="16"/>
      <c r="AE51" s="16"/>
      <c r="AF51" s="16"/>
    </row>
    <row r="52" spans="1:32" s="17" customFormat="1" ht="12.75" x14ac:dyDescent="0.2">
      <c r="A52" s="363"/>
      <c r="B52" s="225"/>
      <c r="C52" s="303" t="s">
        <v>306</v>
      </c>
      <c r="D52" s="303" t="s">
        <v>307</v>
      </c>
      <c r="E52" s="303"/>
      <c r="F52" s="303"/>
      <c r="G52" s="342" t="s">
        <v>355</v>
      </c>
      <c r="H52" s="80"/>
      <c r="I52" s="50"/>
      <c r="J52" s="50"/>
      <c r="K52" s="50"/>
      <c r="L52" s="50"/>
      <c r="M52" s="50"/>
      <c r="N52" s="50"/>
      <c r="O52" s="50"/>
      <c r="P52" s="50"/>
      <c r="Q52" s="49">
        <f t="shared" si="23"/>
        <v>0</v>
      </c>
      <c r="R52" s="49">
        <f t="shared" si="24"/>
        <v>0</v>
      </c>
      <c r="S52" s="50"/>
      <c r="T52" s="50"/>
      <c r="U52" s="49">
        <f t="shared" si="25"/>
        <v>0</v>
      </c>
      <c r="V52" s="49">
        <f t="shared" si="26"/>
        <v>0</v>
      </c>
      <c r="W52" s="16"/>
      <c r="X52" s="16"/>
      <c r="Y52" s="16"/>
      <c r="Z52" s="16"/>
      <c r="AA52" s="16"/>
      <c r="AB52" s="16"/>
      <c r="AC52" s="16"/>
      <c r="AD52" s="16"/>
      <c r="AE52" s="16"/>
      <c r="AF52" s="16"/>
    </row>
    <row r="53" spans="1:32" s="17" customFormat="1" ht="12.75" x14ac:dyDescent="0.2">
      <c r="A53" s="363"/>
      <c r="B53" s="225"/>
      <c r="C53" s="303" t="s">
        <v>308</v>
      </c>
      <c r="D53" s="303" t="s">
        <v>309</v>
      </c>
      <c r="E53" s="303"/>
      <c r="F53" s="303"/>
      <c r="G53" s="342" t="s">
        <v>356</v>
      </c>
      <c r="H53" s="80"/>
      <c r="I53" s="50"/>
      <c r="J53" s="50"/>
      <c r="K53" s="50"/>
      <c r="L53" s="50"/>
      <c r="M53" s="50"/>
      <c r="N53" s="50"/>
      <c r="O53" s="50"/>
      <c r="P53" s="50"/>
      <c r="Q53" s="49">
        <f t="shared" si="23"/>
        <v>0</v>
      </c>
      <c r="R53" s="49">
        <f t="shared" si="24"/>
        <v>0</v>
      </c>
      <c r="S53" s="50"/>
      <c r="T53" s="50"/>
      <c r="U53" s="49">
        <f t="shared" si="25"/>
        <v>0</v>
      </c>
      <c r="V53" s="49">
        <f t="shared" si="26"/>
        <v>0</v>
      </c>
      <c r="W53" s="16"/>
      <c r="X53" s="16"/>
      <c r="Y53" s="16"/>
      <c r="Z53" s="16"/>
      <c r="AA53" s="16"/>
      <c r="AB53" s="16"/>
      <c r="AC53" s="16"/>
      <c r="AD53" s="16"/>
      <c r="AE53" s="16"/>
      <c r="AF53" s="16"/>
    </row>
    <row r="54" spans="1:32" s="17" customFormat="1" ht="12.75" x14ac:dyDescent="0.2">
      <c r="A54" s="363"/>
      <c r="B54" s="225"/>
      <c r="C54" s="347" t="s">
        <v>310</v>
      </c>
      <c r="D54" s="354" t="s">
        <v>624</v>
      </c>
      <c r="E54" s="355"/>
      <c r="F54" s="347"/>
      <c r="G54" s="338" t="s">
        <v>625</v>
      </c>
      <c r="H54" s="80"/>
      <c r="I54" s="50"/>
      <c r="J54" s="50"/>
      <c r="K54" s="50"/>
      <c r="L54" s="50"/>
      <c r="M54" s="50"/>
      <c r="N54" s="50"/>
      <c r="O54" s="50"/>
      <c r="P54" s="50"/>
      <c r="Q54" s="49">
        <f>O54+M54+K54+I54</f>
        <v>0</v>
      </c>
      <c r="R54" s="49">
        <f>P54+N54+L54+J54</f>
        <v>0</v>
      </c>
      <c r="S54" s="50"/>
      <c r="T54" s="50"/>
      <c r="U54" s="49">
        <f>Q54-S54</f>
        <v>0</v>
      </c>
      <c r="V54" s="49">
        <f>R54-T54</f>
        <v>0</v>
      </c>
      <c r="W54" s="16"/>
      <c r="X54" s="16"/>
      <c r="Y54" s="16"/>
      <c r="Z54" s="16"/>
      <c r="AA54" s="16"/>
      <c r="AB54" s="16"/>
      <c r="AC54" s="16"/>
      <c r="AD54" s="16"/>
      <c r="AE54" s="16"/>
      <c r="AF54" s="16"/>
    </row>
    <row r="55" spans="1:32" s="17" customFormat="1" ht="12.75" x14ac:dyDescent="0.2">
      <c r="A55" s="363"/>
      <c r="B55" s="225"/>
      <c r="C55" s="356" t="s">
        <v>626</v>
      </c>
      <c r="D55" s="357" t="s">
        <v>681</v>
      </c>
      <c r="E55" s="357"/>
      <c r="F55" s="347"/>
      <c r="G55" s="338" t="s">
        <v>682</v>
      </c>
      <c r="H55" s="80"/>
      <c r="I55" s="50"/>
      <c r="J55" s="50"/>
      <c r="K55" s="50"/>
      <c r="L55" s="50"/>
      <c r="M55" s="50"/>
      <c r="N55" s="50"/>
      <c r="O55" s="50"/>
      <c r="P55" s="50"/>
      <c r="Q55" s="49">
        <f>O55+M55+K55+I55</f>
        <v>0</v>
      </c>
      <c r="R55" s="49">
        <f>P55+N55+L55+J55</f>
        <v>0</v>
      </c>
      <c r="S55" s="50"/>
      <c r="T55" s="50"/>
      <c r="U55" s="49">
        <f>Q55-S55</f>
        <v>0</v>
      </c>
      <c r="V55" s="49">
        <f>R55-T55</f>
        <v>0</v>
      </c>
      <c r="W55" s="16"/>
      <c r="X55" s="16"/>
      <c r="Y55" s="16"/>
      <c r="Z55" s="16"/>
      <c r="AA55" s="16"/>
      <c r="AB55" s="16"/>
      <c r="AC55" s="16"/>
      <c r="AD55" s="16"/>
      <c r="AE55" s="16"/>
      <c r="AF55" s="16"/>
    </row>
    <row r="56" spans="1:32" s="17" customFormat="1" ht="12.75" x14ac:dyDescent="0.2">
      <c r="A56" s="363"/>
      <c r="B56" s="225"/>
      <c r="C56" s="303" t="s">
        <v>680</v>
      </c>
      <c r="D56" s="303" t="s">
        <v>311</v>
      </c>
      <c r="E56" s="303"/>
      <c r="F56" s="303"/>
      <c r="G56" s="342" t="s">
        <v>357</v>
      </c>
      <c r="H56" s="80"/>
      <c r="I56" s="50"/>
      <c r="J56" s="50"/>
      <c r="K56" s="50"/>
      <c r="L56" s="50"/>
      <c r="M56" s="50"/>
      <c r="N56" s="50"/>
      <c r="O56" s="50"/>
      <c r="P56" s="50"/>
      <c r="Q56" s="49">
        <f t="shared" si="23"/>
        <v>0</v>
      </c>
      <c r="R56" s="49">
        <f t="shared" si="24"/>
        <v>0</v>
      </c>
      <c r="S56" s="50"/>
      <c r="T56" s="50"/>
      <c r="U56" s="49">
        <f t="shared" si="25"/>
        <v>0</v>
      </c>
      <c r="V56" s="49">
        <f t="shared" si="26"/>
        <v>0</v>
      </c>
      <c r="W56" s="16"/>
      <c r="X56" s="16"/>
      <c r="Y56" s="16"/>
      <c r="Z56" s="16"/>
      <c r="AA56" s="16"/>
      <c r="AB56" s="16"/>
      <c r="AC56" s="16"/>
      <c r="AD56" s="16"/>
      <c r="AE56" s="16"/>
      <c r="AF56" s="16"/>
    </row>
    <row r="57" spans="1:32" s="17" customFormat="1" ht="12.75" x14ac:dyDescent="0.2">
      <c r="A57" s="363"/>
      <c r="B57" s="225" t="s">
        <v>61</v>
      </c>
      <c r="C57" s="303" t="s">
        <v>312</v>
      </c>
      <c r="D57" s="303"/>
      <c r="E57" s="303"/>
      <c r="F57" s="303"/>
      <c r="G57" s="342" t="s">
        <v>358</v>
      </c>
      <c r="H57" s="80"/>
      <c r="I57" s="50"/>
      <c r="J57" s="50"/>
      <c r="K57" s="50"/>
      <c r="L57" s="50"/>
      <c r="M57" s="50"/>
      <c r="N57" s="50"/>
      <c r="O57" s="50"/>
      <c r="P57" s="50"/>
      <c r="Q57" s="49">
        <f t="shared" si="23"/>
        <v>0</v>
      </c>
      <c r="R57" s="49">
        <f t="shared" si="24"/>
        <v>0</v>
      </c>
      <c r="S57" s="50"/>
      <c r="T57" s="50"/>
      <c r="U57" s="49">
        <f t="shared" si="25"/>
        <v>0</v>
      </c>
      <c r="V57" s="49">
        <f t="shared" si="26"/>
        <v>0</v>
      </c>
      <c r="W57" s="16"/>
      <c r="X57" s="16"/>
      <c r="Y57" s="16"/>
      <c r="Z57" s="16"/>
      <c r="AA57" s="16"/>
      <c r="AB57" s="16"/>
      <c r="AC57" s="16"/>
      <c r="AD57" s="16"/>
      <c r="AE57" s="16"/>
      <c r="AF57" s="16"/>
    </row>
    <row r="58" spans="1:32" s="17" customFormat="1" ht="12.75" x14ac:dyDescent="0.2">
      <c r="A58" s="363"/>
      <c r="B58" s="225" t="s">
        <v>71</v>
      </c>
      <c r="C58" s="303" t="s">
        <v>683</v>
      </c>
      <c r="D58" s="303"/>
      <c r="E58" s="303"/>
      <c r="F58" s="303"/>
      <c r="G58" s="342" t="s">
        <v>684</v>
      </c>
      <c r="H58" s="80"/>
      <c r="I58" s="50"/>
      <c r="J58" s="50"/>
      <c r="K58" s="50"/>
      <c r="L58" s="50"/>
      <c r="M58" s="50"/>
      <c r="N58" s="50"/>
      <c r="O58" s="50"/>
      <c r="P58" s="50"/>
      <c r="Q58" s="49">
        <f t="shared" si="23"/>
        <v>0</v>
      </c>
      <c r="R58" s="49">
        <f t="shared" si="24"/>
        <v>0</v>
      </c>
      <c r="S58" s="50"/>
      <c r="T58" s="50"/>
      <c r="U58" s="49">
        <f t="shared" si="25"/>
        <v>0</v>
      </c>
      <c r="V58" s="49">
        <f t="shared" si="26"/>
        <v>0</v>
      </c>
      <c r="W58" s="16"/>
      <c r="X58" s="16"/>
      <c r="Y58" s="16"/>
      <c r="Z58" s="16"/>
      <c r="AA58" s="16"/>
      <c r="AB58" s="16"/>
      <c r="AC58" s="16"/>
      <c r="AD58" s="16"/>
      <c r="AE58" s="16"/>
      <c r="AF58" s="16"/>
    </row>
    <row r="59" spans="1:32" s="17" customFormat="1" ht="12.75" x14ac:dyDescent="0.2">
      <c r="A59" s="342" t="s">
        <v>55</v>
      </c>
      <c r="B59" s="225" t="s">
        <v>313</v>
      </c>
      <c r="C59" s="303"/>
      <c r="D59" s="303"/>
      <c r="E59" s="303"/>
      <c r="F59" s="303"/>
      <c r="G59" s="342" t="s">
        <v>359</v>
      </c>
      <c r="H59" s="80"/>
      <c r="I59" s="49">
        <f t="shared" ref="I59:P59" si="28">I60+I65</f>
        <v>0</v>
      </c>
      <c r="J59" s="49">
        <f t="shared" si="28"/>
        <v>0</v>
      </c>
      <c r="K59" s="49">
        <f t="shared" si="28"/>
        <v>0</v>
      </c>
      <c r="L59" s="49">
        <f t="shared" si="28"/>
        <v>0</v>
      </c>
      <c r="M59" s="49">
        <f t="shared" si="28"/>
        <v>0</v>
      </c>
      <c r="N59" s="49">
        <f t="shared" si="28"/>
        <v>0</v>
      </c>
      <c r="O59" s="49">
        <f t="shared" si="28"/>
        <v>0</v>
      </c>
      <c r="P59" s="49">
        <f t="shared" si="28"/>
        <v>0</v>
      </c>
      <c r="Q59" s="49">
        <f t="shared" si="23"/>
        <v>0</v>
      </c>
      <c r="R59" s="49">
        <f t="shared" si="24"/>
        <v>0</v>
      </c>
      <c r="S59" s="49">
        <f>S60+S65</f>
        <v>0</v>
      </c>
      <c r="T59" s="49">
        <f>T60+T65</f>
        <v>0</v>
      </c>
      <c r="U59" s="49">
        <f t="shared" si="25"/>
        <v>0</v>
      </c>
      <c r="V59" s="49">
        <f t="shared" si="26"/>
        <v>0</v>
      </c>
      <c r="W59" s="16"/>
      <c r="X59" s="16"/>
      <c r="Y59" s="16"/>
      <c r="Z59" s="16"/>
      <c r="AA59" s="16"/>
      <c r="AB59" s="16"/>
      <c r="AC59" s="16"/>
      <c r="AD59" s="16"/>
      <c r="AE59" s="16"/>
      <c r="AF59" s="16"/>
    </row>
    <row r="60" spans="1:32" s="17" customFormat="1" ht="12.75" x14ac:dyDescent="0.2">
      <c r="A60" s="363"/>
      <c r="B60" s="225" t="s">
        <v>59</v>
      </c>
      <c r="C60" s="303" t="s">
        <v>305</v>
      </c>
      <c r="D60" s="303"/>
      <c r="E60" s="303"/>
      <c r="F60" s="303"/>
      <c r="G60" s="342" t="s">
        <v>360</v>
      </c>
      <c r="H60" s="80"/>
      <c r="I60" s="49">
        <f>I61+I62+I63+I64</f>
        <v>0</v>
      </c>
      <c r="J60" s="49">
        <f t="shared" ref="J60:P60" si="29">J61+J62+J63+J64</f>
        <v>0</v>
      </c>
      <c r="K60" s="49">
        <f t="shared" si="29"/>
        <v>0</v>
      </c>
      <c r="L60" s="49">
        <f t="shared" si="29"/>
        <v>0</v>
      </c>
      <c r="M60" s="49">
        <f t="shared" si="29"/>
        <v>0</v>
      </c>
      <c r="N60" s="49">
        <f t="shared" si="29"/>
        <v>0</v>
      </c>
      <c r="O60" s="49">
        <f t="shared" si="29"/>
        <v>0</v>
      </c>
      <c r="P60" s="49">
        <f t="shared" si="29"/>
        <v>0</v>
      </c>
      <c r="Q60" s="49">
        <f t="shared" si="23"/>
        <v>0</v>
      </c>
      <c r="R60" s="49">
        <f t="shared" si="24"/>
        <v>0</v>
      </c>
      <c r="S60" s="49">
        <f>S61+S62+S63+S64</f>
        <v>0</v>
      </c>
      <c r="T60" s="49">
        <f>T61+T62+T63+T64</f>
        <v>0</v>
      </c>
      <c r="U60" s="49">
        <f t="shared" si="25"/>
        <v>0</v>
      </c>
      <c r="V60" s="49">
        <f t="shared" si="26"/>
        <v>0</v>
      </c>
      <c r="W60" s="16"/>
      <c r="X60" s="16"/>
      <c r="Y60" s="16"/>
      <c r="Z60" s="16"/>
      <c r="AA60" s="16"/>
      <c r="AB60" s="16"/>
      <c r="AC60" s="16"/>
      <c r="AD60" s="16"/>
      <c r="AE60" s="16"/>
      <c r="AF60" s="16"/>
    </row>
    <row r="61" spans="1:32" s="17" customFormat="1" ht="12.75" x14ac:dyDescent="0.2">
      <c r="A61" s="363"/>
      <c r="B61" s="225"/>
      <c r="C61" s="303" t="s">
        <v>306</v>
      </c>
      <c r="D61" s="303" t="s">
        <v>307</v>
      </c>
      <c r="E61" s="303"/>
      <c r="F61" s="303"/>
      <c r="G61" s="342" t="s">
        <v>361</v>
      </c>
      <c r="H61" s="80"/>
      <c r="I61" s="50"/>
      <c r="J61" s="50"/>
      <c r="K61" s="50"/>
      <c r="L61" s="50"/>
      <c r="M61" s="50"/>
      <c r="N61" s="50"/>
      <c r="O61" s="50"/>
      <c r="P61" s="50"/>
      <c r="Q61" s="49">
        <f t="shared" si="23"/>
        <v>0</v>
      </c>
      <c r="R61" s="49">
        <f t="shared" si="24"/>
        <v>0</v>
      </c>
      <c r="S61" s="50"/>
      <c r="T61" s="50"/>
      <c r="U61" s="49">
        <f t="shared" si="25"/>
        <v>0</v>
      </c>
      <c r="V61" s="49">
        <f t="shared" si="26"/>
        <v>0</v>
      </c>
      <c r="W61" s="16"/>
      <c r="X61" s="16"/>
      <c r="Y61" s="16"/>
      <c r="Z61" s="16"/>
      <c r="AA61" s="16"/>
      <c r="AB61" s="16"/>
      <c r="AC61" s="16"/>
      <c r="AD61" s="16"/>
      <c r="AE61" s="16"/>
      <c r="AF61" s="16"/>
    </row>
    <row r="62" spans="1:32" s="17" customFormat="1" ht="12.75" x14ac:dyDescent="0.2">
      <c r="A62" s="363"/>
      <c r="B62" s="225"/>
      <c r="C62" s="303" t="s">
        <v>308</v>
      </c>
      <c r="D62" s="303" t="s">
        <v>309</v>
      </c>
      <c r="E62" s="303"/>
      <c r="F62" s="303"/>
      <c r="G62" s="342" t="s">
        <v>362</v>
      </c>
      <c r="H62" s="80"/>
      <c r="I62" s="44"/>
      <c r="J62" s="44"/>
      <c r="K62" s="44"/>
      <c r="L62" s="44"/>
      <c r="M62" s="44"/>
      <c r="N62" s="44"/>
      <c r="O62" s="44"/>
      <c r="P62" s="44"/>
      <c r="Q62" s="49">
        <f t="shared" si="23"/>
        <v>0</v>
      </c>
      <c r="R62" s="49">
        <f t="shared" si="24"/>
        <v>0</v>
      </c>
      <c r="S62" s="44"/>
      <c r="T62" s="44"/>
      <c r="U62" s="49">
        <f t="shared" si="25"/>
        <v>0</v>
      </c>
      <c r="V62" s="49">
        <f t="shared" si="26"/>
        <v>0</v>
      </c>
      <c r="W62" s="16"/>
      <c r="X62" s="16"/>
      <c r="Y62" s="16"/>
      <c r="Z62" s="16"/>
      <c r="AA62" s="16"/>
      <c r="AB62" s="16"/>
      <c r="AC62" s="16"/>
      <c r="AD62" s="16"/>
      <c r="AE62" s="16"/>
      <c r="AF62" s="16"/>
    </row>
    <row r="63" spans="1:32" s="17" customFormat="1" ht="12.75" x14ac:dyDescent="0.2">
      <c r="A63" s="363"/>
      <c r="B63" s="225"/>
      <c r="C63" s="357" t="s">
        <v>310</v>
      </c>
      <c r="D63" s="357" t="s">
        <v>624</v>
      </c>
      <c r="E63" s="357"/>
      <c r="F63" s="347"/>
      <c r="G63" s="338" t="s">
        <v>627</v>
      </c>
      <c r="H63" s="80"/>
      <c r="I63" s="44"/>
      <c r="J63" s="44"/>
      <c r="K63" s="44"/>
      <c r="L63" s="44"/>
      <c r="M63" s="44"/>
      <c r="N63" s="44"/>
      <c r="O63" s="44"/>
      <c r="P63" s="44"/>
      <c r="Q63" s="49">
        <f>O63+M63+K63+I63</f>
        <v>0</v>
      </c>
      <c r="R63" s="49">
        <f>P63+N63+L63+J63</f>
        <v>0</v>
      </c>
      <c r="S63" s="44"/>
      <c r="T63" s="44"/>
      <c r="U63" s="49">
        <f>Q63-S63</f>
        <v>0</v>
      </c>
      <c r="V63" s="49">
        <f>R63-T63</f>
        <v>0</v>
      </c>
      <c r="W63" s="16"/>
      <c r="X63" s="16"/>
      <c r="Y63" s="16"/>
      <c r="Z63" s="16"/>
      <c r="AA63" s="16"/>
      <c r="AB63" s="16"/>
      <c r="AC63" s="16"/>
      <c r="AD63" s="16"/>
      <c r="AE63" s="16"/>
      <c r="AF63" s="16"/>
    </row>
    <row r="64" spans="1:32" s="17" customFormat="1" ht="12.75" x14ac:dyDescent="0.2">
      <c r="A64" s="363"/>
      <c r="B64" s="225"/>
      <c r="C64" s="303" t="s">
        <v>626</v>
      </c>
      <c r="D64" s="303" t="s">
        <v>311</v>
      </c>
      <c r="E64" s="303"/>
      <c r="F64" s="303"/>
      <c r="G64" s="342" t="s">
        <v>363</v>
      </c>
      <c r="H64" s="80"/>
      <c r="I64" s="44"/>
      <c r="J64" s="44"/>
      <c r="K64" s="44"/>
      <c r="L64" s="44"/>
      <c r="M64" s="44"/>
      <c r="N64" s="44"/>
      <c r="O64" s="44"/>
      <c r="P64" s="44"/>
      <c r="Q64" s="49">
        <f t="shared" si="23"/>
        <v>0</v>
      </c>
      <c r="R64" s="49">
        <f t="shared" si="24"/>
        <v>0</v>
      </c>
      <c r="S64" s="44"/>
      <c r="T64" s="44"/>
      <c r="U64" s="49">
        <f t="shared" si="25"/>
        <v>0</v>
      </c>
      <c r="V64" s="49">
        <f t="shared" si="26"/>
        <v>0</v>
      </c>
      <c r="W64" s="16"/>
      <c r="X64" s="16"/>
      <c r="Y64" s="16"/>
      <c r="Z64" s="16"/>
      <c r="AA64" s="16"/>
      <c r="AB64" s="16"/>
      <c r="AC64" s="16"/>
      <c r="AD64" s="16"/>
      <c r="AE64" s="16"/>
      <c r="AF64" s="16"/>
    </row>
    <row r="65" spans="1:32" s="17" customFormat="1" ht="12.75" x14ac:dyDescent="0.2">
      <c r="A65" s="363"/>
      <c r="B65" s="225" t="s">
        <v>61</v>
      </c>
      <c r="C65" s="303" t="s">
        <v>312</v>
      </c>
      <c r="D65" s="303"/>
      <c r="E65" s="303"/>
      <c r="F65" s="303"/>
      <c r="G65" s="342" t="s">
        <v>364</v>
      </c>
      <c r="H65" s="80"/>
      <c r="I65" s="44"/>
      <c r="J65" s="44"/>
      <c r="K65" s="44"/>
      <c r="L65" s="44"/>
      <c r="M65" s="44"/>
      <c r="N65" s="44"/>
      <c r="O65" s="44"/>
      <c r="P65" s="44"/>
      <c r="Q65" s="49">
        <f t="shared" si="23"/>
        <v>0</v>
      </c>
      <c r="R65" s="49">
        <f t="shared" si="24"/>
        <v>0</v>
      </c>
      <c r="S65" s="44"/>
      <c r="T65" s="44"/>
      <c r="U65" s="49">
        <f t="shared" si="25"/>
        <v>0</v>
      </c>
      <c r="V65" s="49">
        <f t="shared" si="26"/>
        <v>0</v>
      </c>
      <c r="W65" s="16"/>
      <c r="X65" s="16"/>
      <c r="Y65" s="16"/>
      <c r="Z65" s="16"/>
      <c r="AA65" s="16"/>
      <c r="AB65" s="16"/>
      <c r="AC65" s="16"/>
      <c r="AD65" s="16"/>
      <c r="AE65" s="16"/>
      <c r="AF65" s="16"/>
    </row>
    <row r="66" spans="1:32" s="17" customFormat="1" ht="12.75" x14ac:dyDescent="0.2">
      <c r="A66" s="342" t="s">
        <v>65</v>
      </c>
      <c r="B66" s="225" t="s">
        <v>314</v>
      </c>
      <c r="C66" s="303"/>
      <c r="D66" s="303"/>
      <c r="E66" s="303"/>
      <c r="F66" s="303"/>
      <c r="G66" s="342" t="s">
        <v>365</v>
      </c>
      <c r="H66" s="80"/>
      <c r="I66" s="41">
        <f>I67+I72+I73</f>
        <v>0</v>
      </c>
      <c r="J66" s="41">
        <f t="shared" ref="J66:P66" si="30">J67+J72+J73</f>
        <v>0</v>
      </c>
      <c r="K66" s="41">
        <f t="shared" si="30"/>
        <v>0</v>
      </c>
      <c r="L66" s="41">
        <f t="shared" si="30"/>
        <v>0</v>
      </c>
      <c r="M66" s="41">
        <f t="shared" si="30"/>
        <v>0</v>
      </c>
      <c r="N66" s="41">
        <f t="shared" si="30"/>
        <v>0</v>
      </c>
      <c r="O66" s="41">
        <f t="shared" si="30"/>
        <v>0</v>
      </c>
      <c r="P66" s="41">
        <f t="shared" si="30"/>
        <v>0</v>
      </c>
      <c r="Q66" s="49">
        <f t="shared" si="23"/>
        <v>0</v>
      </c>
      <c r="R66" s="49">
        <f t="shared" si="24"/>
        <v>0</v>
      </c>
      <c r="S66" s="41">
        <f>S67+S72+S73</f>
        <v>0</v>
      </c>
      <c r="T66" s="41">
        <f>T67+T72+T73</f>
        <v>0</v>
      </c>
      <c r="U66" s="49">
        <f t="shared" si="25"/>
        <v>0</v>
      </c>
      <c r="V66" s="49">
        <f t="shared" si="26"/>
        <v>0</v>
      </c>
      <c r="W66" s="16"/>
      <c r="X66" s="16"/>
      <c r="Y66" s="16"/>
      <c r="Z66" s="16"/>
      <c r="AA66" s="16"/>
      <c r="AB66" s="16"/>
      <c r="AC66" s="16"/>
      <c r="AD66" s="16"/>
      <c r="AE66" s="16"/>
      <c r="AF66" s="16"/>
    </row>
    <row r="67" spans="1:32" s="17" customFormat="1" ht="12.75" x14ac:dyDescent="0.2">
      <c r="A67" s="342"/>
      <c r="B67" s="225" t="s">
        <v>59</v>
      </c>
      <c r="C67" s="303" t="s">
        <v>315</v>
      </c>
      <c r="D67" s="303"/>
      <c r="E67" s="303"/>
      <c r="F67" s="303"/>
      <c r="G67" s="342" t="s">
        <v>366</v>
      </c>
      <c r="H67" s="80"/>
      <c r="I67" s="41">
        <f t="shared" ref="I67:P67" si="31">I68+I69</f>
        <v>0</v>
      </c>
      <c r="J67" s="41">
        <f t="shared" si="31"/>
        <v>0</v>
      </c>
      <c r="K67" s="41">
        <f t="shared" si="31"/>
        <v>0</v>
      </c>
      <c r="L67" s="41">
        <f t="shared" si="31"/>
        <v>0</v>
      </c>
      <c r="M67" s="41">
        <f t="shared" si="31"/>
        <v>0</v>
      </c>
      <c r="N67" s="41">
        <f t="shared" si="31"/>
        <v>0</v>
      </c>
      <c r="O67" s="41">
        <f t="shared" si="31"/>
        <v>0</v>
      </c>
      <c r="P67" s="41">
        <f t="shared" si="31"/>
        <v>0</v>
      </c>
      <c r="Q67" s="49">
        <f t="shared" si="23"/>
        <v>0</v>
      </c>
      <c r="R67" s="49">
        <f t="shared" si="24"/>
        <v>0</v>
      </c>
      <c r="S67" s="41">
        <f>S68+S69</f>
        <v>0</v>
      </c>
      <c r="T67" s="41">
        <f>T68+T69</f>
        <v>0</v>
      </c>
      <c r="U67" s="49">
        <f t="shared" si="25"/>
        <v>0</v>
      </c>
      <c r="V67" s="49">
        <f t="shared" si="26"/>
        <v>0</v>
      </c>
      <c r="W67" s="16"/>
      <c r="X67" s="16"/>
      <c r="Y67" s="16"/>
      <c r="Z67" s="16"/>
      <c r="AA67" s="16"/>
      <c r="AB67" s="16"/>
      <c r="AC67" s="16"/>
      <c r="AD67" s="16"/>
      <c r="AE67" s="16"/>
      <c r="AF67" s="16"/>
    </row>
    <row r="68" spans="1:32" s="17" customFormat="1" ht="12.75" x14ac:dyDescent="0.2">
      <c r="A68" s="342"/>
      <c r="B68" s="225"/>
      <c r="C68" s="303" t="s">
        <v>306</v>
      </c>
      <c r="D68" s="303" t="s">
        <v>316</v>
      </c>
      <c r="E68" s="303"/>
      <c r="F68" s="303"/>
      <c r="G68" s="342" t="s">
        <v>367</v>
      </c>
      <c r="H68" s="80"/>
      <c r="I68" s="44"/>
      <c r="J68" s="44"/>
      <c r="K68" s="44"/>
      <c r="L68" s="44"/>
      <c r="M68" s="44"/>
      <c r="N68" s="44"/>
      <c r="O68" s="44"/>
      <c r="P68" s="44"/>
      <c r="Q68" s="49">
        <f t="shared" si="23"/>
        <v>0</v>
      </c>
      <c r="R68" s="49">
        <f t="shared" si="24"/>
        <v>0</v>
      </c>
      <c r="S68" s="44"/>
      <c r="T68" s="44"/>
      <c r="U68" s="49">
        <f t="shared" si="25"/>
        <v>0</v>
      </c>
      <c r="V68" s="49">
        <f t="shared" si="26"/>
        <v>0</v>
      </c>
      <c r="W68" s="16"/>
      <c r="X68" s="16"/>
      <c r="Y68" s="16"/>
      <c r="Z68" s="16"/>
      <c r="AA68" s="16"/>
      <c r="AB68" s="16"/>
      <c r="AC68" s="16"/>
      <c r="AD68" s="16"/>
      <c r="AE68" s="16"/>
      <c r="AF68" s="16"/>
    </row>
    <row r="69" spans="1:32" s="17" customFormat="1" ht="12.75" x14ac:dyDescent="0.2">
      <c r="A69" s="342"/>
      <c r="B69" s="225"/>
      <c r="C69" s="303" t="s">
        <v>308</v>
      </c>
      <c r="D69" s="303" t="s">
        <v>317</v>
      </c>
      <c r="E69" s="303"/>
      <c r="F69" s="303"/>
      <c r="G69" s="342" t="s">
        <v>368</v>
      </c>
      <c r="H69" s="80"/>
      <c r="I69" s="41">
        <f t="shared" ref="I69:P69" si="32">I70+I71</f>
        <v>0</v>
      </c>
      <c r="J69" s="41">
        <f t="shared" si="32"/>
        <v>0</v>
      </c>
      <c r="K69" s="41">
        <f t="shared" si="32"/>
        <v>0</v>
      </c>
      <c r="L69" s="41">
        <f t="shared" si="32"/>
        <v>0</v>
      </c>
      <c r="M69" s="41">
        <f t="shared" si="32"/>
        <v>0</v>
      </c>
      <c r="N69" s="41">
        <f t="shared" si="32"/>
        <v>0</v>
      </c>
      <c r="O69" s="41">
        <f t="shared" si="32"/>
        <v>0</v>
      </c>
      <c r="P69" s="41">
        <f t="shared" si="32"/>
        <v>0</v>
      </c>
      <c r="Q69" s="49">
        <f t="shared" si="23"/>
        <v>0</v>
      </c>
      <c r="R69" s="49">
        <f t="shared" si="24"/>
        <v>0</v>
      </c>
      <c r="S69" s="41">
        <f>S70+S71</f>
        <v>0</v>
      </c>
      <c r="T69" s="41">
        <f>T70+T71</f>
        <v>0</v>
      </c>
      <c r="U69" s="49">
        <f t="shared" si="25"/>
        <v>0</v>
      </c>
      <c r="V69" s="49">
        <f t="shared" si="26"/>
        <v>0</v>
      </c>
      <c r="W69" s="16"/>
      <c r="X69" s="16"/>
      <c r="Y69" s="16"/>
      <c r="Z69" s="16"/>
      <c r="AA69" s="16"/>
      <c r="AB69" s="16"/>
      <c r="AC69" s="16"/>
      <c r="AD69" s="16"/>
      <c r="AE69" s="16"/>
      <c r="AF69" s="16"/>
    </row>
    <row r="70" spans="1:32" s="17" customFormat="1" ht="12.75" x14ac:dyDescent="0.2">
      <c r="A70" s="342"/>
      <c r="B70" s="225"/>
      <c r="C70" s="303"/>
      <c r="D70" s="309" t="s">
        <v>161</v>
      </c>
      <c r="E70" s="303" t="s">
        <v>630</v>
      </c>
      <c r="F70" s="347"/>
      <c r="G70" s="342" t="s">
        <v>319</v>
      </c>
      <c r="H70" s="80"/>
      <c r="I70" s="44"/>
      <c r="J70" s="44"/>
      <c r="K70" s="44"/>
      <c r="L70" s="44"/>
      <c r="M70" s="44"/>
      <c r="N70" s="44"/>
      <c r="O70" s="44"/>
      <c r="P70" s="44"/>
      <c r="Q70" s="49">
        <f t="shared" si="23"/>
        <v>0</v>
      </c>
      <c r="R70" s="49">
        <f t="shared" si="24"/>
        <v>0</v>
      </c>
      <c r="S70" s="44"/>
      <c r="T70" s="44"/>
      <c r="U70" s="49">
        <f t="shared" si="25"/>
        <v>0</v>
      </c>
      <c r="V70" s="49">
        <f t="shared" si="26"/>
        <v>0</v>
      </c>
      <c r="W70" s="16"/>
      <c r="X70" s="16"/>
      <c r="Y70" s="16"/>
      <c r="Z70" s="16"/>
      <c r="AA70" s="16"/>
      <c r="AB70" s="16"/>
      <c r="AC70" s="16"/>
      <c r="AD70" s="16"/>
      <c r="AE70" s="16"/>
      <c r="AF70" s="16"/>
    </row>
    <row r="71" spans="1:32" s="17" customFormat="1" ht="12.75" x14ac:dyDescent="0.2">
      <c r="A71" s="342"/>
      <c r="B71" s="225"/>
      <c r="C71" s="303"/>
      <c r="D71" s="309" t="s">
        <v>164</v>
      </c>
      <c r="E71" s="303" t="s">
        <v>52</v>
      </c>
      <c r="F71" s="358"/>
      <c r="G71" s="342" t="s">
        <v>320</v>
      </c>
      <c r="H71" s="80"/>
      <c r="I71" s="44"/>
      <c r="J71" s="44"/>
      <c r="K71" s="44"/>
      <c r="L71" s="44"/>
      <c r="M71" s="44"/>
      <c r="N71" s="44"/>
      <c r="O71" s="44"/>
      <c r="P71" s="44"/>
      <c r="Q71" s="49">
        <f t="shared" si="23"/>
        <v>0</v>
      </c>
      <c r="R71" s="49">
        <f t="shared" si="24"/>
        <v>0</v>
      </c>
      <c r="S71" s="44"/>
      <c r="T71" s="44"/>
      <c r="U71" s="49">
        <f t="shared" si="25"/>
        <v>0</v>
      </c>
      <c r="V71" s="49">
        <f t="shared" si="26"/>
        <v>0</v>
      </c>
      <c r="W71" s="16"/>
      <c r="X71" s="16"/>
      <c r="Y71" s="16"/>
      <c r="Z71" s="16"/>
      <c r="AA71" s="16"/>
      <c r="AB71" s="16"/>
      <c r="AC71" s="16"/>
      <c r="AD71" s="16"/>
      <c r="AE71" s="16"/>
      <c r="AF71" s="16"/>
    </row>
    <row r="72" spans="1:32" s="17" customFormat="1" ht="12.75" x14ac:dyDescent="0.2">
      <c r="A72" s="342"/>
      <c r="B72" s="225" t="s">
        <v>61</v>
      </c>
      <c r="C72" s="303" t="s">
        <v>321</v>
      </c>
      <c r="D72" s="303"/>
      <c r="E72" s="303"/>
      <c r="F72" s="303"/>
      <c r="G72" s="342" t="s">
        <v>369</v>
      </c>
      <c r="H72" s="80"/>
      <c r="I72" s="44"/>
      <c r="J72" s="44"/>
      <c r="K72" s="44"/>
      <c r="L72" s="44"/>
      <c r="M72" s="44"/>
      <c r="N72" s="44"/>
      <c r="O72" s="44"/>
      <c r="P72" s="44"/>
      <c r="Q72" s="49">
        <f t="shared" si="23"/>
        <v>0</v>
      </c>
      <c r="R72" s="49">
        <f t="shared" si="24"/>
        <v>0</v>
      </c>
      <c r="S72" s="44"/>
      <c r="T72" s="44"/>
      <c r="U72" s="49">
        <f t="shared" si="25"/>
        <v>0</v>
      </c>
      <c r="V72" s="49">
        <f t="shared" si="26"/>
        <v>0</v>
      </c>
      <c r="W72" s="16"/>
      <c r="X72" s="16"/>
      <c r="Y72" s="16"/>
      <c r="Z72" s="16"/>
      <c r="AA72" s="16"/>
      <c r="AB72" s="16"/>
      <c r="AC72" s="16"/>
      <c r="AD72" s="16"/>
      <c r="AE72" s="16"/>
      <c r="AF72" s="16"/>
    </row>
    <row r="73" spans="1:32" s="17" customFormat="1" ht="12.75" x14ac:dyDescent="0.2">
      <c r="A73" s="342"/>
      <c r="B73" s="359" t="s">
        <v>71</v>
      </c>
      <c r="C73" s="360" t="s">
        <v>628</v>
      </c>
      <c r="D73" s="359"/>
      <c r="E73" s="359"/>
      <c r="F73" s="303"/>
      <c r="G73" s="313" t="s">
        <v>629</v>
      </c>
      <c r="H73" s="80"/>
      <c r="I73" s="44"/>
      <c r="J73" s="44"/>
      <c r="K73" s="44"/>
      <c r="L73" s="44"/>
      <c r="M73" s="44"/>
      <c r="N73" s="44"/>
      <c r="O73" s="44"/>
      <c r="P73" s="44"/>
      <c r="Q73" s="49">
        <f>O73+M73+K73+I73</f>
        <v>0</v>
      </c>
      <c r="R73" s="49">
        <f>P73+N73+L73+J73</f>
        <v>0</v>
      </c>
      <c r="S73" s="44"/>
      <c r="T73" s="44"/>
      <c r="U73" s="49">
        <f>Q73-S73</f>
        <v>0</v>
      </c>
      <c r="V73" s="49">
        <f>R73-T73</f>
        <v>0</v>
      </c>
      <c r="W73" s="16"/>
      <c r="X73" s="16"/>
      <c r="Y73" s="16"/>
      <c r="Z73" s="16"/>
      <c r="AA73" s="16"/>
      <c r="AB73" s="16"/>
      <c r="AC73" s="16"/>
      <c r="AD73" s="16"/>
      <c r="AE73" s="16"/>
      <c r="AF73" s="16"/>
    </row>
    <row r="74" spans="1:32" s="17" customFormat="1" ht="12.75" x14ac:dyDescent="0.2">
      <c r="A74" s="362" t="s">
        <v>90</v>
      </c>
      <c r="B74" s="303" t="s">
        <v>273</v>
      </c>
      <c r="C74" s="303"/>
      <c r="D74" s="303"/>
      <c r="E74" s="303"/>
      <c r="F74" s="303"/>
      <c r="G74" s="342" t="s">
        <v>370</v>
      </c>
      <c r="H74" s="80"/>
      <c r="I74" s="41">
        <f t="shared" ref="I74:P74" si="33">I75+I76+I77</f>
        <v>0</v>
      </c>
      <c r="J74" s="41">
        <f t="shared" si="33"/>
        <v>0</v>
      </c>
      <c r="K74" s="41">
        <f t="shared" si="33"/>
        <v>0</v>
      </c>
      <c r="L74" s="41">
        <f t="shared" si="33"/>
        <v>0</v>
      </c>
      <c r="M74" s="41">
        <f t="shared" si="33"/>
        <v>0</v>
      </c>
      <c r="N74" s="41">
        <f t="shared" si="33"/>
        <v>0</v>
      </c>
      <c r="O74" s="41">
        <f t="shared" si="33"/>
        <v>0</v>
      </c>
      <c r="P74" s="41">
        <f t="shared" si="33"/>
        <v>0</v>
      </c>
      <c r="Q74" s="49">
        <f t="shared" si="23"/>
        <v>0</v>
      </c>
      <c r="R74" s="49">
        <f t="shared" si="24"/>
        <v>0</v>
      </c>
      <c r="S74" s="41">
        <f>S75+S76+S77</f>
        <v>0</v>
      </c>
      <c r="T74" s="41">
        <f>T75+T76+T77</f>
        <v>0</v>
      </c>
      <c r="U74" s="49">
        <f t="shared" si="25"/>
        <v>0</v>
      </c>
      <c r="V74" s="49">
        <f t="shared" si="26"/>
        <v>0</v>
      </c>
      <c r="W74" s="16"/>
      <c r="X74" s="16"/>
      <c r="Y74" s="16"/>
      <c r="Z74" s="16"/>
      <c r="AA74" s="16"/>
      <c r="AB74" s="16"/>
      <c r="AC74" s="16"/>
      <c r="AD74" s="16"/>
      <c r="AE74" s="16"/>
      <c r="AF74" s="16"/>
    </row>
    <row r="75" spans="1:32" s="17" customFormat="1" ht="12.75" x14ac:dyDescent="0.2">
      <c r="A75" s="362"/>
      <c r="B75" s="225" t="s">
        <v>180</v>
      </c>
      <c r="C75" s="225" t="s">
        <v>275</v>
      </c>
      <c r="D75" s="225"/>
      <c r="E75" s="225"/>
      <c r="F75" s="225"/>
      <c r="G75" s="342" t="s">
        <v>371</v>
      </c>
      <c r="H75" s="80"/>
      <c r="I75" s="44"/>
      <c r="J75" s="44"/>
      <c r="K75" s="44"/>
      <c r="L75" s="44"/>
      <c r="M75" s="44"/>
      <c r="N75" s="44"/>
      <c r="O75" s="44"/>
      <c r="P75" s="44"/>
      <c r="Q75" s="49">
        <f t="shared" si="23"/>
        <v>0</v>
      </c>
      <c r="R75" s="49">
        <f t="shared" si="24"/>
        <v>0</v>
      </c>
      <c r="S75" s="44"/>
      <c r="T75" s="44"/>
      <c r="U75" s="49">
        <f t="shared" si="25"/>
        <v>0</v>
      </c>
      <c r="V75" s="49">
        <f t="shared" si="26"/>
        <v>0</v>
      </c>
      <c r="W75" s="16"/>
      <c r="X75" s="16"/>
      <c r="Y75" s="16"/>
      <c r="Z75" s="16"/>
      <c r="AA75" s="16"/>
      <c r="AB75" s="16"/>
      <c r="AC75" s="16"/>
      <c r="AD75" s="16"/>
      <c r="AE75" s="16"/>
      <c r="AF75" s="16"/>
    </row>
    <row r="76" spans="1:32" s="17" customFormat="1" ht="12.75" x14ac:dyDescent="0.2">
      <c r="A76" s="362"/>
      <c r="B76" s="225" t="s">
        <v>183</v>
      </c>
      <c r="C76" s="225" t="s">
        <v>277</v>
      </c>
      <c r="D76" s="225"/>
      <c r="E76" s="225"/>
      <c r="F76" s="225"/>
      <c r="G76" s="342" t="s">
        <v>372</v>
      </c>
      <c r="H76" s="80"/>
      <c r="I76" s="44"/>
      <c r="J76" s="44"/>
      <c r="K76" s="44"/>
      <c r="L76" s="44"/>
      <c r="M76" s="44"/>
      <c r="N76" s="44"/>
      <c r="O76" s="44"/>
      <c r="P76" s="44"/>
      <c r="Q76" s="49">
        <f t="shared" si="23"/>
        <v>0</v>
      </c>
      <c r="R76" s="49">
        <f t="shared" si="24"/>
        <v>0</v>
      </c>
      <c r="S76" s="44"/>
      <c r="T76" s="44"/>
      <c r="U76" s="49">
        <f t="shared" si="25"/>
        <v>0</v>
      </c>
      <c r="V76" s="49">
        <f t="shared" si="26"/>
        <v>0</v>
      </c>
      <c r="W76" s="16"/>
      <c r="X76" s="16"/>
      <c r="Y76" s="16"/>
      <c r="Z76" s="16"/>
      <c r="AA76" s="16"/>
      <c r="AB76" s="16"/>
      <c r="AC76" s="16"/>
      <c r="AD76" s="16"/>
      <c r="AE76" s="16"/>
      <c r="AF76" s="16"/>
    </row>
    <row r="77" spans="1:32" s="17" customFormat="1" ht="12.75" x14ac:dyDescent="0.2">
      <c r="A77" s="362"/>
      <c r="B77" s="225" t="s">
        <v>193</v>
      </c>
      <c r="C77" s="225" t="s">
        <v>279</v>
      </c>
      <c r="D77" s="225"/>
      <c r="E77" s="225"/>
      <c r="F77" s="225"/>
      <c r="G77" s="342" t="s">
        <v>373</v>
      </c>
      <c r="H77" s="80"/>
      <c r="I77" s="44"/>
      <c r="J77" s="44"/>
      <c r="K77" s="44"/>
      <c r="L77" s="44"/>
      <c r="M77" s="44"/>
      <c r="N77" s="44"/>
      <c r="O77" s="44"/>
      <c r="P77" s="44"/>
      <c r="Q77" s="49">
        <f t="shared" si="23"/>
        <v>0</v>
      </c>
      <c r="R77" s="49">
        <f t="shared" si="24"/>
        <v>0</v>
      </c>
      <c r="S77" s="44"/>
      <c r="T77" s="44"/>
      <c r="U77" s="49">
        <f t="shared" si="25"/>
        <v>0</v>
      </c>
      <c r="V77" s="49">
        <f t="shared" si="26"/>
        <v>0</v>
      </c>
      <c r="W77" s="16"/>
      <c r="X77" s="16"/>
      <c r="Y77" s="16"/>
      <c r="Z77" s="16"/>
      <c r="AA77" s="16"/>
      <c r="AB77" s="16"/>
      <c r="AC77" s="16"/>
      <c r="AD77" s="16"/>
      <c r="AE77" s="16"/>
      <c r="AF77" s="16"/>
    </row>
    <row r="78" spans="1:32" s="17" customFormat="1" ht="12.75" x14ac:dyDescent="0.2">
      <c r="A78" s="362" t="s">
        <v>257</v>
      </c>
      <c r="B78" s="303" t="s">
        <v>281</v>
      </c>
      <c r="C78" s="303"/>
      <c r="D78" s="303"/>
      <c r="E78" s="303"/>
      <c r="F78" s="303"/>
      <c r="G78" s="342" t="s">
        <v>374</v>
      </c>
      <c r="H78" s="80"/>
      <c r="I78" s="41">
        <f t="shared" ref="I78:P78" si="34">I79+I80</f>
        <v>0</v>
      </c>
      <c r="J78" s="41">
        <f t="shared" si="34"/>
        <v>0</v>
      </c>
      <c r="K78" s="41">
        <f t="shared" si="34"/>
        <v>0</v>
      </c>
      <c r="L78" s="41">
        <f t="shared" si="34"/>
        <v>0</v>
      </c>
      <c r="M78" s="41">
        <f t="shared" si="34"/>
        <v>0</v>
      </c>
      <c r="N78" s="41">
        <f t="shared" si="34"/>
        <v>0</v>
      </c>
      <c r="O78" s="41">
        <f t="shared" si="34"/>
        <v>0</v>
      </c>
      <c r="P78" s="41">
        <f t="shared" si="34"/>
        <v>0</v>
      </c>
      <c r="Q78" s="49">
        <f t="shared" si="23"/>
        <v>0</v>
      </c>
      <c r="R78" s="49">
        <f t="shared" si="24"/>
        <v>0</v>
      </c>
      <c r="S78" s="41">
        <f>S79+S80</f>
        <v>0</v>
      </c>
      <c r="T78" s="41">
        <f>T79+T80</f>
        <v>0</v>
      </c>
      <c r="U78" s="49">
        <f t="shared" si="25"/>
        <v>0</v>
      </c>
      <c r="V78" s="49">
        <f t="shared" si="26"/>
        <v>0</v>
      </c>
      <c r="W78" s="16"/>
      <c r="X78" s="16"/>
      <c r="Y78" s="16"/>
      <c r="Z78" s="16"/>
      <c r="AA78" s="16"/>
      <c r="AB78" s="16"/>
      <c r="AC78" s="16"/>
      <c r="AD78" s="16"/>
      <c r="AE78" s="16"/>
      <c r="AF78" s="16"/>
    </row>
    <row r="79" spans="1:32" s="17" customFormat="1" ht="12.75" x14ac:dyDescent="0.2">
      <c r="A79" s="362"/>
      <c r="B79" s="225" t="s">
        <v>180</v>
      </c>
      <c r="C79" s="225" t="s">
        <v>283</v>
      </c>
      <c r="D79" s="225"/>
      <c r="E79" s="225"/>
      <c r="F79" s="225"/>
      <c r="G79" s="342" t="s">
        <v>375</v>
      </c>
      <c r="H79" s="80"/>
      <c r="I79" s="50"/>
      <c r="J79" s="50"/>
      <c r="K79" s="50"/>
      <c r="L79" s="50"/>
      <c r="M79" s="50"/>
      <c r="N79" s="50"/>
      <c r="O79" s="50"/>
      <c r="P79" s="50"/>
      <c r="Q79" s="49">
        <f t="shared" si="23"/>
        <v>0</v>
      </c>
      <c r="R79" s="49">
        <f t="shared" si="24"/>
        <v>0</v>
      </c>
      <c r="S79" s="50"/>
      <c r="T79" s="50"/>
      <c r="U79" s="49">
        <f t="shared" si="25"/>
        <v>0</v>
      </c>
      <c r="V79" s="49">
        <f t="shared" si="26"/>
        <v>0</v>
      </c>
      <c r="W79" s="16"/>
      <c r="X79" s="16"/>
      <c r="Y79" s="16"/>
      <c r="Z79" s="16"/>
      <c r="AA79" s="16"/>
      <c r="AB79" s="16"/>
      <c r="AC79" s="16"/>
      <c r="AD79" s="16"/>
      <c r="AE79" s="16"/>
      <c r="AF79" s="16"/>
    </row>
    <row r="80" spans="1:32" s="17" customFormat="1" ht="12.75" x14ac:dyDescent="0.2">
      <c r="A80" s="362"/>
      <c r="B80" s="225" t="s">
        <v>183</v>
      </c>
      <c r="C80" s="225" t="s">
        <v>285</v>
      </c>
      <c r="D80" s="225"/>
      <c r="E80" s="225"/>
      <c r="F80" s="225"/>
      <c r="G80" s="342" t="s">
        <v>376</v>
      </c>
      <c r="H80" s="80"/>
      <c r="I80" s="50"/>
      <c r="J80" s="50"/>
      <c r="K80" s="50"/>
      <c r="L80" s="50"/>
      <c r="M80" s="50"/>
      <c r="N80" s="50"/>
      <c r="O80" s="50"/>
      <c r="P80" s="50"/>
      <c r="Q80" s="49">
        <f t="shared" si="23"/>
        <v>0</v>
      </c>
      <c r="R80" s="49">
        <f t="shared" si="24"/>
        <v>0</v>
      </c>
      <c r="S80" s="50"/>
      <c r="T80" s="50"/>
      <c r="U80" s="49">
        <f t="shared" si="25"/>
        <v>0</v>
      </c>
      <c r="V80" s="49">
        <f t="shared" si="26"/>
        <v>0</v>
      </c>
      <c r="W80" s="16"/>
      <c r="X80" s="16"/>
      <c r="Y80" s="16"/>
      <c r="Z80" s="16"/>
      <c r="AA80" s="16"/>
      <c r="AB80" s="16"/>
      <c r="AC80" s="16"/>
      <c r="AD80" s="16"/>
      <c r="AE80" s="16"/>
      <c r="AF80" s="16"/>
    </row>
    <row r="81" spans="1:32" s="17" customFormat="1" ht="12.75" customHeight="1" x14ac:dyDescent="0.2">
      <c r="A81" s="362" t="s">
        <v>74</v>
      </c>
      <c r="B81" s="661" t="s">
        <v>288</v>
      </c>
      <c r="C81" s="661"/>
      <c r="D81" s="661"/>
      <c r="E81" s="661"/>
      <c r="F81" s="661"/>
      <c r="G81" s="342" t="s">
        <v>377</v>
      </c>
      <c r="H81" s="80"/>
      <c r="I81" s="50"/>
      <c r="J81" s="50"/>
      <c r="K81" s="50"/>
      <c r="L81" s="50"/>
      <c r="M81" s="50"/>
      <c r="N81" s="50"/>
      <c r="O81" s="50"/>
      <c r="P81" s="50"/>
      <c r="Q81" s="49">
        <f t="shared" si="23"/>
        <v>0</v>
      </c>
      <c r="R81" s="49">
        <f t="shared" si="24"/>
        <v>0</v>
      </c>
      <c r="S81" s="50"/>
      <c r="T81" s="50"/>
      <c r="U81" s="49">
        <f t="shared" si="25"/>
        <v>0</v>
      </c>
      <c r="V81" s="49">
        <f t="shared" si="26"/>
        <v>0</v>
      </c>
      <c r="W81" s="16"/>
      <c r="X81" s="16"/>
      <c r="Y81" s="16"/>
      <c r="Z81" s="16"/>
      <c r="AA81" s="16"/>
      <c r="AB81" s="16"/>
      <c r="AC81" s="16"/>
      <c r="AD81" s="16"/>
      <c r="AE81" s="16"/>
      <c r="AF81" s="16"/>
    </row>
    <row r="82" spans="1:32" s="17" customFormat="1" ht="12.75" customHeight="1" x14ac:dyDescent="0.2">
      <c r="A82" s="362" t="s">
        <v>76</v>
      </c>
      <c r="B82" s="661" t="s">
        <v>1288</v>
      </c>
      <c r="C82" s="661"/>
      <c r="D82" s="661"/>
      <c r="E82" s="661"/>
      <c r="F82" s="661"/>
      <c r="G82" s="317" t="s">
        <v>1292</v>
      </c>
      <c r="H82" s="122"/>
      <c r="I82" s="290"/>
      <c r="J82" s="290"/>
      <c r="K82" s="290"/>
      <c r="L82" s="290"/>
      <c r="M82" s="292">
        <f>M45</f>
        <v>0</v>
      </c>
      <c r="N82" s="292">
        <f>N45</f>
        <v>0</v>
      </c>
      <c r="O82" s="292">
        <f>O45</f>
        <v>0</v>
      </c>
      <c r="P82" s="292">
        <f>P45</f>
        <v>0</v>
      </c>
      <c r="Q82" s="292">
        <f t="shared" si="23"/>
        <v>0</v>
      </c>
      <c r="R82" s="292">
        <f t="shared" si="24"/>
        <v>0</v>
      </c>
      <c r="S82" s="290"/>
      <c r="T82" s="290"/>
      <c r="U82" s="289"/>
      <c r="V82" s="289"/>
      <c r="W82" s="16"/>
      <c r="X82" s="16"/>
      <c r="Y82" s="16"/>
      <c r="Z82" s="16"/>
      <c r="AA82" s="16"/>
      <c r="AB82" s="16"/>
      <c r="AC82" s="16"/>
      <c r="AD82" s="16"/>
      <c r="AE82" s="16"/>
      <c r="AF82" s="16"/>
    </row>
    <row r="83" spans="1:32" s="17" customFormat="1" x14ac:dyDescent="0.2">
      <c r="A83" s="412" t="s">
        <v>79</v>
      </c>
      <c r="B83" s="682" t="s">
        <v>47</v>
      </c>
      <c r="C83" s="683"/>
      <c r="D83" s="683"/>
      <c r="E83" s="683"/>
      <c r="F83" s="683"/>
      <c r="G83" s="413" t="s">
        <v>1313</v>
      </c>
      <c r="H83" s="103"/>
      <c r="I83" s="418"/>
      <c r="J83" s="418"/>
      <c r="K83" s="418"/>
      <c r="L83" s="418"/>
      <c r="M83" s="418"/>
      <c r="N83" s="418"/>
      <c r="O83" s="418"/>
      <c r="P83" s="418"/>
      <c r="Q83" s="425"/>
      <c r="R83" s="425"/>
      <c r="S83" s="41">
        <f>I83+K83+M83+O83</f>
        <v>0</v>
      </c>
      <c r="T83" s="41">
        <f>J83+L83+N83+P83</f>
        <v>0</v>
      </c>
      <c r="U83" s="425"/>
      <c r="V83" s="425"/>
      <c r="W83" s="16"/>
      <c r="X83" s="16"/>
      <c r="Y83" s="16"/>
      <c r="Z83" s="16"/>
      <c r="AA83" s="16"/>
      <c r="AB83" s="16"/>
      <c r="AC83" s="16"/>
      <c r="AD83" s="16"/>
      <c r="AE83" s="16"/>
      <c r="AF83" s="16"/>
    </row>
    <row r="84" spans="1:32" ht="11.25" customHeight="1" x14ac:dyDescent="0.2">
      <c r="A84" s="82"/>
      <c r="B84" s="107"/>
      <c r="C84" s="82"/>
      <c r="D84" s="82"/>
      <c r="E84" s="82"/>
      <c r="F84" s="82"/>
      <c r="G84" s="415" t="s">
        <v>108</v>
      </c>
      <c r="H84" s="82"/>
      <c r="I84" s="426"/>
      <c r="J84" s="426"/>
      <c r="K84" s="426"/>
      <c r="L84" s="426"/>
      <c r="M84" s="426"/>
      <c r="N84" s="426"/>
      <c r="O84" s="426"/>
      <c r="P84" s="426"/>
      <c r="Q84" s="426"/>
      <c r="R84" s="426"/>
      <c r="S84" s="426"/>
      <c r="T84" s="426"/>
      <c r="U84" s="426"/>
      <c r="V84" s="426"/>
      <c r="W84" s="9"/>
      <c r="X84" s="9"/>
      <c r="Y84" s="9"/>
      <c r="Z84" s="9"/>
      <c r="AA84" s="9"/>
      <c r="AB84" s="9"/>
      <c r="AC84" s="9"/>
      <c r="AD84" s="9"/>
      <c r="AE84" s="9"/>
      <c r="AF84" s="9"/>
    </row>
    <row r="85" spans="1:32" ht="11.25" customHeight="1" x14ac:dyDescent="0.2">
      <c r="A85" s="92"/>
      <c r="B85" s="123" t="s">
        <v>378</v>
      </c>
      <c r="C85" s="92"/>
      <c r="D85" s="92"/>
      <c r="E85" s="92"/>
      <c r="F85" s="92"/>
      <c r="G85" s="92"/>
      <c r="H85" s="92"/>
      <c r="I85" s="133"/>
      <c r="J85" s="133"/>
      <c r="K85" s="133"/>
      <c r="L85" s="133"/>
      <c r="M85" s="133"/>
      <c r="N85" s="133"/>
      <c r="O85" s="133"/>
      <c r="P85" s="133"/>
      <c r="Q85" s="133"/>
      <c r="R85" s="133"/>
      <c r="S85" s="133"/>
      <c r="T85" s="133"/>
      <c r="U85" s="133"/>
      <c r="V85" s="133"/>
      <c r="W85" s="9"/>
      <c r="X85" s="9"/>
      <c r="Y85" s="9"/>
      <c r="Z85" s="9"/>
      <c r="AA85" s="9"/>
      <c r="AB85" s="9"/>
      <c r="AC85" s="9"/>
      <c r="AD85" s="9"/>
      <c r="AE85" s="9"/>
      <c r="AF85" s="9"/>
    </row>
    <row r="86" spans="1:32" ht="11.25" customHeight="1" x14ac:dyDescent="0.2">
      <c r="W86" s="9"/>
      <c r="X86" s="9"/>
      <c r="Y86" s="9"/>
      <c r="Z86" s="9"/>
      <c r="AA86" s="9"/>
      <c r="AB86" s="9"/>
      <c r="AC86" s="9"/>
      <c r="AD86" s="9"/>
      <c r="AE86" s="9"/>
      <c r="AF86" s="9"/>
    </row>
    <row r="87" spans="1:32" ht="11.25" customHeight="1" x14ac:dyDescent="0.2">
      <c r="W87" s="9"/>
      <c r="X87" s="9"/>
      <c r="Y87" s="9"/>
      <c r="Z87" s="9"/>
      <c r="AA87" s="9"/>
      <c r="AB87" s="9"/>
      <c r="AC87" s="9"/>
      <c r="AD87" s="9"/>
      <c r="AE87" s="9"/>
      <c r="AF87" s="9"/>
    </row>
    <row r="88" spans="1:32" ht="11.25" customHeight="1" x14ac:dyDescent="0.2">
      <c r="W88" s="9"/>
      <c r="X88" s="9"/>
      <c r="Y88" s="9"/>
      <c r="Z88" s="9"/>
      <c r="AA88" s="9"/>
      <c r="AB88" s="9"/>
      <c r="AC88" s="9"/>
      <c r="AD88" s="9"/>
      <c r="AE88" s="9"/>
      <c r="AF88" s="9"/>
    </row>
    <row r="89" spans="1:32" ht="11.25" customHeight="1" x14ac:dyDescent="0.2">
      <c r="W89" s="9"/>
      <c r="X89" s="9"/>
      <c r="Y89" s="9"/>
      <c r="Z89" s="9"/>
      <c r="AA89" s="9"/>
      <c r="AB89" s="9"/>
      <c r="AC89" s="9"/>
      <c r="AD89" s="9"/>
      <c r="AE89" s="9"/>
      <c r="AF89" s="9"/>
    </row>
    <row r="90" spans="1:32" ht="11.25" customHeight="1" x14ac:dyDescent="0.2"/>
    <row r="91" spans="1:32" ht="11.25" customHeight="1" x14ac:dyDescent="0.2"/>
  </sheetData>
  <sheetProtection password="FCFA" sheet="1" objects="1" scenarios="1" selectLockedCells="1"/>
  <mergeCells count="28">
    <mergeCell ref="U6:V8"/>
    <mergeCell ref="Q5:R5"/>
    <mergeCell ref="S5:T5"/>
    <mergeCell ref="K5:L5"/>
    <mergeCell ref="A45:F45"/>
    <mergeCell ref="I5:J5"/>
    <mergeCell ref="S6:T8"/>
    <mergeCell ref="O7:P8"/>
    <mergeCell ref="B81:F81"/>
    <mergeCell ref="A1:V1"/>
    <mergeCell ref="A2:V2"/>
    <mergeCell ref="A3:V3"/>
    <mergeCell ref="M5:N5"/>
    <mergeCell ref="O5:P5"/>
    <mergeCell ref="K6:L8"/>
    <mergeCell ref="M6:P6"/>
    <mergeCell ref="M7:N8"/>
    <mergeCell ref="U5:V5"/>
    <mergeCell ref="B83:F83"/>
    <mergeCell ref="Q6:R8"/>
    <mergeCell ref="I6:J8"/>
    <mergeCell ref="B82:F82"/>
    <mergeCell ref="B31:F31"/>
    <mergeCell ref="G5:G9"/>
    <mergeCell ref="A5:F9"/>
    <mergeCell ref="C22:F22"/>
    <mergeCell ref="C23:F23"/>
    <mergeCell ref="C34:F34"/>
  </mergeCells>
  <phoneticPr fontId="2" type="noConversion"/>
  <dataValidations count="1">
    <dataValidation type="decimal" allowBlank="1" showInputMessage="1" showErrorMessage="1" sqref="I25:P27 I29:P31 I52:P58 I61:P65 I68:P68 I70:P73 I75:P77 S25:T27 S29:T31 S22:T23 S52:T58 S61:T65 S68:T68 S70:T73 S75:T77 I19:P20 S15:T17 I12:P13 S47:T48 I15:P17 S12:T13 S79:T82 I79:P83 I47:P48 S19:T20 I22:P23 I33:P39 S33:T39">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11a2&amp;8&amp;U
&amp;P of &amp;N&amp;C&amp;"Arial,Bold"&amp;8 NEW RURAL BANK OF SAN LEONARDO, INC  [ 04-040656 ]
 As of: September 30, 2017</oddHeader>
  </headerFooter>
  <rowBreaks count="1" manualBreakCount="1">
    <brk id="31"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95"/>
  <sheetViews>
    <sheetView zoomScaleNormal="100" zoomScaleSheetLayoutView="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1" customWidth="1"/>
    <col min="2" max="2" width="2.5703125" style="21" customWidth="1"/>
    <col min="3" max="3" width="3.7109375" style="21" customWidth="1"/>
    <col min="4" max="5" width="4.140625" style="21" customWidth="1"/>
    <col min="6" max="6" width="31.7109375" style="21" customWidth="1"/>
    <col min="7" max="7" width="17" style="128" customWidth="1"/>
    <col min="8" max="8" width="20.5703125" style="116"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48" customWidth="1"/>
    <col min="18" max="18" width="25.7109375" style="48" customWidth="1"/>
    <col min="19" max="19" width="20.7109375" style="48" customWidth="1"/>
    <col min="20" max="20" width="25.7109375" style="48" customWidth="1"/>
    <col min="21" max="21" width="20.7109375" style="48" customWidth="1"/>
    <col min="22" max="22" width="25.7109375" style="48"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43" customFormat="1" ht="14.25" x14ac:dyDescent="0.2">
      <c r="A1" s="669" t="s">
        <v>498</v>
      </c>
      <c r="B1" s="669"/>
      <c r="C1" s="669"/>
      <c r="D1" s="669"/>
      <c r="E1" s="669"/>
      <c r="F1" s="669"/>
      <c r="G1" s="669"/>
      <c r="H1" s="669"/>
      <c r="I1" s="669"/>
      <c r="J1" s="669"/>
      <c r="K1" s="669"/>
      <c r="L1" s="669"/>
      <c r="M1" s="669"/>
      <c r="N1" s="669"/>
      <c r="O1" s="669"/>
      <c r="P1" s="669"/>
      <c r="Q1" s="669"/>
      <c r="R1" s="669"/>
      <c r="S1" s="669"/>
      <c r="T1" s="669"/>
      <c r="U1" s="669"/>
      <c r="V1" s="669"/>
      <c r="W1" s="242"/>
      <c r="X1" s="242"/>
      <c r="Y1" s="242"/>
      <c r="Z1" s="242"/>
      <c r="AA1" s="242"/>
      <c r="AB1" s="242"/>
      <c r="AC1" s="242"/>
      <c r="AD1" s="242"/>
      <c r="AE1" s="242"/>
    </row>
    <row r="2" spans="1:33" s="243" customFormat="1" ht="12.75" x14ac:dyDescent="0.2">
      <c r="A2" s="669" t="s">
        <v>92</v>
      </c>
      <c r="B2" s="669"/>
      <c r="C2" s="669"/>
      <c r="D2" s="669"/>
      <c r="E2" s="669"/>
      <c r="F2" s="669"/>
      <c r="G2" s="669"/>
      <c r="H2" s="669"/>
      <c r="I2" s="669"/>
      <c r="J2" s="669"/>
      <c r="K2" s="669"/>
      <c r="L2" s="669"/>
      <c r="M2" s="669"/>
      <c r="N2" s="669"/>
      <c r="O2" s="669"/>
      <c r="P2" s="669"/>
      <c r="Q2" s="669"/>
      <c r="R2" s="669"/>
      <c r="S2" s="669"/>
      <c r="T2" s="669"/>
      <c r="U2" s="669"/>
      <c r="V2" s="669"/>
      <c r="W2" s="242"/>
      <c r="X2" s="242"/>
      <c r="Y2" s="242"/>
      <c r="Z2" s="242"/>
      <c r="AA2" s="242"/>
      <c r="AB2" s="242"/>
      <c r="AC2" s="242"/>
      <c r="AD2" s="242"/>
      <c r="AE2" s="242"/>
    </row>
    <row r="3" spans="1:33" s="243" customFormat="1" ht="12.75" x14ac:dyDescent="0.2">
      <c r="A3" s="669" t="s">
        <v>53</v>
      </c>
      <c r="B3" s="669"/>
      <c r="C3" s="669"/>
      <c r="D3" s="669"/>
      <c r="E3" s="669"/>
      <c r="F3" s="669"/>
      <c r="G3" s="669"/>
      <c r="H3" s="669"/>
      <c r="I3" s="669"/>
      <c r="J3" s="669"/>
      <c r="K3" s="669"/>
      <c r="L3" s="669"/>
      <c r="M3" s="669"/>
      <c r="N3" s="669"/>
      <c r="O3" s="669"/>
      <c r="P3" s="669"/>
      <c r="Q3" s="669"/>
      <c r="R3" s="669"/>
      <c r="S3" s="669"/>
      <c r="T3" s="669"/>
      <c r="U3" s="669"/>
      <c r="V3" s="669"/>
      <c r="W3" s="242"/>
      <c r="X3" s="242"/>
      <c r="Y3" s="242"/>
      <c r="Z3" s="242"/>
      <c r="AA3" s="242"/>
      <c r="AB3" s="242"/>
      <c r="AC3" s="242"/>
      <c r="AD3" s="242"/>
      <c r="AE3" s="242"/>
    </row>
    <row r="4" spans="1:33" x14ac:dyDescent="0.2">
      <c r="A4" s="112"/>
      <c r="B4" s="112"/>
      <c r="C4" s="112"/>
      <c r="D4" s="112"/>
      <c r="E4" s="112"/>
      <c r="F4" s="112"/>
      <c r="G4" s="112"/>
      <c r="H4" s="124"/>
      <c r="I4" s="47"/>
      <c r="J4" s="47"/>
      <c r="K4" s="47"/>
      <c r="L4" s="47"/>
      <c r="M4" s="47"/>
      <c r="N4" s="47"/>
      <c r="O4" s="47"/>
      <c r="P4" s="47"/>
      <c r="Q4" s="47"/>
      <c r="R4" s="47"/>
      <c r="S4" s="47"/>
      <c r="T4" s="47"/>
      <c r="U4" s="47"/>
      <c r="V4" s="47"/>
      <c r="W4" s="4"/>
      <c r="X4" s="4"/>
      <c r="Y4" s="4"/>
      <c r="Z4" s="4"/>
      <c r="AA4" s="4"/>
      <c r="AB4" s="4"/>
      <c r="AC4" s="4"/>
      <c r="AD4" s="4"/>
      <c r="AE4" s="4"/>
    </row>
    <row r="5" spans="1:33" ht="11.25" customHeight="1" x14ac:dyDescent="0.2">
      <c r="A5" s="649" t="s">
        <v>45</v>
      </c>
      <c r="B5" s="649"/>
      <c r="C5" s="649"/>
      <c r="D5" s="649"/>
      <c r="E5" s="649"/>
      <c r="F5" s="649"/>
      <c r="G5" s="686" t="s">
        <v>46</v>
      </c>
      <c r="H5" s="96"/>
      <c r="I5" s="687" t="s">
        <v>94</v>
      </c>
      <c r="J5" s="687"/>
      <c r="K5" s="687" t="s">
        <v>95</v>
      </c>
      <c r="L5" s="687"/>
      <c r="M5" s="687" t="s">
        <v>96</v>
      </c>
      <c r="N5" s="687"/>
      <c r="O5" s="687" t="s">
        <v>97</v>
      </c>
      <c r="P5" s="687"/>
      <c r="Q5" s="687" t="s">
        <v>98</v>
      </c>
      <c r="R5" s="687"/>
      <c r="S5" s="687" t="s">
        <v>99</v>
      </c>
      <c r="T5" s="687"/>
      <c r="U5" s="687" t="s">
        <v>100</v>
      </c>
      <c r="V5" s="687"/>
      <c r="W5" s="7"/>
      <c r="X5" s="7"/>
      <c r="Y5" s="7"/>
      <c r="Z5" s="7"/>
      <c r="AA5" s="7"/>
      <c r="AB5" s="8"/>
      <c r="AC5" s="8"/>
      <c r="AD5" s="8"/>
      <c r="AE5" s="8"/>
      <c r="AF5" s="9"/>
      <c r="AG5" s="9"/>
    </row>
    <row r="6" spans="1:33" ht="11.25" customHeight="1" x14ac:dyDescent="0.2">
      <c r="A6" s="649"/>
      <c r="B6" s="649"/>
      <c r="C6" s="649"/>
      <c r="D6" s="649"/>
      <c r="E6" s="649"/>
      <c r="F6" s="649"/>
      <c r="G6" s="686"/>
      <c r="H6" s="96"/>
      <c r="I6" s="670" t="s">
        <v>101</v>
      </c>
      <c r="J6" s="670"/>
      <c r="K6" s="674" t="s">
        <v>1471</v>
      </c>
      <c r="L6" s="674"/>
      <c r="M6" s="678" t="s">
        <v>1474</v>
      </c>
      <c r="N6" s="688"/>
      <c r="O6" s="688"/>
      <c r="P6" s="679"/>
      <c r="Q6" s="670" t="s">
        <v>102</v>
      </c>
      <c r="R6" s="670"/>
      <c r="S6" s="670" t="s">
        <v>47</v>
      </c>
      <c r="T6" s="670"/>
      <c r="U6" s="670" t="s">
        <v>48</v>
      </c>
      <c r="V6" s="670"/>
      <c r="W6" s="10"/>
      <c r="X6" s="10"/>
      <c r="Y6" s="10"/>
      <c r="Z6" s="10"/>
      <c r="AA6" s="10"/>
      <c r="AB6" s="11"/>
      <c r="AC6" s="11"/>
      <c r="AD6" s="11"/>
      <c r="AE6" s="11"/>
      <c r="AF6" s="9"/>
      <c r="AG6" s="9"/>
    </row>
    <row r="7" spans="1:33" ht="21" customHeight="1" x14ac:dyDescent="0.2">
      <c r="A7" s="649"/>
      <c r="B7" s="649"/>
      <c r="C7" s="649"/>
      <c r="D7" s="649"/>
      <c r="E7" s="649"/>
      <c r="F7" s="649"/>
      <c r="G7" s="686"/>
      <c r="H7" s="96"/>
      <c r="I7" s="670"/>
      <c r="J7" s="670"/>
      <c r="K7" s="674"/>
      <c r="L7" s="674"/>
      <c r="M7" s="678" t="s">
        <v>1472</v>
      </c>
      <c r="N7" s="679"/>
      <c r="O7" s="676" t="s">
        <v>1473</v>
      </c>
      <c r="P7" s="676"/>
      <c r="Q7" s="670"/>
      <c r="R7" s="670"/>
      <c r="S7" s="670"/>
      <c r="T7" s="670"/>
      <c r="U7" s="670"/>
      <c r="V7" s="670"/>
      <c r="W7" s="10"/>
      <c r="X7" s="10"/>
      <c r="Y7" s="10"/>
      <c r="Z7" s="10"/>
      <c r="AA7" s="10"/>
      <c r="AB7" s="12"/>
      <c r="AC7" s="11"/>
      <c r="AD7" s="11"/>
      <c r="AE7" s="11"/>
      <c r="AF7" s="9"/>
      <c r="AG7" s="9"/>
    </row>
    <row r="8" spans="1:33" ht="27.75" customHeight="1" x14ac:dyDescent="0.2">
      <c r="A8" s="649"/>
      <c r="B8" s="649"/>
      <c r="C8" s="649"/>
      <c r="D8" s="649"/>
      <c r="E8" s="649"/>
      <c r="F8" s="649"/>
      <c r="G8" s="686"/>
      <c r="H8" s="96"/>
      <c r="I8" s="670"/>
      <c r="J8" s="670"/>
      <c r="K8" s="674"/>
      <c r="L8" s="674"/>
      <c r="M8" s="680"/>
      <c r="N8" s="681"/>
      <c r="O8" s="677"/>
      <c r="P8" s="677"/>
      <c r="Q8" s="670"/>
      <c r="R8" s="670"/>
      <c r="S8" s="670"/>
      <c r="T8" s="670"/>
      <c r="U8" s="670"/>
      <c r="V8" s="670"/>
      <c r="W8" s="14"/>
      <c r="X8" s="14"/>
      <c r="Y8" s="14"/>
      <c r="Z8" s="14"/>
      <c r="AA8" s="14"/>
      <c r="AB8" s="12"/>
      <c r="AC8" s="11"/>
      <c r="AD8" s="11"/>
      <c r="AE8" s="11"/>
      <c r="AF8" s="9"/>
      <c r="AG8" s="9"/>
    </row>
    <row r="9" spans="1:33" s="121" customFormat="1" ht="29.25" customHeight="1" x14ac:dyDescent="0.2">
      <c r="A9" s="649"/>
      <c r="B9" s="649"/>
      <c r="C9" s="649"/>
      <c r="D9" s="649"/>
      <c r="E9" s="649"/>
      <c r="F9" s="649"/>
      <c r="G9" s="686"/>
      <c r="H9" s="96"/>
      <c r="I9" s="55" t="s">
        <v>50</v>
      </c>
      <c r="J9" s="51" t="s">
        <v>51</v>
      </c>
      <c r="K9" s="55" t="s">
        <v>50</v>
      </c>
      <c r="L9" s="51" t="s">
        <v>51</v>
      </c>
      <c r="M9" s="55" t="s">
        <v>50</v>
      </c>
      <c r="N9" s="51" t="s">
        <v>51</v>
      </c>
      <c r="O9" s="55" t="s">
        <v>50</v>
      </c>
      <c r="P9" s="51" t="s">
        <v>51</v>
      </c>
      <c r="Q9" s="55" t="s">
        <v>50</v>
      </c>
      <c r="R9" s="51" t="s">
        <v>51</v>
      </c>
      <c r="S9" s="55" t="s">
        <v>50</v>
      </c>
      <c r="T9" s="51" t="s">
        <v>51</v>
      </c>
      <c r="U9" s="55" t="s">
        <v>50</v>
      </c>
      <c r="V9" s="51" t="s">
        <v>51</v>
      </c>
      <c r="W9" s="117"/>
      <c r="X9" s="117"/>
      <c r="Y9" s="117"/>
      <c r="Z9" s="117"/>
      <c r="AA9" s="117"/>
      <c r="AB9" s="118"/>
      <c r="AC9" s="119"/>
      <c r="AD9" s="119"/>
      <c r="AE9" s="119"/>
      <c r="AF9" s="120"/>
      <c r="AG9" s="120"/>
    </row>
    <row r="10" spans="1:33" s="17" customFormat="1" x14ac:dyDescent="0.2">
      <c r="A10" s="324" t="s">
        <v>57</v>
      </c>
      <c r="B10" s="225"/>
      <c r="C10" s="225"/>
      <c r="D10" s="225"/>
      <c r="E10" s="225"/>
      <c r="F10" s="225"/>
      <c r="G10" s="317" t="s">
        <v>323</v>
      </c>
      <c r="H10" s="45"/>
      <c r="I10" s="49">
        <f t="shared" ref="I10:P10" si="0">I11+I18+I21+I24+I27+I28+I31+I32+I39</f>
        <v>0</v>
      </c>
      <c r="J10" s="49">
        <f t="shared" si="0"/>
        <v>0</v>
      </c>
      <c r="K10" s="49">
        <f t="shared" si="0"/>
        <v>0</v>
      </c>
      <c r="L10" s="49">
        <f t="shared" si="0"/>
        <v>0</v>
      </c>
      <c r="M10" s="49">
        <f t="shared" si="0"/>
        <v>0</v>
      </c>
      <c r="N10" s="49">
        <f t="shared" si="0"/>
        <v>0</v>
      </c>
      <c r="O10" s="49">
        <f t="shared" si="0"/>
        <v>0</v>
      </c>
      <c r="P10" s="49">
        <f t="shared" si="0"/>
        <v>0</v>
      </c>
      <c r="Q10" s="49">
        <f t="shared" ref="Q10:Q17" si="1">I10+K10+M10+O10</f>
        <v>0</v>
      </c>
      <c r="R10" s="49">
        <f t="shared" ref="R10:R45" si="2">J10+L10+N10+P10</f>
        <v>0</v>
      </c>
      <c r="S10" s="49">
        <f>S11+S18+S21+S24+S27+S28+S31+S32+S39</f>
        <v>0</v>
      </c>
      <c r="T10" s="49">
        <f>T11+T18+T21+T24+T27+T28+T31+T32+T39</f>
        <v>0</v>
      </c>
      <c r="U10" s="49">
        <f t="shared" ref="U10:U17" si="3">Q10-S10</f>
        <v>0</v>
      </c>
      <c r="V10" s="49">
        <f t="shared" ref="V10:V45" si="4">R10-T10</f>
        <v>0</v>
      </c>
      <c r="W10" s="16"/>
      <c r="X10" s="16"/>
      <c r="Y10" s="16"/>
      <c r="Z10" s="16"/>
      <c r="AA10" s="16"/>
      <c r="AB10" s="16"/>
      <c r="AC10" s="16"/>
      <c r="AD10" s="16"/>
      <c r="AE10" s="16"/>
      <c r="AF10" s="16"/>
      <c r="AG10" s="16"/>
    </row>
    <row r="11" spans="1:33" s="17" customFormat="1" x14ac:dyDescent="0.2">
      <c r="A11" s="326" t="s">
        <v>58</v>
      </c>
      <c r="B11" s="225" t="s">
        <v>544</v>
      </c>
      <c r="C11" s="225"/>
      <c r="D11" s="225"/>
      <c r="E11" s="225"/>
      <c r="F11" s="225"/>
      <c r="G11" s="317" t="s">
        <v>324</v>
      </c>
      <c r="H11" s="45"/>
      <c r="I11" s="49">
        <f t="shared" ref="I11:P11" si="5">+I12+I13+I14</f>
        <v>0</v>
      </c>
      <c r="J11" s="49">
        <f t="shared" si="5"/>
        <v>0</v>
      </c>
      <c r="K11" s="49">
        <f t="shared" si="5"/>
        <v>0</v>
      </c>
      <c r="L11" s="49">
        <f t="shared" si="5"/>
        <v>0</v>
      </c>
      <c r="M11" s="49">
        <f t="shared" si="5"/>
        <v>0</v>
      </c>
      <c r="N11" s="49">
        <f t="shared" si="5"/>
        <v>0</v>
      </c>
      <c r="O11" s="49">
        <f t="shared" si="5"/>
        <v>0</v>
      </c>
      <c r="P11" s="49">
        <f t="shared" si="5"/>
        <v>0</v>
      </c>
      <c r="Q11" s="49">
        <f t="shared" si="1"/>
        <v>0</v>
      </c>
      <c r="R11" s="49">
        <f t="shared" si="2"/>
        <v>0</v>
      </c>
      <c r="S11" s="49">
        <f>+S12+S13+S14</f>
        <v>0</v>
      </c>
      <c r="T11" s="49">
        <f>+T12+T13+T14</f>
        <v>0</v>
      </c>
      <c r="U11" s="49">
        <f t="shared" si="3"/>
        <v>0</v>
      </c>
      <c r="V11" s="49">
        <f t="shared" si="4"/>
        <v>0</v>
      </c>
      <c r="W11" s="16"/>
      <c r="X11" s="16"/>
      <c r="Y11" s="16"/>
      <c r="Z11" s="16"/>
      <c r="AA11" s="16"/>
      <c r="AB11" s="16"/>
      <c r="AC11" s="16"/>
      <c r="AD11" s="16"/>
      <c r="AE11" s="16"/>
      <c r="AF11" s="16"/>
      <c r="AG11" s="16"/>
    </row>
    <row r="12" spans="1:33" s="17" customFormat="1" x14ac:dyDescent="0.2">
      <c r="A12" s="326"/>
      <c r="B12" s="225" t="s">
        <v>59</v>
      </c>
      <c r="C12" s="225" t="s">
        <v>60</v>
      </c>
      <c r="D12" s="225"/>
      <c r="E12" s="225"/>
      <c r="F12" s="225"/>
      <c r="G12" s="317" t="s">
        <v>325</v>
      </c>
      <c r="H12" s="45"/>
      <c r="I12" s="50"/>
      <c r="J12" s="50"/>
      <c r="K12" s="50"/>
      <c r="L12" s="50"/>
      <c r="M12" s="50"/>
      <c r="N12" s="50"/>
      <c r="O12" s="50"/>
      <c r="P12" s="50"/>
      <c r="Q12" s="49">
        <f t="shared" si="1"/>
        <v>0</v>
      </c>
      <c r="R12" s="49">
        <f t="shared" si="2"/>
        <v>0</v>
      </c>
      <c r="S12" s="50"/>
      <c r="T12" s="50"/>
      <c r="U12" s="49">
        <f t="shared" si="3"/>
        <v>0</v>
      </c>
      <c r="V12" s="49">
        <f t="shared" si="4"/>
        <v>0</v>
      </c>
      <c r="W12" s="16"/>
      <c r="X12" s="16"/>
      <c r="Y12" s="16"/>
      <c r="Z12" s="16"/>
      <c r="AA12" s="16"/>
      <c r="AB12" s="16"/>
      <c r="AC12" s="16"/>
      <c r="AD12" s="16"/>
      <c r="AE12" s="16"/>
      <c r="AF12" s="16"/>
      <c r="AG12" s="16"/>
    </row>
    <row r="13" spans="1:33" s="17" customFormat="1" x14ac:dyDescent="0.2">
      <c r="A13" s="326"/>
      <c r="B13" s="225" t="s">
        <v>61</v>
      </c>
      <c r="C13" s="225" t="s">
        <v>72</v>
      </c>
      <c r="D13" s="225"/>
      <c r="E13" s="225"/>
      <c r="F13" s="225"/>
      <c r="G13" s="317" t="s">
        <v>541</v>
      </c>
      <c r="H13" s="45"/>
      <c r="I13" s="50"/>
      <c r="J13" s="50"/>
      <c r="K13" s="50"/>
      <c r="L13" s="50"/>
      <c r="M13" s="50"/>
      <c r="N13" s="50"/>
      <c r="O13" s="50"/>
      <c r="P13" s="50"/>
      <c r="Q13" s="49">
        <f t="shared" si="1"/>
        <v>0</v>
      </c>
      <c r="R13" s="49">
        <f>J13+L13+N13+P13</f>
        <v>0</v>
      </c>
      <c r="S13" s="50"/>
      <c r="T13" s="50"/>
      <c r="U13" s="49">
        <f t="shared" si="3"/>
        <v>0</v>
      </c>
      <c r="V13" s="49">
        <f>R13-T13</f>
        <v>0</v>
      </c>
      <c r="W13" s="16"/>
      <c r="X13" s="16"/>
      <c r="Y13" s="16"/>
      <c r="Z13" s="16"/>
      <c r="AA13" s="16"/>
      <c r="AB13" s="16"/>
      <c r="AC13" s="16"/>
      <c r="AD13" s="16"/>
      <c r="AE13" s="16"/>
      <c r="AF13" s="16"/>
      <c r="AG13" s="16"/>
    </row>
    <row r="14" spans="1:33" s="17" customFormat="1" x14ac:dyDescent="0.2">
      <c r="A14" s="326"/>
      <c r="B14" s="225" t="s">
        <v>71</v>
      </c>
      <c r="C14" s="225" t="s">
        <v>62</v>
      </c>
      <c r="D14" s="225"/>
      <c r="E14" s="225"/>
      <c r="F14" s="225"/>
      <c r="G14" s="317" t="s">
        <v>326</v>
      </c>
      <c r="H14" s="45"/>
      <c r="I14" s="41">
        <f t="shared" ref="I14:P14" si="6">I15+I16+I17</f>
        <v>0</v>
      </c>
      <c r="J14" s="41">
        <f t="shared" si="6"/>
        <v>0</v>
      </c>
      <c r="K14" s="41">
        <f t="shared" si="6"/>
        <v>0</v>
      </c>
      <c r="L14" s="41">
        <f t="shared" si="6"/>
        <v>0</v>
      </c>
      <c r="M14" s="41">
        <f t="shared" si="6"/>
        <v>0</v>
      </c>
      <c r="N14" s="41">
        <f t="shared" si="6"/>
        <v>0</v>
      </c>
      <c r="O14" s="41">
        <f t="shared" si="6"/>
        <v>0</v>
      </c>
      <c r="P14" s="41">
        <f t="shared" si="6"/>
        <v>0</v>
      </c>
      <c r="Q14" s="49">
        <f t="shared" si="1"/>
        <v>0</v>
      </c>
      <c r="R14" s="49">
        <f t="shared" si="2"/>
        <v>0</v>
      </c>
      <c r="S14" s="41">
        <f>S15+S16+S17</f>
        <v>0</v>
      </c>
      <c r="T14" s="41">
        <f>T15+T16+T17</f>
        <v>0</v>
      </c>
      <c r="U14" s="49">
        <f t="shared" si="3"/>
        <v>0</v>
      </c>
      <c r="V14" s="49">
        <f t="shared" si="4"/>
        <v>0</v>
      </c>
      <c r="W14" s="16"/>
      <c r="X14" s="16"/>
      <c r="Y14" s="16"/>
      <c r="Z14" s="16"/>
      <c r="AA14" s="16"/>
      <c r="AB14" s="16"/>
      <c r="AC14" s="16"/>
      <c r="AD14" s="16"/>
      <c r="AE14" s="16"/>
      <c r="AF14" s="16"/>
      <c r="AG14" s="16"/>
    </row>
    <row r="15" spans="1:33" s="17" customFormat="1" x14ac:dyDescent="0.2">
      <c r="A15" s="326"/>
      <c r="B15" s="225"/>
      <c r="C15" s="310" t="s">
        <v>54</v>
      </c>
      <c r="D15" s="225" t="s">
        <v>63</v>
      </c>
      <c r="E15" s="225"/>
      <c r="F15" s="225"/>
      <c r="G15" s="317" t="s">
        <v>327</v>
      </c>
      <c r="H15" s="45"/>
      <c r="I15" s="44"/>
      <c r="J15" s="44"/>
      <c r="K15" s="44"/>
      <c r="L15" s="44"/>
      <c r="M15" s="44"/>
      <c r="N15" s="44"/>
      <c r="O15" s="44"/>
      <c r="P15" s="44"/>
      <c r="Q15" s="49">
        <f t="shared" si="1"/>
        <v>0</v>
      </c>
      <c r="R15" s="49">
        <f t="shared" si="2"/>
        <v>0</v>
      </c>
      <c r="S15" s="44"/>
      <c r="T15" s="44"/>
      <c r="U15" s="49">
        <f t="shared" si="3"/>
        <v>0</v>
      </c>
      <c r="V15" s="49">
        <f t="shared" si="4"/>
        <v>0</v>
      </c>
      <c r="W15" s="16"/>
      <c r="X15" s="16"/>
      <c r="Y15" s="16"/>
      <c r="Z15" s="16"/>
      <c r="AA15" s="16"/>
      <c r="AB15" s="16"/>
      <c r="AC15" s="16"/>
      <c r="AD15" s="16"/>
      <c r="AE15" s="16"/>
      <c r="AF15" s="16"/>
      <c r="AG15" s="16"/>
    </row>
    <row r="16" spans="1:33" s="17" customFormat="1" x14ac:dyDescent="0.2">
      <c r="A16" s="326"/>
      <c r="B16" s="225"/>
      <c r="C16" s="310" t="s">
        <v>55</v>
      </c>
      <c r="D16" s="225" t="s">
        <v>64</v>
      </c>
      <c r="E16" s="225"/>
      <c r="F16" s="225"/>
      <c r="G16" s="317" t="s">
        <v>328</v>
      </c>
      <c r="H16" s="45"/>
      <c r="I16" s="44"/>
      <c r="J16" s="44"/>
      <c r="K16" s="44"/>
      <c r="L16" s="44"/>
      <c r="M16" s="44"/>
      <c r="N16" s="44"/>
      <c r="O16" s="44"/>
      <c r="P16" s="44"/>
      <c r="Q16" s="49">
        <f t="shared" si="1"/>
        <v>0</v>
      </c>
      <c r="R16" s="49">
        <f t="shared" si="2"/>
        <v>0</v>
      </c>
      <c r="S16" s="44"/>
      <c r="T16" s="44"/>
      <c r="U16" s="49">
        <f t="shared" si="3"/>
        <v>0</v>
      </c>
      <c r="V16" s="49">
        <f t="shared" si="4"/>
        <v>0</v>
      </c>
      <c r="W16" s="16"/>
      <c r="X16" s="16"/>
      <c r="Y16" s="16"/>
      <c r="Z16" s="16"/>
      <c r="AA16" s="16"/>
      <c r="AB16" s="16"/>
      <c r="AC16" s="16"/>
      <c r="AD16" s="16"/>
      <c r="AE16" s="16"/>
      <c r="AF16" s="16"/>
      <c r="AG16" s="16"/>
    </row>
    <row r="17" spans="1:33" s="17" customFormat="1" x14ac:dyDescent="0.2">
      <c r="A17" s="326"/>
      <c r="B17" s="225"/>
      <c r="C17" s="310" t="s">
        <v>65</v>
      </c>
      <c r="D17" s="225" t="s">
        <v>66</v>
      </c>
      <c r="E17" s="225"/>
      <c r="F17" s="225"/>
      <c r="G17" s="317" t="s">
        <v>329</v>
      </c>
      <c r="H17" s="45"/>
      <c r="I17" s="44"/>
      <c r="J17" s="44"/>
      <c r="K17" s="44"/>
      <c r="L17" s="44"/>
      <c r="M17" s="44"/>
      <c r="N17" s="44"/>
      <c r="O17" s="44"/>
      <c r="P17" s="44"/>
      <c r="Q17" s="49">
        <f t="shared" si="1"/>
        <v>0</v>
      </c>
      <c r="R17" s="49">
        <f t="shared" si="2"/>
        <v>0</v>
      </c>
      <c r="S17" s="44"/>
      <c r="T17" s="44"/>
      <c r="U17" s="49">
        <f t="shared" si="3"/>
        <v>0</v>
      </c>
      <c r="V17" s="49">
        <f t="shared" si="4"/>
        <v>0</v>
      </c>
      <c r="W17" s="16"/>
      <c r="X17" s="16"/>
      <c r="Y17" s="16"/>
      <c r="Z17" s="16"/>
      <c r="AA17" s="16"/>
      <c r="AB17" s="16"/>
      <c r="AC17" s="16"/>
      <c r="AD17" s="16"/>
      <c r="AE17" s="16"/>
      <c r="AF17" s="16"/>
      <c r="AG17" s="16"/>
    </row>
    <row r="18" spans="1:33" s="17" customFormat="1" x14ac:dyDescent="0.2">
      <c r="A18" s="326" t="s">
        <v>55</v>
      </c>
      <c r="B18" s="225" t="s">
        <v>67</v>
      </c>
      <c r="C18" s="225"/>
      <c r="D18" s="225"/>
      <c r="E18" s="225"/>
      <c r="F18" s="225"/>
      <c r="G18" s="317" t="s">
        <v>330</v>
      </c>
      <c r="H18" s="45"/>
      <c r="I18" s="41">
        <f>I19+I20</f>
        <v>0</v>
      </c>
      <c r="J18" s="41">
        <f t="shared" ref="J18:P18" si="7">J19+J20</f>
        <v>0</v>
      </c>
      <c r="K18" s="41">
        <f t="shared" si="7"/>
        <v>0</v>
      </c>
      <c r="L18" s="41">
        <f t="shared" si="7"/>
        <v>0</v>
      </c>
      <c r="M18" s="41">
        <f t="shared" si="7"/>
        <v>0</v>
      </c>
      <c r="N18" s="41">
        <f t="shared" si="7"/>
        <v>0</v>
      </c>
      <c r="O18" s="41">
        <f t="shared" si="7"/>
        <v>0</v>
      </c>
      <c r="P18" s="41">
        <f t="shared" si="7"/>
        <v>0</v>
      </c>
      <c r="Q18" s="49">
        <f t="shared" ref="Q18:R20" si="8">I18+K18+M18+O18</f>
        <v>0</v>
      </c>
      <c r="R18" s="49">
        <f t="shared" si="8"/>
        <v>0</v>
      </c>
      <c r="S18" s="41">
        <f>S19+S20</f>
        <v>0</v>
      </c>
      <c r="T18" s="41">
        <f>T19+T20</f>
        <v>0</v>
      </c>
      <c r="U18" s="49">
        <f t="shared" ref="U18:V20" si="9">Q18-S18</f>
        <v>0</v>
      </c>
      <c r="V18" s="49">
        <f t="shared" si="9"/>
        <v>0</v>
      </c>
      <c r="W18" s="16"/>
      <c r="X18" s="16"/>
      <c r="Y18" s="16"/>
      <c r="Z18" s="16"/>
      <c r="AA18" s="16"/>
      <c r="AB18" s="16"/>
      <c r="AC18" s="16"/>
      <c r="AD18" s="16"/>
      <c r="AE18" s="16"/>
      <c r="AF18" s="16"/>
      <c r="AG18" s="16"/>
    </row>
    <row r="19" spans="1:33" s="17" customFormat="1" x14ac:dyDescent="0.2">
      <c r="A19" s="326"/>
      <c r="B19" s="225" t="s">
        <v>59</v>
      </c>
      <c r="C19" s="225" t="s">
        <v>68</v>
      </c>
      <c r="D19" s="225"/>
      <c r="E19" s="225"/>
      <c r="F19" s="225"/>
      <c r="G19" s="317" t="s">
        <v>331</v>
      </c>
      <c r="H19" s="45"/>
      <c r="I19" s="44"/>
      <c r="J19" s="44"/>
      <c r="K19" s="44"/>
      <c r="L19" s="44"/>
      <c r="M19" s="44"/>
      <c r="N19" s="44"/>
      <c r="O19" s="44"/>
      <c r="P19" s="44"/>
      <c r="Q19" s="49">
        <f t="shared" si="8"/>
        <v>0</v>
      </c>
      <c r="R19" s="49">
        <f t="shared" si="8"/>
        <v>0</v>
      </c>
      <c r="S19" s="44"/>
      <c r="T19" s="44"/>
      <c r="U19" s="49">
        <f t="shared" si="9"/>
        <v>0</v>
      </c>
      <c r="V19" s="49">
        <f t="shared" si="9"/>
        <v>0</v>
      </c>
      <c r="W19" s="16"/>
      <c r="X19" s="16"/>
      <c r="Y19" s="16"/>
      <c r="Z19" s="16"/>
      <c r="AA19" s="16"/>
      <c r="AB19" s="16"/>
      <c r="AC19" s="16"/>
      <c r="AD19" s="16"/>
      <c r="AE19" s="16"/>
      <c r="AF19" s="16"/>
      <c r="AG19" s="16"/>
    </row>
    <row r="20" spans="1:33" s="17" customFormat="1" x14ac:dyDescent="0.2">
      <c r="A20" s="326"/>
      <c r="B20" s="225" t="s">
        <v>69</v>
      </c>
      <c r="C20" s="225" t="s">
        <v>70</v>
      </c>
      <c r="D20" s="225"/>
      <c r="E20" s="225"/>
      <c r="F20" s="225"/>
      <c r="G20" s="317" t="s">
        <v>332</v>
      </c>
      <c r="H20" s="45"/>
      <c r="I20" s="44"/>
      <c r="J20" s="44"/>
      <c r="K20" s="44"/>
      <c r="L20" s="44"/>
      <c r="M20" s="44"/>
      <c r="N20" s="44"/>
      <c r="O20" s="44"/>
      <c r="P20" s="44"/>
      <c r="Q20" s="49">
        <f t="shared" si="8"/>
        <v>0</v>
      </c>
      <c r="R20" s="49">
        <f t="shared" si="8"/>
        <v>0</v>
      </c>
      <c r="S20" s="44"/>
      <c r="T20" s="44"/>
      <c r="U20" s="49">
        <f t="shared" si="9"/>
        <v>0</v>
      </c>
      <c r="V20" s="49">
        <f t="shared" si="9"/>
        <v>0</v>
      </c>
      <c r="W20" s="16"/>
      <c r="X20" s="16"/>
      <c r="Y20" s="16"/>
      <c r="Z20" s="16"/>
      <c r="AA20" s="16"/>
      <c r="AB20" s="16"/>
      <c r="AC20" s="16"/>
      <c r="AD20" s="16"/>
      <c r="AE20" s="16"/>
      <c r="AF20" s="16"/>
      <c r="AG20" s="16"/>
    </row>
    <row r="21" spans="1:33" s="17" customFormat="1" x14ac:dyDescent="0.2">
      <c r="A21" s="326" t="s">
        <v>65</v>
      </c>
      <c r="B21" s="225" t="s">
        <v>1436</v>
      </c>
      <c r="C21" s="225"/>
      <c r="D21" s="225"/>
      <c r="E21" s="225"/>
      <c r="F21" s="225"/>
      <c r="G21" s="317" t="s">
        <v>333</v>
      </c>
      <c r="H21" s="45"/>
      <c r="I21" s="41">
        <f>I22+I23</f>
        <v>0</v>
      </c>
      <c r="J21" s="41">
        <f t="shared" ref="J21:P21" si="10">J22+J23</f>
        <v>0</v>
      </c>
      <c r="K21" s="41">
        <f t="shared" si="10"/>
        <v>0</v>
      </c>
      <c r="L21" s="41">
        <f t="shared" si="10"/>
        <v>0</v>
      </c>
      <c r="M21" s="41">
        <f t="shared" si="10"/>
        <v>0</v>
      </c>
      <c r="N21" s="41">
        <f t="shared" si="10"/>
        <v>0</v>
      </c>
      <c r="O21" s="41">
        <f t="shared" si="10"/>
        <v>0</v>
      </c>
      <c r="P21" s="41">
        <f t="shared" si="10"/>
        <v>0</v>
      </c>
      <c r="Q21" s="49">
        <f t="shared" ref="Q21:R23" si="11">I21+K21+M21+O21</f>
        <v>0</v>
      </c>
      <c r="R21" s="49">
        <f t="shared" si="11"/>
        <v>0</v>
      </c>
      <c r="S21" s="41">
        <f>S22+S23</f>
        <v>0</v>
      </c>
      <c r="T21" s="41">
        <f>T22+T23</f>
        <v>0</v>
      </c>
      <c r="U21" s="49">
        <f t="shared" ref="U21:V23" si="12">Q21-S21</f>
        <v>0</v>
      </c>
      <c r="V21" s="49">
        <f t="shared" si="12"/>
        <v>0</v>
      </c>
      <c r="W21" s="16"/>
      <c r="X21" s="16"/>
      <c r="Y21" s="16"/>
      <c r="Z21" s="16"/>
      <c r="AA21" s="16"/>
      <c r="AB21" s="16"/>
      <c r="AC21" s="16"/>
      <c r="AD21" s="16"/>
      <c r="AE21" s="16"/>
      <c r="AF21" s="16"/>
      <c r="AG21" s="16"/>
    </row>
    <row r="22" spans="1:33" s="17" customFormat="1" x14ac:dyDescent="0.2">
      <c r="A22" s="326"/>
      <c r="B22" s="3" t="s">
        <v>59</v>
      </c>
      <c r="C22" s="658" t="s">
        <v>543</v>
      </c>
      <c r="D22" s="659"/>
      <c r="E22" s="659"/>
      <c r="F22" s="660"/>
      <c r="G22" s="602" t="s">
        <v>1431</v>
      </c>
      <c r="H22" s="45"/>
      <c r="I22" s="44"/>
      <c r="J22" s="44"/>
      <c r="K22" s="44"/>
      <c r="L22" s="44"/>
      <c r="M22" s="44"/>
      <c r="N22" s="44"/>
      <c r="O22" s="44"/>
      <c r="P22" s="44"/>
      <c r="Q22" s="49">
        <f t="shared" si="11"/>
        <v>0</v>
      </c>
      <c r="R22" s="49">
        <f t="shared" si="11"/>
        <v>0</v>
      </c>
      <c r="S22" s="44"/>
      <c r="T22" s="44"/>
      <c r="U22" s="49">
        <f t="shared" si="12"/>
        <v>0</v>
      </c>
      <c r="V22" s="49">
        <f t="shared" si="12"/>
        <v>0</v>
      </c>
      <c r="W22" s="16"/>
      <c r="X22" s="16"/>
      <c r="Y22" s="16"/>
      <c r="Z22" s="16"/>
      <c r="AA22" s="16"/>
      <c r="AB22" s="16"/>
      <c r="AC22" s="16"/>
      <c r="AD22" s="16"/>
      <c r="AE22" s="16"/>
      <c r="AF22" s="16"/>
      <c r="AG22" s="16"/>
    </row>
    <row r="23" spans="1:33" s="17" customFormat="1" x14ac:dyDescent="0.2">
      <c r="A23" s="326"/>
      <c r="B23" s="3" t="s">
        <v>61</v>
      </c>
      <c r="C23" s="658" t="s">
        <v>1430</v>
      </c>
      <c r="D23" s="659"/>
      <c r="E23" s="659"/>
      <c r="F23" s="660"/>
      <c r="G23" s="602" t="s">
        <v>1432</v>
      </c>
      <c r="H23" s="45"/>
      <c r="I23" s="44"/>
      <c r="J23" s="44"/>
      <c r="K23" s="44"/>
      <c r="L23" s="44"/>
      <c r="M23" s="44"/>
      <c r="N23" s="44"/>
      <c r="O23" s="44"/>
      <c r="P23" s="44"/>
      <c r="Q23" s="49">
        <f t="shared" si="11"/>
        <v>0</v>
      </c>
      <c r="R23" s="49">
        <f t="shared" si="11"/>
        <v>0</v>
      </c>
      <c r="S23" s="44"/>
      <c r="T23" s="44"/>
      <c r="U23" s="49">
        <f t="shared" si="12"/>
        <v>0</v>
      </c>
      <c r="V23" s="49">
        <f t="shared" si="12"/>
        <v>0</v>
      </c>
      <c r="W23" s="16"/>
      <c r="X23" s="16"/>
      <c r="Y23" s="16"/>
      <c r="Z23" s="16"/>
      <c r="AA23" s="16"/>
      <c r="AB23" s="16"/>
      <c r="AC23" s="16"/>
      <c r="AD23" s="16"/>
      <c r="AE23" s="16"/>
      <c r="AF23" s="16"/>
      <c r="AG23" s="16"/>
    </row>
    <row r="24" spans="1:33" s="17" customFormat="1" x14ac:dyDescent="0.2">
      <c r="A24" s="326" t="s">
        <v>90</v>
      </c>
      <c r="B24" s="225" t="s">
        <v>641</v>
      </c>
      <c r="C24" s="225"/>
      <c r="D24" s="225"/>
      <c r="E24" s="225"/>
      <c r="F24" s="225"/>
      <c r="G24" s="317" t="s">
        <v>334</v>
      </c>
      <c r="H24" s="45"/>
      <c r="I24" s="41">
        <f>I25+I26</f>
        <v>0</v>
      </c>
      <c r="J24" s="41">
        <f t="shared" ref="J24:P24" si="13">J25+J26</f>
        <v>0</v>
      </c>
      <c r="K24" s="41">
        <f t="shared" si="13"/>
        <v>0</v>
      </c>
      <c r="L24" s="41">
        <f t="shared" si="13"/>
        <v>0</v>
      </c>
      <c r="M24" s="41">
        <f t="shared" si="13"/>
        <v>0</v>
      </c>
      <c r="N24" s="41">
        <f t="shared" si="13"/>
        <v>0</v>
      </c>
      <c r="O24" s="41">
        <f t="shared" si="13"/>
        <v>0</v>
      </c>
      <c r="P24" s="41">
        <f t="shared" si="13"/>
        <v>0</v>
      </c>
      <c r="Q24" s="49">
        <f t="shared" ref="Q24:R26" si="14">I24+K24+M24+O24</f>
        <v>0</v>
      </c>
      <c r="R24" s="49">
        <f t="shared" si="14"/>
        <v>0</v>
      </c>
      <c r="S24" s="41">
        <f>S25+S26</f>
        <v>0</v>
      </c>
      <c r="T24" s="41">
        <f>T25+T26</f>
        <v>0</v>
      </c>
      <c r="U24" s="49">
        <f t="shared" ref="U24:V26" si="15">Q24-S24</f>
        <v>0</v>
      </c>
      <c r="V24" s="49">
        <f t="shared" si="15"/>
        <v>0</v>
      </c>
      <c r="W24" s="16"/>
      <c r="X24" s="16"/>
      <c r="Y24" s="16"/>
      <c r="Z24" s="16"/>
      <c r="AA24" s="16"/>
      <c r="AB24" s="16"/>
      <c r="AC24" s="16"/>
      <c r="AD24" s="16"/>
      <c r="AE24" s="16"/>
      <c r="AF24" s="16"/>
      <c r="AG24" s="16"/>
    </row>
    <row r="25" spans="1:33" s="17" customFormat="1" x14ac:dyDescent="0.2">
      <c r="A25" s="326"/>
      <c r="B25" s="225" t="s">
        <v>59</v>
      </c>
      <c r="C25" s="225" t="s">
        <v>1451</v>
      </c>
      <c r="D25" s="225"/>
      <c r="E25" s="225"/>
      <c r="F25" s="225"/>
      <c r="G25" s="317" t="s">
        <v>335</v>
      </c>
      <c r="H25" s="45"/>
      <c r="I25" s="44"/>
      <c r="J25" s="44"/>
      <c r="K25" s="44"/>
      <c r="L25" s="44"/>
      <c r="M25" s="44"/>
      <c r="N25" s="44"/>
      <c r="O25" s="44"/>
      <c r="P25" s="44"/>
      <c r="Q25" s="49">
        <f t="shared" si="14"/>
        <v>0</v>
      </c>
      <c r="R25" s="49">
        <f t="shared" si="14"/>
        <v>0</v>
      </c>
      <c r="S25" s="44"/>
      <c r="T25" s="44"/>
      <c r="U25" s="49">
        <f t="shared" si="15"/>
        <v>0</v>
      </c>
      <c r="V25" s="49">
        <f t="shared" si="15"/>
        <v>0</v>
      </c>
      <c r="W25" s="16"/>
      <c r="X25" s="16"/>
      <c r="Y25" s="16"/>
      <c r="Z25" s="16"/>
      <c r="AA25" s="16"/>
      <c r="AB25" s="16"/>
      <c r="AC25" s="16"/>
      <c r="AD25" s="16"/>
      <c r="AE25" s="16"/>
      <c r="AF25" s="16"/>
      <c r="AG25" s="16"/>
    </row>
    <row r="26" spans="1:33" s="17" customFormat="1" x14ac:dyDescent="0.2">
      <c r="A26" s="326"/>
      <c r="B26" s="225" t="s">
        <v>69</v>
      </c>
      <c r="C26" s="225" t="s">
        <v>1452</v>
      </c>
      <c r="D26" s="225"/>
      <c r="E26" s="225"/>
      <c r="F26" s="225"/>
      <c r="G26" s="317" t="s">
        <v>336</v>
      </c>
      <c r="H26" s="45"/>
      <c r="I26" s="44"/>
      <c r="J26" s="44"/>
      <c r="K26" s="44"/>
      <c r="L26" s="44"/>
      <c r="M26" s="44"/>
      <c r="N26" s="44"/>
      <c r="O26" s="44"/>
      <c r="P26" s="44"/>
      <c r="Q26" s="49">
        <f t="shared" si="14"/>
        <v>0</v>
      </c>
      <c r="R26" s="49">
        <f t="shared" si="14"/>
        <v>0</v>
      </c>
      <c r="S26" s="44"/>
      <c r="T26" s="44"/>
      <c r="U26" s="49">
        <f t="shared" si="15"/>
        <v>0</v>
      </c>
      <c r="V26" s="49">
        <f t="shared" si="15"/>
        <v>0</v>
      </c>
      <c r="W26" s="16"/>
      <c r="X26" s="16"/>
      <c r="Y26" s="16"/>
      <c r="Z26" s="16"/>
      <c r="AA26" s="16"/>
      <c r="AB26" s="16"/>
      <c r="AC26" s="16"/>
      <c r="AD26" s="16"/>
      <c r="AE26" s="16"/>
      <c r="AF26" s="16"/>
      <c r="AG26" s="16"/>
    </row>
    <row r="27" spans="1:33" s="17" customFormat="1" x14ac:dyDescent="0.2">
      <c r="A27" s="326" t="s">
        <v>257</v>
      </c>
      <c r="B27" s="225" t="s">
        <v>983</v>
      </c>
      <c r="C27" s="225"/>
      <c r="D27" s="225"/>
      <c r="E27" s="225"/>
      <c r="F27" s="225"/>
      <c r="G27" s="317" t="s">
        <v>337</v>
      </c>
      <c r="H27" s="45"/>
      <c r="I27" s="44"/>
      <c r="J27" s="44"/>
      <c r="K27" s="44"/>
      <c r="L27" s="44"/>
      <c r="M27" s="44"/>
      <c r="N27" s="44"/>
      <c r="O27" s="44"/>
      <c r="P27" s="44"/>
      <c r="Q27" s="49">
        <f t="shared" ref="Q27:Q45" si="16">I27+K27+M27+O27</f>
        <v>0</v>
      </c>
      <c r="R27" s="49">
        <f t="shared" si="2"/>
        <v>0</v>
      </c>
      <c r="S27" s="44"/>
      <c r="T27" s="44"/>
      <c r="U27" s="49">
        <f t="shared" ref="U27:U45" si="17">Q27-S27</f>
        <v>0</v>
      </c>
      <c r="V27" s="49">
        <f t="shared" si="4"/>
        <v>0</v>
      </c>
      <c r="W27" s="16"/>
      <c r="X27" s="16"/>
      <c r="Y27" s="16"/>
      <c r="Z27" s="16"/>
      <c r="AA27" s="16"/>
      <c r="AB27" s="16"/>
      <c r="AC27" s="16"/>
      <c r="AD27" s="16"/>
      <c r="AE27" s="16"/>
      <c r="AF27" s="16"/>
      <c r="AG27" s="16"/>
    </row>
    <row r="28" spans="1:33" s="17" customFormat="1" x14ac:dyDescent="0.2">
      <c r="A28" s="326" t="s">
        <v>74</v>
      </c>
      <c r="B28" s="225" t="s">
        <v>77</v>
      </c>
      <c r="C28" s="225"/>
      <c r="D28" s="225"/>
      <c r="E28" s="225"/>
      <c r="F28" s="225"/>
      <c r="G28" s="317" t="s">
        <v>338</v>
      </c>
      <c r="H28" s="45"/>
      <c r="I28" s="41">
        <f t="shared" ref="I28:P28" si="18">I29+I30</f>
        <v>0</v>
      </c>
      <c r="J28" s="41">
        <f t="shared" si="18"/>
        <v>0</v>
      </c>
      <c r="K28" s="41">
        <f t="shared" si="18"/>
        <v>0</v>
      </c>
      <c r="L28" s="41">
        <f t="shared" si="18"/>
        <v>0</v>
      </c>
      <c r="M28" s="41">
        <f t="shared" si="18"/>
        <v>0</v>
      </c>
      <c r="N28" s="41">
        <f t="shared" si="18"/>
        <v>0</v>
      </c>
      <c r="O28" s="41">
        <f t="shared" si="18"/>
        <v>0</v>
      </c>
      <c r="P28" s="41">
        <f t="shared" si="18"/>
        <v>0</v>
      </c>
      <c r="Q28" s="49">
        <f t="shared" si="16"/>
        <v>0</v>
      </c>
      <c r="R28" s="49">
        <f t="shared" si="2"/>
        <v>0</v>
      </c>
      <c r="S28" s="41">
        <f>S29+S30</f>
        <v>0</v>
      </c>
      <c r="T28" s="41">
        <f>T29+T30</f>
        <v>0</v>
      </c>
      <c r="U28" s="49">
        <f t="shared" si="17"/>
        <v>0</v>
      </c>
      <c r="V28" s="49">
        <f t="shared" si="4"/>
        <v>0</v>
      </c>
      <c r="W28" s="16"/>
      <c r="X28" s="16"/>
      <c r="Y28" s="16"/>
      <c r="Z28" s="16"/>
      <c r="AA28" s="16"/>
      <c r="AB28" s="16"/>
      <c r="AC28" s="16"/>
      <c r="AD28" s="16"/>
      <c r="AE28" s="16"/>
      <c r="AF28" s="16"/>
      <c r="AG28" s="16"/>
    </row>
    <row r="29" spans="1:33" s="17" customFormat="1" x14ac:dyDescent="0.2">
      <c r="A29" s="326"/>
      <c r="B29" s="225" t="s">
        <v>59</v>
      </c>
      <c r="C29" s="225" t="s">
        <v>78</v>
      </c>
      <c r="D29" s="225"/>
      <c r="E29" s="225"/>
      <c r="F29" s="225"/>
      <c r="G29" s="317" t="s">
        <v>339</v>
      </c>
      <c r="H29" s="45"/>
      <c r="I29" s="44"/>
      <c r="J29" s="44"/>
      <c r="K29" s="44"/>
      <c r="L29" s="44"/>
      <c r="M29" s="44"/>
      <c r="N29" s="44"/>
      <c r="O29" s="44"/>
      <c r="P29" s="44"/>
      <c r="Q29" s="49">
        <f t="shared" si="16"/>
        <v>0</v>
      </c>
      <c r="R29" s="49">
        <f t="shared" si="2"/>
        <v>0</v>
      </c>
      <c r="S29" s="44"/>
      <c r="T29" s="44"/>
      <c r="U29" s="49">
        <f t="shared" si="17"/>
        <v>0</v>
      </c>
      <c r="V29" s="49">
        <f t="shared" si="4"/>
        <v>0</v>
      </c>
      <c r="W29" s="16"/>
      <c r="X29" s="16"/>
      <c r="Y29" s="16"/>
      <c r="Z29" s="16"/>
      <c r="AA29" s="16"/>
      <c r="AB29" s="16"/>
      <c r="AC29" s="16"/>
      <c r="AD29" s="16"/>
      <c r="AE29" s="16"/>
      <c r="AF29" s="16"/>
      <c r="AG29" s="16"/>
    </row>
    <row r="30" spans="1:33" s="17" customFormat="1" x14ac:dyDescent="0.2">
      <c r="A30" s="326"/>
      <c r="B30" s="225" t="s">
        <v>61</v>
      </c>
      <c r="C30" s="225" t="s">
        <v>66</v>
      </c>
      <c r="D30" s="225"/>
      <c r="E30" s="225"/>
      <c r="F30" s="225"/>
      <c r="G30" s="317" t="s">
        <v>340</v>
      </c>
      <c r="H30" s="45"/>
      <c r="I30" s="44"/>
      <c r="J30" s="44"/>
      <c r="K30" s="44"/>
      <c r="L30" s="44"/>
      <c r="M30" s="44"/>
      <c r="N30" s="44"/>
      <c r="O30" s="44"/>
      <c r="P30" s="44"/>
      <c r="Q30" s="49">
        <f t="shared" si="16"/>
        <v>0</v>
      </c>
      <c r="R30" s="49">
        <f t="shared" si="2"/>
        <v>0</v>
      </c>
      <c r="S30" s="44"/>
      <c r="T30" s="44"/>
      <c r="U30" s="49">
        <f t="shared" si="17"/>
        <v>0</v>
      </c>
      <c r="V30" s="49">
        <f t="shared" si="4"/>
        <v>0</v>
      </c>
      <c r="W30" s="16"/>
      <c r="X30" s="16"/>
      <c r="Y30" s="16"/>
      <c r="Z30" s="16"/>
      <c r="AA30" s="16"/>
      <c r="AB30" s="16"/>
      <c r="AC30" s="16"/>
      <c r="AD30" s="16"/>
      <c r="AE30" s="16"/>
      <c r="AF30" s="16"/>
      <c r="AG30" s="16"/>
    </row>
    <row r="31" spans="1:33" s="17" customFormat="1" ht="24" customHeight="1" x14ac:dyDescent="0.2">
      <c r="A31" s="326" t="s">
        <v>76</v>
      </c>
      <c r="B31" s="661" t="s">
        <v>982</v>
      </c>
      <c r="C31" s="661"/>
      <c r="D31" s="661"/>
      <c r="E31" s="661"/>
      <c r="F31" s="661"/>
      <c r="G31" s="317" t="s">
        <v>341</v>
      </c>
      <c r="H31" s="45"/>
      <c r="I31" s="44"/>
      <c r="J31" s="44"/>
      <c r="K31" s="44"/>
      <c r="L31" s="44"/>
      <c r="M31" s="44"/>
      <c r="N31" s="44"/>
      <c r="O31" s="44"/>
      <c r="P31" s="44"/>
      <c r="Q31" s="49">
        <f t="shared" si="16"/>
        <v>0</v>
      </c>
      <c r="R31" s="49">
        <f t="shared" si="2"/>
        <v>0</v>
      </c>
      <c r="S31" s="44"/>
      <c r="T31" s="44"/>
      <c r="U31" s="49">
        <f t="shared" si="17"/>
        <v>0</v>
      </c>
      <c r="V31" s="49">
        <f t="shared" si="4"/>
        <v>0</v>
      </c>
      <c r="W31" s="16"/>
      <c r="X31" s="16"/>
      <c r="Y31" s="16"/>
      <c r="Z31" s="16"/>
      <c r="AA31" s="16"/>
      <c r="AB31" s="16"/>
      <c r="AC31" s="16"/>
      <c r="AD31" s="16"/>
      <c r="AE31" s="16"/>
      <c r="AF31" s="16"/>
      <c r="AG31" s="16"/>
    </row>
    <row r="32" spans="1:33" s="17" customFormat="1" x14ac:dyDescent="0.2">
      <c r="A32" s="326" t="s">
        <v>79</v>
      </c>
      <c r="B32" s="225" t="s">
        <v>1467</v>
      </c>
      <c r="C32" s="225"/>
      <c r="D32" s="225"/>
      <c r="E32" s="225"/>
      <c r="F32" s="225"/>
      <c r="G32" s="317" t="s">
        <v>342</v>
      </c>
      <c r="H32" s="45"/>
      <c r="I32" s="41">
        <f>I33+I34+I37+I38</f>
        <v>0</v>
      </c>
      <c r="J32" s="41">
        <f t="shared" ref="J32:P32" si="19">J33+J34+J37+J38</f>
        <v>0</v>
      </c>
      <c r="K32" s="41">
        <f t="shared" si="19"/>
        <v>0</v>
      </c>
      <c r="L32" s="41">
        <f t="shared" si="19"/>
        <v>0</v>
      </c>
      <c r="M32" s="41">
        <f t="shared" si="19"/>
        <v>0</v>
      </c>
      <c r="N32" s="41">
        <f t="shared" si="19"/>
        <v>0</v>
      </c>
      <c r="O32" s="41">
        <f t="shared" si="19"/>
        <v>0</v>
      </c>
      <c r="P32" s="41">
        <f t="shared" si="19"/>
        <v>0</v>
      </c>
      <c r="Q32" s="49">
        <f t="shared" si="16"/>
        <v>0</v>
      </c>
      <c r="R32" s="49">
        <f t="shared" si="2"/>
        <v>0</v>
      </c>
      <c r="S32" s="41">
        <f>S33+S34+S37+S38</f>
        <v>0</v>
      </c>
      <c r="T32" s="41">
        <f>T33+T34+T37+T38</f>
        <v>0</v>
      </c>
      <c r="U32" s="49">
        <f t="shared" si="17"/>
        <v>0</v>
      </c>
      <c r="V32" s="49">
        <f t="shared" si="4"/>
        <v>0</v>
      </c>
      <c r="W32" s="16"/>
      <c r="X32" s="16"/>
      <c r="Y32" s="16"/>
      <c r="Z32" s="16"/>
      <c r="AA32" s="16"/>
      <c r="AB32" s="16"/>
      <c r="AC32" s="16"/>
      <c r="AD32" s="16"/>
      <c r="AE32" s="16"/>
      <c r="AF32" s="16"/>
      <c r="AG32" s="16"/>
    </row>
    <row r="33" spans="1:39" s="17" customFormat="1" x14ac:dyDescent="0.2">
      <c r="A33" s="326"/>
      <c r="B33" s="225" t="s">
        <v>59</v>
      </c>
      <c r="C33" s="225" t="s">
        <v>82</v>
      </c>
      <c r="D33" s="225"/>
      <c r="E33" s="225"/>
      <c r="F33" s="225"/>
      <c r="G33" s="317" t="s">
        <v>343</v>
      </c>
      <c r="H33" s="45"/>
      <c r="I33" s="44"/>
      <c r="J33" s="44"/>
      <c r="K33" s="44"/>
      <c r="L33" s="44"/>
      <c r="M33" s="44"/>
      <c r="N33" s="44"/>
      <c r="O33" s="44"/>
      <c r="P33" s="44"/>
      <c r="Q33" s="49">
        <f t="shared" si="16"/>
        <v>0</v>
      </c>
      <c r="R33" s="49">
        <f t="shared" si="2"/>
        <v>0</v>
      </c>
      <c r="S33" s="44"/>
      <c r="T33" s="44"/>
      <c r="U33" s="49">
        <f t="shared" si="17"/>
        <v>0</v>
      </c>
      <c r="V33" s="49">
        <f t="shared" si="4"/>
        <v>0</v>
      </c>
      <c r="W33" s="16"/>
      <c r="X33" s="16"/>
      <c r="Y33" s="16"/>
      <c r="Z33" s="16"/>
      <c r="AA33" s="16"/>
      <c r="AB33" s="16"/>
      <c r="AC33" s="16"/>
      <c r="AD33" s="16"/>
      <c r="AE33" s="16"/>
      <c r="AF33" s="16"/>
      <c r="AG33" s="16"/>
    </row>
    <row r="34" spans="1:39" s="17" customFormat="1" x14ac:dyDescent="0.2">
      <c r="A34" s="326"/>
      <c r="B34" s="225" t="s">
        <v>61</v>
      </c>
      <c r="C34" s="662" t="s">
        <v>1457</v>
      </c>
      <c r="D34" s="662"/>
      <c r="E34" s="662"/>
      <c r="F34" s="663"/>
      <c r="G34" s="317" t="s">
        <v>344</v>
      </c>
      <c r="H34" s="45"/>
      <c r="I34" s="41">
        <f>I35+I36</f>
        <v>0</v>
      </c>
      <c r="J34" s="41">
        <f t="shared" ref="J34:P34" si="20">J35+J36</f>
        <v>0</v>
      </c>
      <c r="K34" s="41">
        <f t="shared" si="20"/>
        <v>0</v>
      </c>
      <c r="L34" s="41">
        <f t="shared" si="20"/>
        <v>0</v>
      </c>
      <c r="M34" s="41">
        <f t="shared" si="20"/>
        <v>0</v>
      </c>
      <c r="N34" s="41">
        <f t="shared" si="20"/>
        <v>0</v>
      </c>
      <c r="O34" s="41">
        <f t="shared" si="20"/>
        <v>0</v>
      </c>
      <c r="P34" s="41">
        <f t="shared" si="20"/>
        <v>0</v>
      </c>
      <c r="Q34" s="41">
        <f t="shared" si="16"/>
        <v>0</v>
      </c>
      <c r="R34" s="41">
        <f>J34+L34+N34+P34</f>
        <v>0</v>
      </c>
      <c r="S34" s="41">
        <f>S35+S36</f>
        <v>0</v>
      </c>
      <c r="T34" s="41">
        <f>T35+T36</f>
        <v>0</v>
      </c>
      <c r="U34" s="41">
        <f t="shared" si="17"/>
        <v>0</v>
      </c>
      <c r="V34" s="41">
        <f>R34-T34</f>
        <v>0</v>
      </c>
      <c r="W34" s="1"/>
      <c r="X34" s="1"/>
      <c r="Y34" s="1"/>
      <c r="Z34" s="1"/>
      <c r="AA34" s="1"/>
      <c r="AB34" s="1"/>
      <c r="AC34" s="1"/>
      <c r="AD34" s="1"/>
      <c r="AE34" s="1"/>
      <c r="AF34" s="1"/>
      <c r="AG34" s="1"/>
      <c r="AH34" s="20"/>
      <c r="AI34" s="20"/>
      <c r="AJ34" s="20"/>
      <c r="AK34" s="20"/>
      <c r="AL34" s="20"/>
      <c r="AM34" s="20"/>
    </row>
    <row r="35" spans="1:39" s="17" customFormat="1" x14ac:dyDescent="0.2">
      <c r="A35" s="619"/>
      <c r="B35" s="79"/>
      <c r="C35" s="225" t="s">
        <v>54</v>
      </c>
      <c r="D35" s="225" t="s">
        <v>83</v>
      </c>
      <c r="E35" s="225"/>
      <c r="F35" s="225"/>
      <c r="G35" s="609" t="s">
        <v>1459</v>
      </c>
      <c r="H35" s="45"/>
      <c r="I35" s="44"/>
      <c r="J35" s="44"/>
      <c r="K35" s="44"/>
      <c r="L35" s="44"/>
      <c r="M35" s="44"/>
      <c r="N35" s="44"/>
      <c r="O35" s="44"/>
      <c r="P35" s="44"/>
      <c r="Q35" s="49">
        <f t="shared" si="16"/>
        <v>0</v>
      </c>
      <c r="R35" s="49">
        <f>J35+L35+N35+P35</f>
        <v>0</v>
      </c>
      <c r="S35" s="44"/>
      <c r="T35" s="44"/>
      <c r="U35" s="49">
        <f t="shared" si="17"/>
        <v>0</v>
      </c>
      <c r="V35" s="49">
        <f>R35-T35</f>
        <v>0</v>
      </c>
      <c r="W35" s="1"/>
      <c r="X35" s="1"/>
      <c r="Y35" s="1"/>
      <c r="Z35" s="1"/>
      <c r="AA35" s="1"/>
      <c r="AB35" s="1"/>
      <c r="AC35" s="1"/>
      <c r="AD35" s="1"/>
      <c r="AE35" s="1"/>
      <c r="AF35" s="1"/>
      <c r="AG35" s="1"/>
      <c r="AH35" s="20"/>
      <c r="AI35" s="20"/>
      <c r="AJ35" s="20"/>
      <c r="AK35" s="20"/>
      <c r="AL35" s="20"/>
      <c r="AM35" s="20"/>
    </row>
    <row r="36" spans="1:39" s="17" customFormat="1" x14ac:dyDescent="0.2">
      <c r="A36" s="619"/>
      <c r="B36" s="79"/>
      <c r="C36" s="225" t="s">
        <v>55</v>
      </c>
      <c r="D36" s="225" t="s">
        <v>1458</v>
      </c>
      <c r="E36" s="225"/>
      <c r="F36" s="225"/>
      <c r="G36" s="609" t="s">
        <v>1460</v>
      </c>
      <c r="H36" s="45"/>
      <c r="I36" s="44"/>
      <c r="J36" s="44"/>
      <c r="K36" s="44"/>
      <c r="L36" s="44"/>
      <c r="M36" s="44"/>
      <c r="N36" s="44"/>
      <c r="O36" s="44"/>
      <c r="P36" s="44"/>
      <c r="Q36" s="49">
        <f t="shared" si="16"/>
        <v>0</v>
      </c>
      <c r="R36" s="49">
        <f>J36+L36+N36+P36</f>
        <v>0</v>
      </c>
      <c r="S36" s="44"/>
      <c r="T36" s="44"/>
      <c r="U36" s="49">
        <f t="shared" si="17"/>
        <v>0</v>
      </c>
      <c r="V36" s="49">
        <f>R36-T36</f>
        <v>0</v>
      </c>
      <c r="W36" s="1"/>
      <c r="X36" s="1"/>
      <c r="Y36" s="1"/>
      <c r="Z36" s="1"/>
      <c r="AA36" s="1"/>
      <c r="AB36" s="1"/>
      <c r="AC36" s="1"/>
      <c r="AD36" s="1"/>
      <c r="AE36" s="1"/>
      <c r="AF36" s="1"/>
      <c r="AG36" s="1"/>
      <c r="AH36" s="20"/>
      <c r="AI36" s="20"/>
      <c r="AJ36" s="20"/>
      <c r="AK36" s="20"/>
      <c r="AL36" s="20"/>
      <c r="AM36" s="20"/>
    </row>
    <row r="37" spans="1:39" s="17" customFormat="1" x14ac:dyDescent="0.2">
      <c r="A37" s="326"/>
      <c r="B37" s="3" t="s">
        <v>1434</v>
      </c>
      <c r="C37" s="3" t="s">
        <v>1468</v>
      </c>
      <c r="D37" s="3"/>
      <c r="E37" s="3"/>
      <c r="F37" s="79"/>
      <c r="G37" s="602" t="s">
        <v>1435</v>
      </c>
      <c r="H37" s="45"/>
      <c r="I37" s="44"/>
      <c r="J37" s="44"/>
      <c r="K37" s="44"/>
      <c r="L37" s="44"/>
      <c r="M37" s="44"/>
      <c r="N37" s="44"/>
      <c r="O37" s="44"/>
      <c r="P37" s="44"/>
      <c r="Q37" s="49">
        <f t="shared" si="16"/>
        <v>0</v>
      </c>
      <c r="R37" s="49">
        <f>J37+L37+N37+P37</f>
        <v>0</v>
      </c>
      <c r="S37" s="44"/>
      <c r="T37" s="44"/>
      <c r="U37" s="49">
        <f t="shared" si="17"/>
        <v>0</v>
      </c>
      <c r="V37" s="49">
        <f>R37-T37</f>
        <v>0</v>
      </c>
      <c r="W37" s="1"/>
      <c r="X37" s="1"/>
      <c r="Y37" s="1"/>
      <c r="Z37" s="1"/>
      <c r="AA37" s="1"/>
      <c r="AB37" s="1"/>
      <c r="AC37" s="1"/>
      <c r="AD37" s="1"/>
      <c r="AE37" s="1"/>
      <c r="AF37" s="1"/>
      <c r="AG37" s="1"/>
      <c r="AH37" s="20"/>
      <c r="AI37" s="20"/>
      <c r="AJ37" s="20"/>
      <c r="AK37" s="20"/>
      <c r="AL37" s="20"/>
      <c r="AM37" s="20"/>
    </row>
    <row r="38" spans="1:39" s="17" customFormat="1" x14ac:dyDescent="0.2">
      <c r="A38" s="326"/>
      <c r="B38" s="225" t="s">
        <v>1433</v>
      </c>
      <c r="C38" s="225" t="s">
        <v>52</v>
      </c>
      <c r="D38" s="225"/>
      <c r="E38" s="225"/>
      <c r="F38" s="225"/>
      <c r="G38" s="317" t="s">
        <v>345</v>
      </c>
      <c r="H38" s="45"/>
      <c r="I38" s="44"/>
      <c r="J38" s="44"/>
      <c r="K38" s="44"/>
      <c r="L38" s="44"/>
      <c r="M38" s="44"/>
      <c r="N38" s="44"/>
      <c r="O38" s="44"/>
      <c r="P38" s="44"/>
      <c r="Q38" s="49">
        <f t="shared" si="16"/>
        <v>0</v>
      </c>
      <c r="R38" s="49">
        <f t="shared" si="2"/>
        <v>0</v>
      </c>
      <c r="S38" s="44"/>
      <c r="T38" s="44"/>
      <c r="U38" s="49">
        <f t="shared" si="17"/>
        <v>0</v>
      </c>
      <c r="V38" s="49">
        <f t="shared" si="4"/>
        <v>0</v>
      </c>
      <c r="W38" s="1"/>
      <c r="X38" s="1"/>
      <c r="Y38" s="1"/>
      <c r="Z38" s="1"/>
      <c r="AA38" s="1"/>
      <c r="AB38" s="1"/>
      <c r="AC38" s="1"/>
      <c r="AD38" s="1"/>
      <c r="AE38" s="1"/>
      <c r="AF38" s="1"/>
      <c r="AG38" s="1"/>
      <c r="AH38" s="20"/>
      <c r="AI38" s="20"/>
      <c r="AJ38" s="20"/>
      <c r="AK38" s="20"/>
      <c r="AL38" s="20"/>
      <c r="AM38" s="20"/>
    </row>
    <row r="39" spans="1:39" s="17" customFormat="1" x14ac:dyDescent="0.2">
      <c r="A39" s="326" t="s">
        <v>81</v>
      </c>
      <c r="B39" s="225" t="s">
        <v>85</v>
      </c>
      <c r="C39" s="225"/>
      <c r="D39" s="225"/>
      <c r="E39" s="225"/>
      <c r="F39" s="225"/>
      <c r="G39" s="317" t="s">
        <v>346</v>
      </c>
      <c r="H39" s="45"/>
      <c r="I39" s="44"/>
      <c r="J39" s="44"/>
      <c r="K39" s="44"/>
      <c r="L39" s="44"/>
      <c r="M39" s="44"/>
      <c r="N39" s="44"/>
      <c r="O39" s="44"/>
      <c r="P39" s="44"/>
      <c r="Q39" s="49">
        <f t="shared" si="16"/>
        <v>0</v>
      </c>
      <c r="R39" s="49">
        <f t="shared" si="2"/>
        <v>0</v>
      </c>
      <c r="S39" s="44"/>
      <c r="T39" s="44"/>
      <c r="U39" s="49">
        <f t="shared" si="17"/>
        <v>0</v>
      </c>
      <c r="V39" s="49">
        <f t="shared" si="4"/>
        <v>0</v>
      </c>
      <c r="W39" s="1"/>
      <c r="X39" s="1"/>
      <c r="Y39" s="1"/>
      <c r="Z39" s="1"/>
      <c r="AA39" s="1"/>
      <c r="AB39" s="1"/>
      <c r="AC39" s="1"/>
      <c r="AD39" s="1"/>
      <c r="AE39" s="1"/>
      <c r="AF39" s="1"/>
      <c r="AG39" s="1"/>
      <c r="AH39" s="20"/>
      <c r="AI39" s="20"/>
      <c r="AJ39" s="20"/>
      <c r="AK39" s="20"/>
      <c r="AL39" s="20"/>
      <c r="AM39" s="20"/>
    </row>
    <row r="40" spans="1:39" s="17" customFormat="1" x14ac:dyDescent="0.2">
      <c r="A40" s="324" t="s">
        <v>86</v>
      </c>
      <c r="B40" s="225"/>
      <c r="C40" s="225"/>
      <c r="D40" s="225"/>
      <c r="E40" s="225"/>
      <c r="F40" s="303"/>
      <c r="G40" s="317" t="s">
        <v>347</v>
      </c>
      <c r="H40" s="45"/>
      <c r="I40" s="41">
        <f t="shared" ref="I40:P40" si="21">I41+I42+I43+I44</f>
        <v>0</v>
      </c>
      <c r="J40" s="41">
        <f t="shared" si="21"/>
        <v>0</v>
      </c>
      <c r="K40" s="41">
        <f t="shared" si="21"/>
        <v>0</v>
      </c>
      <c r="L40" s="41">
        <f t="shared" si="21"/>
        <v>0</v>
      </c>
      <c r="M40" s="41">
        <f t="shared" si="21"/>
        <v>0</v>
      </c>
      <c r="N40" s="41">
        <f t="shared" si="21"/>
        <v>0</v>
      </c>
      <c r="O40" s="41">
        <f t="shared" si="21"/>
        <v>0</v>
      </c>
      <c r="P40" s="41">
        <f t="shared" si="21"/>
        <v>0</v>
      </c>
      <c r="Q40" s="49">
        <f t="shared" si="16"/>
        <v>0</v>
      </c>
      <c r="R40" s="49">
        <f t="shared" si="2"/>
        <v>0</v>
      </c>
      <c r="S40" s="41">
        <f>S41+S42+S43+S44</f>
        <v>0</v>
      </c>
      <c r="T40" s="41">
        <f>T41+T42+T43+T44</f>
        <v>0</v>
      </c>
      <c r="U40" s="49">
        <f t="shared" si="17"/>
        <v>0</v>
      </c>
      <c r="V40" s="49">
        <f t="shared" si="4"/>
        <v>0</v>
      </c>
      <c r="W40" s="1"/>
      <c r="X40" s="1"/>
      <c r="Y40" s="1"/>
      <c r="Z40" s="1"/>
      <c r="AA40" s="1"/>
      <c r="AB40" s="1"/>
      <c r="AC40" s="1"/>
      <c r="AD40" s="1"/>
      <c r="AE40" s="1"/>
      <c r="AF40" s="1"/>
      <c r="AG40" s="1"/>
      <c r="AH40" s="20"/>
      <c r="AI40" s="20"/>
      <c r="AJ40" s="20"/>
      <c r="AK40" s="20"/>
      <c r="AL40" s="20"/>
      <c r="AM40" s="20"/>
    </row>
    <row r="41" spans="1:39" s="17" customFormat="1" x14ac:dyDescent="0.2">
      <c r="A41" s="325" t="s">
        <v>54</v>
      </c>
      <c r="B41" s="225" t="s">
        <v>87</v>
      </c>
      <c r="C41" s="225"/>
      <c r="D41" s="225"/>
      <c r="E41" s="225"/>
      <c r="F41" s="303"/>
      <c r="G41" s="317" t="s">
        <v>348</v>
      </c>
      <c r="H41" s="45"/>
      <c r="I41" s="44"/>
      <c r="J41" s="44"/>
      <c r="K41" s="44"/>
      <c r="L41" s="44"/>
      <c r="M41" s="44"/>
      <c r="N41" s="44"/>
      <c r="O41" s="44"/>
      <c r="P41" s="44"/>
      <c r="Q41" s="49">
        <f t="shared" si="16"/>
        <v>0</v>
      </c>
      <c r="R41" s="49">
        <f t="shared" si="2"/>
        <v>0</v>
      </c>
      <c r="S41" s="44"/>
      <c r="T41" s="44"/>
      <c r="U41" s="49">
        <f t="shared" si="17"/>
        <v>0</v>
      </c>
      <c r="V41" s="49">
        <f t="shared" si="4"/>
        <v>0</v>
      </c>
      <c r="W41" s="1"/>
      <c r="X41" s="1"/>
      <c r="Y41" s="1"/>
      <c r="Z41" s="1"/>
      <c r="AA41" s="1"/>
      <c r="AB41" s="1"/>
      <c r="AC41" s="1"/>
      <c r="AD41" s="1"/>
      <c r="AE41" s="1"/>
      <c r="AF41" s="1"/>
      <c r="AG41" s="1"/>
      <c r="AH41" s="20"/>
      <c r="AI41" s="20"/>
      <c r="AJ41" s="20"/>
      <c r="AK41" s="20"/>
      <c r="AL41" s="20"/>
      <c r="AM41" s="20"/>
    </row>
    <row r="42" spans="1:39" s="17" customFormat="1" x14ac:dyDescent="0.2">
      <c r="A42" s="325" t="s">
        <v>55</v>
      </c>
      <c r="B42" s="225" t="s">
        <v>88</v>
      </c>
      <c r="C42" s="225"/>
      <c r="D42" s="225"/>
      <c r="E42" s="225"/>
      <c r="F42" s="303"/>
      <c r="G42" s="317" t="s">
        <v>349</v>
      </c>
      <c r="H42" s="45"/>
      <c r="I42" s="44"/>
      <c r="J42" s="44"/>
      <c r="K42" s="44"/>
      <c r="L42" s="44"/>
      <c r="M42" s="44"/>
      <c r="N42" s="44"/>
      <c r="O42" s="44"/>
      <c r="P42" s="44"/>
      <c r="Q42" s="49">
        <f t="shared" si="16"/>
        <v>0</v>
      </c>
      <c r="R42" s="49">
        <f t="shared" si="2"/>
        <v>0</v>
      </c>
      <c r="S42" s="44"/>
      <c r="T42" s="44"/>
      <c r="U42" s="49">
        <f t="shared" si="17"/>
        <v>0</v>
      </c>
      <c r="V42" s="49">
        <f t="shared" si="4"/>
        <v>0</v>
      </c>
      <c r="W42" s="1"/>
      <c r="X42" s="1"/>
      <c r="Y42" s="1"/>
      <c r="Z42" s="1"/>
      <c r="AA42" s="1"/>
      <c r="AB42" s="1"/>
      <c r="AC42" s="1"/>
      <c r="AD42" s="1"/>
      <c r="AE42" s="1"/>
      <c r="AF42" s="1"/>
      <c r="AG42" s="1"/>
      <c r="AH42" s="20"/>
      <c r="AI42" s="20"/>
      <c r="AJ42" s="20"/>
      <c r="AK42" s="20"/>
      <c r="AL42" s="20"/>
      <c r="AM42" s="20"/>
    </row>
    <row r="43" spans="1:39" s="17" customFormat="1" x14ac:dyDescent="0.2">
      <c r="A43" s="325" t="s">
        <v>65</v>
      </c>
      <c r="B43" s="225" t="s">
        <v>89</v>
      </c>
      <c r="C43" s="225"/>
      <c r="D43" s="225"/>
      <c r="E43" s="225"/>
      <c r="F43" s="303"/>
      <c r="G43" s="317" t="s">
        <v>350</v>
      </c>
      <c r="H43" s="45"/>
      <c r="I43" s="44"/>
      <c r="J43" s="44"/>
      <c r="K43" s="44"/>
      <c r="L43" s="44"/>
      <c r="M43" s="44"/>
      <c r="N43" s="44"/>
      <c r="O43" s="44"/>
      <c r="P43" s="44"/>
      <c r="Q43" s="49">
        <f t="shared" si="16"/>
        <v>0</v>
      </c>
      <c r="R43" s="49">
        <f t="shared" si="2"/>
        <v>0</v>
      </c>
      <c r="S43" s="44"/>
      <c r="T43" s="44"/>
      <c r="U43" s="49">
        <f t="shared" si="17"/>
        <v>0</v>
      </c>
      <c r="V43" s="49">
        <f t="shared" si="4"/>
        <v>0</v>
      </c>
      <c r="W43" s="1"/>
      <c r="X43" s="1"/>
      <c r="Y43" s="1"/>
      <c r="Z43" s="1"/>
      <c r="AA43" s="1"/>
      <c r="AB43" s="1"/>
      <c r="AC43" s="1"/>
      <c r="AD43" s="1"/>
      <c r="AE43" s="1"/>
      <c r="AF43" s="1"/>
      <c r="AG43" s="1"/>
      <c r="AH43" s="20"/>
      <c r="AI43" s="20"/>
      <c r="AJ43" s="20"/>
      <c r="AK43" s="20"/>
      <c r="AL43" s="20"/>
      <c r="AM43" s="20"/>
    </row>
    <row r="44" spans="1:39" s="17" customFormat="1" x14ac:dyDescent="0.2">
      <c r="A44" s="325" t="s">
        <v>90</v>
      </c>
      <c r="B44" s="225" t="s">
        <v>91</v>
      </c>
      <c r="C44" s="225"/>
      <c r="D44" s="225"/>
      <c r="E44" s="225"/>
      <c r="F44" s="303"/>
      <c r="G44" s="317" t="s">
        <v>351</v>
      </c>
      <c r="H44" s="45"/>
      <c r="I44" s="125"/>
      <c r="J44" s="126"/>
      <c r="K44" s="126"/>
      <c r="L44" s="126"/>
      <c r="M44" s="126"/>
      <c r="N44" s="126"/>
      <c r="O44" s="126"/>
      <c r="P44" s="126"/>
      <c r="Q44" s="49">
        <f t="shared" si="16"/>
        <v>0</v>
      </c>
      <c r="R44" s="49">
        <f t="shared" si="2"/>
        <v>0</v>
      </c>
      <c r="S44" s="126"/>
      <c r="T44" s="126"/>
      <c r="U44" s="49">
        <f t="shared" si="17"/>
        <v>0</v>
      </c>
      <c r="V44" s="49">
        <f t="shared" si="4"/>
        <v>0</v>
      </c>
      <c r="W44" s="1"/>
      <c r="X44" s="1"/>
      <c r="Y44" s="1"/>
      <c r="Z44" s="1"/>
      <c r="AA44" s="1"/>
      <c r="AB44" s="1"/>
      <c r="AC44" s="1"/>
      <c r="AD44" s="1"/>
      <c r="AE44" s="1"/>
      <c r="AF44" s="1"/>
      <c r="AG44" s="1"/>
      <c r="AH44" s="20"/>
      <c r="AI44" s="20"/>
      <c r="AJ44" s="20"/>
      <c r="AK44" s="20"/>
      <c r="AL44" s="20"/>
      <c r="AM44" s="20"/>
    </row>
    <row r="45" spans="1:39" s="20" customFormat="1" x14ac:dyDescent="0.2">
      <c r="A45" s="643" t="s">
        <v>104</v>
      </c>
      <c r="B45" s="684"/>
      <c r="C45" s="684"/>
      <c r="D45" s="684"/>
      <c r="E45" s="684"/>
      <c r="F45" s="685"/>
      <c r="G45" s="283" t="s">
        <v>352</v>
      </c>
      <c r="H45" s="46"/>
      <c r="I45" s="127">
        <f t="shared" ref="I45:P45" si="22">I40+I10</f>
        <v>0</v>
      </c>
      <c r="J45" s="127">
        <f t="shared" si="22"/>
        <v>0</v>
      </c>
      <c r="K45" s="127">
        <f t="shared" si="22"/>
        <v>0</v>
      </c>
      <c r="L45" s="127">
        <f t="shared" si="22"/>
        <v>0</v>
      </c>
      <c r="M45" s="127">
        <f t="shared" si="22"/>
        <v>0</v>
      </c>
      <c r="N45" s="127">
        <f t="shared" si="22"/>
        <v>0</v>
      </c>
      <c r="O45" s="127">
        <f t="shared" si="22"/>
        <v>0</v>
      </c>
      <c r="P45" s="127">
        <f t="shared" si="22"/>
        <v>0</v>
      </c>
      <c r="Q45" s="49">
        <f t="shared" si="16"/>
        <v>0</v>
      </c>
      <c r="R45" s="49">
        <f t="shared" si="2"/>
        <v>0</v>
      </c>
      <c r="S45" s="127">
        <f>S40+S10</f>
        <v>0</v>
      </c>
      <c r="T45" s="127">
        <f>T40+T10</f>
        <v>0</v>
      </c>
      <c r="U45" s="49">
        <f t="shared" si="17"/>
        <v>0</v>
      </c>
      <c r="V45" s="49">
        <f t="shared" si="4"/>
        <v>0</v>
      </c>
      <c r="W45" s="1"/>
      <c r="X45" s="1"/>
      <c r="Y45" s="1"/>
      <c r="Z45" s="1"/>
      <c r="AA45" s="1"/>
      <c r="AB45" s="1"/>
      <c r="AC45" s="1"/>
      <c r="AD45" s="1"/>
      <c r="AE45" s="1"/>
      <c r="AF45" s="1"/>
      <c r="AG45" s="1"/>
    </row>
    <row r="46" spans="1:39" s="20" customFormat="1" x14ac:dyDescent="0.2">
      <c r="A46" s="328" t="s">
        <v>644</v>
      </c>
      <c r="B46" s="329"/>
      <c r="C46" s="329"/>
      <c r="D46" s="330"/>
      <c r="E46" s="329"/>
      <c r="F46" s="331"/>
      <c r="G46" s="350"/>
      <c r="H46" s="46"/>
      <c r="I46" s="127"/>
      <c r="J46" s="127"/>
      <c r="K46" s="127"/>
      <c r="L46" s="127"/>
      <c r="M46" s="127"/>
      <c r="N46" s="127"/>
      <c r="O46" s="127"/>
      <c r="P46" s="127"/>
      <c r="Q46" s="49"/>
      <c r="R46" s="49"/>
      <c r="S46" s="127"/>
      <c r="T46" s="127"/>
      <c r="U46" s="49"/>
      <c r="V46" s="49"/>
      <c r="W46" s="1"/>
      <c r="X46" s="1"/>
      <c r="Y46" s="1"/>
      <c r="Z46" s="1"/>
      <c r="AA46" s="1"/>
      <c r="AB46" s="1"/>
      <c r="AC46" s="1"/>
      <c r="AD46" s="1"/>
      <c r="AE46" s="1"/>
      <c r="AF46" s="1"/>
      <c r="AG46" s="1"/>
    </row>
    <row r="47" spans="1:39" s="20" customFormat="1" x14ac:dyDescent="0.2">
      <c r="A47" s="333" t="s">
        <v>161</v>
      </c>
      <c r="B47" s="303" t="s">
        <v>68</v>
      </c>
      <c r="C47" s="303"/>
      <c r="D47" s="303"/>
      <c r="E47" s="303"/>
      <c r="F47" s="334"/>
      <c r="G47" s="351" t="s">
        <v>642</v>
      </c>
      <c r="H47" s="46"/>
      <c r="I47" s="125"/>
      <c r="J47" s="125"/>
      <c r="K47" s="125"/>
      <c r="L47" s="125"/>
      <c r="M47" s="125"/>
      <c r="N47" s="125"/>
      <c r="O47" s="125"/>
      <c r="P47" s="125"/>
      <c r="Q47" s="49">
        <f>I47+K47+M47+O47</f>
        <v>0</v>
      </c>
      <c r="R47" s="49">
        <f>J47+L47+N47+P47</f>
        <v>0</v>
      </c>
      <c r="S47" s="125"/>
      <c r="T47" s="125"/>
      <c r="U47" s="49">
        <f>Q47-S47</f>
        <v>0</v>
      </c>
      <c r="V47" s="49">
        <f>R47-T47</f>
        <v>0</v>
      </c>
      <c r="W47" s="1"/>
      <c r="X47" s="1"/>
      <c r="Y47" s="1"/>
      <c r="Z47" s="1"/>
      <c r="AA47" s="1"/>
      <c r="AB47" s="1"/>
      <c r="AC47" s="1"/>
      <c r="AD47" s="1"/>
      <c r="AE47" s="1"/>
      <c r="AF47" s="1"/>
      <c r="AG47" s="1"/>
    </row>
    <row r="48" spans="1:39" s="20" customFormat="1" x14ac:dyDescent="0.2">
      <c r="A48" s="333" t="s">
        <v>164</v>
      </c>
      <c r="B48" s="303" t="s">
        <v>70</v>
      </c>
      <c r="C48" s="303"/>
      <c r="D48" s="303"/>
      <c r="E48" s="303"/>
      <c r="F48" s="334"/>
      <c r="G48" s="351" t="s">
        <v>643</v>
      </c>
      <c r="H48" s="46"/>
      <c r="I48" s="125"/>
      <c r="J48" s="125"/>
      <c r="K48" s="125"/>
      <c r="L48" s="125"/>
      <c r="M48" s="125"/>
      <c r="N48" s="125"/>
      <c r="O48" s="125"/>
      <c r="P48" s="125"/>
      <c r="Q48" s="49">
        <f>I48+K48+M48+O48</f>
        <v>0</v>
      </c>
      <c r="R48" s="49">
        <f>J48+L48+N48+P48</f>
        <v>0</v>
      </c>
      <c r="S48" s="125"/>
      <c r="T48" s="125"/>
      <c r="U48" s="49">
        <f>Q48-S48</f>
        <v>0</v>
      </c>
      <c r="V48" s="49">
        <f>R48-T48</f>
        <v>0</v>
      </c>
      <c r="W48" s="1"/>
      <c r="X48" s="1"/>
      <c r="Y48" s="1"/>
      <c r="Z48" s="1"/>
      <c r="AA48" s="1"/>
      <c r="AB48" s="1"/>
      <c r="AC48" s="1"/>
      <c r="AD48" s="1"/>
      <c r="AE48" s="1"/>
      <c r="AF48" s="1"/>
      <c r="AG48" s="1"/>
    </row>
    <row r="49" spans="1:33" s="17" customFormat="1" x14ac:dyDescent="0.2">
      <c r="A49" s="324" t="s">
        <v>177</v>
      </c>
      <c r="B49" s="225"/>
      <c r="C49" s="303"/>
      <c r="D49" s="303"/>
      <c r="E49" s="303"/>
      <c r="F49" s="303"/>
      <c r="G49" s="280"/>
      <c r="H49" s="115"/>
      <c r="I49" s="84"/>
      <c r="J49" s="84"/>
      <c r="K49" s="84"/>
      <c r="L49" s="84"/>
      <c r="M49" s="84"/>
      <c r="N49" s="84"/>
      <c r="O49" s="84"/>
      <c r="P49" s="84"/>
      <c r="Q49" s="49"/>
      <c r="R49" s="49"/>
      <c r="S49" s="84"/>
      <c r="T49" s="84"/>
      <c r="U49" s="49"/>
      <c r="V49" s="49"/>
      <c r="W49" s="16"/>
      <c r="X49" s="16"/>
      <c r="Y49" s="16"/>
      <c r="Z49" s="16"/>
      <c r="AA49" s="16"/>
      <c r="AB49" s="16"/>
      <c r="AC49" s="16"/>
      <c r="AD49" s="16"/>
      <c r="AE49" s="16"/>
      <c r="AF49" s="16"/>
      <c r="AG49" s="16"/>
    </row>
    <row r="50" spans="1:33" s="17" customFormat="1" ht="12.75" x14ac:dyDescent="0.2">
      <c r="A50" s="342" t="s">
        <v>54</v>
      </c>
      <c r="B50" s="364" t="s">
        <v>304</v>
      </c>
      <c r="C50" s="303"/>
      <c r="D50" s="303"/>
      <c r="E50" s="303"/>
      <c r="F50" s="303"/>
      <c r="G50" s="283" t="s">
        <v>353</v>
      </c>
      <c r="H50" s="80"/>
      <c r="I50" s="41">
        <f t="shared" ref="I50:P50" si="23">I51+I57</f>
        <v>0</v>
      </c>
      <c r="J50" s="41">
        <f t="shared" si="23"/>
        <v>0</v>
      </c>
      <c r="K50" s="41">
        <f t="shared" si="23"/>
        <v>0</v>
      </c>
      <c r="L50" s="41">
        <f t="shared" si="23"/>
        <v>0</v>
      </c>
      <c r="M50" s="41">
        <f t="shared" si="23"/>
        <v>0</v>
      </c>
      <c r="N50" s="41">
        <f t="shared" si="23"/>
        <v>0</v>
      </c>
      <c r="O50" s="41">
        <f t="shared" si="23"/>
        <v>0</v>
      </c>
      <c r="P50" s="41">
        <f t="shared" si="23"/>
        <v>0</v>
      </c>
      <c r="Q50" s="49">
        <f t="shared" ref="Q50:Q75" si="24">I50+K50+M50+O50</f>
        <v>0</v>
      </c>
      <c r="R50" s="49">
        <f t="shared" ref="R50:R75" si="25">J50+L50+N50+P50</f>
        <v>0</v>
      </c>
      <c r="S50" s="41">
        <f>S51+S57</f>
        <v>0</v>
      </c>
      <c r="T50" s="41">
        <f>T51+T57</f>
        <v>0</v>
      </c>
      <c r="U50" s="49">
        <f t="shared" ref="U50:U75" si="26">Q50-S50</f>
        <v>0</v>
      </c>
      <c r="V50" s="49">
        <f t="shared" ref="V50:V75" si="27">R50-T50</f>
        <v>0</v>
      </c>
      <c r="W50" s="16"/>
      <c r="X50" s="16"/>
      <c r="Y50" s="16"/>
      <c r="Z50" s="16"/>
      <c r="AA50" s="16"/>
      <c r="AB50" s="16"/>
      <c r="AC50" s="16"/>
      <c r="AD50" s="16"/>
      <c r="AE50" s="16"/>
      <c r="AF50" s="16"/>
      <c r="AG50" s="16"/>
    </row>
    <row r="51" spans="1:33" s="17" customFormat="1" ht="12.75" x14ac:dyDescent="0.2">
      <c r="A51" s="363"/>
      <c r="B51" s="225" t="s">
        <v>59</v>
      </c>
      <c r="C51" s="303" t="s">
        <v>305</v>
      </c>
      <c r="D51" s="303"/>
      <c r="E51" s="303"/>
      <c r="F51" s="303"/>
      <c r="G51" s="283" t="s">
        <v>354</v>
      </c>
      <c r="H51" s="80"/>
      <c r="I51" s="41">
        <f t="shared" ref="I51:P51" si="28">I52+I53+I54+I55+I56</f>
        <v>0</v>
      </c>
      <c r="J51" s="41">
        <f t="shared" si="28"/>
        <v>0</v>
      </c>
      <c r="K51" s="41">
        <f t="shared" si="28"/>
        <v>0</v>
      </c>
      <c r="L51" s="41">
        <f t="shared" si="28"/>
        <v>0</v>
      </c>
      <c r="M51" s="41">
        <f t="shared" si="28"/>
        <v>0</v>
      </c>
      <c r="N51" s="41">
        <f t="shared" si="28"/>
        <v>0</v>
      </c>
      <c r="O51" s="41">
        <f t="shared" si="28"/>
        <v>0</v>
      </c>
      <c r="P51" s="41">
        <f t="shared" si="28"/>
        <v>0</v>
      </c>
      <c r="Q51" s="49">
        <f t="shared" si="24"/>
        <v>0</v>
      </c>
      <c r="R51" s="49">
        <f t="shared" si="25"/>
        <v>0</v>
      </c>
      <c r="S51" s="41">
        <f>S52+S53+S54+S55+S56</f>
        <v>0</v>
      </c>
      <c r="T51" s="41">
        <f>T52+T53+T54+T55+T56</f>
        <v>0</v>
      </c>
      <c r="U51" s="49">
        <f t="shared" si="26"/>
        <v>0</v>
      </c>
      <c r="V51" s="49">
        <f t="shared" si="27"/>
        <v>0</v>
      </c>
      <c r="W51" s="16"/>
      <c r="X51" s="16"/>
      <c r="Y51" s="16"/>
      <c r="Z51" s="16"/>
      <c r="AA51" s="16"/>
      <c r="AB51" s="16"/>
      <c r="AC51" s="16"/>
      <c r="AD51" s="16"/>
      <c r="AE51" s="16"/>
      <c r="AF51" s="16"/>
      <c r="AG51" s="16"/>
    </row>
    <row r="52" spans="1:33" s="17" customFormat="1" ht="12.75" x14ac:dyDescent="0.2">
      <c r="A52" s="363"/>
      <c r="B52" s="225"/>
      <c r="C52" s="303" t="s">
        <v>306</v>
      </c>
      <c r="D52" s="303" t="s">
        <v>307</v>
      </c>
      <c r="E52" s="303"/>
      <c r="F52" s="303"/>
      <c r="G52" s="283" t="s">
        <v>355</v>
      </c>
      <c r="H52" s="80"/>
      <c r="I52" s="44"/>
      <c r="J52" s="44"/>
      <c r="K52" s="44"/>
      <c r="L52" s="44"/>
      <c r="M52" s="44"/>
      <c r="N52" s="44"/>
      <c r="O52" s="44"/>
      <c r="P52" s="44"/>
      <c r="Q52" s="49">
        <f t="shared" si="24"/>
        <v>0</v>
      </c>
      <c r="R52" s="49">
        <f t="shared" si="25"/>
        <v>0</v>
      </c>
      <c r="S52" s="44"/>
      <c r="T52" s="44"/>
      <c r="U52" s="49">
        <f t="shared" si="26"/>
        <v>0</v>
      </c>
      <c r="V52" s="49">
        <f t="shared" si="27"/>
        <v>0</v>
      </c>
      <c r="W52" s="16"/>
      <c r="X52" s="16"/>
      <c r="Y52" s="16"/>
      <c r="Z52" s="16"/>
      <c r="AA52" s="16"/>
      <c r="AB52" s="16"/>
      <c r="AC52" s="16"/>
      <c r="AD52" s="16"/>
      <c r="AE52" s="16"/>
      <c r="AF52" s="16"/>
      <c r="AG52" s="16"/>
    </row>
    <row r="53" spans="1:33" s="17" customFormat="1" ht="12.75" x14ac:dyDescent="0.2">
      <c r="A53" s="363"/>
      <c r="B53" s="225"/>
      <c r="C53" s="303" t="s">
        <v>308</v>
      </c>
      <c r="D53" s="303" t="s">
        <v>309</v>
      </c>
      <c r="E53" s="303"/>
      <c r="F53" s="303"/>
      <c r="G53" s="283" t="s">
        <v>356</v>
      </c>
      <c r="H53" s="80"/>
      <c r="I53" s="44"/>
      <c r="J53" s="44"/>
      <c r="K53" s="44"/>
      <c r="L53" s="44"/>
      <c r="M53" s="44"/>
      <c r="N53" s="44"/>
      <c r="O53" s="44"/>
      <c r="P53" s="44"/>
      <c r="Q53" s="49">
        <f t="shared" si="24"/>
        <v>0</v>
      </c>
      <c r="R53" s="49">
        <f t="shared" si="25"/>
        <v>0</v>
      </c>
      <c r="S53" s="44"/>
      <c r="T53" s="44"/>
      <c r="U53" s="49">
        <f t="shared" si="26"/>
        <v>0</v>
      </c>
      <c r="V53" s="49">
        <f t="shared" si="27"/>
        <v>0</v>
      </c>
      <c r="W53" s="16"/>
      <c r="X53" s="16"/>
      <c r="Y53" s="16"/>
      <c r="Z53" s="16"/>
      <c r="AA53" s="16"/>
      <c r="AB53" s="16"/>
      <c r="AC53" s="16"/>
      <c r="AD53" s="16"/>
      <c r="AE53" s="16"/>
      <c r="AF53" s="16"/>
      <c r="AG53" s="16"/>
    </row>
    <row r="54" spans="1:33" s="17" customFormat="1" ht="12.75" x14ac:dyDescent="0.2">
      <c r="A54" s="363"/>
      <c r="B54" s="225"/>
      <c r="C54" s="347" t="s">
        <v>310</v>
      </c>
      <c r="D54" s="354" t="s">
        <v>624</v>
      </c>
      <c r="E54" s="355"/>
      <c r="F54" s="347"/>
      <c r="G54" s="313" t="s">
        <v>625</v>
      </c>
      <c r="H54" s="80"/>
      <c r="I54" s="44"/>
      <c r="J54" s="44"/>
      <c r="K54" s="44"/>
      <c r="L54" s="44"/>
      <c r="M54" s="44"/>
      <c r="N54" s="44"/>
      <c r="O54" s="44"/>
      <c r="P54" s="44"/>
      <c r="Q54" s="49">
        <f>I54+K54+M54+O54</f>
        <v>0</v>
      </c>
      <c r="R54" s="49">
        <f>J54+L54+N54+P54</f>
        <v>0</v>
      </c>
      <c r="S54" s="44"/>
      <c r="T54" s="44"/>
      <c r="U54" s="49">
        <f>Q54-S54</f>
        <v>0</v>
      </c>
      <c r="V54" s="49">
        <f>R54-T54</f>
        <v>0</v>
      </c>
      <c r="W54" s="16"/>
      <c r="X54" s="16"/>
      <c r="Y54" s="16"/>
      <c r="Z54" s="16"/>
      <c r="AA54" s="16"/>
      <c r="AB54" s="16"/>
      <c r="AC54" s="16"/>
      <c r="AD54" s="16"/>
      <c r="AE54" s="16"/>
      <c r="AF54" s="16"/>
      <c r="AG54" s="16"/>
    </row>
    <row r="55" spans="1:33" s="17" customFormat="1" ht="12.75" x14ac:dyDescent="0.2">
      <c r="A55" s="363"/>
      <c r="B55" s="225"/>
      <c r="C55" s="356" t="s">
        <v>626</v>
      </c>
      <c r="D55" s="357" t="s">
        <v>681</v>
      </c>
      <c r="E55" s="357"/>
      <c r="F55" s="347"/>
      <c r="G55" s="313" t="s">
        <v>682</v>
      </c>
      <c r="H55" s="80"/>
      <c r="I55" s="44"/>
      <c r="J55" s="44"/>
      <c r="K55" s="44"/>
      <c r="L55" s="44"/>
      <c r="M55" s="44"/>
      <c r="N55" s="44"/>
      <c r="O55" s="44"/>
      <c r="P55" s="44"/>
      <c r="Q55" s="49">
        <f>I55+K55+M55+O55</f>
        <v>0</v>
      </c>
      <c r="R55" s="49">
        <f>J55+L55+N55+P55</f>
        <v>0</v>
      </c>
      <c r="S55" s="44"/>
      <c r="T55" s="44"/>
      <c r="U55" s="49">
        <f>Q55-S55</f>
        <v>0</v>
      </c>
      <c r="V55" s="49">
        <f>R55-T55</f>
        <v>0</v>
      </c>
      <c r="W55" s="16"/>
      <c r="X55" s="16"/>
      <c r="Y55" s="16"/>
      <c r="Z55" s="16"/>
      <c r="AA55" s="16"/>
      <c r="AB55" s="16"/>
      <c r="AC55" s="16"/>
      <c r="AD55" s="16"/>
      <c r="AE55" s="16"/>
      <c r="AF55" s="16"/>
      <c r="AG55" s="16"/>
    </row>
    <row r="56" spans="1:33" s="17" customFormat="1" ht="12.75" x14ac:dyDescent="0.2">
      <c r="A56" s="363"/>
      <c r="B56" s="225"/>
      <c r="C56" s="303" t="s">
        <v>680</v>
      </c>
      <c r="D56" s="303" t="s">
        <v>311</v>
      </c>
      <c r="E56" s="303"/>
      <c r="F56" s="303"/>
      <c r="G56" s="283" t="s">
        <v>357</v>
      </c>
      <c r="H56" s="80"/>
      <c r="I56" s="44"/>
      <c r="J56" s="44"/>
      <c r="K56" s="44"/>
      <c r="L56" s="44"/>
      <c r="M56" s="44"/>
      <c r="N56" s="44"/>
      <c r="O56" s="44"/>
      <c r="P56" s="44"/>
      <c r="Q56" s="49">
        <f t="shared" si="24"/>
        <v>0</v>
      </c>
      <c r="R56" s="49">
        <f t="shared" si="25"/>
        <v>0</v>
      </c>
      <c r="S56" s="44"/>
      <c r="T56" s="44"/>
      <c r="U56" s="49">
        <f t="shared" si="26"/>
        <v>0</v>
      </c>
      <c r="V56" s="49">
        <f t="shared" si="27"/>
        <v>0</v>
      </c>
      <c r="W56" s="16"/>
      <c r="X56" s="16"/>
      <c r="Y56" s="16"/>
      <c r="Z56" s="16"/>
      <c r="AA56" s="16"/>
      <c r="AB56" s="16"/>
      <c r="AC56" s="16"/>
      <c r="AD56" s="16"/>
      <c r="AE56" s="16"/>
      <c r="AF56" s="16"/>
      <c r="AG56" s="16"/>
    </row>
    <row r="57" spans="1:33" s="17" customFormat="1" ht="12.75" x14ac:dyDescent="0.2">
      <c r="A57" s="363"/>
      <c r="B57" s="225" t="s">
        <v>61</v>
      </c>
      <c r="C57" s="303" t="s">
        <v>312</v>
      </c>
      <c r="D57" s="303"/>
      <c r="E57" s="303"/>
      <c r="F57" s="303"/>
      <c r="G57" s="283" t="s">
        <v>358</v>
      </c>
      <c r="H57" s="80"/>
      <c r="I57" s="44"/>
      <c r="J57" s="44"/>
      <c r="K57" s="44"/>
      <c r="L57" s="44"/>
      <c r="M57" s="44"/>
      <c r="N57" s="44"/>
      <c r="O57" s="44"/>
      <c r="P57" s="44"/>
      <c r="Q57" s="49">
        <f t="shared" si="24"/>
        <v>0</v>
      </c>
      <c r="R57" s="49">
        <f t="shared" si="25"/>
        <v>0</v>
      </c>
      <c r="S57" s="44"/>
      <c r="T57" s="44"/>
      <c r="U57" s="49">
        <f t="shared" si="26"/>
        <v>0</v>
      </c>
      <c r="V57" s="49">
        <f t="shared" si="27"/>
        <v>0</v>
      </c>
      <c r="W57" s="16"/>
      <c r="X57" s="16"/>
      <c r="Y57" s="16"/>
      <c r="Z57" s="16"/>
      <c r="AA57" s="16"/>
      <c r="AB57" s="16"/>
      <c r="AC57" s="16"/>
      <c r="AD57" s="16"/>
      <c r="AE57" s="16"/>
      <c r="AF57" s="16"/>
      <c r="AG57" s="16"/>
    </row>
    <row r="58" spans="1:33" s="17" customFormat="1" ht="12.75" x14ac:dyDescent="0.2">
      <c r="A58" s="363"/>
      <c r="B58" s="225" t="s">
        <v>71</v>
      </c>
      <c r="C58" s="303" t="s">
        <v>683</v>
      </c>
      <c r="D58" s="303"/>
      <c r="E58" s="303"/>
      <c r="F58" s="303"/>
      <c r="G58" s="283" t="s">
        <v>684</v>
      </c>
      <c r="H58" s="80"/>
      <c r="I58" s="44"/>
      <c r="J58" s="44"/>
      <c r="K58" s="44"/>
      <c r="L58" s="44"/>
      <c r="M58" s="44"/>
      <c r="N58" s="44"/>
      <c r="O58" s="44"/>
      <c r="P58" s="44"/>
      <c r="Q58" s="49">
        <f t="shared" si="24"/>
        <v>0</v>
      </c>
      <c r="R58" s="49">
        <f t="shared" si="25"/>
        <v>0</v>
      </c>
      <c r="S58" s="44"/>
      <c r="T58" s="44"/>
      <c r="U58" s="49">
        <f t="shared" si="26"/>
        <v>0</v>
      </c>
      <c r="V58" s="49">
        <f t="shared" si="27"/>
        <v>0</v>
      </c>
      <c r="W58" s="16"/>
      <c r="X58" s="16"/>
      <c r="Y58" s="16"/>
      <c r="Z58" s="16"/>
      <c r="AA58" s="16"/>
      <c r="AB58" s="16"/>
      <c r="AC58" s="16"/>
      <c r="AD58" s="16"/>
      <c r="AE58" s="16"/>
      <c r="AF58" s="16"/>
      <c r="AG58" s="16"/>
    </row>
    <row r="59" spans="1:33" s="17" customFormat="1" ht="12.75" x14ac:dyDescent="0.2">
      <c r="A59" s="342" t="s">
        <v>55</v>
      </c>
      <c r="B59" s="225" t="s">
        <v>313</v>
      </c>
      <c r="C59" s="303"/>
      <c r="D59" s="303"/>
      <c r="E59" s="303"/>
      <c r="F59" s="303"/>
      <c r="G59" s="283" t="s">
        <v>359</v>
      </c>
      <c r="H59" s="80"/>
      <c r="I59" s="41">
        <f t="shared" ref="I59:P59" si="29">I60+I65</f>
        <v>0</v>
      </c>
      <c r="J59" s="41">
        <f t="shared" si="29"/>
        <v>0</v>
      </c>
      <c r="K59" s="41">
        <f t="shared" si="29"/>
        <v>0</v>
      </c>
      <c r="L59" s="41">
        <f t="shared" si="29"/>
        <v>0</v>
      </c>
      <c r="M59" s="41">
        <f t="shared" si="29"/>
        <v>0</v>
      </c>
      <c r="N59" s="41">
        <f t="shared" si="29"/>
        <v>0</v>
      </c>
      <c r="O59" s="41">
        <f t="shared" si="29"/>
        <v>0</v>
      </c>
      <c r="P59" s="41">
        <f t="shared" si="29"/>
        <v>0</v>
      </c>
      <c r="Q59" s="49">
        <f t="shared" si="24"/>
        <v>0</v>
      </c>
      <c r="R59" s="49">
        <f t="shared" si="25"/>
        <v>0</v>
      </c>
      <c r="S59" s="41">
        <f>S60+S65</f>
        <v>0</v>
      </c>
      <c r="T59" s="41">
        <f>T60+T65</f>
        <v>0</v>
      </c>
      <c r="U59" s="49">
        <f t="shared" si="26"/>
        <v>0</v>
      </c>
      <c r="V59" s="49">
        <f t="shared" si="27"/>
        <v>0</v>
      </c>
      <c r="W59" s="16"/>
      <c r="X59" s="16"/>
      <c r="Y59" s="16"/>
      <c r="Z59" s="16"/>
      <c r="AA59" s="16"/>
      <c r="AB59" s="16"/>
      <c r="AC59" s="16"/>
      <c r="AD59" s="16"/>
      <c r="AE59" s="16"/>
      <c r="AF59" s="16"/>
      <c r="AG59" s="16"/>
    </row>
    <row r="60" spans="1:33" s="17" customFormat="1" ht="12.75" x14ac:dyDescent="0.2">
      <c r="A60" s="363"/>
      <c r="B60" s="225" t="s">
        <v>59</v>
      </c>
      <c r="C60" s="303" t="s">
        <v>305</v>
      </c>
      <c r="D60" s="303"/>
      <c r="E60" s="303"/>
      <c r="F60" s="303"/>
      <c r="G60" s="283" t="s">
        <v>360</v>
      </c>
      <c r="H60" s="80"/>
      <c r="I60" s="41">
        <f>I61+I62+I63+I64</f>
        <v>0</v>
      </c>
      <c r="J60" s="41">
        <f t="shared" ref="J60:P60" si="30">J61+J62+J63+J64</f>
        <v>0</v>
      </c>
      <c r="K60" s="41">
        <f t="shared" si="30"/>
        <v>0</v>
      </c>
      <c r="L60" s="41">
        <f t="shared" si="30"/>
        <v>0</v>
      </c>
      <c r="M60" s="41">
        <f t="shared" si="30"/>
        <v>0</v>
      </c>
      <c r="N60" s="41">
        <f t="shared" si="30"/>
        <v>0</v>
      </c>
      <c r="O60" s="41">
        <f t="shared" si="30"/>
        <v>0</v>
      </c>
      <c r="P60" s="41">
        <f t="shared" si="30"/>
        <v>0</v>
      </c>
      <c r="Q60" s="49">
        <f t="shared" si="24"/>
        <v>0</v>
      </c>
      <c r="R60" s="49">
        <f t="shared" si="25"/>
        <v>0</v>
      </c>
      <c r="S60" s="41">
        <f>S61+S62+S63+S64</f>
        <v>0</v>
      </c>
      <c r="T60" s="41">
        <f>T61+T62+T63+T64</f>
        <v>0</v>
      </c>
      <c r="U60" s="49">
        <f t="shared" si="26"/>
        <v>0</v>
      </c>
      <c r="V60" s="49">
        <f t="shared" si="27"/>
        <v>0</v>
      </c>
      <c r="W60" s="16"/>
      <c r="X60" s="16"/>
      <c r="Y60" s="16"/>
      <c r="Z60" s="16"/>
      <c r="AA60" s="16"/>
      <c r="AB60" s="16"/>
      <c r="AC60" s="16"/>
      <c r="AD60" s="16"/>
      <c r="AE60" s="16"/>
      <c r="AF60" s="16"/>
      <c r="AG60" s="16"/>
    </row>
    <row r="61" spans="1:33" s="17" customFormat="1" ht="12.75" x14ac:dyDescent="0.2">
      <c r="A61" s="363"/>
      <c r="B61" s="225"/>
      <c r="C61" s="303" t="s">
        <v>306</v>
      </c>
      <c r="D61" s="303" t="s">
        <v>307</v>
      </c>
      <c r="E61" s="303"/>
      <c r="F61" s="303"/>
      <c r="G61" s="283" t="s">
        <v>361</v>
      </c>
      <c r="H61" s="80"/>
      <c r="I61" s="44"/>
      <c r="J61" s="44"/>
      <c r="K61" s="44"/>
      <c r="L61" s="44"/>
      <c r="M61" s="44"/>
      <c r="N61" s="44"/>
      <c r="O61" s="44"/>
      <c r="P61" s="44"/>
      <c r="Q61" s="49">
        <f t="shared" si="24"/>
        <v>0</v>
      </c>
      <c r="R61" s="49">
        <f t="shared" si="25"/>
        <v>0</v>
      </c>
      <c r="S61" s="44"/>
      <c r="T61" s="44"/>
      <c r="U61" s="49">
        <f t="shared" si="26"/>
        <v>0</v>
      </c>
      <c r="V61" s="49">
        <f t="shared" si="27"/>
        <v>0</v>
      </c>
      <c r="W61" s="16"/>
      <c r="X61" s="16"/>
      <c r="Y61" s="16"/>
      <c r="Z61" s="16"/>
      <c r="AA61" s="16"/>
      <c r="AB61" s="16"/>
      <c r="AC61" s="16"/>
      <c r="AD61" s="16"/>
      <c r="AE61" s="16"/>
      <c r="AF61" s="16"/>
      <c r="AG61" s="16"/>
    </row>
    <row r="62" spans="1:33" s="17" customFormat="1" ht="12.75" x14ac:dyDescent="0.2">
      <c r="A62" s="363"/>
      <c r="B62" s="225"/>
      <c r="C62" s="303" t="s">
        <v>308</v>
      </c>
      <c r="D62" s="303" t="s">
        <v>309</v>
      </c>
      <c r="E62" s="303"/>
      <c r="F62" s="303"/>
      <c r="G62" s="283" t="s">
        <v>362</v>
      </c>
      <c r="H62" s="80"/>
      <c r="I62" s="44"/>
      <c r="J62" s="44"/>
      <c r="K62" s="44"/>
      <c r="L62" s="44"/>
      <c r="M62" s="44"/>
      <c r="N62" s="44"/>
      <c r="O62" s="44"/>
      <c r="P62" s="44"/>
      <c r="Q62" s="49">
        <f t="shared" si="24"/>
        <v>0</v>
      </c>
      <c r="R62" s="49">
        <f t="shared" si="25"/>
        <v>0</v>
      </c>
      <c r="S62" s="44"/>
      <c r="T62" s="44"/>
      <c r="U62" s="49">
        <f t="shared" si="26"/>
        <v>0</v>
      </c>
      <c r="V62" s="49">
        <f t="shared" si="27"/>
        <v>0</v>
      </c>
      <c r="W62" s="16"/>
      <c r="X62" s="16"/>
      <c r="Y62" s="16"/>
      <c r="Z62" s="16"/>
      <c r="AA62" s="16"/>
      <c r="AB62" s="16"/>
      <c r="AC62" s="16"/>
      <c r="AD62" s="16"/>
      <c r="AE62" s="16"/>
      <c r="AF62" s="16"/>
      <c r="AG62" s="16"/>
    </row>
    <row r="63" spans="1:33" s="17" customFormat="1" ht="12.75" x14ac:dyDescent="0.2">
      <c r="A63" s="363"/>
      <c r="B63" s="225"/>
      <c r="C63" s="357" t="s">
        <v>310</v>
      </c>
      <c r="D63" s="357" t="s">
        <v>624</v>
      </c>
      <c r="E63" s="357"/>
      <c r="F63" s="347"/>
      <c r="G63" s="338" t="s">
        <v>627</v>
      </c>
      <c r="H63" s="80"/>
      <c r="I63" s="44"/>
      <c r="J63" s="44"/>
      <c r="K63" s="44"/>
      <c r="L63" s="44"/>
      <c r="M63" s="44"/>
      <c r="N63" s="44"/>
      <c r="O63" s="44"/>
      <c r="P63" s="44"/>
      <c r="Q63" s="49">
        <f>I63+K63+M63+O63</f>
        <v>0</v>
      </c>
      <c r="R63" s="49">
        <f>J63+L63+N63+P63</f>
        <v>0</v>
      </c>
      <c r="S63" s="44"/>
      <c r="T63" s="44"/>
      <c r="U63" s="49">
        <f>Q63-S63</f>
        <v>0</v>
      </c>
      <c r="V63" s="49">
        <f>R63-T63</f>
        <v>0</v>
      </c>
      <c r="W63" s="16"/>
      <c r="X63" s="16"/>
      <c r="Y63" s="16"/>
      <c r="Z63" s="16"/>
      <c r="AA63" s="16"/>
      <c r="AB63" s="16"/>
      <c r="AC63" s="16"/>
      <c r="AD63" s="16"/>
      <c r="AE63" s="16"/>
      <c r="AF63" s="16"/>
      <c r="AG63" s="16"/>
    </row>
    <row r="64" spans="1:33" s="17" customFormat="1" ht="12.75" x14ac:dyDescent="0.2">
      <c r="A64" s="363"/>
      <c r="B64" s="225"/>
      <c r="C64" s="303" t="s">
        <v>626</v>
      </c>
      <c r="D64" s="303" t="s">
        <v>311</v>
      </c>
      <c r="E64" s="303"/>
      <c r="F64" s="303"/>
      <c r="G64" s="283" t="s">
        <v>363</v>
      </c>
      <c r="H64" s="80"/>
      <c r="I64" s="44"/>
      <c r="J64" s="44"/>
      <c r="K64" s="44"/>
      <c r="L64" s="44"/>
      <c r="M64" s="44"/>
      <c r="N64" s="44"/>
      <c r="O64" s="44"/>
      <c r="P64" s="44"/>
      <c r="Q64" s="49">
        <f t="shared" si="24"/>
        <v>0</v>
      </c>
      <c r="R64" s="49">
        <f t="shared" si="25"/>
        <v>0</v>
      </c>
      <c r="S64" s="44"/>
      <c r="T64" s="44"/>
      <c r="U64" s="49">
        <f t="shared" si="26"/>
        <v>0</v>
      </c>
      <c r="V64" s="49">
        <f t="shared" si="27"/>
        <v>0</v>
      </c>
      <c r="W64" s="16"/>
      <c r="X64" s="16"/>
      <c r="Y64" s="16"/>
      <c r="Z64" s="16"/>
      <c r="AA64" s="16"/>
      <c r="AB64" s="16"/>
      <c r="AC64" s="16"/>
      <c r="AD64" s="16"/>
      <c r="AE64" s="16"/>
      <c r="AF64" s="16"/>
      <c r="AG64" s="16"/>
    </row>
    <row r="65" spans="1:33" s="17" customFormat="1" ht="12.75" x14ac:dyDescent="0.2">
      <c r="A65" s="363"/>
      <c r="B65" s="225" t="s">
        <v>61</v>
      </c>
      <c r="C65" s="303" t="s">
        <v>312</v>
      </c>
      <c r="D65" s="303"/>
      <c r="E65" s="303"/>
      <c r="F65" s="303"/>
      <c r="G65" s="283" t="s">
        <v>364</v>
      </c>
      <c r="H65" s="80"/>
      <c r="I65" s="44"/>
      <c r="J65" s="44"/>
      <c r="K65" s="44"/>
      <c r="L65" s="44"/>
      <c r="M65" s="44"/>
      <c r="N65" s="44"/>
      <c r="O65" s="44"/>
      <c r="P65" s="44"/>
      <c r="Q65" s="49">
        <f t="shared" si="24"/>
        <v>0</v>
      </c>
      <c r="R65" s="49">
        <f t="shared" si="25"/>
        <v>0</v>
      </c>
      <c r="S65" s="44"/>
      <c r="T65" s="44"/>
      <c r="U65" s="49">
        <f t="shared" si="26"/>
        <v>0</v>
      </c>
      <c r="V65" s="49">
        <f t="shared" si="27"/>
        <v>0</v>
      </c>
      <c r="W65" s="16"/>
      <c r="X65" s="16"/>
      <c r="Y65" s="16"/>
      <c r="Z65" s="16"/>
      <c r="AA65" s="16"/>
      <c r="AB65" s="16"/>
      <c r="AC65" s="16"/>
      <c r="AD65" s="16"/>
      <c r="AE65" s="16"/>
      <c r="AF65" s="16"/>
      <c r="AG65" s="16"/>
    </row>
    <row r="66" spans="1:33" s="17" customFormat="1" ht="12.75" x14ac:dyDescent="0.2">
      <c r="A66" s="342" t="s">
        <v>65</v>
      </c>
      <c r="B66" s="225" t="s">
        <v>314</v>
      </c>
      <c r="C66" s="303"/>
      <c r="D66" s="303"/>
      <c r="E66" s="303"/>
      <c r="F66" s="303"/>
      <c r="G66" s="283" t="s">
        <v>365</v>
      </c>
      <c r="H66" s="80"/>
      <c r="I66" s="41">
        <f>I67+I72+I73</f>
        <v>0</v>
      </c>
      <c r="J66" s="41">
        <f t="shared" ref="J66:P66" si="31">J67+J72+J73</f>
        <v>0</v>
      </c>
      <c r="K66" s="41">
        <f t="shared" si="31"/>
        <v>0</v>
      </c>
      <c r="L66" s="41">
        <f t="shared" si="31"/>
        <v>0</v>
      </c>
      <c r="M66" s="41">
        <f t="shared" si="31"/>
        <v>0</v>
      </c>
      <c r="N66" s="41">
        <f t="shared" si="31"/>
        <v>0</v>
      </c>
      <c r="O66" s="41">
        <f t="shared" si="31"/>
        <v>0</v>
      </c>
      <c r="P66" s="41">
        <f t="shared" si="31"/>
        <v>0</v>
      </c>
      <c r="Q66" s="49">
        <f t="shared" si="24"/>
        <v>0</v>
      </c>
      <c r="R66" s="49">
        <f t="shared" si="25"/>
        <v>0</v>
      </c>
      <c r="S66" s="41">
        <f>S67+S72+S73</f>
        <v>0</v>
      </c>
      <c r="T66" s="41">
        <f>T67+T72+T73</f>
        <v>0</v>
      </c>
      <c r="U66" s="49">
        <f t="shared" si="26"/>
        <v>0</v>
      </c>
      <c r="V66" s="49">
        <f t="shared" si="27"/>
        <v>0</v>
      </c>
      <c r="W66" s="16"/>
      <c r="X66" s="16"/>
      <c r="Y66" s="16"/>
      <c r="Z66" s="16"/>
      <c r="AA66" s="16"/>
      <c r="AB66" s="16"/>
      <c r="AC66" s="16"/>
      <c r="AD66" s="16"/>
      <c r="AE66" s="16"/>
      <c r="AF66" s="16"/>
      <c r="AG66" s="16"/>
    </row>
    <row r="67" spans="1:33" s="17" customFormat="1" ht="12.75" x14ac:dyDescent="0.2">
      <c r="A67" s="342"/>
      <c r="B67" s="225" t="s">
        <v>59</v>
      </c>
      <c r="C67" s="303" t="s">
        <v>315</v>
      </c>
      <c r="D67" s="303"/>
      <c r="E67" s="303"/>
      <c r="F67" s="303"/>
      <c r="G67" s="283" t="s">
        <v>366</v>
      </c>
      <c r="H67" s="80"/>
      <c r="I67" s="41">
        <f t="shared" ref="I67:P67" si="32">I68+I69</f>
        <v>0</v>
      </c>
      <c r="J67" s="41">
        <f t="shared" si="32"/>
        <v>0</v>
      </c>
      <c r="K67" s="41">
        <f t="shared" si="32"/>
        <v>0</v>
      </c>
      <c r="L67" s="41">
        <f t="shared" si="32"/>
        <v>0</v>
      </c>
      <c r="M67" s="41">
        <f t="shared" si="32"/>
        <v>0</v>
      </c>
      <c r="N67" s="41">
        <f t="shared" si="32"/>
        <v>0</v>
      </c>
      <c r="O67" s="41">
        <f t="shared" si="32"/>
        <v>0</v>
      </c>
      <c r="P67" s="41">
        <f t="shared" si="32"/>
        <v>0</v>
      </c>
      <c r="Q67" s="49">
        <f t="shared" si="24"/>
        <v>0</v>
      </c>
      <c r="R67" s="49">
        <f t="shared" si="25"/>
        <v>0</v>
      </c>
      <c r="S67" s="41">
        <f>S68+S69</f>
        <v>0</v>
      </c>
      <c r="T67" s="41">
        <f>T68+T69</f>
        <v>0</v>
      </c>
      <c r="U67" s="49">
        <f t="shared" si="26"/>
        <v>0</v>
      </c>
      <c r="V67" s="49">
        <f t="shared" si="27"/>
        <v>0</v>
      </c>
      <c r="W67" s="16"/>
      <c r="X67" s="16"/>
      <c r="Y67" s="16"/>
      <c r="Z67" s="16"/>
      <c r="AA67" s="16"/>
      <c r="AB67" s="16"/>
      <c r="AC67" s="16"/>
      <c r="AD67" s="16"/>
      <c r="AE67" s="16"/>
      <c r="AF67" s="16"/>
      <c r="AG67" s="16"/>
    </row>
    <row r="68" spans="1:33" s="17" customFormat="1" ht="12.75" x14ac:dyDescent="0.2">
      <c r="A68" s="342"/>
      <c r="B68" s="225"/>
      <c r="C68" s="303" t="s">
        <v>306</v>
      </c>
      <c r="D68" s="303" t="s">
        <v>316</v>
      </c>
      <c r="E68" s="303"/>
      <c r="F68" s="303"/>
      <c r="G68" s="283" t="s">
        <v>367</v>
      </c>
      <c r="H68" s="80"/>
      <c r="I68" s="44"/>
      <c r="J68" s="44"/>
      <c r="K68" s="44"/>
      <c r="L68" s="44"/>
      <c r="M68" s="44"/>
      <c r="N68" s="44"/>
      <c r="O68" s="44"/>
      <c r="P68" s="44"/>
      <c r="Q68" s="49">
        <f t="shared" si="24"/>
        <v>0</v>
      </c>
      <c r="R68" s="49">
        <f t="shared" si="25"/>
        <v>0</v>
      </c>
      <c r="S68" s="44"/>
      <c r="T68" s="44"/>
      <c r="U68" s="49">
        <f t="shared" si="26"/>
        <v>0</v>
      </c>
      <c r="V68" s="49">
        <f t="shared" si="27"/>
        <v>0</v>
      </c>
      <c r="W68" s="16"/>
      <c r="X68" s="16"/>
      <c r="Y68" s="16"/>
      <c r="Z68" s="16"/>
      <c r="AA68" s="16"/>
      <c r="AB68" s="16"/>
      <c r="AC68" s="16"/>
      <c r="AD68" s="16"/>
      <c r="AE68" s="16"/>
      <c r="AF68" s="16"/>
      <c r="AG68" s="16"/>
    </row>
    <row r="69" spans="1:33" s="17" customFormat="1" ht="12.75" x14ac:dyDescent="0.2">
      <c r="A69" s="342"/>
      <c r="B69" s="225"/>
      <c r="C69" s="303" t="s">
        <v>308</v>
      </c>
      <c r="D69" s="303" t="s">
        <v>317</v>
      </c>
      <c r="E69" s="303"/>
      <c r="F69" s="303"/>
      <c r="G69" s="283" t="s">
        <v>368</v>
      </c>
      <c r="H69" s="80"/>
      <c r="I69" s="41">
        <f t="shared" ref="I69:P69" si="33">I70+I71</f>
        <v>0</v>
      </c>
      <c r="J69" s="41">
        <f t="shared" si="33"/>
        <v>0</v>
      </c>
      <c r="K69" s="41">
        <f t="shared" si="33"/>
        <v>0</v>
      </c>
      <c r="L69" s="41">
        <f t="shared" si="33"/>
        <v>0</v>
      </c>
      <c r="M69" s="41">
        <f t="shared" si="33"/>
        <v>0</v>
      </c>
      <c r="N69" s="41">
        <f t="shared" si="33"/>
        <v>0</v>
      </c>
      <c r="O69" s="41">
        <f t="shared" si="33"/>
        <v>0</v>
      </c>
      <c r="P69" s="41">
        <f t="shared" si="33"/>
        <v>0</v>
      </c>
      <c r="Q69" s="49">
        <f t="shared" si="24"/>
        <v>0</v>
      </c>
      <c r="R69" s="49">
        <f t="shared" si="25"/>
        <v>0</v>
      </c>
      <c r="S69" s="41">
        <f>S70+S71</f>
        <v>0</v>
      </c>
      <c r="T69" s="41">
        <f>T70+T71</f>
        <v>0</v>
      </c>
      <c r="U69" s="49">
        <f t="shared" si="26"/>
        <v>0</v>
      </c>
      <c r="V69" s="49">
        <f t="shared" si="27"/>
        <v>0</v>
      </c>
      <c r="W69" s="16"/>
      <c r="X69" s="16"/>
      <c r="Y69" s="16"/>
      <c r="Z69" s="16"/>
      <c r="AA69" s="16"/>
      <c r="AB69" s="16"/>
      <c r="AC69" s="16"/>
      <c r="AD69" s="16"/>
      <c r="AE69" s="16"/>
      <c r="AF69" s="16"/>
      <c r="AG69" s="16"/>
    </row>
    <row r="70" spans="1:33" s="17" customFormat="1" ht="12.75" x14ac:dyDescent="0.2">
      <c r="A70" s="342"/>
      <c r="B70" s="225"/>
      <c r="C70" s="303"/>
      <c r="D70" s="309" t="s">
        <v>161</v>
      </c>
      <c r="E70" s="303" t="s">
        <v>631</v>
      </c>
      <c r="F70" s="347"/>
      <c r="G70" s="283" t="s">
        <v>319</v>
      </c>
      <c r="H70" s="80"/>
      <c r="I70" s="44"/>
      <c r="J70" s="44"/>
      <c r="K70" s="44"/>
      <c r="L70" s="44"/>
      <c r="M70" s="44"/>
      <c r="N70" s="44"/>
      <c r="O70" s="44"/>
      <c r="P70" s="44"/>
      <c r="Q70" s="49">
        <f t="shared" si="24"/>
        <v>0</v>
      </c>
      <c r="R70" s="49">
        <f t="shared" si="25"/>
        <v>0</v>
      </c>
      <c r="S70" s="44"/>
      <c r="T70" s="44"/>
      <c r="U70" s="49">
        <f t="shared" si="26"/>
        <v>0</v>
      </c>
      <c r="V70" s="49">
        <f t="shared" si="27"/>
        <v>0</v>
      </c>
      <c r="W70" s="16"/>
      <c r="X70" s="16"/>
      <c r="Y70" s="16"/>
      <c r="Z70" s="16"/>
      <c r="AA70" s="16"/>
      <c r="AB70" s="16"/>
      <c r="AC70" s="16"/>
      <c r="AD70" s="16"/>
      <c r="AE70" s="16"/>
      <c r="AF70" s="16"/>
      <c r="AG70" s="16"/>
    </row>
    <row r="71" spans="1:33" s="17" customFormat="1" ht="12.75" x14ac:dyDescent="0.2">
      <c r="A71" s="342"/>
      <c r="B71" s="225"/>
      <c r="C71" s="303"/>
      <c r="D71" s="309" t="s">
        <v>164</v>
      </c>
      <c r="E71" s="303" t="s">
        <v>52</v>
      </c>
      <c r="F71" s="358"/>
      <c r="G71" s="283" t="s">
        <v>320</v>
      </c>
      <c r="H71" s="80"/>
      <c r="I71" s="44"/>
      <c r="J71" s="44"/>
      <c r="K71" s="44"/>
      <c r="L71" s="44"/>
      <c r="M71" s="44"/>
      <c r="N71" s="44"/>
      <c r="O71" s="44"/>
      <c r="P71" s="44"/>
      <c r="Q71" s="49">
        <f t="shared" si="24"/>
        <v>0</v>
      </c>
      <c r="R71" s="49">
        <f t="shared" si="25"/>
        <v>0</v>
      </c>
      <c r="S71" s="44"/>
      <c r="T71" s="44"/>
      <c r="U71" s="49">
        <f t="shared" si="26"/>
        <v>0</v>
      </c>
      <c r="V71" s="49">
        <f t="shared" si="27"/>
        <v>0</v>
      </c>
      <c r="W71" s="16"/>
      <c r="X71" s="16"/>
      <c r="Y71" s="16"/>
      <c r="Z71" s="16"/>
      <c r="AA71" s="16"/>
      <c r="AB71" s="16"/>
      <c r="AC71" s="16"/>
      <c r="AD71" s="16"/>
      <c r="AE71" s="16"/>
      <c r="AF71" s="16"/>
      <c r="AG71" s="16"/>
    </row>
    <row r="72" spans="1:33" s="17" customFormat="1" ht="12.75" x14ac:dyDescent="0.2">
      <c r="A72" s="342"/>
      <c r="B72" s="225" t="s">
        <v>61</v>
      </c>
      <c r="C72" s="303" t="s">
        <v>321</v>
      </c>
      <c r="D72" s="303"/>
      <c r="E72" s="303"/>
      <c r="F72" s="303"/>
      <c r="G72" s="283" t="s">
        <v>369</v>
      </c>
      <c r="H72" s="80"/>
      <c r="I72" s="44"/>
      <c r="J72" s="44"/>
      <c r="K72" s="44"/>
      <c r="L72" s="44"/>
      <c r="M72" s="44"/>
      <c r="N72" s="44"/>
      <c r="O72" s="44"/>
      <c r="P72" s="44"/>
      <c r="Q72" s="49">
        <f t="shared" si="24"/>
        <v>0</v>
      </c>
      <c r="R72" s="49">
        <f t="shared" si="25"/>
        <v>0</v>
      </c>
      <c r="S72" s="44"/>
      <c r="T72" s="44"/>
      <c r="U72" s="49">
        <f t="shared" si="26"/>
        <v>0</v>
      </c>
      <c r="V72" s="49">
        <f t="shared" si="27"/>
        <v>0</v>
      </c>
      <c r="W72" s="16"/>
      <c r="X72" s="16"/>
      <c r="Y72" s="16"/>
      <c r="Z72" s="16"/>
      <c r="AA72" s="16"/>
      <c r="AB72" s="16"/>
      <c r="AC72" s="16"/>
      <c r="AD72" s="16"/>
      <c r="AE72" s="16"/>
      <c r="AF72" s="16"/>
      <c r="AG72" s="16"/>
    </row>
    <row r="73" spans="1:33" s="17" customFormat="1" ht="12.75" x14ac:dyDescent="0.2">
      <c r="A73" s="342"/>
      <c r="B73" s="359" t="s">
        <v>71</v>
      </c>
      <c r="C73" s="360" t="s">
        <v>628</v>
      </c>
      <c r="D73" s="359"/>
      <c r="E73" s="359"/>
      <c r="F73" s="303"/>
      <c r="G73" s="313" t="s">
        <v>629</v>
      </c>
      <c r="H73" s="80"/>
      <c r="I73" s="44"/>
      <c r="J73" s="44"/>
      <c r="K73" s="44"/>
      <c r="L73" s="44"/>
      <c r="M73" s="44"/>
      <c r="N73" s="44"/>
      <c r="O73" s="44"/>
      <c r="P73" s="44"/>
      <c r="Q73" s="49">
        <f>I73+K73+M73+O73</f>
        <v>0</v>
      </c>
      <c r="R73" s="49">
        <f>J73+L73+N73+P73</f>
        <v>0</v>
      </c>
      <c r="S73" s="44"/>
      <c r="T73" s="44"/>
      <c r="U73" s="49">
        <f>Q73-S73</f>
        <v>0</v>
      </c>
      <c r="V73" s="49">
        <f>R73-T73</f>
        <v>0</v>
      </c>
      <c r="W73" s="16"/>
      <c r="X73" s="16"/>
      <c r="Y73" s="16"/>
      <c r="Z73" s="16"/>
      <c r="AA73" s="16"/>
      <c r="AB73" s="16"/>
      <c r="AC73" s="16"/>
      <c r="AD73" s="16"/>
      <c r="AE73" s="16"/>
      <c r="AF73" s="16"/>
      <c r="AG73" s="16"/>
    </row>
    <row r="74" spans="1:33" s="17" customFormat="1" ht="12.75" x14ac:dyDescent="0.2">
      <c r="A74" s="362" t="s">
        <v>90</v>
      </c>
      <c r="B74" s="303" t="s">
        <v>273</v>
      </c>
      <c r="C74" s="303"/>
      <c r="D74" s="303"/>
      <c r="E74" s="303"/>
      <c r="F74" s="303"/>
      <c r="G74" s="283" t="s">
        <v>370</v>
      </c>
      <c r="H74" s="80"/>
      <c r="I74" s="41">
        <f t="shared" ref="I74:P74" si="34">I75+I76+I77</f>
        <v>0</v>
      </c>
      <c r="J74" s="41">
        <f t="shared" si="34"/>
        <v>0</v>
      </c>
      <c r="K74" s="41">
        <f t="shared" si="34"/>
        <v>0</v>
      </c>
      <c r="L74" s="41">
        <f t="shared" si="34"/>
        <v>0</v>
      </c>
      <c r="M74" s="41">
        <f t="shared" si="34"/>
        <v>0</v>
      </c>
      <c r="N74" s="41">
        <f t="shared" si="34"/>
        <v>0</v>
      </c>
      <c r="O74" s="41">
        <f t="shared" si="34"/>
        <v>0</v>
      </c>
      <c r="P74" s="41">
        <f t="shared" si="34"/>
        <v>0</v>
      </c>
      <c r="Q74" s="49">
        <f t="shared" si="24"/>
        <v>0</v>
      </c>
      <c r="R74" s="49">
        <f t="shared" si="25"/>
        <v>0</v>
      </c>
      <c r="S74" s="41">
        <f>S75+S76+S77</f>
        <v>0</v>
      </c>
      <c r="T74" s="41">
        <f>T75+T76+T77</f>
        <v>0</v>
      </c>
      <c r="U74" s="49">
        <f t="shared" si="26"/>
        <v>0</v>
      </c>
      <c r="V74" s="49">
        <f t="shared" si="27"/>
        <v>0</v>
      </c>
      <c r="W74" s="16"/>
      <c r="X74" s="16"/>
      <c r="Y74" s="16"/>
      <c r="Z74" s="16"/>
      <c r="AA74" s="16"/>
      <c r="AB74" s="16"/>
      <c r="AC74" s="16"/>
      <c r="AD74" s="16"/>
      <c r="AE74" s="16"/>
      <c r="AF74" s="16"/>
      <c r="AG74" s="16"/>
    </row>
    <row r="75" spans="1:33" s="17" customFormat="1" ht="12.75" x14ac:dyDescent="0.2">
      <c r="A75" s="362"/>
      <c r="B75" s="225" t="s">
        <v>180</v>
      </c>
      <c r="C75" s="225" t="s">
        <v>275</v>
      </c>
      <c r="D75" s="225"/>
      <c r="E75" s="225"/>
      <c r="F75" s="225"/>
      <c r="G75" s="283" t="s">
        <v>371</v>
      </c>
      <c r="H75" s="80"/>
      <c r="I75" s="50"/>
      <c r="J75" s="50"/>
      <c r="K75" s="50"/>
      <c r="L75" s="50"/>
      <c r="M75" s="50"/>
      <c r="N75" s="50"/>
      <c r="O75" s="50"/>
      <c r="P75" s="50"/>
      <c r="Q75" s="49">
        <f t="shared" si="24"/>
        <v>0</v>
      </c>
      <c r="R75" s="49">
        <f t="shared" si="25"/>
        <v>0</v>
      </c>
      <c r="S75" s="50"/>
      <c r="T75" s="50"/>
      <c r="U75" s="49">
        <f t="shared" si="26"/>
        <v>0</v>
      </c>
      <c r="V75" s="49">
        <f t="shared" si="27"/>
        <v>0</v>
      </c>
      <c r="W75" s="16"/>
      <c r="X75" s="16"/>
      <c r="Y75" s="16"/>
      <c r="Z75" s="16"/>
      <c r="AA75" s="16"/>
      <c r="AB75" s="16"/>
      <c r="AC75" s="16"/>
      <c r="AD75" s="16"/>
      <c r="AE75" s="16"/>
      <c r="AF75" s="16"/>
      <c r="AG75" s="16"/>
    </row>
    <row r="76" spans="1:33" s="17" customFormat="1" ht="12.75" x14ac:dyDescent="0.2">
      <c r="A76" s="362"/>
      <c r="B76" s="225" t="s">
        <v>183</v>
      </c>
      <c r="C76" s="225" t="s">
        <v>277</v>
      </c>
      <c r="D76" s="225"/>
      <c r="E76" s="225"/>
      <c r="F76" s="225"/>
      <c r="G76" s="283" t="s">
        <v>372</v>
      </c>
      <c r="H76" s="80"/>
      <c r="I76" s="43"/>
      <c r="J76" s="43"/>
      <c r="K76" s="43"/>
      <c r="L76" s="43"/>
      <c r="M76" s="43"/>
      <c r="N76" s="43"/>
      <c r="O76" s="43"/>
      <c r="P76" s="43"/>
      <c r="Q76" s="43"/>
      <c r="R76" s="43"/>
      <c r="S76" s="43"/>
      <c r="T76" s="43"/>
      <c r="U76" s="43"/>
      <c r="V76" s="43"/>
      <c r="W76" s="16"/>
      <c r="X76" s="16"/>
      <c r="Y76" s="16"/>
      <c r="Z76" s="16"/>
      <c r="AA76" s="16"/>
      <c r="AB76" s="16"/>
      <c r="AC76" s="16"/>
      <c r="AD76" s="16"/>
      <c r="AE76" s="16"/>
      <c r="AF76" s="16"/>
      <c r="AG76" s="16"/>
    </row>
    <row r="77" spans="1:33" s="17" customFormat="1" ht="12.75" x14ac:dyDescent="0.2">
      <c r="A77" s="362"/>
      <c r="B77" s="225" t="s">
        <v>193</v>
      </c>
      <c r="C77" s="225" t="s">
        <v>279</v>
      </c>
      <c r="D77" s="225"/>
      <c r="E77" s="225"/>
      <c r="F77" s="225"/>
      <c r="G77" s="283" t="s">
        <v>373</v>
      </c>
      <c r="H77" s="80"/>
      <c r="I77" s="50"/>
      <c r="J77" s="50"/>
      <c r="K77" s="50"/>
      <c r="L77" s="50"/>
      <c r="M77" s="50"/>
      <c r="N77" s="50"/>
      <c r="O77" s="50"/>
      <c r="P77" s="50"/>
      <c r="Q77" s="49">
        <f>I77+K77+M77+O77</f>
        <v>0</v>
      </c>
      <c r="R77" s="49">
        <f>J77+L77+N77+P77</f>
        <v>0</v>
      </c>
      <c r="S77" s="50"/>
      <c r="T77" s="50"/>
      <c r="U77" s="49">
        <f>Q77-S77</f>
        <v>0</v>
      </c>
      <c r="V77" s="49">
        <f>R77-T77</f>
        <v>0</v>
      </c>
      <c r="W77" s="16"/>
      <c r="X77" s="16"/>
      <c r="Y77" s="16"/>
      <c r="Z77" s="16"/>
      <c r="AA77" s="16"/>
      <c r="AB77" s="16"/>
      <c r="AC77" s="16"/>
      <c r="AD77" s="16"/>
      <c r="AE77" s="16"/>
      <c r="AF77" s="16"/>
      <c r="AG77" s="16"/>
    </row>
    <row r="78" spans="1:33" s="17" customFormat="1" ht="12.75" customHeight="1" x14ac:dyDescent="0.2">
      <c r="A78" s="362" t="s">
        <v>257</v>
      </c>
      <c r="B78" s="303" t="s">
        <v>281</v>
      </c>
      <c r="C78" s="303"/>
      <c r="D78" s="303"/>
      <c r="E78" s="303"/>
      <c r="F78" s="303"/>
      <c r="G78" s="283" t="s">
        <v>374</v>
      </c>
      <c r="H78" s="80"/>
      <c r="I78" s="43"/>
      <c r="J78" s="43"/>
      <c r="K78" s="43"/>
      <c r="L78" s="43"/>
      <c r="M78" s="43"/>
      <c r="N78" s="43"/>
      <c r="O78" s="43"/>
      <c r="P78" s="43"/>
      <c r="Q78" s="43"/>
      <c r="R78" s="43"/>
      <c r="S78" s="43"/>
      <c r="T78" s="43"/>
      <c r="U78" s="43"/>
      <c r="V78" s="43"/>
      <c r="W78" s="16"/>
      <c r="X78" s="16"/>
      <c r="Y78" s="16"/>
      <c r="Z78" s="16"/>
      <c r="AA78" s="16"/>
      <c r="AB78" s="16"/>
      <c r="AC78" s="16"/>
      <c r="AD78" s="16"/>
      <c r="AE78" s="16"/>
      <c r="AF78" s="16"/>
      <c r="AG78" s="16"/>
    </row>
    <row r="79" spans="1:33" s="17" customFormat="1" ht="12.75" customHeight="1" x14ac:dyDescent="0.2">
      <c r="A79" s="362"/>
      <c r="B79" s="225" t="s">
        <v>180</v>
      </c>
      <c r="C79" s="225" t="s">
        <v>283</v>
      </c>
      <c r="D79" s="225"/>
      <c r="E79" s="225"/>
      <c r="F79" s="225"/>
      <c r="G79" s="283" t="s">
        <v>375</v>
      </c>
      <c r="H79" s="80"/>
      <c r="I79" s="43"/>
      <c r="J79" s="43"/>
      <c r="K79" s="43"/>
      <c r="L79" s="43"/>
      <c r="M79" s="43"/>
      <c r="N79" s="43"/>
      <c r="O79" s="43"/>
      <c r="P79" s="43"/>
      <c r="Q79" s="43"/>
      <c r="R79" s="43"/>
      <c r="S79" s="43"/>
      <c r="T79" s="43"/>
      <c r="U79" s="43"/>
      <c r="V79" s="43"/>
      <c r="W79" s="16"/>
      <c r="X79" s="16"/>
      <c r="Y79" s="16"/>
      <c r="Z79" s="16"/>
      <c r="AA79" s="16"/>
      <c r="AB79" s="16"/>
      <c r="AC79" s="16"/>
      <c r="AD79" s="16"/>
      <c r="AE79" s="16"/>
      <c r="AF79" s="16"/>
      <c r="AG79" s="16"/>
    </row>
    <row r="80" spans="1:33" s="17" customFormat="1" ht="12.75" customHeight="1" x14ac:dyDescent="0.2">
      <c r="A80" s="362"/>
      <c r="B80" s="225" t="s">
        <v>183</v>
      </c>
      <c r="C80" s="225" t="s">
        <v>285</v>
      </c>
      <c r="D80" s="225"/>
      <c r="E80" s="225"/>
      <c r="F80" s="225"/>
      <c r="G80" s="283" t="s">
        <v>376</v>
      </c>
      <c r="H80" s="80"/>
      <c r="I80" s="43"/>
      <c r="J80" s="43"/>
      <c r="K80" s="43"/>
      <c r="L80" s="43"/>
      <c r="M80" s="43"/>
      <c r="N80" s="43"/>
      <c r="O80" s="43"/>
      <c r="P80" s="43"/>
      <c r="Q80" s="43"/>
      <c r="R80" s="43"/>
      <c r="S80" s="43"/>
      <c r="T80" s="43"/>
      <c r="U80" s="43"/>
      <c r="V80" s="43"/>
      <c r="W80" s="16"/>
      <c r="X80" s="16"/>
      <c r="Y80" s="16"/>
      <c r="Z80" s="16"/>
      <c r="AA80" s="16"/>
      <c r="AB80" s="16"/>
      <c r="AC80" s="16"/>
      <c r="AD80" s="16"/>
      <c r="AE80" s="16"/>
      <c r="AF80" s="16"/>
      <c r="AG80" s="16"/>
    </row>
    <row r="81" spans="1:33" s="17" customFormat="1" ht="12.75" customHeight="1" x14ac:dyDescent="0.2">
      <c r="A81" s="362" t="s">
        <v>74</v>
      </c>
      <c r="B81" s="661" t="s">
        <v>288</v>
      </c>
      <c r="C81" s="661"/>
      <c r="D81" s="661"/>
      <c r="E81" s="661"/>
      <c r="F81" s="661"/>
      <c r="G81" s="283" t="s">
        <v>377</v>
      </c>
      <c r="H81" s="80"/>
      <c r="I81" s="50"/>
      <c r="J81" s="50"/>
      <c r="K81" s="50"/>
      <c r="L81" s="50"/>
      <c r="M81" s="50"/>
      <c r="N81" s="50"/>
      <c r="O81" s="50"/>
      <c r="P81" s="50"/>
      <c r="Q81" s="49">
        <f>I81+K81+M81+O81</f>
        <v>0</v>
      </c>
      <c r="R81" s="49">
        <f>J81+L81+N81+P81</f>
        <v>0</v>
      </c>
      <c r="S81" s="50"/>
      <c r="T81" s="50"/>
      <c r="U81" s="49">
        <f>Q81-S81</f>
        <v>0</v>
      </c>
      <c r="V81" s="49">
        <f>R81-T81</f>
        <v>0</v>
      </c>
      <c r="W81" s="16"/>
      <c r="X81" s="16"/>
      <c r="Y81" s="16"/>
      <c r="Z81" s="16"/>
      <c r="AA81" s="16"/>
      <c r="AB81" s="16"/>
      <c r="AC81" s="16"/>
      <c r="AD81" s="16"/>
      <c r="AE81" s="16"/>
      <c r="AF81" s="16"/>
      <c r="AG81" s="16"/>
    </row>
    <row r="82" spans="1:33" s="17" customFormat="1" ht="12.75" customHeight="1" x14ac:dyDescent="0.2">
      <c r="A82" s="362" t="s">
        <v>76</v>
      </c>
      <c r="B82" s="661" t="s">
        <v>1288</v>
      </c>
      <c r="C82" s="661"/>
      <c r="D82" s="661"/>
      <c r="E82" s="661"/>
      <c r="F82" s="661"/>
      <c r="G82" s="317" t="s">
        <v>1292</v>
      </c>
      <c r="H82" s="122"/>
      <c r="I82" s="290"/>
      <c r="J82" s="290"/>
      <c r="K82" s="290"/>
      <c r="L82" s="290"/>
      <c r="M82" s="292">
        <f>M45</f>
        <v>0</v>
      </c>
      <c r="N82" s="292">
        <f>N45</f>
        <v>0</v>
      </c>
      <c r="O82" s="292">
        <f>O45</f>
        <v>0</v>
      </c>
      <c r="P82" s="292">
        <f>P45</f>
        <v>0</v>
      </c>
      <c r="Q82" s="292">
        <f>O82+M82+K82+I82</f>
        <v>0</v>
      </c>
      <c r="R82" s="292">
        <f>P82+N82+L82+J82</f>
        <v>0</v>
      </c>
      <c r="S82" s="290"/>
      <c r="T82" s="290"/>
      <c r="U82" s="289"/>
      <c r="V82" s="289"/>
      <c r="W82" s="16"/>
      <c r="X82" s="16"/>
      <c r="Y82" s="16"/>
      <c r="Z82" s="16"/>
      <c r="AA82" s="16"/>
      <c r="AB82" s="16"/>
      <c r="AC82" s="16"/>
      <c r="AD82" s="16"/>
      <c r="AE82" s="16"/>
      <c r="AF82" s="16"/>
      <c r="AG82" s="16"/>
    </row>
    <row r="83" spans="1:33" s="17" customFormat="1" x14ac:dyDescent="0.2">
      <c r="A83" s="412" t="s">
        <v>79</v>
      </c>
      <c r="B83" s="682" t="s">
        <v>47</v>
      </c>
      <c r="C83" s="683"/>
      <c r="D83" s="683"/>
      <c r="E83" s="683"/>
      <c r="F83" s="683"/>
      <c r="G83" s="413" t="s">
        <v>1313</v>
      </c>
      <c r="H83" s="103"/>
      <c r="I83" s="418"/>
      <c r="J83" s="418"/>
      <c r="K83" s="418"/>
      <c r="L83" s="418"/>
      <c r="M83" s="418"/>
      <c r="N83" s="418"/>
      <c r="O83" s="418"/>
      <c r="P83" s="418"/>
      <c r="Q83" s="425"/>
      <c r="R83" s="425"/>
      <c r="S83" s="41">
        <f>I83+K83+M83+O83</f>
        <v>0</v>
      </c>
      <c r="T83" s="41">
        <f>J83+L83+N83+P83</f>
        <v>0</v>
      </c>
      <c r="U83" s="425"/>
      <c r="V83" s="425"/>
      <c r="W83" s="16"/>
      <c r="X83" s="16"/>
      <c r="Y83" s="16"/>
      <c r="Z83" s="16"/>
      <c r="AA83" s="16"/>
      <c r="AB83" s="16"/>
      <c r="AC83" s="16"/>
      <c r="AD83" s="16"/>
      <c r="AE83" s="16"/>
      <c r="AF83" s="16"/>
      <c r="AG83" s="16"/>
    </row>
    <row r="84" spans="1:33" ht="11.25" customHeight="1" x14ac:dyDescent="0.2">
      <c r="A84" s="82"/>
      <c r="C84" s="82"/>
      <c r="D84" s="82"/>
      <c r="E84" s="82"/>
      <c r="F84" s="82"/>
      <c r="G84" s="415" t="s">
        <v>108</v>
      </c>
      <c r="H84" s="427"/>
      <c r="I84" s="426"/>
      <c r="J84" s="426"/>
      <c r="K84" s="426"/>
      <c r="L84" s="426"/>
      <c r="M84" s="426"/>
      <c r="N84" s="426"/>
      <c r="O84" s="426"/>
      <c r="P84" s="426"/>
      <c r="Q84" s="426"/>
      <c r="R84" s="426"/>
      <c r="S84" s="426"/>
      <c r="T84" s="426"/>
      <c r="U84" s="426"/>
      <c r="V84" s="426"/>
      <c r="W84" s="9"/>
      <c r="X84" s="9"/>
      <c r="Y84" s="9"/>
      <c r="Z84" s="9"/>
      <c r="AA84" s="9"/>
      <c r="AB84" s="9"/>
      <c r="AC84" s="9"/>
      <c r="AD84" s="9"/>
      <c r="AE84" s="9"/>
      <c r="AF84" s="9"/>
      <c r="AG84" s="9"/>
    </row>
    <row r="85" spans="1:33" ht="11.25" customHeight="1" x14ac:dyDescent="0.2">
      <c r="B85" s="123" t="s">
        <v>378</v>
      </c>
      <c r="W85" s="9"/>
      <c r="X85" s="9"/>
      <c r="Y85" s="9"/>
      <c r="Z85" s="9"/>
      <c r="AA85" s="9"/>
      <c r="AB85" s="9"/>
      <c r="AC85" s="9"/>
      <c r="AD85" s="9"/>
      <c r="AE85" s="9"/>
      <c r="AF85" s="9"/>
      <c r="AG85" s="9"/>
    </row>
    <row r="86" spans="1:33" ht="11.25" customHeight="1" x14ac:dyDescent="0.2">
      <c r="W86" s="9"/>
      <c r="X86" s="9"/>
      <c r="Y86" s="9"/>
      <c r="Z86" s="9"/>
      <c r="AA86" s="9"/>
      <c r="AB86" s="9"/>
      <c r="AC86" s="9"/>
      <c r="AD86" s="9"/>
      <c r="AE86" s="9"/>
      <c r="AF86" s="9"/>
      <c r="AG86" s="9"/>
    </row>
    <row r="87" spans="1:33" ht="11.25" customHeight="1" x14ac:dyDescent="0.2">
      <c r="W87" s="9"/>
      <c r="X87" s="9"/>
      <c r="Y87" s="9"/>
      <c r="Z87" s="9"/>
      <c r="AA87" s="9"/>
      <c r="AB87" s="9"/>
      <c r="AC87" s="9"/>
      <c r="AD87" s="9"/>
      <c r="AE87" s="9"/>
      <c r="AF87" s="9"/>
      <c r="AG87" s="9"/>
    </row>
    <row r="88" spans="1:33" ht="11.25" customHeight="1" x14ac:dyDescent="0.2">
      <c r="W88" s="9"/>
      <c r="X88" s="9"/>
      <c r="Y88" s="9"/>
      <c r="Z88" s="9"/>
      <c r="AA88" s="9"/>
      <c r="AB88" s="9"/>
      <c r="AC88" s="9"/>
      <c r="AD88" s="9"/>
      <c r="AE88" s="9"/>
      <c r="AF88" s="9"/>
      <c r="AG88" s="9"/>
    </row>
    <row r="89" spans="1:33" ht="11.25" customHeight="1" x14ac:dyDescent="0.2"/>
    <row r="90" spans="1:33" ht="11.25" customHeight="1" x14ac:dyDescent="0.2"/>
    <row r="91" spans="1:33" ht="11.25" customHeight="1" x14ac:dyDescent="0.2"/>
    <row r="92" spans="1:33" ht="11.25" customHeight="1" x14ac:dyDescent="0.2"/>
    <row r="93" spans="1:33" ht="11.25" customHeight="1" x14ac:dyDescent="0.2"/>
    <row r="94" spans="1:33" ht="11.25" customHeight="1" x14ac:dyDescent="0.2"/>
    <row r="95" spans="1:33" ht="11.25" customHeight="1" x14ac:dyDescent="0.2"/>
  </sheetData>
  <sheetProtection password="F8FA" sheet="1" objects="1" scenarios="1" selectLockedCells="1"/>
  <mergeCells count="28">
    <mergeCell ref="K6:L8"/>
    <mergeCell ref="M6:P6"/>
    <mergeCell ref="A1:V1"/>
    <mergeCell ref="A2:V2"/>
    <mergeCell ref="A3:V3"/>
    <mergeCell ref="I5:J5"/>
    <mergeCell ref="M5:N5"/>
    <mergeCell ref="Q5:R5"/>
    <mergeCell ref="B83:F83"/>
    <mergeCell ref="U5:V5"/>
    <mergeCell ref="K5:L5"/>
    <mergeCell ref="A45:F45"/>
    <mergeCell ref="I6:J8"/>
    <mergeCell ref="Q6:R8"/>
    <mergeCell ref="B82:F82"/>
    <mergeCell ref="B81:F81"/>
    <mergeCell ref="S6:T8"/>
    <mergeCell ref="B31:F31"/>
    <mergeCell ref="C23:F23"/>
    <mergeCell ref="C34:F34"/>
    <mergeCell ref="U6:V8"/>
    <mergeCell ref="A5:F9"/>
    <mergeCell ref="G5:G9"/>
    <mergeCell ref="S5:T5"/>
    <mergeCell ref="O5:P5"/>
    <mergeCell ref="C22:F22"/>
    <mergeCell ref="M7:N8"/>
    <mergeCell ref="O7:P8"/>
  </mergeCells>
  <phoneticPr fontId="2" type="noConversion"/>
  <dataValidations count="3">
    <dataValidation type="decimal" allowBlank="1" showInputMessage="1" showErrorMessage="1" error="Invalid data is entered!" sqref="I25:P27 I12:P13 I15:P17 I19:P20 S12:T13 S15:T17 S19:T20 S75:T75 S70:T73 S68:T68 S61:T65 S52:T58 S41:T44 S29:T31 S25:T27 I75:P75 I70:P73 I68:P68 I61:P65 I52:P58 I41:P44 I29:P31 I47:P48 S47:T48 I81:P81 S81:T81 I22:P23 S22:T23 S77:T77 I77:P77">
      <formula1>0</formula1>
      <formula2>99999999999999900</formula2>
    </dataValidation>
    <dataValidation type="decimal" allowBlank="1" showInputMessage="1" showErrorMessage="1" error="Invalid data is entered!_x000a_" sqref="S33:T39 I33:P39">
      <formula1>0</formula1>
      <formula2>99999999999999900</formula2>
    </dataValidation>
    <dataValidation type="decimal" allowBlank="1" showInputMessage="1" showErrorMessage="1" sqref="M82:P82 I83:P8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11a3&amp;8&amp;U
&amp;P of &amp;N&amp;C&amp;"Arial,Bold"&amp;8 NEW RURAL BANK OF SAN LEONARDO, INC  [ 04-040656 ]
 As of: September 30,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M95"/>
  <sheetViews>
    <sheetView zoomScaleNormal="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1" customWidth="1"/>
    <col min="2" max="2" width="2.5703125" style="21" customWidth="1"/>
    <col min="3" max="3" width="3.28515625" style="21" customWidth="1"/>
    <col min="4" max="5" width="4.140625" style="21" customWidth="1"/>
    <col min="6" max="6" width="31.7109375" style="21" customWidth="1"/>
    <col min="7" max="7" width="17.140625" style="128" customWidth="1"/>
    <col min="8" max="8" width="20.5703125" style="116"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48" customWidth="1"/>
    <col min="18" max="18" width="25.7109375" style="48" customWidth="1"/>
    <col min="19" max="19" width="20.7109375" style="48" customWidth="1"/>
    <col min="20" max="20" width="25.7109375" style="48" customWidth="1"/>
    <col min="21" max="21" width="20.7109375" style="48" customWidth="1"/>
    <col min="22" max="22" width="25.7109375" style="48"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43" customFormat="1" ht="14.25" x14ac:dyDescent="0.2">
      <c r="A1" s="669" t="s">
        <v>498</v>
      </c>
      <c r="B1" s="669"/>
      <c r="C1" s="669"/>
      <c r="D1" s="669"/>
      <c r="E1" s="669"/>
      <c r="F1" s="669"/>
      <c r="G1" s="669"/>
      <c r="H1" s="669"/>
      <c r="I1" s="669"/>
      <c r="J1" s="669"/>
      <c r="K1" s="669"/>
      <c r="L1" s="669"/>
      <c r="M1" s="669"/>
      <c r="N1" s="669"/>
      <c r="O1" s="669"/>
      <c r="P1" s="669"/>
      <c r="Q1" s="669"/>
      <c r="R1" s="669"/>
      <c r="S1" s="669"/>
      <c r="T1" s="669"/>
      <c r="U1" s="669"/>
      <c r="V1" s="669"/>
      <c r="W1" s="242"/>
      <c r="X1" s="242"/>
      <c r="Y1" s="242"/>
      <c r="Z1" s="242"/>
      <c r="AA1" s="242"/>
      <c r="AB1" s="242"/>
      <c r="AC1" s="242"/>
      <c r="AD1" s="242"/>
      <c r="AE1" s="242"/>
    </row>
    <row r="2" spans="1:33" s="243" customFormat="1" ht="12.75" x14ac:dyDescent="0.2">
      <c r="A2" s="669" t="s">
        <v>92</v>
      </c>
      <c r="B2" s="669"/>
      <c r="C2" s="669"/>
      <c r="D2" s="669"/>
      <c r="E2" s="669"/>
      <c r="F2" s="669"/>
      <c r="G2" s="669"/>
      <c r="H2" s="669"/>
      <c r="I2" s="669"/>
      <c r="J2" s="669"/>
      <c r="K2" s="669"/>
      <c r="L2" s="669"/>
      <c r="M2" s="669"/>
      <c r="N2" s="669"/>
      <c r="O2" s="669"/>
      <c r="P2" s="669"/>
      <c r="Q2" s="669"/>
      <c r="R2" s="669"/>
      <c r="S2" s="669"/>
      <c r="T2" s="669"/>
      <c r="U2" s="669"/>
      <c r="V2" s="669"/>
      <c r="W2" s="242"/>
      <c r="X2" s="242"/>
      <c r="Y2" s="242"/>
      <c r="Z2" s="242"/>
      <c r="AA2" s="242"/>
      <c r="AB2" s="242"/>
      <c r="AC2" s="242"/>
      <c r="AD2" s="242"/>
      <c r="AE2" s="242"/>
    </row>
    <row r="3" spans="1:33" s="243" customFormat="1" ht="12.75" x14ac:dyDescent="0.2">
      <c r="A3" s="669" t="s">
        <v>139</v>
      </c>
      <c r="B3" s="669"/>
      <c r="C3" s="669"/>
      <c r="D3" s="669"/>
      <c r="E3" s="669"/>
      <c r="F3" s="669"/>
      <c r="G3" s="669"/>
      <c r="H3" s="669"/>
      <c r="I3" s="669"/>
      <c r="J3" s="669"/>
      <c r="K3" s="669"/>
      <c r="L3" s="669"/>
      <c r="M3" s="669"/>
      <c r="N3" s="669"/>
      <c r="O3" s="669"/>
      <c r="P3" s="669"/>
      <c r="Q3" s="669"/>
      <c r="R3" s="669"/>
      <c r="S3" s="669"/>
      <c r="T3" s="669"/>
      <c r="U3" s="669"/>
      <c r="V3" s="669"/>
      <c r="W3" s="242"/>
      <c r="X3" s="242"/>
      <c r="Y3" s="242"/>
      <c r="Z3" s="242"/>
      <c r="AA3" s="242"/>
      <c r="AB3" s="242"/>
      <c r="AC3" s="242"/>
      <c r="AD3" s="242"/>
      <c r="AE3" s="242"/>
    </row>
    <row r="4" spans="1:33" x14ac:dyDescent="0.2">
      <c r="A4" s="112"/>
      <c r="B4" s="112"/>
      <c r="C4" s="112"/>
      <c r="D4" s="112"/>
      <c r="E4" s="112"/>
      <c r="F4" s="112"/>
      <c r="G4" s="112"/>
      <c r="H4" s="124"/>
      <c r="I4" s="47"/>
      <c r="J4" s="47"/>
      <c r="K4" s="47"/>
      <c r="L4" s="47"/>
      <c r="M4" s="47"/>
      <c r="N4" s="47"/>
      <c r="O4" s="47"/>
      <c r="P4" s="47"/>
      <c r="Q4" s="47"/>
      <c r="R4" s="47"/>
      <c r="S4" s="47"/>
      <c r="T4" s="47"/>
      <c r="U4" s="47"/>
      <c r="V4" s="47"/>
      <c r="W4" s="4"/>
      <c r="X4" s="4"/>
      <c r="Y4" s="4"/>
      <c r="Z4" s="4"/>
      <c r="AA4" s="4"/>
      <c r="AB4" s="4"/>
      <c r="AC4" s="4"/>
      <c r="AD4" s="4"/>
      <c r="AE4" s="4"/>
    </row>
    <row r="5" spans="1:33" ht="11.25" customHeight="1" x14ac:dyDescent="0.2">
      <c r="A5" s="649" t="s">
        <v>45</v>
      </c>
      <c r="B5" s="649"/>
      <c r="C5" s="649"/>
      <c r="D5" s="649"/>
      <c r="E5" s="649"/>
      <c r="F5" s="649"/>
      <c r="G5" s="686" t="s">
        <v>46</v>
      </c>
      <c r="H5" s="96"/>
      <c r="I5" s="687" t="s">
        <v>94</v>
      </c>
      <c r="J5" s="687"/>
      <c r="K5" s="687" t="s">
        <v>95</v>
      </c>
      <c r="L5" s="687"/>
      <c r="M5" s="687" t="s">
        <v>96</v>
      </c>
      <c r="N5" s="687"/>
      <c r="O5" s="687" t="s">
        <v>97</v>
      </c>
      <c r="P5" s="687"/>
      <c r="Q5" s="687" t="s">
        <v>98</v>
      </c>
      <c r="R5" s="687"/>
      <c r="S5" s="687" t="s">
        <v>99</v>
      </c>
      <c r="T5" s="687"/>
      <c r="U5" s="687" t="s">
        <v>100</v>
      </c>
      <c r="V5" s="687"/>
      <c r="W5" s="7"/>
      <c r="X5" s="7"/>
      <c r="Y5" s="7"/>
      <c r="Z5" s="7"/>
      <c r="AA5" s="7"/>
      <c r="AB5" s="8"/>
      <c r="AC5" s="8"/>
      <c r="AD5" s="8"/>
      <c r="AE5" s="8"/>
      <c r="AF5" s="9"/>
      <c r="AG5" s="9"/>
    </row>
    <row r="6" spans="1:33" ht="11.25" customHeight="1" x14ac:dyDescent="0.2">
      <c r="A6" s="649"/>
      <c r="B6" s="649"/>
      <c r="C6" s="649"/>
      <c r="D6" s="649"/>
      <c r="E6" s="649"/>
      <c r="F6" s="649"/>
      <c r="G6" s="686"/>
      <c r="H6" s="96"/>
      <c r="I6" s="670" t="s">
        <v>101</v>
      </c>
      <c r="J6" s="670"/>
      <c r="K6" s="674" t="s">
        <v>1471</v>
      </c>
      <c r="L6" s="674"/>
      <c r="M6" s="689" t="s">
        <v>1474</v>
      </c>
      <c r="N6" s="690"/>
      <c r="O6" s="690"/>
      <c r="P6" s="691"/>
      <c r="Q6" s="670" t="s">
        <v>102</v>
      </c>
      <c r="R6" s="670"/>
      <c r="S6" s="670" t="s">
        <v>47</v>
      </c>
      <c r="T6" s="670"/>
      <c r="U6" s="670" t="s">
        <v>48</v>
      </c>
      <c r="V6" s="670"/>
      <c r="W6" s="10"/>
      <c r="X6" s="10"/>
      <c r="Y6" s="10"/>
      <c r="Z6" s="10"/>
      <c r="AA6" s="10"/>
      <c r="AB6" s="11"/>
      <c r="AC6" s="11"/>
      <c r="AD6" s="11"/>
      <c r="AE6" s="11"/>
      <c r="AF6" s="9"/>
      <c r="AG6" s="9"/>
    </row>
    <row r="7" spans="1:33" ht="21" customHeight="1" x14ac:dyDescent="0.2">
      <c r="A7" s="649"/>
      <c r="B7" s="649"/>
      <c r="C7" s="649"/>
      <c r="D7" s="649"/>
      <c r="E7" s="649"/>
      <c r="F7" s="649"/>
      <c r="G7" s="686"/>
      <c r="H7" s="96"/>
      <c r="I7" s="670"/>
      <c r="J7" s="670"/>
      <c r="K7" s="674"/>
      <c r="L7" s="674"/>
      <c r="M7" s="678" t="s">
        <v>1472</v>
      </c>
      <c r="N7" s="679"/>
      <c r="O7" s="678" t="s">
        <v>1473</v>
      </c>
      <c r="P7" s="679"/>
      <c r="Q7" s="670"/>
      <c r="R7" s="670"/>
      <c r="S7" s="670"/>
      <c r="T7" s="670"/>
      <c r="U7" s="670"/>
      <c r="V7" s="670"/>
      <c r="W7" s="10"/>
      <c r="X7" s="10"/>
      <c r="Y7" s="10"/>
      <c r="Z7" s="10"/>
      <c r="AA7" s="10"/>
      <c r="AB7" s="12"/>
      <c r="AC7" s="11"/>
      <c r="AD7" s="11"/>
      <c r="AE7" s="11"/>
      <c r="AF7" s="9"/>
      <c r="AG7" s="9"/>
    </row>
    <row r="8" spans="1:33" ht="27.75" customHeight="1" x14ac:dyDescent="0.2">
      <c r="A8" s="649"/>
      <c r="B8" s="649"/>
      <c r="C8" s="649"/>
      <c r="D8" s="649"/>
      <c r="E8" s="649"/>
      <c r="F8" s="649"/>
      <c r="G8" s="686"/>
      <c r="H8" s="96"/>
      <c r="I8" s="670"/>
      <c r="J8" s="670"/>
      <c r="K8" s="674"/>
      <c r="L8" s="674"/>
      <c r="M8" s="680"/>
      <c r="N8" s="681"/>
      <c r="O8" s="680"/>
      <c r="P8" s="681"/>
      <c r="Q8" s="670"/>
      <c r="R8" s="670"/>
      <c r="S8" s="670"/>
      <c r="T8" s="670"/>
      <c r="U8" s="670"/>
      <c r="V8" s="670"/>
      <c r="W8" s="14"/>
      <c r="X8" s="14"/>
      <c r="Y8" s="14"/>
      <c r="Z8" s="14"/>
      <c r="AA8" s="14"/>
      <c r="AB8" s="12"/>
      <c r="AC8" s="11"/>
      <c r="AD8" s="11"/>
      <c r="AE8" s="11"/>
      <c r="AF8" s="9"/>
      <c r="AG8" s="9"/>
    </row>
    <row r="9" spans="1:33" s="121" customFormat="1" ht="29.25" customHeight="1" x14ac:dyDescent="0.2">
      <c r="A9" s="649"/>
      <c r="B9" s="649"/>
      <c r="C9" s="649"/>
      <c r="D9" s="649"/>
      <c r="E9" s="649"/>
      <c r="F9" s="649"/>
      <c r="G9" s="686"/>
      <c r="H9" s="96"/>
      <c r="I9" s="55" t="s">
        <v>50</v>
      </c>
      <c r="J9" s="51" t="s">
        <v>51</v>
      </c>
      <c r="K9" s="55" t="s">
        <v>50</v>
      </c>
      <c r="L9" s="51" t="s">
        <v>51</v>
      </c>
      <c r="M9" s="55" t="s">
        <v>50</v>
      </c>
      <c r="N9" s="51" t="s">
        <v>51</v>
      </c>
      <c r="O9" s="55" t="s">
        <v>50</v>
      </c>
      <c r="P9" s="51" t="s">
        <v>51</v>
      </c>
      <c r="Q9" s="55" t="s">
        <v>50</v>
      </c>
      <c r="R9" s="51" t="s">
        <v>51</v>
      </c>
      <c r="S9" s="55" t="s">
        <v>50</v>
      </c>
      <c r="T9" s="51" t="s">
        <v>51</v>
      </c>
      <c r="U9" s="55" t="s">
        <v>50</v>
      </c>
      <c r="V9" s="51" t="s">
        <v>51</v>
      </c>
      <c r="W9" s="117"/>
      <c r="X9" s="117"/>
      <c r="Y9" s="117"/>
      <c r="Z9" s="117"/>
      <c r="AA9" s="117"/>
      <c r="AB9" s="118"/>
      <c r="AC9" s="119"/>
      <c r="AD9" s="119"/>
      <c r="AE9" s="119"/>
      <c r="AF9" s="120"/>
      <c r="AG9" s="120"/>
    </row>
    <row r="10" spans="1:33" s="17" customFormat="1" x14ac:dyDescent="0.2">
      <c r="A10" s="324" t="s">
        <v>57</v>
      </c>
      <c r="B10" s="225"/>
      <c r="C10" s="225"/>
      <c r="D10" s="225"/>
      <c r="E10" s="225"/>
      <c r="F10" s="225"/>
      <c r="G10" s="317" t="s">
        <v>323</v>
      </c>
      <c r="H10" s="45"/>
      <c r="I10" s="49">
        <f t="shared" ref="I10:P10" si="0">I11+I18+I21+I24+I27+I28+I31+I32+I39</f>
        <v>0</v>
      </c>
      <c r="J10" s="49">
        <f t="shared" si="0"/>
        <v>0</v>
      </c>
      <c r="K10" s="49">
        <f t="shared" si="0"/>
        <v>0</v>
      </c>
      <c r="L10" s="49">
        <f t="shared" si="0"/>
        <v>0</v>
      </c>
      <c r="M10" s="49">
        <f t="shared" si="0"/>
        <v>0</v>
      </c>
      <c r="N10" s="49">
        <f t="shared" si="0"/>
        <v>0</v>
      </c>
      <c r="O10" s="49">
        <f t="shared" si="0"/>
        <v>0</v>
      </c>
      <c r="P10" s="49">
        <f t="shared" si="0"/>
        <v>0</v>
      </c>
      <c r="Q10" s="49">
        <f t="shared" ref="Q10:Q20" si="1">I10+K10+M10+O10</f>
        <v>0</v>
      </c>
      <c r="R10" s="49">
        <f t="shared" ref="R10:R45" si="2">J10+L10+N10+P10</f>
        <v>0</v>
      </c>
      <c r="S10" s="49">
        <f>S11+S18+S21+S24+S27+S28+S31+S32+S39</f>
        <v>0</v>
      </c>
      <c r="T10" s="49">
        <f>T11+T18+T21+T24+T27+T28+T31+T32+T39</f>
        <v>0</v>
      </c>
      <c r="U10" s="49">
        <f t="shared" ref="U10:U20" si="3">Q10-S10</f>
        <v>0</v>
      </c>
      <c r="V10" s="49">
        <f t="shared" ref="V10:V45" si="4">R10-T10</f>
        <v>0</v>
      </c>
      <c r="W10" s="16"/>
      <c r="X10" s="16"/>
      <c r="Y10" s="16"/>
      <c r="Z10" s="16"/>
      <c r="AA10" s="16"/>
      <c r="AB10" s="16"/>
      <c r="AC10" s="16"/>
      <c r="AD10" s="16"/>
      <c r="AE10" s="16"/>
      <c r="AF10" s="16"/>
      <c r="AG10" s="16"/>
    </row>
    <row r="11" spans="1:33" s="17" customFormat="1" x14ac:dyDescent="0.2">
      <c r="A11" s="326" t="s">
        <v>58</v>
      </c>
      <c r="B11" s="225" t="s">
        <v>544</v>
      </c>
      <c r="C11" s="225"/>
      <c r="D11" s="225"/>
      <c r="E11" s="225"/>
      <c r="F11" s="225"/>
      <c r="G11" s="317" t="s">
        <v>324</v>
      </c>
      <c r="H11" s="45"/>
      <c r="I11" s="49">
        <f t="shared" ref="I11:P11" si="5">+I12+I13+I14</f>
        <v>0</v>
      </c>
      <c r="J11" s="49">
        <f t="shared" si="5"/>
        <v>0</v>
      </c>
      <c r="K11" s="49">
        <f t="shared" si="5"/>
        <v>0</v>
      </c>
      <c r="L11" s="49">
        <f t="shared" si="5"/>
        <v>0</v>
      </c>
      <c r="M11" s="49">
        <f t="shared" si="5"/>
        <v>0</v>
      </c>
      <c r="N11" s="49">
        <f t="shared" si="5"/>
        <v>0</v>
      </c>
      <c r="O11" s="49">
        <f t="shared" si="5"/>
        <v>0</v>
      </c>
      <c r="P11" s="49">
        <f t="shared" si="5"/>
        <v>0</v>
      </c>
      <c r="Q11" s="49">
        <f t="shared" si="1"/>
        <v>0</v>
      </c>
      <c r="R11" s="49">
        <f t="shared" si="2"/>
        <v>0</v>
      </c>
      <c r="S11" s="49">
        <f>+S12+S13+S14</f>
        <v>0</v>
      </c>
      <c r="T11" s="49">
        <f>+T12+T13+T14</f>
        <v>0</v>
      </c>
      <c r="U11" s="49">
        <f t="shared" si="3"/>
        <v>0</v>
      </c>
      <c r="V11" s="49">
        <f t="shared" si="4"/>
        <v>0</v>
      </c>
      <c r="W11" s="16"/>
      <c r="X11" s="16"/>
      <c r="Y11" s="16"/>
      <c r="Z11" s="16"/>
      <c r="AA11" s="16"/>
      <c r="AB11" s="16"/>
      <c r="AC11" s="16"/>
      <c r="AD11" s="16"/>
      <c r="AE11" s="16"/>
      <c r="AF11" s="16"/>
      <c r="AG11" s="16"/>
    </row>
    <row r="12" spans="1:33" s="17" customFormat="1" x14ac:dyDescent="0.2">
      <c r="A12" s="326"/>
      <c r="B12" s="225" t="s">
        <v>59</v>
      </c>
      <c r="C12" s="225" t="s">
        <v>60</v>
      </c>
      <c r="D12" s="225"/>
      <c r="E12" s="225"/>
      <c r="F12" s="225"/>
      <c r="G12" s="317" t="s">
        <v>325</v>
      </c>
      <c r="H12" s="45"/>
      <c r="I12" s="50"/>
      <c r="J12" s="50"/>
      <c r="K12" s="50"/>
      <c r="L12" s="50"/>
      <c r="M12" s="50"/>
      <c r="N12" s="50"/>
      <c r="O12" s="50"/>
      <c r="P12" s="50"/>
      <c r="Q12" s="49">
        <f t="shared" si="1"/>
        <v>0</v>
      </c>
      <c r="R12" s="49">
        <f t="shared" si="2"/>
        <v>0</v>
      </c>
      <c r="S12" s="50"/>
      <c r="T12" s="50"/>
      <c r="U12" s="49">
        <f t="shared" si="3"/>
        <v>0</v>
      </c>
      <c r="V12" s="49">
        <f t="shared" si="4"/>
        <v>0</v>
      </c>
      <c r="W12" s="16"/>
      <c r="X12" s="16"/>
      <c r="Y12" s="16"/>
      <c r="Z12" s="16"/>
      <c r="AA12" s="16"/>
      <c r="AB12" s="16"/>
      <c r="AC12" s="16"/>
      <c r="AD12" s="16"/>
      <c r="AE12" s="16"/>
      <c r="AF12" s="16"/>
      <c r="AG12" s="16"/>
    </row>
    <row r="13" spans="1:33" s="17" customFormat="1" x14ac:dyDescent="0.2">
      <c r="A13" s="326"/>
      <c r="B13" s="225" t="s">
        <v>61</v>
      </c>
      <c r="C13" s="225" t="s">
        <v>72</v>
      </c>
      <c r="D13" s="225"/>
      <c r="E13" s="225"/>
      <c r="F13" s="225"/>
      <c r="G13" s="317" t="s">
        <v>541</v>
      </c>
      <c r="H13" s="45"/>
      <c r="I13" s="50"/>
      <c r="J13" s="50"/>
      <c r="K13" s="50"/>
      <c r="L13" s="50"/>
      <c r="M13" s="50"/>
      <c r="N13" s="50"/>
      <c r="O13" s="50"/>
      <c r="P13" s="50"/>
      <c r="Q13" s="49">
        <f t="shared" si="1"/>
        <v>0</v>
      </c>
      <c r="R13" s="49">
        <f>J13+L13+N13+P13</f>
        <v>0</v>
      </c>
      <c r="S13" s="50"/>
      <c r="T13" s="50"/>
      <c r="U13" s="49">
        <f t="shared" si="3"/>
        <v>0</v>
      </c>
      <c r="V13" s="49">
        <f>R13-T13</f>
        <v>0</v>
      </c>
      <c r="W13" s="16"/>
      <c r="X13" s="16"/>
      <c r="Y13" s="16"/>
      <c r="Z13" s="16"/>
      <c r="AA13" s="16"/>
      <c r="AB13" s="16"/>
      <c r="AC13" s="16"/>
      <c r="AD13" s="16"/>
      <c r="AE13" s="16"/>
      <c r="AF13" s="16"/>
      <c r="AG13" s="16"/>
    </row>
    <row r="14" spans="1:33" s="17" customFormat="1" x14ac:dyDescent="0.2">
      <c r="A14" s="326"/>
      <c r="B14" s="225" t="s">
        <v>71</v>
      </c>
      <c r="C14" s="225" t="s">
        <v>62</v>
      </c>
      <c r="D14" s="225"/>
      <c r="E14" s="225"/>
      <c r="F14" s="225"/>
      <c r="G14" s="317" t="s">
        <v>326</v>
      </c>
      <c r="H14" s="45"/>
      <c r="I14" s="41">
        <f t="shared" ref="I14:P14" si="6">I15+I16+I17</f>
        <v>0</v>
      </c>
      <c r="J14" s="41">
        <f t="shared" si="6"/>
        <v>0</v>
      </c>
      <c r="K14" s="41">
        <f t="shared" si="6"/>
        <v>0</v>
      </c>
      <c r="L14" s="41">
        <f t="shared" si="6"/>
        <v>0</v>
      </c>
      <c r="M14" s="41">
        <f t="shared" si="6"/>
        <v>0</v>
      </c>
      <c r="N14" s="41">
        <f t="shared" si="6"/>
        <v>0</v>
      </c>
      <c r="O14" s="41">
        <f t="shared" si="6"/>
        <v>0</v>
      </c>
      <c r="P14" s="41">
        <f t="shared" si="6"/>
        <v>0</v>
      </c>
      <c r="Q14" s="49">
        <f t="shared" si="1"/>
        <v>0</v>
      </c>
      <c r="R14" s="49">
        <f t="shared" si="2"/>
        <v>0</v>
      </c>
      <c r="S14" s="41">
        <f>S15+S16+S17</f>
        <v>0</v>
      </c>
      <c r="T14" s="41">
        <f>T15+T16+T17</f>
        <v>0</v>
      </c>
      <c r="U14" s="49">
        <f t="shared" si="3"/>
        <v>0</v>
      </c>
      <c r="V14" s="49">
        <f t="shared" si="4"/>
        <v>0</v>
      </c>
      <c r="W14" s="16"/>
      <c r="X14" s="16"/>
      <c r="Y14" s="16"/>
      <c r="Z14" s="16"/>
      <c r="AA14" s="16"/>
      <c r="AB14" s="16"/>
      <c r="AC14" s="16"/>
      <c r="AD14" s="16"/>
      <c r="AE14" s="16"/>
      <c r="AF14" s="16"/>
      <c r="AG14" s="16"/>
    </row>
    <row r="15" spans="1:33" s="17" customFormat="1" x14ac:dyDescent="0.2">
      <c r="A15" s="326"/>
      <c r="B15" s="225"/>
      <c r="C15" s="310" t="s">
        <v>54</v>
      </c>
      <c r="D15" s="225" t="s">
        <v>63</v>
      </c>
      <c r="E15" s="225"/>
      <c r="F15" s="225"/>
      <c r="G15" s="317" t="s">
        <v>327</v>
      </c>
      <c r="H15" s="45"/>
      <c r="I15" s="44"/>
      <c r="J15" s="44"/>
      <c r="K15" s="44"/>
      <c r="L15" s="44"/>
      <c r="M15" s="44"/>
      <c r="N15" s="44"/>
      <c r="O15" s="44"/>
      <c r="P15" s="44"/>
      <c r="Q15" s="49">
        <f t="shared" si="1"/>
        <v>0</v>
      </c>
      <c r="R15" s="49">
        <f t="shared" si="2"/>
        <v>0</v>
      </c>
      <c r="S15" s="44"/>
      <c r="T15" s="44"/>
      <c r="U15" s="49">
        <f t="shared" si="3"/>
        <v>0</v>
      </c>
      <c r="V15" s="49">
        <f t="shared" si="4"/>
        <v>0</v>
      </c>
      <c r="W15" s="16"/>
      <c r="X15" s="16"/>
      <c r="Y15" s="16"/>
      <c r="Z15" s="16"/>
      <c r="AA15" s="16"/>
      <c r="AB15" s="16"/>
      <c r="AC15" s="16"/>
      <c r="AD15" s="16"/>
      <c r="AE15" s="16"/>
      <c r="AF15" s="16"/>
      <c r="AG15" s="16"/>
    </row>
    <row r="16" spans="1:33" s="17" customFormat="1" x14ac:dyDescent="0.2">
      <c r="A16" s="326"/>
      <c r="B16" s="225"/>
      <c r="C16" s="310" t="s">
        <v>55</v>
      </c>
      <c r="D16" s="225" t="s">
        <v>64</v>
      </c>
      <c r="E16" s="225"/>
      <c r="F16" s="225"/>
      <c r="G16" s="317" t="s">
        <v>328</v>
      </c>
      <c r="H16" s="45"/>
      <c r="I16" s="44"/>
      <c r="J16" s="44"/>
      <c r="K16" s="44"/>
      <c r="L16" s="44"/>
      <c r="M16" s="44"/>
      <c r="N16" s="44"/>
      <c r="O16" s="44"/>
      <c r="P16" s="44"/>
      <c r="Q16" s="49">
        <f t="shared" si="1"/>
        <v>0</v>
      </c>
      <c r="R16" s="49">
        <f t="shared" si="2"/>
        <v>0</v>
      </c>
      <c r="S16" s="44"/>
      <c r="T16" s="44"/>
      <c r="U16" s="49">
        <f t="shared" si="3"/>
        <v>0</v>
      </c>
      <c r="V16" s="49">
        <f t="shared" si="4"/>
        <v>0</v>
      </c>
      <c r="W16" s="16"/>
      <c r="X16" s="16"/>
      <c r="Y16" s="16"/>
      <c r="Z16" s="16"/>
      <c r="AA16" s="16"/>
      <c r="AB16" s="16"/>
      <c r="AC16" s="16"/>
      <c r="AD16" s="16"/>
      <c r="AE16" s="16"/>
      <c r="AF16" s="16"/>
      <c r="AG16" s="16"/>
    </row>
    <row r="17" spans="1:33" s="17" customFormat="1" x14ac:dyDescent="0.2">
      <c r="A17" s="326"/>
      <c r="B17" s="225"/>
      <c r="C17" s="310" t="s">
        <v>65</v>
      </c>
      <c r="D17" s="225" t="s">
        <v>66</v>
      </c>
      <c r="E17" s="225"/>
      <c r="F17" s="225"/>
      <c r="G17" s="317" t="s">
        <v>329</v>
      </c>
      <c r="H17" s="45"/>
      <c r="I17" s="44"/>
      <c r="J17" s="44"/>
      <c r="K17" s="44"/>
      <c r="L17" s="44"/>
      <c r="M17" s="44"/>
      <c r="N17" s="44"/>
      <c r="O17" s="44"/>
      <c r="P17" s="44"/>
      <c r="Q17" s="49">
        <f t="shared" si="1"/>
        <v>0</v>
      </c>
      <c r="R17" s="49">
        <f t="shared" si="2"/>
        <v>0</v>
      </c>
      <c r="S17" s="44"/>
      <c r="T17" s="44"/>
      <c r="U17" s="49">
        <f t="shared" si="3"/>
        <v>0</v>
      </c>
      <c r="V17" s="49">
        <f t="shared" si="4"/>
        <v>0</v>
      </c>
      <c r="W17" s="16"/>
      <c r="X17" s="16"/>
      <c r="Y17" s="16"/>
      <c r="Z17" s="16"/>
      <c r="AA17" s="16"/>
      <c r="AB17" s="16"/>
      <c r="AC17" s="16"/>
      <c r="AD17" s="16"/>
      <c r="AE17" s="16"/>
      <c r="AF17" s="16"/>
      <c r="AG17" s="16"/>
    </row>
    <row r="18" spans="1:33" s="17" customFormat="1" x14ac:dyDescent="0.2">
      <c r="A18" s="326" t="s">
        <v>55</v>
      </c>
      <c r="B18" s="225" t="s">
        <v>67</v>
      </c>
      <c r="C18" s="225"/>
      <c r="D18" s="225"/>
      <c r="E18" s="225"/>
      <c r="F18" s="225"/>
      <c r="G18" s="317" t="s">
        <v>330</v>
      </c>
      <c r="H18" s="45"/>
      <c r="I18" s="41">
        <f t="shared" ref="I18:P18" si="7">I19+I20</f>
        <v>0</v>
      </c>
      <c r="J18" s="41">
        <f t="shared" si="7"/>
        <v>0</v>
      </c>
      <c r="K18" s="41">
        <f t="shared" si="7"/>
        <v>0</v>
      </c>
      <c r="L18" s="41">
        <f t="shared" si="7"/>
        <v>0</v>
      </c>
      <c r="M18" s="41">
        <f t="shared" si="7"/>
        <v>0</v>
      </c>
      <c r="N18" s="41">
        <f t="shared" si="7"/>
        <v>0</v>
      </c>
      <c r="O18" s="41">
        <f t="shared" si="7"/>
        <v>0</v>
      </c>
      <c r="P18" s="41">
        <f t="shared" si="7"/>
        <v>0</v>
      </c>
      <c r="Q18" s="49">
        <f t="shared" si="1"/>
        <v>0</v>
      </c>
      <c r="R18" s="49">
        <f t="shared" si="2"/>
        <v>0</v>
      </c>
      <c r="S18" s="41">
        <f>S19+S20</f>
        <v>0</v>
      </c>
      <c r="T18" s="41">
        <f>T19+T20</f>
        <v>0</v>
      </c>
      <c r="U18" s="49">
        <f t="shared" si="3"/>
        <v>0</v>
      </c>
      <c r="V18" s="49">
        <f t="shared" si="4"/>
        <v>0</v>
      </c>
      <c r="W18" s="16"/>
      <c r="X18" s="16"/>
      <c r="Y18" s="16"/>
      <c r="Z18" s="16"/>
      <c r="AA18" s="16"/>
      <c r="AB18" s="16"/>
      <c r="AC18" s="16"/>
      <c r="AD18" s="16"/>
      <c r="AE18" s="16"/>
      <c r="AF18" s="16"/>
      <c r="AG18" s="16"/>
    </row>
    <row r="19" spans="1:33" s="17" customFormat="1" x14ac:dyDescent="0.2">
      <c r="A19" s="326"/>
      <c r="B19" s="225" t="s">
        <v>59</v>
      </c>
      <c r="C19" s="225" t="s">
        <v>68</v>
      </c>
      <c r="D19" s="225"/>
      <c r="E19" s="225"/>
      <c r="F19" s="225"/>
      <c r="G19" s="317" t="s">
        <v>331</v>
      </c>
      <c r="H19" s="45"/>
      <c r="I19" s="44"/>
      <c r="J19" s="44"/>
      <c r="K19" s="44"/>
      <c r="L19" s="44"/>
      <c r="M19" s="44"/>
      <c r="N19" s="44"/>
      <c r="O19" s="44"/>
      <c r="P19" s="44"/>
      <c r="Q19" s="49">
        <f t="shared" si="1"/>
        <v>0</v>
      </c>
      <c r="R19" s="49">
        <f t="shared" si="2"/>
        <v>0</v>
      </c>
      <c r="S19" s="44"/>
      <c r="T19" s="44"/>
      <c r="U19" s="49">
        <f t="shared" si="3"/>
        <v>0</v>
      </c>
      <c r="V19" s="49">
        <f t="shared" si="4"/>
        <v>0</v>
      </c>
      <c r="W19" s="16"/>
      <c r="X19" s="16"/>
      <c r="Y19" s="16"/>
      <c r="Z19" s="16"/>
      <c r="AA19" s="16"/>
      <c r="AB19" s="16"/>
      <c r="AC19" s="16"/>
      <c r="AD19" s="16"/>
      <c r="AE19" s="16"/>
      <c r="AF19" s="16"/>
      <c r="AG19" s="16"/>
    </row>
    <row r="20" spans="1:33" s="17" customFormat="1" x14ac:dyDescent="0.2">
      <c r="A20" s="326"/>
      <c r="B20" s="225" t="s">
        <v>69</v>
      </c>
      <c r="C20" s="225" t="s">
        <v>70</v>
      </c>
      <c r="D20" s="225"/>
      <c r="E20" s="225"/>
      <c r="F20" s="225"/>
      <c r="G20" s="317" t="s">
        <v>332</v>
      </c>
      <c r="H20" s="45"/>
      <c r="I20" s="44"/>
      <c r="J20" s="44"/>
      <c r="K20" s="44"/>
      <c r="L20" s="44"/>
      <c r="M20" s="44"/>
      <c r="N20" s="44"/>
      <c r="O20" s="44"/>
      <c r="P20" s="44"/>
      <c r="Q20" s="49">
        <f t="shared" si="1"/>
        <v>0</v>
      </c>
      <c r="R20" s="49">
        <f t="shared" si="2"/>
        <v>0</v>
      </c>
      <c r="S20" s="44"/>
      <c r="T20" s="44"/>
      <c r="U20" s="49">
        <f t="shared" si="3"/>
        <v>0</v>
      </c>
      <c r="V20" s="49">
        <f t="shared" si="4"/>
        <v>0</v>
      </c>
      <c r="W20" s="16"/>
      <c r="X20" s="16"/>
      <c r="Y20" s="16"/>
      <c r="Z20" s="16"/>
      <c r="AA20" s="16"/>
      <c r="AB20" s="16"/>
      <c r="AC20" s="16"/>
      <c r="AD20" s="16"/>
      <c r="AE20" s="16"/>
      <c r="AF20" s="16"/>
      <c r="AG20" s="16"/>
    </row>
    <row r="21" spans="1:33" s="17" customFormat="1" x14ac:dyDescent="0.2">
      <c r="A21" s="326" t="s">
        <v>65</v>
      </c>
      <c r="B21" s="3" t="s">
        <v>1436</v>
      </c>
      <c r="C21" s="225"/>
      <c r="D21" s="225"/>
      <c r="E21" s="225"/>
      <c r="F21" s="225"/>
      <c r="G21" s="317" t="s">
        <v>333</v>
      </c>
      <c r="H21" s="45"/>
      <c r="I21" s="41">
        <f t="shared" ref="I21:P21" si="8">I22+I23</f>
        <v>0</v>
      </c>
      <c r="J21" s="41">
        <f t="shared" si="8"/>
        <v>0</v>
      </c>
      <c r="K21" s="41">
        <f t="shared" si="8"/>
        <v>0</v>
      </c>
      <c r="L21" s="41">
        <f t="shared" si="8"/>
        <v>0</v>
      </c>
      <c r="M21" s="41">
        <f t="shared" si="8"/>
        <v>0</v>
      </c>
      <c r="N21" s="41">
        <f t="shared" si="8"/>
        <v>0</v>
      </c>
      <c r="O21" s="41">
        <f t="shared" si="8"/>
        <v>0</v>
      </c>
      <c r="P21" s="41">
        <f t="shared" si="8"/>
        <v>0</v>
      </c>
      <c r="Q21" s="49">
        <f t="shared" ref="Q21:R23" si="9">I21+K21+M21+O21</f>
        <v>0</v>
      </c>
      <c r="R21" s="49">
        <f t="shared" si="9"/>
        <v>0</v>
      </c>
      <c r="S21" s="41">
        <f>S22+S23</f>
        <v>0</v>
      </c>
      <c r="T21" s="41">
        <f>T22+T23</f>
        <v>0</v>
      </c>
      <c r="U21" s="49">
        <f t="shared" ref="U21:V23" si="10">Q21-S21</f>
        <v>0</v>
      </c>
      <c r="V21" s="49">
        <f t="shared" si="10"/>
        <v>0</v>
      </c>
      <c r="W21" s="16"/>
      <c r="X21" s="16"/>
      <c r="Y21" s="16"/>
      <c r="Z21" s="16"/>
      <c r="AA21" s="16"/>
      <c r="AB21" s="16"/>
      <c r="AC21" s="16"/>
      <c r="AD21" s="16"/>
      <c r="AE21" s="16"/>
      <c r="AF21" s="16"/>
      <c r="AG21" s="16"/>
    </row>
    <row r="22" spans="1:33" s="17" customFormat="1" x14ac:dyDescent="0.2">
      <c r="A22" s="326"/>
      <c r="B22" s="3" t="s">
        <v>59</v>
      </c>
      <c r="C22" s="658" t="s">
        <v>543</v>
      </c>
      <c r="D22" s="659"/>
      <c r="E22" s="659"/>
      <c r="F22" s="660"/>
      <c r="G22" s="602" t="s">
        <v>1431</v>
      </c>
      <c r="H22" s="45"/>
      <c r="I22" s="44"/>
      <c r="J22" s="44"/>
      <c r="K22" s="44"/>
      <c r="L22" s="44"/>
      <c r="M22" s="44"/>
      <c r="N22" s="44"/>
      <c r="O22" s="44"/>
      <c r="P22" s="44"/>
      <c r="Q22" s="49">
        <f t="shared" si="9"/>
        <v>0</v>
      </c>
      <c r="R22" s="49">
        <f t="shared" si="9"/>
        <v>0</v>
      </c>
      <c r="S22" s="44"/>
      <c r="T22" s="44"/>
      <c r="U22" s="49">
        <f t="shared" si="10"/>
        <v>0</v>
      </c>
      <c r="V22" s="49">
        <f t="shared" si="10"/>
        <v>0</v>
      </c>
      <c r="W22" s="16"/>
      <c r="X22" s="16"/>
      <c r="Y22" s="16"/>
      <c r="Z22" s="16"/>
      <c r="AA22" s="16"/>
      <c r="AB22" s="16"/>
      <c r="AC22" s="16"/>
      <c r="AD22" s="16"/>
      <c r="AE22" s="16"/>
      <c r="AF22" s="16"/>
      <c r="AG22" s="16"/>
    </row>
    <row r="23" spans="1:33" s="17" customFormat="1" x14ac:dyDescent="0.2">
      <c r="A23" s="326"/>
      <c r="B23" s="3" t="s">
        <v>61</v>
      </c>
      <c r="C23" s="658" t="s">
        <v>1430</v>
      </c>
      <c r="D23" s="659"/>
      <c r="E23" s="659"/>
      <c r="F23" s="660"/>
      <c r="G23" s="602" t="s">
        <v>1432</v>
      </c>
      <c r="H23" s="45"/>
      <c r="I23" s="44"/>
      <c r="J23" s="44"/>
      <c r="K23" s="44"/>
      <c r="L23" s="44"/>
      <c r="M23" s="44"/>
      <c r="N23" s="44"/>
      <c r="O23" s="44"/>
      <c r="P23" s="44"/>
      <c r="Q23" s="49">
        <f t="shared" si="9"/>
        <v>0</v>
      </c>
      <c r="R23" s="49">
        <f t="shared" si="9"/>
        <v>0</v>
      </c>
      <c r="S23" s="44"/>
      <c r="T23" s="44"/>
      <c r="U23" s="49">
        <f t="shared" si="10"/>
        <v>0</v>
      </c>
      <c r="V23" s="49">
        <f t="shared" si="10"/>
        <v>0</v>
      </c>
      <c r="W23" s="16"/>
      <c r="X23" s="16"/>
      <c r="Y23" s="16"/>
      <c r="Z23" s="16"/>
      <c r="AA23" s="16"/>
      <c r="AB23" s="16"/>
      <c r="AC23" s="16"/>
      <c r="AD23" s="16"/>
      <c r="AE23" s="16"/>
      <c r="AF23" s="16"/>
      <c r="AG23" s="16"/>
    </row>
    <row r="24" spans="1:33" s="17" customFormat="1" x14ac:dyDescent="0.2">
      <c r="A24" s="326" t="s">
        <v>90</v>
      </c>
      <c r="B24" s="225" t="s">
        <v>73</v>
      </c>
      <c r="C24" s="225"/>
      <c r="D24" s="225"/>
      <c r="E24" s="225"/>
      <c r="F24" s="225"/>
      <c r="G24" s="317" t="s">
        <v>334</v>
      </c>
      <c r="H24" s="45"/>
      <c r="I24" s="41">
        <f t="shared" ref="I24:P24" si="11">I25+I26</f>
        <v>0</v>
      </c>
      <c r="J24" s="41">
        <f t="shared" si="11"/>
        <v>0</v>
      </c>
      <c r="K24" s="41">
        <f t="shared" si="11"/>
        <v>0</v>
      </c>
      <c r="L24" s="41">
        <f t="shared" si="11"/>
        <v>0</v>
      </c>
      <c r="M24" s="41">
        <f t="shared" si="11"/>
        <v>0</v>
      </c>
      <c r="N24" s="41">
        <f t="shared" si="11"/>
        <v>0</v>
      </c>
      <c r="O24" s="41">
        <f t="shared" si="11"/>
        <v>0</v>
      </c>
      <c r="P24" s="41">
        <f t="shared" si="11"/>
        <v>0</v>
      </c>
      <c r="Q24" s="49">
        <f t="shared" ref="Q24:Q45" si="12">I24+K24+M24+O24</f>
        <v>0</v>
      </c>
      <c r="R24" s="49">
        <f t="shared" si="2"/>
        <v>0</v>
      </c>
      <c r="S24" s="41">
        <f>S25+S26</f>
        <v>0</v>
      </c>
      <c r="T24" s="41">
        <f>T25+T26</f>
        <v>0</v>
      </c>
      <c r="U24" s="49">
        <f t="shared" ref="U24:U45" si="13">Q24-S24</f>
        <v>0</v>
      </c>
      <c r="V24" s="49">
        <f t="shared" si="4"/>
        <v>0</v>
      </c>
      <c r="W24" s="16"/>
      <c r="X24" s="16"/>
      <c r="Y24" s="16"/>
      <c r="Z24" s="16"/>
      <c r="AA24" s="16"/>
      <c r="AB24" s="16"/>
      <c r="AC24" s="16"/>
      <c r="AD24" s="16"/>
      <c r="AE24" s="16"/>
      <c r="AF24" s="16"/>
      <c r="AG24" s="16"/>
    </row>
    <row r="25" spans="1:33" s="17" customFormat="1" x14ac:dyDescent="0.2">
      <c r="A25" s="326"/>
      <c r="B25" s="225" t="s">
        <v>59</v>
      </c>
      <c r="C25" s="225" t="s">
        <v>1451</v>
      </c>
      <c r="D25" s="225"/>
      <c r="E25" s="225"/>
      <c r="F25" s="225"/>
      <c r="G25" s="317" t="s">
        <v>335</v>
      </c>
      <c r="H25" s="45"/>
      <c r="I25" s="44"/>
      <c r="J25" s="44"/>
      <c r="K25" s="44"/>
      <c r="L25" s="44"/>
      <c r="M25" s="44"/>
      <c r="N25" s="44"/>
      <c r="O25" s="44"/>
      <c r="P25" s="44"/>
      <c r="Q25" s="49">
        <f t="shared" si="12"/>
        <v>0</v>
      </c>
      <c r="R25" s="49">
        <f t="shared" si="2"/>
        <v>0</v>
      </c>
      <c r="S25" s="44"/>
      <c r="T25" s="44"/>
      <c r="U25" s="49">
        <f t="shared" si="13"/>
        <v>0</v>
      </c>
      <c r="V25" s="49">
        <f t="shared" si="4"/>
        <v>0</v>
      </c>
      <c r="W25" s="16"/>
      <c r="X25" s="16"/>
      <c r="Y25" s="16"/>
      <c r="Z25" s="16"/>
      <c r="AA25" s="16"/>
      <c r="AB25" s="16"/>
      <c r="AC25" s="16"/>
      <c r="AD25" s="16"/>
      <c r="AE25" s="16"/>
      <c r="AF25" s="16"/>
      <c r="AG25" s="16"/>
    </row>
    <row r="26" spans="1:33" s="17" customFormat="1" x14ac:dyDescent="0.2">
      <c r="A26" s="326"/>
      <c r="B26" s="225" t="s">
        <v>69</v>
      </c>
      <c r="C26" s="225" t="s">
        <v>1452</v>
      </c>
      <c r="D26" s="225"/>
      <c r="E26" s="225"/>
      <c r="F26" s="225"/>
      <c r="G26" s="317" t="s">
        <v>336</v>
      </c>
      <c r="H26" s="45"/>
      <c r="I26" s="44"/>
      <c r="J26" s="44"/>
      <c r="K26" s="44"/>
      <c r="L26" s="44"/>
      <c r="M26" s="44"/>
      <c r="N26" s="44"/>
      <c r="O26" s="44"/>
      <c r="P26" s="44"/>
      <c r="Q26" s="49">
        <f t="shared" si="12"/>
        <v>0</v>
      </c>
      <c r="R26" s="49">
        <f t="shared" si="2"/>
        <v>0</v>
      </c>
      <c r="S26" s="44"/>
      <c r="T26" s="44"/>
      <c r="U26" s="49">
        <f t="shared" si="13"/>
        <v>0</v>
      </c>
      <c r="V26" s="49">
        <f t="shared" si="4"/>
        <v>0</v>
      </c>
      <c r="W26" s="16"/>
      <c r="X26" s="16"/>
      <c r="Y26" s="16"/>
      <c r="Z26" s="16"/>
      <c r="AA26" s="16"/>
      <c r="AB26" s="16"/>
      <c r="AC26" s="16"/>
      <c r="AD26" s="16"/>
      <c r="AE26" s="16"/>
      <c r="AF26" s="16"/>
      <c r="AG26" s="16"/>
    </row>
    <row r="27" spans="1:33" s="17" customFormat="1" x14ac:dyDescent="0.2">
      <c r="A27" s="326" t="s">
        <v>257</v>
      </c>
      <c r="B27" s="225" t="s">
        <v>983</v>
      </c>
      <c r="C27" s="225"/>
      <c r="D27" s="225"/>
      <c r="E27" s="225"/>
      <c r="F27" s="225"/>
      <c r="G27" s="317" t="s">
        <v>337</v>
      </c>
      <c r="H27" s="45"/>
      <c r="I27" s="44"/>
      <c r="J27" s="44"/>
      <c r="K27" s="44"/>
      <c r="L27" s="44"/>
      <c r="M27" s="44"/>
      <c r="N27" s="44"/>
      <c r="O27" s="44"/>
      <c r="P27" s="44"/>
      <c r="Q27" s="49">
        <f t="shared" si="12"/>
        <v>0</v>
      </c>
      <c r="R27" s="49">
        <f t="shared" si="2"/>
        <v>0</v>
      </c>
      <c r="S27" s="44"/>
      <c r="T27" s="44"/>
      <c r="U27" s="49">
        <f t="shared" si="13"/>
        <v>0</v>
      </c>
      <c r="V27" s="49">
        <f t="shared" si="4"/>
        <v>0</v>
      </c>
      <c r="W27" s="16"/>
      <c r="X27" s="16"/>
      <c r="Y27" s="16"/>
      <c r="Z27" s="16"/>
      <c r="AA27" s="16"/>
      <c r="AB27" s="16"/>
      <c r="AC27" s="16"/>
      <c r="AD27" s="16"/>
      <c r="AE27" s="16"/>
      <c r="AF27" s="16"/>
      <c r="AG27" s="16"/>
    </row>
    <row r="28" spans="1:33" s="17" customFormat="1" x14ac:dyDescent="0.2">
      <c r="A28" s="326" t="s">
        <v>74</v>
      </c>
      <c r="B28" s="225" t="s">
        <v>77</v>
      </c>
      <c r="C28" s="225"/>
      <c r="D28" s="225"/>
      <c r="E28" s="225"/>
      <c r="F28" s="225"/>
      <c r="G28" s="317" t="s">
        <v>338</v>
      </c>
      <c r="H28" s="45"/>
      <c r="I28" s="41">
        <f t="shared" ref="I28:P28" si="14">I29+I30</f>
        <v>0</v>
      </c>
      <c r="J28" s="41">
        <f t="shared" si="14"/>
        <v>0</v>
      </c>
      <c r="K28" s="41">
        <f t="shared" si="14"/>
        <v>0</v>
      </c>
      <c r="L28" s="41">
        <f t="shared" si="14"/>
        <v>0</v>
      </c>
      <c r="M28" s="41">
        <f t="shared" si="14"/>
        <v>0</v>
      </c>
      <c r="N28" s="41">
        <f t="shared" si="14"/>
        <v>0</v>
      </c>
      <c r="O28" s="41">
        <f t="shared" si="14"/>
        <v>0</v>
      </c>
      <c r="P28" s="41">
        <f t="shared" si="14"/>
        <v>0</v>
      </c>
      <c r="Q28" s="49">
        <f t="shared" si="12"/>
        <v>0</v>
      </c>
      <c r="R28" s="49">
        <f t="shared" si="2"/>
        <v>0</v>
      </c>
      <c r="S28" s="41">
        <f>S29+S30</f>
        <v>0</v>
      </c>
      <c r="T28" s="41">
        <f>T29+T30</f>
        <v>0</v>
      </c>
      <c r="U28" s="49">
        <f t="shared" si="13"/>
        <v>0</v>
      </c>
      <c r="V28" s="49">
        <f t="shared" si="4"/>
        <v>0</v>
      </c>
      <c r="W28" s="16"/>
      <c r="X28" s="16"/>
      <c r="Y28" s="16"/>
      <c r="Z28" s="16"/>
      <c r="AA28" s="16"/>
      <c r="AB28" s="16"/>
      <c r="AC28" s="16"/>
      <c r="AD28" s="16"/>
      <c r="AE28" s="16"/>
      <c r="AF28" s="16"/>
      <c r="AG28" s="16"/>
    </row>
    <row r="29" spans="1:33" s="17" customFormat="1" x14ac:dyDescent="0.2">
      <c r="A29" s="326"/>
      <c r="B29" s="225" t="s">
        <v>59</v>
      </c>
      <c r="C29" s="225" t="s">
        <v>78</v>
      </c>
      <c r="D29" s="225"/>
      <c r="E29" s="225"/>
      <c r="F29" s="225"/>
      <c r="G29" s="317" t="s">
        <v>339</v>
      </c>
      <c r="H29" s="45"/>
      <c r="I29" s="44"/>
      <c r="J29" s="44"/>
      <c r="K29" s="44"/>
      <c r="L29" s="44"/>
      <c r="M29" s="44"/>
      <c r="N29" s="44"/>
      <c r="O29" s="44"/>
      <c r="P29" s="44"/>
      <c r="Q29" s="49">
        <f t="shared" si="12"/>
        <v>0</v>
      </c>
      <c r="R29" s="49">
        <f t="shared" si="2"/>
        <v>0</v>
      </c>
      <c r="S29" s="44"/>
      <c r="T29" s="44"/>
      <c r="U29" s="49">
        <f t="shared" si="13"/>
        <v>0</v>
      </c>
      <c r="V29" s="49">
        <f t="shared" si="4"/>
        <v>0</v>
      </c>
      <c r="W29" s="16"/>
      <c r="X29" s="16"/>
      <c r="Y29" s="16"/>
      <c r="Z29" s="16"/>
      <c r="AA29" s="16"/>
      <c r="AB29" s="16"/>
      <c r="AC29" s="16"/>
      <c r="AD29" s="16"/>
      <c r="AE29" s="16"/>
      <c r="AF29" s="16"/>
      <c r="AG29" s="16"/>
    </row>
    <row r="30" spans="1:33" s="17" customFormat="1" x14ac:dyDescent="0.2">
      <c r="A30" s="326"/>
      <c r="B30" s="225" t="s">
        <v>61</v>
      </c>
      <c r="C30" s="225" t="s">
        <v>66</v>
      </c>
      <c r="D30" s="225"/>
      <c r="E30" s="225"/>
      <c r="F30" s="225"/>
      <c r="G30" s="317" t="s">
        <v>340</v>
      </c>
      <c r="H30" s="45"/>
      <c r="I30" s="44"/>
      <c r="J30" s="44"/>
      <c r="K30" s="44"/>
      <c r="L30" s="44"/>
      <c r="M30" s="44"/>
      <c r="N30" s="44"/>
      <c r="O30" s="44"/>
      <c r="P30" s="44"/>
      <c r="Q30" s="49">
        <f t="shared" si="12"/>
        <v>0</v>
      </c>
      <c r="R30" s="49">
        <f t="shared" si="2"/>
        <v>0</v>
      </c>
      <c r="S30" s="44"/>
      <c r="T30" s="44"/>
      <c r="U30" s="49">
        <f t="shared" si="13"/>
        <v>0</v>
      </c>
      <c r="V30" s="49">
        <f t="shared" si="4"/>
        <v>0</v>
      </c>
      <c r="W30" s="16"/>
      <c r="X30" s="16"/>
      <c r="Y30" s="16"/>
      <c r="Z30" s="16"/>
      <c r="AA30" s="16"/>
      <c r="AB30" s="16"/>
      <c r="AC30" s="16"/>
      <c r="AD30" s="16"/>
      <c r="AE30" s="16"/>
      <c r="AF30" s="16"/>
      <c r="AG30" s="16"/>
    </row>
    <row r="31" spans="1:33" s="17" customFormat="1" ht="23.25" customHeight="1" x14ac:dyDescent="0.2">
      <c r="A31" s="326" t="s">
        <v>76</v>
      </c>
      <c r="B31" s="661" t="s">
        <v>982</v>
      </c>
      <c r="C31" s="661"/>
      <c r="D31" s="661"/>
      <c r="E31" s="661"/>
      <c r="F31" s="661"/>
      <c r="G31" s="317" t="s">
        <v>341</v>
      </c>
      <c r="H31" s="45"/>
      <c r="I31" s="44"/>
      <c r="J31" s="44"/>
      <c r="K31" s="44"/>
      <c r="L31" s="44"/>
      <c r="M31" s="44"/>
      <c r="N31" s="44"/>
      <c r="O31" s="44"/>
      <c r="P31" s="44"/>
      <c r="Q31" s="49">
        <f t="shared" si="12"/>
        <v>0</v>
      </c>
      <c r="R31" s="49">
        <f t="shared" si="2"/>
        <v>0</v>
      </c>
      <c r="S31" s="44"/>
      <c r="T31" s="44"/>
      <c r="U31" s="49">
        <f t="shared" si="13"/>
        <v>0</v>
      </c>
      <c r="V31" s="49">
        <f t="shared" si="4"/>
        <v>0</v>
      </c>
      <c r="W31" s="16"/>
      <c r="X31" s="16"/>
      <c r="Y31" s="16"/>
      <c r="Z31" s="16"/>
      <c r="AA31" s="16"/>
      <c r="AB31" s="16"/>
      <c r="AC31" s="16"/>
      <c r="AD31" s="16"/>
      <c r="AE31" s="16"/>
      <c r="AF31" s="16"/>
      <c r="AG31" s="16"/>
    </row>
    <row r="32" spans="1:33" s="17" customFormat="1" x14ac:dyDescent="0.2">
      <c r="A32" s="326" t="s">
        <v>79</v>
      </c>
      <c r="B32" s="225" t="s">
        <v>1467</v>
      </c>
      <c r="C32" s="225"/>
      <c r="D32" s="225"/>
      <c r="E32" s="225"/>
      <c r="F32" s="225"/>
      <c r="G32" s="317" t="s">
        <v>342</v>
      </c>
      <c r="H32" s="45"/>
      <c r="I32" s="41">
        <f>I33+I34+I37+I38</f>
        <v>0</v>
      </c>
      <c r="J32" s="41">
        <f t="shared" ref="J32:P32" si="15">J33+J34+J37+J38</f>
        <v>0</v>
      </c>
      <c r="K32" s="41">
        <f t="shared" si="15"/>
        <v>0</v>
      </c>
      <c r="L32" s="41">
        <f t="shared" si="15"/>
        <v>0</v>
      </c>
      <c r="M32" s="41">
        <f t="shared" si="15"/>
        <v>0</v>
      </c>
      <c r="N32" s="41">
        <f t="shared" si="15"/>
        <v>0</v>
      </c>
      <c r="O32" s="41">
        <f t="shared" si="15"/>
        <v>0</v>
      </c>
      <c r="P32" s="41">
        <f t="shared" si="15"/>
        <v>0</v>
      </c>
      <c r="Q32" s="49">
        <f t="shared" si="12"/>
        <v>0</v>
      </c>
      <c r="R32" s="49">
        <f t="shared" si="2"/>
        <v>0</v>
      </c>
      <c r="S32" s="41">
        <f>S33+S34+S37+S38</f>
        <v>0</v>
      </c>
      <c r="T32" s="41">
        <f>T33+T34+T37+T38</f>
        <v>0</v>
      </c>
      <c r="U32" s="49">
        <f t="shared" si="13"/>
        <v>0</v>
      </c>
      <c r="V32" s="49">
        <f t="shared" si="4"/>
        <v>0</v>
      </c>
      <c r="W32" s="16"/>
      <c r="X32" s="16"/>
      <c r="Y32" s="16"/>
      <c r="Z32" s="16"/>
      <c r="AA32" s="16"/>
      <c r="AB32" s="16"/>
      <c r="AC32" s="16"/>
      <c r="AD32" s="16"/>
      <c r="AE32" s="16"/>
      <c r="AF32" s="16"/>
      <c r="AG32" s="16"/>
    </row>
    <row r="33" spans="1:39" s="17" customFormat="1" x14ac:dyDescent="0.2">
      <c r="A33" s="326"/>
      <c r="B33" s="225" t="s">
        <v>59</v>
      </c>
      <c r="C33" s="225" t="s">
        <v>82</v>
      </c>
      <c r="D33" s="225"/>
      <c r="E33" s="225"/>
      <c r="F33" s="225"/>
      <c r="G33" s="317" t="s">
        <v>343</v>
      </c>
      <c r="H33" s="45"/>
      <c r="I33" s="44"/>
      <c r="J33" s="44"/>
      <c r="K33" s="44"/>
      <c r="L33" s="44"/>
      <c r="M33" s="44"/>
      <c r="N33" s="44"/>
      <c r="O33" s="44"/>
      <c r="P33" s="44"/>
      <c r="Q33" s="49">
        <f t="shared" si="12"/>
        <v>0</v>
      </c>
      <c r="R33" s="49">
        <f t="shared" si="2"/>
        <v>0</v>
      </c>
      <c r="S33" s="44"/>
      <c r="T33" s="44"/>
      <c r="U33" s="49">
        <f t="shared" si="13"/>
        <v>0</v>
      </c>
      <c r="V33" s="49">
        <f t="shared" si="4"/>
        <v>0</v>
      </c>
      <c r="W33" s="16"/>
      <c r="X33" s="16"/>
      <c r="Y33" s="16"/>
      <c r="Z33" s="16"/>
      <c r="AA33" s="16"/>
      <c r="AB33" s="16"/>
      <c r="AC33" s="16"/>
      <c r="AD33" s="16"/>
      <c r="AE33" s="16"/>
      <c r="AF33" s="16"/>
      <c r="AG33" s="16"/>
    </row>
    <row r="34" spans="1:39" s="17" customFormat="1" x14ac:dyDescent="0.2">
      <c r="A34" s="326"/>
      <c r="B34" s="225" t="s">
        <v>61</v>
      </c>
      <c r="C34" s="662" t="s">
        <v>1457</v>
      </c>
      <c r="D34" s="662"/>
      <c r="E34" s="662"/>
      <c r="F34" s="663"/>
      <c r="G34" s="317" t="s">
        <v>344</v>
      </c>
      <c r="H34" s="45"/>
      <c r="I34" s="41">
        <f>I35+I36</f>
        <v>0</v>
      </c>
      <c r="J34" s="41">
        <f t="shared" ref="J34:P34" si="16">J35+J36</f>
        <v>0</v>
      </c>
      <c r="K34" s="41">
        <f t="shared" si="16"/>
        <v>0</v>
      </c>
      <c r="L34" s="41">
        <f t="shared" si="16"/>
        <v>0</v>
      </c>
      <c r="M34" s="41">
        <f t="shared" si="16"/>
        <v>0</v>
      </c>
      <c r="N34" s="41">
        <f t="shared" si="16"/>
        <v>0</v>
      </c>
      <c r="O34" s="41">
        <f t="shared" si="16"/>
        <v>0</v>
      </c>
      <c r="P34" s="41">
        <f t="shared" si="16"/>
        <v>0</v>
      </c>
      <c r="Q34" s="41">
        <f t="shared" si="12"/>
        <v>0</v>
      </c>
      <c r="R34" s="41">
        <f>J34+L34+N34+P34</f>
        <v>0</v>
      </c>
      <c r="S34" s="41">
        <f>S35+S36</f>
        <v>0</v>
      </c>
      <c r="T34" s="41">
        <f>T35+T36</f>
        <v>0</v>
      </c>
      <c r="U34" s="41">
        <f t="shared" si="13"/>
        <v>0</v>
      </c>
      <c r="V34" s="41">
        <f>R34-T34</f>
        <v>0</v>
      </c>
      <c r="W34" s="1"/>
      <c r="X34" s="1"/>
      <c r="Y34" s="1"/>
      <c r="Z34" s="1"/>
      <c r="AA34" s="1"/>
      <c r="AB34" s="1"/>
      <c r="AC34" s="1"/>
      <c r="AD34" s="1"/>
      <c r="AE34" s="1"/>
      <c r="AF34" s="1"/>
      <c r="AG34" s="1"/>
      <c r="AH34" s="20"/>
      <c r="AI34" s="20"/>
      <c r="AJ34" s="20"/>
      <c r="AK34" s="20"/>
      <c r="AL34" s="20"/>
      <c r="AM34" s="20"/>
    </row>
    <row r="35" spans="1:39" s="17" customFormat="1" x14ac:dyDescent="0.2">
      <c r="A35" s="619"/>
      <c r="B35" s="79"/>
      <c r="C35" s="225" t="s">
        <v>54</v>
      </c>
      <c r="D35" s="225" t="s">
        <v>83</v>
      </c>
      <c r="E35" s="225"/>
      <c r="F35" s="225"/>
      <c r="G35" s="609" t="s">
        <v>1459</v>
      </c>
      <c r="H35" s="45"/>
      <c r="I35" s="44"/>
      <c r="J35" s="44"/>
      <c r="K35" s="44"/>
      <c r="L35" s="44"/>
      <c r="M35" s="44"/>
      <c r="N35" s="44"/>
      <c r="O35" s="44"/>
      <c r="P35" s="44"/>
      <c r="Q35" s="49">
        <f t="shared" si="12"/>
        <v>0</v>
      </c>
      <c r="R35" s="49">
        <f>J35+L35+N35+P35</f>
        <v>0</v>
      </c>
      <c r="S35" s="44"/>
      <c r="T35" s="44"/>
      <c r="U35" s="49">
        <f t="shared" si="13"/>
        <v>0</v>
      </c>
      <c r="V35" s="49">
        <f>R35-T35</f>
        <v>0</v>
      </c>
      <c r="W35" s="1"/>
      <c r="X35" s="1"/>
      <c r="Y35" s="1"/>
      <c r="Z35" s="1"/>
      <c r="AA35" s="1"/>
      <c r="AB35" s="1"/>
      <c r="AC35" s="1"/>
      <c r="AD35" s="1"/>
      <c r="AE35" s="1"/>
      <c r="AF35" s="1"/>
      <c r="AG35" s="1"/>
      <c r="AH35" s="20"/>
      <c r="AI35" s="20"/>
      <c r="AJ35" s="20"/>
      <c r="AK35" s="20"/>
      <c r="AL35" s="20"/>
      <c r="AM35" s="20"/>
    </row>
    <row r="36" spans="1:39" s="17" customFormat="1" x14ac:dyDescent="0.2">
      <c r="A36" s="619"/>
      <c r="B36" s="79"/>
      <c r="C36" s="225" t="s">
        <v>55</v>
      </c>
      <c r="D36" s="225" t="s">
        <v>1458</v>
      </c>
      <c r="E36" s="225"/>
      <c r="F36" s="225"/>
      <c r="G36" s="609" t="s">
        <v>1460</v>
      </c>
      <c r="H36" s="45"/>
      <c r="I36" s="44"/>
      <c r="J36" s="44"/>
      <c r="K36" s="44"/>
      <c r="L36" s="44"/>
      <c r="M36" s="44"/>
      <c r="N36" s="44"/>
      <c r="O36" s="44"/>
      <c r="P36" s="44"/>
      <c r="Q36" s="49">
        <f t="shared" si="12"/>
        <v>0</v>
      </c>
      <c r="R36" s="49">
        <f>J36+L36+N36+P36</f>
        <v>0</v>
      </c>
      <c r="S36" s="44"/>
      <c r="T36" s="44"/>
      <c r="U36" s="49">
        <f t="shared" si="13"/>
        <v>0</v>
      </c>
      <c r="V36" s="49">
        <f>R36-T36</f>
        <v>0</v>
      </c>
      <c r="W36" s="1"/>
      <c r="X36" s="1"/>
      <c r="Y36" s="1"/>
      <c r="Z36" s="1"/>
      <c r="AA36" s="1"/>
      <c r="AB36" s="1"/>
      <c r="AC36" s="1"/>
      <c r="AD36" s="1"/>
      <c r="AE36" s="1"/>
      <c r="AF36" s="1"/>
      <c r="AG36" s="1"/>
      <c r="AH36" s="20"/>
      <c r="AI36" s="20"/>
      <c r="AJ36" s="20"/>
      <c r="AK36" s="20"/>
      <c r="AL36" s="20"/>
      <c r="AM36" s="20"/>
    </row>
    <row r="37" spans="1:39" s="17" customFormat="1" x14ac:dyDescent="0.2">
      <c r="A37" s="326"/>
      <c r="B37" s="3" t="s">
        <v>1434</v>
      </c>
      <c r="C37" s="3" t="s">
        <v>1468</v>
      </c>
      <c r="D37" s="3"/>
      <c r="E37" s="3"/>
      <c r="F37" s="79"/>
      <c r="G37" s="602" t="s">
        <v>1435</v>
      </c>
      <c r="H37" s="45"/>
      <c r="I37" s="44"/>
      <c r="J37" s="44"/>
      <c r="K37" s="44"/>
      <c r="L37" s="44"/>
      <c r="M37" s="44"/>
      <c r="N37" s="44"/>
      <c r="O37" s="44"/>
      <c r="P37" s="44"/>
      <c r="Q37" s="49">
        <f t="shared" si="12"/>
        <v>0</v>
      </c>
      <c r="R37" s="49">
        <f>J37+L37+N37+P37</f>
        <v>0</v>
      </c>
      <c r="S37" s="44"/>
      <c r="T37" s="44"/>
      <c r="U37" s="49">
        <f t="shared" si="13"/>
        <v>0</v>
      </c>
      <c r="V37" s="49">
        <f>R37-T37</f>
        <v>0</v>
      </c>
      <c r="W37" s="1"/>
      <c r="X37" s="1"/>
      <c r="Y37" s="1"/>
      <c r="Z37" s="1"/>
      <c r="AA37" s="1"/>
      <c r="AB37" s="1"/>
      <c r="AC37" s="1"/>
      <c r="AD37" s="1"/>
      <c r="AE37" s="1"/>
      <c r="AF37" s="1"/>
      <c r="AG37" s="1"/>
      <c r="AH37" s="20"/>
      <c r="AI37" s="20"/>
      <c r="AJ37" s="20"/>
      <c r="AK37" s="20"/>
      <c r="AL37" s="20"/>
      <c r="AM37" s="20"/>
    </row>
    <row r="38" spans="1:39" s="17" customFormat="1" x14ac:dyDescent="0.2">
      <c r="A38" s="326"/>
      <c r="B38" s="225" t="s">
        <v>1433</v>
      </c>
      <c r="C38" s="225" t="s">
        <v>52</v>
      </c>
      <c r="D38" s="225"/>
      <c r="E38" s="225"/>
      <c r="F38" s="225"/>
      <c r="G38" s="317" t="s">
        <v>345</v>
      </c>
      <c r="H38" s="45"/>
      <c r="I38" s="44"/>
      <c r="J38" s="44"/>
      <c r="K38" s="44"/>
      <c r="L38" s="44"/>
      <c r="M38" s="44"/>
      <c r="N38" s="44"/>
      <c r="O38" s="44"/>
      <c r="P38" s="44"/>
      <c r="Q38" s="49">
        <f t="shared" si="12"/>
        <v>0</v>
      </c>
      <c r="R38" s="49">
        <f t="shared" si="2"/>
        <v>0</v>
      </c>
      <c r="S38" s="44"/>
      <c r="T38" s="44"/>
      <c r="U38" s="49">
        <f t="shared" si="13"/>
        <v>0</v>
      </c>
      <c r="V38" s="49">
        <f t="shared" si="4"/>
        <v>0</v>
      </c>
      <c r="W38" s="1"/>
      <c r="X38" s="1"/>
      <c r="Y38" s="1"/>
      <c r="Z38" s="1"/>
      <c r="AA38" s="1"/>
      <c r="AB38" s="1"/>
      <c r="AC38" s="1"/>
      <c r="AD38" s="1"/>
      <c r="AE38" s="1"/>
      <c r="AF38" s="1"/>
      <c r="AG38" s="1"/>
      <c r="AH38" s="20"/>
      <c r="AI38" s="20"/>
      <c r="AJ38" s="20"/>
      <c r="AK38" s="20"/>
      <c r="AL38" s="20"/>
      <c r="AM38" s="20"/>
    </row>
    <row r="39" spans="1:39" s="17" customFormat="1" x14ac:dyDescent="0.2">
      <c r="A39" s="326" t="s">
        <v>81</v>
      </c>
      <c r="B39" s="225" t="s">
        <v>85</v>
      </c>
      <c r="C39" s="225"/>
      <c r="D39" s="225"/>
      <c r="E39" s="225"/>
      <c r="F39" s="225"/>
      <c r="G39" s="317" t="s">
        <v>346</v>
      </c>
      <c r="H39" s="45"/>
      <c r="I39" s="44"/>
      <c r="J39" s="44"/>
      <c r="K39" s="44"/>
      <c r="L39" s="44"/>
      <c r="M39" s="44"/>
      <c r="N39" s="44"/>
      <c r="O39" s="44"/>
      <c r="P39" s="44"/>
      <c r="Q39" s="49">
        <f t="shared" si="12"/>
        <v>0</v>
      </c>
      <c r="R39" s="49">
        <f t="shared" si="2"/>
        <v>0</v>
      </c>
      <c r="S39" s="44"/>
      <c r="T39" s="44"/>
      <c r="U39" s="49">
        <f t="shared" si="13"/>
        <v>0</v>
      </c>
      <c r="V39" s="49">
        <f t="shared" si="4"/>
        <v>0</v>
      </c>
      <c r="W39" s="1"/>
      <c r="X39" s="1"/>
      <c r="Y39" s="1"/>
      <c r="Z39" s="1"/>
      <c r="AA39" s="1"/>
      <c r="AB39" s="1"/>
      <c r="AC39" s="1"/>
      <c r="AD39" s="1"/>
      <c r="AE39" s="1"/>
      <c r="AF39" s="1"/>
      <c r="AG39" s="1"/>
      <c r="AH39" s="20"/>
      <c r="AI39" s="20"/>
      <c r="AJ39" s="20"/>
      <c r="AK39" s="20"/>
      <c r="AL39" s="20"/>
      <c r="AM39" s="20"/>
    </row>
    <row r="40" spans="1:39" s="17" customFormat="1" x14ac:dyDescent="0.2">
      <c r="A40" s="324" t="s">
        <v>86</v>
      </c>
      <c r="B40" s="225"/>
      <c r="C40" s="225"/>
      <c r="D40" s="225"/>
      <c r="E40" s="225"/>
      <c r="F40" s="303"/>
      <c r="G40" s="317" t="s">
        <v>347</v>
      </c>
      <c r="H40" s="45"/>
      <c r="I40" s="41">
        <f t="shared" ref="I40:P40" si="17">I41+I42+I43+I44</f>
        <v>0</v>
      </c>
      <c r="J40" s="41">
        <f t="shared" si="17"/>
        <v>0</v>
      </c>
      <c r="K40" s="41">
        <f t="shared" si="17"/>
        <v>0</v>
      </c>
      <c r="L40" s="41">
        <f t="shared" si="17"/>
        <v>0</v>
      </c>
      <c r="M40" s="41">
        <f t="shared" si="17"/>
        <v>0</v>
      </c>
      <c r="N40" s="41">
        <f t="shared" si="17"/>
        <v>0</v>
      </c>
      <c r="O40" s="41">
        <f t="shared" si="17"/>
        <v>0</v>
      </c>
      <c r="P40" s="41">
        <f t="shared" si="17"/>
        <v>0</v>
      </c>
      <c r="Q40" s="49">
        <f t="shared" si="12"/>
        <v>0</v>
      </c>
      <c r="R40" s="49">
        <f t="shared" si="2"/>
        <v>0</v>
      </c>
      <c r="S40" s="41">
        <f>S41+S42+S43+S44</f>
        <v>0</v>
      </c>
      <c r="T40" s="41">
        <f>T41+T42+T43+T44</f>
        <v>0</v>
      </c>
      <c r="U40" s="49">
        <f t="shared" si="13"/>
        <v>0</v>
      </c>
      <c r="V40" s="49">
        <f t="shared" si="4"/>
        <v>0</v>
      </c>
      <c r="W40" s="1"/>
      <c r="X40" s="1"/>
      <c r="Y40" s="1"/>
      <c r="Z40" s="1"/>
      <c r="AA40" s="1"/>
      <c r="AB40" s="1"/>
      <c r="AC40" s="1"/>
      <c r="AD40" s="1"/>
      <c r="AE40" s="1"/>
      <c r="AF40" s="1"/>
      <c r="AG40" s="1"/>
      <c r="AH40" s="20"/>
      <c r="AI40" s="20"/>
      <c r="AJ40" s="20"/>
      <c r="AK40" s="20"/>
      <c r="AL40" s="20"/>
      <c r="AM40" s="20"/>
    </row>
    <row r="41" spans="1:39" s="17" customFormat="1" x14ac:dyDescent="0.2">
      <c r="A41" s="325" t="s">
        <v>54</v>
      </c>
      <c r="B41" s="225" t="s">
        <v>87</v>
      </c>
      <c r="C41" s="225"/>
      <c r="D41" s="225"/>
      <c r="E41" s="225"/>
      <c r="F41" s="303"/>
      <c r="G41" s="317" t="s">
        <v>348</v>
      </c>
      <c r="H41" s="45"/>
      <c r="I41" s="44"/>
      <c r="J41" s="44"/>
      <c r="K41" s="44"/>
      <c r="L41" s="44"/>
      <c r="M41" s="44"/>
      <c r="N41" s="44"/>
      <c r="O41" s="44"/>
      <c r="P41" s="44"/>
      <c r="Q41" s="49">
        <f t="shared" si="12"/>
        <v>0</v>
      </c>
      <c r="R41" s="49">
        <f t="shared" si="2"/>
        <v>0</v>
      </c>
      <c r="S41" s="44"/>
      <c r="T41" s="44"/>
      <c r="U41" s="49">
        <f t="shared" si="13"/>
        <v>0</v>
      </c>
      <c r="V41" s="49">
        <f t="shared" si="4"/>
        <v>0</v>
      </c>
      <c r="W41" s="1"/>
      <c r="X41" s="1"/>
      <c r="Y41" s="1"/>
      <c r="Z41" s="1"/>
      <c r="AA41" s="1"/>
      <c r="AB41" s="1"/>
      <c r="AC41" s="1"/>
      <c r="AD41" s="1"/>
      <c r="AE41" s="1"/>
      <c r="AF41" s="1"/>
      <c r="AG41" s="1"/>
      <c r="AH41" s="20"/>
      <c r="AI41" s="20"/>
      <c r="AJ41" s="20"/>
      <c r="AK41" s="20"/>
      <c r="AL41" s="20"/>
      <c r="AM41" s="20"/>
    </row>
    <row r="42" spans="1:39" s="17" customFormat="1" x14ac:dyDescent="0.2">
      <c r="A42" s="325" t="s">
        <v>55</v>
      </c>
      <c r="B42" s="225" t="s">
        <v>88</v>
      </c>
      <c r="C42" s="225"/>
      <c r="D42" s="225"/>
      <c r="E42" s="225"/>
      <c r="F42" s="303"/>
      <c r="G42" s="317" t="s">
        <v>349</v>
      </c>
      <c r="H42" s="45"/>
      <c r="I42" s="44"/>
      <c r="J42" s="44"/>
      <c r="K42" s="44"/>
      <c r="L42" s="44"/>
      <c r="M42" s="44"/>
      <c r="N42" s="44"/>
      <c r="O42" s="44"/>
      <c r="P42" s="44"/>
      <c r="Q42" s="49">
        <f t="shared" si="12"/>
        <v>0</v>
      </c>
      <c r="R42" s="49">
        <f t="shared" si="2"/>
        <v>0</v>
      </c>
      <c r="S42" s="44"/>
      <c r="T42" s="44"/>
      <c r="U42" s="49">
        <f t="shared" si="13"/>
        <v>0</v>
      </c>
      <c r="V42" s="49">
        <f t="shared" si="4"/>
        <v>0</v>
      </c>
      <c r="W42" s="1"/>
      <c r="X42" s="1"/>
      <c r="Y42" s="1"/>
      <c r="Z42" s="1"/>
      <c r="AA42" s="1"/>
      <c r="AB42" s="1"/>
      <c r="AC42" s="1"/>
      <c r="AD42" s="1"/>
      <c r="AE42" s="1"/>
      <c r="AF42" s="1"/>
      <c r="AG42" s="1"/>
      <c r="AH42" s="20"/>
      <c r="AI42" s="20"/>
      <c r="AJ42" s="20"/>
      <c r="AK42" s="20"/>
      <c r="AL42" s="20"/>
      <c r="AM42" s="20"/>
    </row>
    <row r="43" spans="1:39" s="17" customFormat="1" x14ac:dyDescent="0.2">
      <c r="A43" s="325" t="s">
        <v>65</v>
      </c>
      <c r="B43" s="225" t="s">
        <v>89</v>
      </c>
      <c r="C43" s="225"/>
      <c r="D43" s="225"/>
      <c r="E43" s="225"/>
      <c r="F43" s="303"/>
      <c r="G43" s="317" t="s">
        <v>350</v>
      </c>
      <c r="H43" s="45"/>
      <c r="I43" s="44"/>
      <c r="J43" s="44"/>
      <c r="K43" s="44"/>
      <c r="L43" s="44"/>
      <c r="M43" s="44"/>
      <c r="N43" s="44"/>
      <c r="O43" s="44"/>
      <c r="P43" s="44"/>
      <c r="Q43" s="49">
        <f t="shared" si="12"/>
        <v>0</v>
      </c>
      <c r="R43" s="49">
        <f t="shared" si="2"/>
        <v>0</v>
      </c>
      <c r="S43" s="44"/>
      <c r="T43" s="44"/>
      <c r="U43" s="49">
        <f t="shared" si="13"/>
        <v>0</v>
      </c>
      <c r="V43" s="49">
        <f t="shared" si="4"/>
        <v>0</v>
      </c>
      <c r="W43" s="1"/>
      <c r="X43" s="1"/>
      <c r="Y43" s="1"/>
      <c r="Z43" s="1"/>
      <c r="AA43" s="1"/>
      <c r="AB43" s="1"/>
      <c r="AC43" s="1"/>
      <c r="AD43" s="1"/>
      <c r="AE43" s="1"/>
      <c r="AF43" s="1"/>
      <c r="AG43" s="1"/>
      <c r="AH43" s="20"/>
      <c r="AI43" s="20"/>
      <c r="AJ43" s="20"/>
      <c r="AK43" s="20"/>
      <c r="AL43" s="20"/>
      <c r="AM43" s="20"/>
    </row>
    <row r="44" spans="1:39" s="17" customFormat="1" x14ac:dyDescent="0.2">
      <c r="A44" s="325" t="s">
        <v>90</v>
      </c>
      <c r="B44" s="225" t="s">
        <v>91</v>
      </c>
      <c r="C44" s="225"/>
      <c r="D44" s="225"/>
      <c r="E44" s="225"/>
      <c r="F44" s="303"/>
      <c r="G44" s="317" t="s">
        <v>351</v>
      </c>
      <c r="H44" s="45"/>
      <c r="I44" s="125"/>
      <c r="J44" s="126"/>
      <c r="K44" s="126"/>
      <c r="L44" s="126"/>
      <c r="M44" s="126"/>
      <c r="N44" s="126"/>
      <c r="O44" s="126"/>
      <c r="P44" s="126"/>
      <c r="Q44" s="49">
        <f t="shared" si="12"/>
        <v>0</v>
      </c>
      <c r="R44" s="49">
        <f t="shared" si="2"/>
        <v>0</v>
      </c>
      <c r="S44" s="126"/>
      <c r="T44" s="126"/>
      <c r="U44" s="49">
        <f t="shared" si="13"/>
        <v>0</v>
      </c>
      <c r="V44" s="49">
        <f t="shared" si="4"/>
        <v>0</v>
      </c>
      <c r="W44" s="1"/>
      <c r="X44" s="1"/>
      <c r="Y44" s="1"/>
      <c r="Z44" s="1"/>
      <c r="AA44" s="1"/>
      <c r="AB44" s="1"/>
      <c r="AC44" s="1"/>
      <c r="AD44" s="1"/>
      <c r="AE44" s="1"/>
      <c r="AF44" s="1"/>
      <c r="AG44" s="1"/>
      <c r="AH44" s="20"/>
      <c r="AI44" s="20"/>
      <c r="AJ44" s="20"/>
      <c r="AK44" s="20"/>
      <c r="AL44" s="20"/>
      <c r="AM44" s="20"/>
    </row>
    <row r="45" spans="1:39" s="20" customFormat="1" x14ac:dyDescent="0.2">
      <c r="A45" s="643" t="s">
        <v>104</v>
      </c>
      <c r="B45" s="684"/>
      <c r="C45" s="684"/>
      <c r="D45" s="684"/>
      <c r="E45" s="684"/>
      <c r="F45" s="685"/>
      <c r="G45" s="283" t="s">
        <v>352</v>
      </c>
      <c r="H45" s="46"/>
      <c r="I45" s="127">
        <f t="shared" ref="I45:P45" si="18">I40+I10</f>
        <v>0</v>
      </c>
      <c r="J45" s="127">
        <f t="shared" si="18"/>
        <v>0</v>
      </c>
      <c r="K45" s="127">
        <f t="shared" si="18"/>
        <v>0</v>
      </c>
      <c r="L45" s="127">
        <f t="shared" si="18"/>
        <v>0</v>
      </c>
      <c r="M45" s="127">
        <f t="shared" si="18"/>
        <v>0</v>
      </c>
      <c r="N45" s="127">
        <f t="shared" si="18"/>
        <v>0</v>
      </c>
      <c r="O45" s="127">
        <f t="shared" si="18"/>
        <v>0</v>
      </c>
      <c r="P45" s="127">
        <f t="shared" si="18"/>
        <v>0</v>
      </c>
      <c r="Q45" s="49">
        <f t="shared" si="12"/>
        <v>0</v>
      </c>
      <c r="R45" s="49">
        <f t="shared" si="2"/>
        <v>0</v>
      </c>
      <c r="S45" s="127">
        <f>S40+S10</f>
        <v>0</v>
      </c>
      <c r="T45" s="127">
        <f>T40+T10</f>
        <v>0</v>
      </c>
      <c r="U45" s="49">
        <f t="shared" si="13"/>
        <v>0</v>
      </c>
      <c r="V45" s="49">
        <f t="shared" si="4"/>
        <v>0</v>
      </c>
      <c r="W45" s="1"/>
      <c r="X45" s="1"/>
      <c r="Y45" s="1"/>
      <c r="Z45" s="1"/>
      <c r="AA45" s="1"/>
      <c r="AB45" s="1"/>
      <c r="AC45" s="1"/>
      <c r="AD45" s="1"/>
      <c r="AE45" s="1"/>
      <c r="AF45" s="1"/>
      <c r="AG45" s="1"/>
    </row>
    <row r="46" spans="1:39" s="20" customFormat="1" x14ac:dyDescent="0.2">
      <c r="A46" s="328" t="s">
        <v>644</v>
      </c>
      <c r="B46" s="329"/>
      <c r="C46" s="329"/>
      <c r="D46" s="330"/>
      <c r="E46" s="329"/>
      <c r="F46" s="331"/>
      <c r="G46" s="332"/>
      <c r="H46" s="46"/>
      <c r="I46" s="127"/>
      <c r="J46" s="127"/>
      <c r="K46" s="127"/>
      <c r="L46" s="127"/>
      <c r="M46" s="127"/>
      <c r="N46" s="127"/>
      <c r="O46" s="127"/>
      <c r="P46" s="127"/>
      <c r="Q46" s="49"/>
      <c r="R46" s="49"/>
      <c r="S46" s="127"/>
      <c r="T46" s="127"/>
      <c r="U46" s="49"/>
      <c r="V46" s="49"/>
      <c r="W46" s="1"/>
      <c r="X46" s="1"/>
      <c r="Y46" s="1"/>
      <c r="Z46" s="1"/>
      <c r="AA46" s="1"/>
      <c r="AB46" s="1"/>
      <c r="AC46" s="1"/>
      <c r="AD46" s="1"/>
      <c r="AE46" s="1"/>
      <c r="AF46" s="1"/>
      <c r="AG46" s="1"/>
    </row>
    <row r="47" spans="1:39" s="20" customFormat="1" x14ac:dyDescent="0.2">
      <c r="A47" s="333" t="s">
        <v>161</v>
      </c>
      <c r="B47" s="303" t="s">
        <v>68</v>
      </c>
      <c r="C47" s="303"/>
      <c r="D47" s="303"/>
      <c r="E47" s="303"/>
      <c r="F47" s="334"/>
      <c r="G47" s="335" t="s">
        <v>642</v>
      </c>
      <c r="H47" s="46"/>
      <c r="I47" s="125"/>
      <c r="J47" s="125"/>
      <c r="K47" s="125"/>
      <c r="L47" s="125"/>
      <c r="M47" s="125"/>
      <c r="N47" s="125"/>
      <c r="O47" s="125"/>
      <c r="P47" s="125"/>
      <c r="Q47" s="49">
        <f>I47+K47+M47+O47</f>
        <v>0</v>
      </c>
      <c r="R47" s="49">
        <f>J47+L47+N47+P47</f>
        <v>0</v>
      </c>
      <c r="S47" s="125"/>
      <c r="T47" s="125"/>
      <c r="U47" s="49">
        <f>Q47-S47</f>
        <v>0</v>
      </c>
      <c r="V47" s="49">
        <f>R47-T47</f>
        <v>0</v>
      </c>
      <c r="W47" s="1"/>
      <c r="X47" s="1"/>
      <c r="Y47" s="1"/>
      <c r="Z47" s="1"/>
      <c r="AA47" s="1"/>
      <c r="AB47" s="1"/>
      <c r="AC47" s="1"/>
      <c r="AD47" s="1"/>
      <c r="AE47" s="1"/>
      <c r="AF47" s="1"/>
      <c r="AG47" s="1"/>
    </row>
    <row r="48" spans="1:39" s="20" customFormat="1" x14ac:dyDescent="0.2">
      <c r="A48" s="333" t="s">
        <v>164</v>
      </c>
      <c r="B48" s="303" t="s">
        <v>70</v>
      </c>
      <c r="C48" s="303"/>
      <c r="D48" s="303"/>
      <c r="E48" s="303"/>
      <c r="F48" s="334"/>
      <c r="G48" s="335" t="s">
        <v>643</v>
      </c>
      <c r="H48" s="46"/>
      <c r="I48" s="125"/>
      <c r="J48" s="125"/>
      <c r="K48" s="125"/>
      <c r="L48" s="125"/>
      <c r="M48" s="125"/>
      <c r="N48" s="125"/>
      <c r="O48" s="125"/>
      <c r="P48" s="125"/>
      <c r="Q48" s="49">
        <f>I48+K48+M48+O48</f>
        <v>0</v>
      </c>
      <c r="R48" s="49">
        <f>J48+L48+N48+P48</f>
        <v>0</v>
      </c>
      <c r="S48" s="125"/>
      <c r="T48" s="125"/>
      <c r="U48" s="49">
        <f>Q48-S48</f>
        <v>0</v>
      </c>
      <c r="V48" s="49">
        <f>R48-T48</f>
        <v>0</v>
      </c>
      <c r="W48" s="1"/>
      <c r="X48" s="1"/>
      <c r="Y48" s="1"/>
      <c r="Z48" s="1"/>
      <c r="AA48" s="1"/>
      <c r="AB48" s="1"/>
      <c r="AC48" s="1"/>
      <c r="AD48" s="1"/>
      <c r="AE48" s="1"/>
      <c r="AF48" s="1"/>
      <c r="AG48" s="1"/>
    </row>
    <row r="49" spans="1:33" s="17" customFormat="1" x14ac:dyDescent="0.2">
      <c r="A49" s="324" t="s">
        <v>177</v>
      </c>
      <c r="B49" s="225"/>
      <c r="C49" s="303"/>
      <c r="D49" s="303"/>
      <c r="E49" s="303"/>
      <c r="F49" s="303"/>
      <c r="G49" s="280" t="s">
        <v>158</v>
      </c>
      <c r="H49" s="115"/>
      <c r="I49" s="84"/>
      <c r="J49" s="84"/>
      <c r="K49" s="84"/>
      <c r="L49" s="84"/>
      <c r="M49" s="84"/>
      <c r="N49" s="84"/>
      <c r="O49" s="84"/>
      <c r="P49" s="84"/>
      <c r="Q49" s="49"/>
      <c r="R49" s="49"/>
      <c r="S49" s="84"/>
      <c r="T49" s="84"/>
      <c r="U49" s="49"/>
      <c r="V49" s="49"/>
      <c r="W49" s="16"/>
      <c r="X49" s="16"/>
      <c r="Y49" s="16"/>
      <c r="Z49" s="16"/>
      <c r="AA49" s="16"/>
      <c r="AB49" s="16"/>
      <c r="AC49" s="16"/>
      <c r="AD49" s="16"/>
      <c r="AE49" s="16"/>
      <c r="AF49" s="16"/>
      <c r="AG49" s="16"/>
    </row>
    <row r="50" spans="1:33" s="17" customFormat="1" ht="12.75" x14ac:dyDescent="0.2">
      <c r="A50" s="342" t="s">
        <v>54</v>
      </c>
      <c r="B50" s="364" t="s">
        <v>304</v>
      </c>
      <c r="C50" s="303"/>
      <c r="D50" s="303"/>
      <c r="E50" s="303"/>
      <c r="F50" s="303"/>
      <c r="G50" s="283" t="s">
        <v>353</v>
      </c>
      <c r="H50" s="80"/>
      <c r="I50" s="41">
        <f t="shared" ref="I50:P50" si="19">I51+I57</f>
        <v>0</v>
      </c>
      <c r="J50" s="41">
        <f t="shared" si="19"/>
        <v>0</v>
      </c>
      <c r="K50" s="41">
        <f t="shared" si="19"/>
        <v>0</v>
      </c>
      <c r="L50" s="41">
        <f t="shared" si="19"/>
        <v>0</v>
      </c>
      <c r="M50" s="41">
        <f t="shared" si="19"/>
        <v>0</v>
      </c>
      <c r="N50" s="41">
        <f t="shared" si="19"/>
        <v>0</v>
      </c>
      <c r="O50" s="41">
        <f t="shared" si="19"/>
        <v>0</v>
      </c>
      <c r="P50" s="41">
        <f t="shared" si="19"/>
        <v>0</v>
      </c>
      <c r="Q50" s="49">
        <f t="shared" ref="Q50:Q81" si="20">I50+K50+M50+O50</f>
        <v>0</v>
      </c>
      <c r="R50" s="49">
        <f t="shared" ref="R50:R81" si="21">J50+L50+N50+P50</f>
        <v>0</v>
      </c>
      <c r="S50" s="41">
        <f>S51+S57</f>
        <v>0</v>
      </c>
      <c r="T50" s="41">
        <f>T51+T57</f>
        <v>0</v>
      </c>
      <c r="U50" s="49">
        <f t="shared" ref="U50:U81" si="22">Q50-S50</f>
        <v>0</v>
      </c>
      <c r="V50" s="49">
        <f t="shared" ref="V50:V81" si="23">R50-T50</f>
        <v>0</v>
      </c>
      <c r="W50" s="16"/>
      <c r="X50" s="16"/>
      <c r="Y50" s="16"/>
      <c r="Z50" s="16"/>
      <c r="AA50" s="16"/>
      <c r="AB50" s="16"/>
      <c r="AC50" s="16"/>
      <c r="AD50" s="16"/>
      <c r="AE50" s="16"/>
      <c r="AF50" s="16"/>
      <c r="AG50" s="16"/>
    </row>
    <row r="51" spans="1:33" s="17" customFormat="1" ht="12.75" x14ac:dyDescent="0.2">
      <c r="A51" s="363"/>
      <c r="B51" s="225" t="s">
        <v>59</v>
      </c>
      <c r="C51" s="303" t="s">
        <v>305</v>
      </c>
      <c r="D51" s="303"/>
      <c r="E51" s="303"/>
      <c r="F51" s="303"/>
      <c r="G51" s="283" t="s">
        <v>354</v>
      </c>
      <c r="H51" s="80"/>
      <c r="I51" s="41">
        <f t="shared" ref="I51:P51" si="24">I52+I53+I54+I55+I56</f>
        <v>0</v>
      </c>
      <c r="J51" s="41">
        <f t="shared" si="24"/>
        <v>0</v>
      </c>
      <c r="K51" s="41">
        <f t="shared" si="24"/>
        <v>0</v>
      </c>
      <c r="L51" s="41">
        <f t="shared" si="24"/>
        <v>0</v>
      </c>
      <c r="M51" s="41">
        <f t="shared" si="24"/>
        <v>0</v>
      </c>
      <c r="N51" s="41">
        <f t="shared" si="24"/>
        <v>0</v>
      </c>
      <c r="O51" s="41">
        <f t="shared" si="24"/>
        <v>0</v>
      </c>
      <c r="P51" s="41">
        <f t="shared" si="24"/>
        <v>0</v>
      </c>
      <c r="Q51" s="49">
        <f t="shared" si="20"/>
        <v>0</v>
      </c>
      <c r="R51" s="49">
        <f t="shared" si="21"/>
        <v>0</v>
      </c>
      <c r="S51" s="41">
        <f>S52+S53+S54+S55+S56</f>
        <v>0</v>
      </c>
      <c r="T51" s="41">
        <f>T52+T53+T54+T55+T56</f>
        <v>0</v>
      </c>
      <c r="U51" s="49">
        <f t="shared" si="22"/>
        <v>0</v>
      </c>
      <c r="V51" s="49">
        <f t="shared" si="23"/>
        <v>0</v>
      </c>
      <c r="W51" s="16"/>
      <c r="X51" s="16"/>
      <c r="Y51" s="16"/>
      <c r="Z51" s="16"/>
      <c r="AA51" s="16"/>
      <c r="AB51" s="16"/>
      <c r="AC51" s="16"/>
      <c r="AD51" s="16"/>
      <c r="AE51" s="16"/>
      <c r="AF51" s="16"/>
      <c r="AG51" s="16"/>
    </row>
    <row r="52" spans="1:33" s="17" customFormat="1" ht="12.75" x14ac:dyDescent="0.2">
      <c r="A52" s="363"/>
      <c r="B52" s="225"/>
      <c r="C52" s="303" t="s">
        <v>306</v>
      </c>
      <c r="D52" s="303" t="s">
        <v>307</v>
      </c>
      <c r="E52" s="303"/>
      <c r="F52" s="303"/>
      <c r="G52" s="283" t="s">
        <v>355</v>
      </c>
      <c r="H52" s="80"/>
      <c r="I52" s="44"/>
      <c r="J52" s="44"/>
      <c r="K52" s="44"/>
      <c r="L52" s="44"/>
      <c r="M52" s="44"/>
      <c r="N52" s="44"/>
      <c r="O52" s="44"/>
      <c r="P52" s="44"/>
      <c r="Q52" s="49">
        <f t="shared" si="20"/>
        <v>0</v>
      </c>
      <c r="R52" s="49">
        <f t="shared" si="21"/>
        <v>0</v>
      </c>
      <c r="S52" s="44"/>
      <c r="T52" s="44"/>
      <c r="U52" s="49">
        <f t="shared" si="22"/>
        <v>0</v>
      </c>
      <c r="V52" s="49">
        <f t="shared" si="23"/>
        <v>0</v>
      </c>
      <c r="W52" s="16"/>
      <c r="X52" s="16"/>
      <c r="Y52" s="16"/>
      <c r="Z52" s="16"/>
      <c r="AA52" s="16"/>
      <c r="AB52" s="16"/>
      <c r="AC52" s="16"/>
      <c r="AD52" s="16"/>
      <c r="AE52" s="16"/>
      <c r="AF52" s="16"/>
      <c r="AG52" s="16"/>
    </row>
    <row r="53" spans="1:33" s="17" customFormat="1" ht="12.75" x14ac:dyDescent="0.2">
      <c r="A53" s="363"/>
      <c r="B53" s="225"/>
      <c r="C53" s="303" t="s">
        <v>308</v>
      </c>
      <c r="D53" s="303" t="s">
        <v>309</v>
      </c>
      <c r="E53" s="303"/>
      <c r="F53" s="303"/>
      <c r="G53" s="283" t="s">
        <v>356</v>
      </c>
      <c r="H53" s="80"/>
      <c r="I53" s="44"/>
      <c r="J53" s="44"/>
      <c r="K53" s="44"/>
      <c r="L53" s="44"/>
      <c r="M53" s="44"/>
      <c r="N53" s="44"/>
      <c r="O53" s="44"/>
      <c r="P53" s="44"/>
      <c r="Q53" s="49">
        <f t="shared" si="20"/>
        <v>0</v>
      </c>
      <c r="R53" s="49">
        <f t="shared" si="21"/>
        <v>0</v>
      </c>
      <c r="S53" s="44"/>
      <c r="T53" s="44"/>
      <c r="U53" s="49">
        <f t="shared" si="22"/>
        <v>0</v>
      </c>
      <c r="V53" s="49">
        <f t="shared" si="23"/>
        <v>0</v>
      </c>
      <c r="W53" s="16"/>
      <c r="X53" s="16"/>
      <c r="Y53" s="16"/>
      <c r="Z53" s="16"/>
      <c r="AA53" s="16"/>
      <c r="AB53" s="16"/>
      <c r="AC53" s="16"/>
      <c r="AD53" s="16"/>
      <c r="AE53" s="16"/>
      <c r="AF53" s="16"/>
      <c r="AG53" s="16"/>
    </row>
    <row r="54" spans="1:33" s="17" customFormat="1" ht="12.75" x14ac:dyDescent="0.2">
      <c r="A54" s="363"/>
      <c r="B54" s="225"/>
      <c r="C54" s="347" t="s">
        <v>310</v>
      </c>
      <c r="D54" s="354" t="s">
        <v>624</v>
      </c>
      <c r="E54" s="355"/>
      <c r="F54" s="347"/>
      <c r="G54" s="338" t="s">
        <v>625</v>
      </c>
      <c r="H54" s="80"/>
      <c r="I54" s="44"/>
      <c r="J54" s="44"/>
      <c r="K54" s="44"/>
      <c r="L54" s="44"/>
      <c r="M54" s="44"/>
      <c r="N54" s="44"/>
      <c r="O54" s="44"/>
      <c r="P54" s="44"/>
      <c r="Q54" s="49">
        <f>I54+K54+M54+O54</f>
        <v>0</v>
      </c>
      <c r="R54" s="49">
        <f>J54+L54+N54+P54</f>
        <v>0</v>
      </c>
      <c r="S54" s="44"/>
      <c r="T54" s="44"/>
      <c r="U54" s="49">
        <f>Q54-S54</f>
        <v>0</v>
      </c>
      <c r="V54" s="49">
        <f>R54-T54</f>
        <v>0</v>
      </c>
      <c r="W54" s="16"/>
      <c r="X54" s="16"/>
      <c r="Y54" s="16"/>
      <c r="Z54" s="16"/>
      <c r="AA54" s="16"/>
      <c r="AB54" s="16"/>
      <c r="AC54" s="16"/>
      <c r="AD54" s="16"/>
      <c r="AE54" s="16"/>
      <c r="AF54" s="16"/>
      <c r="AG54" s="16"/>
    </row>
    <row r="55" spans="1:33" s="17" customFormat="1" ht="12.75" x14ac:dyDescent="0.2">
      <c r="A55" s="363"/>
      <c r="B55" s="225"/>
      <c r="C55" s="356" t="s">
        <v>626</v>
      </c>
      <c r="D55" s="357" t="s">
        <v>681</v>
      </c>
      <c r="E55" s="357"/>
      <c r="F55" s="347"/>
      <c r="G55" s="338" t="s">
        <v>682</v>
      </c>
      <c r="H55" s="80"/>
      <c r="I55" s="44"/>
      <c r="J55" s="44"/>
      <c r="K55" s="44"/>
      <c r="L55" s="44"/>
      <c r="M55" s="44"/>
      <c r="N55" s="44"/>
      <c r="O55" s="44"/>
      <c r="P55" s="44"/>
      <c r="Q55" s="49">
        <f>I55+K55+M55+O55</f>
        <v>0</v>
      </c>
      <c r="R55" s="49">
        <f>J55+L55+N55+P55</f>
        <v>0</v>
      </c>
      <c r="S55" s="44"/>
      <c r="T55" s="44"/>
      <c r="U55" s="49">
        <f>Q55-S55</f>
        <v>0</v>
      </c>
      <c r="V55" s="49">
        <f>R55-T55</f>
        <v>0</v>
      </c>
      <c r="W55" s="16"/>
      <c r="X55" s="16"/>
      <c r="Y55" s="16"/>
      <c r="Z55" s="16"/>
      <c r="AA55" s="16"/>
      <c r="AB55" s="16"/>
      <c r="AC55" s="16"/>
      <c r="AD55" s="16"/>
      <c r="AE55" s="16"/>
      <c r="AF55" s="16"/>
      <c r="AG55" s="16"/>
    </row>
    <row r="56" spans="1:33" s="17" customFormat="1" ht="12.75" x14ac:dyDescent="0.2">
      <c r="A56" s="363"/>
      <c r="B56" s="225"/>
      <c r="C56" s="303" t="s">
        <v>680</v>
      </c>
      <c r="D56" s="303" t="s">
        <v>311</v>
      </c>
      <c r="E56" s="303"/>
      <c r="F56" s="303"/>
      <c r="G56" s="283" t="s">
        <v>357</v>
      </c>
      <c r="H56" s="80"/>
      <c r="I56" s="44"/>
      <c r="J56" s="44"/>
      <c r="K56" s="44"/>
      <c r="L56" s="44"/>
      <c r="M56" s="44"/>
      <c r="N56" s="44"/>
      <c r="O56" s="44"/>
      <c r="P56" s="44"/>
      <c r="Q56" s="49">
        <f t="shared" si="20"/>
        <v>0</v>
      </c>
      <c r="R56" s="49">
        <f t="shared" si="21"/>
        <v>0</v>
      </c>
      <c r="S56" s="44"/>
      <c r="T56" s="44"/>
      <c r="U56" s="49">
        <f t="shared" si="22"/>
        <v>0</v>
      </c>
      <c r="V56" s="49">
        <f t="shared" si="23"/>
        <v>0</v>
      </c>
      <c r="W56" s="16"/>
      <c r="X56" s="16"/>
      <c r="Y56" s="16"/>
      <c r="Z56" s="16"/>
      <c r="AA56" s="16"/>
      <c r="AB56" s="16"/>
      <c r="AC56" s="16"/>
      <c r="AD56" s="16"/>
      <c r="AE56" s="16"/>
      <c r="AF56" s="16"/>
      <c r="AG56" s="16"/>
    </row>
    <row r="57" spans="1:33" s="17" customFormat="1" ht="12.75" x14ac:dyDescent="0.2">
      <c r="A57" s="363"/>
      <c r="B57" s="225" t="s">
        <v>61</v>
      </c>
      <c r="C57" s="303" t="s">
        <v>312</v>
      </c>
      <c r="D57" s="303"/>
      <c r="E57" s="303"/>
      <c r="F57" s="303"/>
      <c r="G57" s="283" t="s">
        <v>358</v>
      </c>
      <c r="H57" s="80"/>
      <c r="I57" s="44"/>
      <c r="J57" s="44"/>
      <c r="K57" s="44"/>
      <c r="L57" s="44"/>
      <c r="M57" s="44"/>
      <c r="N57" s="44"/>
      <c r="O57" s="44"/>
      <c r="P57" s="44"/>
      <c r="Q57" s="49">
        <f t="shared" si="20"/>
        <v>0</v>
      </c>
      <c r="R57" s="49">
        <f t="shared" si="21"/>
        <v>0</v>
      </c>
      <c r="S57" s="44"/>
      <c r="T57" s="44"/>
      <c r="U57" s="49">
        <f t="shared" si="22"/>
        <v>0</v>
      </c>
      <c r="V57" s="49">
        <f t="shared" si="23"/>
        <v>0</v>
      </c>
      <c r="W57" s="16"/>
      <c r="X57" s="16"/>
      <c r="Y57" s="16"/>
      <c r="Z57" s="16"/>
      <c r="AA57" s="16"/>
      <c r="AB57" s="16"/>
      <c r="AC57" s="16"/>
      <c r="AD57" s="16"/>
      <c r="AE57" s="16"/>
      <c r="AF57" s="16"/>
      <c r="AG57" s="16"/>
    </row>
    <row r="58" spans="1:33" s="17" customFormat="1" ht="12.75" x14ac:dyDescent="0.2">
      <c r="A58" s="363"/>
      <c r="B58" s="225" t="s">
        <v>71</v>
      </c>
      <c r="C58" s="303" t="s">
        <v>683</v>
      </c>
      <c r="D58" s="303"/>
      <c r="E58" s="303"/>
      <c r="F58" s="303"/>
      <c r="G58" s="283" t="s">
        <v>684</v>
      </c>
      <c r="H58" s="80"/>
      <c r="I58" s="44"/>
      <c r="J58" s="44"/>
      <c r="K58" s="44"/>
      <c r="L58" s="44"/>
      <c r="M58" s="44"/>
      <c r="N58" s="44"/>
      <c r="O58" s="44"/>
      <c r="P58" s="44"/>
      <c r="Q58" s="49">
        <f t="shared" si="20"/>
        <v>0</v>
      </c>
      <c r="R58" s="49">
        <f t="shared" si="21"/>
        <v>0</v>
      </c>
      <c r="S58" s="44"/>
      <c r="T58" s="44"/>
      <c r="U58" s="49">
        <f t="shared" si="22"/>
        <v>0</v>
      </c>
      <c r="V58" s="49">
        <f t="shared" si="23"/>
        <v>0</v>
      </c>
      <c r="W58" s="16"/>
      <c r="X58" s="16"/>
      <c r="Y58" s="16"/>
      <c r="Z58" s="16"/>
      <c r="AA58" s="16"/>
      <c r="AB58" s="16"/>
      <c r="AC58" s="16"/>
      <c r="AD58" s="16"/>
      <c r="AE58" s="16"/>
      <c r="AF58" s="16"/>
      <c r="AG58" s="16"/>
    </row>
    <row r="59" spans="1:33" s="17" customFormat="1" ht="12.75" x14ac:dyDescent="0.2">
      <c r="A59" s="342" t="s">
        <v>55</v>
      </c>
      <c r="B59" s="225" t="s">
        <v>313</v>
      </c>
      <c r="C59" s="303"/>
      <c r="D59" s="303"/>
      <c r="E59" s="303"/>
      <c r="F59" s="303"/>
      <c r="G59" s="283" t="s">
        <v>359</v>
      </c>
      <c r="H59" s="80"/>
      <c r="I59" s="41">
        <f t="shared" ref="I59:P59" si="25">I60+I65</f>
        <v>0</v>
      </c>
      <c r="J59" s="41">
        <f t="shared" si="25"/>
        <v>0</v>
      </c>
      <c r="K59" s="41">
        <f t="shared" si="25"/>
        <v>0</v>
      </c>
      <c r="L59" s="41">
        <f t="shared" si="25"/>
        <v>0</v>
      </c>
      <c r="M59" s="41">
        <f t="shared" si="25"/>
        <v>0</v>
      </c>
      <c r="N59" s="41">
        <f t="shared" si="25"/>
        <v>0</v>
      </c>
      <c r="O59" s="41">
        <f t="shared" si="25"/>
        <v>0</v>
      </c>
      <c r="P59" s="41">
        <f t="shared" si="25"/>
        <v>0</v>
      </c>
      <c r="Q59" s="49">
        <f t="shared" si="20"/>
        <v>0</v>
      </c>
      <c r="R59" s="49">
        <f t="shared" si="21"/>
        <v>0</v>
      </c>
      <c r="S59" s="41">
        <f>S60+S65</f>
        <v>0</v>
      </c>
      <c r="T59" s="41">
        <f>T60+T65</f>
        <v>0</v>
      </c>
      <c r="U59" s="49">
        <f t="shared" si="22"/>
        <v>0</v>
      </c>
      <c r="V59" s="49">
        <f t="shared" si="23"/>
        <v>0</v>
      </c>
      <c r="W59" s="16"/>
      <c r="X59" s="16"/>
      <c r="Y59" s="16"/>
      <c r="Z59" s="16"/>
      <c r="AA59" s="16"/>
      <c r="AB59" s="16"/>
      <c r="AC59" s="16"/>
      <c r="AD59" s="16"/>
      <c r="AE59" s="16"/>
      <c r="AF59" s="16"/>
      <c r="AG59" s="16"/>
    </row>
    <row r="60" spans="1:33" s="17" customFormat="1" ht="12.75" x14ac:dyDescent="0.2">
      <c r="A60" s="363"/>
      <c r="B60" s="225" t="s">
        <v>59</v>
      </c>
      <c r="C60" s="303" t="s">
        <v>305</v>
      </c>
      <c r="D60" s="303"/>
      <c r="E60" s="303"/>
      <c r="F60" s="303"/>
      <c r="G60" s="283" t="s">
        <v>360</v>
      </c>
      <c r="H60" s="80"/>
      <c r="I60" s="41">
        <f t="shared" ref="I60:P60" si="26">I61+I62+I63+I64</f>
        <v>0</v>
      </c>
      <c r="J60" s="41">
        <f t="shared" si="26"/>
        <v>0</v>
      </c>
      <c r="K60" s="41">
        <f t="shared" si="26"/>
        <v>0</v>
      </c>
      <c r="L60" s="41">
        <f t="shared" si="26"/>
        <v>0</v>
      </c>
      <c r="M60" s="41">
        <f t="shared" si="26"/>
        <v>0</v>
      </c>
      <c r="N60" s="41">
        <f t="shared" si="26"/>
        <v>0</v>
      </c>
      <c r="O60" s="41">
        <f t="shared" si="26"/>
        <v>0</v>
      </c>
      <c r="P60" s="41">
        <f t="shared" si="26"/>
        <v>0</v>
      </c>
      <c r="Q60" s="49">
        <f t="shared" si="20"/>
        <v>0</v>
      </c>
      <c r="R60" s="49">
        <f t="shared" si="21"/>
        <v>0</v>
      </c>
      <c r="S60" s="41">
        <f>S61+S62+S63+S64</f>
        <v>0</v>
      </c>
      <c r="T60" s="41">
        <f>T61+T62+T63+T64</f>
        <v>0</v>
      </c>
      <c r="U60" s="49">
        <f t="shared" si="22"/>
        <v>0</v>
      </c>
      <c r="V60" s="49">
        <f t="shared" si="23"/>
        <v>0</v>
      </c>
      <c r="W60" s="16"/>
      <c r="X60" s="16"/>
      <c r="Y60" s="16"/>
      <c r="Z60" s="16"/>
      <c r="AA60" s="16"/>
      <c r="AB60" s="16"/>
      <c r="AC60" s="16"/>
      <c r="AD60" s="16"/>
      <c r="AE60" s="16"/>
      <c r="AF60" s="16"/>
      <c r="AG60" s="16"/>
    </row>
    <row r="61" spans="1:33" s="17" customFormat="1" ht="12.75" x14ac:dyDescent="0.2">
      <c r="A61" s="363"/>
      <c r="B61" s="225"/>
      <c r="C61" s="303" t="s">
        <v>306</v>
      </c>
      <c r="D61" s="303" t="s">
        <v>307</v>
      </c>
      <c r="E61" s="303"/>
      <c r="F61" s="303"/>
      <c r="G61" s="283" t="s">
        <v>361</v>
      </c>
      <c r="H61" s="80"/>
      <c r="I61" s="44"/>
      <c r="J61" s="44"/>
      <c r="K61" s="44"/>
      <c r="L61" s="44"/>
      <c r="M61" s="44"/>
      <c r="N61" s="44"/>
      <c r="O61" s="44"/>
      <c r="P61" s="44"/>
      <c r="Q61" s="49">
        <f t="shared" si="20"/>
        <v>0</v>
      </c>
      <c r="R61" s="49">
        <f t="shared" si="21"/>
        <v>0</v>
      </c>
      <c r="S61" s="44"/>
      <c r="T61" s="44"/>
      <c r="U61" s="49">
        <f t="shared" si="22"/>
        <v>0</v>
      </c>
      <c r="V61" s="49">
        <f t="shared" si="23"/>
        <v>0</v>
      </c>
      <c r="W61" s="16"/>
      <c r="X61" s="16"/>
      <c r="Y61" s="16"/>
      <c r="Z61" s="16"/>
      <c r="AA61" s="16"/>
      <c r="AB61" s="16"/>
      <c r="AC61" s="16"/>
      <c r="AD61" s="16"/>
      <c r="AE61" s="16"/>
      <c r="AF61" s="16"/>
      <c r="AG61" s="16"/>
    </row>
    <row r="62" spans="1:33" s="17" customFormat="1" ht="12.75" x14ac:dyDescent="0.2">
      <c r="A62" s="363"/>
      <c r="B62" s="225"/>
      <c r="C62" s="303" t="s">
        <v>308</v>
      </c>
      <c r="D62" s="303" t="s">
        <v>309</v>
      </c>
      <c r="E62" s="303"/>
      <c r="F62" s="303"/>
      <c r="G62" s="283" t="s">
        <v>362</v>
      </c>
      <c r="H62" s="80"/>
      <c r="I62" s="44"/>
      <c r="J62" s="44"/>
      <c r="K62" s="44"/>
      <c r="L62" s="44"/>
      <c r="M62" s="44"/>
      <c r="N62" s="44"/>
      <c r="O62" s="44"/>
      <c r="P62" s="44"/>
      <c r="Q62" s="49">
        <f t="shared" si="20"/>
        <v>0</v>
      </c>
      <c r="R62" s="49">
        <f t="shared" si="21"/>
        <v>0</v>
      </c>
      <c r="S62" s="44"/>
      <c r="T62" s="44"/>
      <c r="U62" s="49">
        <f t="shared" si="22"/>
        <v>0</v>
      </c>
      <c r="V62" s="49">
        <f t="shared" si="23"/>
        <v>0</v>
      </c>
      <c r="W62" s="16"/>
      <c r="X62" s="16"/>
      <c r="Y62" s="16"/>
      <c r="Z62" s="16"/>
      <c r="AA62" s="16"/>
      <c r="AB62" s="16"/>
      <c r="AC62" s="16"/>
      <c r="AD62" s="16"/>
      <c r="AE62" s="16"/>
      <c r="AF62" s="16"/>
      <c r="AG62" s="16"/>
    </row>
    <row r="63" spans="1:33" s="17" customFormat="1" ht="12.75" x14ac:dyDescent="0.2">
      <c r="A63" s="363"/>
      <c r="B63" s="225"/>
      <c r="C63" s="357" t="s">
        <v>310</v>
      </c>
      <c r="D63" s="357" t="s">
        <v>624</v>
      </c>
      <c r="E63" s="357"/>
      <c r="F63" s="347"/>
      <c r="G63" s="338" t="s">
        <v>627</v>
      </c>
      <c r="H63" s="80"/>
      <c r="I63" s="44"/>
      <c r="J63" s="44"/>
      <c r="K63" s="44"/>
      <c r="L63" s="44"/>
      <c r="M63" s="44"/>
      <c r="N63" s="44"/>
      <c r="O63" s="44"/>
      <c r="P63" s="44"/>
      <c r="Q63" s="49">
        <f>I63+K63+M63+O63</f>
        <v>0</v>
      </c>
      <c r="R63" s="49">
        <f>J63+L63+N63+P63</f>
        <v>0</v>
      </c>
      <c r="S63" s="44"/>
      <c r="T63" s="44"/>
      <c r="U63" s="49">
        <f>Q63-S63</f>
        <v>0</v>
      </c>
      <c r="V63" s="49">
        <f>R63-T63</f>
        <v>0</v>
      </c>
      <c r="W63" s="16"/>
      <c r="X63" s="16"/>
      <c r="Y63" s="16"/>
      <c r="Z63" s="16"/>
      <c r="AA63" s="16"/>
      <c r="AB63" s="16"/>
      <c r="AC63" s="16"/>
      <c r="AD63" s="16"/>
      <c r="AE63" s="16"/>
      <c r="AF63" s="16"/>
      <c r="AG63" s="16"/>
    </row>
    <row r="64" spans="1:33" s="17" customFormat="1" ht="12.75" x14ac:dyDescent="0.2">
      <c r="A64" s="363"/>
      <c r="B64" s="225"/>
      <c r="C64" s="303" t="s">
        <v>626</v>
      </c>
      <c r="D64" s="303" t="s">
        <v>311</v>
      </c>
      <c r="E64" s="303"/>
      <c r="F64" s="303"/>
      <c r="G64" s="283" t="s">
        <v>363</v>
      </c>
      <c r="H64" s="80"/>
      <c r="I64" s="44"/>
      <c r="J64" s="44"/>
      <c r="K64" s="44"/>
      <c r="L64" s="44"/>
      <c r="M64" s="44"/>
      <c r="N64" s="44"/>
      <c r="O64" s="44"/>
      <c r="P64" s="44"/>
      <c r="Q64" s="49">
        <f t="shared" si="20"/>
        <v>0</v>
      </c>
      <c r="R64" s="49">
        <f t="shared" si="21"/>
        <v>0</v>
      </c>
      <c r="S64" s="44"/>
      <c r="T64" s="44"/>
      <c r="U64" s="49">
        <f t="shared" si="22"/>
        <v>0</v>
      </c>
      <c r="V64" s="49">
        <f t="shared" si="23"/>
        <v>0</v>
      </c>
      <c r="W64" s="16"/>
      <c r="X64" s="16"/>
      <c r="Y64" s="16"/>
      <c r="Z64" s="16"/>
      <c r="AA64" s="16"/>
      <c r="AB64" s="16"/>
      <c r="AC64" s="16"/>
      <c r="AD64" s="16"/>
      <c r="AE64" s="16"/>
      <c r="AF64" s="16"/>
      <c r="AG64" s="16"/>
    </row>
    <row r="65" spans="1:33" s="17" customFormat="1" ht="12.75" x14ac:dyDescent="0.2">
      <c r="A65" s="363"/>
      <c r="B65" s="225" t="s">
        <v>61</v>
      </c>
      <c r="C65" s="303" t="s">
        <v>312</v>
      </c>
      <c r="D65" s="303"/>
      <c r="E65" s="303"/>
      <c r="F65" s="303"/>
      <c r="G65" s="283" t="s">
        <v>364</v>
      </c>
      <c r="H65" s="80"/>
      <c r="I65" s="44"/>
      <c r="J65" s="44"/>
      <c r="K65" s="44"/>
      <c r="L65" s="44"/>
      <c r="M65" s="44"/>
      <c r="N65" s="44"/>
      <c r="O65" s="44"/>
      <c r="P65" s="44"/>
      <c r="Q65" s="49">
        <f t="shared" si="20"/>
        <v>0</v>
      </c>
      <c r="R65" s="49">
        <f t="shared" si="21"/>
        <v>0</v>
      </c>
      <c r="S65" s="44"/>
      <c r="T65" s="44"/>
      <c r="U65" s="49">
        <f t="shared" si="22"/>
        <v>0</v>
      </c>
      <c r="V65" s="49">
        <f t="shared" si="23"/>
        <v>0</v>
      </c>
      <c r="W65" s="16"/>
      <c r="X65" s="16"/>
      <c r="Y65" s="16"/>
      <c r="Z65" s="16"/>
      <c r="AA65" s="16"/>
      <c r="AB65" s="16"/>
      <c r="AC65" s="16"/>
      <c r="AD65" s="16"/>
      <c r="AE65" s="16"/>
      <c r="AF65" s="16"/>
      <c r="AG65" s="16"/>
    </row>
    <row r="66" spans="1:33" s="17" customFormat="1" ht="12.75" x14ac:dyDescent="0.2">
      <c r="A66" s="342" t="s">
        <v>65</v>
      </c>
      <c r="B66" s="225" t="s">
        <v>314</v>
      </c>
      <c r="C66" s="303"/>
      <c r="D66" s="303"/>
      <c r="E66" s="303"/>
      <c r="F66" s="303"/>
      <c r="G66" s="283" t="s">
        <v>365</v>
      </c>
      <c r="H66" s="80"/>
      <c r="I66" s="41">
        <f>I67+I72+I73</f>
        <v>0</v>
      </c>
      <c r="J66" s="41">
        <f t="shared" ref="J66:P66" si="27">J67+J72+J73</f>
        <v>0</v>
      </c>
      <c r="K66" s="41">
        <f t="shared" si="27"/>
        <v>0</v>
      </c>
      <c r="L66" s="41">
        <f t="shared" si="27"/>
        <v>0</v>
      </c>
      <c r="M66" s="41">
        <f t="shared" si="27"/>
        <v>0</v>
      </c>
      <c r="N66" s="41">
        <f t="shared" si="27"/>
        <v>0</v>
      </c>
      <c r="O66" s="41">
        <f t="shared" si="27"/>
        <v>0</v>
      </c>
      <c r="P66" s="41">
        <f t="shared" si="27"/>
        <v>0</v>
      </c>
      <c r="Q66" s="49">
        <f t="shared" si="20"/>
        <v>0</v>
      </c>
      <c r="R66" s="49">
        <f t="shared" si="21"/>
        <v>0</v>
      </c>
      <c r="S66" s="41">
        <f>S67+S72+S73</f>
        <v>0</v>
      </c>
      <c r="T66" s="41">
        <f>T67+T72+T73</f>
        <v>0</v>
      </c>
      <c r="U66" s="49">
        <f t="shared" si="22"/>
        <v>0</v>
      </c>
      <c r="V66" s="49">
        <f t="shared" si="23"/>
        <v>0</v>
      </c>
      <c r="W66" s="16"/>
      <c r="X66" s="16"/>
      <c r="Y66" s="16"/>
      <c r="Z66" s="16"/>
      <c r="AA66" s="16"/>
      <c r="AB66" s="16"/>
      <c r="AC66" s="16"/>
      <c r="AD66" s="16"/>
      <c r="AE66" s="16"/>
      <c r="AF66" s="16"/>
      <c r="AG66" s="16"/>
    </row>
    <row r="67" spans="1:33" s="17" customFormat="1" ht="12.75" x14ac:dyDescent="0.2">
      <c r="A67" s="342"/>
      <c r="B67" s="225" t="s">
        <v>59</v>
      </c>
      <c r="C67" s="303" t="s">
        <v>315</v>
      </c>
      <c r="D67" s="303"/>
      <c r="E67" s="303"/>
      <c r="F67" s="303"/>
      <c r="G67" s="283" t="s">
        <v>366</v>
      </c>
      <c r="H67" s="80"/>
      <c r="I67" s="41">
        <f t="shared" ref="I67:P67" si="28">I68+I69</f>
        <v>0</v>
      </c>
      <c r="J67" s="41">
        <f t="shared" si="28"/>
        <v>0</v>
      </c>
      <c r="K67" s="41">
        <f t="shared" si="28"/>
        <v>0</v>
      </c>
      <c r="L67" s="41">
        <f t="shared" si="28"/>
        <v>0</v>
      </c>
      <c r="M67" s="41">
        <f t="shared" si="28"/>
        <v>0</v>
      </c>
      <c r="N67" s="41">
        <f t="shared" si="28"/>
        <v>0</v>
      </c>
      <c r="O67" s="41">
        <f t="shared" si="28"/>
        <v>0</v>
      </c>
      <c r="P67" s="41">
        <f t="shared" si="28"/>
        <v>0</v>
      </c>
      <c r="Q67" s="49">
        <f t="shared" si="20"/>
        <v>0</v>
      </c>
      <c r="R67" s="49">
        <f t="shared" si="21"/>
        <v>0</v>
      </c>
      <c r="S67" s="41">
        <f>S68+S69</f>
        <v>0</v>
      </c>
      <c r="T67" s="41">
        <f>T68+T69</f>
        <v>0</v>
      </c>
      <c r="U67" s="49">
        <f t="shared" si="22"/>
        <v>0</v>
      </c>
      <c r="V67" s="49">
        <f t="shared" si="23"/>
        <v>0</v>
      </c>
      <c r="W67" s="16"/>
      <c r="X67" s="16"/>
      <c r="Y67" s="16"/>
      <c r="Z67" s="16"/>
      <c r="AA67" s="16"/>
      <c r="AB67" s="16"/>
      <c r="AC67" s="16"/>
      <c r="AD67" s="16"/>
      <c r="AE67" s="16"/>
      <c r="AF67" s="16"/>
      <c r="AG67" s="16"/>
    </row>
    <row r="68" spans="1:33" s="17" customFormat="1" ht="12.75" x14ac:dyDescent="0.2">
      <c r="A68" s="342"/>
      <c r="B68" s="225"/>
      <c r="C68" s="303" t="s">
        <v>306</v>
      </c>
      <c r="D68" s="303" t="s">
        <v>316</v>
      </c>
      <c r="E68" s="303"/>
      <c r="F68" s="303"/>
      <c r="G68" s="283" t="s">
        <v>367</v>
      </c>
      <c r="H68" s="80"/>
      <c r="I68" s="44"/>
      <c r="J68" s="44"/>
      <c r="K68" s="44"/>
      <c r="L68" s="44"/>
      <c r="M68" s="44"/>
      <c r="N68" s="44"/>
      <c r="O68" s="44"/>
      <c r="P68" s="44"/>
      <c r="Q68" s="49">
        <f t="shared" si="20"/>
        <v>0</v>
      </c>
      <c r="R68" s="49">
        <f t="shared" si="21"/>
        <v>0</v>
      </c>
      <c r="S68" s="44"/>
      <c r="T68" s="44"/>
      <c r="U68" s="49">
        <f t="shared" si="22"/>
        <v>0</v>
      </c>
      <c r="V68" s="49">
        <f t="shared" si="23"/>
        <v>0</v>
      </c>
      <c r="W68" s="16"/>
      <c r="X68" s="16"/>
      <c r="Y68" s="16"/>
      <c r="Z68" s="16"/>
      <c r="AA68" s="16"/>
      <c r="AB68" s="16"/>
      <c r="AC68" s="16"/>
      <c r="AD68" s="16"/>
      <c r="AE68" s="16"/>
      <c r="AF68" s="16"/>
      <c r="AG68" s="16"/>
    </row>
    <row r="69" spans="1:33" s="17" customFormat="1" ht="12.75" x14ac:dyDescent="0.2">
      <c r="A69" s="342"/>
      <c r="B69" s="225"/>
      <c r="C69" s="303" t="s">
        <v>308</v>
      </c>
      <c r="D69" s="303" t="s">
        <v>317</v>
      </c>
      <c r="E69" s="303"/>
      <c r="F69" s="303"/>
      <c r="G69" s="283" t="s">
        <v>368</v>
      </c>
      <c r="H69" s="80"/>
      <c r="I69" s="41">
        <f t="shared" ref="I69:P69" si="29">I70+I71</f>
        <v>0</v>
      </c>
      <c r="J69" s="41">
        <f t="shared" si="29"/>
        <v>0</v>
      </c>
      <c r="K69" s="41">
        <f t="shared" si="29"/>
        <v>0</v>
      </c>
      <c r="L69" s="41">
        <f t="shared" si="29"/>
        <v>0</v>
      </c>
      <c r="M69" s="41">
        <f t="shared" si="29"/>
        <v>0</v>
      </c>
      <c r="N69" s="41">
        <f t="shared" si="29"/>
        <v>0</v>
      </c>
      <c r="O69" s="41">
        <f t="shared" si="29"/>
        <v>0</v>
      </c>
      <c r="P69" s="41">
        <f t="shared" si="29"/>
        <v>0</v>
      </c>
      <c r="Q69" s="49">
        <f t="shared" si="20"/>
        <v>0</v>
      </c>
      <c r="R69" s="49">
        <f t="shared" si="21"/>
        <v>0</v>
      </c>
      <c r="S69" s="41">
        <f>S70+S71</f>
        <v>0</v>
      </c>
      <c r="T69" s="41">
        <f>T70+T71</f>
        <v>0</v>
      </c>
      <c r="U69" s="49">
        <f t="shared" si="22"/>
        <v>0</v>
      </c>
      <c r="V69" s="49">
        <f t="shared" si="23"/>
        <v>0</v>
      </c>
      <c r="W69" s="16"/>
      <c r="X69" s="16"/>
      <c r="Y69" s="16"/>
      <c r="Z69" s="16"/>
      <c r="AA69" s="16"/>
      <c r="AB69" s="16"/>
      <c r="AC69" s="16"/>
      <c r="AD69" s="16"/>
      <c r="AE69" s="16"/>
      <c r="AF69" s="16"/>
      <c r="AG69" s="16"/>
    </row>
    <row r="70" spans="1:33" s="17" customFormat="1" ht="12.75" x14ac:dyDescent="0.2">
      <c r="A70" s="342"/>
      <c r="B70" s="225"/>
      <c r="C70" s="303"/>
      <c r="D70" s="309" t="s">
        <v>161</v>
      </c>
      <c r="E70" s="303" t="s">
        <v>631</v>
      </c>
      <c r="F70" s="347"/>
      <c r="G70" s="283" t="s">
        <v>319</v>
      </c>
      <c r="H70" s="80"/>
      <c r="I70" s="44"/>
      <c r="J70" s="44"/>
      <c r="K70" s="44"/>
      <c r="L70" s="44"/>
      <c r="M70" s="44"/>
      <c r="N70" s="44"/>
      <c r="O70" s="44"/>
      <c r="P70" s="44"/>
      <c r="Q70" s="49">
        <f t="shared" si="20"/>
        <v>0</v>
      </c>
      <c r="R70" s="49">
        <f t="shared" si="21"/>
        <v>0</v>
      </c>
      <c r="S70" s="44"/>
      <c r="T70" s="44"/>
      <c r="U70" s="49">
        <f t="shared" si="22"/>
        <v>0</v>
      </c>
      <c r="V70" s="49">
        <f t="shared" si="23"/>
        <v>0</v>
      </c>
      <c r="W70" s="16"/>
      <c r="X70" s="16"/>
      <c r="Y70" s="16"/>
      <c r="Z70" s="16"/>
      <c r="AA70" s="16"/>
      <c r="AB70" s="16"/>
      <c r="AC70" s="16"/>
      <c r="AD70" s="16"/>
      <c r="AE70" s="16"/>
      <c r="AF70" s="16"/>
      <c r="AG70" s="16"/>
    </row>
    <row r="71" spans="1:33" s="17" customFormat="1" ht="12.75" x14ac:dyDescent="0.2">
      <c r="A71" s="342"/>
      <c r="B71" s="225"/>
      <c r="C71" s="303"/>
      <c r="D71" s="309" t="s">
        <v>164</v>
      </c>
      <c r="E71" s="303" t="s">
        <v>52</v>
      </c>
      <c r="F71" s="358"/>
      <c r="G71" s="283" t="s">
        <v>320</v>
      </c>
      <c r="H71" s="80"/>
      <c r="I71" s="44"/>
      <c r="J71" s="44"/>
      <c r="K71" s="44"/>
      <c r="L71" s="44"/>
      <c r="M71" s="44"/>
      <c r="N71" s="44"/>
      <c r="O71" s="44"/>
      <c r="P71" s="44"/>
      <c r="Q71" s="49">
        <f t="shared" si="20"/>
        <v>0</v>
      </c>
      <c r="R71" s="49">
        <f t="shared" si="21"/>
        <v>0</v>
      </c>
      <c r="S71" s="44"/>
      <c r="T71" s="44"/>
      <c r="U71" s="49">
        <f t="shared" si="22"/>
        <v>0</v>
      </c>
      <c r="V71" s="49">
        <f t="shared" si="23"/>
        <v>0</v>
      </c>
      <c r="W71" s="16"/>
      <c r="X71" s="16"/>
      <c r="Y71" s="16"/>
      <c r="Z71" s="16"/>
      <c r="AA71" s="16"/>
      <c r="AB71" s="16"/>
      <c r="AC71" s="16"/>
      <c r="AD71" s="16"/>
      <c r="AE71" s="16"/>
      <c r="AF71" s="16"/>
      <c r="AG71" s="16"/>
    </row>
    <row r="72" spans="1:33" s="17" customFormat="1" ht="12.75" x14ac:dyDescent="0.2">
      <c r="A72" s="342"/>
      <c r="B72" s="225" t="s">
        <v>61</v>
      </c>
      <c r="C72" s="303" t="s">
        <v>321</v>
      </c>
      <c r="D72" s="303"/>
      <c r="E72" s="303"/>
      <c r="F72" s="303"/>
      <c r="G72" s="283" t="s">
        <v>369</v>
      </c>
      <c r="H72" s="80"/>
      <c r="I72" s="44"/>
      <c r="J72" s="44"/>
      <c r="K72" s="44"/>
      <c r="L72" s="44"/>
      <c r="M72" s="44"/>
      <c r="N72" s="44"/>
      <c r="O72" s="44"/>
      <c r="P72" s="44"/>
      <c r="Q72" s="49">
        <f t="shared" si="20"/>
        <v>0</v>
      </c>
      <c r="R72" s="49">
        <f t="shared" si="21"/>
        <v>0</v>
      </c>
      <c r="S72" s="44"/>
      <c r="T72" s="44"/>
      <c r="U72" s="49">
        <f t="shared" si="22"/>
        <v>0</v>
      </c>
      <c r="V72" s="49">
        <f t="shared" si="23"/>
        <v>0</v>
      </c>
      <c r="W72" s="16"/>
      <c r="X72" s="16"/>
      <c r="Y72" s="16"/>
      <c r="Z72" s="16"/>
      <c r="AA72" s="16"/>
      <c r="AB72" s="16"/>
      <c r="AC72" s="16"/>
      <c r="AD72" s="16"/>
      <c r="AE72" s="16"/>
      <c r="AF72" s="16"/>
      <c r="AG72" s="16"/>
    </row>
    <row r="73" spans="1:33" s="17" customFormat="1" ht="12.75" x14ac:dyDescent="0.2">
      <c r="A73" s="342"/>
      <c r="B73" s="359" t="s">
        <v>71</v>
      </c>
      <c r="C73" s="360" t="s">
        <v>628</v>
      </c>
      <c r="D73" s="359"/>
      <c r="E73" s="359"/>
      <c r="F73" s="303"/>
      <c r="G73" s="313" t="s">
        <v>629</v>
      </c>
      <c r="H73" s="80"/>
      <c r="I73" s="44"/>
      <c r="J73" s="44"/>
      <c r="K73" s="44"/>
      <c r="L73" s="44"/>
      <c r="M73" s="44"/>
      <c r="N73" s="44"/>
      <c r="O73" s="44"/>
      <c r="P73" s="44"/>
      <c r="Q73" s="49">
        <f>I73+K73+M73+O73</f>
        <v>0</v>
      </c>
      <c r="R73" s="49">
        <f>J73+L73+N73+P73</f>
        <v>0</v>
      </c>
      <c r="S73" s="44"/>
      <c r="T73" s="44"/>
      <c r="U73" s="49">
        <f>Q73-S73</f>
        <v>0</v>
      </c>
      <c r="V73" s="49">
        <f>R73-T73</f>
        <v>0</v>
      </c>
      <c r="W73" s="16"/>
      <c r="X73" s="16"/>
      <c r="Y73" s="16"/>
      <c r="Z73" s="16"/>
      <c r="AA73" s="16"/>
      <c r="AB73" s="16"/>
      <c r="AC73" s="16"/>
      <c r="AD73" s="16"/>
      <c r="AE73" s="16"/>
      <c r="AF73" s="16"/>
      <c r="AG73" s="16"/>
    </row>
    <row r="74" spans="1:33" s="17" customFormat="1" ht="12.75" x14ac:dyDescent="0.2">
      <c r="A74" s="362" t="s">
        <v>90</v>
      </c>
      <c r="B74" s="303" t="s">
        <v>273</v>
      </c>
      <c r="C74" s="303"/>
      <c r="D74" s="303"/>
      <c r="E74" s="303"/>
      <c r="F74" s="303"/>
      <c r="G74" s="283" t="s">
        <v>370</v>
      </c>
      <c r="H74" s="80"/>
      <c r="I74" s="41">
        <f t="shared" ref="I74:P74" si="30">I75+I76+I77</f>
        <v>0</v>
      </c>
      <c r="J74" s="41">
        <f t="shared" si="30"/>
        <v>0</v>
      </c>
      <c r="K74" s="41">
        <f t="shared" si="30"/>
        <v>0</v>
      </c>
      <c r="L74" s="41">
        <f t="shared" si="30"/>
        <v>0</v>
      </c>
      <c r="M74" s="41">
        <f t="shared" si="30"/>
        <v>0</v>
      </c>
      <c r="N74" s="41">
        <f t="shared" si="30"/>
        <v>0</v>
      </c>
      <c r="O74" s="41">
        <f t="shared" si="30"/>
        <v>0</v>
      </c>
      <c r="P74" s="41">
        <f t="shared" si="30"/>
        <v>0</v>
      </c>
      <c r="Q74" s="49">
        <f t="shared" si="20"/>
        <v>0</v>
      </c>
      <c r="R74" s="49">
        <f t="shared" si="21"/>
        <v>0</v>
      </c>
      <c r="S74" s="41">
        <f>S75+S76+S77</f>
        <v>0</v>
      </c>
      <c r="T74" s="41">
        <f>T75+T76+T77</f>
        <v>0</v>
      </c>
      <c r="U74" s="49">
        <f t="shared" si="22"/>
        <v>0</v>
      </c>
      <c r="V74" s="49">
        <f t="shared" si="23"/>
        <v>0</v>
      </c>
      <c r="W74" s="16"/>
      <c r="X74" s="16"/>
      <c r="Y74" s="16"/>
      <c r="Z74" s="16"/>
      <c r="AA74" s="16"/>
      <c r="AB74" s="16"/>
      <c r="AC74" s="16"/>
      <c r="AD74" s="16"/>
      <c r="AE74" s="16"/>
      <c r="AF74" s="16"/>
      <c r="AG74" s="16"/>
    </row>
    <row r="75" spans="1:33" s="17" customFormat="1" ht="12.75" x14ac:dyDescent="0.2">
      <c r="A75" s="362"/>
      <c r="B75" s="225" t="s">
        <v>180</v>
      </c>
      <c r="C75" s="225" t="s">
        <v>275</v>
      </c>
      <c r="D75" s="225"/>
      <c r="E75" s="225"/>
      <c r="F75" s="225"/>
      <c r="G75" s="283" t="s">
        <v>371</v>
      </c>
      <c r="H75" s="80"/>
      <c r="I75" s="44"/>
      <c r="J75" s="44"/>
      <c r="K75" s="44"/>
      <c r="L75" s="44"/>
      <c r="M75" s="44"/>
      <c r="N75" s="44"/>
      <c r="O75" s="44"/>
      <c r="P75" s="44"/>
      <c r="Q75" s="49">
        <f t="shared" si="20"/>
        <v>0</v>
      </c>
      <c r="R75" s="49">
        <f t="shared" si="21"/>
        <v>0</v>
      </c>
      <c r="S75" s="44"/>
      <c r="T75" s="44"/>
      <c r="U75" s="49">
        <f t="shared" si="22"/>
        <v>0</v>
      </c>
      <c r="V75" s="49">
        <f t="shared" si="23"/>
        <v>0</v>
      </c>
      <c r="W75" s="16"/>
      <c r="X75" s="16"/>
      <c r="Y75" s="16"/>
      <c r="Z75" s="16"/>
      <c r="AA75" s="16"/>
      <c r="AB75" s="16"/>
      <c r="AC75" s="16"/>
      <c r="AD75" s="16"/>
      <c r="AE75" s="16"/>
      <c r="AF75" s="16"/>
      <c r="AG75" s="16"/>
    </row>
    <row r="76" spans="1:33" s="17" customFormat="1" ht="12.75" x14ac:dyDescent="0.2">
      <c r="A76" s="362"/>
      <c r="B76" s="225" t="s">
        <v>183</v>
      </c>
      <c r="C76" s="225" t="s">
        <v>277</v>
      </c>
      <c r="D76" s="225"/>
      <c r="E76" s="225"/>
      <c r="F76" s="225"/>
      <c r="G76" s="283" t="s">
        <v>372</v>
      </c>
      <c r="H76" s="80"/>
      <c r="I76" s="44"/>
      <c r="J76" s="44"/>
      <c r="K76" s="44"/>
      <c r="L76" s="44"/>
      <c r="M76" s="44"/>
      <c r="N76" s="44"/>
      <c r="O76" s="44"/>
      <c r="P76" s="44"/>
      <c r="Q76" s="49">
        <f t="shared" si="20"/>
        <v>0</v>
      </c>
      <c r="R76" s="49">
        <f t="shared" si="21"/>
        <v>0</v>
      </c>
      <c r="S76" s="44"/>
      <c r="T76" s="44"/>
      <c r="U76" s="49">
        <f t="shared" si="22"/>
        <v>0</v>
      </c>
      <c r="V76" s="49">
        <f t="shared" si="23"/>
        <v>0</v>
      </c>
      <c r="W76" s="16"/>
      <c r="X76" s="16"/>
      <c r="Y76" s="16"/>
      <c r="Z76" s="16"/>
      <c r="AA76" s="16"/>
      <c r="AB76" s="16"/>
      <c r="AC76" s="16"/>
      <c r="AD76" s="16"/>
      <c r="AE76" s="16"/>
      <c r="AF76" s="16"/>
      <c r="AG76" s="16"/>
    </row>
    <row r="77" spans="1:33" s="17" customFormat="1" ht="12.75" x14ac:dyDescent="0.2">
      <c r="A77" s="362"/>
      <c r="B77" s="225" t="s">
        <v>193</v>
      </c>
      <c r="C77" s="225" t="s">
        <v>279</v>
      </c>
      <c r="D77" s="225"/>
      <c r="E77" s="225"/>
      <c r="F77" s="225"/>
      <c r="G77" s="283" t="s">
        <v>373</v>
      </c>
      <c r="H77" s="80"/>
      <c r="I77" s="44"/>
      <c r="J77" s="44"/>
      <c r="K77" s="44"/>
      <c r="L77" s="44"/>
      <c r="M77" s="44"/>
      <c r="N77" s="44"/>
      <c r="O77" s="44"/>
      <c r="P77" s="44"/>
      <c r="Q77" s="49">
        <f t="shared" si="20"/>
        <v>0</v>
      </c>
      <c r="R77" s="49">
        <f t="shared" si="21"/>
        <v>0</v>
      </c>
      <c r="S77" s="44"/>
      <c r="T77" s="44"/>
      <c r="U77" s="49">
        <f t="shared" si="22"/>
        <v>0</v>
      </c>
      <c r="V77" s="49">
        <f t="shared" si="23"/>
        <v>0</v>
      </c>
      <c r="W77" s="16"/>
      <c r="X77" s="16"/>
      <c r="Y77" s="16"/>
      <c r="Z77" s="16"/>
      <c r="AA77" s="16"/>
      <c r="AB77" s="16"/>
      <c r="AC77" s="16"/>
      <c r="AD77" s="16"/>
      <c r="AE77" s="16"/>
      <c r="AF77" s="16"/>
      <c r="AG77" s="16"/>
    </row>
    <row r="78" spans="1:33" s="17" customFormat="1" ht="13.5" customHeight="1" x14ac:dyDescent="0.2">
      <c r="A78" s="362" t="s">
        <v>257</v>
      </c>
      <c r="B78" s="303" t="s">
        <v>281</v>
      </c>
      <c r="C78" s="303"/>
      <c r="D78" s="303"/>
      <c r="E78" s="303"/>
      <c r="F78" s="303"/>
      <c r="G78" s="283" t="s">
        <v>374</v>
      </c>
      <c r="H78" s="80"/>
      <c r="I78" s="129">
        <f t="shared" ref="I78:P78" si="31">I79+I80</f>
        <v>0</v>
      </c>
      <c r="J78" s="129">
        <f t="shared" si="31"/>
        <v>0</v>
      </c>
      <c r="K78" s="129">
        <f t="shared" si="31"/>
        <v>0</v>
      </c>
      <c r="L78" s="129">
        <f t="shared" si="31"/>
        <v>0</v>
      </c>
      <c r="M78" s="129">
        <f t="shared" si="31"/>
        <v>0</v>
      </c>
      <c r="N78" s="129">
        <f t="shared" si="31"/>
        <v>0</v>
      </c>
      <c r="O78" s="129">
        <f t="shared" si="31"/>
        <v>0</v>
      </c>
      <c r="P78" s="129">
        <f t="shared" si="31"/>
        <v>0</v>
      </c>
      <c r="Q78" s="49">
        <f t="shared" si="20"/>
        <v>0</v>
      </c>
      <c r="R78" s="49">
        <f t="shared" si="21"/>
        <v>0</v>
      </c>
      <c r="S78" s="129">
        <f>S79+S80</f>
        <v>0</v>
      </c>
      <c r="T78" s="129">
        <f>T79+T80</f>
        <v>0</v>
      </c>
      <c r="U78" s="49">
        <f t="shared" si="22"/>
        <v>0</v>
      </c>
      <c r="V78" s="49">
        <f t="shared" si="23"/>
        <v>0</v>
      </c>
      <c r="W78" s="16"/>
      <c r="X78" s="16"/>
      <c r="Y78" s="16"/>
      <c r="Z78" s="16"/>
      <c r="AA78" s="16"/>
      <c r="AB78" s="16"/>
      <c r="AC78" s="16"/>
      <c r="AD78" s="16"/>
      <c r="AE78" s="16"/>
      <c r="AF78" s="16"/>
      <c r="AG78" s="16"/>
    </row>
    <row r="79" spans="1:33" s="17" customFormat="1" ht="12" customHeight="1" x14ac:dyDescent="0.2">
      <c r="A79" s="362"/>
      <c r="B79" s="225" t="s">
        <v>180</v>
      </c>
      <c r="C79" s="225" t="s">
        <v>283</v>
      </c>
      <c r="D79" s="225"/>
      <c r="E79" s="225"/>
      <c r="F79" s="225"/>
      <c r="G79" s="283" t="s">
        <v>375</v>
      </c>
      <c r="H79" s="80"/>
      <c r="I79" s="44"/>
      <c r="J79" s="44"/>
      <c r="K79" s="44"/>
      <c r="L79" s="44"/>
      <c r="M79" s="44"/>
      <c r="N79" s="44"/>
      <c r="O79" s="44"/>
      <c r="P79" s="44"/>
      <c r="Q79" s="49">
        <f t="shared" si="20"/>
        <v>0</v>
      </c>
      <c r="R79" s="49">
        <f t="shared" si="21"/>
        <v>0</v>
      </c>
      <c r="S79" s="44"/>
      <c r="T79" s="44"/>
      <c r="U79" s="49">
        <f t="shared" si="22"/>
        <v>0</v>
      </c>
      <c r="V79" s="49">
        <f t="shared" si="23"/>
        <v>0</v>
      </c>
      <c r="W79" s="16"/>
      <c r="X79" s="16"/>
      <c r="Y79" s="16"/>
      <c r="Z79" s="16"/>
      <c r="AA79" s="16"/>
      <c r="AB79" s="16"/>
      <c r="AC79" s="16"/>
      <c r="AD79" s="16"/>
      <c r="AE79" s="16"/>
      <c r="AF79" s="16"/>
      <c r="AG79" s="16"/>
    </row>
    <row r="80" spans="1:33" s="17" customFormat="1" ht="12.75" customHeight="1" x14ac:dyDescent="0.2">
      <c r="A80" s="362"/>
      <c r="B80" s="225" t="s">
        <v>183</v>
      </c>
      <c r="C80" s="225" t="s">
        <v>285</v>
      </c>
      <c r="D80" s="225"/>
      <c r="E80" s="225"/>
      <c r="F80" s="225"/>
      <c r="G80" s="283" t="s">
        <v>376</v>
      </c>
      <c r="H80" s="80"/>
      <c r="I80" s="44"/>
      <c r="J80" s="44"/>
      <c r="K80" s="44"/>
      <c r="L80" s="44"/>
      <c r="M80" s="44"/>
      <c r="N80" s="44"/>
      <c r="O80" s="44"/>
      <c r="P80" s="44"/>
      <c r="Q80" s="49">
        <f t="shared" si="20"/>
        <v>0</v>
      </c>
      <c r="R80" s="49">
        <f t="shared" si="21"/>
        <v>0</v>
      </c>
      <c r="S80" s="44"/>
      <c r="T80" s="44"/>
      <c r="U80" s="49">
        <f t="shared" si="22"/>
        <v>0</v>
      </c>
      <c r="V80" s="49">
        <f t="shared" si="23"/>
        <v>0</v>
      </c>
      <c r="W80" s="16"/>
      <c r="X80" s="16"/>
      <c r="Y80" s="16"/>
      <c r="Z80" s="16"/>
      <c r="AA80" s="16"/>
      <c r="AB80" s="16"/>
      <c r="AC80" s="16"/>
      <c r="AD80" s="16"/>
      <c r="AE80" s="16"/>
      <c r="AF80" s="16"/>
      <c r="AG80" s="16"/>
    </row>
    <row r="81" spans="1:33" s="17" customFormat="1" ht="13.5" customHeight="1" x14ac:dyDescent="0.2">
      <c r="A81" s="362" t="s">
        <v>74</v>
      </c>
      <c r="B81" s="661" t="s">
        <v>288</v>
      </c>
      <c r="C81" s="661"/>
      <c r="D81" s="661"/>
      <c r="E81" s="661"/>
      <c r="F81" s="661"/>
      <c r="G81" s="283" t="s">
        <v>377</v>
      </c>
      <c r="H81" s="80"/>
      <c r="I81" s="44"/>
      <c r="J81" s="44"/>
      <c r="K81" s="44"/>
      <c r="L81" s="44"/>
      <c r="M81" s="44"/>
      <c r="N81" s="44"/>
      <c r="O81" s="44"/>
      <c r="P81" s="44"/>
      <c r="Q81" s="49">
        <f t="shared" si="20"/>
        <v>0</v>
      </c>
      <c r="R81" s="49">
        <f t="shared" si="21"/>
        <v>0</v>
      </c>
      <c r="S81" s="44"/>
      <c r="T81" s="44"/>
      <c r="U81" s="49">
        <f t="shared" si="22"/>
        <v>0</v>
      </c>
      <c r="V81" s="49">
        <f t="shared" si="23"/>
        <v>0</v>
      </c>
      <c r="W81" s="16"/>
      <c r="X81" s="16"/>
      <c r="Y81" s="16"/>
      <c r="Z81" s="16"/>
      <c r="AA81" s="16"/>
      <c r="AB81" s="16"/>
      <c r="AC81" s="16"/>
      <c r="AD81" s="16"/>
      <c r="AE81" s="16"/>
      <c r="AF81" s="16"/>
      <c r="AG81" s="16"/>
    </row>
    <row r="82" spans="1:33" s="17" customFormat="1" ht="12" customHeight="1" x14ac:dyDescent="0.2">
      <c r="A82" s="362" t="s">
        <v>76</v>
      </c>
      <c r="B82" s="661" t="s">
        <v>1288</v>
      </c>
      <c r="C82" s="661"/>
      <c r="D82" s="661"/>
      <c r="E82" s="661"/>
      <c r="F82" s="661"/>
      <c r="G82" s="317" t="s">
        <v>1292</v>
      </c>
      <c r="H82" s="122"/>
      <c r="I82" s="290"/>
      <c r="J82" s="290"/>
      <c r="K82" s="290"/>
      <c r="L82" s="290"/>
      <c r="M82" s="292">
        <f>M45</f>
        <v>0</v>
      </c>
      <c r="N82" s="292">
        <f>N45</f>
        <v>0</v>
      </c>
      <c r="O82" s="292">
        <f>O45</f>
        <v>0</v>
      </c>
      <c r="P82" s="292">
        <f>P45</f>
        <v>0</v>
      </c>
      <c r="Q82" s="292">
        <f>O82+M82+K82+I82</f>
        <v>0</v>
      </c>
      <c r="R82" s="292">
        <f>P82+N82+L82+J82</f>
        <v>0</v>
      </c>
      <c r="S82" s="290"/>
      <c r="T82" s="290"/>
      <c r="U82" s="289"/>
      <c r="V82" s="289"/>
      <c r="W82" s="16"/>
      <c r="X82" s="16"/>
      <c r="Y82" s="16"/>
      <c r="Z82" s="16"/>
      <c r="AA82" s="16"/>
      <c r="AB82" s="16"/>
      <c r="AC82" s="16"/>
      <c r="AD82" s="16"/>
      <c r="AE82" s="16"/>
      <c r="AF82" s="16"/>
      <c r="AG82" s="16"/>
    </row>
    <row r="83" spans="1:33" s="17" customFormat="1" x14ac:dyDescent="0.2">
      <c r="A83" s="412" t="s">
        <v>79</v>
      </c>
      <c r="B83" s="682" t="s">
        <v>47</v>
      </c>
      <c r="C83" s="683"/>
      <c r="D83" s="683"/>
      <c r="E83" s="683"/>
      <c r="F83" s="683"/>
      <c r="G83" s="413" t="s">
        <v>1313</v>
      </c>
      <c r="H83" s="103"/>
      <c r="I83" s="418"/>
      <c r="J83" s="418"/>
      <c r="K83" s="418"/>
      <c r="L83" s="418"/>
      <c r="M83" s="418"/>
      <c r="N83" s="418"/>
      <c r="O83" s="418"/>
      <c r="P83" s="418"/>
      <c r="Q83" s="428"/>
      <c r="R83" s="428"/>
      <c r="S83" s="41">
        <f>I83+K83+M83+O83</f>
        <v>0</v>
      </c>
      <c r="T83" s="41">
        <f>J83+L83+N83+P83</f>
        <v>0</v>
      </c>
      <c r="U83" s="428"/>
      <c r="V83" s="428"/>
      <c r="W83" s="16"/>
      <c r="X83" s="16"/>
      <c r="Y83" s="16"/>
      <c r="Z83" s="16"/>
      <c r="AA83" s="16"/>
      <c r="AB83" s="16"/>
      <c r="AC83" s="16"/>
      <c r="AD83" s="16"/>
      <c r="AE83" s="16"/>
      <c r="AF83" s="16"/>
      <c r="AG83" s="16"/>
    </row>
    <row r="84" spans="1:33" ht="11.25" customHeight="1" x14ac:dyDescent="0.2">
      <c r="A84" s="82"/>
      <c r="B84" s="92"/>
      <c r="C84" s="82"/>
      <c r="D84" s="82"/>
      <c r="E84" s="82"/>
      <c r="F84" s="82"/>
      <c r="G84" s="415" t="s">
        <v>108</v>
      </c>
      <c r="H84" s="427"/>
      <c r="I84" s="426"/>
      <c r="J84" s="426"/>
      <c r="K84" s="426"/>
      <c r="L84" s="426"/>
      <c r="M84" s="426"/>
      <c r="N84" s="426"/>
      <c r="O84" s="426"/>
      <c r="P84" s="426"/>
      <c r="Q84" s="426"/>
      <c r="R84" s="426"/>
      <c r="S84" s="426"/>
      <c r="T84" s="426"/>
      <c r="U84" s="426"/>
      <c r="V84" s="426"/>
      <c r="W84" s="9"/>
      <c r="X84" s="9"/>
      <c r="Y84" s="9"/>
      <c r="Z84" s="9"/>
      <c r="AA84" s="9"/>
      <c r="AB84" s="9"/>
      <c r="AC84" s="9"/>
      <c r="AD84" s="9"/>
      <c r="AE84" s="9"/>
      <c r="AF84" s="9"/>
      <c r="AG84" s="9"/>
    </row>
    <row r="85" spans="1:33" ht="11.25" customHeight="1" x14ac:dyDescent="0.2">
      <c r="A85" s="92"/>
      <c r="B85" s="123" t="s">
        <v>378</v>
      </c>
      <c r="C85" s="92"/>
      <c r="D85" s="92"/>
      <c r="E85" s="92"/>
      <c r="F85" s="92"/>
      <c r="G85" s="429"/>
      <c r="H85" s="423"/>
      <c r="I85" s="133"/>
      <c r="J85" s="133"/>
      <c r="K85" s="133"/>
      <c r="L85" s="133"/>
      <c r="M85" s="133"/>
      <c r="N85" s="133"/>
      <c r="O85" s="133"/>
      <c r="P85" s="133"/>
      <c r="Q85" s="133"/>
      <c r="R85" s="133"/>
      <c r="S85" s="133"/>
      <c r="T85" s="133"/>
      <c r="U85" s="133"/>
      <c r="V85" s="133"/>
      <c r="W85" s="9"/>
      <c r="X85" s="9"/>
      <c r="Y85" s="9"/>
      <c r="Z85" s="9"/>
      <c r="AA85" s="9"/>
      <c r="AB85" s="9"/>
      <c r="AC85" s="9"/>
      <c r="AD85" s="9"/>
      <c r="AE85" s="9"/>
      <c r="AF85" s="9"/>
      <c r="AG85" s="9"/>
    </row>
    <row r="86" spans="1:33" ht="11.25" customHeight="1" x14ac:dyDescent="0.2">
      <c r="W86" s="9"/>
      <c r="X86" s="9"/>
      <c r="Y86" s="9"/>
      <c r="Z86" s="9"/>
      <c r="AA86" s="9"/>
      <c r="AB86" s="9"/>
      <c r="AC86" s="9"/>
      <c r="AD86" s="9"/>
      <c r="AE86" s="9"/>
      <c r="AF86" s="9"/>
      <c r="AG86" s="9"/>
    </row>
    <row r="87" spans="1:33" ht="11.25" customHeight="1" x14ac:dyDescent="0.2">
      <c r="W87" s="9"/>
      <c r="X87" s="9"/>
      <c r="Y87" s="9"/>
      <c r="Z87" s="9"/>
      <c r="AA87" s="9"/>
      <c r="AB87" s="9"/>
      <c r="AC87" s="9"/>
      <c r="AD87" s="9"/>
      <c r="AE87" s="9"/>
      <c r="AF87" s="9"/>
      <c r="AG87" s="9"/>
    </row>
    <row r="88" spans="1:33" ht="11.25" customHeight="1" x14ac:dyDescent="0.2">
      <c r="W88" s="9"/>
      <c r="X88" s="9"/>
      <c r="Y88" s="9"/>
      <c r="Z88" s="9"/>
      <c r="AA88" s="9"/>
      <c r="AB88" s="9"/>
      <c r="AC88" s="9"/>
      <c r="AD88" s="9"/>
      <c r="AE88" s="9"/>
      <c r="AF88" s="9"/>
      <c r="AG88" s="9"/>
    </row>
    <row r="89" spans="1:33" ht="11.25" customHeight="1" x14ac:dyDescent="0.2"/>
    <row r="90" spans="1:33" ht="11.25" customHeight="1" x14ac:dyDescent="0.2"/>
    <row r="91" spans="1:33" ht="11.25" customHeight="1" x14ac:dyDescent="0.2"/>
    <row r="92" spans="1:33" ht="11.25" customHeight="1" x14ac:dyDescent="0.2"/>
    <row r="93" spans="1:33" ht="11.25" customHeight="1" x14ac:dyDescent="0.2"/>
    <row r="94" spans="1:33" ht="11.25" customHeight="1" x14ac:dyDescent="0.2"/>
    <row r="95" spans="1:33" ht="11.25" customHeight="1" x14ac:dyDescent="0.2"/>
  </sheetData>
  <sheetProtection password="E4FA" sheet="1" objects="1" scenarios="1" selectLockedCells="1"/>
  <mergeCells count="28">
    <mergeCell ref="O5:P5"/>
    <mergeCell ref="Q5:R5"/>
    <mergeCell ref="S6:T8"/>
    <mergeCell ref="A45:F45"/>
    <mergeCell ref="B31:F31"/>
    <mergeCell ref="C22:F22"/>
    <mergeCell ref="C23:F23"/>
    <mergeCell ref="C34:F34"/>
    <mergeCell ref="A1:V1"/>
    <mergeCell ref="A2:V2"/>
    <mergeCell ref="A3:V3"/>
    <mergeCell ref="A5:F9"/>
    <mergeCell ref="G5:G9"/>
    <mergeCell ref="U6:V8"/>
    <mergeCell ref="I5:J5"/>
    <mergeCell ref="U5:V5"/>
    <mergeCell ref="S5:T5"/>
    <mergeCell ref="Q6:R8"/>
    <mergeCell ref="B83:F83"/>
    <mergeCell ref="B82:F82"/>
    <mergeCell ref="I6:J8"/>
    <mergeCell ref="M5:N5"/>
    <mergeCell ref="B81:F81"/>
    <mergeCell ref="K5:L5"/>
    <mergeCell ref="K6:L8"/>
    <mergeCell ref="M6:P6"/>
    <mergeCell ref="M7:N8"/>
    <mergeCell ref="O7:P8"/>
  </mergeCells>
  <phoneticPr fontId="2" type="noConversion"/>
  <dataValidations count="3">
    <dataValidation type="decimal" allowBlank="1" showInputMessage="1" showErrorMessage="1" error="Invalid data is entered!_x000a_" sqref="S33:T39 I33:P39">
      <formula1>0</formula1>
      <formula2>99999999999999900</formula2>
    </dataValidation>
    <dataValidation type="decimal" allowBlank="1" showInputMessage="1" showErrorMessage="1" error="Invalid data is entered!" sqref="I25:P27 I29:P31 I41:P44 I52:P58 I61:P65 I68:P68 I70:P73 S47:T48 S25:T27 S29:T31 S41:T44 S52:T58 S61:T65 S68:T68 S70:T73 I75:P77 S19:T20 S15:T17 S12:T13 I19:P20 I15:P17 I12:P13 I47:P48 S75:T77 I79:P81 S79:T81 S22:T23 I22:P23">
      <formula1>0</formula1>
      <formula2>99999999999999900</formula2>
    </dataValidation>
    <dataValidation type="decimal" allowBlank="1" showInputMessage="1" showErrorMessage="1" sqref="M82:P82 I83:P83">
      <formula1>0</formula1>
      <formula2>99999999999999900</formula2>
    </dataValidation>
  </dataValidations>
  <pageMargins left="0.25" right="0.25" top="1" bottom="0.5" header="0.5" footer="0.5"/>
  <pageSetup orientation="landscape" horizontalDpi="360" verticalDpi="360" r:id="rId1"/>
  <headerFooter alignWithMargins="0">
    <oddHeader>&amp;R&amp;"Arial,Bold"&amp;USchedule 11a4&amp;"Arial,Regular"&amp;U
&amp;"Arial,Bold"&amp;8&amp;P of &amp;N&amp;C&amp;"Arial,Bold"&amp;8 ABN AMRO BANK INC (A COMM'L BANK)  [ 01-000000 ]
 As of: January 31, 2008</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51"/>
  <sheetViews>
    <sheetView zoomScaleNormal="100" zoomScaleSheetLayoutView="100" workbookViewId="0">
      <pane xSplit="8" ySplit="9" topLeftCell="I10" activePane="bottomRight" state="frozen"/>
      <selection pane="topRight" activeCell="I1" sqref="I1"/>
      <selection pane="bottomLeft" activeCell="A10" sqref="A10"/>
      <selection pane="bottomRight" sqref="A1:O1"/>
    </sheetView>
  </sheetViews>
  <sheetFormatPr defaultRowHeight="11.25" x14ac:dyDescent="0.2"/>
  <cols>
    <col min="1" max="1" width="3.140625" style="5" customWidth="1"/>
    <col min="2" max="2" width="2.85546875" style="5" customWidth="1"/>
    <col min="3" max="3" width="3" style="5" customWidth="1"/>
    <col min="4" max="5" width="4.140625" style="5" customWidth="1"/>
    <col min="6" max="6" width="24.28515625" style="5" customWidth="1"/>
    <col min="7" max="7" width="16.5703125" style="61" bestFit="1" customWidth="1"/>
    <col min="8" max="8" width="24" style="18" hidden="1" customWidth="1"/>
    <col min="9" max="15" width="25.7109375" style="48"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9.140625" style="5"/>
  </cols>
  <sheetData>
    <row r="1" spans="1:26" s="243" customFormat="1" ht="12.75" x14ac:dyDescent="0.2">
      <c r="A1" s="669" t="s">
        <v>105</v>
      </c>
      <c r="B1" s="669"/>
      <c r="C1" s="669"/>
      <c r="D1" s="669"/>
      <c r="E1" s="669"/>
      <c r="F1" s="669"/>
      <c r="G1" s="669"/>
      <c r="H1" s="669"/>
      <c r="I1" s="669"/>
      <c r="J1" s="669"/>
      <c r="K1" s="669"/>
      <c r="L1" s="669"/>
      <c r="M1" s="669"/>
      <c r="N1" s="669"/>
      <c r="O1" s="669"/>
      <c r="P1" s="242"/>
      <c r="Q1" s="242"/>
      <c r="R1" s="242"/>
      <c r="S1" s="242"/>
      <c r="T1" s="242"/>
      <c r="U1" s="242"/>
      <c r="V1" s="242"/>
      <c r="W1" s="242"/>
      <c r="X1" s="242"/>
    </row>
    <row r="2" spans="1:26" s="243" customFormat="1" ht="12.75" x14ac:dyDescent="0.2">
      <c r="A2" s="669" t="s">
        <v>92</v>
      </c>
      <c r="B2" s="669"/>
      <c r="C2" s="669"/>
      <c r="D2" s="669"/>
      <c r="E2" s="669"/>
      <c r="F2" s="669"/>
      <c r="G2" s="669"/>
      <c r="H2" s="669"/>
      <c r="I2" s="669"/>
      <c r="J2" s="669"/>
      <c r="K2" s="669"/>
      <c r="L2" s="669"/>
      <c r="M2" s="669"/>
      <c r="N2" s="669"/>
      <c r="O2" s="669"/>
      <c r="P2" s="242"/>
      <c r="Q2" s="242"/>
      <c r="R2" s="242"/>
      <c r="S2" s="242"/>
      <c r="T2" s="242"/>
      <c r="U2" s="242"/>
      <c r="V2" s="242"/>
      <c r="W2" s="242"/>
      <c r="X2" s="242"/>
    </row>
    <row r="3" spans="1:26" s="243" customFormat="1" ht="12.75" x14ac:dyDescent="0.2">
      <c r="A3" s="669" t="s">
        <v>93</v>
      </c>
      <c r="B3" s="669"/>
      <c r="C3" s="669"/>
      <c r="D3" s="669"/>
      <c r="E3" s="669"/>
      <c r="F3" s="669"/>
      <c r="G3" s="669"/>
      <c r="H3" s="669"/>
      <c r="I3" s="669"/>
      <c r="J3" s="669"/>
      <c r="K3" s="669"/>
      <c r="L3" s="669"/>
      <c r="M3" s="669"/>
      <c r="N3" s="669"/>
      <c r="O3" s="669"/>
      <c r="P3" s="242"/>
      <c r="Q3" s="242"/>
      <c r="R3" s="242"/>
      <c r="S3" s="242"/>
      <c r="T3" s="242"/>
      <c r="U3" s="242"/>
      <c r="V3" s="242"/>
      <c r="W3" s="242"/>
      <c r="X3" s="242"/>
    </row>
    <row r="4" spans="1:26" x14ac:dyDescent="0.2">
      <c r="A4" s="6"/>
      <c r="B4" s="6"/>
      <c r="C4" s="6"/>
      <c r="D4" s="6"/>
      <c r="E4" s="6"/>
      <c r="F4" s="6"/>
      <c r="G4" s="54"/>
      <c r="H4" s="6"/>
      <c r="I4" s="47"/>
      <c r="J4" s="47"/>
      <c r="K4" s="47"/>
      <c r="L4" s="47"/>
      <c r="M4" s="47"/>
      <c r="N4" s="47"/>
      <c r="O4" s="47"/>
      <c r="P4" s="4"/>
      <c r="Q4" s="4"/>
      <c r="R4" s="4"/>
      <c r="S4" s="4"/>
      <c r="T4" s="4"/>
      <c r="U4" s="4"/>
      <c r="V4" s="4"/>
      <c r="W4" s="4"/>
      <c r="X4" s="4"/>
    </row>
    <row r="5" spans="1:26" ht="11.25" customHeight="1" x14ac:dyDescent="0.2">
      <c r="A5" s="672" t="s">
        <v>45</v>
      </c>
      <c r="B5" s="672"/>
      <c r="C5" s="672"/>
      <c r="D5" s="672"/>
      <c r="E5" s="672"/>
      <c r="F5" s="672"/>
      <c r="G5" s="673" t="s">
        <v>46</v>
      </c>
      <c r="H5" s="60"/>
      <c r="I5" s="40" t="s">
        <v>94</v>
      </c>
      <c r="J5" s="40" t="s">
        <v>95</v>
      </c>
      <c r="K5" s="40" t="s">
        <v>96</v>
      </c>
      <c r="L5" s="40" t="s">
        <v>97</v>
      </c>
      <c r="M5" s="40" t="s">
        <v>98</v>
      </c>
      <c r="N5" s="40" t="s">
        <v>99</v>
      </c>
      <c r="O5" s="40" t="s">
        <v>100</v>
      </c>
      <c r="P5" s="7"/>
      <c r="Q5" s="7"/>
      <c r="R5" s="7"/>
      <c r="S5" s="7"/>
      <c r="T5" s="7"/>
      <c r="U5" s="8"/>
      <c r="V5" s="8"/>
      <c r="W5" s="8"/>
      <c r="X5" s="8"/>
      <c r="Y5" s="9"/>
      <c r="Z5" s="9"/>
    </row>
    <row r="6" spans="1:26" ht="6.75" customHeight="1" x14ac:dyDescent="0.2">
      <c r="A6" s="672"/>
      <c r="B6" s="672"/>
      <c r="C6" s="672"/>
      <c r="D6" s="672"/>
      <c r="E6" s="672"/>
      <c r="F6" s="672"/>
      <c r="G6" s="673"/>
      <c r="H6" s="60"/>
      <c r="I6" s="670" t="s">
        <v>101</v>
      </c>
      <c r="J6" s="674" t="s">
        <v>1471</v>
      </c>
      <c r="K6" s="678" t="s">
        <v>1474</v>
      </c>
      <c r="L6" s="679"/>
      <c r="M6" s="670" t="s">
        <v>102</v>
      </c>
      <c r="N6" s="670" t="s">
        <v>47</v>
      </c>
      <c r="O6" s="670" t="s">
        <v>48</v>
      </c>
      <c r="P6" s="10"/>
      <c r="Q6" s="10"/>
      <c r="R6" s="10"/>
      <c r="S6" s="10"/>
      <c r="T6" s="10"/>
      <c r="U6" s="11"/>
      <c r="V6" s="11"/>
      <c r="W6" s="11"/>
      <c r="X6" s="11"/>
      <c r="Y6" s="9"/>
      <c r="Z6" s="9"/>
    </row>
    <row r="7" spans="1:26" ht="6.75" customHeight="1" x14ac:dyDescent="0.2">
      <c r="A7" s="672"/>
      <c r="B7" s="672"/>
      <c r="C7" s="672"/>
      <c r="D7" s="672"/>
      <c r="E7" s="672"/>
      <c r="F7" s="672"/>
      <c r="G7" s="673"/>
      <c r="H7" s="60"/>
      <c r="I7" s="692"/>
      <c r="J7" s="693"/>
      <c r="K7" s="680"/>
      <c r="L7" s="681"/>
      <c r="M7" s="692" t="s">
        <v>107</v>
      </c>
      <c r="N7" s="692" t="s">
        <v>103</v>
      </c>
      <c r="O7" s="692"/>
      <c r="P7" s="10"/>
      <c r="Q7" s="10"/>
      <c r="R7" s="10"/>
      <c r="S7" s="10"/>
      <c r="T7" s="10"/>
      <c r="U7" s="12"/>
      <c r="V7" s="11"/>
      <c r="W7" s="11"/>
      <c r="X7" s="11"/>
      <c r="Y7" s="9"/>
      <c r="Z7" s="9"/>
    </row>
    <row r="8" spans="1:26" ht="27.75" customHeight="1" x14ac:dyDescent="0.2">
      <c r="A8" s="672"/>
      <c r="B8" s="672"/>
      <c r="C8" s="672"/>
      <c r="D8" s="672"/>
      <c r="E8" s="672"/>
      <c r="F8" s="672"/>
      <c r="G8" s="673"/>
      <c r="H8" s="60"/>
      <c r="I8" s="692"/>
      <c r="J8" s="693"/>
      <c r="K8" s="676" t="s">
        <v>1472</v>
      </c>
      <c r="L8" s="676" t="s">
        <v>1473</v>
      </c>
      <c r="M8" s="692"/>
      <c r="N8" s="692"/>
      <c r="O8" s="692"/>
      <c r="P8" s="10"/>
      <c r="Q8" s="10"/>
      <c r="R8" s="10"/>
      <c r="S8" s="10"/>
      <c r="T8" s="10"/>
      <c r="U8" s="12"/>
      <c r="V8" s="11"/>
      <c r="W8" s="11"/>
      <c r="X8" s="11"/>
      <c r="Y8" s="9"/>
      <c r="Z8" s="9"/>
    </row>
    <row r="9" spans="1:26" ht="6.75" customHeight="1" x14ac:dyDescent="0.2">
      <c r="A9" s="672"/>
      <c r="B9" s="672"/>
      <c r="C9" s="672"/>
      <c r="D9" s="672"/>
      <c r="E9" s="672"/>
      <c r="F9" s="672"/>
      <c r="G9" s="673"/>
      <c r="H9" s="60"/>
      <c r="I9" s="692"/>
      <c r="J9" s="693"/>
      <c r="K9" s="677"/>
      <c r="L9" s="677"/>
      <c r="M9" s="692"/>
      <c r="N9" s="692"/>
      <c r="O9" s="692"/>
      <c r="P9" s="10"/>
      <c r="Q9" s="10"/>
      <c r="R9" s="10"/>
      <c r="S9" s="10"/>
      <c r="T9" s="10"/>
      <c r="U9" s="12"/>
      <c r="V9" s="11"/>
      <c r="W9" s="11"/>
      <c r="X9" s="11"/>
      <c r="Y9" s="9"/>
      <c r="Z9" s="9"/>
    </row>
    <row r="10" spans="1:26" s="17" customFormat="1" ht="11.25" customHeight="1" x14ac:dyDescent="0.2">
      <c r="A10" s="223" t="s">
        <v>57</v>
      </c>
      <c r="B10" s="312"/>
      <c r="C10" s="312"/>
      <c r="D10" s="312"/>
      <c r="E10" s="312"/>
      <c r="F10" s="347"/>
      <c r="G10" s="338" t="s">
        <v>109</v>
      </c>
      <c r="H10" s="23"/>
      <c r="I10" s="49">
        <f>'11B1'!I10+'11B2'!J10+'11B3'!J10+'11B4'!J10</f>
        <v>0</v>
      </c>
      <c r="J10" s="49">
        <f>'11B1'!J10+'11B2'!L10+'11B3'!L10+'11B4'!L10</f>
        <v>0</v>
      </c>
      <c r="K10" s="49">
        <f>'11B1'!K10+'11B2'!N10+'11B3'!N10+'11B4'!N10</f>
        <v>0</v>
      </c>
      <c r="L10" s="49">
        <f>'11B1'!L10+'11B2'!P10+'11B3'!P10+'11B4'!P10</f>
        <v>0</v>
      </c>
      <c r="M10" s="49">
        <f>'11B1'!M10+'11B2'!R10+'11B3'!R10+'11B4'!R10</f>
        <v>0</v>
      </c>
      <c r="N10" s="49">
        <f>'11B1'!N10+'11B2'!T10+'11B3'!T10+'11B4'!T10</f>
        <v>0</v>
      </c>
      <c r="O10" s="49">
        <f>'11B1'!O10+'11B2'!V10+'11B3'!V10+'11B4'!V10</f>
        <v>0</v>
      </c>
      <c r="P10" s="15"/>
      <c r="Q10" s="16"/>
      <c r="R10" s="16"/>
      <c r="S10" s="16"/>
      <c r="T10" s="16"/>
      <c r="U10" s="16"/>
      <c r="V10" s="16"/>
      <c r="W10" s="16"/>
      <c r="X10" s="16"/>
      <c r="Y10" s="16"/>
      <c r="Z10" s="16"/>
    </row>
    <row r="11" spans="1:26" s="17" customFormat="1" x14ac:dyDescent="0.2">
      <c r="A11" s="346" t="s">
        <v>58</v>
      </c>
      <c r="B11" s="312" t="s">
        <v>540</v>
      </c>
      <c r="C11" s="312"/>
      <c r="D11" s="312"/>
      <c r="E11" s="312"/>
      <c r="F11" s="347"/>
      <c r="G11" s="338" t="s">
        <v>110</v>
      </c>
      <c r="H11" s="23"/>
      <c r="I11" s="49">
        <f>'11B1'!I11+'11B2'!J11+'11B3'!J11+'11B4'!J11</f>
        <v>0</v>
      </c>
      <c r="J11" s="49">
        <f>'11B1'!J11+'11B2'!L11+'11B3'!L11+'11B4'!L11</f>
        <v>0</v>
      </c>
      <c r="K11" s="49">
        <f>'11B1'!K11+'11B2'!N11+'11B3'!N11+'11B4'!N11</f>
        <v>0</v>
      </c>
      <c r="L11" s="49">
        <f>'11B1'!L11+'11B2'!P11+'11B3'!P11+'11B4'!P11</f>
        <v>0</v>
      </c>
      <c r="M11" s="49">
        <f>'11B1'!M11+'11B2'!R11+'11B3'!R11+'11B4'!R11</f>
        <v>0</v>
      </c>
      <c r="N11" s="49">
        <f>'11B1'!N11+'11B2'!T11+'11B3'!T11+'11B4'!T11</f>
        <v>0</v>
      </c>
      <c r="O11" s="49">
        <f>'11B1'!O11+'11B2'!V11+'11B3'!V11+'11B4'!V11</f>
        <v>0</v>
      </c>
      <c r="P11" s="15"/>
      <c r="Q11" s="16"/>
      <c r="R11" s="16"/>
      <c r="S11" s="16"/>
      <c r="T11" s="16"/>
      <c r="U11" s="16"/>
      <c r="V11" s="16"/>
      <c r="W11" s="16"/>
      <c r="X11" s="16"/>
      <c r="Y11" s="16"/>
      <c r="Z11" s="16"/>
    </row>
    <row r="12" spans="1:26" s="17" customFormat="1" x14ac:dyDescent="0.2">
      <c r="A12" s="346"/>
      <c r="B12" s="312" t="s">
        <v>59</v>
      </c>
      <c r="C12" s="312" t="s">
        <v>60</v>
      </c>
      <c r="D12" s="312"/>
      <c r="E12" s="312"/>
      <c r="F12" s="347"/>
      <c r="G12" s="338" t="s">
        <v>111</v>
      </c>
      <c r="H12" s="23"/>
      <c r="I12" s="49">
        <f>'11B1'!I12+'11B2'!J12+'11B3'!J12+'11B4'!J12</f>
        <v>0</v>
      </c>
      <c r="J12" s="49">
        <f>'11B1'!J12+'11B2'!L12+'11B3'!L12+'11B4'!L12</f>
        <v>0</v>
      </c>
      <c r="K12" s="49">
        <f>'11B1'!K12+'11B2'!N12+'11B3'!N12+'11B4'!N12</f>
        <v>0</v>
      </c>
      <c r="L12" s="49">
        <f>'11B1'!L12+'11B2'!P12+'11B3'!P12+'11B4'!P12</f>
        <v>0</v>
      </c>
      <c r="M12" s="49">
        <f>'11B1'!M12+'11B2'!R12+'11B3'!R12+'11B4'!R12</f>
        <v>0</v>
      </c>
      <c r="N12" s="49">
        <f>'11B1'!N12+'11B2'!T12+'11B3'!T12+'11B4'!T12</f>
        <v>0</v>
      </c>
      <c r="O12" s="49">
        <f>'11B1'!O12+'11B2'!V12+'11B3'!V12+'11B4'!V12</f>
        <v>0</v>
      </c>
      <c r="P12" s="15"/>
      <c r="Q12" s="16"/>
      <c r="R12" s="16"/>
      <c r="S12" s="16"/>
      <c r="T12" s="16"/>
      <c r="U12" s="16"/>
      <c r="V12" s="16"/>
      <c r="W12" s="16"/>
      <c r="X12" s="16"/>
      <c r="Y12" s="16"/>
      <c r="Z12" s="16"/>
    </row>
    <row r="13" spans="1:26" s="17" customFormat="1" x14ac:dyDescent="0.2">
      <c r="A13" s="346"/>
      <c r="B13" s="312" t="s">
        <v>61</v>
      </c>
      <c r="C13" s="312" t="s">
        <v>72</v>
      </c>
      <c r="D13" s="312"/>
      <c r="E13" s="312"/>
      <c r="F13" s="347"/>
      <c r="G13" s="338" t="s">
        <v>546</v>
      </c>
      <c r="H13" s="23"/>
      <c r="I13" s="49">
        <f>'11B1'!I13+'11B2'!J13+'11B3'!J13+'11B4'!J13</f>
        <v>0</v>
      </c>
      <c r="J13" s="49">
        <f>'11B1'!J13+'11B2'!L13+'11B3'!L13+'11B4'!L13</f>
        <v>0</v>
      </c>
      <c r="K13" s="49">
        <f>'11B1'!K13+'11B2'!N13+'11B3'!N13+'11B4'!N13</f>
        <v>0</v>
      </c>
      <c r="L13" s="49">
        <f>'11B1'!L13+'11B2'!P13+'11B3'!P13+'11B4'!P13</f>
        <v>0</v>
      </c>
      <c r="M13" s="49">
        <f>'11B1'!M13+'11B2'!R13+'11B3'!R13+'11B4'!R13</f>
        <v>0</v>
      </c>
      <c r="N13" s="49">
        <f>'11B1'!N13+'11B2'!T13+'11B3'!T13+'11B4'!T13</f>
        <v>0</v>
      </c>
      <c r="O13" s="49">
        <f>'11B1'!O13+'11B2'!V13+'11B3'!V13+'11B4'!V13</f>
        <v>0</v>
      </c>
      <c r="P13" s="15"/>
      <c r="Q13" s="16"/>
      <c r="R13" s="16"/>
      <c r="S13" s="16"/>
      <c r="T13" s="16"/>
      <c r="U13" s="16"/>
      <c r="V13" s="16"/>
      <c r="W13" s="16"/>
      <c r="X13" s="16"/>
      <c r="Y13" s="16"/>
      <c r="Z13" s="16"/>
    </row>
    <row r="14" spans="1:26" s="17" customFormat="1" x14ac:dyDescent="0.2">
      <c r="A14" s="346"/>
      <c r="B14" s="312" t="s">
        <v>71</v>
      </c>
      <c r="C14" s="312" t="s">
        <v>62</v>
      </c>
      <c r="D14" s="312"/>
      <c r="E14" s="312"/>
      <c r="F14" s="347"/>
      <c r="G14" s="338" t="s">
        <v>112</v>
      </c>
      <c r="H14" s="23"/>
      <c r="I14" s="49">
        <f>'11B1'!I14+'11B2'!J14+'11B3'!J14+'11B4'!J14</f>
        <v>0</v>
      </c>
      <c r="J14" s="49">
        <f>'11B1'!J14+'11B2'!L14+'11B3'!L14+'11B4'!L14</f>
        <v>0</v>
      </c>
      <c r="K14" s="49">
        <f>'11B1'!K14+'11B2'!N14+'11B3'!N14+'11B4'!N14</f>
        <v>0</v>
      </c>
      <c r="L14" s="49">
        <f>'11B1'!L14+'11B2'!P14+'11B3'!P14+'11B4'!P14</f>
        <v>0</v>
      </c>
      <c r="M14" s="49">
        <f>'11B1'!M14+'11B2'!R14+'11B3'!R14+'11B4'!R14</f>
        <v>0</v>
      </c>
      <c r="N14" s="49">
        <f>'11B1'!N14+'11B2'!T14+'11B3'!T14+'11B4'!T14</f>
        <v>0</v>
      </c>
      <c r="O14" s="49">
        <f>'11B1'!O14+'11B2'!V14+'11B3'!V14+'11B4'!V14</f>
        <v>0</v>
      </c>
      <c r="P14" s="15"/>
      <c r="Q14" s="16"/>
      <c r="R14" s="16"/>
      <c r="S14" s="16"/>
      <c r="T14" s="16"/>
      <c r="U14" s="16"/>
      <c r="V14" s="16"/>
      <c r="W14" s="16"/>
      <c r="X14" s="16"/>
      <c r="Y14" s="16"/>
      <c r="Z14" s="16"/>
    </row>
    <row r="15" spans="1:26" s="17" customFormat="1" x14ac:dyDescent="0.2">
      <c r="A15" s="346"/>
      <c r="B15" s="312"/>
      <c r="C15" s="311" t="s">
        <v>54</v>
      </c>
      <c r="D15" s="312" t="s">
        <v>63</v>
      </c>
      <c r="E15" s="312"/>
      <c r="F15" s="347"/>
      <c r="G15" s="338" t="s">
        <v>113</v>
      </c>
      <c r="H15" s="23"/>
      <c r="I15" s="49">
        <f>'11B1'!I15+'11B2'!J15+'11B3'!J15+'11B4'!J15</f>
        <v>0</v>
      </c>
      <c r="J15" s="49">
        <f>'11B1'!J15+'11B2'!L15+'11B3'!L15+'11B4'!L15</f>
        <v>0</v>
      </c>
      <c r="K15" s="49">
        <f>'11B1'!K15+'11B2'!N15+'11B3'!N15+'11B4'!N15</f>
        <v>0</v>
      </c>
      <c r="L15" s="49">
        <f>'11B1'!L15+'11B2'!P15+'11B3'!P15+'11B4'!P15</f>
        <v>0</v>
      </c>
      <c r="M15" s="49">
        <f>'11B1'!M15+'11B2'!R15+'11B3'!R15+'11B4'!R15</f>
        <v>0</v>
      </c>
      <c r="N15" s="49">
        <f>'11B1'!N15+'11B2'!T15+'11B3'!T15+'11B4'!T15</f>
        <v>0</v>
      </c>
      <c r="O15" s="49">
        <f>'11B1'!O15+'11B2'!V15+'11B3'!V15+'11B4'!V15</f>
        <v>0</v>
      </c>
      <c r="P15" s="15"/>
      <c r="Q15" s="16"/>
      <c r="R15" s="16"/>
      <c r="S15" s="16"/>
      <c r="T15" s="16"/>
      <c r="U15" s="16"/>
      <c r="V15" s="16"/>
      <c r="W15" s="16"/>
      <c r="X15" s="16"/>
      <c r="Y15" s="16"/>
      <c r="Z15" s="16"/>
    </row>
    <row r="16" spans="1:26" s="17" customFormat="1" x14ac:dyDescent="0.2">
      <c r="A16" s="346"/>
      <c r="B16" s="312"/>
      <c r="C16" s="311" t="s">
        <v>55</v>
      </c>
      <c r="D16" s="312" t="s">
        <v>64</v>
      </c>
      <c r="E16" s="312"/>
      <c r="F16" s="347"/>
      <c r="G16" s="338" t="s">
        <v>114</v>
      </c>
      <c r="H16" s="23"/>
      <c r="I16" s="49">
        <f>'11B1'!I16+'11B2'!J16+'11B3'!J16+'11B4'!J16</f>
        <v>0</v>
      </c>
      <c r="J16" s="49">
        <f>'11B1'!J16+'11B2'!L16+'11B3'!L16+'11B4'!L16</f>
        <v>0</v>
      </c>
      <c r="K16" s="49">
        <f>'11B1'!K16+'11B2'!N16+'11B3'!N16+'11B4'!N16</f>
        <v>0</v>
      </c>
      <c r="L16" s="49">
        <f>'11B1'!L16+'11B2'!P16+'11B3'!P16+'11B4'!P16</f>
        <v>0</v>
      </c>
      <c r="M16" s="49">
        <f>'11B1'!M16+'11B2'!R16+'11B3'!R16+'11B4'!R16</f>
        <v>0</v>
      </c>
      <c r="N16" s="49">
        <f>'11B1'!N16+'11B2'!T16+'11B3'!T16+'11B4'!T16</f>
        <v>0</v>
      </c>
      <c r="O16" s="49">
        <f>'11B1'!O16+'11B2'!V16+'11B3'!V16+'11B4'!V16</f>
        <v>0</v>
      </c>
      <c r="P16" s="15"/>
      <c r="Q16" s="16"/>
      <c r="R16" s="16"/>
      <c r="S16" s="16"/>
      <c r="T16" s="16"/>
      <c r="U16" s="16"/>
      <c r="V16" s="16"/>
      <c r="W16" s="16"/>
      <c r="X16" s="16"/>
      <c r="Y16" s="16"/>
      <c r="Z16" s="16"/>
    </row>
    <row r="17" spans="1:26" s="17" customFormat="1" x14ac:dyDescent="0.2">
      <c r="A17" s="346"/>
      <c r="B17" s="312"/>
      <c r="C17" s="311" t="s">
        <v>65</v>
      </c>
      <c r="D17" s="312" t="s">
        <v>66</v>
      </c>
      <c r="E17" s="312"/>
      <c r="F17" s="347"/>
      <c r="G17" s="338" t="s">
        <v>115</v>
      </c>
      <c r="H17" s="23"/>
      <c r="I17" s="49">
        <f>'11B1'!I17+'11B2'!J17+'11B3'!J17+'11B4'!J17</f>
        <v>0</v>
      </c>
      <c r="J17" s="49">
        <f>'11B1'!J17+'11B2'!L17+'11B3'!L17+'11B4'!L17</f>
        <v>0</v>
      </c>
      <c r="K17" s="49">
        <f>'11B1'!K17+'11B2'!N17+'11B3'!N17+'11B4'!N17</f>
        <v>0</v>
      </c>
      <c r="L17" s="49">
        <f>'11B1'!L17+'11B2'!P17+'11B3'!P17+'11B4'!P17</f>
        <v>0</v>
      </c>
      <c r="M17" s="49">
        <f>'11B1'!M17+'11B2'!R17+'11B3'!R17+'11B4'!R17</f>
        <v>0</v>
      </c>
      <c r="N17" s="49">
        <f>'11B1'!N17+'11B2'!T17+'11B3'!T17+'11B4'!T17</f>
        <v>0</v>
      </c>
      <c r="O17" s="49">
        <f>'11B1'!O17+'11B2'!V17+'11B3'!V17+'11B4'!V17</f>
        <v>0</v>
      </c>
      <c r="P17" s="15"/>
      <c r="Q17" s="16"/>
      <c r="R17" s="16"/>
      <c r="S17" s="16"/>
      <c r="T17" s="16"/>
      <c r="U17" s="16"/>
      <c r="V17" s="16"/>
      <c r="W17" s="16"/>
      <c r="X17" s="16"/>
      <c r="Y17" s="16"/>
      <c r="Z17" s="16"/>
    </row>
    <row r="18" spans="1:26" s="17" customFormat="1" x14ac:dyDescent="0.2">
      <c r="A18" s="346" t="s">
        <v>55</v>
      </c>
      <c r="B18" s="312" t="s">
        <v>67</v>
      </c>
      <c r="C18" s="312"/>
      <c r="D18" s="312"/>
      <c r="E18" s="312"/>
      <c r="F18" s="347"/>
      <c r="G18" s="338" t="s">
        <v>116</v>
      </c>
      <c r="H18" s="23"/>
      <c r="I18" s="49">
        <f>'11B1'!I18+'11B2'!J18+'11B3'!J18+'11B4'!J18</f>
        <v>0</v>
      </c>
      <c r="J18" s="49">
        <f>'11B1'!J18+'11B2'!L18+'11B3'!L18+'11B4'!L18</f>
        <v>0</v>
      </c>
      <c r="K18" s="49">
        <f>'11B1'!K18+'11B2'!N18+'11B3'!N18+'11B4'!N18</f>
        <v>0</v>
      </c>
      <c r="L18" s="49">
        <f>'11B1'!L18+'11B2'!P18+'11B3'!P18+'11B4'!P18</f>
        <v>0</v>
      </c>
      <c r="M18" s="49">
        <f>'11B1'!M18+'11B2'!R18+'11B3'!R18+'11B4'!R18</f>
        <v>0</v>
      </c>
      <c r="N18" s="49">
        <f>'11B1'!N18+'11B2'!T18+'11B3'!T18+'11B4'!T18</f>
        <v>0</v>
      </c>
      <c r="O18" s="49">
        <f>'11B1'!O18+'11B2'!V18+'11B3'!V18+'11B4'!V18</f>
        <v>0</v>
      </c>
      <c r="P18" s="15"/>
      <c r="Q18" s="16"/>
      <c r="R18" s="16"/>
      <c r="S18" s="16"/>
      <c r="T18" s="16"/>
      <c r="U18" s="16"/>
      <c r="V18" s="16"/>
      <c r="W18" s="16"/>
      <c r="X18" s="16"/>
      <c r="Y18" s="16"/>
      <c r="Z18" s="16"/>
    </row>
    <row r="19" spans="1:26" s="17" customFormat="1" x14ac:dyDescent="0.2">
      <c r="A19" s="346"/>
      <c r="B19" s="312" t="s">
        <v>59</v>
      </c>
      <c r="C19" s="312" t="s">
        <v>68</v>
      </c>
      <c r="D19" s="312"/>
      <c r="E19" s="312"/>
      <c r="F19" s="347"/>
      <c r="G19" s="338" t="s">
        <v>117</v>
      </c>
      <c r="H19" s="23"/>
      <c r="I19" s="49">
        <f>'11B1'!I19+'11B2'!J19+'11B3'!J19+'11B4'!J19</f>
        <v>0</v>
      </c>
      <c r="J19" s="49">
        <f>'11B1'!J19+'11B2'!L19+'11B3'!L19+'11B4'!L19</f>
        <v>0</v>
      </c>
      <c r="K19" s="49">
        <f>'11B1'!K19+'11B2'!N19+'11B3'!N19+'11B4'!N19</f>
        <v>0</v>
      </c>
      <c r="L19" s="49">
        <f>'11B1'!L19+'11B2'!P19+'11B3'!P19+'11B4'!P19</f>
        <v>0</v>
      </c>
      <c r="M19" s="49">
        <f>'11B1'!M19+'11B2'!R19+'11B3'!R19+'11B4'!R19</f>
        <v>0</v>
      </c>
      <c r="N19" s="49">
        <f>'11B1'!N19+'11B2'!T19+'11B3'!T19+'11B4'!T19</f>
        <v>0</v>
      </c>
      <c r="O19" s="49">
        <f>'11B1'!O19+'11B2'!V19+'11B3'!V19+'11B4'!V19</f>
        <v>0</v>
      </c>
      <c r="P19" s="15"/>
      <c r="Q19" s="16"/>
      <c r="R19" s="16"/>
      <c r="S19" s="16"/>
      <c r="T19" s="16"/>
      <c r="U19" s="16"/>
      <c r="V19" s="16"/>
      <c r="W19" s="16"/>
      <c r="X19" s="16"/>
      <c r="Y19" s="16"/>
      <c r="Z19" s="16"/>
    </row>
    <row r="20" spans="1:26" s="17" customFormat="1" x14ac:dyDescent="0.2">
      <c r="A20" s="346"/>
      <c r="B20" s="312" t="s">
        <v>69</v>
      </c>
      <c r="C20" s="312" t="s">
        <v>70</v>
      </c>
      <c r="D20" s="312"/>
      <c r="E20" s="312"/>
      <c r="F20" s="347"/>
      <c r="G20" s="338" t="s">
        <v>118</v>
      </c>
      <c r="H20" s="23"/>
      <c r="I20" s="49">
        <f>'11B1'!I20+'11B2'!J20+'11B3'!J20+'11B4'!J20</f>
        <v>0</v>
      </c>
      <c r="J20" s="49">
        <f>'11B1'!J20+'11B2'!L20+'11B3'!L20+'11B4'!L20</f>
        <v>0</v>
      </c>
      <c r="K20" s="49">
        <f>'11B1'!K20+'11B2'!N20+'11B3'!N20+'11B4'!N20</f>
        <v>0</v>
      </c>
      <c r="L20" s="49">
        <f>'11B1'!L20+'11B2'!P20+'11B3'!P20+'11B4'!P20</f>
        <v>0</v>
      </c>
      <c r="M20" s="49">
        <f>'11B1'!M20+'11B2'!R20+'11B3'!R20+'11B4'!R20</f>
        <v>0</v>
      </c>
      <c r="N20" s="49">
        <f>'11B1'!N20+'11B2'!T20+'11B3'!T20+'11B4'!T20</f>
        <v>0</v>
      </c>
      <c r="O20" s="49">
        <f>'11B1'!O20+'11B2'!V20+'11B3'!V20+'11B4'!V20</f>
        <v>0</v>
      </c>
      <c r="P20" s="15"/>
      <c r="Q20" s="16"/>
      <c r="R20" s="16"/>
      <c r="S20" s="16"/>
      <c r="T20" s="16"/>
      <c r="U20" s="16"/>
      <c r="V20" s="16"/>
      <c r="W20" s="16"/>
      <c r="X20" s="16"/>
      <c r="Y20" s="16"/>
      <c r="Z20" s="16"/>
    </row>
    <row r="21" spans="1:26" s="17" customFormat="1" x14ac:dyDescent="0.2">
      <c r="A21" s="346" t="s">
        <v>65</v>
      </c>
      <c r="B21" s="3" t="s">
        <v>1436</v>
      </c>
      <c r="C21" s="3"/>
      <c r="D21" s="3"/>
      <c r="E21" s="3"/>
      <c r="F21" s="3"/>
      <c r="G21" s="605" t="s">
        <v>119</v>
      </c>
      <c r="H21" s="23"/>
      <c r="I21" s="49">
        <f>'11B1'!I21+'11B2'!J21+'11B3'!J21+'11B4'!J21</f>
        <v>0</v>
      </c>
      <c r="J21" s="49">
        <f>'11B1'!J21+'11B2'!L21+'11B3'!L21+'11B4'!L21</f>
        <v>0</v>
      </c>
      <c r="K21" s="49">
        <f>'11B1'!K21+'11B2'!N21+'11B3'!N21+'11B4'!N21</f>
        <v>0</v>
      </c>
      <c r="L21" s="49">
        <f>'11B1'!L21+'11B2'!P21+'11B3'!P21+'11B4'!P21</f>
        <v>0</v>
      </c>
      <c r="M21" s="49">
        <f>'11B1'!M21+'11B2'!R21+'11B3'!R21+'11B4'!R21</f>
        <v>0</v>
      </c>
      <c r="N21" s="49">
        <f>'11B1'!N21+'11B2'!T21+'11B3'!T21+'11B4'!T21</f>
        <v>0</v>
      </c>
      <c r="O21" s="49">
        <f>'11B1'!O21+'11B2'!V21+'11B3'!V21+'11B4'!V21</f>
        <v>0</v>
      </c>
      <c r="P21" s="15"/>
      <c r="Q21" s="16"/>
      <c r="R21" s="16"/>
      <c r="S21" s="16"/>
      <c r="T21" s="16"/>
      <c r="U21" s="16"/>
      <c r="V21" s="16"/>
      <c r="W21" s="16"/>
      <c r="X21" s="16"/>
      <c r="Y21" s="16"/>
      <c r="Z21" s="16"/>
    </row>
    <row r="22" spans="1:26" s="17" customFormat="1" x14ac:dyDescent="0.2">
      <c r="A22" s="346"/>
      <c r="B22" s="3" t="s">
        <v>59</v>
      </c>
      <c r="C22" s="658" t="s">
        <v>543</v>
      </c>
      <c r="D22" s="659"/>
      <c r="E22" s="659"/>
      <c r="F22" s="660"/>
      <c r="G22" s="605" t="s">
        <v>1437</v>
      </c>
      <c r="H22" s="23"/>
      <c r="I22" s="49">
        <f>'11B1'!I22+'11B2'!J22+'11B3'!J22+'11B4'!J22</f>
        <v>0</v>
      </c>
      <c r="J22" s="49">
        <f>'11B1'!J22+'11B2'!L22+'11B3'!L22+'11B4'!L22</f>
        <v>0</v>
      </c>
      <c r="K22" s="49">
        <f>'11B1'!K22+'11B2'!N22+'11B3'!N22+'11B4'!N22</f>
        <v>0</v>
      </c>
      <c r="L22" s="49">
        <f>'11B1'!L22+'11B2'!P22+'11B3'!P22+'11B4'!P22</f>
        <v>0</v>
      </c>
      <c r="M22" s="49">
        <f>'11B1'!M22+'11B2'!R22+'11B3'!R22+'11B4'!R22</f>
        <v>0</v>
      </c>
      <c r="N22" s="49">
        <f>'11B1'!N22+'11B2'!T22+'11B3'!T22+'11B4'!T22</f>
        <v>0</v>
      </c>
      <c r="O22" s="49">
        <f>'11B1'!O22+'11B2'!V22+'11B3'!V22+'11B4'!V22</f>
        <v>0</v>
      </c>
      <c r="P22" s="15"/>
      <c r="Q22" s="16"/>
      <c r="R22" s="16"/>
      <c r="S22" s="16"/>
      <c r="T22" s="16"/>
      <c r="U22" s="16"/>
      <c r="V22" s="16"/>
      <c r="W22" s="16"/>
      <c r="X22" s="16"/>
      <c r="Y22" s="16"/>
      <c r="Z22" s="16"/>
    </row>
    <row r="23" spans="1:26" s="17" customFormat="1" x14ac:dyDescent="0.2">
      <c r="A23" s="346"/>
      <c r="B23" s="3" t="s">
        <v>61</v>
      </c>
      <c r="C23" s="658" t="s">
        <v>1430</v>
      </c>
      <c r="D23" s="659"/>
      <c r="E23" s="659"/>
      <c r="F23" s="660"/>
      <c r="G23" s="605" t="s">
        <v>1438</v>
      </c>
      <c r="H23" s="23"/>
      <c r="I23" s="49">
        <f>'11B1'!I23+'11B2'!J23+'11B3'!J23+'11B4'!J23</f>
        <v>0</v>
      </c>
      <c r="J23" s="49">
        <f>'11B1'!J23+'11B2'!L23+'11B3'!L23+'11B4'!L23</f>
        <v>0</v>
      </c>
      <c r="K23" s="49">
        <f>'11B1'!K23+'11B2'!N23+'11B3'!N23+'11B4'!N23</f>
        <v>0</v>
      </c>
      <c r="L23" s="49">
        <f>'11B1'!L23+'11B2'!P23+'11B3'!P23+'11B4'!P23</f>
        <v>0</v>
      </c>
      <c r="M23" s="49">
        <f>'11B1'!M23+'11B2'!R23+'11B3'!R23+'11B4'!R23</f>
        <v>0</v>
      </c>
      <c r="N23" s="49">
        <f>'11B1'!N23+'11B2'!T23+'11B3'!T23+'11B4'!T23</f>
        <v>0</v>
      </c>
      <c r="O23" s="49">
        <f>'11B1'!O23+'11B2'!V23+'11B3'!V23+'11B4'!V23</f>
        <v>0</v>
      </c>
      <c r="P23" s="15"/>
      <c r="Q23" s="16"/>
      <c r="R23" s="16"/>
      <c r="S23" s="16"/>
      <c r="T23" s="16"/>
      <c r="U23" s="16"/>
      <c r="V23" s="16"/>
      <c r="W23" s="16"/>
      <c r="X23" s="16"/>
      <c r="Y23" s="16"/>
      <c r="Z23" s="16"/>
    </row>
    <row r="24" spans="1:26" s="17" customFormat="1" x14ac:dyDescent="0.2">
      <c r="A24" s="346" t="s">
        <v>90</v>
      </c>
      <c r="B24" s="312" t="s">
        <v>641</v>
      </c>
      <c r="C24" s="312"/>
      <c r="D24" s="312"/>
      <c r="E24" s="312"/>
      <c r="F24" s="347"/>
      <c r="G24" s="338" t="s">
        <v>120</v>
      </c>
      <c r="H24" s="23"/>
      <c r="I24" s="49">
        <f>'11B1'!I24+'11B2'!J24+'11B3'!J24+'11B4'!J24</f>
        <v>0</v>
      </c>
      <c r="J24" s="49">
        <f>'11B1'!J24+'11B2'!L24+'11B3'!L24+'11B4'!L24</f>
        <v>0</v>
      </c>
      <c r="K24" s="49">
        <f>'11B1'!K24+'11B2'!N24+'11B3'!N24+'11B4'!N24</f>
        <v>0</v>
      </c>
      <c r="L24" s="49">
        <f>'11B1'!L24+'11B2'!P24+'11B3'!P24+'11B4'!P24</f>
        <v>0</v>
      </c>
      <c r="M24" s="49">
        <f>'11B1'!M24+'11B2'!R24+'11B3'!R24+'11B4'!R24</f>
        <v>0</v>
      </c>
      <c r="N24" s="49">
        <f>'11B1'!N24+'11B2'!T24+'11B3'!T24+'11B4'!T24</f>
        <v>0</v>
      </c>
      <c r="O24" s="49">
        <f>'11B1'!O24+'11B2'!V24+'11B3'!V24+'11B4'!V24</f>
        <v>0</v>
      </c>
      <c r="P24" s="15"/>
      <c r="Q24" s="16"/>
      <c r="R24" s="16"/>
      <c r="S24" s="16"/>
      <c r="T24" s="16"/>
      <c r="U24" s="16"/>
      <c r="V24" s="16"/>
      <c r="W24" s="16"/>
      <c r="X24" s="16"/>
      <c r="Y24" s="16"/>
      <c r="Z24" s="16"/>
    </row>
    <row r="25" spans="1:26" s="17" customFormat="1" x14ac:dyDescent="0.2">
      <c r="A25" s="346"/>
      <c r="B25" s="312" t="s">
        <v>59</v>
      </c>
      <c r="C25" s="312" t="s">
        <v>1451</v>
      </c>
      <c r="D25" s="312"/>
      <c r="E25" s="312"/>
      <c r="F25" s="347"/>
      <c r="G25" s="338" t="s">
        <v>121</v>
      </c>
      <c r="H25" s="23"/>
      <c r="I25" s="49">
        <f>'11B1'!I25+'11B2'!J25+'11B3'!J25+'11B4'!J25</f>
        <v>0</v>
      </c>
      <c r="J25" s="49">
        <f>'11B1'!J25+'11B2'!L25+'11B3'!L25+'11B4'!L25</f>
        <v>0</v>
      </c>
      <c r="K25" s="49">
        <f>'11B1'!K25+'11B2'!N25+'11B3'!N25+'11B4'!N25</f>
        <v>0</v>
      </c>
      <c r="L25" s="49">
        <f>'11B1'!L25+'11B2'!P25+'11B3'!P25+'11B4'!P25</f>
        <v>0</v>
      </c>
      <c r="M25" s="49">
        <f>'11B1'!M25+'11B2'!R25+'11B3'!R25+'11B4'!R25</f>
        <v>0</v>
      </c>
      <c r="N25" s="49">
        <f>'11B1'!N25+'11B2'!T25+'11B3'!T25+'11B4'!T25</f>
        <v>0</v>
      </c>
      <c r="O25" s="49">
        <f>'11B1'!O25+'11B2'!V25+'11B3'!V25+'11B4'!V25</f>
        <v>0</v>
      </c>
      <c r="P25" s="15"/>
      <c r="Q25" s="16"/>
      <c r="R25" s="16"/>
      <c r="S25" s="16"/>
      <c r="T25" s="16"/>
      <c r="U25" s="16"/>
      <c r="V25" s="16"/>
      <c r="W25" s="16"/>
      <c r="X25" s="16"/>
      <c r="Y25" s="16"/>
      <c r="Z25" s="16"/>
    </row>
    <row r="26" spans="1:26" s="17" customFormat="1" x14ac:dyDescent="0.2">
      <c r="A26" s="346"/>
      <c r="B26" s="312" t="s">
        <v>69</v>
      </c>
      <c r="C26" s="312" t="s">
        <v>1452</v>
      </c>
      <c r="D26" s="312"/>
      <c r="E26" s="312"/>
      <c r="F26" s="347"/>
      <c r="G26" s="338" t="s">
        <v>122</v>
      </c>
      <c r="H26" s="23"/>
      <c r="I26" s="49">
        <f>'11B1'!I26+'11B2'!J26+'11B3'!J26+'11B4'!J26</f>
        <v>0</v>
      </c>
      <c r="J26" s="49">
        <f>'11B1'!J26+'11B2'!L26+'11B3'!L26+'11B4'!L26</f>
        <v>0</v>
      </c>
      <c r="K26" s="49">
        <f>'11B1'!K26+'11B2'!N26+'11B3'!N26+'11B4'!N26</f>
        <v>0</v>
      </c>
      <c r="L26" s="49">
        <f>'11B1'!L26+'11B2'!P26+'11B3'!P26+'11B4'!P26</f>
        <v>0</v>
      </c>
      <c r="M26" s="49">
        <f>'11B1'!M26+'11B2'!R26+'11B3'!R26+'11B4'!R26</f>
        <v>0</v>
      </c>
      <c r="N26" s="49">
        <f>'11B1'!N26+'11B2'!T26+'11B3'!T26+'11B4'!T26</f>
        <v>0</v>
      </c>
      <c r="O26" s="49">
        <f>'11B1'!O26+'11B2'!V26+'11B3'!V26+'11B4'!V26</f>
        <v>0</v>
      </c>
      <c r="P26" s="15"/>
      <c r="Q26" s="16"/>
      <c r="R26" s="16"/>
      <c r="S26" s="16"/>
      <c r="T26" s="16"/>
      <c r="U26" s="16"/>
      <c r="V26" s="16"/>
      <c r="W26" s="16"/>
      <c r="X26" s="16"/>
      <c r="Y26" s="16"/>
      <c r="Z26" s="16"/>
    </row>
    <row r="27" spans="1:26" s="17" customFormat="1" x14ac:dyDescent="0.2">
      <c r="A27" s="346" t="s">
        <v>257</v>
      </c>
      <c r="B27" s="312" t="s">
        <v>983</v>
      </c>
      <c r="C27" s="312"/>
      <c r="D27" s="312"/>
      <c r="E27" s="312"/>
      <c r="F27" s="347"/>
      <c r="G27" s="338" t="s">
        <v>123</v>
      </c>
      <c r="H27" s="23"/>
      <c r="I27" s="49">
        <f>'11B1'!I27+'11B2'!J27+'11B3'!J27+'11B4'!J27</f>
        <v>0</v>
      </c>
      <c r="J27" s="49">
        <f>'11B1'!J27+'11B2'!L27+'11B3'!L27+'11B4'!L27</f>
        <v>0</v>
      </c>
      <c r="K27" s="49">
        <f>'11B1'!K27+'11B2'!N27+'11B3'!N27+'11B4'!N27</f>
        <v>0</v>
      </c>
      <c r="L27" s="49">
        <f>'11B1'!L27+'11B2'!P27+'11B3'!P27+'11B4'!P27</f>
        <v>0</v>
      </c>
      <c r="M27" s="49">
        <f>'11B1'!M27+'11B2'!R27+'11B3'!R27+'11B4'!R27</f>
        <v>0</v>
      </c>
      <c r="N27" s="49">
        <f>'11B1'!N27+'11B2'!T27+'11B3'!T27+'11B4'!T27</f>
        <v>0</v>
      </c>
      <c r="O27" s="49">
        <f>'11B1'!O27+'11B2'!V27+'11B3'!V27+'11B4'!V27</f>
        <v>0</v>
      </c>
      <c r="P27" s="15"/>
      <c r="Q27" s="16"/>
      <c r="R27" s="16"/>
      <c r="S27" s="16"/>
      <c r="T27" s="16"/>
      <c r="U27" s="16"/>
      <c r="V27" s="16"/>
      <c r="W27" s="16"/>
      <c r="X27" s="16"/>
      <c r="Y27" s="16"/>
      <c r="Z27" s="16"/>
    </row>
    <row r="28" spans="1:26" s="17" customFormat="1" x14ac:dyDescent="0.2">
      <c r="A28" s="346" t="s">
        <v>74</v>
      </c>
      <c r="B28" s="312" t="s">
        <v>77</v>
      </c>
      <c r="C28" s="312"/>
      <c r="D28" s="312"/>
      <c r="E28" s="312"/>
      <c r="F28" s="347"/>
      <c r="G28" s="338" t="s">
        <v>124</v>
      </c>
      <c r="H28" s="23"/>
      <c r="I28" s="49">
        <f>'11B1'!I28+'11B2'!J28+'11B3'!J28+'11B4'!J28</f>
        <v>0</v>
      </c>
      <c r="J28" s="49">
        <f>'11B1'!J28+'11B2'!L28+'11B3'!L28+'11B4'!L28</f>
        <v>0</v>
      </c>
      <c r="K28" s="49">
        <f>'11B1'!K28+'11B2'!N28+'11B3'!N28+'11B4'!N28</f>
        <v>0</v>
      </c>
      <c r="L28" s="49">
        <f>'11B1'!L28+'11B2'!P28+'11B3'!P28+'11B4'!P28</f>
        <v>0</v>
      </c>
      <c r="M28" s="49">
        <f>'11B1'!M28+'11B2'!R28+'11B3'!R28+'11B4'!R28</f>
        <v>0</v>
      </c>
      <c r="N28" s="49">
        <f>'11B1'!N28+'11B2'!T28+'11B3'!T28+'11B4'!T28</f>
        <v>0</v>
      </c>
      <c r="O28" s="49">
        <f>'11B1'!O28+'11B2'!V28+'11B3'!V28+'11B4'!V28</f>
        <v>0</v>
      </c>
      <c r="P28" s="15"/>
      <c r="Q28" s="16"/>
      <c r="R28" s="16"/>
      <c r="S28" s="16"/>
      <c r="T28" s="16"/>
      <c r="U28" s="16"/>
      <c r="V28" s="16"/>
      <c r="W28" s="16"/>
      <c r="X28" s="16"/>
      <c r="Y28" s="16"/>
      <c r="Z28" s="16"/>
    </row>
    <row r="29" spans="1:26" s="17" customFormat="1" x14ac:dyDescent="0.2">
      <c r="A29" s="346"/>
      <c r="B29" s="312" t="s">
        <v>59</v>
      </c>
      <c r="C29" s="312" t="s">
        <v>78</v>
      </c>
      <c r="D29" s="312"/>
      <c r="E29" s="312"/>
      <c r="F29" s="347"/>
      <c r="G29" s="338" t="s">
        <v>125</v>
      </c>
      <c r="H29" s="23"/>
      <c r="I29" s="49">
        <f>'11B1'!I29+'11B2'!J29+'11B3'!J29+'11B4'!J29</f>
        <v>0</v>
      </c>
      <c r="J29" s="49">
        <f>'11B1'!J29+'11B2'!L29+'11B3'!L29+'11B4'!L29</f>
        <v>0</v>
      </c>
      <c r="K29" s="49">
        <f>'11B1'!K29+'11B2'!N29+'11B3'!N29+'11B4'!N29</f>
        <v>0</v>
      </c>
      <c r="L29" s="49">
        <f>'11B1'!L29+'11B2'!P29+'11B3'!P29+'11B4'!P29</f>
        <v>0</v>
      </c>
      <c r="M29" s="49">
        <f>'11B1'!M29+'11B2'!R29+'11B3'!R29+'11B4'!R29</f>
        <v>0</v>
      </c>
      <c r="N29" s="49">
        <f>'11B1'!N29+'11B2'!T29+'11B3'!T29+'11B4'!T29</f>
        <v>0</v>
      </c>
      <c r="O29" s="49">
        <f>'11B1'!O29+'11B2'!V29+'11B3'!V29+'11B4'!V29</f>
        <v>0</v>
      </c>
      <c r="P29" s="15"/>
      <c r="Q29" s="16"/>
      <c r="R29" s="16"/>
      <c r="S29" s="16"/>
      <c r="T29" s="16"/>
      <c r="U29" s="16"/>
      <c r="V29" s="16"/>
      <c r="W29" s="16"/>
      <c r="X29" s="16"/>
      <c r="Y29" s="16"/>
      <c r="Z29" s="16"/>
    </row>
    <row r="30" spans="1:26" s="17" customFormat="1" x14ac:dyDescent="0.2">
      <c r="A30" s="346"/>
      <c r="B30" s="312" t="s">
        <v>61</v>
      </c>
      <c r="C30" s="312" t="s">
        <v>66</v>
      </c>
      <c r="D30" s="312"/>
      <c r="E30" s="312"/>
      <c r="F30" s="347"/>
      <c r="G30" s="338" t="s">
        <v>126</v>
      </c>
      <c r="H30" s="23"/>
      <c r="I30" s="49">
        <f>'11B1'!I30+'11B2'!J30+'11B3'!J30+'11B4'!J30</f>
        <v>0</v>
      </c>
      <c r="J30" s="49">
        <f>'11B1'!J30+'11B2'!L30+'11B3'!L30+'11B4'!L30</f>
        <v>0</v>
      </c>
      <c r="K30" s="49">
        <f>'11B1'!K30+'11B2'!N30+'11B3'!N30+'11B4'!N30</f>
        <v>0</v>
      </c>
      <c r="L30" s="49">
        <f>'11B1'!L30+'11B2'!P30+'11B3'!P30+'11B4'!P30</f>
        <v>0</v>
      </c>
      <c r="M30" s="49">
        <f>'11B1'!M30+'11B2'!R30+'11B3'!R30+'11B4'!R30</f>
        <v>0</v>
      </c>
      <c r="N30" s="49">
        <f>'11B1'!N30+'11B2'!T30+'11B3'!T30+'11B4'!T30</f>
        <v>0</v>
      </c>
      <c r="O30" s="49">
        <f>'11B1'!O30+'11B2'!V30+'11B3'!V30+'11B4'!V30</f>
        <v>0</v>
      </c>
      <c r="P30" s="15"/>
      <c r="Q30" s="16"/>
      <c r="R30" s="16"/>
      <c r="S30" s="16"/>
      <c r="T30" s="16"/>
      <c r="U30" s="16"/>
      <c r="V30" s="16"/>
      <c r="W30" s="16"/>
      <c r="X30" s="16"/>
      <c r="Y30" s="16"/>
      <c r="Z30" s="16"/>
    </row>
    <row r="31" spans="1:26" s="17" customFormat="1" ht="24.75" customHeight="1" x14ac:dyDescent="0.2">
      <c r="A31" s="346" t="s">
        <v>76</v>
      </c>
      <c r="B31" s="640" t="s">
        <v>982</v>
      </c>
      <c r="C31" s="640"/>
      <c r="D31" s="640"/>
      <c r="E31" s="640"/>
      <c r="F31" s="640"/>
      <c r="G31" s="338" t="s">
        <v>127</v>
      </c>
      <c r="H31" s="23"/>
      <c r="I31" s="49">
        <f>'11B1'!I31+'11B2'!J31+'11B3'!J31+'11B4'!J31</f>
        <v>0</v>
      </c>
      <c r="J31" s="49">
        <f>'11B1'!J31+'11B2'!L31+'11B3'!L31+'11B4'!L31</f>
        <v>0</v>
      </c>
      <c r="K31" s="49">
        <f>'11B1'!K31+'11B2'!N31+'11B3'!N31+'11B4'!N31</f>
        <v>0</v>
      </c>
      <c r="L31" s="49">
        <f>'11B1'!L31+'11B2'!P31+'11B3'!P31+'11B4'!P31</f>
        <v>0</v>
      </c>
      <c r="M31" s="49">
        <f>'11B1'!M31+'11B2'!R31+'11B3'!R31+'11B4'!R31</f>
        <v>0</v>
      </c>
      <c r="N31" s="49">
        <f>'11B1'!N31+'11B2'!T31+'11B3'!T31+'11B4'!T31</f>
        <v>0</v>
      </c>
      <c r="O31" s="49">
        <f>'11B1'!O31+'11B2'!V31+'11B3'!V31+'11B4'!V31</f>
        <v>0</v>
      </c>
      <c r="P31" s="15"/>
      <c r="Q31" s="16"/>
      <c r="R31" s="16"/>
      <c r="S31" s="16"/>
      <c r="T31" s="16"/>
      <c r="U31" s="16"/>
      <c r="V31" s="16"/>
      <c r="W31" s="16"/>
      <c r="X31" s="16"/>
      <c r="Y31" s="16"/>
      <c r="Z31" s="16"/>
    </row>
    <row r="32" spans="1:26" s="17" customFormat="1" x14ac:dyDescent="0.2">
      <c r="A32" s="346" t="s">
        <v>79</v>
      </c>
      <c r="B32" s="312" t="s">
        <v>1467</v>
      </c>
      <c r="C32" s="312"/>
      <c r="D32" s="312"/>
      <c r="E32" s="312"/>
      <c r="F32" s="347"/>
      <c r="G32" s="338" t="s">
        <v>128</v>
      </c>
      <c r="H32" s="23"/>
      <c r="I32" s="49">
        <f>'11B1'!I32+'11B2'!J32+'11B3'!J32+'11B4'!J32</f>
        <v>0</v>
      </c>
      <c r="J32" s="49">
        <f>'11B1'!J32+'11B2'!L32+'11B3'!L32+'11B4'!L32</f>
        <v>0</v>
      </c>
      <c r="K32" s="49">
        <f>'11B1'!K32+'11B2'!N32+'11B3'!N32+'11B4'!N32</f>
        <v>0</v>
      </c>
      <c r="L32" s="49">
        <f>'11B1'!L32+'11B2'!P32+'11B3'!P32+'11B4'!P32</f>
        <v>0</v>
      </c>
      <c r="M32" s="49">
        <f>'11B1'!M32+'11B2'!R32+'11B3'!R32+'11B4'!R32</f>
        <v>0</v>
      </c>
      <c r="N32" s="49">
        <f>'11B1'!N32+'11B2'!T32+'11B3'!T32+'11B4'!T32</f>
        <v>0</v>
      </c>
      <c r="O32" s="49">
        <f>'11B1'!O32+'11B2'!V32+'11B3'!V32+'11B4'!V32</f>
        <v>0</v>
      </c>
      <c r="P32" s="15"/>
      <c r="Q32" s="16"/>
      <c r="R32" s="16"/>
      <c r="S32" s="16"/>
      <c r="T32" s="16"/>
      <c r="U32" s="16"/>
      <c r="V32" s="16"/>
      <c r="W32" s="16"/>
      <c r="X32" s="16"/>
      <c r="Y32" s="16"/>
      <c r="Z32" s="16"/>
    </row>
    <row r="33" spans="1:26" s="17" customFormat="1" x14ac:dyDescent="0.2">
      <c r="A33" s="346"/>
      <c r="B33" s="312" t="s">
        <v>59</v>
      </c>
      <c r="C33" s="312" t="s">
        <v>82</v>
      </c>
      <c r="D33" s="312"/>
      <c r="E33" s="312"/>
      <c r="F33" s="347"/>
      <c r="G33" s="338" t="s">
        <v>129</v>
      </c>
      <c r="H33" s="23"/>
      <c r="I33" s="49">
        <f>'11B1'!I33+'11B2'!J33+'11B3'!J33+'11B4'!J33</f>
        <v>0</v>
      </c>
      <c r="J33" s="49">
        <f>'11B1'!J33+'11B2'!L33+'11B3'!L33+'11B4'!L33</f>
        <v>0</v>
      </c>
      <c r="K33" s="49">
        <f>'11B1'!K33+'11B2'!N33+'11B3'!N33+'11B4'!N33</f>
        <v>0</v>
      </c>
      <c r="L33" s="49">
        <f>'11B1'!L33+'11B2'!P33+'11B3'!P33+'11B4'!P33</f>
        <v>0</v>
      </c>
      <c r="M33" s="49">
        <f>'11B1'!M33+'11B2'!R33+'11B3'!R33+'11B4'!R33</f>
        <v>0</v>
      </c>
      <c r="N33" s="49">
        <f>'11B1'!N33+'11B2'!T33+'11B3'!T33+'11B4'!T33</f>
        <v>0</v>
      </c>
      <c r="O33" s="49">
        <f>'11B1'!O33+'11B2'!V33+'11B3'!V33+'11B4'!V33</f>
        <v>0</v>
      </c>
      <c r="P33" s="15"/>
      <c r="Q33" s="16"/>
      <c r="R33" s="16"/>
      <c r="S33" s="16"/>
      <c r="T33" s="16"/>
      <c r="U33" s="16"/>
      <c r="V33" s="16"/>
      <c r="W33" s="16"/>
      <c r="X33" s="16"/>
      <c r="Y33" s="16"/>
      <c r="Z33" s="16"/>
    </row>
    <row r="34" spans="1:26" s="17" customFormat="1" x14ac:dyDescent="0.2">
      <c r="A34" s="346"/>
      <c r="B34" s="312" t="s">
        <v>61</v>
      </c>
      <c r="C34" s="662" t="s">
        <v>1457</v>
      </c>
      <c r="D34" s="662"/>
      <c r="E34" s="662"/>
      <c r="F34" s="663"/>
      <c r="G34" s="338" t="s">
        <v>130</v>
      </c>
      <c r="H34" s="23"/>
      <c r="I34" s="49">
        <f>'11B1'!I34+'11B2'!J34+'11B3'!J34+'11B4'!J34</f>
        <v>0</v>
      </c>
      <c r="J34" s="49">
        <f>'11B1'!J34+'11B2'!L34+'11B3'!L34+'11B4'!L34</f>
        <v>0</v>
      </c>
      <c r="K34" s="49">
        <f>'11B1'!K34+'11B2'!N34+'11B3'!N34+'11B4'!N34</f>
        <v>0</v>
      </c>
      <c r="L34" s="49">
        <f>'11B1'!L34+'11B2'!P34+'11B3'!P34+'11B4'!P34</f>
        <v>0</v>
      </c>
      <c r="M34" s="49">
        <f>'11B1'!M34+'11B2'!R34+'11B3'!R34+'11B4'!R34</f>
        <v>0</v>
      </c>
      <c r="N34" s="49">
        <f>'11B1'!N34+'11B2'!T34+'11B3'!T34+'11B4'!T34</f>
        <v>0</v>
      </c>
      <c r="O34" s="49">
        <f>'11B1'!O34+'11B2'!V34+'11B3'!V34+'11B4'!V34</f>
        <v>0</v>
      </c>
      <c r="P34" s="15"/>
      <c r="Q34" s="16"/>
      <c r="R34" s="16"/>
      <c r="S34" s="16"/>
      <c r="T34" s="16"/>
      <c r="U34" s="16"/>
      <c r="V34" s="16"/>
      <c r="W34" s="16"/>
      <c r="X34" s="16"/>
      <c r="Y34" s="16"/>
      <c r="Z34" s="16"/>
    </row>
    <row r="35" spans="1:26" s="17" customFormat="1" x14ac:dyDescent="0.2">
      <c r="A35" s="617"/>
      <c r="B35" s="556"/>
      <c r="C35" s="312" t="s">
        <v>54</v>
      </c>
      <c r="D35" s="312" t="s">
        <v>83</v>
      </c>
      <c r="E35" s="312"/>
      <c r="F35" s="312"/>
      <c r="G35" s="618" t="s">
        <v>1463</v>
      </c>
      <c r="H35" s="291"/>
      <c r="I35" s="49">
        <f>'11B1'!I35+'11B2'!J35+'11B3'!J35+'11B4'!J35</f>
        <v>0</v>
      </c>
      <c r="J35" s="49">
        <f>'11B1'!J35+'11B2'!L35+'11B3'!L35+'11B4'!L35</f>
        <v>0</v>
      </c>
      <c r="K35" s="49">
        <f>'11B1'!K35+'11B2'!N35+'11B3'!N35+'11B4'!N35</f>
        <v>0</v>
      </c>
      <c r="L35" s="49">
        <f>'11B1'!L35+'11B2'!P35+'11B3'!P35+'11B4'!P35</f>
        <v>0</v>
      </c>
      <c r="M35" s="49">
        <f>'11B1'!M35+'11B2'!R35+'11B3'!R35+'11B4'!R35</f>
        <v>0</v>
      </c>
      <c r="N35" s="49">
        <f>'11B1'!N35+'11B2'!T35+'11B3'!T35+'11B4'!T35</f>
        <v>0</v>
      </c>
      <c r="O35" s="49">
        <f>'11B1'!O35+'11B2'!V35+'11B3'!V35+'11B4'!V35</f>
        <v>0</v>
      </c>
      <c r="P35" s="15"/>
      <c r="Q35" s="16"/>
      <c r="R35" s="16"/>
      <c r="S35" s="16"/>
      <c r="T35" s="16"/>
      <c r="U35" s="16"/>
      <c r="V35" s="16"/>
      <c r="W35" s="16"/>
      <c r="X35" s="16"/>
      <c r="Y35" s="16"/>
      <c r="Z35" s="16"/>
    </row>
    <row r="36" spans="1:26" s="17" customFormat="1" x14ac:dyDescent="0.2">
      <c r="A36" s="617"/>
      <c r="B36" s="556"/>
      <c r="C36" s="312" t="s">
        <v>55</v>
      </c>
      <c r="D36" s="312" t="s">
        <v>1458</v>
      </c>
      <c r="E36" s="312"/>
      <c r="F36" s="312"/>
      <c r="G36" s="618" t="s">
        <v>1464</v>
      </c>
      <c r="H36" s="291"/>
      <c r="I36" s="49">
        <f>'11B1'!I36+'11B2'!J36+'11B3'!J36+'11B4'!J36</f>
        <v>0</v>
      </c>
      <c r="J36" s="49">
        <f>'11B1'!J36+'11B2'!L36+'11B3'!L36+'11B4'!L36</f>
        <v>0</v>
      </c>
      <c r="K36" s="49">
        <f>'11B1'!K36+'11B2'!N36+'11B3'!N36+'11B4'!N36</f>
        <v>0</v>
      </c>
      <c r="L36" s="49">
        <f>'11B1'!L36+'11B2'!P36+'11B3'!P36+'11B4'!P36</f>
        <v>0</v>
      </c>
      <c r="M36" s="49">
        <f>'11B1'!M36+'11B2'!R36+'11B3'!R36+'11B4'!R36</f>
        <v>0</v>
      </c>
      <c r="N36" s="49">
        <f>'11B1'!N36+'11B2'!T36+'11B3'!T36+'11B4'!T36</f>
        <v>0</v>
      </c>
      <c r="O36" s="49">
        <f>'11B1'!O36+'11B2'!V36+'11B3'!V36+'11B4'!V36</f>
        <v>0</v>
      </c>
      <c r="P36" s="15"/>
      <c r="Q36" s="16"/>
      <c r="R36" s="16"/>
      <c r="S36" s="16"/>
      <c r="T36" s="16"/>
      <c r="U36" s="16"/>
      <c r="V36" s="16"/>
      <c r="W36" s="16"/>
      <c r="X36" s="16"/>
      <c r="Y36" s="16"/>
      <c r="Z36" s="16"/>
    </row>
    <row r="37" spans="1:26" s="17" customFormat="1" ht="24" customHeight="1" x14ac:dyDescent="0.2">
      <c r="A37" s="346"/>
      <c r="B37" s="3" t="s">
        <v>1434</v>
      </c>
      <c r="C37" s="694" t="s">
        <v>1468</v>
      </c>
      <c r="D37" s="695"/>
      <c r="E37" s="695"/>
      <c r="F37" s="696"/>
      <c r="G37" s="605" t="s">
        <v>1439</v>
      </c>
      <c r="H37" s="23"/>
      <c r="I37" s="49">
        <f>'11B1'!I37+'11B2'!J37+'11B3'!J37+'11B4'!J37</f>
        <v>0</v>
      </c>
      <c r="J37" s="49">
        <f>'11B1'!J37+'11B2'!L37+'11B3'!L37+'11B4'!L37</f>
        <v>0</v>
      </c>
      <c r="K37" s="49">
        <f>'11B1'!K37+'11B2'!N37+'11B3'!N37+'11B4'!N37</f>
        <v>0</v>
      </c>
      <c r="L37" s="49">
        <f>'11B1'!L37+'11B2'!P37+'11B3'!P37+'11B4'!P37</f>
        <v>0</v>
      </c>
      <c r="M37" s="49">
        <f>'11B1'!M37+'11B2'!R37+'11B3'!R37+'11B4'!R37</f>
        <v>0</v>
      </c>
      <c r="N37" s="49">
        <f>'11B1'!N37+'11B2'!T37+'11B3'!T37+'11B4'!T37</f>
        <v>0</v>
      </c>
      <c r="O37" s="49">
        <f>'11B1'!O37+'11B2'!V37+'11B3'!V37+'11B4'!V37</f>
        <v>0</v>
      </c>
      <c r="P37" s="15"/>
      <c r="Q37" s="16"/>
      <c r="R37" s="16"/>
      <c r="S37" s="16"/>
      <c r="T37" s="16"/>
      <c r="U37" s="16"/>
      <c r="V37" s="16"/>
      <c r="W37" s="16"/>
      <c r="X37" s="16"/>
      <c r="Y37" s="16"/>
      <c r="Z37" s="16"/>
    </row>
    <row r="38" spans="1:26" s="17" customFormat="1" x14ac:dyDescent="0.2">
      <c r="A38" s="346"/>
      <c r="B38" s="312" t="s">
        <v>1433</v>
      </c>
      <c r="C38" s="312" t="s">
        <v>52</v>
      </c>
      <c r="D38" s="312"/>
      <c r="E38" s="312"/>
      <c r="F38" s="347"/>
      <c r="G38" s="338" t="s">
        <v>131</v>
      </c>
      <c r="H38" s="23"/>
      <c r="I38" s="49">
        <f>'11B1'!I38+'11B2'!J38+'11B3'!J38+'11B4'!J38</f>
        <v>0</v>
      </c>
      <c r="J38" s="49">
        <f>'11B1'!J38+'11B2'!L38+'11B3'!L38+'11B4'!L38</f>
        <v>0</v>
      </c>
      <c r="K38" s="49">
        <f>'11B1'!K38+'11B2'!N38+'11B3'!N38+'11B4'!N38</f>
        <v>0</v>
      </c>
      <c r="L38" s="49">
        <f>'11B1'!L38+'11B2'!P38+'11B3'!P38+'11B4'!P38</f>
        <v>0</v>
      </c>
      <c r="M38" s="49">
        <f>'11B1'!M38+'11B2'!R38+'11B3'!R38+'11B4'!R38</f>
        <v>0</v>
      </c>
      <c r="N38" s="49">
        <f>'11B1'!N38+'11B2'!T38+'11B3'!T38+'11B4'!T38</f>
        <v>0</v>
      </c>
      <c r="O38" s="49">
        <f>'11B1'!O38+'11B2'!V38+'11B3'!V38+'11B4'!V38</f>
        <v>0</v>
      </c>
      <c r="P38" s="15"/>
      <c r="Q38" s="16"/>
      <c r="R38" s="16"/>
      <c r="S38" s="16"/>
      <c r="T38" s="16"/>
      <c r="U38" s="16"/>
      <c r="V38" s="16"/>
      <c r="W38" s="16"/>
      <c r="X38" s="16"/>
      <c r="Y38" s="16"/>
      <c r="Z38" s="16"/>
    </row>
    <row r="39" spans="1:26" s="17" customFormat="1" x14ac:dyDescent="0.2">
      <c r="A39" s="346" t="s">
        <v>81</v>
      </c>
      <c r="B39" s="312" t="s">
        <v>85</v>
      </c>
      <c r="C39" s="312"/>
      <c r="D39" s="312"/>
      <c r="E39" s="312"/>
      <c r="F39" s="347"/>
      <c r="G39" s="338" t="s">
        <v>132</v>
      </c>
      <c r="H39" s="23"/>
      <c r="I39" s="49">
        <f>'11B1'!I39+'11B2'!J39+'11B3'!J39+'11B4'!J39</f>
        <v>0</v>
      </c>
      <c r="J39" s="49">
        <f>'11B1'!J39+'11B2'!L39+'11B3'!L39+'11B4'!L39</f>
        <v>0</v>
      </c>
      <c r="K39" s="49">
        <f>'11B1'!K39+'11B2'!N39+'11B3'!N39+'11B4'!N39</f>
        <v>0</v>
      </c>
      <c r="L39" s="49">
        <f>'11B1'!L39+'11B2'!P39+'11B3'!P39+'11B4'!P39</f>
        <v>0</v>
      </c>
      <c r="M39" s="49">
        <f>'11B1'!M39+'11B2'!R39+'11B3'!R39+'11B4'!R39</f>
        <v>0</v>
      </c>
      <c r="N39" s="49">
        <f>'11B1'!N39+'11B2'!T39+'11B3'!T39+'11B4'!T39</f>
        <v>0</v>
      </c>
      <c r="O39" s="49">
        <f>'11B1'!O39+'11B2'!V39+'11B3'!V39+'11B4'!V39</f>
        <v>0</v>
      </c>
      <c r="P39" s="15"/>
      <c r="Q39" s="16"/>
      <c r="R39" s="16"/>
      <c r="S39" s="16"/>
      <c r="T39" s="16"/>
      <c r="U39" s="16"/>
      <c r="V39" s="16"/>
      <c r="W39" s="16"/>
      <c r="X39" s="16"/>
      <c r="Y39" s="16"/>
      <c r="Z39" s="16"/>
    </row>
    <row r="40" spans="1:26" s="17" customFormat="1" ht="12" customHeight="1" x14ac:dyDescent="0.2">
      <c r="A40" s="223" t="s">
        <v>86</v>
      </c>
      <c r="B40" s="312"/>
      <c r="C40" s="312"/>
      <c r="D40" s="312"/>
      <c r="E40" s="312"/>
      <c r="F40" s="347"/>
      <c r="G40" s="338" t="s">
        <v>133</v>
      </c>
      <c r="H40" s="23"/>
      <c r="I40" s="49">
        <f>'11B1'!I40+'11B2'!J40+'11B3'!J40+'11B4'!J40</f>
        <v>0</v>
      </c>
      <c r="J40" s="49">
        <f>'11B1'!J40+'11B2'!L40+'11B3'!L40+'11B4'!L40</f>
        <v>0</v>
      </c>
      <c r="K40" s="49">
        <f>'11B1'!K40+'11B2'!N40+'11B3'!N40+'11B4'!N40</f>
        <v>0</v>
      </c>
      <c r="L40" s="49">
        <f>'11B1'!L40+'11B2'!P40+'11B3'!P40+'11B4'!P40</f>
        <v>0</v>
      </c>
      <c r="M40" s="49">
        <f>'11B1'!M40+'11B2'!R40+'11B3'!R40+'11B4'!R40</f>
        <v>0</v>
      </c>
      <c r="N40" s="49">
        <f>'11B1'!N40+'11B2'!T40+'11B3'!T40+'11B4'!T40</f>
        <v>0</v>
      </c>
      <c r="O40" s="49">
        <f>'11B1'!O40+'11B2'!V40+'11B3'!V40+'11B4'!V40</f>
        <v>0</v>
      </c>
      <c r="P40" s="2"/>
      <c r="Q40" s="1"/>
      <c r="R40" s="1"/>
      <c r="S40" s="1"/>
      <c r="T40" s="16"/>
      <c r="U40" s="16"/>
      <c r="V40" s="16"/>
      <c r="W40" s="16"/>
      <c r="X40" s="16"/>
      <c r="Y40" s="16"/>
      <c r="Z40" s="16"/>
    </row>
    <row r="41" spans="1:26" s="17" customFormat="1" x14ac:dyDescent="0.2">
      <c r="A41" s="348" t="s">
        <v>54</v>
      </c>
      <c r="B41" s="225" t="s">
        <v>87</v>
      </c>
      <c r="C41" s="312"/>
      <c r="D41" s="312"/>
      <c r="E41" s="312"/>
      <c r="F41" s="347"/>
      <c r="G41" s="338" t="s">
        <v>134</v>
      </c>
      <c r="H41" s="23"/>
      <c r="I41" s="49">
        <f>'11B1'!I41+'11B2'!J41+'11B3'!J41+'11B4'!J41</f>
        <v>0</v>
      </c>
      <c r="J41" s="49">
        <f>'11B1'!J41+'11B2'!L41+'11B3'!L41+'11B4'!L41</f>
        <v>0</v>
      </c>
      <c r="K41" s="49">
        <f>'11B1'!K41+'11B2'!N41+'11B3'!N41+'11B4'!N41</f>
        <v>0</v>
      </c>
      <c r="L41" s="49">
        <f>'11B1'!L41+'11B2'!P41+'11B3'!P41+'11B4'!P41</f>
        <v>0</v>
      </c>
      <c r="M41" s="49">
        <f>'11B1'!M41+'11B2'!R41+'11B3'!R41+'11B4'!R41</f>
        <v>0</v>
      </c>
      <c r="N41" s="49">
        <f>'11B1'!N41+'11B2'!T41+'11B3'!T41+'11B4'!T41</f>
        <v>0</v>
      </c>
      <c r="O41" s="49">
        <f>'11B1'!O41+'11B2'!V41+'11B3'!V41+'11B4'!V41</f>
        <v>0</v>
      </c>
      <c r="P41" s="15"/>
      <c r="Q41" s="16"/>
      <c r="R41" s="16"/>
      <c r="S41" s="16"/>
      <c r="T41" s="16"/>
      <c r="U41" s="16"/>
      <c r="V41" s="16"/>
      <c r="W41" s="16"/>
      <c r="X41" s="16"/>
      <c r="Y41" s="16"/>
      <c r="Z41" s="16"/>
    </row>
    <row r="42" spans="1:26" s="17" customFormat="1" x14ac:dyDescent="0.2">
      <c r="A42" s="348" t="s">
        <v>55</v>
      </c>
      <c r="B42" s="225" t="s">
        <v>88</v>
      </c>
      <c r="C42" s="312"/>
      <c r="D42" s="312"/>
      <c r="E42" s="312"/>
      <c r="F42" s="347"/>
      <c r="G42" s="338" t="s">
        <v>135</v>
      </c>
      <c r="H42" s="23"/>
      <c r="I42" s="49">
        <f>'11B1'!I42+'11B2'!J42+'11B3'!J42+'11B4'!J42</f>
        <v>0</v>
      </c>
      <c r="J42" s="49">
        <f>'11B1'!J42+'11B2'!L42+'11B3'!L42+'11B4'!L42</f>
        <v>0</v>
      </c>
      <c r="K42" s="49">
        <f>'11B1'!K42+'11B2'!N42+'11B3'!N42+'11B4'!N42</f>
        <v>0</v>
      </c>
      <c r="L42" s="49">
        <f>'11B1'!L42+'11B2'!P42+'11B3'!P42+'11B4'!P42</f>
        <v>0</v>
      </c>
      <c r="M42" s="49">
        <f>'11B1'!M42+'11B2'!R42+'11B3'!R42+'11B4'!R42</f>
        <v>0</v>
      </c>
      <c r="N42" s="49">
        <f>'11B1'!N42+'11B2'!T42+'11B3'!T42+'11B4'!T42</f>
        <v>0</v>
      </c>
      <c r="O42" s="49">
        <f>'11B1'!O42+'11B2'!V42+'11B3'!V42+'11B4'!V42</f>
        <v>0</v>
      </c>
      <c r="P42" s="2"/>
      <c r="Q42" s="16"/>
      <c r="R42" s="16"/>
      <c r="S42" s="16"/>
      <c r="T42" s="16"/>
      <c r="U42" s="16"/>
      <c r="V42" s="16"/>
      <c r="W42" s="16"/>
      <c r="X42" s="16"/>
      <c r="Y42" s="16"/>
      <c r="Z42" s="16"/>
    </row>
    <row r="43" spans="1:26" s="17" customFormat="1" x14ac:dyDescent="0.2">
      <c r="A43" s="348" t="s">
        <v>65</v>
      </c>
      <c r="B43" s="312" t="s">
        <v>89</v>
      </c>
      <c r="C43" s="312"/>
      <c r="D43" s="312"/>
      <c r="E43" s="312"/>
      <c r="F43" s="347"/>
      <c r="G43" s="338" t="s">
        <v>136</v>
      </c>
      <c r="H43" s="23"/>
      <c r="I43" s="49">
        <f>'11B1'!I43+'11B2'!J43+'11B3'!J43+'11B4'!J43</f>
        <v>0</v>
      </c>
      <c r="J43" s="49">
        <f>'11B1'!J43+'11B2'!L43+'11B3'!L43+'11B4'!L43</f>
        <v>0</v>
      </c>
      <c r="K43" s="49">
        <f>'11B1'!K43+'11B2'!N43+'11B3'!N43+'11B4'!N43</f>
        <v>0</v>
      </c>
      <c r="L43" s="49">
        <f>'11B1'!L43+'11B2'!P43+'11B3'!P43+'11B4'!P43</f>
        <v>0</v>
      </c>
      <c r="M43" s="49">
        <f>'11B1'!M43+'11B2'!R43+'11B3'!R43+'11B4'!R43</f>
        <v>0</v>
      </c>
      <c r="N43" s="49">
        <f>'11B1'!N43+'11B2'!T43+'11B3'!T43+'11B4'!T43</f>
        <v>0</v>
      </c>
      <c r="O43" s="49">
        <f>'11B1'!O43+'11B2'!V43+'11B3'!V43+'11B4'!V43</f>
        <v>0</v>
      </c>
      <c r="P43" s="2"/>
      <c r="Q43" s="16"/>
      <c r="R43" s="16"/>
      <c r="S43" s="16"/>
      <c r="T43" s="16"/>
      <c r="U43" s="16"/>
      <c r="V43" s="16"/>
      <c r="W43" s="16"/>
      <c r="X43" s="16"/>
      <c r="Y43" s="16"/>
      <c r="Z43" s="16"/>
    </row>
    <row r="44" spans="1:26" s="17" customFormat="1" x14ac:dyDescent="0.2">
      <c r="A44" s="348" t="s">
        <v>90</v>
      </c>
      <c r="B44" s="312" t="s">
        <v>91</v>
      </c>
      <c r="C44" s="312"/>
      <c r="D44" s="312"/>
      <c r="E44" s="312"/>
      <c r="F44" s="347"/>
      <c r="G44" s="338" t="s">
        <v>137</v>
      </c>
      <c r="H44" s="23"/>
      <c r="I44" s="49">
        <f>'11B1'!I44+'11B2'!J44+'11B3'!J44+'11B4'!J44</f>
        <v>0</v>
      </c>
      <c r="J44" s="49">
        <f>'11B1'!J44+'11B2'!L44+'11B3'!L44+'11B4'!L44</f>
        <v>0</v>
      </c>
      <c r="K44" s="49">
        <f>'11B1'!K44+'11B2'!N44+'11B3'!N44+'11B4'!N44</f>
        <v>0</v>
      </c>
      <c r="L44" s="49">
        <f>'11B1'!L44+'11B2'!P44+'11B3'!P44+'11B4'!P44</f>
        <v>0</v>
      </c>
      <c r="M44" s="49">
        <f>'11B1'!M44+'11B2'!R44+'11B3'!R44+'11B4'!R44</f>
        <v>0</v>
      </c>
      <c r="N44" s="49">
        <f>'11B1'!N44+'11B2'!T44+'11B3'!T44+'11B4'!T44</f>
        <v>0</v>
      </c>
      <c r="O44" s="49">
        <f>'11B1'!O44+'11B2'!V44+'11B3'!V44+'11B4'!V44</f>
        <v>0</v>
      </c>
      <c r="P44" s="2"/>
      <c r="Q44" s="16"/>
      <c r="R44" s="16"/>
      <c r="S44" s="16"/>
      <c r="T44" s="16"/>
      <c r="U44" s="16"/>
      <c r="V44" s="16"/>
      <c r="W44" s="16"/>
      <c r="X44" s="16"/>
      <c r="Y44" s="16"/>
      <c r="Z44" s="16"/>
    </row>
    <row r="45" spans="1:26" s="17" customFormat="1" ht="14.25" customHeight="1" x14ac:dyDescent="0.2">
      <c r="A45" s="365" t="s">
        <v>140</v>
      </c>
      <c r="B45" s="349"/>
      <c r="C45" s="349"/>
      <c r="D45" s="349"/>
      <c r="E45" s="349"/>
      <c r="F45" s="349"/>
      <c r="G45" s="338" t="s">
        <v>138</v>
      </c>
      <c r="H45" s="23"/>
      <c r="I45" s="49">
        <f>'11B1'!I45+'11B2'!J45+'11B3'!J45+'11B4'!J45</f>
        <v>0</v>
      </c>
      <c r="J45" s="49">
        <f>'11B1'!J45+'11B2'!L45+'11B3'!L45+'11B4'!L45</f>
        <v>0</v>
      </c>
      <c r="K45" s="49">
        <f>'11B1'!K45+'11B2'!N45+'11B3'!N45+'11B4'!N45</f>
        <v>0</v>
      </c>
      <c r="L45" s="49">
        <f>'11B1'!L45+'11B2'!P45+'11B3'!P45+'11B4'!P45</f>
        <v>0</v>
      </c>
      <c r="M45" s="49">
        <f>'11B1'!M45+'11B2'!R45+'11B3'!R45+'11B4'!R45</f>
        <v>0</v>
      </c>
      <c r="N45" s="49">
        <f>'11B1'!N45+'11B2'!T45+'11B3'!T45+'11B4'!T45</f>
        <v>0</v>
      </c>
      <c r="O45" s="49">
        <f>'11B1'!O45+'11B2'!V45+'11B3'!V45+'11B4'!V45</f>
        <v>0</v>
      </c>
      <c r="P45" s="2"/>
      <c r="Q45" s="16"/>
      <c r="R45" s="16"/>
      <c r="S45" s="16"/>
      <c r="T45" s="16"/>
      <c r="U45" s="16"/>
      <c r="V45" s="16"/>
      <c r="W45" s="16"/>
      <c r="X45" s="16"/>
      <c r="Y45" s="16"/>
      <c r="Z45" s="16"/>
    </row>
    <row r="46" spans="1:26" s="17" customFormat="1" ht="14.25" customHeight="1" x14ac:dyDescent="0.2">
      <c r="A46" s="328" t="s">
        <v>644</v>
      </c>
      <c r="B46" s="329"/>
      <c r="C46" s="329"/>
      <c r="D46" s="330"/>
      <c r="E46" s="329"/>
      <c r="F46" s="331"/>
      <c r="G46" s="332"/>
      <c r="H46" s="19"/>
      <c r="I46" s="49"/>
      <c r="J46" s="49"/>
      <c r="K46" s="49"/>
      <c r="L46" s="49"/>
      <c r="M46" s="49"/>
      <c r="N46" s="49"/>
      <c r="O46" s="49"/>
      <c r="P46" s="1"/>
      <c r="Q46" s="16"/>
      <c r="R46" s="16"/>
      <c r="S46" s="16"/>
      <c r="T46" s="16"/>
      <c r="U46" s="16"/>
      <c r="V46" s="16"/>
      <c r="W46" s="16"/>
      <c r="X46" s="16"/>
      <c r="Y46" s="16"/>
      <c r="Z46" s="16"/>
    </row>
    <row r="47" spans="1:26" s="17" customFormat="1" ht="14.25" customHeight="1" x14ac:dyDescent="0.2">
      <c r="A47" s="333" t="s">
        <v>161</v>
      </c>
      <c r="B47" s="303" t="s">
        <v>68</v>
      </c>
      <c r="C47" s="303"/>
      <c r="D47" s="303"/>
      <c r="E47" s="303"/>
      <c r="F47" s="334"/>
      <c r="G47" s="351" t="s">
        <v>642</v>
      </c>
      <c r="H47" s="260"/>
      <c r="I47" s="49">
        <f>'11B1'!I47+'11B2'!J47+'11B3'!J47+'11B4'!J47</f>
        <v>0</v>
      </c>
      <c r="J47" s="49">
        <f>'11B1'!J47+'11B2'!L47+'11B3'!L47+'11B4'!L47</f>
        <v>0</v>
      </c>
      <c r="K47" s="49">
        <f>'11B1'!K47+'11B2'!N47+'11B3'!N47+'11B4'!N47</f>
        <v>0</v>
      </c>
      <c r="L47" s="49">
        <f>'11B1'!L47+'11B2'!P47+'11B3'!P47+'11B4'!P47</f>
        <v>0</v>
      </c>
      <c r="M47" s="49">
        <f>'11B1'!M47+'11B2'!R47+'11B3'!R47+'11B4'!R47</f>
        <v>0</v>
      </c>
      <c r="N47" s="49">
        <f>'11B1'!N47+'11B2'!T47+'11B3'!T47+'11B4'!T47</f>
        <v>0</v>
      </c>
      <c r="O47" s="49">
        <f>'11B1'!O47+'11B2'!V47+'11B3'!V47+'11B4'!V47</f>
        <v>0</v>
      </c>
      <c r="P47" s="1"/>
      <c r="Q47" s="16"/>
      <c r="R47" s="16"/>
      <c r="S47" s="16"/>
      <c r="T47" s="16"/>
      <c r="U47" s="16"/>
      <c r="V47" s="16"/>
      <c r="W47" s="16"/>
      <c r="X47" s="16"/>
      <c r="Y47" s="16"/>
      <c r="Z47" s="16"/>
    </row>
    <row r="48" spans="1:26" s="17" customFormat="1" ht="14.25" customHeight="1" x14ac:dyDescent="0.2">
      <c r="A48" s="366" t="s">
        <v>164</v>
      </c>
      <c r="B48" s="303" t="s">
        <v>70</v>
      </c>
      <c r="C48" s="303"/>
      <c r="D48" s="303"/>
      <c r="E48" s="303"/>
      <c r="F48" s="331"/>
      <c r="G48" s="351" t="s">
        <v>643</v>
      </c>
      <c r="H48" s="19"/>
      <c r="I48" s="49">
        <f>'11B1'!I48+'11B2'!J48+'11B3'!J48+'11B4'!J48</f>
        <v>0</v>
      </c>
      <c r="J48" s="49">
        <f>'11B1'!J48+'11B2'!L48+'11B3'!L48+'11B4'!L48</f>
        <v>0</v>
      </c>
      <c r="K48" s="49">
        <f>'11B1'!K48+'11B2'!N48+'11B3'!N48+'11B4'!N48</f>
        <v>0</v>
      </c>
      <c r="L48" s="49">
        <f>'11B1'!L48+'11B2'!P48+'11B3'!P48+'11B4'!P48</f>
        <v>0</v>
      </c>
      <c r="M48" s="49">
        <f>'11B1'!M48+'11B2'!R48+'11B3'!R48+'11B4'!R48</f>
        <v>0</v>
      </c>
      <c r="N48" s="49">
        <f>'11B1'!N48+'11B2'!T48+'11B3'!T48+'11B4'!T48</f>
        <v>0</v>
      </c>
      <c r="O48" s="49">
        <f>'11B1'!O48+'11B2'!V48+'11B3'!V48+'11B4'!V48</f>
        <v>0</v>
      </c>
      <c r="P48" s="1"/>
      <c r="Q48" s="16"/>
      <c r="R48" s="16"/>
      <c r="S48" s="16"/>
      <c r="T48" s="16"/>
      <c r="U48" s="16"/>
      <c r="V48" s="16"/>
      <c r="W48" s="16"/>
      <c r="X48" s="16"/>
      <c r="Y48" s="16"/>
      <c r="Z48" s="16"/>
    </row>
    <row r="49" spans="7:26" x14ac:dyDescent="0.2">
      <c r="G49" s="229" t="s">
        <v>108</v>
      </c>
      <c r="P49" s="9"/>
      <c r="Q49" s="9"/>
      <c r="R49" s="9"/>
      <c r="S49" s="9"/>
      <c r="T49" s="9"/>
      <c r="U49" s="9"/>
      <c r="V49" s="9"/>
      <c r="W49" s="9"/>
      <c r="X49" s="9"/>
      <c r="Y49" s="9"/>
      <c r="Z49" s="9"/>
    </row>
    <row r="50" spans="7:26" x14ac:dyDescent="0.2">
      <c r="P50" s="9"/>
      <c r="Q50" s="9"/>
      <c r="R50" s="9"/>
      <c r="S50" s="9"/>
      <c r="T50" s="9"/>
      <c r="U50" s="9"/>
      <c r="V50" s="9"/>
      <c r="W50" s="9"/>
      <c r="X50" s="9"/>
      <c r="Y50" s="9"/>
      <c r="Z50" s="9"/>
    </row>
    <row r="51" spans="7:26" x14ac:dyDescent="0.2">
      <c r="P51" s="9"/>
      <c r="Q51" s="9"/>
      <c r="R51" s="9"/>
      <c r="S51" s="9"/>
      <c r="T51" s="9"/>
      <c r="U51" s="9"/>
      <c r="V51" s="9"/>
      <c r="W51" s="9"/>
      <c r="X51" s="9"/>
      <c r="Y51" s="9"/>
      <c r="Z51" s="9"/>
    </row>
  </sheetData>
  <sheetProtection password="D2C5" sheet="1" objects="1" scenarios="1" selectLockedCells="1"/>
  <mergeCells count="18">
    <mergeCell ref="L8:L9"/>
    <mergeCell ref="C37:F37"/>
    <mergeCell ref="O6:O9"/>
    <mergeCell ref="G5:G9"/>
    <mergeCell ref="C22:F22"/>
    <mergeCell ref="C34:F34"/>
    <mergeCell ref="C23:F23"/>
    <mergeCell ref="B31:F31"/>
    <mergeCell ref="A1:O1"/>
    <mergeCell ref="A2:O2"/>
    <mergeCell ref="A3:O3"/>
    <mergeCell ref="I6:I9"/>
    <mergeCell ref="A5:F9"/>
    <mergeCell ref="M6:M9"/>
    <mergeCell ref="N6:N9"/>
    <mergeCell ref="J6:J9"/>
    <mergeCell ref="K6:L7"/>
    <mergeCell ref="K8:K9"/>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11b&amp;8&amp;U
&amp;P of &amp;N&amp;C&amp;"Arial,Bold"&amp;8 NEW RURAL BANK OF SAN LEONARDO, INC  [ 04-040656 ]
 As of: September 30, 2017</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51"/>
  <sheetViews>
    <sheetView zoomScaleNormal="100" zoomScaleSheetLayoutView="80" workbookViewId="0">
      <pane xSplit="8" ySplit="9" topLeftCell="I10" activePane="bottomRight" state="frozen"/>
      <selection activeCell="A49" sqref="A49"/>
      <selection pane="topRight" activeCell="A49" sqref="A49"/>
      <selection pane="bottomLeft" activeCell="A49" sqref="A49"/>
      <selection pane="bottomRight" activeCell="I12" sqref="I12"/>
    </sheetView>
  </sheetViews>
  <sheetFormatPr defaultRowHeight="11.25" x14ac:dyDescent="0.2"/>
  <cols>
    <col min="1" max="1" width="3.140625" style="5" customWidth="1"/>
    <col min="2" max="2" width="2.85546875" style="5" customWidth="1"/>
    <col min="3" max="3" width="3" style="5" customWidth="1"/>
    <col min="4" max="5" width="4.140625" style="5" customWidth="1"/>
    <col min="6" max="6" width="38.85546875" style="5" customWidth="1"/>
    <col min="7" max="7" width="19.42578125" style="5" customWidth="1"/>
    <col min="8" max="8" width="19.42578125" style="5" hidden="1" customWidth="1"/>
    <col min="9" max="15" width="25.7109375" style="48"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9.140625" style="5"/>
  </cols>
  <sheetData>
    <row r="1" spans="1:26" s="243" customFormat="1" ht="12.75" x14ac:dyDescent="0.2">
      <c r="A1" s="697" t="s">
        <v>105</v>
      </c>
      <c r="B1" s="697"/>
      <c r="C1" s="697"/>
      <c r="D1" s="697"/>
      <c r="E1" s="697"/>
      <c r="F1" s="697"/>
      <c r="G1" s="697"/>
      <c r="H1" s="697"/>
      <c r="I1" s="697"/>
      <c r="J1" s="697"/>
      <c r="K1" s="697"/>
      <c r="L1" s="697"/>
      <c r="M1" s="697"/>
      <c r="N1" s="697"/>
      <c r="O1" s="697"/>
      <c r="P1" s="242"/>
      <c r="Q1" s="242"/>
      <c r="R1" s="242"/>
      <c r="S1" s="242"/>
      <c r="T1" s="242"/>
      <c r="U1" s="242"/>
      <c r="V1" s="242"/>
      <c r="W1" s="242"/>
      <c r="X1" s="242"/>
    </row>
    <row r="2" spans="1:26" s="243" customFormat="1" ht="12.75" x14ac:dyDescent="0.2">
      <c r="A2" s="697" t="s">
        <v>92</v>
      </c>
      <c r="B2" s="697"/>
      <c r="C2" s="697"/>
      <c r="D2" s="697"/>
      <c r="E2" s="697"/>
      <c r="F2" s="697"/>
      <c r="G2" s="697"/>
      <c r="H2" s="697"/>
      <c r="I2" s="697"/>
      <c r="J2" s="697"/>
      <c r="K2" s="697"/>
      <c r="L2" s="697"/>
      <c r="M2" s="697"/>
      <c r="N2" s="697"/>
      <c r="O2" s="697"/>
      <c r="P2" s="242"/>
      <c r="Q2" s="242"/>
      <c r="R2" s="242"/>
      <c r="S2" s="242"/>
      <c r="T2" s="242"/>
      <c r="U2" s="242"/>
      <c r="V2" s="242"/>
      <c r="W2" s="242"/>
      <c r="X2" s="242"/>
    </row>
    <row r="3" spans="1:26" s="243" customFormat="1" ht="12.75" x14ac:dyDescent="0.2">
      <c r="A3" s="697" t="s">
        <v>56</v>
      </c>
      <c r="B3" s="697"/>
      <c r="C3" s="697"/>
      <c r="D3" s="697"/>
      <c r="E3" s="697"/>
      <c r="F3" s="697"/>
      <c r="G3" s="697"/>
      <c r="H3" s="697"/>
      <c r="I3" s="697"/>
      <c r="J3" s="697"/>
      <c r="K3" s="697"/>
      <c r="L3" s="697"/>
      <c r="M3" s="697"/>
      <c r="N3" s="697"/>
      <c r="O3" s="697"/>
      <c r="P3" s="242"/>
      <c r="Q3" s="242"/>
      <c r="R3" s="242"/>
      <c r="S3" s="242"/>
      <c r="T3" s="242"/>
      <c r="U3" s="242"/>
      <c r="V3" s="242"/>
      <c r="W3" s="242"/>
      <c r="X3" s="242"/>
    </row>
    <row r="4" spans="1:26" x14ac:dyDescent="0.2">
      <c r="A4" s="8"/>
      <c r="B4" s="8"/>
      <c r="C4" s="8"/>
      <c r="D4" s="8"/>
      <c r="E4" s="8"/>
      <c r="F4" s="8"/>
      <c r="G4" s="8"/>
      <c r="H4" s="8"/>
      <c r="I4" s="53"/>
      <c r="J4" s="53"/>
      <c r="K4" s="53"/>
      <c r="L4" s="53"/>
      <c r="M4" s="53"/>
      <c r="N4" s="53"/>
      <c r="O4" s="53"/>
      <c r="P4" s="4"/>
      <c r="Q4" s="4"/>
      <c r="R4" s="4"/>
      <c r="S4" s="4"/>
      <c r="T4" s="4"/>
      <c r="U4" s="4"/>
      <c r="V4" s="4"/>
      <c r="W4" s="4"/>
      <c r="X4" s="4"/>
    </row>
    <row r="5" spans="1:26" ht="11.25" customHeight="1" x14ac:dyDescent="0.2">
      <c r="A5" s="672" t="s">
        <v>45</v>
      </c>
      <c r="B5" s="672"/>
      <c r="C5" s="672"/>
      <c r="D5" s="672"/>
      <c r="E5" s="672"/>
      <c r="F5" s="672"/>
      <c r="G5" s="698" t="s">
        <v>46</v>
      </c>
      <c r="H5" s="39"/>
      <c r="I5" s="40" t="s">
        <v>94</v>
      </c>
      <c r="J5" s="40" t="s">
        <v>95</v>
      </c>
      <c r="K5" s="40" t="s">
        <v>96</v>
      </c>
      <c r="L5" s="40" t="s">
        <v>97</v>
      </c>
      <c r="M5" s="40" t="s">
        <v>98</v>
      </c>
      <c r="N5" s="40" t="s">
        <v>99</v>
      </c>
      <c r="O5" s="40" t="s">
        <v>100</v>
      </c>
      <c r="P5" s="7"/>
      <c r="Q5" s="7"/>
      <c r="R5" s="7"/>
      <c r="S5" s="7"/>
      <c r="T5" s="7"/>
      <c r="U5" s="8"/>
      <c r="V5" s="8"/>
      <c r="W5" s="8"/>
      <c r="X5" s="8"/>
      <c r="Y5" s="9"/>
      <c r="Z5" s="9"/>
    </row>
    <row r="6" spans="1:26" ht="9" customHeight="1" x14ac:dyDescent="0.2">
      <c r="A6" s="672"/>
      <c r="B6" s="672"/>
      <c r="C6" s="672"/>
      <c r="D6" s="672"/>
      <c r="E6" s="672"/>
      <c r="F6" s="672"/>
      <c r="G6" s="698"/>
      <c r="H6" s="39"/>
      <c r="I6" s="670" t="s">
        <v>101</v>
      </c>
      <c r="J6" s="674" t="s">
        <v>1471</v>
      </c>
      <c r="K6" s="678" t="s">
        <v>1474</v>
      </c>
      <c r="L6" s="679"/>
      <c r="M6" s="670" t="s">
        <v>102</v>
      </c>
      <c r="N6" s="670" t="s">
        <v>47</v>
      </c>
      <c r="O6" s="670" t="s">
        <v>48</v>
      </c>
      <c r="P6" s="10"/>
      <c r="Q6" s="10"/>
      <c r="R6" s="10"/>
      <c r="S6" s="10"/>
      <c r="T6" s="10"/>
      <c r="U6" s="11"/>
      <c r="V6" s="11"/>
      <c r="W6" s="11"/>
      <c r="X6" s="11"/>
      <c r="Y6" s="9"/>
      <c r="Z6" s="9"/>
    </row>
    <row r="7" spans="1:26" ht="9" customHeight="1" x14ac:dyDescent="0.2">
      <c r="A7" s="672"/>
      <c r="B7" s="672"/>
      <c r="C7" s="672"/>
      <c r="D7" s="672"/>
      <c r="E7" s="672"/>
      <c r="F7" s="672"/>
      <c r="G7" s="698"/>
      <c r="H7" s="39"/>
      <c r="I7" s="671"/>
      <c r="J7" s="675"/>
      <c r="K7" s="680"/>
      <c r="L7" s="681"/>
      <c r="M7" s="671" t="s">
        <v>107</v>
      </c>
      <c r="N7" s="671" t="s">
        <v>103</v>
      </c>
      <c r="O7" s="671"/>
      <c r="P7" s="10"/>
      <c r="Q7" s="10"/>
      <c r="R7" s="10"/>
      <c r="S7" s="10"/>
      <c r="T7" s="10"/>
      <c r="U7" s="12"/>
      <c r="V7" s="11"/>
      <c r="W7" s="11"/>
      <c r="X7" s="11"/>
      <c r="Y7" s="9"/>
      <c r="Z7" s="9"/>
    </row>
    <row r="8" spans="1:26" ht="27.75" customHeight="1" x14ac:dyDescent="0.2">
      <c r="A8" s="672"/>
      <c r="B8" s="672"/>
      <c r="C8" s="672"/>
      <c r="D8" s="672"/>
      <c r="E8" s="672"/>
      <c r="F8" s="672"/>
      <c r="G8" s="698"/>
      <c r="H8" s="39"/>
      <c r="I8" s="671"/>
      <c r="J8" s="675"/>
      <c r="K8" s="676" t="s">
        <v>1472</v>
      </c>
      <c r="L8" s="676" t="s">
        <v>1473</v>
      </c>
      <c r="M8" s="671"/>
      <c r="N8" s="671"/>
      <c r="O8" s="671"/>
      <c r="P8" s="10"/>
      <c r="Q8" s="10"/>
      <c r="R8" s="10"/>
      <c r="S8" s="10"/>
      <c r="T8" s="10"/>
      <c r="U8" s="12"/>
      <c r="V8" s="11"/>
      <c r="W8" s="11"/>
      <c r="X8" s="11"/>
      <c r="Y8" s="9"/>
      <c r="Z8" s="9"/>
    </row>
    <row r="9" spans="1:26" ht="9" customHeight="1" x14ac:dyDescent="0.2">
      <c r="A9" s="672"/>
      <c r="B9" s="672"/>
      <c r="C9" s="672"/>
      <c r="D9" s="672"/>
      <c r="E9" s="672"/>
      <c r="F9" s="672"/>
      <c r="G9" s="698"/>
      <c r="H9" s="39"/>
      <c r="I9" s="671"/>
      <c r="J9" s="675"/>
      <c r="K9" s="677"/>
      <c r="L9" s="677"/>
      <c r="M9" s="671"/>
      <c r="N9" s="671"/>
      <c r="O9" s="671"/>
      <c r="P9" s="10"/>
      <c r="Q9" s="10"/>
      <c r="R9" s="10"/>
      <c r="S9" s="10"/>
      <c r="T9" s="10"/>
      <c r="U9" s="12"/>
      <c r="V9" s="11"/>
      <c r="W9" s="11"/>
      <c r="X9" s="11"/>
      <c r="Y9" s="9"/>
      <c r="Z9" s="9"/>
    </row>
    <row r="10" spans="1:26" s="17" customFormat="1" x14ac:dyDescent="0.2">
      <c r="A10" s="223" t="s">
        <v>57</v>
      </c>
      <c r="B10" s="312"/>
      <c r="C10" s="312"/>
      <c r="D10" s="312"/>
      <c r="E10" s="312"/>
      <c r="F10" s="347"/>
      <c r="G10" s="313" t="s">
        <v>109</v>
      </c>
      <c r="H10" s="45"/>
      <c r="I10" s="49">
        <f>I11+I18+I21+I24+I27+I28+I31+I32+I39</f>
        <v>0</v>
      </c>
      <c r="J10" s="49">
        <f>J11+J18+J21+J24+J27+J28+J31+J32+J39</f>
        <v>0</v>
      </c>
      <c r="K10" s="49">
        <f>K11+K18+K21+K24+K27+K28+K31+K32+K39</f>
        <v>0</v>
      </c>
      <c r="L10" s="49">
        <f>L11+L18+L21+L24+L27+L28+L31+L32+L39</f>
        <v>0</v>
      </c>
      <c r="M10" s="49">
        <f>I10+J10+K10+L10</f>
        <v>0</v>
      </c>
      <c r="N10" s="49">
        <f>N11+N18+N21+N24+N27+N28+N31+N32+N39</f>
        <v>0</v>
      </c>
      <c r="O10" s="49">
        <f>M10-N10</f>
        <v>0</v>
      </c>
      <c r="P10" s="16"/>
      <c r="Q10" s="16"/>
      <c r="R10" s="16"/>
      <c r="S10" s="16"/>
      <c r="T10" s="16"/>
      <c r="U10" s="16"/>
      <c r="V10" s="16"/>
      <c r="W10" s="16"/>
      <c r="X10" s="16"/>
      <c r="Y10" s="16"/>
      <c r="Z10" s="16"/>
    </row>
    <row r="11" spans="1:26" s="17" customFormat="1" x14ac:dyDescent="0.2">
      <c r="A11" s="346" t="s">
        <v>58</v>
      </c>
      <c r="B11" s="312" t="s">
        <v>540</v>
      </c>
      <c r="C11" s="312"/>
      <c r="D11" s="312"/>
      <c r="E11" s="312"/>
      <c r="F11" s="347"/>
      <c r="G11" s="313" t="s">
        <v>110</v>
      </c>
      <c r="H11" s="45"/>
      <c r="I11" s="49">
        <f>+I12+I13+I14</f>
        <v>0</v>
      </c>
      <c r="J11" s="49">
        <f>+J12+J13+J14</f>
        <v>0</v>
      </c>
      <c r="K11" s="49">
        <f>+K12+K13+K14</f>
        <v>0</v>
      </c>
      <c r="L11" s="49">
        <f>+L12+L13+L14</f>
        <v>0</v>
      </c>
      <c r="M11" s="49">
        <f t="shared" ref="M11:M48" si="0">I11+J11+K11+L11</f>
        <v>0</v>
      </c>
      <c r="N11" s="49">
        <f>+N12+N13+N14</f>
        <v>0</v>
      </c>
      <c r="O11" s="49">
        <f t="shared" ref="O11:O48" si="1">M11-N11</f>
        <v>0</v>
      </c>
      <c r="P11" s="16"/>
      <c r="Q11" s="16"/>
      <c r="R11" s="16"/>
      <c r="S11" s="16"/>
      <c r="T11" s="16"/>
      <c r="U11" s="16"/>
      <c r="V11" s="16"/>
      <c r="W11" s="16"/>
      <c r="X11" s="16"/>
      <c r="Y11" s="16"/>
      <c r="Z11" s="16"/>
    </row>
    <row r="12" spans="1:26" s="17" customFormat="1" x14ac:dyDescent="0.2">
      <c r="A12" s="346"/>
      <c r="B12" s="312" t="s">
        <v>59</v>
      </c>
      <c r="C12" s="312" t="s">
        <v>60</v>
      </c>
      <c r="D12" s="312"/>
      <c r="E12" s="312"/>
      <c r="F12" s="347"/>
      <c r="G12" s="313" t="s">
        <v>111</v>
      </c>
      <c r="H12" s="45"/>
      <c r="I12" s="50"/>
      <c r="J12" s="50"/>
      <c r="K12" s="50"/>
      <c r="L12" s="50"/>
      <c r="M12" s="49">
        <f t="shared" si="0"/>
        <v>0</v>
      </c>
      <c r="N12" s="50"/>
      <c r="O12" s="49">
        <f t="shared" si="1"/>
        <v>0</v>
      </c>
      <c r="P12" s="16"/>
      <c r="Q12" s="16"/>
      <c r="R12" s="16"/>
      <c r="S12" s="16"/>
      <c r="T12" s="16"/>
      <c r="U12" s="16"/>
      <c r="V12" s="16"/>
      <c r="W12" s="16"/>
      <c r="X12" s="16"/>
      <c r="Y12" s="16"/>
      <c r="Z12" s="16"/>
    </row>
    <row r="13" spans="1:26" s="17" customFormat="1" x14ac:dyDescent="0.2">
      <c r="A13" s="346"/>
      <c r="B13" s="312" t="s">
        <v>61</v>
      </c>
      <c r="C13" s="312" t="s">
        <v>72</v>
      </c>
      <c r="D13" s="312"/>
      <c r="E13" s="312"/>
      <c r="F13" s="347"/>
      <c r="G13" s="313" t="s">
        <v>546</v>
      </c>
      <c r="H13" s="45"/>
      <c r="I13" s="50"/>
      <c r="J13" s="50"/>
      <c r="K13" s="50"/>
      <c r="L13" s="50"/>
      <c r="M13" s="49">
        <f t="shared" si="0"/>
        <v>0</v>
      </c>
      <c r="N13" s="50"/>
      <c r="O13" s="49">
        <f t="shared" si="1"/>
        <v>0</v>
      </c>
      <c r="P13" s="16"/>
      <c r="Q13" s="16"/>
      <c r="R13" s="16"/>
      <c r="S13" s="16"/>
      <c r="T13" s="16"/>
      <c r="U13" s="16"/>
      <c r="V13" s="16"/>
      <c r="W13" s="16"/>
      <c r="X13" s="16"/>
      <c r="Y13" s="16"/>
      <c r="Z13" s="16"/>
    </row>
    <row r="14" spans="1:26" s="17" customFormat="1" x14ac:dyDescent="0.2">
      <c r="A14" s="346"/>
      <c r="B14" s="312" t="s">
        <v>71</v>
      </c>
      <c r="C14" s="312" t="s">
        <v>62</v>
      </c>
      <c r="D14" s="312"/>
      <c r="E14" s="312"/>
      <c r="F14" s="347"/>
      <c r="G14" s="313" t="s">
        <v>112</v>
      </c>
      <c r="H14" s="45"/>
      <c r="I14" s="49">
        <f>I15+I16+I17</f>
        <v>0</v>
      </c>
      <c r="J14" s="49">
        <f>J15+J16+J17</f>
        <v>0</v>
      </c>
      <c r="K14" s="49">
        <f>K15+K16+K17</f>
        <v>0</v>
      </c>
      <c r="L14" s="49">
        <f>L15+L16+L17</f>
        <v>0</v>
      </c>
      <c r="M14" s="49">
        <f t="shared" si="0"/>
        <v>0</v>
      </c>
      <c r="N14" s="49">
        <f>N15+N16+N17</f>
        <v>0</v>
      </c>
      <c r="O14" s="49">
        <f t="shared" si="1"/>
        <v>0</v>
      </c>
      <c r="P14" s="16"/>
      <c r="Q14" s="16"/>
      <c r="R14" s="16"/>
      <c r="S14" s="16"/>
      <c r="T14" s="16"/>
      <c r="U14" s="16"/>
      <c r="V14" s="16"/>
      <c r="W14" s="16"/>
      <c r="X14" s="16"/>
      <c r="Y14" s="16"/>
      <c r="Z14" s="16"/>
    </row>
    <row r="15" spans="1:26" s="17" customFormat="1" x14ac:dyDescent="0.2">
      <c r="A15" s="346"/>
      <c r="B15" s="312"/>
      <c r="C15" s="311" t="s">
        <v>54</v>
      </c>
      <c r="D15" s="312" t="s">
        <v>63</v>
      </c>
      <c r="E15" s="312"/>
      <c r="F15" s="347"/>
      <c r="G15" s="313" t="s">
        <v>113</v>
      </c>
      <c r="H15" s="45"/>
      <c r="I15" s="50"/>
      <c r="J15" s="50"/>
      <c r="K15" s="50"/>
      <c r="L15" s="50"/>
      <c r="M15" s="49">
        <f t="shared" si="0"/>
        <v>0</v>
      </c>
      <c r="N15" s="50"/>
      <c r="O15" s="49">
        <f t="shared" si="1"/>
        <v>0</v>
      </c>
      <c r="P15" s="16"/>
      <c r="Q15" s="16"/>
      <c r="R15" s="16"/>
      <c r="S15" s="16"/>
      <c r="T15" s="16"/>
      <c r="U15" s="16"/>
      <c r="V15" s="16"/>
      <c r="W15" s="16"/>
      <c r="X15" s="16"/>
      <c r="Y15" s="16"/>
      <c r="Z15" s="16"/>
    </row>
    <row r="16" spans="1:26" s="17" customFormat="1" x14ac:dyDescent="0.2">
      <c r="A16" s="346"/>
      <c r="B16" s="312"/>
      <c r="C16" s="311" t="s">
        <v>55</v>
      </c>
      <c r="D16" s="312" t="s">
        <v>64</v>
      </c>
      <c r="E16" s="312"/>
      <c r="F16" s="347"/>
      <c r="G16" s="313" t="s">
        <v>114</v>
      </c>
      <c r="H16" s="45"/>
      <c r="I16" s="50"/>
      <c r="J16" s="50"/>
      <c r="K16" s="50"/>
      <c r="L16" s="50"/>
      <c r="M16" s="49">
        <f t="shared" si="0"/>
        <v>0</v>
      </c>
      <c r="N16" s="50"/>
      <c r="O16" s="49">
        <f t="shared" si="1"/>
        <v>0</v>
      </c>
      <c r="P16" s="16"/>
      <c r="Q16" s="16"/>
      <c r="R16" s="16"/>
      <c r="S16" s="16"/>
      <c r="T16" s="16"/>
      <c r="U16" s="16"/>
      <c r="V16" s="16"/>
      <c r="W16" s="16"/>
      <c r="X16" s="16"/>
      <c r="Y16" s="16"/>
      <c r="Z16" s="16"/>
    </row>
    <row r="17" spans="1:26" s="17" customFormat="1" x14ac:dyDescent="0.2">
      <c r="A17" s="346"/>
      <c r="B17" s="312"/>
      <c r="C17" s="311" t="s">
        <v>65</v>
      </c>
      <c r="D17" s="312" t="s">
        <v>66</v>
      </c>
      <c r="E17" s="312"/>
      <c r="F17" s="347"/>
      <c r="G17" s="313" t="s">
        <v>115</v>
      </c>
      <c r="H17" s="45"/>
      <c r="I17" s="50"/>
      <c r="J17" s="50"/>
      <c r="K17" s="50"/>
      <c r="L17" s="50"/>
      <c r="M17" s="49">
        <f t="shared" si="0"/>
        <v>0</v>
      </c>
      <c r="N17" s="50"/>
      <c r="O17" s="49">
        <f t="shared" si="1"/>
        <v>0</v>
      </c>
      <c r="P17" s="16"/>
      <c r="Q17" s="16"/>
      <c r="R17" s="16"/>
      <c r="S17" s="16"/>
      <c r="T17" s="16"/>
      <c r="U17" s="16"/>
      <c r="V17" s="16"/>
      <c r="W17" s="16"/>
      <c r="X17" s="16"/>
      <c r="Y17" s="16"/>
      <c r="Z17" s="16"/>
    </row>
    <row r="18" spans="1:26" s="17" customFormat="1" x14ac:dyDescent="0.2">
      <c r="A18" s="346" t="s">
        <v>55</v>
      </c>
      <c r="B18" s="312" t="s">
        <v>67</v>
      </c>
      <c r="C18" s="312"/>
      <c r="D18" s="312"/>
      <c r="E18" s="312"/>
      <c r="F18" s="347"/>
      <c r="G18" s="313" t="s">
        <v>116</v>
      </c>
      <c r="H18" s="45"/>
      <c r="I18" s="49">
        <f>I19+I20</f>
        <v>0</v>
      </c>
      <c r="J18" s="49">
        <f>J19+J20</f>
        <v>0</v>
      </c>
      <c r="K18" s="49">
        <f>K19+K20</f>
        <v>0</v>
      </c>
      <c r="L18" s="49">
        <f>L19+L20</f>
        <v>0</v>
      </c>
      <c r="M18" s="49">
        <f t="shared" si="0"/>
        <v>0</v>
      </c>
      <c r="N18" s="49">
        <f>N19+N20</f>
        <v>0</v>
      </c>
      <c r="O18" s="49">
        <f t="shared" si="1"/>
        <v>0</v>
      </c>
      <c r="P18" s="16"/>
      <c r="Q18" s="16"/>
      <c r="R18" s="16"/>
      <c r="S18" s="16"/>
      <c r="T18" s="16"/>
      <c r="U18" s="16"/>
      <c r="V18" s="16"/>
      <c r="W18" s="16"/>
      <c r="X18" s="16"/>
      <c r="Y18" s="16"/>
      <c r="Z18" s="16"/>
    </row>
    <row r="19" spans="1:26" s="17" customFormat="1" x14ac:dyDescent="0.2">
      <c r="A19" s="346"/>
      <c r="B19" s="312" t="s">
        <v>59</v>
      </c>
      <c r="C19" s="312" t="s">
        <v>68</v>
      </c>
      <c r="D19" s="312"/>
      <c r="E19" s="312"/>
      <c r="F19" s="347"/>
      <c r="G19" s="313" t="s">
        <v>117</v>
      </c>
      <c r="H19" s="45"/>
      <c r="I19" s="50"/>
      <c r="J19" s="50"/>
      <c r="K19" s="50"/>
      <c r="L19" s="50"/>
      <c r="M19" s="49">
        <f t="shared" si="0"/>
        <v>0</v>
      </c>
      <c r="N19" s="50"/>
      <c r="O19" s="49">
        <f t="shared" si="1"/>
        <v>0</v>
      </c>
      <c r="P19" s="16"/>
      <c r="Q19" s="16"/>
      <c r="R19" s="16"/>
      <c r="S19" s="16"/>
      <c r="T19" s="16"/>
      <c r="U19" s="16"/>
      <c r="V19" s="16"/>
      <c r="W19" s="16"/>
      <c r="X19" s="16"/>
      <c r="Y19" s="16"/>
      <c r="Z19" s="16"/>
    </row>
    <row r="20" spans="1:26" s="17" customFormat="1" x14ac:dyDescent="0.2">
      <c r="A20" s="346"/>
      <c r="B20" s="312" t="s">
        <v>69</v>
      </c>
      <c r="C20" s="312" t="s">
        <v>70</v>
      </c>
      <c r="D20" s="312"/>
      <c r="E20" s="312"/>
      <c r="F20" s="347"/>
      <c r="G20" s="313" t="s">
        <v>118</v>
      </c>
      <c r="H20" s="45"/>
      <c r="I20" s="50"/>
      <c r="J20" s="50"/>
      <c r="K20" s="50"/>
      <c r="L20" s="50"/>
      <c r="M20" s="49">
        <f t="shared" si="0"/>
        <v>0</v>
      </c>
      <c r="N20" s="50"/>
      <c r="O20" s="49">
        <f t="shared" si="1"/>
        <v>0</v>
      </c>
      <c r="P20" s="16"/>
      <c r="Q20" s="16"/>
      <c r="R20" s="16"/>
      <c r="S20" s="16"/>
      <c r="T20" s="16"/>
      <c r="U20" s="16"/>
      <c r="V20" s="16"/>
      <c r="W20" s="16"/>
      <c r="X20" s="16"/>
      <c r="Y20" s="16"/>
      <c r="Z20" s="16"/>
    </row>
    <row r="21" spans="1:26" s="17" customFormat="1" x14ac:dyDescent="0.2">
      <c r="A21" s="346" t="s">
        <v>65</v>
      </c>
      <c r="B21" s="3" t="s">
        <v>1436</v>
      </c>
      <c r="C21" s="225"/>
      <c r="D21" s="225"/>
      <c r="E21" s="225"/>
      <c r="F21" s="225"/>
      <c r="G21" s="317" t="s">
        <v>119</v>
      </c>
      <c r="H21" s="45"/>
      <c r="I21" s="49">
        <f>I22+I23</f>
        <v>0</v>
      </c>
      <c r="J21" s="49">
        <f>J22+J23</f>
        <v>0</v>
      </c>
      <c r="K21" s="49">
        <f>K22+K23</f>
        <v>0</v>
      </c>
      <c r="L21" s="49">
        <f>L22+L23</f>
        <v>0</v>
      </c>
      <c r="M21" s="49">
        <f>I21+J21+K21+L21</f>
        <v>0</v>
      </c>
      <c r="N21" s="49">
        <f>N22+N23</f>
        <v>0</v>
      </c>
      <c r="O21" s="49">
        <f>M21-N21</f>
        <v>0</v>
      </c>
      <c r="P21" s="16"/>
      <c r="Q21" s="16"/>
      <c r="R21" s="16"/>
      <c r="S21" s="16"/>
      <c r="T21" s="16"/>
      <c r="U21" s="16"/>
      <c r="V21" s="16"/>
      <c r="W21" s="16"/>
      <c r="X21" s="16"/>
      <c r="Y21" s="16"/>
      <c r="Z21" s="16"/>
    </row>
    <row r="22" spans="1:26" s="17" customFormat="1" x14ac:dyDescent="0.2">
      <c r="A22" s="346"/>
      <c r="B22" s="3" t="s">
        <v>59</v>
      </c>
      <c r="C22" s="658" t="s">
        <v>543</v>
      </c>
      <c r="D22" s="659"/>
      <c r="E22" s="659"/>
      <c r="F22" s="660"/>
      <c r="G22" s="416" t="s">
        <v>1437</v>
      </c>
      <c r="H22" s="45"/>
      <c r="I22" s="50"/>
      <c r="J22" s="50"/>
      <c r="K22" s="50"/>
      <c r="L22" s="50"/>
      <c r="M22" s="49">
        <f>I22+J22+K22+L22</f>
        <v>0</v>
      </c>
      <c r="N22" s="50"/>
      <c r="O22" s="49">
        <f>M22-N22</f>
        <v>0</v>
      </c>
      <c r="P22" s="16"/>
      <c r="Q22" s="16"/>
      <c r="R22" s="16"/>
      <c r="S22" s="16"/>
      <c r="T22" s="16"/>
      <c r="U22" s="16"/>
      <c r="V22" s="16"/>
      <c r="W22" s="16"/>
      <c r="X22" s="16"/>
      <c r="Y22" s="16"/>
      <c r="Z22" s="16"/>
    </row>
    <row r="23" spans="1:26" s="17" customFormat="1" x14ac:dyDescent="0.2">
      <c r="A23" s="346"/>
      <c r="B23" s="3" t="s">
        <v>61</v>
      </c>
      <c r="C23" s="658" t="s">
        <v>1430</v>
      </c>
      <c r="D23" s="659"/>
      <c r="E23" s="659"/>
      <c r="F23" s="660"/>
      <c r="G23" s="416" t="s">
        <v>1438</v>
      </c>
      <c r="H23" s="45"/>
      <c r="I23" s="50"/>
      <c r="J23" s="50"/>
      <c r="K23" s="50"/>
      <c r="L23" s="50"/>
      <c r="M23" s="49">
        <f>I23+J23+K23+L23</f>
        <v>0</v>
      </c>
      <c r="N23" s="50"/>
      <c r="O23" s="49">
        <f>M23-N23</f>
        <v>0</v>
      </c>
      <c r="P23" s="16"/>
      <c r="Q23" s="16"/>
      <c r="R23" s="16"/>
      <c r="S23" s="16"/>
      <c r="T23" s="16"/>
      <c r="U23" s="16"/>
      <c r="V23" s="16"/>
      <c r="W23" s="16"/>
      <c r="X23" s="16"/>
      <c r="Y23" s="16"/>
      <c r="Z23" s="16"/>
    </row>
    <row r="24" spans="1:26" s="17" customFormat="1" x14ac:dyDescent="0.2">
      <c r="A24" s="346" t="s">
        <v>90</v>
      </c>
      <c r="B24" s="312" t="s">
        <v>645</v>
      </c>
      <c r="C24" s="312"/>
      <c r="D24" s="312"/>
      <c r="E24" s="312"/>
      <c r="F24" s="347"/>
      <c r="G24" s="313" t="s">
        <v>120</v>
      </c>
      <c r="H24" s="45"/>
      <c r="I24" s="49">
        <f>I25+I26</f>
        <v>0</v>
      </c>
      <c r="J24" s="49">
        <f>J25+J26</f>
        <v>0</v>
      </c>
      <c r="K24" s="49">
        <f>K25+K26</f>
        <v>0</v>
      </c>
      <c r="L24" s="49">
        <f>L25+L26</f>
        <v>0</v>
      </c>
      <c r="M24" s="49">
        <f t="shared" si="0"/>
        <v>0</v>
      </c>
      <c r="N24" s="49">
        <f>N25+N26</f>
        <v>0</v>
      </c>
      <c r="O24" s="49">
        <f t="shared" si="1"/>
        <v>0</v>
      </c>
      <c r="P24" s="16"/>
      <c r="Q24" s="16"/>
      <c r="R24" s="16"/>
      <c r="S24" s="16"/>
      <c r="T24" s="16"/>
      <c r="U24" s="16"/>
      <c r="V24" s="16"/>
      <c r="W24" s="16"/>
      <c r="X24" s="16"/>
      <c r="Y24" s="16"/>
      <c r="Z24" s="16"/>
    </row>
    <row r="25" spans="1:26" s="17" customFormat="1" x14ac:dyDescent="0.2">
      <c r="A25" s="346"/>
      <c r="B25" s="312" t="s">
        <v>59</v>
      </c>
      <c r="C25" s="312" t="s">
        <v>1451</v>
      </c>
      <c r="D25" s="312"/>
      <c r="E25" s="312"/>
      <c r="F25" s="347"/>
      <c r="G25" s="313" t="s">
        <v>121</v>
      </c>
      <c r="H25" s="45"/>
      <c r="I25" s="50"/>
      <c r="J25" s="50"/>
      <c r="K25" s="50"/>
      <c r="L25" s="50"/>
      <c r="M25" s="49">
        <f t="shared" si="0"/>
        <v>0</v>
      </c>
      <c r="N25" s="50"/>
      <c r="O25" s="49">
        <f t="shared" si="1"/>
        <v>0</v>
      </c>
      <c r="P25" s="16"/>
      <c r="Q25" s="16"/>
      <c r="R25" s="16"/>
      <c r="S25" s="16"/>
      <c r="T25" s="16"/>
      <c r="U25" s="16"/>
      <c r="V25" s="16"/>
      <c r="W25" s="16"/>
      <c r="X25" s="16"/>
      <c r="Y25" s="16"/>
      <c r="Z25" s="16"/>
    </row>
    <row r="26" spans="1:26" s="17" customFormat="1" x14ac:dyDescent="0.2">
      <c r="A26" s="346"/>
      <c r="B26" s="312" t="s">
        <v>69</v>
      </c>
      <c r="C26" s="312" t="s">
        <v>1452</v>
      </c>
      <c r="D26" s="312"/>
      <c r="E26" s="312"/>
      <c r="F26" s="347"/>
      <c r="G26" s="313" t="s">
        <v>122</v>
      </c>
      <c r="H26" s="45"/>
      <c r="I26" s="50"/>
      <c r="J26" s="50"/>
      <c r="K26" s="50"/>
      <c r="L26" s="50"/>
      <c r="M26" s="49">
        <f t="shared" si="0"/>
        <v>0</v>
      </c>
      <c r="N26" s="50"/>
      <c r="O26" s="49">
        <f t="shared" si="1"/>
        <v>0</v>
      </c>
      <c r="P26" s="16"/>
      <c r="Q26" s="16"/>
      <c r="R26" s="16"/>
      <c r="S26" s="16"/>
      <c r="T26" s="16"/>
      <c r="U26" s="16"/>
      <c r="V26" s="16"/>
      <c r="W26" s="16"/>
      <c r="X26" s="16"/>
      <c r="Y26" s="16"/>
      <c r="Z26" s="16"/>
    </row>
    <row r="27" spans="1:26" s="17" customFormat="1" x14ac:dyDescent="0.2">
      <c r="A27" s="346" t="s">
        <v>257</v>
      </c>
      <c r="B27" s="312" t="s">
        <v>983</v>
      </c>
      <c r="C27" s="312"/>
      <c r="D27" s="312"/>
      <c r="E27" s="312"/>
      <c r="F27" s="347"/>
      <c r="G27" s="313" t="s">
        <v>123</v>
      </c>
      <c r="H27" s="45"/>
      <c r="I27" s="50"/>
      <c r="J27" s="50"/>
      <c r="K27" s="50"/>
      <c r="L27" s="50"/>
      <c r="M27" s="49">
        <f t="shared" si="0"/>
        <v>0</v>
      </c>
      <c r="N27" s="50"/>
      <c r="O27" s="49">
        <f t="shared" si="1"/>
        <v>0</v>
      </c>
      <c r="P27" s="16"/>
      <c r="Q27" s="16"/>
      <c r="R27" s="16"/>
      <c r="S27" s="16"/>
      <c r="T27" s="16"/>
      <c r="U27" s="16"/>
      <c r="V27" s="16"/>
      <c r="W27" s="16"/>
      <c r="X27" s="16"/>
      <c r="Y27" s="16"/>
      <c r="Z27" s="16"/>
    </row>
    <row r="28" spans="1:26" s="17" customFormat="1" x14ac:dyDescent="0.2">
      <c r="A28" s="346" t="s">
        <v>74</v>
      </c>
      <c r="B28" s="312" t="s">
        <v>77</v>
      </c>
      <c r="C28" s="312"/>
      <c r="D28" s="312"/>
      <c r="E28" s="312"/>
      <c r="F28" s="347"/>
      <c r="G28" s="313" t="s">
        <v>124</v>
      </c>
      <c r="H28" s="45"/>
      <c r="I28" s="49">
        <f>I29+I30</f>
        <v>0</v>
      </c>
      <c r="J28" s="49">
        <f>J29+J30</f>
        <v>0</v>
      </c>
      <c r="K28" s="49">
        <f>K29+K30</f>
        <v>0</v>
      </c>
      <c r="L28" s="49">
        <f>L29+L30</f>
        <v>0</v>
      </c>
      <c r="M28" s="49">
        <f t="shared" si="0"/>
        <v>0</v>
      </c>
      <c r="N28" s="49">
        <f>N29+N30</f>
        <v>0</v>
      </c>
      <c r="O28" s="49">
        <f t="shared" si="1"/>
        <v>0</v>
      </c>
      <c r="P28" s="16"/>
      <c r="Q28" s="16"/>
      <c r="R28" s="16"/>
      <c r="S28" s="16"/>
      <c r="T28" s="16"/>
      <c r="U28" s="16"/>
      <c r="V28" s="16"/>
      <c r="W28" s="16"/>
      <c r="X28" s="16"/>
      <c r="Y28" s="16"/>
      <c r="Z28" s="16"/>
    </row>
    <row r="29" spans="1:26" s="17" customFormat="1" x14ac:dyDescent="0.2">
      <c r="A29" s="346"/>
      <c r="B29" s="312" t="s">
        <v>59</v>
      </c>
      <c r="C29" s="312" t="s">
        <v>78</v>
      </c>
      <c r="D29" s="312"/>
      <c r="E29" s="312"/>
      <c r="F29" s="347"/>
      <c r="G29" s="313" t="s">
        <v>125</v>
      </c>
      <c r="H29" s="45"/>
      <c r="I29" s="50"/>
      <c r="J29" s="50"/>
      <c r="K29" s="50"/>
      <c r="L29" s="50"/>
      <c r="M29" s="49">
        <f t="shared" si="0"/>
        <v>0</v>
      </c>
      <c r="N29" s="50"/>
      <c r="O29" s="49">
        <f t="shared" si="1"/>
        <v>0</v>
      </c>
      <c r="P29" s="16"/>
      <c r="Q29" s="16"/>
      <c r="R29" s="16"/>
      <c r="S29" s="16"/>
      <c r="T29" s="16"/>
      <c r="U29" s="16"/>
      <c r="V29" s="16"/>
      <c r="W29" s="16"/>
      <c r="X29" s="16"/>
      <c r="Y29" s="16"/>
      <c r="Z29" s="16"/>
    </row>
    <row r="30" spans="1:26" s="17" customFormat="1" x14ac:dyDescent="0.2">
      <c r="A30" s="346"/>
      <c r="B30" s="312" t="s">
        <v>61</v>
      </c>
      <c r="C30" s="312" t="s">
        <v>66</v>
      </c>
      <c r="D30" s="312"/>
      <c r="E30" s="312"/>
      <c r="F30" s="347"/>
      <c r="G30" s="313" t="s">
        <v>126</v>
      </c>
      <c r="H30" s="45"/>
      <c r="I30" s="50"/>
      <c r="J30" s="50"/>
      <c r="K30" s="50"/>
      <c r="L30" s="50"/>
      <c r="M30" s="49">
        <f t="shared" si="0"/>
        <v>0</v>
      </c>
      <c r="N30" s="50"/>
      <c r="O30" s="49">
        <f t="shared" si="1"/>
        <v>0</v>
      </c>
      <c r="P30" s="16"/>
      <c r="Q30" s="16"/>
      <c r="R30" s="16"/>
      <c r="S30" s="16"/>
      <c r="T30" s="16"/>
      <c r="U30" s="16"/>
      <c r="V30" s="16"/>
      <c r="W30" s="16"/>
      <c r="X30" s="16"/>
      <c r="Y30" s="16"/>
      <c r="Z30" s="16"/>
    </row>
    <row r="31" spans="1:26" s="17" customFormat="1" x14ac:dyDescent="0.2">
      <c r="A31" s="346" t="s">
        <v>76</v>
      </c>
      <c r="B31" s="640" t="s">
        <v>982</v>
      </c>
      <c r="C31" s="640"/>
      <c r="D31" s="640"/>
      <c r="E31" s="640"/>
      <c r="F31" s="640"/>
      <c r="G31" s="313" t="s">
        <v>127</v>
      </c>
      <c r="H31" s="45"/>
      <c r="I31" s="50"/>
      <c r="J31" s="50"/>
      <c r="K31" s="50"/>
      <c r="L31" s="50"/>
      <c r="M31" s="49">
        <f t="shared" si="0"/>
        <v>0</v>
      </c>
      <c r="N31" s="50"/>
      <c r="O31" s="49">
        <f t="shared" si="1"/>
        <v>0</v>
      </c>
      <c r="P31" s="16"/>
      <c r="Q31" s="16"/>
      <c r="R31" s="16"/>
      <c r="S31" s="16"/>
      <c r="T31" s="16"/>
      <c r="U31" s="16"/>
      <c r="V31" s="16"/>
      <c r="W31" s="16"/>
      <c r="X31" s="16"/>
      <c r="Y31" s="16"/>
      <c r="Z31" s="16"/>
    </row>
    <row r="32" spans="1:26" s="17" customFormat="1" x14ac:dyDescent="0.2">
      <c r="A32" s="346" t="s">
        <v>79</v>
      </c>
      <c r="B32" s="312" t="s">
        <v>1467</v>
      </c>
      <c r="C32" s="312"/>
      <c r="D32" s="312"/>
      <c r="E32" s="312"/>
      <c r="F32" s="347"/>
      <c r="G32" s="313" t="s">
        <v>128</v>
      </c>
      <c r="H32" s="45"/>
      <c r="I32" s="49">
        <f>I33+I34+I37+I38</f>
        <v>0</v>
      </c>
      <c r="J32" s="49">
        <f>J33+J34+J37+J38</f>
        <v>0</v>
      </c>
      <c r="K32" s="49">
        <f>K33+K34+K37+K38</f>
        <v>0</v>
      </c>
      <c r="L32" s="49">
        <f>L33+L34+L37+L38</f>
        <v>0</v>
      </c>
      <c r="M32" s="49">
        <f t="shared" si="0"/>
        <v>0</v>
      </c>
      <c r="N32" s="49">
        <f>N33+N34+N37+N38</f>
        <v>0</v>
      </c>
      <c r="O32" s="49">
        <f t="shared" si="1"/>
        <v>0</v>
      </c>
      <c r="P32" s="16"/>
      <c r="Q32" s="16"/>
      <c r="R32" s="16"/>
      <c r="S32" s="16"/>
      <c r="T32" s="16"/>
      <c r="U32" s="16"/>
      <c r="V32" s="16"/>
      <c r="W32" s="16"/>
      <c r="X32" s="16"/>
      <c r="Y32" s="16"/>
      <c r="Z32" s="16"/>
    </row>
    <row r="33" spans="1:26" s="17" customFormat="1" x14ac:dyDescent="0.2">
      <c r="A33" s="346"/>
      <c r="B33" s="312" t="s">
        <v>59</v>
      </c>
      <c r="C33" s="312" t="s">
        <v>82</v>
      </c>
      <c r="D33" s="312"/>
      <c r="E33" s="312"/>
      <c r="F33" s="347"/>
      <c r="G33" s="313" t="s">
        <v>129</v>
      </c>
      <c r="H33" s="45"/>
      <c r="I33" s="50"/>
      <c r="J33" s="50"/>
      <c r="K33" s="50"/>
      <c r="L33" s="50"/>
      <c r="M33" s="49">
        <f t="shared" si="0"/>
        <v>0</v>
      </c>
      <c r="N33" s="50"/>
      <c r="O33" s="49">
        <f t="shared" si="1"/>
        <v>0</v>
      </c>
      <c r="P33" s="16"/>
      <c r="Q33" s="16"/>
      <c r="R33" s="16"/>
      <c r="S33" s="16"/>
      <c r="T33" s="16"/>
      <c r="U33" s="16"/>
      <c r="V33" s="16"/>
      <c r="W33" s="16"/>
      <c r="X33" s="16"/>
      <c r="Y33" s="16"/>
      <c r="Z33" s="16"/>
    </row>
    <row r="34" spans="1:26" s="17" customFormat="1" x14ac:dyDescent="0.2">
      <c r="A34" s="346"/>
      <c r="B34" s="312" t="s">
        <v>61</v>
      </c>
      <c r="C34" s="662" t="s">
        <v>1457</v>
      </c>
      <c r="D34" s="662"/>
      <c r="E34" s="662"/>
      <c r="F34" s="663"/>
      <c r="G34" s="313" t="s">
        <v>130</v>
      </c>
      <c r="H34" s="45"/>
      <c r="I34" s="49">
        <f>I35+I36</f>
        <v>0</v>
      </c>
      <c r="J34" s="49">
        <f>J35+J36</f>
        <v>0</v>
      </c>
      <c r="K34" s="49">
        <f>K35+K36</f>
        <v>0</v>
      </c>
      <c r="L34" s="49">
        <f>L35+L36</f>
        <v>0</v>
      </c>
      <c r="M34" s="49">
        <f t="shared" si="0"/>
        <v>0</v>
      </c>
      <c r="N34" s="49">
        <f>N35+N36</f>
        <v>0</v>
      </c>
      <c r="O34" s="49">
        <f t="shared" si="1"/>
        <v>0</v>
      </c>
      <c r="P34" s="16"/>
      <c r="Q34" s="16"/>
      <c r="R34" s="16"/>
      <c r="S34" s="16"/>
      <c r="T34" s="16"/>
      <c r="U34" s="16"/>
      <c r="V34" s="16"/>
      <c r="W34" s="16"/>
      <c r="X34" s="16"/>
      <c r="Y34" s="16"/>
      <c r="Z34" s="16"/>
    </row>
    <row r="35" spans="1:26" s="17" customFormat="1" x14ac:dyDescent="0.2">
      <c r="A35" s="617"/>
      <c r="B35" s="556"/>
      <c r="C35" s="312" t="s">
        <v>54</v>
      </c>
      <c r="D35" s="312" t="s">
        <v>83</v>
      </c>
      <c r="E35" s="312"/>
      <c r="F35" s="312"/>
      <c r="G35" s="618" t="s">
        <v>1463</v>
      </c>
      <c r="H35" s="45"/>
      <c r="I35" s="50"/>
      <c r="J35" s="50"/>
      <c r="K35" s="50"/>
      <c r="L35" s="50"/>
      <c r="M35" s="49">
        <f>I35+J35+K35+L35</f>
        <v>0</v>
      </c>
      <c r="N35" s="50"/>
      <c r="O35" s="49">
        <f>M35-N35</f>
        <v>0</v>
      </c>
      <c r="P35" s="16"/>
      <c r="Q35" s="16"/>
      <c r="R35" s="16"/>
      <c r="S35" s="16"/>
      <c r="T35" s="16"/>
      <c r="U35" s="16"/>
      <c r="V35" s="16"/>
      <c r="W35" s="16"/>
      <c r="X35" s="16"/>
      <c r="Y35" s="16"/>
      <c r="Z35" s="16"/>
    </row>
    <row r="36" spans="1:26" s="17" customFormat="1" x14ac:dyDescent="0.2">
      <c r="A36" s="617"/>
      <c r="B36" s="556"/>
      <c r="C36" s="312" t="s">
        <v>55</v>
      </c>
      <c r="D36" s="312" t="s">
        <v>1458</v>
      </c>
      <c r="E36" s="312"/>
      <c r="F36" s="312"/>
      <c r="G36" s="618" t="s">
        <v>1464</v>
      </c>
      <c r="H36" s="45"/>
      <c r="I36" s="50"/>
      <c r="J36" s="50"/>
      <c r="K36" s="50"/>
      <c r="L36" s="50"/>
      <c r="M36" s="49">
        <f>I36+J36+K36+L36</f>
        <v>0</v>
      </c>
      <c r="N36" s="50"/>
      <c r="O36" s="49">
        <f>M36-N36</f>
        <v>0</v>
      </c>
      <c r="P36" s="16"/>
      <c r="Q36" s="16"/>
      <c r="R36" s="16"/>
      <c r="S36" s="16"/>
      <c r="T36" s="16"/>
      <c r="U36" s="16"/>
      <c r="V36" s="16"/>
      <c r="W36" s="16"/>
      <c r="X36" s="16"/>
      <c r="Y36" s="16"/>
      <c r="Z36" s="16"/>
    </row>
    <row r="37" spans="1:26" s="17" customFormat="1" x14ac:dyDescent="0.2">
      <c r="A37" s="346"/>
      <c r="B37" s="3" t="s">
        <v>1434</v>
      </c>
      <c r="C37" s="3" t="s">
        <v>1468</v>
      </c>
      <c r="D37" s="3"/>
      <c r="E37" s="3"/>
      <c r="F37" s="3"/>
      <c r="G37" s="416" t="s">
        <v>1439</v>
      </c>
      <c r="H37" s="45"/>
      <c r="I37" s="50"/>
      <c r="J37" s="50"/>
      <c r="K37" s="50"/>
      <c r="L37" s="50"/>
      <c r="M37" s="49">
        <f>I37+J37+K37+L37</f>
        <v>0</v>
      </c>
      <c r="N37" s="50"/>
      <c r="O37" s="49">
        <f>M37-N37</f>
        <v>0</v>
      </c>
      <c r="P37" s="16"/>
      <c r="Q37" s="16"/>
      <c r="R37" s="16"/>
      <c r="S37" s="16"/>
      <c r="T37" s="16"/>
      <c r="U37" s="16"/>
      <c r="V37" s="16"/>
      <c r="W37" s="16"/>
      <c r="X37" s="16"/>
      <c r="Y37" s="16"/>
      <c r="Z37" s="16"/>
    </row>
    <row r="38" spans="1:26" s="17" customFormat="1" x14ac:dyDescent="0.2">
      <c r="A38" s="346"/>
      <c r="B38" s="312" t="s">
        <v>1433</v>
      </c>
      <c r="C38" s="312" t="s">
        <v>52</v>
      </c>
      <c r="D38" s="312"/>
      <c r="E38" s="312"/>
      <c r="F38" s="347"/>
      <c r="G38" s="313" t="s">
        <v>131</v>
      </c>
      <c r="H38" s="45"/>
      <c r="I38" s="50"/>
      <c r="J38" s="50"/>
      <c r="K38" s="50"/>
      <c r="L38" s="50"/>
      <c r="M38" s="49">
        <f t="shared" si="0"/>
        <v>0</v>
      </c>
      <c r="N38" s="50"/>
      <c r="O38" s="49">
        <f t="shared" si="1"/>
        <v>0</v>
      </c>
      <c r="P38" s="16"/>
      <c r="Q38" s="16"/>
      <c r="R38" s="16"/>
      <c r="S38" s="16"/>
      <c r="T38" s="16"/>
      <c r="U38" s="16"/>
      <c r="V38" s="16"/>
      <c r="W38" s="16"/>
      <c r="X38" s="16"/>
      <c r="Y38" s="16"/>
      <c r="Z38" s="16"/>
    </row>
    <row r="39" spans="1:26" s="17" customFormat="1" x14ac:dyDescent="0.2">
      <c r="A39" s="346" t="s">
        <v>81</v>
      </c>
      <c r="B39" s="312" t="s">
        <v>85</v>
      </c>
      <c r="C39" s="312"/>
      <c r="D39" s="312"/>
      <c r="E39" s="312"/>
      <c r="F39" s="347"/>
      <c r="G39" s="313" t="s">
        <v>132</v>
      </c>
      <c r="H39" s="45"/>
      <c r="I39" s="50"/>
      <c r="J39" s="50"/>
      <c r="K39" s="50"/>
      <c r="L39" s="50"/>
      <c r="M39" s="49">
        <f t="shared" si="0"/>
        <v>0</v>
      </c>
      <c r="N39" s="50"/>
      <c r="O39" s="49">
        <f>M39-N39</f>
        <v>0</v>
      </c>
      <c r="P39" s="16"/>
      <c r="Q39" s="16"/>
      <c r="R39" s="16"/>
      <c r="S39" s="16"/>
      <c r="T39" s="16"/>
      <c r="U39" s="16"/>
      <c r="V39" s="16"/>
      <c r="W39" s="16"/>
      <c r="X39" s="16"/>
      <c r="Y39" s="16"/>
      <c r="Z39" s="16"/>
    </row>
    <row r="40" spans="1:26" s="17" customFormat="1" x14ac:dyDescent="0.2">
      <c r="A40" s="223" t="s">
        <v>86</v>
      </c>
      <c r="B40" s="312"/>
      <c r="C40" s="312"/>
      <c r="D40" s="312"/>
      <c r="E40" s="312"/>
      <c r="F40" s="347"/>
      <c r="G40" s="313" t="s">
        <v>133</v>
      </c>
      <c r="H40" s="45"/>
      <c r="I40" s="41">
        <f>I41+I42+I43+I44</f>
        <v>0</v>
      </c>
      <c r="J40" s="41">
        <f>J41+J42+J43+J44</f>
        <v>0</v>
      </c>
      <c r="K40" s="41">
        <f>K41+K42+K43+K44</f>
        <v>0</v>
      </c>
      <c r="L40" s="41">
        <f>L41+L42+L43+L44</f>
        <v>0</v>
      </c>
      <c r="M40" s="49">
        <f t="shared" si="0"/>
        <v>0</v>
      </c>
      <c r="N40" s="41">
        <f>N41+N42+N43+N44</f>
        <v>0</v>
      </c>
      <c r="O40" s="49">
        <f>M40-N40</f>
        <v>0</v>
      </c>
      <c r="P40" s="16"/>
      <c r="Q40" s="16"/>
      <c r="R40" s="16"/>
      <c r="S40" s="16"/>
      <c r="T40" s="16"/>
      <c r="U40" s="16"/>
      <c r="V40" s="16"/>
      <c r="W40" s="16"/>
      <c r="X40" s="16"/>
      <c r="Y40" s="16"/>
      <c r="Z40" s="16"/>
    </row>
    <row r="41" spans="1:26" s="17" customFormat="1" x14ac:dyDescent="0.2">
      <c r="A41" s="348" t="s">
        <v>54</v>
      </c>
      <c r="B41" s="225" t="s">
        <v>87</v>
      </c>
      <c r="C41" s="312"/>
      <c r="D41" s="312"/>
      <c r="E41" s="312"/>
      <c r="F41" s="347"/>
      <c r="G41" s="313" t="s">
        <v>134</v>
      </c>
      <c r="H41" s="45"/>
      <c r="I41" s="43"/>
      <c r="J41" s="43"/>
      <c r="K41" s="43"/>
      <c r="L41" s="43"/>
      <c r="M41" s="43"/>
      <c r="N41" s="43"/>
      <c r="O41" s="43"/>
      <c r="P41" s="16"/>
      <c r="Q41" s="16"/>
      <c r="R41" s="16"/>
      <c r="S41" s="16"/>
      <c r="T41" s="16"/>
      <c r="U41" s="16"/>
      <c r="V41" s="16"/>
      <c r="W41" s="16"/>
      <c r="X41" s="16"/>
      <c r="Y41" s="16"/>
      <c r="Z41" s="16"/>
    </row>
    <row r="42" spans="1:26" s="17" customFormat="1" x14ac:dyDescent="0.2">
      <c r="A42" s="348" t="s">
        <v>55</v>
      </c>
      <c r="B42" s="225" t="s">
        <v>88</v>
      </c>
      <c r="C42" s="312"/>
      <c r="D42" s="312"/>
      <c r="E42" s="312"/>
      <c r="F42" s="347"/>
      <c r="G42" s="313" t="s">
        <v>135</v>
      </c>
      <c r="H42" s="45"/>
      <c r="I42" s="43"/>
      <c r="J42" s="43"/>
      <c r="K42" s="43"/>
      <c r="L42" s="43"/>
      <c r="M42" s="43"/>
      <c r="N42" s="43"/>
      <c r="O42" s="43"/>
      <c r="P42" s="16"/>
      <c r="Q42" s="16"/>
      <c r="R42" s="16"/>
      <c r="S42" s="16"/>
      <c r="T42" s="16"/>
      <c r="U42" s="16"/>
      <c r="V42" s="16"/>
      <c r="W42" s="16"/>
      <c r="X42" s="16"/>
      <c r="Y42" s="16"/>
      <c r="Z42" s="16"/>
    </row>
    <row r="43" spans="1:26" s="17" customFormat="1" x14ac:dyDescent="0.2">
      <c r="A43" s="348" t="s">
        <v>65</v>
      </c>
      <c r="B43" s="312" t="s">
        <v>89</v>
      </c>
      <c r="C43" s="312"/>
      <c r="D43" s="312"/>
      <c r="E43" s="312"/>
      <c r="F43" s="347"/>
      <c r="G43" s="313" t="s">
        <v>136</v>
      </c>
      <c r="H43" s="45"/>
      <c r="I43" s="43"/>
      <c r="J43" s="43"/>
      <c r="K43" s="43"/>
      <c r="L43" s="43"/>
      <c r="M43" s="43"/>
      <c r="N43" s="43"/>
      <c r="O43" s="43"/>
      <c r="P43" s="16"/>
      <c r="Q43" s="16"/>
      <c r="R43" s="16"/>
      <c r="S43" s="16"/>
      <c r="T43" s="16"/>
      <c r="U43" s="16"/>
      <c r="V43" s="16"/>
      <c r="W43" s="16"/>
      <c r="X43" s="16"/>
      <c r="Y43" s="16"/>
      <c r="Z43" s="16"/>
    </row>
    <row r="44" spans="1:26" s="17" customFormat="1" x14ac:dyDescent="0.2">
      <c r="A44" s="348" t="s">
        <v>90</v>
      </c>
      <c r="B44" s="312" t="s">
        <v>91</v>
      </c>
      <c r="C44" s="312"/>
      <c r="D44" s="312"/>
      <c r="E44" s="312"/>
      <c r="F44" s="347"/>
      <c r="G44" s="313" t="s">
        <v>137</v>
      </c>
      <c r="H44" s="45"/>
      <c r="I44" s="50"/>
      <c r="J44" s="50"/>
      <c r="K44" s="50"/>
      <c r="L44" s="50"/>
      <c r="M44" s="41">
        <f>I44+J44+K44+L44</f>
        <v>0</v>
      </c>
      <c r="N44" s="50"/>
      <c r="O44" s="41">
        <f>M44-N44</f>
        <v>0</v>
      </c>
      <c r="P44" s="16"/>
      <c r="Q44" s="16"/>
      <c r="R44" s="16"/>
      <c r="S44" s="16"/>
      <c r="T44" s="16"/>
      <c r="U44" s="16"/>
      <c r="V44" s="16"/>
      <c r="W44" s="16"/>
      <c r="X44" s="16"/>
      <c r="Y44" s="16"/>
      <c r="Z44" s="16"/>
    </row>
    <row r="45" spans="1:26" s="20" customFormat="1" x14ac:dyDescent="0.2">
      <c r="A45" s="643" t="s">
        <v>104</v>
      </c>
      <c r="B45" s="684"/>
      <c r="C45" s="684"/>
      <c r="D45" s="684"/>
      <c r="E45" s="684"/>
      <c r="F45" s="685"/>
      <c r="G45" s="313" t="s">
        <v>138</v>
      </c>
      <c r="H45" s="115"/>
      <c r="I45" s="41">
        <f>I10+I40</f>
        <v>0</v>
      </c>
      <c r="J45" s="41">
        <f>J10+J40</f>
        <v>0</v>
      </c>
      <c r="K45" s="41">
        <f>K10+K40</f>
        <v>0</v>
      </c>
      <c r="L45" s="41">
        <f>L10+L40</f>
        <v>0</v>
      </c>
      <c r="M45" s="49">
        <f t="shared" si="0"/>
        <v>0</v>
      </c>
      <c r="N45" s="41">
        <f>N10+N40</f>
        <v>0</v>
      </c>
      <c r="O45" s="49">
        <f t="shared" si="1"/>
        <v>0</v>
      </c>
      <c r="P45" s="1"/>
      <c r="Q45" s="1"/>
      <c r="R45" s="1"/>
      <c r="S45" s="1"/>
      <c r="T45" s="1"/>
      <c r="U45" s="1"/>
      <c r="V45" s="1"/>
      <c r="W45" s="1"/>
      <c r="X45" s="1"/>
      <c r="Y45" s="1"/>
      <c r="Z45" s="1"/>
    </row>
    <row r="46" spans="1:26" s="20" customFormat="1" x14ac:dyDescent="0.2">
      <c r="A46" s="328" t="s">
        <v>644</v>
      </c>
      <c r="B46" s="329"/>
      <c r="C46" s="329"/>
      <c r="D46" s="330"/>
      <c r="E46" s="329"/>
      <c r="F46" s="331"/>
      <c r="G46" s="350"/>
      <c r="H46" s="207"/>
      <c r="I46" s="41"/>
      <c r="J46" s="41"/>
      <c r="K46" s="41"/>
      <c r="L46" s="41"/>
      <c r="M46" s="49"/>
      <c r="N46" s="41"/>
      <c r="O46" s="49"/>
      <c r="P46" s="1"/>
      <c r="Q46" s="1"/>
      <c r="R46" s="1"/>
      <c r="S46" s="1"/>
      <c r="T46" s="1"/>
      <c r="U46" s="1"/>
      <c r="V46" s="1"/>
      <c r="W46" s="1"/>
      <c r="X46" s="1"/>
      <c r="Y46" s="1"/>
      <c r="Z46" s="1"/>
    </row>
    <row r="47" spans="1:26" s="20" customFormat="1" x14ac:dyDescent="0.2">
      <c r="A47" s="333" t="s">
        <v>161</v>
      </c>
      <c r="B47" s="303" t="s">
        <v>68</v>
      </c>
      <c r="C47" s="303"/>
      <c r="D47" s="303"/>
      <c r="E47" s="303"/>
      <c r="F47" s="334"/>
      <c r="G47" s="351" t="s">
        <v>642</v>
      </c>
      <c r="H47" s="207"/>
      <c r="I47" s="50"/>
      <c r="J47" s="50"/>
      <c r="K47" s="50"/>
      <c r="L47" s="50"/>
      <c r="M47" s="49">
        <f t="shared" si="0"/>
        <v>0</v>
      </c>
      <c r="N47" s="50"/>
      <c r="O47" s="49">
        <f t="shared" si="1"/>
        <v>0</v>
      </c>
      <c r="P47" s="1"/>
      <c r="Q47" s="1"/>
      <c r="R47" s="1"/>
      <c r="S47" s="1"/>
      <c r="T47" s="1"/>
      <c r="U47" s="1"/>
      <c r="V47" s="1"/>
      <c r="W47" s="1"/>
      <c r="X47" s="1"/>
      <c r="Y47" s="1"/>
      <c r="Z47" s="1"/>
    </row>
    <row r="48" spans="1:26" s="20" customFormat="1" x14ac:dyDescent="0.2">
      <c r="A48" s="333" t="s">
        <v>164</v>
      </c>
      <c r="B48" s="303" t="s">
        <v>70</v>
      </c>
      <c r="C48" s="303"/>
      <c r="D48" s="303"/>
      <c r="E48" s="303"/>
      <c r="F48" s="334"/>
      <c r="G48" s="351" t="s">
        <v>643</v>
      </c>
      <c r="H48" s="207"/>
      <c r="I48" s="50"/>
      <c r="J48" s="50"/>
      <c r="K48" s="50"/>
      <c r="L48" s="50"/>
      <c r="M48" s="49">
        <f t="shared" si="0"/>
        <v>0</v>
      </c>
      <c r="N48" s="50"/>
      <c r="O48" s="49">
        <f t="shared" si="1"/>
        <v>0</v>
      </c>
      <c r="P48" s="1"/>
      <c r="Q48" s="1"/>
      <c r="R48" s="1"/>
      <c r="S48" s="1"/>
      <c r="T48" s="1"/>
      <c r="U48" s="1"/>
      <c r="V48" s="1"/>
      <c r="W48" s="1"/>
      <c r="X48" s="1"/>
      <c r="Y48" s="1"/>
      <c r="Z48" s="1"/>
    </row>
    <row r="49" spans="7:26" x14ac:dyDescent="0.2">
      <c r="G49" s="281" t="s">
        <v>108</v>
      </c>
      <c r="H49" s="52"/>
      <c r="P49" s="9"/>
      <c r="Q49" s="9"/>
      <c r="R49" s="9"/>
      <c r="S49" s="9"/>
      <c r="T49" s="9"/>
      <c r="U49" s="9"/>
      <c r="V49" s="9"/>
      <c r="W49" s="9"/>
      <c r="X49" s="9"/>
      <c r="Y49" s="9"/>
      <c r="Z49" s="9"/>
    </row>
    <row r="50" spans="7:26" x14ac:dyDescent="0.2">
      <c r="G50" s="52"/>
      <c r="H50" s="52"/>
      <c r="P50" s="9"/>
      <c r="Q50" s="9"/>
      <c r="R50" s="9"/>
      <c r="S50" s="9"/>
      <c r="T50" s="9"/>
      <c r="U50" s="9"/>
      <c r="V50" s="9"/>
      <c r="W50" s="9"/>
      <c r="X50" s="9"/>
      <c r="Y50" s="9"/>
      <c r="Z50" s="9"/>
    </row>
    <row r="51" spans="7:26" x14ac:dyDescent="0.2">
      <c r="G51" s="52"/>
      <c r="H51" s="52"/>
      <c r="P51" s="9"/>
      <c r="Q51" s="9"/>
      <c r="R51" s="9"/>
      <c r="S51" s="9"/>
      <c r="T51" s="9"/>
      <c r="U51" s="9"/>
      <c r="V51" s="9"/>
      <c r="W51" s="9"/>
      <c r="X51" s="9"/>
      <c r="Y51" s="9"/>
      <c r="Z51" s="9"/>
    </row>
  </sheetData>
  <sheetProtection password="F6FA" sheet="1" objects="1" scenarios="1" selectLockedCells="1"/>
  <mergeCells count="18">
    <mergeCell ref="J6:J9"/>
    <mergeCell ref="B31:F31"/>
    <mergeCell ref="G5:G9"/>
    <mergeCell ref="M6:M9"/>
    <mergeCell ref="N6:N9"/>
    <mergeCell ref="O6:O9"/>
    <mergeCell ref="C22:F22"/>
    <mergeCell ref="C23:F23"/>
    <mergeCell ref="A45:F45"/>
    <mergeCell ref="A1:O1"/>
    <mergeCell ref="A2:O2"/>
    <mergeCell ref="A3:O3"/>
    <mergeCell ref="I6:I9"/>
    <mergeCell ref="A5:F9"/>
    <mergeCell ref="C34:F34"/>
    <mergeCell ref="K6:L7"/>
    <mergeCell ref="K8:K9"/>
    <mergeCell ref="L8:L9"/>
  </mergeCells>
  <phoneticPr fontId="2" type="noConversion"/>
  <dataValidations count="1">
    <dataValidation type="decimal" allowBlank="1" showInputMessage="1" showErrorMessage="1" sqref="I29:L31 I25:L27 N29:N31 N22:N23 N25:N27 I19:L20 N15:N17 N12:N13 N47:N48 I15:L17 I12:L13 I44:L44 N44 I47:L48 N19:N20 I22:L23 N33:N39 I33:L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11b1&amp;8&amp;U
&amp;P of &amp;N&amp;C&amp;"Arial,Bold"&amp;8 NEW RURAL BANK OF SAN LEONARDO, INC  [ 04-040656 ]
 As of: September 30, 2017</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M49"/>
  <sheetViews>
    <sheetView zoomScaleNormal="100" zoomScaleSheetLayoutView="8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39.42578125" style="5" customWidth="1"/>
    <col min="7" max="7" width="20.140625" style="52" bestFit="1" customWidth="1"/>
    <col min="8" max="8" width="16.5703125" style="52"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48" customWidth="1"/>
    <col min="18" max="18" width="25.7109375" style="48" customWidth="1"/>
    <col min="19" max="19" width="20.7109375" style="48" customWidth="1"/>
    <col min="20" max="20" width="25.7109375" style="48" customWidth="1"/>
    <col min="21" max="21" width="20.7109375" style="48" customWidth="1"/>
    <col min="22" max="22" width="25.7109375" style="48"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43" customFormat="1" ht="12.75" x14ac:dyDescent="0.2">
      <c r="A1" s="669" t="s">
        <v>106</v>
      </c>
      <c r="B1" s="669"/>
      <c r="C1" s="669"/>
      <c r="D1" s="669"/>
      <c r="E1" s="669"/>
      <c r="F1" s="669"/>
      <c r="G1" s="669"/>
      <c r="H1" s="669"/>
      <c r="I1" s="669"/>
      <c r="J1" s="669"/>
      <c r="K1" s="669"/>
      <c r="L1" s="669"/>
      <c r="M1" s="669"/>
      <c r="N1" s="669"/>
      <c r="O1" s="669"/>
      <c r="P1" s="669"/>
      <c r="Q1" s="669"/>
      <c r="R1" s="669"/>
      <c r="S1" s="669"/>
      <c r="T1" s="669"/>
      <c r="U1" s="669"/>
      <c r="V1" s="669"/>
      <c r="W1" s="242"/>
      <c r="X1" s="242"/>
      <c r="Y1" s="242"/>
      <c r="Z1" s="242"/>
      <c r="AA1" s="242"/>
      <c r="AB1" s="242"/>
      <c r="AC1" s="242"/>
      <c r="AD1" s="242"/>
      <c r="AE1" s="242"/>
    </row>
    <row r="2" spans="1:33" s="243" customFormat="1" ht="12.75" x14ac:dyDescent="0.2">
      <c r="A2" s="669" t="s">
        <v>92</v>
      </c>
      <c r="B2" s="669"/>
      <c r="C2" s="669"/>
      <c r="D2" s="669"/>
      <c r="E2" s="669"/>
      <c r="F2" s="669"/>
      <c r="G2" s="669"/>
      <c r="H2" s="669"/>
      <c r="I2" s="669"/>
      <c r="J2" s="669"/>
      <c r="K2" s="669"/>
      <c r="L2" s="669"/>
      <c r="M2" s="669"/>
      <c r="N2" s="669"/>
      <c r="O2" s="669"/>
      <c r="P2" s="669"/>
      <c r="Q2" s="669"/>
      <c r="R2" s="669"/>
      <c r="S2" s="669"/>
      <c r="T2" s="669"/>
      <c r="U2" s="669"/>
      <c r="V2" s="669"/>
      <c r="W2" s="242"/>
      <c r="X2" s="242"/>
      <c r="Y2" s="242"/>
      <c r="Z2" s="242"/>
      <c r="AA2" s="242"/>
      <c r="AB2" s="242"/>
      <c r="AC2" s="242"/>
      <c r="AD2" s="242"/>
      <c r="AE2" s="242"/>
    </row>
    <row r="3" spans="1:33" s="243" customFormat="1" ht="12.75" x14ac:dyDescent="0.2">
      <c r="A3" s="669" t="s">
        <v>49</v>
      </c>
      <c r="B3" s="669"/>
      <c r="C3" s="669"/>
      <c r="D3" s="669"/>
      <c r="E3" s="669"/>
      <c r="F3" s="669"/>
      <c r="G3" s="669"/>
      <c r="H3" s="669"/>
      <c r="I3" s="669"/>
      <c r="J3" s="669"/>
      <c r="K3" s="669"/>
      <c r="L3" s="669"/>
      <c r="M3" s="669"/>
      <c r="N3" s="669"/>
      <c r="O3" s="669"/>
      <c r="P3" s="669"/>
      <c r="Q3" s="669"/>
      <c r="R3" s="669"/>
      <c r="S3" s="669"/>
      <c r="T3" s="669"/>
      <c r="U3" s="669"/>
      <c r="V3" s="669"/>
      <c r="W3" s="242"/>
      <c r="X3" s="242"/>
      <c r="Y3" s="242"/>
      <c r="Z3" s="242"/>
      <c r="AA3" s="242"/>
      <c r="AB3" s="242"/>
      <c r="AC3" s="242"/>
      <c r="AD3" s="242"/>
      <c r="AE3" s="242"/>
    </row>
    <row r="4" spans="1:33" x14ac:dyDescent="0.2">
      <c r="A4" s="6"/>
      <c r="B4" s="6"/>
      <c r="C4" s="6"/>
      <c r="D4" s="6"/>
      <c r="E4" s="6"/>
      <c r="F4" s="6"/>
      <c r="G4" s="54"/>
      <c r="H4" s="54"/>
      <c r="I4" s="47"/>
      <c r="J4" s="47"/>
      <c r="K4" s="47"/>
      <c r="L4" s="47"/>
      <c r="M4" s="47"/>
      <c r="N4" s="47"/>
      <c r="O4" s="47"/>
      <c r="P4" s="47"/>
      <c r="Q4" s="47"/>
      <c r="R4" s="47"/>
      <c r="S4" s="47"/>
      <c r="T4" s="47"/>
      <c r="U4" s="47"/>
      <c r="V4" s="47"/>
      <c r="W4" s="4"/>
      <c r="X4" s="4"/>
      <c r="Y4" s="4"/>
      <c r="Z4" s="4"/>
      <c r="AA4" s="4"/>
      <c r="AB4" s="4"/>
      <c r="AC4" s="4"/>
      <c r="AD4" s="4"/>
      <c r="AE4" s="4"/>
    </row>
    <row r="5" spans="1:33" ht="11.25" customHeight="1" x14ac:dyDescent="0.2">
      <c r="A5" s="672" t="s">
        <v>45</v>
      </c>
      <c r="B5" s="672"/>
      <c r="C5" s="672"/>
      <c r="D5" s="672"/>
      <c r="E5" s="672"/>
      <c r="F5" s="672"/>
      <c r="G5" s="699" t="s">
        <v>46</v>
      </c>
      <c r="H5" s="24"/>
      <c r="I5" s="687" t="s">
        <v>94</v>
      </c>
      <c r="J5" s="687"/>
      <c r="K5" s="687" t="s">
        <v>95</v>
      </c>
      <c r="L5" s="687"/>
      <c r="M5" s="687" t="s">
        <v>96</v>
      </c>
      <c r="N5" s="687"/>
      <c r="O5" s="687" t="s">
        <v>97</v>
      </c>
      <c r="P5" s="687"/>
      <c r="Q5" s="687" t="s">
        <v>98</v>
      </c>
      <c r="R5" s="687"/>
      <c r="S5" s="687" t="s">
        <v>99</v>
      </c>
      <c r="T5" s="687"/>
      <c r="U5" s="687" t="s">
        <v>100</v>
      </c>
      <c r="V5" s="687"/>
      <c r="W5" s="7"/>
      <c r="X5" s="7"/>
      <c r="Y5" s="7"/>
      <c r="Z5" s="7"/>
      <c r="AA5" s="7"/>
      <c r="AB5" s="8"/>
      <c r="AC5" s="8"/>
      <c r="AD5" s="8"/>
      <c r="AE5" s="8"/>
      <c r="AF5" s="9"/>
      <c r="AG5" s="9"/>
    </row>
    <row r="6" spans="1:33" s="28" customFormat="1" ht="9" customHeight="1" x14ac:dyDescent="0.15">
      <c r="A6" s="672"/>
      <c r="B6" s="672"/>
      <c r="C6" s="672"/>
      <c r="D6" s="672"/>
      <c r="E6" s="672"/>
      <c r="F6" s="672"/>
      <c r="G6" s="672"/>
      <c r="H6" s="38"/>
      <c r="I6" s="670" t="s">
        <v>101</v>
      </c>
      <c r="J6" s="670"/>
      <c r="K6" s="674" t="s">
        <v>1471</v>
      </c>
      <c r="L6" s="674"/>
      <c r="M6" s="689" t="s">
        <v>1474</v>
      </c>
      <c r="N6" s="690"/>
      <c r="O6" s="690"/>
      <c r="P6" s="691"/>
      <c r="Q6" s="670" t="s">
        <v>102</v>
      </c>
      <c r="R6" s="670"/>
      <c r="S6" s="670" t="s">
        <v>47</v>
      </c>
      <c r="T6" s="670"/>
      <c r="U6" s="670" t="s">
        <v>48</v>
      </c>
      <c r="V6" s="670"/>
      <c r="W6" s="25"/>
      <c r="X6" s="25"/>
      <c r="Y6" s="25"/>
      <c r="Z6" s="25"/>
      <c r="AA6" s="25"/>
      <c r="AB6" s="26"/>
      <c r="AC6" s="26"/>
      <c r="AD6" s="26"/>
      <c r="AE6" s="26"/>
      <c r="AF6" s="27"/>
      <c r="AG6" s="27"/>
    </row>
    <row r="7" spans="1:33" s="28" customFormat="1" ht="9" customHeight="1" x14ac:dyDescent="0.15">
      <c r="A7" s="672"/>
      <c r="B7" s="672"/>
      <c r="C7" s="672"/>
      <c r="D7" s="672"/>
      <c r="E7" s="672"/>
      <c r="F7" s="672"/>
      <c r="G7" s="672"/>
      <c r="H7" s="38"/>
      <c r="I7" s="670"/>
      <c r="J7" s="670"/>
      <c r="K7" s="674"/>
      <c r="L7" s="674"/>
      <c r="M7" s="678" t="s">
        <v>1472</v>
      </c>
      <c r="N7" s="679"/>
      <c r="O7" s="678" t="s">
        <v>1473</v>
      </c>
      <c r="P7" s="679"/>
      <c r="Q7" s="670"/>
      <c r="R7" s="670"/>
      <c r="S7" s="670"/>
      <c r="T7" s="670"/>
      <c r="U7" s="670"/>
      <c r="V7" s="670"/>
      <c r="W7" s="25"/>
      <c r="X7" s="25"/>
      <c r="Y7" s="25"/>
      <c r="Z7" s="25"/>
      <c r="AA7" s="25"/>
      <c r="AB7" s="29"/>
      <c r="AC7" s="26"/>
      <c r="AD7" s="26"/>
      <c r="AE7" s="26"/>
      <c r="AF7" s="27"/>
      <c r="AG7" s="27"/>
    </row>
    <row r="8" spans="1:33" s="28" customFormat="1" ht="27.75" customHeight="1" x14ac:dyDescent="0.15">
      <c r="A8" s="672"/>
      <c r="B8" s="672"/>
      <c r="C8" s="672"/>
      <c r="D8" s="672"/>
      <c r="E8" s="672"/>
      <c r="F8" s="672"/>
      <c r="G8" s="672"/>
      <c r="H8" s="38"/>
      <c r="I8" s="670"/>
      <c r="J8" s="670"/>
      <c r="K8" s="674"/>
      <c r="L8" s="674"/>
      <c r="M8" s="680"/>
      <c r="N8" s="681"/>
      <c r="O8" s="680"/>
      <c r="P8" s="681"/>
      <c r="Q8" s="670"/>
      <c r="R8" s="670"/>
      <c r="S8" s="670"/>
      <c r="T8" s="670"/>
      <c r="U8" s="670"/>
      <c r="V8" s="670"/>
      <c r="W8" s="30"/>
      <c r="X8" s="31"/>
      <c r="Y8" s="31"/>
      <c r="Z8" s="31"/>
      <c r="AA8" s="31"/>
      <c r="AB8" s="29"/>
      <c r="AC8" s="26"/>
      <c r="AD8" s="26"/>
      <c r="AE8" s="26"/>
      <c r="AF8" s="27"/>
      <c r="AG8" s="27"/>
    </row>
    <row r="9" spans="1:33" s="35" customFormat="1" ht="9" customHeight="1" x14ac:dyDescent="0.2">
      <c r="A9" s="672"/>
      <c r="B9" s="672"/>
      <c r="C9" s="672"/>
      <c r="D9" s="672"/>
      <c r="E9" s="672"/>
      <c r="F9" s="672"/>
      <c r="G9" s="672"/>
      <c r="H9" s="38"/>
      <c r="I9" s="55" t="s">
        <v>50</v>
      </c>
      <c r="J9" s="51" t="s">
        <v>51</v>
      </c>
      <c r="K9" s="55" t="s">
        <v>50</v>
      </c>
      <c r="L9" s="51" t="s">
        <v>51</v>
      </c>
      <c r="M9" s="55" t="s">
        <v>50</v>
      </c>
      <c r="N9" s="51" t="s">
        <v>51</v>
      </c>
      <c r="O9" s="55" t="s">
        <v>50</v>
      </c>
      <c r="P9" s="51" t="s">
        <v>51</v>
      </c>
      <c r="Q9" s="55" t="s">
        <v>50</v>
      </c>
      <c r="R9" s="51" t="s">
        <v>51</v>
      </c>
      <c r="S9" s="55" t="s">
        <v>50</v>
      </c>
      <c r="T9" s="51" t="s">
        <v>51</v>
      </c>
      <c r="U9" s="55" t="s">
        <v>50</v>
      </c>
      <c r="V9" s="51" t="s">
        <v>51</v>
      </c>
      <c r="W9" s="32"/>
      <c r="X9" s="32"/>
      <c r="Y9" s="32"/>
      <c r="Z9" s="32"/>
      <c r="AA9" s="32"/>
      <c r="AB9" s="32"/>
      <c r="AC9" s="33"/>
      <c r="AD9" s="33"/>
      <c r="AE9" s="33"/>
      <c r="AF9" s="34"/>
      <c r="AG9" s="34"/>
    </row>
    <row r="10" spans="1:33" s="17" customFormat="1" x14ac:dyDescent="0.2">
      <c r="A10" s="223" t="s">
        <v>57</v>
      </c>
      <c r="B10" s="312"/>
      <c r="C10" s="312"/>
      <c r="D10" s="312"/>
      <c r="E10" s="312"/>
      <c r="F10" s="347"/>
      <c r="G10" s="313" t="s">
        <v>109</v>
      </c>
      <c r="H10" s="45"/>
      <c r="I10" s="49">
        <f t="shared" ref="I10:P10" si="0">I11+I18+I21+I24+I27+I28+I31+I32+I39</f>
        <v>0</v>
      </c>
      <c r="J10" s="49">
        <f t="shared" si="0"/>
        <v>0</v>
      </c>
      <c r="K10" s="49">
        <f t="shared" si="0"/>
        <v>0</v>
      </c>
      <c r="L10" s="49">
        <f t="shared" si="0"/>
        <v>0</v>
      </c>
      <c r="M10" s="49">
        <f t="shared" si="0"/>
        <v>0</v>
      </c>
      <c r="N10" s="49">
        <f t="shared" si="0"/>
        <v>0</v>
      </c>
      <c r="O10" s="49">
        <f t="shared" si="0"/>
        <v>0</v>
      </c>
      <c r="P10" s="49">
        <f t="shared" si="0"/>
        <v>0</v>
      </c>
      <c r="Q10" s="49">
        <f t="shared" ref="Q10:Q17" si="1">I10+K10+M10+O10</f>
        <v>0</v>
      </c>
      <c r="R10" s="49">
        <f t="shared" ref="R10:R17" si="2">P10+N10+L10+J10</f>
        <v>0</v>
      </c>
      <c r="S10" s="49">
        <f>S11+S18+S21+S24+S27+S28+S31+S32+S39</f>
        <v>0</v>
      </c>
      <c r="T10" s="49">
        <f>T11+T18+T21+T24+T27+T28+T31+T32+T39</f>
        <v>0</v>
      </c>
      <c r="U10" s="49">
        <f t="shared" ref="U10:V17" si="3">Q10-S10</f>
        <v>0</v>
      </c>
      <c r="V10" s="49">
        <f t="shared" si="3"/>
        <v>0</v>
      </c>
      <c r="W10" s="15"/>
      <c r="X10" s="16"/>
      <c r="Y10" s="16"/>
      <c r="Z10" s="16"/>
      <c r="AA10" s="16"/>
      <c r="AB10" s="16"/>
      <c r="AC10" s="16"/>
      <c r="AD10" s="16"/>
      <c r="AE10" s="16"/>
      <c r="AF10" s="16"/>
      <c r="AG10" s="16"/>
    </row>
    <row r="11" spans="1:33" s="17" customFormat="1" x14ac:dyDescent="0.2">
      <c r="A11" s="346" t="s">
        <v>58</v>
      </c>
      <c r="B11" s="312" t="s">
        <v>544</v>
      </c>
      <c r="C11" s="312"/>
      <c r="D11" s="312"/>
      <c r="E11" s="312"/>
      <c r="F11" s="347"/>
      <c r="G11" s="313" t="s">
        <v>110</v>
      </c>
      <c r="H11" s="45"/>
      <c r="I11" s="49">
        <f t="shared" ref="I11:P11" si="4">+I12+I13+I14</f>
        <v>0</v>
      </c>
      <c r="J11" s="49">
        <f t="shared" si="4"/>
        <v>0</v>
      </c>
      <c r="K11" s="49">
        <f t="shared" si="4"/>
        <v>0</v>
      </c>
      <c r="L11" s="49">
        <f t="shared" si="4"/>
        <v>0</v>
      </c>
      <c r="M11" s="49">
        <f t="shared" si="4"/>
        <v>0</v>
      </c>
      <c r="N11" s="49">
        <f t="shared" si="4"/>
        <v>0</v>
      </c>
      <c r="O11" s="49">
        <f t="shared" si="4"/>
        <v>0</v>
      </c>
      <c r="P11" s="49">
        <f t="shared" si="4"/>
        <v>0</v>
      </c>
      <c r="Q11" s="49">
        <f t="shared" si="1"/>
        <v>0</v>
      </c>
      <c r="R11" s="49">
        <f t="shared" si="2"/>
        <v>0</v>
      </c>
      <c r="S11" s="49">
        <f>+S12+S13+S14</f>
        <v>0</v>
      </c>
      <c r="T11" s="49">
        <f>+T12+T13+T14</f>
        <v>0</v>
      </c>
      <c r="U11" s="49">
        <f t="shared" si="3"/>
        <v>0</v>
      </c>
      <c r="V11" s="49">
        <f t="shared" si="3"/>
        <v>0</v>
      </c>
      <c r="W11" s="15"/>
      <c r="X11" s="16"/>
      <c r="Y11" s="16"/>
      <c r="Z11" s="16"/>
      <c r="AA11" s="16"/>
      <c r="AB11" s="16"/>
      <c r="AC11" s="16"/>
      <c r="AD11" s="16"/>
      <c r="AE11" s="16"/>
      <c r="AF11" s="16"/>
      <c r="AG11" s="16"/>
    </row>
    <row r="12" spans="1:33" s="17" customFormat="1" x14ac:dyDescent="0.2">
      <c r="A12" s="346"/>
      <c r="B12" s="312" t="s">
        <v>59</v>
      </c>
      <c r="C12" s="312" t="s">
        <v>60</v>
      </c>
      <c r="D12" s="312"/>
      <c r="E12" s="312"/>
      <c r="F12" s="347"/>
      <c r="G12" s="313" t="s">
        <v>111</v>
      </c>
      <c r="H12" s="45"/>
      <c r="I12" s="50"/>
      <c r="J12" s="50"/>
      <c r="K12" s="50"/>
      <c r="L12" s="50"/>
      <c r="M12" s="50"/>
      <c r="N12" s="50"/>
      <c r="O12" s="50"/>
      <c r="P12" s="50"/>
      <c r="Q12" s="49">
        <f t="shared" si="1"/>
        <v>0</v>
      </c>
      <c r="R12" s="49">
        <f t="shared" si="2"/>
        <v>0</v>
      </c>
      <c r="S12" s="50"/>
      <c r="T12" s="50"/>
      <c r="U12" s="49">
        <f t="shared" si="3"/>
        <v>0</v>
      </c>
      <c r="V12" s="49">
        <f t="shared" si="3"/>
        <v>0</v>
      </c>
      <c r="W12" s="15"/>
      <c r="X12" s="16"/>
      <c r="Y12" s="16"/>
      <c r="Z12" s="16"/>
      <c r="AA12" s="16"/>
      <c r="AB12" s="16"/>
      <c r="AC12" s="16"/>
      <c r="AD12" s="16"/>
      <c r="AE12" s="16"/>
      <c r="AF12" s="16"/>
      <c r="AG12" s="16"/>
    </row>
    <row r="13" spans="1:33" s="17" customFormat="1" x14ac:dyDescent="0.2">
      <c r="A13" s="346"/>
      <c r="B13" s="312" t="s">
        <v>61</v>
      </c>
      <c r="C13" s="312" t="s">
        <v>72</v>
      </c>
      <c r="D13" s="312"/>
      <c r="E13" s="312"/>
      <c r="F13" s="347"/>
      <c r="G13" s="313" t="s">
        <v>546</v>
      </c>
      <c r="H13" s="45"/>
      <c r="I13" s="50"/>
      <c r="J13" s="50"/>
      <c r="K13" s="50"/>
      <c r="L13" s="50"/>
      <c r="M13" s="50"/>
      <c r="N13" s="50"/>
      <c r="O13" s="50"/>
      <c r="P13" s="50"/>
      <c r="Q13" s="49">
        <f t="shared" si="1"/>
        <v>0</v>
      </c>
      <c r="R13" s="49">
        <f t="shared" si="2"/>
        <v>0</v>
      </c>
      <c r="S13" s="50"/>
      <c r="T13" s="50"/>
      <c r="U13" s="49">
        <f t="shared" si="3"/>
        <v>0</v>
      </c>
      <c r="V13" s="49">
        <f t="shared" si="3"/>
        <v>0</v>
      </c>
      <c r="W13" s="15"/>
      <c r="X13" s="16"/>
      <c r="Y13" s="16"/>
      <c r="Z13" s="16"/>
      <c r="AA13" s="16"/>
      <c r="AB13" s="16"/>
      <c r="AC13" s="16"/>
      <c r="AD13" s="16"/>
      <c r="AE13" s="16"/>
      <c r="AF13" s="16"/>
      <c r="AG13" s="16"/>
    </row>
    <row r="14" spans="1:33" s="17" customFormat="1" x14ac:dyDescent="0.2">
      <c r="A14" s="346"/>
      <c r="B14" s="312" t="s">
        <v>71</v>
      </c>
      <c r="C14" s="312" t="s">
        <v>62</v>
      </c>
      <c r="D14" s="312"/>
      <c r="E14" s="312"/>
      <c r="F14" s="347"/>
      <c r="G14" s="313" t="s">
        <v>112</v>
      </c>
      <c r="H14" s="45"/>
      <c r="I14" s="49">
        <f t="shared" ref="I14:P14" si="5">I15+I16+I17</f>
        <v>0</v>
      </c>
      <c r="J14" s="49">
        <f t="shared" si="5"/>
        <v>0</v>
      </c>
      <c r="K14" s="49">
        <f t="shared" si="5"/>
        <v>0</v>
      </c>
      <c r="L14" s="49">
        <f t="shared" si="5"/>
        <v>0</v>
      </c>
      <c r="M14" s="49">
        <f t="shared" si="5"/>
        <v>0</v>
      </c>
      <c r="N14" s="49">
        <f t="shared" si="5"/>
        <v>0</v>
      </c>
      <c r="O14" s="49">
        <f t="shared" si="5"/>
        <v>0</v>
      </c>
      <c r="P14" s="49">
        <f t="shared" si="5"/>
        <v>0</v>
      </c>
      <c r="Q14" s="49">
        <f t="shared" si="1"/>
        <v>0</v>
      </c>
      <c r="R14" s="49">
        <f t="shared" si="2"/>
        <v>0</v>
      </c>
      <c r="S14" s="49">
        <f>S15+S16+S17</f>
        <v>0</v>
      </c>
      <c r="T14" s="49">
        <f>T15+T16+T17</f>
        <v>0</v>
      </c>
      <c r="U14" s="49">
        <f t="shared" si="3"/>
        <v>0</v>
      </c>
      <c r="V14" s="49">
        <f t="shared" si="3"/>
        <v>0</v>
      </c>
      <c r="W14" s="15"/>
      <c r="X14" s="16"/>
      <c r="Y14" s="16"/>
      <c r="Z14" s="16"/>
      <c r="AA14" s="16"/>
      <c r="AB14" s="16"/>
      <c r="AC14" s="16"/>
      <c r="AD14" s="16"/>
      <c r="AE14" s="16"/>
      <c r="AF14" s="16"/>
      <c r="AG14" s="16"/>
    </row>
    <row r="15" spans="1:33" s="17" customFormat="1" x14ac:dyDescent="0.2">
      <c r="A15" s="346"/>
      <c r="B15" s="312"/>
      <c r="C15" s="311" t="s">
        <v>54</v>
      </c>
      <c r="D15" s="312" t="s">
        <v>63</v>
      </c>
      <c r="E15" s="312"/>
      <c r="F15" s="347"/>
      <c r="G15" s="313" t="s">
        <v>113</v>
      </c>
      <c r="H15" s="45"/>
      <c r="I15" s="50"/>
      <c r="J15" s="50"/>
      <c r="K15" s="50"/>
      <c r="L15" s="50"/>
      <c r="M15" s="50"/>
      <c r="N15" s="50"/>
      <c r="O15" s="50"/>
      <c r="P15" s="50"/>
      <c r="Q15" s="49">
        <f t="shared" si="1"/>
        <v>0</v>
      </c>
      <c r="R15" s="49">
        <f t="shared" si="2"/>
        <v>0</v>
      </c>
      <c r="S15" s="50"/>
      <c r="T15" s="50"/>
      <c r="U15" s="49">
        <f t="shared" si="3"/>
        <v>0</v>
      </c>
      <c r="V15" s="49">
        <f t="shared" si="3"/>
        <v>0</v>
      </c>
      <c r="W15" s="15"/>
      <c r="X15" s="16"/>
      <c r="Y15" s="16"/>
      <c r="Z15" s="16"/>
      <c r="AA15" s="16"/>
      <c r="AB15" s="16"/>
      <c r="AC15" s="16"/>
      <c r="AD15" s="16"/>
      <c r="AE15" s="16"/>
      <c r="AF15" s="16"/>
      <c r="AG15" s="16"/>
    </row>
    <row r="16" spans="1:33" s="17" customFormat="1" x14ac:dyDescent="0.2">
      <c r="A16" s="346"/>
      <c r="B16" s="312"/>
      <c r="C16" s="311" t="s">
        <v>55</v>
      </c>
      <c r="D16" s="312" t="s">
        <v>64</v>
      </c>
      <c r="E16" s="312"/>
      <c r="F16" s="347"/>
      <c r="G16" s="313" t="s">
        <v>114</v>
      </c>
      <c r="H16" s="45"/>
      <c r="I16" s="50"/>
      <c r="J16" s="50"/>
      <c r="K16" s="50"/>
      <c r="L16" s="50"/>
      <c r="M16" s="50"/>
      <c r="N16" s="50"/>
      <c r="O16" s="50"/>
      <c r="P16" s="50"/>
      <c r="Q16" s="49">
        <f t="shared" si="1"/>
        <v>0</v>
      </c>
      <c r="R16" s="49">
        <f t="shared" si="2"/>
        <v>0</v>
      </c>
      <c r="S16" s="50"/>
      <c r="T16" s="50"/>
      <c r="U16" s="49">
        <f t="shared" si="3"/>
        <v>0</v>
      </c>
      <c r="V16" s="49">
        <f t="shared" si="3"/>
        <v>0</v>
      </c>
      <c r="W16" s="15"/>
      <c r="X16" s="16"/>
      <c r="Y16" s="16"/>
      <c r="Z16" s="16"/>
      <c r="AA16" s="16"/>
      <c r="AB16" s="16"/>
      <c r="AC16" s="16"/>
      <c r="AD16" s="16"/>
      <c r="AE16" s="16"/>
      <c r="AF16" s="16"/>
      <c r="AG16" s="16"/>
    </row>
    <row r="17" spans="1:33" s="17" customFormat="1" x14ac:dyDescent="0.2">
      <c r="A17" s="346"/>
      <c r="B17" s="312"/>
      <c r="C17" s="311" t="s">
        <v>65</v>
      </c>
      <c r="D17" s="312" t="s">
        <v>66</v>
      </c>
      <c r="E17" s="312"/>
      <c r="F17" s="347"/>
      <c r="G17" s="313" t="s">
        <v>115</v>
      </c>
      <c r="H17" s="45"/>
      <c r="I17" s="44"/>
      <c r="J17" s="44"/>
      <c r="K17" s="44"/>
      <c r="L17" s="44"/>
      <c r="M17" s="44"/>
      <c r="N17" s="44"/>
      <c r="O17" s="44"/>
      <c r="P17" s="44"/>
      <c r="Q17" s="49">
        <f t="shared" si="1"/>
        <v>0</v>
      </c>
      <c r="R17" s="49">
        <f t="shared" si="2"/>
        <v>0</v>
      </c>
      <c r="S17" s="44"/>
      <c r="T17" s="44"/>
      <c r="U17" s="49">
        <f t="shared" si="3"/>
        <v>0</v>
      </c>
      <c r="V17" s="49">
        <f t="shared" si="3"/>
        <v>0</v>
      </c>
      <c r="W17" s="15"/>
      <c r="X17" s="16"/>
      <c r="Y17" s="16"/>
      <c r="Z17" s="16"/>
      <c r="AA17" s="16"/>
      <c r="AB17" s="16"/>
      <c r="AC17" s="16"/>
      <c r="AD17" s="16"/>
      <c r="AE17" s="16"/>
      <c r="AF17" s="16"/>
      <c r="AG17" s="16"/>
    </row>
    <row r="18" spans="1:33" s="17" customFormat="1" x14ac:dyDescent="0.2">
      <c r="A18" s="346" t="s">
        <v>55</v>
      </c>
      <c r="B18" s="312" t="s">
        <v>67</v>
      </c>
      <c r="C18" s="312"/>
      <c r="D18" s="312"/>
      <c r="E18" s="312"/>
      <c r="F18" s="347"/>
      <c r="G18" s="313" t="s">
        <v>116</v>
      </c>
      <c r="H18" s="45"/>
      <c r="I18" s="41">
        <f>I19+I20</f>
        <v>0</v>
      </c>
      <c r="J18" s="41">
        <f t="shared" ref="J18:P18" si="6">J19+J20</f>
        <v>0</v>
      </c>
      <c r="K18" s="41">
        <f t="shared" si="6"/>
        <v>0</v>
      </c>
      <c r="L18" s="41">
        <f t="shared" si="6"/>
        <v>0</v>
      </c>
      <c r="M18" s="41">
        <f t="shared" si="6"/>
        <v>0</v>
      </c>
      <c r="N18" s="41">
        <f t="shared" si="6"/>
        <v>0</v>
      </c>
      <c r="O18" s="41">
        <f t="shared" si="6"/>
        <v>0</v>
      </c>
      <c r="P18" s="41">
        <f t="shared" si="6"/>
        <v>0</v>
      </c>
      <c r="Q18" s="49">
        <f t="shared" ref="Q18:Q26" si="7">I18+K18+M18+O18</f>
        <v>0</v>
      </c>
      <c r="R18" s="49">
        <f t="shared" ref="R18:R26" si="8">P18+N18+L18+J18</f>
        <v>0</v>
      </c>
      <c r="S18" s="41">
        <f>S19+S20</f>
        <v>0</v>
      </c>
      <c r="T18" s="41">
        <f>T19+T20</f>
        <v>0</v>
      </c>
      <c r="U18" s="49">
        <f t="shared" ref="U18:V20" si="9">Q18-S18</f>
        <v>0</v>
      </c>
      <c r="V18" s="49">
        <f t="shared" si="9"/>
        <v>0</v>
      </c>
      <c r="W18" s="15"/>
      <c r="X18" s="16"/>
      <c r="Y18" s="16"/>
      <c r="Z18" s="16"/>
      <c r="AA18" s="16"/>
      <c r="AB18" s="16"/>
      <c r="AC18" s="16"/>
      <c r="AD18" s="16"/>
      <c r="AE18" s="16"/>
      <c r="AF18" s="16"/>
      <c r="AG18" s="16"/>
    </row>
    <row r="19" spans="1:33" s="17" customFormat="1" x14ac:dyDescent="0.2">
      <c r="A19" s="346"/>
      <c r="B19" s="312" t="s">
        <v>59</v>
      </c>
      <c r="C19" s="312" t="s">
        <v>68</v>
      </c>
      <c r="D19" s="312"/>
      <c r="E19" s="312"/>
      <c r="F19" s="347"/>
      <c r="G19" s="313" t="s">
        <v>117</v>
      </c>
      <c r="H19" s="45"/>
      <c r="I19" s="44"/>
      <c r="J19" s="44"/>
      <c r="K19" s="44"/>
      <c r="L19" s="44"/>
      <c r="M19" s="44"/>
      <c r="N19" s="44"/>
      <c r="O19" s="44"/>
      <c r="P19" s="44"/>
      <c r="Q19" s="49">
        <f t="shared" si="7"/>
        <v>0</v>
      </c>
      <c r="R19" s="49">
        <f t="shared" si="8"/>
        <v>0</v>
      </c>
      <c r="S19" s="44"/>
      <c r="T19" s="44"/>
      <c r="U19" s="49">
        <f t="shared" si="9"/>
        <v>0</v>
      </c>
      <c r="V19" s="49">
        <f t="shared" si="9"/>
        <v>0</v>
      </c>
      <c r="W19" s="15"/>
      <c r="X19" s="16"/>
      <c r="Y19" s="16"/>
      <c r="Z19" s="16"/>
      <c r="AA19" s="16"/>
      <c r="AB19" s="16"/>
      <c r="AC19" s="16"/>
      <c r="AD19" s="16"/>
      <c r="AE19" s="16"/>
      <c r="AF19" s="16"/>
      <c r="AG19" s="16"/>
    </row>
    <row r="20" spans="1:33" s="17" customFormat="1" x14ac:dyDescent="0.2">
      <c r="A20" s="346"/>
      <c r="B20" s="312" t="s">
        <v>69</v>
      </c>
      <c r="C20" s="312" t="s">
        <v>70</v>
      </c>
      <c r="D20" s="312"/>
      <c r="E20" s="312"/>
      <c r="F20" s="347"/>
      <c r="G20" s="313" t="s">
        <v>118</v>
      </c>
      <c r="H20" s="45"/>
      <c r="I20" s="44"/>
      <c r="J20" s="44"/>
      <c r="K20" s="44"/>
      <c r="L20" s="44"/>
      <c r="M20" s="44"/>
      <c r="N20" s="44"/>
      <c r="O20" s="44"/>
      <c r="P20" s="44"/>
      <c r="Q20" s="49">
        <f t="shared" si="7"/>
        <v>0</v>
      </c>
      <c r="R20" s="49">
        <f t="shared" si="8"/>
        <v>0</v>
      </c>
      <c r="S20" s="44"/>
      <c r="T20" s="44"/>
      <c r="U20" s="49">
        <f t="shared" si="9"/>
        <v>0</v>
      </c>
      <c r="V20" s="49">
        <f t="shared" si="9"/>
        <v>0</v>
      </c>
      <c r="W20" s="15"/>
      <c r="X20" s="16"/>
      <c r="Y20" s="16"/>
      <c r="Z20" s="16"/>
      <c r="AA20" s="16"/>
      <c r="AB20" s="16"/>
      <c r="AC20" s="16"/>
      <c r="AD20" s="16"/>
      <c r="AE20" s="16"/>
      <c r="AF20" s="16"/>
      <c r="AG20" s="16"/>
    </row>
    <row r="21" spans="1:33" s="17" customFormat="1" x14ac:dyDescent="0.2">
      <c r="A21" s="346" t="s">
        <v>65</v>
      </c>
      <c r="B21" s="3" t="s">
        <v>1440</v>
      </c>
      <c r="C21" s="3"/>
      <c r="D21" s="3"/>
      <c r="E21" s="3"/>
      <c r="F21" s="3"/>
      <c r="G21" s="317" t="s">
        <v>119</v>
      </c>
      <c r="H21" s="45"/>
      <c r="I21" s="41">
        <f>I22+I23</f>
        <v>0</v>
      </c>
      <c r="J21" s="41">
        <f t="shared" ref="J21:P21" si="10">J22+J23</f>
        <v>0</v>
      </c>
      <c r="K21" s="41">
        <f t="shared" si="10"/>
        <v>0</v>
      </c>
      <c r="L21" s="41">
        <f t="shared" si="10"/>
        <v>0</v>
      </c>
      <c r="M21" s="41">
        <f t="shared" si="10"/>
        <v>0</v>
      </c>
      <c r="N21" s="41">
        <f t="shared" si="10"/>
        <v>0</v>
      </c>
      <c r="O21" s="41">
        <f t="shared" si="10"/>
        <v>0</v>
      </c>
      <c r="P21" s="41">
        <f t="shared" si="10"/>
        <v>0</v>
      </c>
      <c r="Q21" s="49">
        <f>I21+K21+M21+O21</f>
        <v>0</v>
      </c>
      <c r="R21" s="49">
        <f>P21+N21+L21+J21</f>
        <v>0</v>
      </c>
      <c r="S21" s="41">
        <f>S22+S23</f>
        <v>0</v>
      </c>
      <c r="T21" s="41">
        <f>T22+T23</f>
        <v>0</v>
      </c>
      <c r="U21" s="49">
        <f t="shared" ref="U21:V23" si="11">Q21-S21</f>
        <v>0</v>
      </c>
      <c r="V21" s="49">
        <f t="shared" si="11"/>
        <v>0</v>
      </c>
      <c r="W21" s="15"/>
      <c r="X21" s="16"/>
      <c r="Y21" s="16"/>
      <c r="Z21" s="16"/>
      <c r="AA21" s="16"/>
      <c r="AB21" s="16"/>
      <c r="AC21" s="16"/>
      <c r="AD21" s="16"/>
      <c r="AE21" s="16"/>
      <c r="AF21" s="16"/>
      <c r="AG21" s="16"/>
    </row>
    <row r="22" spans="1:33" s="17" customFormat="1" x14ac:dyDescent="0.2">
      <c r="A22" s="346"/>
      <c r="B22" s="3" t="s">
        <v>59</v>
      </c>
      <c r="C22" s="658" t="s">
        <v>543</v>
      </c>
      <c r="D22" s="659"/>
      <c r="E22" s="659"/>
      <c r="F22" s="660"/>
      <c r="G22" s="416" t="s">
        <v>1437</v>
      </c>
      <c r="H22" s="45"/>
      <c r="I22" s="44"/>
      <c r="J22" s="44"/>
      <c r="K22" s="44"/>
      <c r="L22" s="44"/>
      <c r="M22" s="44"/>
      <c r="N22" s="44"/>
      <c r="O22" s="44"/>
      <c r="P22" s="44"/>
      <c r="Q22" s="49">
        <f>I22+K22+M22+O22</f>
        <v>0</v>
      </c>
      <c r="R22" s="49">
        <f>P22+N22+L22+J22</f>
        <v>0</v>
      </c>
      <c r="S22" s="44"/>
      <c r="T22" s="44"/>
      <c r="U22" s="49">
        <f t="shared" si="11"/>
        <v>0</v>
      </c>
      <c r="V22" s="49">
        <f t="shared" si="11"/>
        <v>0</v>
      </c>
      <c r="W22" s="15"/>
      <c r="X22" s="16"/>
      <c r="Y22" s="16"/>
      <c r="Z22" s="16"/>
      <c r="AA22" s="16"/>
      <c r="AB22" s="16"/>
      <c r="AC22" s="16"/>
      <c r="AD22" s="16"/>
      <c r="AE22" s="16"/>
      <c r="AF22" s="16"/>
      <c r="AG22" s="16"/>
    </row>
    <row r="23" spans="1:33" s="17" customFormat="1" x14ac:dyDescent="0.2">
      <c r="A23" s="346"/>
      <c r="B23" s="3" t="s">
        <v>61</v>
      </c>
      <c r="C23" s="658" t="s">
        <v>1430</v>
      </c>
      <c r="D23" s="659"/>
      <c r="E23" s="659"/>
      <c r="F23" s="660"/>
      <c r="G23" s="416" t="s">
        <v>1438</v>
      </c>
      <c r="H23" s="45"/>
      <c r="I23" s="44"/>
      <c r="J23" s="44"/>
      <c r="K23" s="44"/>
      <c r="L23" s="44"/>
      <c r="M23" s="44"/>
      <c r="N23" s="44"/>
      <c r="O23" s="44"/>
      <c r="P23" s="44"/>
      <c r="Q23" s="49">
        <f>I23+K23+M23+O23</f>
        <v>0</v>
      </c>
      <c r="R23" s="49">
        <f>P23+N23+L23+J23</f>
        <v>0</v>
      </c>
      <c r="S23" s="44"/>
      <c r="T23" s="44"/>
      <c r="U23" s="49">
        <f t="shared" si="11"/>
        <v>0</v>
      </c>
      <c r="V23" s="49">
        <f t="shared" si="11"/>
        <v>0</v>
      </c>
      <c r="W23" s="15"/>
      <c r="X23" s="16"/>
      <c r="Y23" s="16"/>
      <c r="Z23" s="16"/>
      <c r="AA23" s="16"/>
      <c r="AB23" s="16"/>
      <c r="AC23" s="16"/>
      <c r="AD23" s="16"/>
      <c r="AE23" s="16"/>
      <c r="AF23" s="16"/>
      <c r="AG23" s="16"/>
    </row>
    <row r="24" spans="1:33" s="17" customFormat="1" x14ac:dyDescent="0.2">
      <c r="A24" s="346" t="s">
        <v>90</v>
      </c>
      <c r="B24" s="312" t="s">
        <v>641</v>
      </c>
      <c r="C24" s="312"/>
      <c r="D24" s="312"/>
      <c r="E24" s="312"/>
      <c r="F24" s="347"/>
      <c r="G24" s="313" t="s">
        <v>120</v>
      </c>
      <c r="H24" s="45"/>
      <c r="I24" s="41">
        <f>I25+I26</f>
        <v>0</v>
      </c>
      <c r="J24" s="41">
        <f t="shared" ref="J24:P24" si="12">J25+J26</f>
        <v>0</v>
      </c>
      <c r="K24" s="41">
        <f t="shared" si="12"/>
        <v>0</v>
      </c>
      <c r="L24" s="41">
        <f t="shared" si="12"/>
        <v>0</v>
      </c>
      <c r="M24" s="41">
        <f t="shared" si="12"/>
        <v>0</v>
      </c>
      <c r="N24" s="41">
        <f t="shared" si="12"/>
        <v>0</v>
      </c>
      <c r="O24" s="41">
        <f t="shared" si="12"/>
        <v>0</v>
      </c>
      <c r="P24" s="41">
        <f t="shared" si="12"/>
        <v>0</v>
      </c>
      <c r="Q24" s="49">
        <f t="shared" si="7"/>
        <v>0</v>
      </c>
      <c r="R24" s="49">
        <f t="shared" si="8"/>
        <v>0</v>
      </c>
      <c r="S24" s="41">
        <f>S25+S26</f>
        <v>0</v>
      </c>
      <c r="T24" s="41">
        <f>T25+T26</f>
        <v>0</v>
      </c>
      <c r="U24" s="49">
        <f t="shared" ref="U24:V26" si="13">Q24-S24</f>
        <v>0</v>
      </c>
      <c r="V24" s="49">
        <f t="shared" si="13"/>
        <v>0</v>
      </c>
      <c r="W24" s="15"/>
      <c r="X24" s="16"/>
      <c r="Y24" s="16"/>
      <c r="Z24" s="16"/>
      <c r="AA24" s="16"/>
      <c r="AB24" s="16"/>
      <c r="AC24" s="16"/>
      <c r="AD24" s="16"/>
      <c r="AE24" s="16"/>
      <c r="AF24" s="16"/>
      <c r="AG24" s="16"/>
    </row>
    <row r="25" spans="1:33" s="17" customFormat="1" x14ac:dyDescent="0.2">
      <c r="A25" s="346"/>
      <c r="B25" s="312" t="s">
        <v>59</v>
      </c>
      <c r="C25" s="312" t="s">
        <v>1451</v>
      </c>
      <c r="D25" s="312"/>
      <c r="E25" s="312"/>
      <c r="F25" s="347"/>
      <c r="G25" s="313" t="s">
        <v>121</v>
      </c>
      <c r="H25" s="45"/>
      <c r="I25" s="44"/>
      <c r="J25" s="44"/>
      <c r="K25" s="44"/>
      <c r="L25" s="44"/>
      <c r="M25" s="44"/>
      <c r="N25" s="44"/>
      <c r="O25" s="44"/>
      <c r="P25" s="44"/>
      <c r="Q25" s="49">
        <f t="shared" si="7"/>
        <v>0</v>
      </c>
      <c r="R25" s="49">
        <f t="shared" si="8"/>
        <v>0</v>
      </c>
      <c r="S25" s="44"/>
      <c r="T25" s="44"/>
      <c r="U25" s="49">
        <f t="shared" si="13"/>
        <v>0</v>
      </c>
      <c r="V25" s="49">
        <f t="shared" si="13"/>
        <v>0</v>
      </c>
      <c r="W25" s="15"/>
      <c r="X25" s="16"/>
      <c r="Y25" s="16"/>
      <c r="Z25" s="16"/>
      <c r="AA25" s="16"/>
      <c r="AB25" s="16"/>
      <c r="AC25" s="16"/>
      <c r="AD25" s="16"/>
      <c r="AE25" s="16"/>
      <c r="AF25" s="16"/>
      <c r="AG25" s="16"/>
    </row>
    <row r="26" spans="1:33" s="17" customFormat="1" x14ac:dyDescent="0.2">
      <c r="A26" s="346"/>
      <c r="B26" s="312" t="s">
        <v>69</v>
      </c>
      <c r="C26" s="312" t="s">
        <v>1452</v>
      </c>
      <c r="D26" s="312"/>
      <c r="E26" s="312"/>
      <c r="F26" s="347"/>
      <c r="G26" s="313" t="s">
        <v>122</v>
      </c>
      <c r="H26" s="45"/>
      <c r="I26" s="44"/>
      <c r="J26" s="44"/>
      <c r="K26" s="44"/>
      <c r="L26" s="44"/>
      <c r="M26" s="44"/>
      <c r="N26" s="44"/>
      <c r="O26" s="44"/>
      <c r="P26" s="44"/>
      <c r="Q26" s="49">
        <f t="shared" si="7"/>
        <v>0</v>
      </c>
      <c r="R26" s="49">
        <f t="shared" si="8"/>
        <v>0</v>
      </c>
      <c r="S26" s="44"/>
      <c r="T26" s="44"/>
      <c r="U26" s="49">
        <f t="shared" si="13"/>
        <v>0</v>
      </c>
      <c r="V26" s="49">
        <f t="shared" si="13"/>
        <v>0</v>
      </c>
      <c r="W26" s="15"/>
      <c r="X26" s="16"/>
      <c r="Y26" s="16"/>
      <c r="Z26" s="16"/>
      <c r="AA26" s="16"/>
      <c r="AB26" s="16"/>
      <c r="AC26" s="16"/>
      <c r="AD26" s="16"/>
      <c r="AE26" s="16"/>
      <c r="AF26" s="16"/>
      <c r="AG26" s="16"/>
    </row>
    <row r="27" spans="1:33" s="17" customFormat="1" x14ac:dyDescent="0.2">
      <c r="A27" s="346" t="s">
        <v>257</v>
      </c>
      <c r="B27" s="312" t="s">
        <v>983</v>
      </c>
      <c r="C27" s="312"/>
      <c r="D27" s="312"/>
      <c r="E27" s="312"/>
      <c r="F27" s="347"/>
      <c r="G27" s="313" t="s">
        <v>123</v>
      </c>
      <c r="H27" s="45"/>
      <c r="I27" s="44"/>
      <c r="J27" s="44"/>
      <c r="K27" s="44"/>
      <c r="L27" s="44"/>
      <c r="M27" s="44"/>
      <c r="N27" s="44"/>
      <c r="O27" s="44"/>
      <c r="P27" s="44"/>
      <c r="Q27" s="49">
        <f t="shared" ref="Q27:Q39" si="14">I27+K27+M27+O27</f>
        <v>0</v>
      </c>
      <c r="R27" s="49">
        <f t="shared" ref="R27:R39" si="15">P27+N27+L27+J27</f>
        <v>0</v>
      </c>
      <c r="S27" s="44"/>
      <c r="T27" s="44"/>
      <c r="U27" s="49">
        <f t="shared" ref="U27:U39" si="16">Q27-S27</f>
        <v>0</v>
      </c>
      <c r="V27" s="49">
        <f t="shared" ref="V27:V39" si="17">R27-T27</f>
        <v>0</v>
      </c>
      <c r="W27" s="15"/>
      <c r="X27" s="16"/>
      <c r="Y27" s="16"/>
      <c r="Z27" s="16"/>
      <c r="AA27" s="16"/>
      <c r="AB27" s="16"/>
      <c r="AC27" s="16"/>
      <c r="AD27" s="16"/>
      <c r="AE27" s="16"/>
      <c r="AF27" s="16"/>
      <c r="AG27" s="16"/>
    </row>
    <row r="28" spans="1:33" s="17" customFormat="1" x14ac:dyDescent="0.2">
      <c r="A28" s="346" t="s">
        <v>74</v>
      </c>
      <c r="B28" s="312" t="s">
        <v>77</v>
      </c>
      <c r="C28" s="312"/>
      <c r="D28" s="312"/>
      <c r="E28" s="312"/>
      <c r="F28" s="347"/>
      <c r="G28" s="313" t="s">
        <v>124</v>
      </c>
      <c r="H28" s="45"/>
      <c r="I28" s="41">
        <f t="shared" ref="I28:P28" si="18">I29+I30</f>
        <v>0</v>
      </c>
      <c r="J28" s="41">
        <f t="shared" si="18"/>
        <v>0</v>
      </c>
      <c r="K28" s="41">
        <f t="shared" si="18"/>
        <v>0</v>
      </c>
      <c r="L28" s="41">
        <f t="shared" si="18"/>
        <v>0</v>
      </c>
      <c r="M28" s="41">
        <f t="shared" si="18"/>
        <v>0</v>
      </c>
      <c r="N28" s="41">
        <f t="shared" si="18"/>
        <v>0</v>
      </c>
      <c r="O28" s="41">
        <f t="shared" si="18"/>
        <v>0</v>
      </c>
      <c r="P28" s="41">
        <f t="shared" si="18"/>
        <v>0</v>
      </c>
      <c r="Q28" s="49">
        <f t="shared" si="14"/>
        <v>0</v>
      </c>
      <c r="R28" s="49">
        <f t="shared" si="15"/>
        <v>0</v>
      </c>
      <c r="S28" s="41">
        <f>S29+S30</f>
        <v>0</v>
      </c>
      <c r="T28" s="41">
        <f>T29+T30</f>
        <v>0</v>
      </c>
      <c r="U28" s="49">
        <f t="shared" si="16"/>
        <v>0</v>
      </c>
      <c r="V28" s="49">
        <f t="shared" si="17"/>
        <v>0</v>
      </c>
      <c r="W28" s="15"/>
      <c r="X28" s="16"/>
      <c r="Y28" s="16"/>
      <c r="Z28" s="16"/>
      <c r="AA28" s="16"/>
      <c r="AB28" s="16"/>
      <c r="AC28" s="16"/>
      <c r="AD28" s="16"/>
      <c r="AE28" s="16"/>
      <c r="AF28" s="16"/>
      <c r="AG28" s="16"/>
    </row>
    <row r="29" spans="1:33" s="17" customFormat="1" x14ac:dyDescent="0.2">
      <c r="A29" s="346"/>
      <c r="B29" s="312" t="s">
        <v>59</v>
      </c>
      <c r="C29" s="312" t="s">
        <v>78</v>
      </c>
      <c r="D29" s="312"/>
      <c r="E29" s="312"/>
      <c r="F29" s="347"/>
      <c r="G29" s="313" t="s">
        <v>125</v>
      </c>
      <c r="H29" s="45"/>
      <c r="I29" s="44"/>
      <c r="J29" s="44"/>
      <c r="K29" s="44"/>
      <c r="L29" s="44"/>
      <c r="M29" s="44"/>
      <c r="N29" s="44"/>
      <c r="O29" s="44"/>
      <c r="P29" s="44"/>
      <c r="Q29" s="49">
        <f t="shared" si="14"/>
        <v>0</v>
      </c>
      <c r="R29" s="49">
        <f t="shared" si="15"/>
        <v>0</v>
      </c>
      <c r="S29" s="44"/>
      <c r="T29" s="44"/>
      <c r="U29" s="49">
        <f t="shared" si="16"/>
        <v>0</v>
      </c>
      <c r="V29" s="49">
        <f t="shared" si="17"/>
        <v>0</v>
      </c>
      <c r="W29" s="15"/>
      <c r="X29" s="16"/>
      <c r="Y29" s="16"/>
      <c r="Z29" s="16"/>
      <c r="AA29" s="16"/>
      <c r="AB29" s="16"/>
      <c r="AC29" s="16"/>
      <c r="AD29" s="16"/>
      <c r="AE29" s="16"/>
      <c r="AF29" s="16"/>
      <c r="AG29" s="16"/>
    </row>
    <row r="30" spans="1:33" s="17" customFormat="1" x14ac:dyDescent="0.2">
      <c r="A30" s="346"/>
      <c r="B30" s="312" t="s">
        <v>61</v>
      </c>
      <c r="C30" s="312" t="s">
        <v>66</v>
      </c>
      <c r="D30" s="312"/>
      <c r="E30" s="312"/>
      <c r="F30" s="347"/>
      <c r="G30" s="313" t="s">
        <v>126</v>
      </c>
      <c r="H30" s="45"/>
      <c r="I30" s="44"/>
      <c r="J30" s="44"/>
      <c r="K30" s="44"/>
      <c r="L30" s="44"/>
      <c r="M30" s="44"/>
      <c r="N30" s="44"/>
      <c r="O30" s="44"/>
      <c r="P30" s="44"/>
      <c r="Q30" s="49">
        <f t="shared" si="14"/>
        <v>0</v>
      </c>
      <c r="R30" s="49">
        <f t="shared" si="15"/>
        <v>0</v>
      </c>
      <c r="S30" s="44"/>
      <c r="T30" s="44"/>
      <c r="U30" s="49">
        <f t="shared" si="16"/>
        <v>0</v>
      </c>
      <c r="V30" s="49">
        <f t="shared" si="17"/>
        <v>0</v>
      </c>
      <c r="W30" s="15"/>
      <c r="X30" s="16"/>
      <c r="Y30" s="16"/>
      <c r="Z30" s="16"/>
      <c r="AA30" s="16"/>
      <c r="AB30" s="16"/>
      <c r="AC30" s="16"/>
      <c r="AD30" s="16"/>
      <c r="AE30" s="16"/>
      <c r="AF30" s="16"/>
      <c r="AG30" s="16"/>
    </row>
    <row r="31" spans="1:33" s="17" customFormat="1" x14ac:dyDescent="0.2">
      <c r="A31" s="346" t="s">
        <v>76</v>
      </c>
      <c r="B31" s="640" t="s">
        <v>982</v>
      </c>
      <c r="C31" s="640"/>
      <c r="D31" s="640"/>
      <c r="E31" s="640"/>
      <c r="F31" s="640"/>
      <c r="G31" s="313" t="s">
        <v>127</v>
      </c>
      <c r="H31" s="45"/>
      <c r="I31" s="44"/>
      <c r="J31" s="44"/>
      <c r="K31" s="44"/>
      <c r="L31" s="44"/>
      <c r="M31" s="44"/>
      <c r="N31" s="44"/>
      <c r="O31" s="44"/>
      <c r="P31" s="44"/>
      <c r="Q31" s="49">
        <f t="shared" si="14"/>
        <v>0</v>
      </c>
      <c r="R31" s="49">
        <f t="shared" si="15"/>
        <v>0</v>
      </c>
      <c r="S31" s="44"/>
      <c r="T31" s="44"/>
      <c r="U31" s="49">
        <f t="shared" si="16"/>
        <v>0</v>
      </c>
      <c r="V31" s="49">
        <f t="shared" si="17"/>
        <v>0</v>
      </c>
      <c r="W31" s="15"/>
      <c r="X31" s="16"/>
      <c r="Y31" s="16"/>
      <c r="Z31" s="16"/>
      <c r="AA31" s="16"/>
      <c r="AB31" s="16"/>
      <c r="AC31" s="16"/>
      <c r="AD31" s="16"/>
      <c r="AE31" s="16"/>
      <c r="AF31" s="16"/>
      <c r="AG31" s="16"/>
    </row>
    <row r="32" spans="1:33" s="17" customFormat="1" x14ac:dyDescent="0.2">
      <c r="A32" s="346" t="s">
        <v>79</v>
      </c>
      <c r="B32" s="312" t="s">
        <v>1467</v>
      </c>
      <c r="C32" s="312"/>
      <c r="D32" s="312"/>
      <c r="E32" s="312"/>
      <c r="F32" s="347"/>
      <c r="G32" s="313" t="s">
        <v>128</v>
      </c>
      <c r="H32" s="45"/>
      <c r="I32" s="41">
        <f>I33+I34+I37+I38</f>
        <v>0</v>
      </c>
      <c r="J32" s="41">
        <f t="shared" ref="J32:P32" si="19">J33+J34+J37+J38</f>
        <v>0</v>
      </c>
      <c r="K32" s="41">
        <f t="shared" si="19"/>
        <v>0</v>
      </c>
      <c r="L32" s="41">
        <f t="shared" si="19"/>
        <v>0</v>
      </c>
      <c r="M32" s="41">
        <f t="shared" si="19"/>
        <v>0</v>
      </c>
      <c r="N32" s="41">
        <f t="shared" si="19"/>
        <v>0</v>
      </c>
      <c r="O32" s="41">
        <f t="shared" si="19"/>
        <v>0</v>
      </c>
      <c r="P32" s="41">
        <f t="shared" si="19"/>
        <v>0</v>
      </c>
      <c r="Q32" s="49">
        <f t="shared" si="14"/>
        <v>0</v>
      </c>
      <c r="R32" s="49">
        <f t="shared" si="15"/>
        <v>0</v>
      </c>
      <c r="S32" s="41">
        <f>S33+S34+S37+S38</f>
        <v>0</v>
      </c>
      <c r="T32" s="41">
        <f>T33+T34+T37+T38</f>
        <v>0</v>
      </c>
      <c r="U32" s="49">
        <f t="shared" si="16"/>
        <v>0</v>
      </c>
      <c r="V32" s="49">
        <f t="shared" si="17"/>
        <v>0</v>
      </c>
      <c r="W32" s="15"/>
      <c r="X32" s="16"/>
      <c r="Y32" s="16"/>
      <c r="Z32" s="16"/>
      <c r="AA32" s="16"/>
      <c r="AB32" s="16"/>
      <c r="AC32" s="16"/>
      <c r="AD32" s="16"/>
      <c r="AE32" s="16"/>
      <c r="AF32" s="16"/>
      <c r="AG32" s="16"/>
    </row>
    <row r="33" spans="1:39" s="17" customFormat="1" x14ac:dyDescent="0.2">
      <c r="A33" s="346"/>
      <c r="B33" s="312" t="s">
        <v>59</v>
      </c>
      <c r="C33" s="312" t="s">
        <v>82</v>
      </c>
      <c r="D33" s="312"/>
      <c r="E33" s="312"/>
      <c r="F33" s="347"/>
      <c r="G33" s="313" t="s">
        <v>129</v>
      </c>
      <c r="H33" s="45"/>
      <c r="I33" s="44"/>
      <c r="J33" s="44"/>
      <c r="K33" s="44"/>
      <c r="L33" s="44"/>
      <c r="M33" s="44"/>
      <c r="N33" s="44"/>
      <c r="O33" s="44"/>
      <c r="P33" s="44"/>
      <c r="Q33" s="49">
        <f t="shared" si="14"/>
        <v>0</v>
      </c>
      <c r="R33" s="49">
        <f t="shared" si="15"/>
        <v>0</v>
      </c>
      <c r="S33" s="44"/>
      <c r="T33" s="44"/>
      <c r="U33" s="49">
        <f t="shared" si="16"/>
        <v>0</v>
      </c>
      <c r="V33" s="49">
        <f t="shared" si="17"/>
        <v>0</v>
      </c>
      <c r="W33" s="15"/>
      <c r="X33" s="16"/>
      <c r="Y33" s="16"/>
      <c r="Z33" s="16"/>
      <c r="AA33" s="16"/>
      <c r="AB33" s="16"/>
      <c r="AC33" s="16"/>
      <c r="AD33" s="16"/>
      <c r="AE33" s="16"/>
      <c r="AF33" s="16"/>
      <c r="AG33" s="16"/>
    </row>
    <row r="34" spans="1:39" s="17" customFormat="1" x14ac:dyDescent="0.2">
      <c r="A34" s="346"/>
      <c r="B34" s="312" t="s">
        <v>61</v>
      </c>
      <c r="C34" s="662" t="s">
        <v>1457</v>
      </c>
      <c r="D34" s="662"/>
      <c r="E34" s="662"/>
      <c r="F34" s="663"/>
      <c r="G34" s="313" t="s">
        <v>130</v>
      </c>
      <c r="H34" s="45"/>
      <c r="I34" s="41">
        <f>I35+I36</f>
        <v>0</v>
      </c>
      <c r="J34" s="41">
        <f t="shared" ref="J34:P34" si="20">J35+J36</f>
        <v>0</v>
      </c>
      <c r="K34" s="41">
        <f t="shared" si="20"/>
        <v>0</v>
      </c>
      <c r="L34" s="41">
        <f t="shared" si="20"/>
        <v>0</v>
      </c>
      <c r="M34" s="41">
        <f t="shared" si="20"/>
        <v>0</v>
      </c>
      <c r="N34" s="41">
        <f t="shared" si="20"/>
        <v>0</v>
      </c>
      <c r="O34" s="41">
        <f t="shared" si="20"/>
        <v>0</v>
      </c>
      <c r="P34" s="41">
        <f t="shared" si="20"/>
        <v>0</v>
      </c>
      <c r="Q34" s="41">
        <f t="shared" si="14"/>
        <v>0</v>
      </c>
      <c r="R34" s="41">
        <f t="shared" si="15"/>
        <v>0</v>
      </c>
      <c r="S34" s="41">
        <f>S35+S36</f>
        <v>0</v>
      </c>
      <c r="T34" s="41">
        <f>T35+T36</f>
        <v>0</v>
      </c>
      <c r="U34" s="41">
        <f t="shared" si="16"/>
        <v>0</v>
      </c>
      <c r="V34" s="41">
        <f>R34-T34</f>
        <v>0</v>
      </c>
      <c r="W34" s="2"/>
      <c r="X34" s="1"/>
      <c r="Y34" s="1"/>
      <c r="Z34" s="1"/>
      <c r="AA34" s="1"/>
      <c r="AB34" s="1"/>
      <c r="AC34" s="1"/>
      <c r="AD34" s="1"/>
      <c r="AE34" s="1"/>
      <c r="AF34" s="1"/>
      <c r="AG34" s="1"/>
      <c r="AH34" s="20"/>
      <c r="AI34" s="20"/>
      <c r="AJ34" s="20"/>
      <c r="AK34" s="20"/>
      <c r="AL34" s="20"/>
      <c r="AM34" s="20"/>
    </row>
    <row r="35" spans="1:39" s="17" customFormat="1" x14ac:dyDescent="0.2">
      <c r="A35" s="617"/>
      <c r="B35" s="556"/>
      <c r="C35" s="312" t="s">
        <v>54</v>
      </c>
      <c r="D35" s="312" t="s">
        <v>83</v>
      </c>
      <c r="E35" s="312"/>
      <c r="F35" s="312"/>
      <c r="G35" s="618" t="s">
        <v>1463</v>
      </c>
      <c r="H35" s="45"/>
      <c r="I35" s="44"/>
      <c r="J35" s="44"/>
      <c r="K35" s="44"/>
      <c r="L35" s="44"/>
      <c r="M35" s="44"/>
      <c r="N35" s="44"/>
      <c r="O35" s="44"/>
      <c r="P35" s="44"/>
      <c r="Q35" s="49">
        <f>I35+K35+M35+O35</f>
        <v>0</v>
      </c>
      <c r="R35" s="49">
        <f>P35+N35+L35+J35</f>
        <v>0</v>
      </c>
      <c r="S35" s="44"/>
      <c r="T35" s="44"/>
      <c r="U35" s="49">
        <f t="shared" si="16"/>
        <v>0</v>
      </c>
      <c r="V35" s="49">
        <f>R35-T35</f>
        <v>0</v>
      </c>
      <c r="W35" s="2"/>
      <c r="X35" s="1"/>
      <c r="Y35" s="1"/>
      <c r="Z35" s="1"/>
      <c r="AA35" s="1"/>
      <c r="AB35" s="1"/>
      <c r="AC35" s="1"/>
      <c r="AD35" s="1"/>
      <c r="AE35" s="1"/>
      <c r="AF35" s="1"/>
      <c r="AG35" s="1"/>
      <c r="AH35" s="20"/>
      <c r="AI35" s="20"/>
      <c r="AJ35" s="20"/>
      <c r="AK35" s="20"/>
      <c r="AL35" s="20"/>
      <c r="AM35" s="20"/>
    </row>
    <row r="36" spans="1:39" s="17" customFormat="1" x14ac:dyDescent="0.2">
      <c r="A36" s="617"/>
      <c r="B36" s="556"/>
      <c r="C36" s="312" t="s">
        <v>55</v>
      </c>
      <c r="D36" s="312" t="s">
        <v>1458</v>
      </c>
      <c r="E36" s="312"/>
      <c r="F36" s="312"/>
      <c r="G36" s="618" t="s">
        <v>1464</v>
      </c>
      <c r="H36" s="45"/>
      <c r="I36" s="44"/>
      <c r="J36" s="44"/>
      <c r="K36" s="44"/>
      <c r="L36" s="44"/>
      <c r="M36" s="44"/>
      <c r="N36" s="44"/>
      <c r="O36" s="44"/>
      <c r="P36" s="44"/>
      <c r="Q36" s="49">
        <f>I36+K36+M36+O36</f>
        <v>0</v>
      </c>
      <c r="R36" s="49">
        <f>P36+N36+L36+J36</f>
        <v>0</v>
      </c>
      <c r="S36" s="44"/>
      <c r="T36" s="44"/>
      <c r="U36" s="49">
        <f t="shared" si="16"/>
        <v>0</v>
      </c>
      <c r="V36" s="49">
        <f>R36-T36</f>
        <v>0</v>
      </c>
      <c r="W36" s="2"/>
      <c r="X36" s="1"/>
      <c r="Y36" s="1"/>
      <c r="Z36" s="1"/>
      <c r="AA36" s="1"/>
      <c r="AB36" s="1"/>
      <c r="AC36" s="1"/>
      <c r="AD36" s="1"/>
      <c r="AE36" s="1"/>
      <c r="AF36" s="1"/>
      <c r="AG36" s="1"/>
      <c r="AH36" s="20"/>
      <c r="AI36" s="20"/>
      <c r="AJ36" s="20"/>
      <c r="AK36" s="20"/>
      <c r="AL36" s="20"/>
      <c r="AM36" s="20"/>
    </row>
    <row r="37" spans="1:39" s="17" customFormat="1" x14ac:dyDescent="0.2">
      <c r="A37" s="346"/>
      <c r="B37" s="3" t="s">
        <v>1434</v>
      </c>
      <c r="C37" s="3" t="s">
        <v>1468</v>
      </c>
      <c r="D37" s="3"/>
      <c r="E37" s="3"/>
      <c r="F37" s="3"/>
      <c r="G37" s="416" t="s">
        <v>1439</v>
      </c>
      <c r="H37" s="45"/>
      <c r="I37" s="44"/>
      <c r="J37" s="44"/>
      <c r="K37" s="44"/>
      <c r="L37" s="44"/>
      <c r="M37" s="44"/>
      <c r="N37" s="44"/>
      <c r="O37" s="44"/>
      <c r="P37" s="44"/>
      <c r="Q37" s="49">
        <f>I37+K37+M37+O37</f>
        <v>0</v>
      </c>
      <c r="R37" s="49">
        <f>P37+N37+L37+J37</f>
        <v>0</v>
      </c>
      <c r="S37" s="44"/>
      <c r="T37" s="44"/>
      <c r="U37" s="49">
        <f t="shared" si="16"/>
        <v>0</v>
      </c>
      <c r="V37" s="49">
        <f>R37-T37</f>
        <v>0</v>
      </c>
      <c r="W37" s="2"/>
      <c r="X37" s="1"/>
      <c r="Y37" s="1"/>
      <c r="Z37" s="1"/>
      <c r="AA37" s="1"/>
      <c r="AB37" s="1"/>
      <c r="AC37" s="1"/>
      <c r="AD37" s="1"/>
      <c r="AE37" s="1"/>
      <c r="AF37" s="1"/>
      <c r="AG37" s="1"/>
      <c r="AH37" s="20"/>
      <c r="AI37" s="20"/>
      <c r="AJ37" s="20"/>
      <c r="AK37" s="20"/>
      <c r="AL37" s="20"/>
      <c r="AM37" s="20"/>
    </row>
    <row r="38" spans="1:39" s="17" customFormat="1" x14ac:dyDescent="0.2">
      <c r="A38" s="346"/>
      <c r="B38" s="312" t="s">
        <v>1433</v>
      </c>
      <c r="C38" s="312" t="s">
        <v>52</v>
      </c>
      <c r="D38" s="312"/>
      <c r="E38" s="312"/>
      <c r="F38" s="347"/>
      <c r="G38" s="313" t="s">
        <v>131</v>
      </c>
      <c r="H38" s="45"/>
      <c r="I38" s="44"/>
      <c r="J38" s="44"/>
      <c r="K38" s="44"/>
      <c r="L38" s="44"/>
      <c r="M38" s="44"/>
      <c r="N38" s="44"/>
      <c r="O38" s="44"/>
      <c r="P38" s="44"/>
      <c r="Q38" s="49">
        <f t="shared" si="14"/>
        <v>0</v>
      </c>
      <c r="R38" s="49">
        <f t="shared" si="15"/>
        <v>0</v>
      </c>
      <c r="S38" s="44"/>
      <c r="T38" s="44"/>
      <c r="U38" s="49">
        <f t="shared" si="16"/>
        <v>0</v>
      </c>
      <c r="V38" s="49">
        <f t="shared" si="17"/>
        <v>0</v>
      </c>
      <c r="W38" s="2"/>
      <c r="X38" s="1"/>
      <c r="Y38" s="1"/>
      <c r="Z38" s="1"/>
      <c r="AA38" s="1"/>
      <c r="AB38" s="1"/>
      <c r="AC38" s="1"/>
      <c r="AD38" s="1"/>
      <c r="AE38" s="1"/>
      <c r="AF38" s="1"/>
      <c r="AG38" s="1"/>
      <c r="AH38" s="20"/>
      <c r="AI38" s="20"/>
      <c r="AJ38" s="20"/>
      <c r="AK38" s="20"/>
      <c r="AL38" s="20"/>
      <c r="AM38" s="20"/>
    </row>
    <row r="39" spans="1:39" s="17" customFormat="1" x14ac:dyDescent="0.2">
      <c r="A39" s="346" t="s">
        <v>81</v>
      </c>
      <c r="B39" s="312" t="s">
        <v>85</v>
      </c>
      <c r="C39" s="312"/>
      <c r="D39" s="312"/>
      <c r="E39" s="312"/>
      <c r="F39" s="347"/>
      <c r="G39" s="313" t="s">
        <v>132</v>
      </c>
      <c r="H39" s="45"/>
      <c r="I39" s="50"/>
      <c r="J39" s="44"/>
      <c r="K39" s="44"/>
      <c r="L39" s="44"/>
      <c r="M39" s="44"/>
      <c r="N39" s="44"/>
      <c r="O39" s="44"/>
      <c r="P39" s="44"/>
      <c r="Q39" s="49">
        <f t="shared" si="14"/>
        <v>0</v>
      </c>
      <c r="R39" s="49">
        <f t="shared" si="15"/>
        <v>0</v>
      </c>
      <c r="S39" s="44"/>
      <c r="T39" s="44"/>
      <c r="U39" s="49">
        <f t="shared" si="16"/>
        <v>0</v>
      </c>
      <c r="V39" s="49">
        <f t="shared" si="17"/>
        <v>0</v>
      </c>
      <c r="W39" s="2"/>
      <c r="X39" s="1"/>
      <c r="Y39" s="1"/>
      <c r="Z39" s="1"/>
      <c r="AA39" s="1"/>
      <c r="AB39" s="1"/>
      <c r="AC39" s="1"/>
      <c r="AD39" s="1"/>
      <c r="AE39" s="1"/>
      <c r="AF39" s="1"/>
      <c r="AG39" s="1"/>
      <c r="AH39" s="20"/>
      <c r="AI39" s="20"/>
      <c r="AJ39" s="20"/>
      <c r="AK39" s="20"/>
      <c r="AL39" s="20"/>
      <c r="AM39" s="20"/>
    </row>
    <row r="40" spans="1:39" s="17" customFormat="1" x14ac:dyDescent="0.2">
      <c r="A40" s="223" t="s">
        <v>86</v>
      </c>
      <c r="B40" s="312"/>
      <c r="C40" s="312"/>
      <c r="D40" s="312"/>
      <c r="E40" s="312"/>
      <c r="F40" s="347"/>
      <c r="G40" s="313" t="s">
        <v>133</v>
      </c>
      <c r="H40" s="45"/>
      <c r="I40" s="43"/>
      <c r="J40" s="43"/>
      <c r="K40" s="43"/>
      <c r="L40" s="43"/>
      <c r="M40" s="43"/>
      <c r="N40" s="43"/>
      <c r="O40" s="43"/>
      <c r="P40" s="43"/>
      <c r="Q40" s="43"/>
      <c r="R40" s="43"/>
      <c r="S40" s="43"/>
      <c r="T40" s="43"/>
      <c r="U40" s="43"/>
      <c r="V40" s="43"/>
      <c r="W40" s="2"/>
      <c r="X40" s="1"/>
      <c r="Y40" s="1"/>
      <c r="Z40" s="1"/>
      <c r="AA40" s="1"/>
      <c r="AB40" s="1"/>
      <c r="AC40" s="1"/>
      <c r="AD40" s="1"/>
      <c r="AE40" s="1"/>
      <c r="AF40" s="1"/>
      <c r="AG40" s="1"/>
      <c r="AH40" s="20"/>
      <c r="AI40" s="20"/>
      <c r="AJ40" s="20"/>
      <c r="AK40" s="20"/>
      <c r="AL40" s="20"/>
      <c r="AM40" s="20"/>
    </row>
    <row r="41" spans="1:39" s="17" customFormat="1" x14ac:dyDescent="0.2">
      <c r="A41" s="348" t="s">
        <v>54</v>
      </c>
      <c r="B41" s="225" t="s">
        <v>87</v>
      </c>
      <c r="C41" s="312"/>
      <c r="D41" s="312"/>
      <c r="E41" s="312"/>
      <c r="F41" s="347"/>
      <c r="G41" s="313" t="s">
        <v>134</v>
      </c>
      <c r="H41" s="45"/>
      <c r="I41" s="43"/>
      <c r="J41" s="43"/>
      <c r="K41" s="43"/>
      <c r="L41" s="43"/>
      <c r="M41" s="43"/>
      <c r="N41" s="43"/>
      <c r="O41" s="43"/>
      <c r="P41" s="43"/>
      <c r="Q41" s="43"/>
      <c r="R41" s="43"/>
      <c r="S41" s="43"/>
      <c r="T41" s="43"/>
      <c r="U41" s="43"/>
      <c r="V41" s="43"/>
      <c r="W41" s="2"/>
      <c r="X41" s="1"/>
      <c r="Y41" s="1"/>
      <c r="Z41" s="1"/>
      <c r="AA41" s="1"/>
      <c r="AB41" s="1"/>
      <c r="AC41" s="1"/>
      <c r="AD41" s="1"/>
      <c r="AE41" s="1"/>
      <c r="AF41" s="1"/>
      <c r="AG41" s="1"/>
      <c r="AH41" s="20"/>
      <c r="AI41" s="20"/>
      <c r="AJ41" s="20"/>
      <c r="AK41" s="20"/>
      <c r="AL41" s="20"/>
      <c r="AM41" s="20"/>
    </row>
    <row r="42" spans="1:39" s="17" customFormat="1" x14ac:dyDescent="0.2">
      <c r="A42" s="348" t="s">
        <v>55</v>
      </c>
      <c r="B42" s="225" t="s">
        <v>88</v>
      </c>
      <c r="C42" s="312"/>
      <c r="D42" s="312"/>
      <c r="E42" s="312"/>
      <c r="F42" s="347"/>
      <c r="G42" s="313" t="s">
        <v>135</v>
      </c>
      <c r="H42" s="45"/>
      <c r="I42" s="43"/>
      <c r="J42" s="43"/>
      <c r="K42" s="43"/>
      <c r="L42" s="43"/>
      <c r="M42" s="43"/>
      <c r="N42" s="43"/>
      <c r="O42" s="43"/>
      <c r="P42" s="43"/>
      <c r="Q42" s="43"/>
      <c r="R42" s="43"/>
      <c r="S42" s="43"/>
      <c r="T42" s="43"/>
      <c r="U42" s="43"/>
      <c r="V42" s="43"/>
      <c r="W42" s="2"/>
      <c r="X42" s="1"/>
      <c r="Y42" s="1"/>
      <c r="Z42" s="1"/>
      <c r="AA42" s="1"/>
      <c r="AB42" s="1"/>
      <c r="AC42" s="1"/>
      <c r="AD42" s="1"/>
      <c r="AE42" s="1"/>
      <c r="AF42" s="1"/>
      <c r="AG42" s="1"/>
      <c r="AH42" s="20"/>
      <c r="AI42" s="20"/>
      <c r="AJ42" s="20"/>
      <c r="AK42" s="20"/>
      <c r="AL42" s="20"/>
      <c r="AM42" s="20"/>
    </row>
    <row r="43" spans="1:39" s="17" customFormat="1" x14ac:dyDescent="0.2">
      <c r="A43" s="348" t="s">
        <v>65</v>
      </c>
      <c r="B43" s="312" t="s">
        <v>89</v>
      </c>
      <c r="C43" s="312"/>
      <c r="D43" s="312"/>
      <c r="E43" s="312"/>
      <c r="F43" s="347"/>
      <c r="G43" s="313" t="s">
        <v>136</v>
      </c>
      <c r="H43" s="45"/>
      <c r="I43" s="43"/>
      <c r="J43" s="43"/>
      <c r="K43" s="43"/>
      <c r="L43" s="43"/>
      <c r="M43" s="43"/>
      <c r="N43" s="43"/>
      <c r="O43" s="43"/>
      <c r="P43" s="43"/>
      <c r="Q43" s="43"/>
      <c r="R43" s="43"/>
      <c r="S43" s="43"/>
      <c r="T43" s="43"/>
      <c r="U43" s="43"/>
      <c r="V43" s="43"/>
      <c r="W43" s="2"/>
      <c r="X43" s="1"/>
      <c r="Y43" s="1"/>
      <c r="Z43" s="1"/>
      <c r="AA43" s="1"/>
      <c r="AB43" s="1"/>
      <c r="AC43" s="1"/>
      <c r="AD43" s="1"/>
      <c r="AE43" s="1"/>
      <c r="AF43" s="1"/>
      <c r="AG43" s="1"/>
      <c r="AH43" s="20"/>
      <c r="AI43" s="20"/>
      <c r="AJ43" s="20"/>
      <c r="AK43" s="20"/>
      <c r="AL43" s="20"/>
      <c r="AM43" s="20"/>
    </row>
    <row r="44" spans="1:39" s="17" customFormat="1" x14ac:dyDescent="0.2">
      <c r="A44" s="348" t="s">
        <v>90</v>
      </c>
      <c r="B44" s="312" t="s">
        <v>91</v>
      </c>
      <c r="C44" s="312"/>
      <c r="D44" s="312"/>
      <c r="E44" s="312"/>
      <c r="F44" s="347"/>
      <c r="G44" s="313" t="s">
        <v>137</v>
      </c>
      <c r="H44" s="45"/>
      <c r="I44" s="62"/>
      <c r="J44" s="43"/>
      <c r="K44" s="43"/>
      <c r="L44" s="43"/>
      <c r="M44" s="43"/>
      <c r="N44" s="43"/>
      <c r="O44" s="43"/>
      <c r="P44" s="43"/>
      <c r="Q44" s="43"/>
      <c r="R44" s="43"/>
      <c r="S44" s="43"/>
      <c r="T44" s="43"/>
      <c r="U44" s="43"/>
      <c r="V44" s="43"/>
      <c r="W44" s="2"/>
      <c r="X44" s="1"/>
      <c r="Y44" s="1"/>
      <c r="Z44" s="1"/>
      <c r="AA44" s="1"/>
      <c r="AB44" s="1"/>
      <c r="AC44" s="1"/>
      <c r="AD44" s="1"/>
      <c r="AE44" s="1"/>
      <c r="AF44" s="1"/>
      <c r="AG44" s="1"/>
      <c r="AH44" s="20"/>
      <c r="AI44" s="20"/>
      <c r="AJ44" s="20"/>
      <c r="AK44" s="20"/>
      <c r="AL44" s="20"/>
      <c r="AM44" s="20"/>
    </row>
    <row r="45" spans="1:39" s="20" customFormat="1" x14ac:dyDescent="0.2">
      <c r="A45" s="643" t="s">
        <v>104</v>
      </c>
      <c r="B45" s="684"/>
      <c r="C45" s="684"/>
      <c r="D45" s="684"/>
      <c r="E45" s="684"/>
      <c r="F45" s="685"/>
      <c r="G45" s="313" t="s">
        <v>138</v>
      </c>
      <c r="H45" s="115"/>
      <c r="I45" s="206">
        <f t="shared" ref="I45:P45" si="21">I40+I10</f>
        <v>0</v>
      </c>
      <c r="J45" s="206">
        <f t="shared" si="21"/>
        <v>0</v>
      </c>
      <c r="K45" s="206">
        <f t="shared" si="21"/>
        <v>0</v>
      </c>
      <c r="L45" s="206">
        <f t="shared" si="21"/>
        <v>0</v>
      </c>
      <c r="M45" s="206">
        <f t="shared" si="21"/>
        <v>0</v>
      </c>
      <c r="N45" s="206">
        <f t="shared" si="21"/>
        <v>0</v>
      </c>
      <c r="O45" s="206">
        <f t="shared" si="21"/>
        <v>0</v>
      </c>
      <c r="P45" s="206">
        <f t="shared" si="21"/>
        <v>0</v>
      </c>
      <c r="Q45" s="49">
        <f>I45+K45+M45+O45</f>
        <v>0</v>
      </c>
      <c r="R45" s="49">
        <f>P45+N45+L45+J45</f>
        <v>0</v>
      </c>
      <c r="S45" s="206">
        <f>S40+S10</f>
        <v>0</v>
      </c>
      <c r="T45" s="206">
        <f>T40+T10</f>
        <v>0</v>
      </c>
      <c r="U45" s="49">
        <f>Q45-S45</f>
        <v>0</v>
      </c>
      <c r="V45" s="49">
        <f>R45-T45</f>
        <v>0</v>
      </c>
      <c r="W45" s="2"/>
      <c r="X45" s="1"/>
      <c r="Y45" s="1"/>
      <c r="Z45" s="1"/>
      <c r="AA45" s="1"/>
      <c r="AB45" s="1"/>
      <c r="AC45" s="1"/>
      <c r="AD45" s="1"/>
      <c r="AE45" s="1"/>
      <c r="AF45" s="1"/>
      <c r="AG45" s="1"/>
    </row>
    <row r="46" spans="1:39" s="20" customFormat="1" x14ac:dyDescent="0.2">
      <c r="A46" s="328" t="s">
        <v>644</v>
      </c>
      <c r="B46" s="329"/>
      <c r="C46" s="329"/>
      <c r="D46" s="330"/>
      <c r="E46" s="329"/>
      <c r="F46" s="331"/>
      <c r="G46" s="350"/>
      <c r="H46" s="207"/>
      <c r="I46" s="206"/>
      <c r="J46" s="206"/>
      <c r="K46" s="206"/>
      <c r="L46" s="206"/>
      <c r="M46" s="206"/>
      <c r="N46" s="206"/>
      <c r="O46" s="206"/>
      <c r="P46" s="206"/>
      <c r="Q46" s="49"/>
      <c r="R46" s="49"/>
      <c r="S46" s="206"/>
      <c r="T46" s="206"/>
      <c r="U46" s="49"/>
      <c r="V46" s="49"/>
      <c r="W46" s="1"/>
      <c r="X46" s="1"/>
      <c r="Y46" s="1"/>
      <c r="Z46" s="1"/>
      <c r="AA46" s="1"/>
      <c r="AB46" s="1"/>
      <c r="AC46" s="1"/>
      <c r="AD46" s="1"/>
      <c r="AE46" s="1"/>
      <c r="AF46" s="1"/>
      <c r="AG46" s="1"/>
    </row>
    <row r="47" spans="1:39" s="20" customFormat="1" x14ac:dyDescent="0.2">
      <c r="A47" s="333" t="s">
        <v>161</v>
      </c>
      <c r="B47" s="303" t="s">
        <v>68</v>
      </c>
      <c r="C47" s="303"/>
      <c r="D47" s="303"/>
      <c r="E47" s="303"/>
      <c r="F47" s="334"/>
      <c r="G47" s="351" t="s">
        <v>642</v>
      </c>
      <c r="H47" s="207"/>
      <c r="I47" s="50"/>
      <c r="J47" s="50"/>
      <c r="K47" s="50"/>
      <c r="L47" s="50"/>
      <c r="M47" s="50"/>
      <c r="N47" s="50"/>
      <c r="O47" s="50"/>
      <c r="P47" s="50"/>
      <c r="Q47" s="49">
        <f>I47+K47+M47+O47</f>
        <v>0</v>
      </c>
      <c r="R47" s="49">
        <f>P47+N47+L47+J47</f>
        <v>0</v>
      </c>
      <c r="S47" s="50"/>
      <c r="T47" s="50"/>
      <c r="U47" s="49">
        <f>Q47-S47</f>
        <v>0</v>
      </c>
      <c r="V47" s="49">
        <f>R47-T47</f>
        <v>0</v>
      </c>
      <c r="W47" s="1"/>
      <c r="X47" s="1"/>
      <c r="Y47" s="1"/>
      <c r="Z47" s="1"/>
      <c r="AA47" s="1"/>
      <c r="AB47" s="1"/>
      <c r="AC47" s="1"/>
      <c r="AD47" s="1"/>
      <c r="AE47" s="1"/>
      <c r="AF47" s="1"/>
      <c r="AG47" s="1"/>
    </row>
    <row r="48" spans="1:39" s="20" customFormat="1" x14ac:dyDescent="0.2">
      <c r="A48" s="333" t="s">
        <v>164</v>
      </c>
      <c r="B48" s="303" t="s">
        <v>70</v>
      </c>
      <c r="C48" s="303"/>
      <c r="D48" s="303"/>
      <c r="E48" s="303"/>
      <c r="F48" s="334"/>
      <c r="G48" s="351" t="s">
        <v>643</v>
      </c>
      <c r="H48" s="207"/>
      <c r="I48" s="50"/>
      <c r="J48" s="50"/>
      <c r="K48" s="50"/>
      <c r="L48" s="50"/>
      <c r="M48" s="50"/>
      <c r="N48" s="50"/>
      <c r="O48" s="50"/>
      <c r="P48" s="50"/>
      <c r="Q48" s="49">
        <f>I48+K48+M48+O48</f>
        <v>0</v>
      </c>
      <c r="R48" s="49">
        <f>P48+N48+L48+J48</f>
        <v>0</v>
      </c>
      <c r="S48" s="50"/>
      <c r="T48" s="50"/>
      <c r="U48" s="49">
        <f>Q48-S48</f>
        <v>0</v>
      </c>
      <c r="V48" s="49">
        <f>R48-T48</f>
        <v>0</v>
      </c>
      <c r="W48" s="1"/>
      <c r="X48" s="1"/>
      <c r="Y48" s="1"/>
      <c r="Z48" s="1"/>
      <c r="AA48" s="1"/>
      <c r="AB48" s="1"/>
      <c r="AC48" s="1"/>
      <c r="AD48" s="1"/>
      <c r="AE48" s="1"/>
      <c r="AF48" s="1"/>
      <c r="AG48" s="1"/>
    </row>
    <row r="49" spans="7:33" x14ac:dyDescent="0.2">
      <c r="G49" s="230" t="s">
        <v>108</v>
      </c>
      <c r="W49" s="9"/>
      <c r="X49" s="9"/>
      <c r="Y49" s="9"/>
      <c r="Z49" s="9"/>
      <c r="AA49" s="9"/>
      <c r="AB49" s="9"/>
      <c r="AC49" s="9"/>
      <c r="AD49" s="9"/>
      <c r="AE49" s="9"/>
      <c r="AF49" s="9"/>
      <c r="AG49" s="9"/>
    </row>
  </sheetData>
  <sheetProtection password="FAFA" sheet="1" objects="1" scenarios="1" selectLockedCells="1"/>
  <mergeCells count="25">
    <mergeCell ref="A45:F45"/>
    <mergeCell ref="Q6:R8"/>
    <mergeCell ref="I6:J8"/>
    <mergeCell ref="O5:P5"/>
    <mergeCell ref="C22:F22"/>
    <mergeCell ref="C23:F23"/>
    <mergeCell ref="C34:F34"/>
    <mergeCell ref="M7:N8"/>
    <mergeCell ref="O7:P8"/>
    <mergeCell ref="A1:V1"/>
    <mergeCell ref="A2:V2"/>
    <mergeCell ref="A3:V3"/>
    <mergeCell ref="I5:J5"/>
    <mergeCell ref="K5:L5"/>
    <mergeCell ref="M5:N5"/>
    <mergeCell ref="U6:V8"/>
    <mergeCell ref="B31:F31"/>
    <mergeCell ref="S6:T8"/>
    <mergeCell ref="G5:G9"/>
    <mergeCell ref="S5:T5"/>
    <mergeCell ref="A5:F9"/>
    <mergeCell ref="U5:V5"/>
    <mergeCell ref="Q5:R5"/>
    <mergeCell ref="K6:L8"/>
    <mergeCell ref="M6:P6"/>
  </mergeCells>
  <phoneticPr fontId="2" type="noConversion"/>
  <dataValidations count="1">
    <dataValidation type="decimal" allowBlank="1" showInputMessage="1" showErrorMessage="1" sqref="I29:P31 S25:T27 S29:T31 S19:T20 S15:T17 S12:T13 S47:T48 I15:P17 I12:P13 I47:P48 S22:T23 I25:P27 I22:P23 I19:P20 S33:T39 I33:P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11b2&amp;8&amp;U
&amp;P of &amp;N&amp;C&amp;"Arial,Bold"&amp;8 NEW RURAL BANK OF SAN LEONARDO, INC  [ 04-040656 ]
 As of: September 30, 2017</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49"/>
  <sheetViews>
    <sheetView zoomScaleNormal="100" zoomScaleSheetLayoutView="8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40" style="5" customWidth="1"/>
    <col min="7" max="7" width="20.140625" style="52" bestFit="1" customWidth="1"/>
    <col min="8" max="8" width="20.140625" style="52"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48" customWidth="1"/>
    <col min="18" max="18" width="25.7109375" style="48" customWidth="1"/>
    <col min="19" max="19" width="20.7109375" style="48" customWidth="1"/>
    <col min="20" max="20" width="25.7109375" style="48" customWidth="1"/>
    <col min="21" max="21" width="20.7109375" style="48" customWidth="1"/>
    <col min="22" max="22" width="25.7109375" style="48"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43" customFormat="1" ht="12.75" x14ac:dyDescent="0.2">
      <c r="A1" s="669" t="s">
        <v>106</v>
      </c>
      <c r="B1" s="669"/>
      <c r="C1" s="669"/>
      <c r="D1" s="669"/>
      <c r="E1" s="669"/>
      <c r="F1" s="669"/>
      <c r="G1" s="669"/>
      <c r="H1" s="669"/>
      <c r="I1" s="669"/>
      <c r="J1" s="669"/>
      <c r="K1" s="669"/>
      <c r="L1" s="669"/>
      <c r="M1" s="669"/>
      <c r="N1" s="669"/>
      <c r="O1" s="669"/>
      <c r="P1" s="669"/>
      <c r="Q1" s="669"/>
      <c r="R1" s="669"/>
      <c r="S1" s="669"/>
      <c r="T1" s="669"/>
      <c r="U1" s="669"/>
      <c r="V1" s="669"/>
      <c r="W1" s="242"/>
      <c r="X1" s="242"/>
      <c r="Y1" s="242"/>
      <c r="Z1" s="242"/>
      <c r="AA1" s="242"/>
      <c r="AB1" s="242"/>
      <c r="AC1" s="242"/>
      <c r="AD1" s="242"/>
      <c r="AE1" s="242"/>
    </row>
    <row r="2" spans="1:33" s="243" customFormat="1" ht="12.75" x14ac:dyDescent="0.2">
      <c r="A2" s="669" t="s">
        <v>92</v>
      </c>
      <c r="B2" s="669"/>
      <c r="C2" s="669"/>
      <c r="D2" s="669"/>
      <c r="E2" s="669"/>
      <c r="F2" s="669"/>
      <c r="G2" s="669"/>
      <c r="H2" s="669"/>
      <c r="I2" s="669"/>
      <c r="J2" s="669"/>
      <c r="K2" s="669"/>
      <c r="L2" s="669"/>
      <c r="M2" s="669"/>
      <c r="N2" s="669"/>
      <c r="O2" s="669"/>
      <c r="P2" s="669"/>
      <c r="Q2" s="669"/>
      <c r="R2" s="669"/>
      <c r="S2" s="669"/>
      <c r="T2" s="669"/>
      <c r="U2" s="669"/>
      <c r="V2" s="669"/>
      <c r="W2" s="242"/>
      <c r="X2" s="242"/>
      <c r="Y2" s="242"/>
      <c r="Z2" s="242"/>
      <c r="AA2" s="242"/>
      <c r="AB2" s="242"/>
      <c r="AC2" s="242"/>
      <c r="AD2" s="242"/>
      <c r="AE2" s="242"/>
    </row>
    <row r="3" spans="1:33" s="243" customFormat="1" ht="12.75" x14ac:dyDescent="0.2">
      <c r="A3" s="669" t="s">
        <v>53</v>
      </c>
      <c r="B3" s="669"/>
      <c r="C3" s="669"/>
      <c r="D3" s="669"/>
      <c r="E3" s="669"/>
      <c r="F3" s="669"/>
      <c r="G3" s="669"/>
      <c r="H3" s="669"/>
      <c r="I3" s="669"/>
      <c r="J3" s="669"/>
      <c r="K3" s="669"/>
      <c r="L3" s="669"/>
      <c r="M3" s="669"/>
      <c r="N3" s="669"/>
      <c r="O3" s="669"/>
      <c r="P3" s="669"/>
      <c r="Q3" s="669"/>
      <c r="R3" s="669"/>
      <c r="S3" s="669"/>
      <c r="T3" s="669"/>
      <c r="U3" s="669"/>
      <c r="V3" s="669"/>
      <c r="W3" s="242"/>
      <c r="X3" s="242"/>
      <c r="Y3" s="242"/>
      <c r="Z3" s="242"/>
      <c r="AA3" s="242"/>
      <c r="AB3" s="242"/>
      <c r="AC3" s="242"/>
      <c r="AD3" s="242"/>
      <c r="AE3" s="242"/>
    </row>
    <row r="4" spans="1:33" x14ac:dyDescent="0.2">
      <c r="A4" s="6"/>
      <c r="B4" s="6"/>
      <c r="C4" s="6"/>
      <c r="D4" s="6"/>
      <c r="E4" s="6"/>
      <c r="F4" s="6"/>
      <c r="G4" s="54"/>
      <c r="H4" s="54"/>
      <c r="I4" s="47"/>
      <c r="J4" s="47"/>
      <c r="K4" s="47"/>
      <c r="L4" s="47"/>
      <c r="M4" s="47"/>
      <c r="N4" s="47"/>
      <c r="O4" s="47"/>
      <c r="P4" s="47"/>
      <c r="Q4" s="47"/>
      <c r="R4" s="47"/>
      <c r="S4" s="47"/>
      <c r="T4" s="47"/>
      <c r="U4" s="47"/>
      <c r="V4" s="47"/>
      <c r="W4" s="4"/>
      <c r="X4" s="4"/>
      <c r="Y4" s="4"/>
      <c r="Z4" s="4"/>
      <c r="AA4" s="4"/>
      <c r="AB4" s="4"/>
      <c r="AC4" s="4"/>
      <c r="AD4" s="4"/>
      <c r="AE4" s="4"/>
    </row>
    <row r="5" spans="1:33" ht="12.75" customHeight="1" x14ac:dyDescent="0.2">
      <c r="A5" s="672" t="s">
        <v>45</v>
      </c>
      <c r="B5" s="672"/>
      <c r="C5" s="672"/>
      <c r="D5" s="672"/>
      <c r="E5" s="672"/>
      <c r="F5" s="672"/>
      <c r="G5" s="699" t="s">
        <v>46</v>
      </c>
      <c r="H5" s="24"/>
      <c r="I5" s="687" t="s">
        <v>94</v>
      </c>
      <c r="J5" s="687"/>
      <c r="K5" s="687" t="s">
        <v>95</v>
      </c>
      <c r="L5" s="687"/>
      <c r="M5" s="687" t="s">
        <v>96</v>
      </c>
      <c r="N5" s="687"/>
      <c r="O5" s="687" t="s">
        <v>97</v>
      </c>
      <c r="P5" s="687"/>
      <c r="Q5" s="687" t="s">
        <v>98</v>
      </c>
      <c r="R5" s="687"/>
      <c r="S5" s="687" t="s">
        <v>99</v>
      </c>
      <c r="T5" s="687"/>
      <c r="U5" s="687" t="s">
        <v>100</v>
      </c>
      <c r="V5" s="687"/>
      <c r="W5" s="7"/>
      <c r="X5" s="7"/>
      <c r="Y5" s="7"/>
      <c r="Z5" s="7"/>
      <c r="AA5" s="7"/>
      <c r="AB5" s="8"/>
      <c r="AC5" s="8"/>
      <c r="AD5" s="8"/>
      <c r="AE5" s="8"/>
      <c r="AF5" s="9"/>
      <c r="AG5" s="9"/>
    </row>
    <row r="6" spans="1:33" ht="12.75" customHeight="1" x14ac:dyDescent="0.2">
      <c r="A6" s="672"/>
      <c r="B6" s="672"/>
      <c r="C6" s="672"/>
      <c r="D6" s="672"/>
      <c r="E6" s="672"/>
      <c r="F6" s="672"/>
      <c r="G6" s="699"/>
      <c r="H6" s="24"/>
      <c r="I6" s="670" t="s">
        <v>101</v>
      </c>
      <c r="J6" s="670"/>
      <c r="K6" s="674" t="s">
        <v>1471</v>
      </c>
      <c r="L6" s="674"/>
      <c r="M6" s="689" t="s">
        <v>1474</v>
      </c>
      <c r="N6" s="690"/>
      <c r="O6" s="690"/>
      <c r="P6" s="691"/>
      <c r="Q6" s="670" t="s">
        <v>102</v>
      </c>
      <c r="R6" s="670"/>
      <c r="S6" s="670" t="s">
        <v>47</v>
      </c>
      <c r="T6" s="670"/>
      <c r="U6" s="670" t="s">
        <v>48</v>
      </c>
      <c r="V6" s="670"/>
      <c r="W6" s="10"/>
      <c r="X6" s="10"/>
      <c r="Y6" s="10"/>
      <c r="Z6" s="10"/>
      <c r="AA6" s="10"/>
      <c r="AB6" s="11"/>
      <c r="AC6" s="11"/>
      <c r="AD6" s="11"/>
      <c r="AE6" s="11"/>
      <c r="AF6" s="9"/>
      <c r="AG6" s="9"/>
    </row>
    <row r="7" spans="1:33" ht="19.5" customHeight="1" x14ac:dyDescent="0.2">
      <c r="A7" s="672"/>
      <c r="B7" s="672"/>
      <c r="C7" s="672"/>
      <c r="D7" s="672"/>
      <c r="E7" s="672"/>
      <c r="F7" s="672"/>
      <c r="G7" s="699"/>
      <c r="H7" s="24"/>
      <c r="I7" s="670"/>
      <c r="J7" s="670"/>
      <c r="K7" s="674"/>
      <c r="L7" s="674"/>
      <c r="M7" s="678" t="s">
        <v>1472</v>
      </c>
      <c r="N7" s="679"/>
      <c r="O7" s="678" t="s">
        <v>1473</v>
      </c>
      <c r="P7" s="679"/>
      <c r="Q7" s="670"/>
      <c r="R7" s="670"/>
      <c r="S7" s="670"/>
      <c r="T7" s="670"/>
      <c r="U7" s="670"/>
      <c r="V7" s="670"/>
      <c r="W7" s="10"/>
      <c r="X7" s="10"/>
      <c r="Y7" s="10"/>
      <c r="Z7" s="10"/>
      <c r="AA7" s="10"/>
      <c r="AB7" s="12"/>
      <c r="AC7" s="11"/>
      <c r="AD7" s="11"/>
      <c r="AE7" s="11"/>
      <c r="AF7" s="9"/>
      <c r="AG7" s="9"/>
    </row>
    <row r="8" spans="1:33" ht="27.75" customHeight="1" x14ac:dyDescent="0.2">
      <c r="A8" s="672"/>
      <c r="B8" s="672"/>
      <c r="C8" s="672"/>
      <c r="D8" s="672"/>
      <c r="E8" s="672"/>
      <c r="F8" s="672"/>
      <c r="G8" s="699"/>
      <c r="H8" s="24"/>
      <c r="I8" s="670"/>
      <c r="J8" s="670"/>
      <c r="K8" s="674"/>
      <c r="L8" s="674"/>
      <c r="M8" s="680"/>
      <c r="N8" s="681"/>
      <c r="O8" s="680"/>
      <c r="P8" s="681"/>
      <c r="Q8" s="670"/>
      <c r="R8" s="670"/>
      <c r="S8" s="670"/>
      <c r="T8" s="670"/>
      <c r="U8" s="670"/>
      <c r="V8" s="670"/>
      <c r="W8" s="13"/>
      <c r="X8" s="14"/>
      <c r="Y8" s="14"/>
      <c r="Z8" s="14"/>
      <c r="AA8" s="14"/>
      <c r="AB8" s="12"/>
      <c r="AC8" s="11"/>
      <c r="AD8" s="11"/>
      <c r="AE8" s="11"/>
      <c r="AF8" s="9"/>
      <c r="AG8" s="9"/>
    </row>
    <row r="9" spans="1:33" s="35" customFormat="1" ht="22.5" customHeight="1" x14ac:dyDescent="0.2">
      <c r="A9" s="672"/>
      <c r="B9" s="672"/>
      <c r="C9" s="672"/>
      <c r="D9" s="672"/>
      <c r="E9" s="672"/>
      <c r="F9" s="672"/>
      <c r="G9" s="699"/>
      <c r="H9" s="24"/>
      <c r="I9" s="55" t="s">
        <v>50</v>
      </c>
      <c r="J9" s="51" t="s">
        <v>51</v>
      </c>
      <c r="K9" s="55" t="s">
        <v>50</v>
      </c>
      <c r="L9" s="51" t="s">
        <v>51</v>
      </c>
      <c r="M9" s="55" t="s">
        <v>50</v>
      </c>
      <c r="N9" s="51" t="s">
        <v>51</v>
      </c>
      <c r="O9" s="55" t="s">
        <v>50</v>
      </c>
      <c r="P9" s="51" t="s">
        <v>51</v>
      </c>
      <c r="Q9" s="55" t="s">
        <v>50</v>
      </c>
      <c r="R9" s="51" t="s">
        <v>51</v>
      </c>
      <c r="S9" s="55" t="s">
        <v>50</v>
      </c>
      <c r="T9" s="51" t="s">
        <v>51</v>
      </c>
      <c r="U9" s="55" t="s">
        <v>50</v>
      </c>
      <c r="V9" s="51" t="s">
        <v>51</v>
      </c>
      <c r="W9" s="32"/>
      <c r="X9" s="32"/>
      <c r="Y9" s="32"/>
      <c r="Z9" s="32"/>
      <c r="AA9" s="32"/>
      <c r="AB9" s="32"/>
      <c r="AC9" s="33"/>
      <c r="AD9" s="33"/>
      <c r="AE9" s="33"/>
      <c r="AF9" s="34"/>
      <c r="AG9" s="34"/>
    </row>
    <row r="10" spans="1:33" x14ac:dyDescent="0.2">
      <c r="A10" s="223" t="s">
        <v>57</v>
      </c>
      <c r="B10" s="312"/>
      <c r="C10" s="312"/>
      <c r="D10" s="312"/>
      <c r="E10" s="312"/>
      <c r="F10" s="347"/>
      <c r="G10" s="313" t="s">
        <v>109</v>
      </c>
      <c r="H10" s="45"/>
      <c r="I10" s="56">
        <f t="shared" ref="I10:P10" si="0">I11+I18+I21+I24+I27+I28+I31+I32+I39</f>
        <v>0</v>
      </c>
      <c r="J10" s="56">
        <f t="shared" si="0"/>
        <v>0</v>
      </c>
      <c r="K10" s="56">
        <f t="shared" si="0"/>
        <v>0</v>
      </c>
      <c r="L10" s="56">
        <f t="shared" si="0"/>
        <v>0</v>
      </c>
      <c r="M10" s="56">
        <f t="shared" si="0"/>
        <v>0</v>
      </c>
      <c r="N10" s="56">
        <f t="shared" si="0"/>
        <v>0</v>
      </c>
      <c r="O10" s="56">
        <f t="shared" si="0"/>
        <v>0</v>
      </c>
      <c r="P10" s="56">
        <f t="shared" si="0"/>
        <v>0</v>
      </c>
      <c r="Q10" s="56">
        <f>O10+M10+K10+I10</f>
        <v>0</v>
      </c>
      <c r="R10" s="56">
        <f>P10+N10+L10+J10</f>
        <v>0</v>
      </c>
      <c r="S10" s="56">
        <f>S11+S18+S21+S24+S27+S28+S31+S32+S39</f>
        <v>0</v>
      </c>
      <c r="T10" s="56">
        <f>T11+T18+T21+T24+T27+T28+T31+T32+T39</f>
        <v>0</v>
      </c>
      <c r="U10" s="56">
        <f>Q10-S10</f>
        <v>0</v>
      </c>
      <c r="V10" s="56">
        <f>R10-T10</f>
        <v>0</v>
      </c>
      <c r="W10" s="36"/>
      <c r="X10" s="9"/>
      <c r="Y10" s="9"/>
      <c r="Z10" s="9"/>
      <c r="AA10" s="9"/>
      <c r="AB10" s="9"/>
      <c r="AC10" s="9"/>
      <c r="AD10" s="9"/>
      <c r="AE10" s="9"/>
      <c r="AF10" s="9"/>
      <c r="AG10" s="9"/>
    </row>
    <row r="11" spans="1:33" x14ac:dyDescent="0.2">
      <c r="A11" s="346" t="s">
        <v>58</v>
      </c>
      <c r="B11" s="312" t="s">
        <v>540</v>
      </c>
      <c r="C11" s="312"/>
      <c r="D11" s="312"/>
      <c r="E11" s="312"/>
      <c r="F11" s="347"/>
      <c r="G11" s="313" t="s">
        <v>110</v>
      </c>
      <c r="H11" s="45"/>
      <c r="I11" s="56">
        <f t="shared" ref="I11:P11" si="1">+I12+I13+I14</f>
        <v>0</v>
      </c>
      <c r="J11" s="56">
        <f t="shared" si="1"/>
        <v>0</v>
      </c>
      <c r="K11" s="56">
        <f t="shared" si="1"/>
        <v>0</v>
      </c>
      <c r="L11" s="56">
        <f t="shared" si="1"/>
        <v>0</v>
      </c>
      <c r="M11" s="56">
        <f t="shared" si="1"/>
        <v>0</v>
      </c>
      <c r="N11" s="56">
        <f t="shared" si="1"/>
        <v>0</v>
      </c>
      <c r="O11" s="56">
        <f t="shared" si="1"/>
        <v>0</v>
      </c>
      <c r="P11" s="56">
        <f t="shared" si="1"/>
        <v>0</v>
      </c>
      <c r="Q11" s="56">
        <f t="shared" ref="Q11:Q17" si="2">O11+M11+K11+I11</f>
        <v>0</v>
      </c>
      <c r="R11" s="56">
        <f t="shared" ref="R11:R45" si="3">P11+N11+L11+J11</f>
        <v>0</v>
      </c>
      <c r="S11" s="56">
        <f>+S12+S13+S14</f>
        <v>0</v>
      </c>
      <c r="T11" s="56">
        <f>+T12+T13+T14</f>
        <v>0</v>
      </c>
      <c r="U11" s="56">
        <f t="shared" ref="U11:U17" si="4">Q11-S11</f>
        <v>0</v>
      </c>
      <c r="V11" s="56">
        <f t="shared" ref="V11:V45" si="5">R11-T11</f>
        <v>0</v>
      </c>
      <c r="W11" s="36"/>
      <c r="X11" s="9"/>
      <c r="Y11" s="9"/>
      <c r="Z11" s="9"/>
      <c r="AA11" s="9"/>
      <c r="AB11" s="9"/>
      <c r="AC11" s="9"/>
      <c r="AD11" s="9"/>
      <c r="AE11" s="9"/>
      <c r="AF11" s="9"/>
      <c r="AG11" s="9"/>
    </row>
    <row r="12" spans="1:33" x14ac:dyDescent="0.2">
      <c r="A12" s="346"/>
      <c r="B12" s="312" t="s">
        <v>59</v>
      </c>
      <c r="C12" s="312" t="s">
        <v>60</v>
      </c>
      <c r="D12" s="312"/>
      <c r="E12" s="312"/>
      <c r="F12" s="347"/>
      <c r="G12" s="313" t="s">
        <v>111</v>
      </c>
      <c r="H12" s="45"/>
      <c r="I12" s="58"/>
      <c r="J12" s="58"/>
      <c r="K12" s="58"/>
      <c r="L12" s="58"/>
      <c r="M12" s="58"/>
      <c r="N12" s="58"/>
      <c r="O12" s="58"/>
      <c r="P12" s="58"/>
      <c r="Q12" s="56">
        <f t="shared" si="2"/>
        <v>0</v>
      </c>
      <c r="R12" s="56">
        <f t="shared" si="3"/>
        <v>0</v>
      </c>
      <c r="S12" s="58"/>
      <c r="T12" s="58"/>
      <c r="U12" s="56">
        <f t="shared" si="4"/>
        <v>0</v>
      </c>
      <c r="V12" s="56">
        <f t="shared" si="5"/>
        <v>0</v>
      </c>
      <c r="W12" s="36"/>
      <c r="X12" s="9"/>
      <c r="Y12" s="9"/>
      <c r="Z12" s="9"/>
      <c r="AA12" s="9"/>
      <c r="AB12" s="9"/>
      <c r="AC12" s="9"/>
      <c r="AD12" s="9"/>
      <c r="AE12" s="9"/>
      <c r="AF12" s="9"/>
      <c r="AG12" s="9"/>
    </row>
    <row r="13" spans="1:33" x14ac:dyDescent="0.2">
      <c r="A13" s="346"/>
      <c r="B13" s="312" t="s">
        <v>61</v>
      </c>
      <c r="C13" s="312" t="s">
        <v>72</v>
      </c>
      <c r="D13" s="312"/>
      <c r="E13" s="312"/>
      <c r="F13" s="347"/>
      <c r="G13" s="313" t="s">
        <v>546</v>
      </c>
      <c r="H13" s="45"/>
      <c r="I13" s="58"/>
      <c r="J13" s="58"/>
      <c r="K13" s="58"/>
      <c r="L13" s="58"/>
      <c r="M13" s="58"/>
      <c r="N13" s="58"/>
      <c r="O13" s="58"/>
      <c r="P13" s="58"/>
      <c r="Q13" s="56">
        <f t="shared" si="2"/>
        <v>0</v>
      </c>
      <c r="R13" s="56">
        <f>P13+N13+L13+J13</f>
        <v>0</v>
      </c>
      <c r="S13" s="58"/>
      <c r="T13" s="58"/>
      <c r="U13" s="56">
        <f t="shared" si="4"/>
        <v>0</v>
      </c>
      <c r="V13" s="56">
        <f>R13-T13</f>
        <v>0</v>
      </c>
      <c r="W13" s="36"/>
      <c r="X13" s="9"/>
      <c r="Y13" s="9"/>
      <c r="Z13" s="9"/>
      <c r="AA13" s="9"/>
      <c r="AB13" s="9"/>
      <c r="AC13" s="9"/>
      <c r="AD13" s="9"/>
      <c r="AE13" s="9"/>
      <c r="AF13" s="9"/>
      <c r="AG13" s="9"/>
    </row>
    <row r="14" spans="1:33" x14ac:dyDescent="0.2">
      <c r="A14" s="346"/>
      <c r="B14" s="312" t="s">
        <v>71</v>
      </c>
      <c r="C14" s="312" t="s">
        <v>62</v>
      </c>
      <c r="D14" s="312"/>
      <c r="E14" s="312"/>
      <c r="F14" s="347"/>
      <c r="G14" s="313" t="s">
        <v>112</v>
      </c>
      <c r="H14" s="45"/>
      <c r="I14" s="56">
        <f t="shared" ref="I14:P14" si="6">I15+I16+I17</f>
        <v>0</v>
      </c>
      <c r="J14" s="56">
        <f t="shared" si="6"/>
        <v>0</v>
      </c>
      <c r="K14" s="56">
        <f t="shared" si="6"/>
        <v>0</v>
      </c>
      <c r="L14" s="56">
        <f t="shared" si="6"/>
        <v>0</v>
      </c>
      <c r="M14" s="56">
        <f t="shared" si="6"/>
        <v>0</v>
      </c>
      <c r="N14" s="56">
        <f t="shared" si="6"/>
        <v>0</v>
      </c>
      <c r="O14" s="56">
        <f t="shared" si="6"/>
        <v>0</v>
      </c>
      <c r="P14" s="56">
        <f t="shared" si="6"/>
        <v>0</v>
      </c>
      <c r="Q14" s="56">
        <f t="shared" si="2"/>
        <v>0</v>
      </c>
      <c r="R14" s="56">
        <f t="shared" si="3"/>
        <v>0</v>
      </c>
      <c r="S14" s="56">
        <f>S15+S16+S17</f>
        <v>0</v>
      </c>
      <c r="T14" s="56">
        <f>T15+T16+T17</f>
        <v>0</v>
      </c>
      <c r="U14" s="56">
        <f t="shared" si="4"/>
        <v>0</v>
      </c>
      <c r="V14" s="56">
        <f t="shared" si="5"/>
        <v>0</v>
      </c>
      <c r="W14" s="36"/>
      <c r="X14" s="9"/>
      <c r="Y14" s="9"/>
      <c r="Z14" s="9"/>
      <c r="AA14" s="9"/>
      <c r="AB14" s="9"/>
      <c r="AC14" s="9"/>
      <c r="AD14" s="9"/>
      <c r="AE14" s="9"/>
      <c r="AF14" s="9"/>
      <c r="AG14" s="9"/>
    </row>
    <row r="15" spans="1:33" x14ac:dyDescent="0.2">
      <c r="A15" s="346"/>
      <c r="B15" s="312"/>
      <c r="C15" s="311" t="s">
        <v>54</v>
      </c>
      <c r="D15" s="312" t="s">
        <v>63</v>
      </c>
      <c r="E15" s="312"/>
      <c r="F15" s="347"/>
      <c r="G15" s="313" t="s">
        <v>113</v>
      </c>
      <c r="H15" s="45"/>
      <c r="I15" s="58"/>
      <c r="J15" s="58"/>
      <c r="K15" s="58"/>
      <c r="L15" s="58"/>
      <c r="M15" s="58"/>
      <c r="N15" s="58"/>
      <c r="O15" s="58"/>
      <c r="P15" s="58"/>
      <c r="Q15" s="56">
        <f t="shared" si="2"/>
        <v>0</v>
      </c>
      <c r="R15" s="56">
        <f t="shared" si="3"/>
        <v>0</v>
      </c>
      <c r="S15" s="58"/>
      <c r="T15" s="58"/>
      <c r="U15" s="56">
        <f t="shared" si="4"/>
        <v>0</v>
      </c>
      <c r="V15" s="56">
        <f t="shared" si="5"/>
        <v>0</v>
      </c>
      <c r="W15" s="36"/>
      <c r="X15" s="9"/>
      <c r="Y15" s="9"/>
      <c r="Z15" s="9"/>
      <c r="AA15" s="9"/>
      <c r="AB15" s="9"/>
      <c r="AC15" s="9"/>
      <c r="AD15" s="9"/>
      <c r="AE15" s="9"/>
      <c r="AF15" s="9"/>
      <c r="AG15" s="9"/>
    </row>
    <row r="16" spans="1:33" x14ac:dyDescent="0.2">
      <c r="A16" s="346"/>
      <c r="B16" s="312"/>
      <c r="C16" s="311" t="s">
        <v>55</v>
      </c>
      <c r="D16" s="312" t="s">
        <v>64</v>
      </c>
      <c r="E16" s="312"/>
      <c r="F16" s="347"/>
      <c r="G16" s="313" t="s">
        <v>114</v>
      </c>
      <c r="H16" s="45"/>
      <c r="I16" s="59"/>
      <c r="J16" s="59"/>
      <c r="K16" s="59"/>
      <c r="L16" s="59"/>
      <c r="M16" s="59"/>
      <c r="N16" s="59"/>
      <c r="O16" s="59"/>
      <c r="P16" s="59"/>
      <c r="Q16" s="56">
        <f t="shared" si="2"/>
        <v>0</v>
      </c>
      <c r="R16" s="56">
        <f t="shared" si="3"/>
        <v>0</v>
      </c>
      <c r="S16" s="59"/>
      <c r="T16" s="59"/>
      <c r="U16" s="56">
        <f t="shared" si="4"/>
        <v>0</v>
      </c>
      <c r="V16" s="56">
        <f t="shared" si="5"/>
        <v>0</v>
      </c>
      <c r="W16" s="36"/>
      <c r="X16" s="9"/>
      <c r="Y16" s="9"/>
      <c r="Z16" s="9"/>
      <c r="AA16" s="9"/>
      <c r="AB16" s="9"/>
      <c r="AC16" s="9"/>
      <c r="AD16" s="9"/>
      <c r="AE16" s="9"/>
      <c r="AF16" s="9"/>
      <c r="AG16" s="9"/>
    </row>
    <row r="17" spans="1:33" x14ac:dyDescent="0.2">
      <c r="A17" s="346"/>
      <c r="B17" s="312"/>
      <c r="C17" s="311" t="s">
        <v>65</v>
      </c>
      <c r="D17" s="312" t="s">
        <v>66</v>
      </c>
      <c r="E17" s="312"/>
      <c r="F17" s="347"/>
      <c r="G17" s="313" t="s">
        <v>115</v>
      </c>
      <c r="H17" s="45"/>
      <c r="I17" s="59"/>
      <c r="J17" s="59"/>
      <c r="K17" s="59"/>
      <c r="L17" s="59"/>
      <c r="M17" s="59"/>
      <c r="N17" s="59"/>
      <c r="O17" s="59"/>
      <c r="P17" s="59"/>
      <c r="Q17" s="56">
        <f t="shared" si="2"/>
        <v>0</v>
      </c>
      <c r="R17" s="56">
        <f t="shared" si="3"/>
        <v>0</v>
      </c>
      <c r="S17" s="59"/>
      <c r="T17" s="59"/>
      <c r="U17" s="56">
        <f t="shared" si="4"/>
        <v>0</v>
      </c>
      <c r="V17" s="56">
        <f t="shared" si="5"/>
        <v>0</v>
      </c>
      <c r="W17" s="36"/>
      <c r="X17" s="9"/>
      <c r="Y17" s="9"/>
      <c r="Z17" s="9"/>
      <c r="AA17" s="9"/>
      <c r="AB17" s="9"/>
      <c r="AC17" s="9"/>
      <c r="AD17" s="9"/>
      <c r="AE17" s="9"/>
      <c r="AF17" s="9"/>
      <c r="AG17" s="9"/>
    </row>
    <row r="18" spans="1:33" x14ac:dyDescent="0.2">
      <c r="A18" s="346" t="s">
        <v>55</v>
      </c>
      <c r="B18" s="312" t="s">
        <v>67</v>
      </c>
      <c r="C18" s="312"/>
      <c r="D18" s="312"/>
      <c r="E18" s="312"/>
      <c r="F18" s="347"/>
      <c r="G18" s="313" t="s">
        <v>116</v>
      </c>
      <c r="H18" s="45"/>
      <c r="I18" s="57">
        <f>I19+I20</f>
        <v>0</v>
      </c>
      <c r="J18" s="57">
        <f t="shared" ref="J18:P18" si="7">J19+J20</f>
        <v>0</v>
      </c>
      <c r="K18" s="57">
        <f t="shared" si="7"/>
        <v>0</v>
      </c>
      <c r="L18" s="57">
        <f t="shared" si="7"/>
        <v>0</v>
      </c>
      <c r="M18" s="57">
        <f t="shared" si="7"/>
        <v>0</v>
      </c>
      <c r="N18" s="57">
        <f t="shared" si="7"/>
        <v>0</v>
      </c>
      <c r="O18" s="57">
        <f t="shared" si="7"/>
        <v>0</v>
      </c>
      <c r="P18" s="57">
        <f t="shared" si="7"/>
        <v>0</v>
      </c>
      <c r="Q18" s="56">
        <f t="shared" ref="Q18:R20" si="8">O18+M18+K18+I18</f>
        <v>0</v>
      </c>
      <c r="R18" s="56">
        <f t="shared" si="8"/>
        <v>0</v>
      </c>
      <c r="S18" s="57">
        <f>S19+S20</f>
        <v>0</v>
      </c>
      <c r="T18" s="57">
        <f>T19+T20</f>
        <v>0</v>
      </c>
      <c r="U18" s="56">
        <f t="shared" ref="U18:V20" si="9">Q18-S18</f>
        <v>0</v>
      </c>
      <c r="V18" s="56">
        <f t="shared" si="9"/>
        <v>0</v>
      </c>
      <c r="W18" s="36"/>
      <c r="X18" s="9"/>
      <c r="Y18" s="9"/>
      <c r="Z18" s="9"/>
      <c r="AA18" s="9"/>
      <c r="AB18" s="9"/>
      <c r="AC18" s="9"/>
      <c r="AD18" s="9"/>
      <c r="AE18" s="9"/>
      <c r="AF18" s="9"/>
      <c r="AG18" s="9"/>
    </row>
    <row r="19" spans="1:33" x14ac:dyDescent="0.2">
      <c r="A19" s="346"/>
      <c r="B19" s="312" t="s">
        <v>59</v>
      </c>
      <c r="C19" s="312" t="s">
        <v>68</v>
      </c>
      <c r="D19" s="312"/>
      <c r="E19" s="312"/>
      <c r="F19" s="347"/>
      <c r="G19" s="313" t="s">
        <v>117</v>
      </c>
      <c r="H19" s="45"/>
      <c r="I19" s="59"/>
      <c r="J19" s="59"/>
      <c r="K19" s="59"/>
      <c r="L19" s="59"/>
      <c r="M19" s="59"/>
      <c r="N19" s="59"/>
      <c r="O19" s="59"/>
      <c r="P19" s="59"/>
      <c r="Q19" s="56">
        <f t="shared" si="8"/>
        <v>0</v>
      </c>
      <c r="R19" s="56">
        <f t="shared" si="8"/>
        <v>0</v>
      </c>
      <c r="S19" s="59"/>
      <c r="T19" s="59"/>
      <c r="U19" s="56">
        <f t="shared" si="9"/>
        <v>0</v>
      </c>
      <c r="V19" s="56">
        <f t="shared" si="9"/>
        <v>0</v>
      </c>
      <c r="W19" s="36"/>
      <c r="X19" s="9"/>
      <c r="Y19" s="9"/>
      <c r="Z19" s="9"/>
      <c r="AA19" s="9"/>
      <c r="AB19" s="9"/>
      <c r="AC19" s="9"/>
      <c r="AD19" s="9"/>
      <c r="AE19" s="9"/>
      <c r="AF19" s="9"/>
      <c r="AG19" s="9"/>
    </row>
    <row r="20" spans="1:33" x14ac:dyDescent="0.2">
      <c r="A20" s="346"/>
      <c r="B20" s="312" t="s">
        <v>69</v>
      </c>
      <c r="C20" s="312" t="s">
        <v>70</v>
      </c>
      <c r="D20" s="312"/>
      <c r="E20" s="312"/>
      <c r="F20" s="347"/>
      <c r="G20" s="313" t="s">
        <v>118</v>
      </c>
      <c r="H20" s="45"/>
      <c r="I20" s="59"/>
      <c r="J20" s="59"/>
      <c r="K20" s="59"/>
      <c r="L20" s="59"/>
      <c r="M20" s="59"/>
      <c r="N20" s="59"/>
      <c r="O20" s="59"/>
      <c r="P20" s="59"/>
      <c r="Q20" s="56">
        <f t="shared" si="8"/>
        <v>0</v>
      </c>
      <c r="R20" s="56">
        <f t="shared" si="8"/>
        <v>0</v>
      </c>
      <c r="S20" s="59"/>
      <c r="T20" s="59"/>
      <c r="U20" s="56">
        <f t="shared" si="9"/>
        <v>0</v>
      </c>
      <c r="V20" s="56">
        <f t="shared" si="9"/>
        <v>0</v>
      </c>
      <c r="W20" s="36"/>
      <c r="X20" s="9"/>
      <c r="Y20" s="9"/>
      <c r="Z20" s="9"/>
      <c r="AA20" s="9"/>
      <c r="AB20" s="9"/>
      <c r="AC20" s="9"/>
      <c r="AD20" s="9"/>
      <c r="AE20" s="9"/>
      <c r="AF20" s="9"/>
      <c r="AG20" s="9"/>
    </row>
    <row r="21" spans="1:33" x14ac:dyDescent="0.2">
      <c r="A21" s="346" t="s">
        <v>65</v>
      </c>
      <c r="B21" s="3" t="s">
        <v>1436</v>
      </c>
      <c r="C21" s="3"/>
      <c r="D21" s="3"/>
      <c r="E21" s="3"/>
      <c r="F21" s="3"/>
      <c r="G21" s="317" t="s">
        <v>119</v>
      </c>
      <c r="H21" s="45"/>
      <c r="I21" s="57">
        <f>I22+I23</f>
        <v>0</v>
      </c>
      <c r="J21" s="57">
        <f t="shared" ref="J21:P21" si="10">J22+J23</f>
        <v>0</v>
      </c>
      <c r="K21" s="57">
        <f t="shared" si="10"/>
        <v>0</v>
      </c>
      <c r="L21" s="57">
        <f t="shared" si="10"/>
        <v>0</v>
      </c>
      <c r="M21" s="57">
        <f t="shared" si="10"/>
        <v>0</v>
      </c>
      <c r="N21" s="57">
        <f t="shared" si="10"/>
        <v>0</v>
      </c>
      <c r="O21" s="57">
        <f t="shared" si="10"/>
        <v>0</v>
      </c>
      <c r="P21" s="57">
        <f t="shared" si="10"/>
        <v>0</v>
      </c>
      <c r="Q21" s="56">
        <f t="shared" ref="Q21:R23" si="11">O21+M21+K21+I21</f>
        <v>0</v>
      </c>
      <c r="R21" s="56">
        <f t="shared" si="11"/>
        <v>0</v>
      </c>
      <c r="S21" s="57">
        <f>S22+S23</f>
        <v>0</v>
      </c>
      <c r="T21" s="57">
        <f>T22+T23</f>
        <v>0</v>
      </c>
      <c r="U21" s="56">
        <f t="shared" ref="U21:V23" si="12">Q21-S21</f>
        <v>0</v>
      </c>
      <c r="V21" s="56">
        <f t="shared" si="12"/>
        <v>0</v>
      </c>
      <c r="W21" s="36"/>
      <c r="X21" s="9"/>
      <c r="Y21" s="9"/>
      <c r="Z21" s="9"/>
      <c r="AA21" s="9"/>
      <c r="AB21" s="9"/>
      <c r="AC21" s="9"/>
      <c r="AD21" s="9"/>
      <c r="AE21" s="9"/>
      <c r="AF21" s="9"/>
      <c r="AG21" s="9"/>
    </row>
    <row r="22" spans="1:33" x14ac:dyDescent="0.2">
      <c r="A22" s="346"/>
      <c r="B22" s="3" t="s">
        <v>59</v>
      </c>
      <c r="C22" s="658" t="s">
        <v>543</v>
      </c>
      <c r="D22" s="659"/>
      <c r="E22" s="659"/>
      <c r="F22" s="660"/>
      <c r="G22" s="416" t="s">
        <v>1437</v>
      </c>
      <c r="H22" s="45"/>
      <c r="I22" s="59"/>
      <c r="J22" s="59"/>
      <c r="K22" s="59"/>
      <c r="L22" s="59"/>
      <c r="M22" s="59"/>
      <c r="N22" s="59"/>
      <c r="O22" s="59"/>
      <c r="P22" s="59"/>
      <c r="Q22" s="56">
        <f t="shared" si="11"/>
        <v>0</v>
      </c>
      <c r="R22" s="56">
        <f t="shared" si="11"/>
        <v>0</v>
      </c>
      <c r="S22" s="59"/>
      <c r="T22" s="59"/>
      <c r="U22" s="56">
        <f t="shared" si="12"/>
        <v>0</v>
      </c>
      <c r="V22" s="56">
        <f t="shared" si="12"/>
        <v>0</v>
      </c>
      <c r="W22" s="36"/>
      <c r="X22" s="9"/>
      <c r="Y22" s="9"/>
      <c r="Z22" s="9"/>
      <c r="AA22" s="9"/>
      <c r="AB22" s="9"/>
      <c r="AC22" s="9"/>
      <c r="AD22" s="9"/>
      <c r="AE22" s="9"/>
      <c r="AF22" s="9"/>
      <c r="AG22" s="9"/>
    </row>
    <row r="23" spans="1:33" x14ac:dyDescent="0.2">
      <c r="A23" s="346"/>
      <c r="B23" s="3" t="s">
        <v>61</v>
      </c>
      <c r="C23" s="658" t="s">
        <v>1430</v>
      </c>
      <c r="D23" s="659"/>
      <c r="E23" s="659"/>
      <c r="F23" s="660"/>
      <c r="G23" s="416" t="s">
        <v>1438</v>
      </c>
      <c r="H23" s="45"/>
      <c r="I23" s="59"/>
      <c r="J23" s="59"/>
      <c r="K23" s="59"/>
      <c r="L23" s="59"/>
      <c r="M23" s="59"/>
      <c r="N23" s="59"/>
      <c r="O23" s="59"/>
      <c r="P23" s="59"/>
      <c r="Q23" s="56">
        <f t="shared" si="11"/>
        <v>0</v>
      </c>
      <c r="R23" s="56">
        <f t="shared" si="11"/>
        <v>0</v>
      </c>
      <c r="S23" s="59"/>
      <c r="T23" s="59"/>
      <c r="U23" s="56">
        <f t="shared" si="12"/>
        <v>0</v>
      </c>
      <c r="V23" s="56">
        <f t="shared" si="12"/>
        <v>0</v>
      </c>
      <c r="W23" s="36"/>
      <c r="X23" s="9"/>
      <c r="Y23" s="9"/>
      <c r="Z23" s="9"/>
      <c r="AA23" s="9"/>
      <c r="AB23" s="9"/>
      <c r="AC23" s="9"/>
      <c r="AD23" s="9"/>
      <c r="AE23" s="9"/>
      <c r="AF23" s="9"/>
      <c r="AG23" s="9"/>
    </row>
    <row r="24" spans="1:33" x14ac:dyDescent="0.2">
      <c r="A24" s="346" t="s">
        <v>90</v>
      </c>
      <c r="B24" s="312" t="s">
        <v>641</v>
      </c>
      <c r="C24" s="312"/>
      <c r="D24" s="312"/>
      <c r="E24" s="312"/>
      <c r="F24" s="347"/>
      <c r="G24" s="313" t="s">
        <v>120</v>
      </c>
      <c r="H24" s="45"/>
      <c r="I24" s="57">
        <f>I25+I26</f>
        <v>0</v>
      </c>
      <c r="J24" s="57">
        <f t="shared" ref="J24:P24" si="13">J25+J26</f>
        <v>0</v>
      </c>
      <c r="K24" s="57">
        <f t="shared" si="13"/>
        <v>0</v>
      </c>
      <c r="L24" s="57">
        <f t="shared" si="13"/>
        <v>0</v>
      </c>
      <c r="M24" s="57">
        <f t="shared" si="13"/>
        <v>0</v>
      </c>
      <c r="N24" s="57">
        <f t="shared" si="13"/>
        <v>0</v>
      </c>
      <c r="O24" s="57">
        <f t="shared" si="13"/>
        <v>0</v>
      </c>
      <c r="P24" s="57">
        <f t="shared" si="13"/>
        <v>0</v>
      </c>
      <c r="Q24" s="56">
        <f t="shared" ref="Q24:R26" si="14">O24+M24+K24+I24</f>
        <v>0</v>
      </c>
      <c r="R24" s="56">
        <f t="shared" si="14"/>
        <v>0</v>
      </c>
      <c r="S24" s="57">
        <f>S25+S26</f>
        <v>0</v>
      </c>
      <c r="T24" s="57">
        <f>T25+T26</f>
        <v>0</v>
      </c>
      <c r="U24" s="56">
        <f t="shared" ref="U24:V26" si="15">Q24-S24</f>
        <v>0</v>
      </c>
      <c r="V24" s="56">
        <f t="shared" si="15"/>
        <v>0</v>
      </c>
      <c r="W24" s="36"/>
      <c r="X24" s="9"/>
      <c r="Y24" s="9"/>
      <c r="Z24" s="9"/>
      <c r="AA24" s="9"/>
      <c r="AB24" s="9"/>
      <c r="AC24" s="9"/>
      <c r="AD24" s="9"/>
      <c r="AE24" s="9"/>
      <c r="AF24" s="9"/>
      <c r="AG24" s="9"/>
    </row>
    <row r="25" spans="1:33" x14ac:dyDescent="0.2">
      <c r="A25" s="346"/>
      <c r="B25" s="312" t="s">
        <v>59</v>
      </c>
      <c r="C25" s="312" t="s">
        <v>1451</v>
      </c>
      <c r="D25" s="312"/>
      <c r="E25" s="312"/>
      <c r="F25" s="347"/>
      <c r="G25" s="313" t="s">
        <v>121</v>
      </c>
      <c r="H25" s="45"/>
      <c r="I25" s="59"/>
      <c r="J25" s="59"/>
      <c r="K25" s="59"/>
      <c r="L25" s="59"/>
      <c r="M25" s="59"/>
      <c r="N25" s="59"/>
      <c r="O25" s="59"/>
      <c r="P25" s="59"/>
      <c r="Q25" s="56">
        <f t="shared" si="14"/>
        <v>0</v>
      </c>
      <c r="R25" s="56">
        <f t="shared" si="14"/>
        <v>0</v>
      </c>
      <c r="S25" s="59"/>
      <c r="T25" s="59"/>
      <c r="U25" s="56">
        <f t="shared" si="15"/>
        <v>0</v>
      </c>
      <c r="V25" s="56">
        <f t="shared" si="15"/>
        <v>0</v>
      </c>
      <c r="W25" s="36"/>
      <c r="X25" s="9"/>
      <c r="Y25" s="9"/>
      <c r="Z25" s="9"/>
      <c r="AA25" s="9"/>
      <c r="AB25" s="9"/>
      <c r="AC25" s="9"/>
      <c r="AD25" s="9"/>
      <c r="AE25" s="9"/>
      <c r="AF25" s="9"/>
      <c r="AG25" s="9"/>
    </row>
    <row r="26" spans="1:33" x14ac:dyDescent="0.2">
      <c r="A26" s="346"/>
      <c r="B26" s="312" t="s">
        <v>69</v>
      </c>
      <c r="C26" s="312" t="s">
        <v>1452</v>
      </c>
      <c r="D26" s="312"/>
      <c r="E26" s="312"/>
      <c r="F26" s="347"/>
      <c r="G26" s="313" t="s">
        <v>122</v>
      </c>
      <c r="H26" s="45"/>
      <c r="I26" s="59"/>
      <c r="J26" s="59"/>
      <c r="K26" s="59"/>
      <c r="L26" s="59"/>
      <c r="M26" s="59"/>
      <c r="N26" s="59"/>
      <c r="O26" s="59"/>
      <c r="P26" s="59"/>
      <c r="Q26" s="56">
        <f t="shared" si="14"/>
        <v>0</v>
      </c>
      <c r="R26" s="56">
        <f t="shared" si="14"/>
        <v>0</v>
      </c>
      <c r="S26" s="59"/>
      <c r="T26" s="59"/>
      <c r="U26" s="56">
        <f t="shared" si="15"/>
        <v>0</v>
      </c>
      <c r="V26" s="56">
        <f t="shared" si="15"/>
        <v>0</v>
      </c>
      <c r="W26" s="36"/>
      <c r="X26" s="9"/>
      <c r="Y26" s="9"/>
      <c r="Z26" s="9"/>
      <c r="AA26" s="9"/>
      <c r="AB26" s="9"/>
      <c r="AC26" s="9"/>
      <c r="AD26" s="9"/>
      <c r="AE26" s="9"/>
      <c r="AF26" s="9"/>
      <c r="AG26" s="9"/>
    </row>
    <row r="27" spans="1:33" x14ac:dyDescent="0.2">
      <c r="A27" s="346" t="s">
        <v>257</v>
      </c>
      <c r="B27" s="312" t="s">
        <v>983</v>
      </c>
      <c r="C27" s="312"/>
      <c r="D27" s="312"/>
      <c r="E27" s="312"/>
      <c r="F27" s="347"/>
      <c r="G27" s="313" t="s">
        <v>123</v>
      </c>
      <c r="H27" s="45"/>
      <c r="I27" s="59"/>
      <c r="J27" s="59"/>
      <c r="K27" s="59"/>
      <c r="L27" s="59"/>
      <c r="M27" s="59"/>
      <c r="N27" s="59"/>
      <c r="O27" s="59"/>
      <c r="P27" s="59"/>
      <c r="Q27" s="56">
        <f t="shared" ref="Q27:Q45" si="16">O27+M27+K27+I27</f>
        <v>0</v>
      </c>
      <c r="R27" s="56">
        <f t="shared" si="3"/>
        <v>0</v>
      </c>
      <c r="S27" s="59"/>
      <c r="T27" s="59"/>
      <c r="U27" s="56">
        <f t="shared" ref="U27:U45" si="17">Q27-S27</f>
        <v>0</v>
      </c>
      <c r="V27" s="56">
        <f t="shared" si="5"/>
        <v>0</v>
      </c>
      <c r="W27" s="36"/>
      <c r="X27" s="9"/>
      <c r="Y27" s="9"/>
      <c r="Z27" s="9"/>
      <c r="AA27" s="9"/>
      <c r="AB27" s="9"/>
      <c r="AC27" s="9"/>
      <c r="AD27" s="9"/>
      <c r="AE27" s="9"/>
      <c r="AF27" s="9"/>
      <c r="AG27" s="9"/>
    </row>
    <row r="28" spans="1:33" x14ac:dyDescent="0.2">
      <c r="A28" s="346" t="s">
        <v>74</v>
      </c>
      <c r="B28" s="312" t="s">
        <v>77</v>
      </c>
      <c r="C28" s="312"/>
      <c r="D28" s="312"/>
      <c r="E28" s="312"/>
      <c r="F28" s="347"/>
      <c r="G28" s="313" t="s">
        <v>124</v>
      </c>
      <c r="H28" s="45"/>
      <c r="I28" s="57">
        <f t="shared" ref="I28:P28" si="18">I29+I30</f>
        <v>0</v>
      </c>
      <c r="J28" s="57">
        <f t="shared" si="18"/>
        <v>0</v>
      </c>
      <c r="K28" s="57">
        <f t="shared" si="18"/>
        <v>0</v>
      </c>
      <c r="L28" s="57">
        <f t="shared" si="18"/>
        <v>0</v>
      </c>
      <c r="M28" s="57">
        <f t="shared" si="18"/>
        <v>0</v>
      </c>
      <c r="N28" s="57">
        <f t="shared" si="18"/>
        <v>0</v>
      </c>
      <c r="O28" s="57">
        <f t="shared" si="18"/>
        <v>0</v>
      </c>
      <c r="P28" s="57">
        <f t="shared" si="18"/>
        <v>0</v>
      </c>
      <c r="Q28" s="56">
        <f t="shared" si="16"/>
        <v>0</v>
      </c>
      <c r="R28" s="56">
        <f t="shared" si="3"/>
        <v>0</v>
      </c>
      <c r="S28" s="57">
        <f>S29+S30</f>
        <v>0</v>
      </c>
      <c r="T28" s="57">
        <f>T29+T30</f>
        <v>0</v>
      </c>
      <c r="U28" s="56">
        <f t="shared" si="17"/>
        <v>0</v>
      </c>
      <c r="V28" s="56">
        <f t="shared" si="5"/>
        <v>0</v>
      </c>
      <c r="W28" s="36"/>
      <c r="X28" s="9"/>
      <c r="Y28" s="9"/>
      <c r="Z28" s="9"/>
      <c r="AA28" s="9"/>
      <c r="AB28" s="9"/>
      <c r="AC28" s="9"/>
      <c r="AD28" s="9"/>
      <c r="AE28" s="9"/>
      <c r="AF28" s="9"/>
      <c r="AG28" s="9"/>
    </row>
    <row r="29" spans="1:33" x14ac:dyDescent="0.2">
      <c r="A29" s="346"/>
      <c r="B29" s="312" t="s">
        <v>59</v>
      </c>
      <c r="C29" s="312" t="s">
        <v>78</v>
      </c>
      <c r="D29" s="312"/>
      <c r="E29" s="312"/>
      <c r="F29" s="347"/>
      <c r="G29" s="313" t="s">
        <v>125</v>
      </c>
      <c r="H29" s="45"/>
      <c r="I29" s="59"/>
      <c r="J29" s="59"/>
      <c r="K29" s="59"/>
      <c r="L29" s="59"/>
      <c r="M29" s="59"/>
      <c r="N29" s="59"/>
      <c r="O29" s="59"/>
      <c r="P29" s="59"/>
      <c r="Q29" s="56">
        <f t="shared" si="16"/>
        <v>0</v>
      </c>
      <c r="R29" s="56">
        <f t="shared" si="3"/>
        <v>0</v>
      </c>
      <c r="S29" s="59"/>
      <c r="T29" s="59"/>
      <c r="U29" s="56">
        <f t="shared" si="17"/>
        <v>0</v>
      </c>
      <c r="V29" s="56">
        <f t="shared" si="5"/>
        <v>0</v>
      </c>
      <c r="W29" s="36"/>
      <c r="X29" s="9"/>
      <c r="Y29" s="9"/>
      <c r="Z29" s="9"/>
      <c r="AA29" s="9"/>
      <c r="AB29" s="9"/>
      <c r="AC29" s="9"/>
      <c r="AD29" s="9"/>
      <c r="AE29" s="9"/>
      <c r="AF29" s="9"/>
      <c r="AG29" s="9"/>
    </row>
    <row r="30" spans="1:33" x14ac:dyDescent="0.2">
      <c r="A30" s="346"/>
      <c r="B30" s="312" t="s">
        <v>61</v>
      </c>
      <c r="C30" s="312" t="s">
        <v>66</v>
      </c>
      <c r="D30" s="312"/>
      <c r="E30" s="312"/>
      <c r="F30" s="347"/>
      <c r="G30" s="313" t="s">
        <v>126</v>
      </c>
      <c r="H30" s="45"/>
      <c r="I30" s="59"/>
      <c r="J30" s="59"/>
      <c r="K30" s="59"/>
      <c r="L30" s="59"/>
      <c r="M30" s="59"/>
      <c r="N30" s="59"/>
      <c r="O30" s="59"/>
      <c r="P30" s="59"/>
      <c r="Q30" s="56">
        <f t="shared" si="16"/>
        <v>0</v>
      </c>
      <c r="R30" s="56">
        <f t="shared" si="3"/>
        <v>0</v>
      </c>
      <c r="S30" s="59"/>
      <c r="T30" s="59"/>
      <c r="U30" s="56">
        <f t="shared" si="17"/>
        <v>0</v>
      </c>
      <c r="V30" s="56">
        <f t="shared" si="5"/>
        <v>0</v>
      </c>
      <c r="W30" s="36"/>
      <c r="X30" s="9"/>
      <c r="Y30" s="9"/>
      <c r="Z30" s="9"/>
      <c r="AA30" s="9"/>
      <c r="AB30" s="9"/>
      <c r="AC30" s="9"/>
      <c r="AD30" s="9"/>
      <c r="AE30" s="9"/>
      <c r="AF30" s="9"/>
      <c r="AG30" s="9"/>
    </row>
    <row r="31" spans="1:33" x14ac:dyDescent="0.2">
      <c r="A31" s="346" t="s">
        <v>76</v>
      </c>
      <c r="B31" s="640" t="s">
        <v>982</v>
      </c>
      <c r="C31" s="640"/>
      <c r="D31" s="640"/>
      <c r="E31" s="640"/>
      <c r="F31" s="640"/>
      <c r="G31" s="313" t="s">
        <v>127</v>
      </c>
      <c r="H31" s="45"/>
      <c r="I31" s="59"/>
      <c r="J31" s="59"/>
      <c r="K31" s="59"/>
      <c r="L31" s="59"/>
      <c r="M31" s="59"/>
      <c r="N31" s="59"/>
      <c r="O31" s="59"/>
      <c r="P31" s="59"/>
      <c r="Q31" s="56">
        <f t="shared" si="16"/>
        <v>0</v>
      </c>
      <c r="R31" s="56">
        <f t="shared" si="3"/>
        <v>0</v>
      </c>
      <c r="S31" s="59"/>
      <c r="T31" s="59"/>
      <c r="U31" s="56">
        <f t="shared" si="17"/>
        <v>0</v>
      </c>
      <c r="V31" s="56">
        <f t="shared" si="5"/>
        <v>0</v>
      </c>
      <c r="W31" s="36"/>
      <c r="X31" s="9"/>
      <c r="Y31" s="9"/>
      <c r="Z31" s="9"/>
      <c r="AA31" s="9"/>
      <c r="AB31" s="9"/>
      <c r="AC31" s="9"/>
      <c r="AD31" s="9"/>
      <c r="AE31" s="9"/>
      <c r="AF31" s="9"/>
      <c r="AG31" s="9"/>
    </row>
    <row r="32" spans="1:33" x14ac:dyDescent="0.2">
      <c r="A32" s="346" t="s">
        <v>79</v>
      </c>
      <c r="B32" s="312" t="s">
        <v>1467</v>
      </c>
      <c r="C32" s="312"/>
      <c r="D32" s="312"/>
      <c r="E32" s="312"/>
      <c r="F32" s="347"/>
      <c r="G32" s="313" t="s">
        <v>128</v>
      </c>
      <c r="H32" s="45"/>
      <c r="I32" s="57">
        <f>I33+I34+I37+I38</f>
        <v>0</v>
      </c>
      <c r="J32" s="57">
        <f t="shared" ref="J32:P32" si="19">J33+J34+J37+J38</f>
        <v>0</v>
      </c>
      <c r="K32" s="57">
        <f t="shared" si="19"/>
        <v>0</v>
      </c>
      <c r="L32" s="57">
        <f t="shared" si="19"/>
        <v>0</v>
      </c>
      <c r="M32" s="57">
        <f t="shared" si="19"/>
        <v>0</v>
      </c>
      <c r="N32" s="57">
        <f t="shared" si="19"/>
        <v>0</v>
      </c>
      <c r="O32" s="57">
        <f t="shared" si="19"/>
        <v>0</v>
      </c>
      <c r="P32" s="57">
        <f t="shared" si="19"/>
        <v>0</v>
      </c>
      <c r="Q32" s="56">
        <f t="shared" si="16"/>
        <v>0</v>
      </c>
      <c r="R32" s="56">
        <f t="shared" si="3"/>
        <v>0</v>
      </c>
      <c r="S32" s="57">
        <f>S33+S34+S37+S38</f>
        <v>0</v>
      </c>
      <c r="T32" s="57">
        <f>T33+T34+T37+T38</f>
        <v>0</v>
      </c>
      <c r="U32" s="56">
        <f t="shared" si="17"/>
        <v>0</v>
      </c>
      <c r="V32" s="56">
        <f t="shared" si="5"/>
        <v>0</v>
      </c>
      <c r="W32" s="36"/>
      <c r="X32" s="9"/>
      <c r="Y32" s="9"/>
      <c r="Z32" s="9"/>
      <c r="AA32" s="9"/>
      <c r="AB32" s="9"/>
      <c r="AC32" s="9"/>
      <c r="AD32" s="9"/>
      <c r="AE32" s="9"/>
      <c r="AF32" s="9"/>
      <c r="AG32" s="9"/>
    </row>
    <row r="33" spans="1:39" x14ac:dyDescent="0.2">
      <c r="A33" s="346"/>
      <c r="B33" s="312" t="s">
        <v>59</v>
      </c>
      <c r="C33" s="312" t="s">
        <v>82</v>
      </c>
      <c r="D33" s="312"/>
      <c r="E33" s="312"/>
      <c r="F33" s="347"/>
      <c r="G33" s="313" t="s">
        <v>129</v>
      </c>
      <c r="H33" s="45"/>
      <c r="I33" s="59"/>
      <c r="J33" s="59"/>
      <c r="K33" s="59"/>
      <c r="L33" s="59"/>
      <c r="M33" s="59"/>
      <c r="N33" s="59"/>
      <c r="O33" s="59"/>
      <c r="P33" s="59"/>
      <c r="Q33" s="56">
        <f t="shared" si="16"/>
        <v>0</v>
      </c>
      <c r="R33" s="56">
        <f t="shared" si="3"/>
        <v>0</v>
      </c>
      <c r="S33" s="59"/>
      <c r="T33" s="59"/>
      <c r="U33" s="56">
        <f t="shared" si="17"/>
        <v>0</v>
      </c>
      <c r="V33" s="56">
        <f t="shared" si="5"/>
        <v>0</v>
      </c>
      <c r="W33" s="36"/>
      <c r="X33" s="9"/>
      <c r="Y33" s="9"/>
      <c r="Z33" s="9"/>
      <c r="AA33" s="9"/>
      <c r="AB33" s="9"/>
      <c r="AC33" s="9"/>
      <c r="AD33" s="9"/>
      <c r="AE33" s="9"/>
      <c r="AF33" s="9"/>
      <c r="AG33" s="9"/>
    </row>
    <row r="34" spans="1:39" x14ac:dyDescent="0.2">
      <c r="A34" s="346"/>
      <c r="B34" s="312" t="s">
        <v>61</v>
      </c>
      <c r="C34" s="662" t="s">
        <v>1457</v>
      </c>
      <c r="D34" s="662"/>
      <c r="E34" s="662"/>
      <c r="F34" s="663"/>
      <c r="G34" s="313" t="s">
        <v>130</v>
      </c>
      <c r="H34" s="45"/>
      <c r="I34" s="57">
        <f>I35+I36</f>
        <v>0</v>
      </c>
      <c r="J34" s="57">
        <f t="shared" ref="J34:P34" si="20">J35+J36</f>
        <v>0</v>
      </c>
      <c r="K34" s="57">
        <f t="shared" si="20"/>
        <v>0</v>
      </c>
      <c r="L34" s="57">
        <f t="shared" si="20"/>
        <v>0</v>
      </c>
      <c r="M34" s="57">
        <f t="shared" si="20"/>
        <v>0</v>
      </c>
      <c r="N34" s="57">
        <f t="shared" si="20"/>
        <v>0</v>
      </c>
      <c r="O34" s="57">
        <f t="shared" si="20"/>
        <v>0</v>
      </c>
      <c r="P34" s="57">
        <f t="shared" si="20"/>
        <v>0</v>
      </c>
      <c r="Q34" s="57">
        <f t="shared" si="16"/>
        <v>0</v>
      </c>
      <c r="R34" s="57">
        <f>P34+N34+L34+J34</f>
        <v>0</v>
      </c>
      <c r="S34" s="57">
        <f>S35+S36</f>
        <v>0</v>
      </c>
      <c r="T34" s="57">
        <f>T35+T36</f>
        <v>0</v>
      </c>
      <c r="U34" s="57">
        <f t="shared" si="17"/>
        <v>0</v>
      </c>
      <c r="V34" s="57">
        <f>R34-T34</f>
        <v>0</v>
      </c>
      <c r="W34" s="37"/>
      <c r="X34" s="22"/>
      <c r="Y34" s="22"/>
      <c r="Z34" s="22"/>
      <c r="AA34" s="22"/>
      <c r="AB34" s="22"/>
      <c r="AC34" s="22"/>
      <c r="AD34" s="22"/>
      <c r="AE34" s="22"/>
      <c r="AF34" s="22"/>
      <c r="AG34" s="22"/>
      <c r="AH34" s="21"/>
      <c r="AI34" s="21"/>
      <c r="AJ34" s="21"/>
      <c r="AK34" s="21"/>
      <c r="AL34" s="21"/>
      <c r="AM34" s="21"/>
    </row>
    <row r="35" spans="1:39" x14ac:dyDescent="0.2">
      <c r="A35" s="617"/>
      <c r="B35" s="556"/>
      <c r="C35" s="312" t="s">
        <v>54</v>
      </c>
      <c r="D35" s="312" t="s">
        <v>83</v>
      </c>
      <c r="E35" s="312"/>
      <c r="F35" s="312"/>
      <c r="G35" s="618" t="s">
        <v>1463</v>
      </c>
      <c r="H35" s="45"/>
      <c r="I35" s="59"/>
      <c r="J35" s="59"/>
      <c r="K35" s="59"/>
      <c r="L35" s="59"/>
      <c r="M35" s="59"/>
      <c r="N35" s="59"/>
      <c r="O35" s="59"/>
      <c r="P35" s="59"/>
      <c r="Q35" s="56">
        <f t="shared" si="16"/>
        <v>0</v>
      </c>
      <c r="R35" s="56">
        <f>P35+N35+L35+J35</f>
        <v>0</v>
      </c>
      <c r="S35" s="59"/>
      <c r="T35" s="59"/>
      <c r="U35" s="56">
        <f t="shared" si="17"/>
        <v>0</v>
      </c>
      <c r="V35" s="56">
        <f>R35-T35</f>
        <v>0</v>
      </c>
      <c r="W35" s="37"/>
      <c r="X35" s="22"/>
      <c r="Y35" s="22"/>
      <c r="Z35" s="22"/>
      <c r="AA35" s="22"/>
      <c r="AB35" s="22"/>
      <c r="AC35" s="22"/>
      <c r="AD35" s="22"/>
      <c r="AE35" s="22"/>
      <c r="AF35" s="22"/>
      <c r="AG35" s="22"/>
      <c r="AH35" s="21"/>
      <c r="AI35" s="21"/>
      <c r="AJ35" s="21"/>
      <c r="AK35" s="21"/>
      <c r="AL35" s="21"/>
      <c r="AM35" s="21"/>
    </row>
    <row r="36" spans="1:39" x14ac:dyDescent="0.2">
      <c r="A36" s="617"/>
      <c r="B36" s="556"/>
      <c r="C36" s="312" t="s">
        <v>55</v>
      </c>
      <c r="D36" s="312" t="s">
        <v>1458</v>
      </c>
      <c r="E36" s="312"/>
      <c r="F36" s="312"/>
      <c r="G36" s="618" t="s">
        <v>1464</v>
      </c>
      <c r="H36" s="45"/>
      <c r="I36" s="59"/>
      <c r="J36" s="59"/>
      <c r="K36" s="59"/>
      <c r="L36" s="59"/>
      <c r="M36" s="59"/>
      <c r="N36" s="59"/>
      <c r="O36" s="59"/>
      <c r="P36" s="59"/>
      <c r="Q36" s="56">
        <f t="shared" si="16"/>
        <v>0</v>
      </c>
      <c r="R36" s="56">
        <f>P36+N36+L36+J36</f>
        <v>0</v>
      </c>
      <c r="S36" s="59"/>
      <c r="T36" s="59"/>
      <c r="U36" s="56">
        <f t="shared" si="17"/>
        <v>0</v>
      </c>
      <c r="V36" s="56">
        <f>R36-T36</f>
        <v>0</v>
      </c>
      <c r="W36" s="37"/>
      <c r="X36" s="22"/>
      <c r="Y36" s="22"/>
      <c r="Z36" s="22"/>
      <c r="AA36" s="22"/>
      <c r="AB36" s="22"/>
      <c r="AC36" s="22"/>
      <c r="AD36" s="22"/>
      <c r="AE36" s="22"/>
      <c r="AF36" s="22"/>
      <c r="AG36" s="22"/>
      <c r="AH36" s="21"/>
      <c r="AI36" s="21"/>
      <c r="AJ36" s="21"/>
      <c r="AK36" s="21"/>
      <c r="AL36" s="21"/>
      <c r="AM36" s="21"/>
    </row>
    <row r="37" spans="1:39" x14ac:dyDescent="0.2">
      <c r="A37" s="346"/>
      <c r="B37" s="3" t="s">
        <v>1434</v>
      </c>
      <c r="C37" s="3" t="s">
        <v>1468</v>
      </c>
      <c r="D37" s="3"/>
      <c r="E37" s="3"/>
      <c r="F37" s="3"/>
      <c r="G37" s="416" t="s">
        <v>1439</v>
      </c>
      <c r="H37" s="45"/>
      <c r="I37" s="59"/>
      <c r="J37" s="59"/>
      <c r="K37" s="59"/>
      <c r="L37" s="59"/>
      <c r="M37" s="59"/>
      <c r="N37" s="59"/>
      <c r="O37" s="59"/>
      <c r="P37" s="59"/>
      <c r="Q37" s="56">
        <f t="shared" si="16"/>
        <v>0</v>
      </c>
      <c r="R37" s="56">
        <f>P37+N37+L37+J37</f>
        <v>0</v>
      </c>
      <c r="S37" s="59"/>
      <c r="T37" s="59"/>
      <c r="U37" s="56">
        <f t="shared" si="17"/>
        <v>0</v>
      </c>
      <c r="V37" s="56">
        <f>R37-T37</f>
        <v>0</v>
      </c>
      <c r="W37" s="37"/>
      <c r="X37" s="22"/>
      <c r="Y37" s="22"/>
      <c r="Z37" s="22"/>
      <c r="AA37" s="22"/>
      <c r="AB37" s="22"/>
      <c r="AC37" s="22"/>
      <c r="AD37" s="22"/>
      <c r="AE37" s="22"/>
      <c r="AF37" s="22"/>
      <c r="AG37" s="22"/>
      <c r="AH37" s="21"/>
      <c r="AI37" s="21"/>
      <c r="AJ37" s="21"/>
      <c r="AK37" s="21"/>
      <c r="AL37" s="21"/>
      <c r="AM37" s="21"/>
    </row>
    <row r="38" spans="1:39" x14ac:dyDescent="0.2">
      <c r="A38" s="346"/>
      <c r="B38" s="312" t="s">
        <v>1433</v>
      </c>
      <c r="C38" s="312" t="s">
        <v>52</v>
      </c>
      <c r="D38" s="312"/>
      <c r="E38" s="312"/>
      <c r="F38" s="347"/>
      <c r="G38" s="313" t="s">
        <v>131</v>
      </c>
      <c r="H38" s="45"/>
      <c r="I38" s="59"/>
      <c r="J38" s="59"/>
      <c r="K38" s="59"/>
      <c r="L38" s="59"/>
      <c r="M38" s="59"/>
      <c r="N38" s="59"/>
      <c r="O38" s="59"/>
      <c r="P38" s="59"/>
      <c r="Q38" s="56">
        <f t="shared" si="16"/>
        <v>0</v>
      </c>
      <c r="R38" s="56">
        <f t="shared" si="3"/>
        <v>0</v>
      </c>
      <c r="S38" s="59"/>
      <c r="T38" s="59"/>
      <c r="U38" s="56">
        <f t="shared" si="17"/>
        <v>0</v>
      </c>
      <c r="V38" s="56">
        <f t="shared" si="5"/>
        <v>0</v>
      </c>
      <c r="W38" s="37"/>
      <c r="X38" s="22"/>
      <c r="Y38" s="22"/>
      <c r="Z38" s="22"/>
      <c r="AA38" s="22"/>
      <c r="AB38" s="22"/>
      <c r="AC38" s="22"/>
      <c r="AD38" s="22"/>
      <c r="AE38" s="22"/>
      <c r="AF38" s="22"/>
      <c r="AG38" s="22"/>
      <c r="AH38" s="21"/>
      <c r="AI38" s="21"/>
      <c r="AJ38" s="21"/>
      <c r="AK38" s="21"/>
      <c r="AL38" s="21"/>
      <c r="AM38" s="21"/>
    </row>
    <row r="39" spans="1:39" x14ac:dyDescent="0.2">
      <c r="A39" s="346" t="s">
        <v>81</v>
      </c>
      <c r="B39" s="312" t="s">
        <v>85</v>
      </c>
      <c r="C39" s="312"/>
      <c r="D39" s="312"/>
      <c r="E39" s="312"/>
      <c r="F39" s="347"/>
      <c r="G39" s="313" t="s">
        <v>132</v>
      </c>
      <c r="H39" s="45"/>
      <c r="I39" s="59"/>
      <c r="J39" s="59"/>
      <c r="K39" s="59"/>
      <c r="L39" s="59"/>
      <c r="M39" s="59"/>
      <c r="N39" s="59"/>
      <c r="O39" s="59"/>
      <c r="P39" s="59"/>
      <c r="Q39" s="56">
        <f t="shared" si="16"/>
        <v>0</v>
      </c>
      <c r="R39" s="56">
        <f t="shared" si="3"/>
        <v>0</v>
      </c>
      <c r="S39" s="59"/>
      <c r="T39" s="59"/>
      <c r="U39" s="56">
        <f t="shared" si="17"/>
        <v>0</v>
      </c>
      <c r="V39" s="56">
        <f t="shared" si="5"/>
        <v>0</v>
      </c>
      <c r="W39" s="37"/>
      <c r="X39" s="22"/>
      <c r="Y39" s="22"/>
      <c r="Z39" s="22"/>
      <c r="AA39" s="22"/>
      <c r="AB39" s="22"/>
      <c r="AC39" s="22"/>
      <c r="AD39" s="22"/>
      <c r="AE39" s="22"/>
      <c r="AF39" s="22"/>
      <c r="AG39" s="22"/>
      <c r="AH39" s="21"/>
      <c r="AI39" s="21"/>
      <c r="AJ39" s="21"/>
      <c r="AK39" s="21"/>
      <c r="AL39" s="21"/>
      <c r="AM39" s="21"/>
    </row>
    <row r="40" spans="1:39" x14ac:dyDescent="0.2">
      <c r="A40" s="223" t="s">
        <v>86</v>
      </c>
      <c r="B40" s="312"/>
      <c r="C40" s="312"/>
      <c r="D40" s="312"/>
      <c r="E40" s="312"/>
      <c r="F40" s="347"/>
      <c r="G40" s="313" t="s">
        <v>133</v>
      </c>
      <c r="H40" s="45"/>
      <c r="I40" s="57">
        <f t="shared" ref="I40:P40" si="21">I41+I42+I43+I44</f>
        <v>0</v>
      </c>
      <c r="J40" s="57">
        <f t="shared" si="21"/>
        <v>0</v>
      </c>
      <c r="K40" s="57">
        <f t="shared" si="21"/>
        <v>0</v>
      </c>
      <c r="L40" s="57">
        <f t="shared" si="21"/>
        <v>0</v>
      </c>
      <c r="M40" s="57">
        <f t="shared" si="21"/>
        <v>0</v>
      </c>
      <c r="N40" s="57">
        <f t="shared" si="21"/>
        <v>0</v>
      </c>
      <c r="O40" s="57">
        <f t="shared" si="21"/>
        <v>0</v>
      </c>
      <c r="P40" s="57">
        <f t="shared" si="21"/>
        <v>0</v>
      </c>
      <c r="Q40" s="56">
        <f t="shared" si="16"/>
        <v>0</v>
      </c>
      <c r="R40" s="56">
        <f t="shared" si="3"/>
        <v>0</v>
      </c>
      <c r="S40" s="57">
        <f>S41+S42+S43+S44</f>
        <v>0</v>
      </c>
      <c r="T40" s="57">
        <f>T41+T42+T43+T44</f>
        <v>0</v>
      </c>
      <c r="U40" s="56">
        <f t="shared" si="17"/>
        <v>0</v>
      </c>
      <c r="V40" s="56">
        <f t="shared" si="5"/>
        <v>0</v>
      </c>
      <c r="W40" s="37"/>
      <c r="X40" s="22"/>
      <c r="Y40" s="22"/>
      <c r="Z40" s="22"/>
      <c r="AA40" s="22"/>
      <c r="AB40" s="22"/>
      <c r="AC40" s="22"/>
      <c r="AD40" s="22"/>
      <c r="AE40" s="22"/>
      <c r="AF40" s="22"/>
      <c r="AG40" s="22"/>
      <c r="AH40" s="21"/>
      <c r="AI40" s="21"/>
      <c r="AJ40" s="21"/>
      <c r="AK40" s="21"/>
      <c r="AL40" s="21"/>
      <c r="AM40" s="21"/>
    </row>
    <row r="41" spans="1:39" x14ac:dyDescent="0.2">
      <c r="A41" s="348" t="s">
        <v>54</v>
      </c>
      <c r="B41" s="225" t="s">
        <v>87</v>
      </c>
      <c r="C41" s="312"/>
      <c r="D41" s="312"/>
      <c r="E41" s="312"/>
      <c r="F41" s="347"/>
      <c r="G41" s="313" t="s">
        <v>134</v>
      </c>
      <c r="H41" s="45"/>
      <c r="I41" s="59"/>
      <c r="J41" s="59"/>
      <c r="K41" s="59"/>
      <c r="L41" s="59"/>
      <c r="M41" s="59"/>
      <c r="N41" s="59"/>
      <c r="O41" s="59"/>
      <c r="P41" s="59"/>
      <c r="Q41" s="56">
        <f t="shared" si="16"/>
        <v>0</v>
      </c>
      <c r="R41" s="56">
        <f t="shared" si="3"/>
        <v>0</v>
      </c>
      <c r="S41" s="59"/>
      <c r="T41" s="59"/>
      <c r="U41" s="56">
        <f t="shared" si="17"/>
        <v>0</v>
      </c>
      <c r="V41" s="56">
        <f t="shared" si="5"/>
        <v>0</v>
      </c>
      <c r="W41" s="37"/>
      <c r="X41" s="22"/>
      <c r="Y41" s="22"/>
      <c r="Z41" s="22"/>
      <c r="AA41" s="22"/>
      <c r="AB41" s="22"/>
      <c r="AC41" s="22"/>
      <c r="AD41" s="22"/>
      <c r="AE41" s="22"/>
      <c r="AF41" s="22"/>
      <c r="AG41" s="22"/>
      <c r="AH41" s="21"/>
      <c r="AI41" s="21"/>
      <c r="AJ41" s="21"/>
      <c r="AK41" s="21"/>
      <c r="AL41" s="21"/>
      <c r="AM41" s="21"/>
    </row>
    <row r="42" spans="1:39" x14ac:dyDescent="0.2">
      <c r="A42" s="348" t="s">
        <v>55</v>
      </c>
      <c r="B42" s="225" t="s">
        <v>88</v>
      </c>
      <c r="C42" s="312"/>
      <c r="D42" s="312"/>
      <c r="E42" s="312"/>
      <c r="F42" s="347"/>
      <c r="G42" s="313" t="s">
        <v>135</v>
      </c>
      <c r="H42" s="45"/>
      <c r="I42" s="59"/>
      <c r="J42" s="59"/>
      <c r="K42" s="59"/>
      <c r="L42" s="59"/>
      <c r="M42" s="59"/>
      <c r="N42" s="59"/>
      <c r="O42" s="59"/>
      <c r="P42" s="59"/>
      <c r="Q42" s="56">
        <f t="shared" si="16"/>
        <v>0</v>
      </c>
      <c r="R42" s="56">
        <f t="shared" si="3"/>
        <v>0</v>
      </c>
      <c r="S42" s="59"/>
      <c r="T42" s="59"/>
      <c r="U42" s="56">
        <f t="shared" si="17"/>
        <v>0</v>
      </c>
      <c r="V42" s="56">
        <f t="shared" si="5"/>
        <v>0</v>
      </c>
      <c r="W42" s="37"/>
      <c r="X42" s="22"/>
      <c r="Y42" s="22"/>
      <c r="Z42" s="22"/>
      <c r="AA42" s="22"/>
      <c r="AB42" s="22"/>
      <c r="AC42" s="22"/>
      <c r="AD42" s="22"/>
      <c r="AE42" s="22"/>
      <c r="AF42" s="22"/>
      <c r="AG42" s="22"/>
      <c r="AH42" s="21"/>
      <c r="AI42" s="21"/>
      <c r="AJ42" s="21"/>
      <c r="AK42" s="21"/>
      <c r="AL42" s="21"/>
      <c r="AM42" s="21"/>
    </row>
    <row r="43" spans="1:39" x14ac:dyDescent="0.2">
      <c r="A43" s="348" t="s">
        <v>65</v>
      </c>
      <c r="B43" s="312" t="s">
        <v>89</v>
      </c>
      <c r="C43" s="312"/>
      <c r="D43" s="312"/>
      <c r="E43" s="312"/>
      <c r="F43" s="347"/>
      <c r="G43" s="313" t="s">
        <v>136</v>
      </c>
      <c r="H43" s="45"/>
      <c r="I43" s="59"/>
      <c r="J43" s="59"/>
      <c r="K43" s="59"/>
      <c r="L43" s="59"/>
      <c r="M43" s="59"/>
      <c r="N43" s="59"/>
      <c r="O43" s="59"/>
      <c r="P43" s="59"/>
      <c r="Q43" s="56">
        <f t="shared" si="16"/>
        <v>0</v>
      </c>
      <c r="R43" s="56">
        <f t="shared" si="3"/>
        <v>0</v>
      </c>
      <c r="S43" s="59"/>
      <c r="T43" s="59"/>
      <c r="U43" s="56">
        <f t="shared" si="17"/>
        <v>0</v>
      </c>
      <c r="V43" s="56">
        <f t="shared" si="5"/>
        <v>0</v>
      </c>
      <c r="W43" s="37"/>
      <c r="X43" s="22"/>
      <c r="Y43" s="22"/>
      <c r="Z43" s="22"/>
      <c r="AA43" s="22"/>
      <c r="AB43" s="22"/>
      <c r="AC43" s="22"/>
      <c r="AD43" s="22"/>
      <c r="AE43" s="22"/>
      <c r="AF43" s="22"/>
      <c r="AG43" s="22"/>
      <c r="AH43" s="21"/>
      <c r="AI43" s="21"/>
      <c r="AJ43" s="21"/>
      <c r="AK43" s="21"/>
      <c r="AL43" s="21"/>
      <c r="AM43" s="21"/>
    </row>
    <row r="44" spans="1:39" x14ac:dyDescent="0.2">
      <c r="A44" s="348" t="s">
        <v>90</v>
      </c>
      <c r="B44" s="312" t="s">
        <v>91</v>
      </c>
      <c r="C44" s="312"/>
      <c r="D44" s="312"/>
      <c r="E44" s="312"/>
      <c r="F44" s="347"/>
      <c r="G44" s="313" t="s">
        <v>137</v>
      </c>
      <c r="H44" s="45"/>
      <c r="I44" s="59"/>
      <c r="J44" s="59"/>
      <c r="K44" s="59"/>
      <c r="L44" s="59"/>
      <c r="M44" s="59"/>
      <c r="N44" s="59"/>
      <c r="O44" s="59"/>
      <c r="P44" s="59"/>
      <c r="Q44" s="56">
        <f t="shared" si="16"/>
        <v>0</v>
      </c>
      <c r="R44" s="56">
        <f t="shared" si="3"/>
        <v>0</v>
      </c>
      <c r="S44" s="59"/>
      <c r="T44" s="59"/>
      <c r="U44" s="56">
        <f t="shared" si="17"/>
        <v>0</v>
      </c>
      <c r="V44" s="56">
        <f t="shared" si="5"/>
        <v>0</v>
      </c>
      <c r="W44" s="37"/>
      <c r="X44" s="22"/>
      <c r="Y44" s="22"/>
      <c r="Z44" s="22"/>
      <c r="AA44" s="22"/>
      <c r="AB44" s="22"/>
      <c r="AC44" s="22"/>
      <c r="AD44" s="22"/>
      <c r="AE44" s="22"/>
      <c r="AF44" s="22"/>
      <c r="AG44" s="22"/>
      <c r="AH44" s="21"/>
      <c r="AI44" s="21"/>
      <c r="AJ44" s="21"/>
      <c r="AK44" s="21"/>
      <c r="AL44" s="21"/>
      <c r="AM44" s="21"/>
    </row>
    <row r="45" spans="1:39" s="21" customFormat="1" x14ac:dyDescent="0.2">
      <c r="A45" s="643" t="s">
        <v>104</v>
      </c>
      <c r="B45" s="684"/>
      <c r="C45" s="684"/>
      <c r="D45" s="684"/>
      <c r="E45" s="684"/>
      <c r="F45" s="685"/>
      <c r="G45" s="313" t="s">
        <v>138</v>
      </c>
      <c r="H45" s="115"/>
      <c r="I45" s="205">
        <f t="shared" ref="I45:P45" si="22">I40+I10</f>
        <v>0</v>
      </c>
      <c r="J45" s="205">
        <f t="shared" si="22"/>
        <v>0</v>
      </c>
      <c r="K45" s="205">
        <f t="shared" si="22"/>
        <v>0</v>
      </c>
      <c r="L45" s="205">
        <f t="shared" si="22"/>
        <v>0</v>
      </c>
      <c r="M45" s="205">
        <f t="shared" si="22"/>
        <v>0</v>
      </c>
      <c r="N45" s="205">
        <f t="shared" si="22"/>
        <v>0</v>
      </c>
      <c r="O45" s="205">
        <f t="shared" si="22"/>
        <v>0</v>
      </c>
      <c r="P45" s="205">
        <f t="shared" si="22"/>
        <v>0</v>
      </c>
      <c r="Q45" s="56">
        <f t="shared" si="16"/>
        <v>0</v>
      </c>
      <c r="R45" s="56">
        <f t="shared" si="3"/>
        <v>0</v>
      </c>
      <c r="S45" s="205">
        <f>S40+S10</f>
        <v>0</v>
      </c>
      <c r="T45" s="205">
        <f>T40+T10</f>
        <v>0</v>
      </c>
      <c r="U45" s="56">
        <f t="shared" si="17"/>
        <v>0</v>
      </c>
      <c r="V45" s="56">
        <f t="shared" si="5"/>
        <v>0</v>
      </c>
      <c r="W45" s="37"/>
      <c r="X45" s="22"/>
      <c r="Y45" s="22"/>
      <c r="Z45" s="22"/>
      <c r="AA45" s="22"/>
      <c r="AB45" s="22"/>
      <c r="AC45" s="22"/>
      <c r="AD45" s="22"/>
      <c r="AE45" s="22"/>
      <c r="AF45" s="22"/>
      <c r="AG45" s="22"/>
    </row>
    <row r="46" spans="1:39" s="21" customFormat="1" x14ac:dyDescent="0.2">
      <c r="A46" s="328" t="s">
        <v>644</v>
      </c>
      <c r="B46" s="329"/>
      <c r="C46" s="329"/>
      <c r="D46" s="330"/>
      <c r="E46" s="329"/>
      <c r="F46" s="331"/>
      <c r="G46" s="350"/>
      <c r="H46" s="19"/>
      <c r="I46" s="84"/>
      <c r="J46" s="84"/>
      <c r="K46" s="84"/>
      <c r="L46" s="84"/>
      <c r="M46" s="84"/>
      <c r="N46" s="84"/>
      <c r="O46" s="84"/>
      <c r="P46" s="84"/>
      <c r="Q46" s="19"/>
      <c r="R46" s="19"/>
      <c r="S46" s="19"/>
      <c r="T46" s="19"/>
      <c r="U46" s="19"/>
      <c r="V46" s="19"/>
      <c r="W46" s="22"/>
      <c r="X46" s="22"/>
      <c r="Y46" s="22"/>
      <c r="Z46" s="22"/>
      <c r="AA46" s="22"/>
      <c r="AB46" s="22"/>
      <c r="AC46" s="22"/>
      <c r="AD46" s="22"/>
      <c r="AE46" s="22"/>
      <c r="AF46" s="22"/>
      <c r="AG46" s="22"/>
    </row>
    <row r="47" spans="1:39" s="21" customFormat="1" x14ac:dyDescent="0.2">
      <c r="A47" s="333" t="s">
        <v>161</v>
      </c>
      <c r="B47" s="303" t="s">
        <v>68</v>
      </c>
      <c r="C47" s="303"/>
      <c r="D47" s="303"/>
      <c r="E47" s="303"/>
      <c r="F47" s="334"/>
      <c r="G47" s="351" t="s">
        <v>642</v>
      </c>
      <c r="H47" s="260"/>
      <c r="I47" s="59"/>
      <c r="J47" s="59"/>
      <c r="K47" s="59"/>
      <c r="L47" s="59"/>
      <c r="M47" s="59"/>
      <c r="N47" s="59"/>
      <c r="O47" s="59"/>
      <c r="P47" s="59"/>
      <c r="Q47" s="56">
        <f>O47+M47+K47+I47</f>
        <v>0</v>
      </c>
      <c r="R47" s="56">
        <f>P47+N47+L47+J47</f>
        <v>0</v>
      </c>
      <c r="S47" s="59"/>
      <c r="T47" s="59"/>
      <c r="U47" s="56">
        <f>Q47-S47</f>
        <v>0</v>
      </c>
      <c r="V47" s="56">
        <f>R47-T47</f>
        <v>0</v>
      </c>
      <c r="W47" s="22"/>
      <c r="X47" s="22"/>
      <c r="Y47" s="22"/>
      <c r="Z47" s="22"/>
      <c r="AA47" s="22"/>
      <c r="AB47" s="22"/>
      <c r="AC47" s="22"/>
      <c r="AD47" s="22"/>
      <c r="AE47" s="22"/>
      <c r="AF47" s="22"/>
      <c r="AG47" s="22"/>
    </row>
    <row r="48" spans="1:39" s="21" customFormat="1" x14ac:dyDescent="0.2">
      <c r="A48" s="333" t="s">
        <v>164</v>
      </c>
      <c r="B48" s="303" t="s">
        <v>70</v>
      </c>
      <c r="C48" s="303"/>
      <c r="D48" s="303"/>
      <c r="E48" s="303"/>
      <c r="F48" s="334"/>
      <c r="G48" s="351" t="s">
        <v>643</v>
      </c>
      <c r="H48" s="260"/>
      <c r="I48" s="59"/>
      <c r="J48" s="59"/>
      <c r="K48" s="59"/>
      <c r="L48" s="59"/>
      <c r="M48" s="59"/>
      <c r="N48" s="59"/>
      <c r="O48" s="59"/>
      <c r="P48" s="59"/>
      <c r="Q48" s="56">
        <f>O48+M48+K48+I48</f>
        <v>0</v>
      </c>
      <c r="R48" s="56">
        <f>P48+N48+L48+J48</f>
        <v>0</v>
      </c>
      <c r="S48" s="59"/>
      <c r="T48" s="59"/>
      <c r="U48" s="56">
        <f>Q48-S48</f>
        <v>0</v>
      </c>
      <c r="V48" s="56">
        <f>R48-T48</f>
        <v>0</v>
      </c>
      <c r="W48" s="22"/>
      <c r="X48" s="22"/>
      <c r="Y48" s="22"/>
      <c r="Z48" s="22"/>
      <c r="AA48" s="22"/>
      <c r="AB48" s="22"/>
      <c r="AC48" s="22"/>
      <c r="AD48" s="22"/>
      <c r="AE48" s="22"/>
      <c r="AF48" s="22"/>
      <c r="AG48" s="22"/>
    </row>
    <row r="49" spans="7:33" x14ac:dyDescent="0.2">
      <c r="G49" s="230" t="s">
        <v>108</v>
      </c>
      <c r="I49" s="42"/>
      <c r="J49" s="42"/>
      <c r="K49" s="42"/>
      <c r="L49" s="42"/>
      <c r="M49" s="42"/>
      <c r="N49" s="42"/>
      <c r="O49" s="42"/>
      <c r="P49" s="42"/>
      <c r="Q49" s="42"/>
      <c r="R49" s="42"/>
      <c r="S49" s="42"/>
      <c r="T49" s="42"/>
      <c r="U49" s="42"/>
      <c r="V49" s="42"/>
      <c r="W49" s="9"/>
      <c r="X49" s="9"/>
      <c r="Y49" s="9"/>
      <c r="Z49" s="9"/>
      <c r="AA49" s="9"/>
      <c r="AB49" s="9"/>
      <c r="AC49" s="9"/>
      <c r="AD49" s="9"/>
      <c r="AE49" s="9"/>
      <c r="AF49" s="9"/>
      <c r="AG49" s="9"/>
    </row>
  </sheetData>
  <sheetProtection password="FEFA" sheet="1" objects="1" scenarios="1" selectLockedCells="1"/>
  <mergeCells count="25">
    <mergeCell ref="I5:J5"/>
    <mergeCell ref="Q6:R8"/>
    <mergeCell ref="M7:N8"/>
    <mergeCell ref="O7:P8"/>
    <mergeCell ref="M6:P6"/>
    <mergeCell ref="A1:V1"/>
    <mergeCell ref="A2:V2"/>
    <mergeCell ref="A3:V3"/>
    <mergeCell ref="S5:T5"/>
    <mergeCell ref="U5:V5"/>
    <mergeCell ref="K5:L5"/>
    <mergeCell ref="Q5:R5"/>
    <mergeCell ref="G5:G9"/>
    <mergeCell ref="S6:T8"/>
    <mergeCell ref="I6:J8"/>
    <mergeCell ref="U6:V8"/>
    <mergeCell ref="A45:F45"/>
    <mergeCell ref="B31:F31"/>
    <mergeCell ref="A5:F9"/>
    <mergeCell ref="M5:N5"/>
    <mergeCell ref="O5:P5"/>
    <mergeCell ref="C22:F22"/>
    <mergeCell ref="C23:F23"/>
    <mergeCell ref="C34:F34"/>
    <mergeCell ref="K6:L8"/>
  </mergeCells>
  <phoneticPr fontId="2" type="noConversion"/>
  <dataValidations count="1">
    <dataValidation type="decimal" allowBlank="1" showInputMessage="1" showErrorMessage="1" sqref="I25:P27 I29:P31 I41:P44 S25:T27 S29:T31 S22:T23 S41:T44 I19:P20 S15:T17 S12:T13 S47:T48 I15:P17 I12:P13 I47:P48 S19:T20 I22:P23 S33:T39 I33:P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11b3&amp;8&amp;U
&amp;P of &amp;N&amp;C&amp;"Arial,Bold"&amp;8 NEW RURAL BANK OF SAN LEONARDO, INC  [ 04-040656 ]
 As of: September 30, 2017</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M49"/>
  <sheetViews>
    <sheetView zoomScaleNormal="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21.85546875" style="5" customWidth="1"/>
    <col min="7" max="7" width="20.140625" style="52" bestFit="1" customWidth="1"/>
    <col min="8" max="8" width="20.140625" style="52"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48" customWidth="1"/>
    <col min="18" max="18" width="25.7109375" style="48" customWidth="1"/>
    <col min="19" max="19" width="20.7109375" style="48" customWidth="1"/>
    <col min="20" max="20" width="25.7109375" style="48" customWidth="1"/>
    <col min="21" max="21" width="20.7109375" style="48" customWidth="1"/>
    <col min="22" max="22" width="25.7109375" style="48"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243" customFormat="1" ht="12.75" x14ac:dyDescent="0.2">
      <c r="A1" s="669" t="s">
        <v>106</v>
      </c>
      <c r="B1" s="669"/>
      <c r="C1" s="669"/>
      <c r="D1" s="669"/>
      <c r="E1" s="669"/>
      <c r="F1" s="669"/>
      <c r="G1" s="669"/>
      <c r="H1" s="669"/>
      <c r="I1" s="669"/>
      <c r="J1" s="669"/>
      <c r="K1" s="669"/>
      <c r="L1" s="669"/>
      <c r="M1" s="669"/>
      <c r="N1" s="669"/>
      <c r="O1" s="669"/>
      <c r="P1" s="669"/>
      <c r="Q1" s="669"/>
      <c r="R1" s="669"/>
      <c r="S1" s="669"/>
      <c r="T1" s="669"/>
      <c r="U1" s="669"/>
      <c r="V1" s="669"/>
      <c r="W1" s="242"/>
      <c r="X1" s="242"/>
      <c r="Y1" s="242"/>
      <c r="Z1" s="242"/>
      <c r="AA1" s="242"/>
      <c r="AB1" s="242"/>
      <c r="AC1" s="242"/>
      <c r="AD1" s="242"/>
      <c r="AE1" s="242"/>
    </row>
    <row r="2" spans="1:33" s="243" customFormat="1" ht="12.75" x14ac:dyDescent="0.2">
      <c r="A2" s="669" t="s">
        <v>92</v>
      </c>
      <c r="B2" s="669"/>
      <c r="C2" s="669"/>
      <c r="D2" s="669"/>
      <c r="E2" s="669"/>
      <c r="F2" s="669"/>
      <c r="G2" s="669"/>
      <c r="H2" s="669"/>
      <c r="I2" s="669"/>
      <c r="J2" s="669"/>
      <c r="K2" s="669"/>
      <c r="L2" s="669"/>
      <c r="M2" s="669"/>
      <c r="N2" s="669"/>
      <c r="O2" s="669"/>
      <c r="P2" s="669"/>
      <c r="Q2" s="669"/>
      <c r="R2" s="669"/>
      <c r="S2" s="669"/>
      <c r="T2" s="669"/>
      <c r="U2" s="669"/>
      <c r="V2" s="669"/>
      <c r="W2" s="242"/>
      <c r="X2" s="242"/>
      <c r="Y2" s="242"/>
      <c r="Z2" s="242"/>
      <c r="AA2" s="242"/>
      <c r="AB2" s="242"/>
      <c r="AC2" s="242"/>
      <c r="AD2" s="242"/>
      <c r="AE2" s="242"/>
    </row>
    <row r="3" spans="1:33" s="243" customFormat="1" ht="12.75" x14ac:dyDescent="0.2">
      <c r="A3" s="669" t="s">
        <v>139</v>
      </c>
      <c r="B3" s="669"/>
      <c r="C3" s="669"/>
      <c r="D3" s="669"/>
      <c r="E3" s="669"/>
      <c r="F3" s="669"/>
      <c r="G3" s="669"/>
      <c r="H3" s="669"/>
      <c r="I3" s="669"/>
      <c r="J3" s="669"/>
      <c r="K3" s="669"/>
      <c r="L3" s="669"/>
      <c r="M3" s="669"/>
      <c r="N3" s="669"/>
      <c r="O3" s="669"/>
      <c r="P3" s="669"/>
      <c r="Q3" s="669"/>
      <c r="R3" s="669"/>
      <c r="S3" s="669"/>
      <c r="T3" s="669"/>
      <c r="U3" s="669"/>
      <c r="V3" s="669"/>
      <c r="W3" s="242"/>
      <c r="X3" s="242"/>
      <c r="Y3" s="242"/>
      <c r="Z3" s="242"/>
      <c r="AA3" s="242"/>
      <c r="AB3" s="242"/>
      <c r="AC3" s="242"/>
      <c r="AD3" s="242"/>
      <c r="AE3" s="242"/>
    </row>
    <row r="4" spans="1:33" x14ac:dyDescent="0.2">
      <c r="A4" s="6"/>
      <c r="B4" s="6"/>
      <c r="C4" s="6"/>
      <c r="D4" s="6"/>
      <c r="E4" s="6"/>
      <c r="F4" s="6"/>
      <c r="G4" s="54"/>
      <c r="H4" s="54"/>
      <c r="I4" s="47"/>
      <c r="J4" s="47"/>
      <c r="K4" s="47"/>
      <c r="L4" s="47"/>
      <c r="M4" s="47"/>
      <c r="N4" s="47"/>
      <c r="O4" s="47"/>
      <c r="P4" s="47"/>
      <c r="Q4" s="47"/>
      <c r="R4" s="47"/>
      <c r="S4" s="47"/>
      <c r="T4" s="47"/>
      <c r="U4" s="47"/>
      <c r="V4" s="47"/>
      <c r="W4" s="4"/>
      <c r="X4" s="4"/>
      <c r="Y4" s="4"/>
      <c r="Z4" s="4"/>
      <c r="AA4" s="4"/>
      <c r="AB4" s="4"/>
      <c r="AC4" s="4"/>
      <c r="AD4" s="4"/>
      <c r="AE4" s="4"/>
    </row>
    <row r="5" spans="1:33" ht="12.75" customHeight="1" x14ac:dyDescent="0.2">
      <c r="A5" s="672" t="s">
        <v>45</v>
      </c>
      <c r="B5" s="672"/>
      <c r="C5" s="672"/>
      <c r="D5" s="672"/>
      <c r="E5" s="672"/>
      <c r="F5" s="672"/>
      <c r="G5" s="699" t="s">
        <v>46</v>
      </c>
      <c r="H5" s="24"/>
      <c r="I5" s="687" t="s">
        <v>94</v>
      </c>
      <c r="J5" s="687"/>
      <c r="K5" s="687" t="s">
        <v>95</v>
      </c>
      <c r="L5" s="687"/>
      <c r="M5" s="687" t="s">
        <v>96</v>
      </c>
      <c r="N5" s="687"/>
      <c r="O5" s="687" t="s">
        <v>97</v>
      </c>
      <c r="P5" s="687"/>
      <c r="Q5" s="687" t="s">
        <v>98</v>
      </c>
      <c r="R5" s="687"/>
      <c r="S5" s="687" t="s">
        <v>99</v>
      </c>
      <c r="T5" s="687"/>
      <c r="U5" s="687" t="s">
        <v>100</v>
      </c>
      <c r="V5" s="687"/>
      <c r="W5" s="7"/>
      <c r="X5" s="7"/>
      <c r="Y5" s="7"/>
      <c r="Z5" s="7"/>
      <c r="AA5" s="7"/>
      <c r="AB5" s="8"/>
      <c r="AC5" s="8"/>
      <c r="AD5" s="8"/>
      <c r="AE5" s="8"/>
      <c r="AF5" s="9"/>
      <c r="AG5" s="9"/>
    </row>
    <row r="6" spans="1:33" ht="12.75" customHeight="1" x14ac:dyDescent="0.2">
      <c r="A6" s="672"/>
      <c r="B6" s="672"/>
      <c r="C6" s="672"/>
      <c r="D6" s="672"/>
      <c r="E6" s="672"/>
      <c r="F6" s="672"/>
      <c r="G6" s="699"/>
      <c r="H6" s="24"/>
      <c r="I6" s="670" t="s">
        <v>101</v>
      </c>
      <c r="J6" s="670"/>
      <c r="K6" s="674" t="s">
        <v>1471</v>
      </c>
      <c r="L6" s="674"/>
      <c r="M6" s="689" t="s">
        <v>1474</v>
      </c>
      <c r="N6" s="690"/>
      <c r="O6" s="690"/>
      <c r="P6" s="691"/>
      <c r="Q6" s="670" t="s">
        <v>102</v>
      </c>
      <c r="R6" s="670"/>
      <c r="S6" s="670" t="s">
        <v>47</v>
      </c>
      <c r="T6" s="670"/>
      <c r="U6" s="670" t="s">
        <v>48</v>
      </c>
      <c r="V6" s="670"/>
      <c r="W6" s="10"/>
      <c r="X6" s="10"/>
      <c r="Y6" s="10"/>
      <c r="Z6" s="10"/>
      <c r="AA6" s="10"/>
      <c r="AB6" s="11"/>
      <c r="AC6" s="11"/>
      <c r="AD6" s="11"/>
      <c r="AE6" s="11"/>
      <c r="AF6" s="9"/>
      <c r="AG6" s="9"/>
    </row>
    <row r="7" spans="1:33" ht="19.5" customHeight="1" x14ac:dyDescent="0.2">
      <c r="A7" s="672"/>
      <c r="B7" s="672"/>
      <c r="C7" s="672"/>
      <c r="D7" s="672"/>
      <c r="E7" s="672"/>
      <c r="F7" s="672"/>
      <c r="G7" s="699"/>
      <c r="H7" s="24"/>
      <c r="I7" s="670"/>
      <c r="J7" s="670"/>
      <c r="K7" s="674"/>
      <c r="L7" s="674"/>
      <c r="M7" s="678" t="s">
        <v>1472</v>
      </c>
      <c r="N7" s="679"/>
      <c r="O7" s="678" t="s">
        <v>1473</v>
      </c>
      <c r="P7" s="679"/>
      <c r="Q7" s="670"/>
      <c r="R7" s="670"/>
      <c r="S7" s="670"/>
      <c r="T7" s="670"/>
      <c r="U7" s="670"/>
      <c r="V7" s="670"/>
      <c r="W7" s="10"/>
      <c r="X7" s="10"/>
      <c r="Y7" s="10"/>
      <c r="Z7" s="10"/>
      <c r="AA7" s="10"/>
      <c r="AB7" s="12"/>
      <c r="AC7" s="11"/>
      <c r="AD7" s="11"/>
      <c r="AE7" s="11"/>
      <c r="AF7" s="9"/>
      <c r="AG7" s="9"/>
    </row>
    <row r="8" spans="1:33" ht="27.75" customHeight="1" x14ac:dyDescent="0.2">
      <c r="A8" s="672"/>
      <c r="B8" s="672"/>
      <c r="C8" s="672"/>
      <c r="D8" s="672"/>
      <c r="E8" s="672"/>
      <c r="F8" s="672"/>
      <c r="G8" s="699"/>
      <c r="H8" s="24"/>
      <c r="I8" s="670"/>
      <c r="J8" s="670"/>
      <c r="K8" s="674"/>
      <c r="L8" s="674"/>
      <c r="M8" s="680"/>
      <c r="N8" s="681"/>
      <c r="O8" s="680"/>
      <c r="P8" s="681"/>
      <c r="Q8" s="670"/>
      <c r="R8" s="670"/>
      <c r="S8" s="670"/>
      <c r="T8" s="670"/>
      <c r="U8" s="670"/>
      <c r="V8" s="670"/>
      <c r="W8" s="13"/>
      <c r="X8" s="14"/>
      <c r="Y8" s="14"/>
      <c r="Z8" s="14"/>
      <c r="AA8" s="14"/>
      <c r="AB8" s="12"/>
      <c r="AC8" s="11"/>
      <c r="AD8" s="11"/>
      <c r="AE8" s="11"/>
      <c r="AF8" s="9"/>
      <c r="AG8" s="9"/>
    </row>
    <row r="9" spans="1:33" s="35" customFormat="1" ht="22.5" customHeight="1" x14ac:dyDescent="0.2">
      <c r="A9" s="672"/>
      <c r="B9" s="672"/>
      <c r="C9" s="672"/>
      <c r="D9" s="672"/>
      <c r="E9" s="672"/>
      <c r="F9" s="672"/>
      <c r="G9" s="699"/>
      <c r="H9" s="24"/>
      <c r="I9" s="55" t="s">
        <v>50</v>
      </c>
      <c r="J9" s="51" t="s">
        <v>51</v>
      </c>
      <c r="K9" s="55" t="s">
        <v>50</v>
      </c>
      <c r="L9" s="51" t="s">
        <v>51</v>
      </c>
      <c r="M9" s="55" t="s">
        <v>50</v>
      </c>
      <c r="N9" s="51" t="s">
        <v>51</v>
      </c>
      <c r="O9" s="55" t="s">
        <v>50</v>
      </c>
      <c r="P9" s="51" t="s">
        <v>51</v>
      </c>
      <c r="Q9" s="55" t="s">
        <v>50</v>
      </c>
      <c r="R9" s="51" t="s">
        <v>51</v>
      </c>
      <c r="S9" s="55" t="s">
        <v>50</v>
      </c>
      <c r="T9" s="51" t="s">
        <v>51</v>
      </c>
      <c r="U9" s="55" t="s">
        <v>50</v>
      </c>
      <c r="V9" s="51" t="s">
        <v>51</v>
      </c>
      <c r="W9" s="32"/>
      <c r="X9" s="32"/>
      <c r="Y9" s="32"/>
      <c r="Z9" s="32"/>
      <c r="AA9" s="32"/>
      <c r="AB9" s="32"/>
      <c r="AC9" s="33"/>
      <c r="AD9" s="33"/>
      <c r="AE9" s="33"/>
      <c r="AF9" s="34"/>
      <c r="AG9" s="34"/>
    </row>
    <row r="10" spans="1:33" x14ac:dyDescent="0.2">
      <c r="A10" s="223" t="s">
        <v>57</v>
      </c>
      <c r="B10" s="312"/>
      <c r="C10" s="312"/>
      <c r="D10" s="312"/>
      <c r="E10" s="312"/>
      <c r="F10" s="347"/>
      <c r="G10" s="313" t="s">
        <v>109</v>
      </c>
      <c r="H10" s="45"/>
      <c r="I10" s="56">
        <f t="shared" ref="I10:P10" si="0">+I11+I18+I21+I24+I27+I28+I31+I32+I39</f>
        <v>0</v>
      </c>
      <c r="J10" s="56">
        <f t="shared" si="0"/>
        <v>0</v>
      </c>
      <c r="K10" s="56">
        <f t="shared" si="0"/>
        <v>0</v>
      </c>
      <c r="L10" s="56">
        <f t="shared" si="0"/>
        <v>0</v>
      </c>
      <c r="M10" s="56">
        <f t="shared" si="0"/>
        <v>0</v>
      </c>
      <c r="N10" s="56">
        <f t="shared" si="0"/>
        <v>0</v>
      </c>
      <c r="O10" s="56">
        <f t="shared" si="0"/>
        <v>0</v>
      </c>
      <c r="P10" s="56">
        <f t="shared" si="0"/>
        <v>0</v>
      </c>
      <c r="Q10" s="56">
        <f>+I10+K10+M10+O10</f>
        <v>0</v>
      </c>
      <c r="R10" s="56">
        <f>+J10+L10+N10+P10</f>
        <v>0</v>
      </c>
      <c r="S10" s="56">
        <f>+S11+S18+S21+S24+S27+S28+S31+S32+S39</f>
        <v>0</v>
      </c>
      <c r="T10" s="56">
        <f>+T11+T18+T21+T24+T27+T28+T31+T32+T39</f>
        <v>0</v>
      </c>
      <c r="U10" s="56">
        <f>+Q10-S10</f>
        <v>0</v>
      </c>
      <c r="V10" s="56">
        <f>+R10-T10</f>
        <v>0</v>
      </c>
      <c r="W10" s="36"/>
      <c r="X10" s="9"/>
      <c r="Y10" s="9"/>
      <c r="Z10" s="9"/>
      <c r="AA10" s="9"/>
      <c r="AB10" s="9"/>
      <c r="AC10" s="9"/>
      <c r="AD10" s="9"/>
      <c r="AE10" s="9"/>
      <c r="AF10" s="9"/>
      <c r="AG10" s="9"/>
    </row>
    <row r="11" spans="1:33" x14ac:dyDescent="0.2">
      <c r="A11" s="346" t="s">
        <v>58</v>
      </c>
      <c r="B11" s="312" t="s">
        <v>540</v>
      </c>
      <c r="C11" s="312"/>
      <c r="D11" s="312"/>
      <c r="E11" s="312"/>
      <c r="F11" s="347"/>
      <c r="G11" s="313" t="s">
        <v>110</v>
      </c>
      <c r="H11" s="45"/>
      <c r="I11" s="56">
        <f t="shared" ref="I11:P11" si="1">+I12+I13+I14</f>
        <v>0</v>
      </c>
      <c r="J11" s="56">
        <f t="shared" si="1"/>
        <v>0</v>
      </c>
      <c r="K11" s="56">
        <f t="shared" si="1"/>
        <v>0</v>
      </c>
      <c r="L11" s="56">
        <f t="shared" si="1"/>
        <v>0</v>
      </c>
      <c r="M11" s="56">
        <f t="shared" si="1"/>
        <v>0</v>
      </c>
      <c r="N11" s="56">
        <f t="shared" si="1"/>
        <v>0</v>
      </c>
      <c r="O11" s="56">
        <f t="shared" si="1"/>
        <v>0</v>
      </c>
      <c r="P11" s="56">
        <f t="shared" si="1"/>
        <v>0</v>
      </c>
      <c r="Q11" s="56">
        <f t="shared" ref="Q11:Q20" si="2">+I11+K11+M11+O11</f>
        <v>0</v>
      </c>
      <c r="R11" s="56">
        <f t="shared" ref="R11:R45" si="3">+J11+L11+N11+P11</f>
        <v>0</v>
      </c>
      <c r="S11" s="56">
        <f>+S12+S13+S14</f>
        <v>0</v>
      </c>
      <c r="T11" s="56">
        <f>+T12+T13+T14</f>
        <v>0</v>
      </c>
      <c r="U11" s="56">
        <f t="shared" ref="U11:U20" si="4">+Q11-S11</f>
        <v>0</v>
      </c>
      <c r="V11" s="56">
        <f t="shared" ref="V11:V45" si="5">+R11-T11</f>
        <v>0</v>
      </c>
      <c r="W11" s="36"/>
      <c r="X11" s="9"/>
      <c r="Y11" s="9"/>
      <c r="Z11" s="9"/>
      <c r="AA11" s="9"/>
      <c r="AB11" s="9"/>
      <c r="AC11" s="9"/>
      <c r="AD11" s="9"/>
      <c r="AE11" s="9"/>
      <c r="AF11" s="9"/>
      <c r="AG11" s="9"/>
    </row>
    <row r="12" spans="1:33" x14ac:dyDescent="0.2">
      <c r="A12" s="346"/>
      <c r="B12" s="312" t="s">
        <v>59</v>
      </c>
      <c r="C12" s="312" t="s">
        <v>60</v>
      </c>
      <c r="D12" s="312"/>
      <c r="E12" s="312"/>
      <c r="F12" s="347"/>
      <c r="G12" s="313" t="s">
        <v>111</v>
      </c>
      <c r="H12" s="45"/>
      <c r="I12" s="58"/>
      <c r="J12" s="58"/>
      <c r="K12" s="58"/>
      <c r="L12" s="58"/>
      <c r="M12" s="58"/>
      <c r="N12" s="58"/>
      <c r="O12" s="58"/>
      <c r="P12" s="58"/>
      <c r="Q12" s="56">
        <f t="shared" si="2"/>
        <v>0</v>
      </c>
      <c r="R12" s="56">
        <f t="shared" si="3"/>
        <v>0</v>
      </c>
      <c r="S12" s="58"/>
      <c r="T12" s="58"/>
      <c r="U12" s="56">
        <f t="shared" si="4"/>
        <v>0</v>
      </c>
      <c r="V12" s="56">
        <f t="shared" si="5"/>
        <v>0</v>
      </c>
      <c r="W12" s="36"/>
      <c r="X12" s="9"/>
      <c r="Y12" s="9"/>
      <c r="Z12" s="9"/>
      <c r="AA12" s="9"/>
      <c r="AB12" s="9"/>
      <c r="AC12" s="9"/>
      <c r="AD12" s="9"/>
      <c r="AE12" s="9"/>
      <c r="AF12" s="9"/>
      <c r="AG12" s="9"/>
    </row>
    <row r="13" spans="1:33" x14ac:dyDescent="0.2">
      <c r="A13" s="346"/>
      <c r="B13" s="312" t="s">
        <v>61</v>
      </c>
      <c r="C13" s="312" t="s">
        <v>72</v>
      </c>
      <c r="D13" s="312"/>
      <c r="E13" s="312"/>
      <c r="F13" s="347"/>
      <c r="G13" s="313" t="s">
        <v>546</v>
      </c>
      <c r="H13" s="45"/>
      <c r="I13" s="58"/>
      <c r="J13" s="58"/>
      <c r="K13" s="58"/>
      <c r="L13" s="58"/>
      <c r="M13" s="58"/>
      <c r="N13" s="58"/>
      <c r="O13" s="58"/>
      <c r="P13" s="58"/>
      <c r="Q13" s="56">
        <f t="shared" si="2"/>
        <v>0</v>
      </c>
      <c r="R13" s="56">
        <f t="shared" si="3"/>
        <v>0</v>
      </c>
      <c r="S13" s="58"/>
      <c r="T13" s="58"/>
      <c r="U13" s="56">
        <f t="shared" si="4"/>
        <v>0</v>
      </c>
      <c r="V13" s="56">
        <f t="shared" si="5"/>
        <v>0</v>
      </c>
      <c r="W13" s="36"/>
      <c r="X13" s="9"/>
      <c r="Y13" s="9"/>
      <c r="Z13" s="9"/>
      <c r="AA13" s="9"/>
      <c r="AB13" s="9"/>
      <c r="AC13" s="9"/>
      <c r="AD13" s="9"/>
      <c r="AE13" s="9"/>
      <c r="AF13" s="9"/>
      <c r="AG13" s="9"/>
    </row>
    <row r="14" spans="1:33" x14ac:dyDescent="0.2">
      <c r="A14" s="346"/>
      <c r="B14" s="312" t="s">
        <v>71</v>
      </c>
      <c r="C14" s="312" t="s">
        <v>62</v>
      </c>
      <c r="D14" s="312"/>
      <c r="E14" s="312"/>
      <c r="F14" s="347"/>
      <c r="G14" s="313" t="s">
        <v>112</v>
      </c>
      <c r="H14" s="45"/>
      <c r="I14" s="56">
        <f t="shared" ref="I14:P14" si="6">+I15+I16+I17</f>
        <v>0</v>
      </c>
      <c r="J14" s="56">
        <f t="shared" si="6"/>
        <v>0</v>
      </c>
      <c r="K14" s="56">
        <f t="shared" si="6"/>
        <v>0</v>
      </c>
      <c r="L14" s="56">
        <f t="shared" si="6"/>
        <v>0</v>
      </c>
      <c r="M14" s="56">
        <f t="shared" si="6"/>
        <v>0</v>
      </c>
      <c r="N14" s="56">
        <f t="shared" si="6"/>
        <v>0</v>
      </c>
      <c r="O14" s="56">
        <f t="shared" si="6"/>
        <v>0</v>
      </c>
      <c r="P14" s="56">
        <f t="shared" si="6"/>
        <v>0</v>
      </c>
      <c r="Q14" s="56">
        <f t="shared" si="2"/>
        <v>0</v>
      </c>
      <c r="R14" s="56">
        <f t="shared" si="3"/>
        <v>0</v>
      </c>
      <c r="S14" s="56">
        <f>+S15+S16+S17</f>
        <v>0</v>
      </c>
      <c r="T14" s="56">
        <f>+T15+T16+T17</f>
        <v>0</v>
      </c>
      <c r="U14" s="56">
        <f t="shared" si="4"/>
        <v>0</v>
      </c>
      <c r="V14" s="56">
        <f t="shared" si="5"/>
        <v>0</v>
      </c>
      <c r="W14" s="36"/>
      <c r="X14" s="9"/>
      <c r="Y14" s="9"/>
      <c r="Z14" s="9"/>
      <c r="AA14" s="9"/>
      <c r="AB14" s="9"/>
      <c r="AC14" s="9"/>
      <c r="AD14" s="9"/>
      <c r="AE14" s="9"/>
      <c r="AF14" s="9"/>
      <c r="AG14" s="9"/>
    </row>
    <row r="15" spans="1:33" x14ac:dyDescent="0.2">
      <c r="A15" s="346"/>
      <c r="B15" s="312"/>
      <c r="C15" s="311" t="s">
        <v>54</v>
      </c>
      <c r="D15" s="312" t="s">
        <v>63</v>
      </c>
      <c r="E15" s="312"/>
      <c r="F15" s="347"/>
      <c r="G15" s="313" t="s">
        <v>113</v>
      </c>
      <c r="H15" s="45"/>
      <c r="I15" s="58"/>
      <c r="J15" s="58"/>
      <c r="K15" s="58"/>
      <c r="L15" s="58"/>
      <c r="M15" s="58"/>
      <c r="N15" s="58"/>
      <c r="O15" s="58"/>
      <c r="P15" s="58"/>
      <c r="Q15" s="56">
        <f t="shared" si="2"/>
        <v>0</v>
      </c>
      <c r="R15" s="56">
        <f t="shared" si="3"/>
        <v>0</v>
      </c>
      <c r="S15" s="58"/>
      <c r="T15" s="58"/>
      <c r="U15" s="56">
        <f t="shared" si="4"/>
        <v>0</v>
      </c>
      <c r="V15" s="56">
        <f t="shared" si="5"/>
        <v>0</v>
      </c>
      <c r="W15" s="36"/>
      <c r="X15" s="9"/>
      <c r="Y15" s="9"/>
      <c r="Z15" s="9"/>
      <c r="AA15" s="9"/>
      <c r="AB15" s="9"/>
      <c r="AC15" s="9"/>
      <c r="AD15" s="9"/>
      <c r="AE15" s="9"/>
      <c r="AF15" s="9"/>
      <c r="AG15" s="9"/>
    </row>
    <row r="16" spans="1:33" x14ac:dyDescent="0.2">
      <c r="A16" s="346"/>
      <c r="B16" s="312"/>
      <c r="C16" s="311" t="s">
        <v>55</v>
      </c>
      <c r="D16" s="312" t="s">
        <v>64</v>
      </c>
      <c r="E16" s="312"/>
      <c r="F16" s="347"/>
      <c r="G16" s="313" t="s">
        <v>114</v>
      </c>
      <c r="H16" s="45"/>
      <c r="I16" s="59"/>
      <c r="J16" s="59"/>
      <c r="K16" s="59"/>
      <c r="L16" s="59"/>
      <c r="M16" s="59"/>
      <c r="N16" s="59"/>
      <c r="O16" s="59"/>
      <c r="P16" s="59"/>
      <c r="Q16" s="56">
        <f t="shared" si="2"/>
        <v>0</v>
      </c>
      <c r="R16" s="56">
        <f t="shared" si="3"/>
        <v>0</v>
      </c>
      <c r="S16" s="59"/>
      <c r="T16" s="59"/>
      <c r="U16" s="56">
        <f t="shared" si="4"/>
        <v>0</v>
      </c>
      <c r="V16" s="56">
        <f t="shared" si="5"/>
        <v>0</v>
      </c>
      <c r="W16" s="36"/>
      <c r="X16" s="9"/>
      <c r="Y16" s="9"/>
      <c r="Z16" s="9"/>
      <c r="AA16" s="9"/>
      <c r="AB16" s="9"/>
      <c r="AC16" s="9"/>
      <c r="AD16" s="9"/>
      <c r="AE16" s="9"/>
      <c r="AF16" s="9"/>
      <c r="AG16" s="9"/>
    </row>
    <row r="17" spans="1:33" x14ac:dyDescent="0.2">
      <c r="A17" s="346"/>
      <c r="B17" s="312"/>
      <c r="C17" s="311" t="s">
        <v>65</v>
      </c>
      <c r="D17" s="312" t="s">
        <v>66</v>
      </c>
      <c r="E17" s="312"/>
      <c r="F17" s="347"/>
      <c r="G17" s="313" t="s">
        <v>115</v>
      </c>
      <c r="H17" s="45"/>
      <c r="I17" s="59"/>
      <c r="J17" s="59"/>
      <c r="K17" s="59"/>
      <c r="L17" s="59"/>
      <c r="M17" s="59"/>
      <c r="N17" s="59"/>
      <c r="O17" s="59"/>
      <c r="P17" s="59"/>
      <c r="Q17" s="56">
        <f t="shared" si="2"/>
        <v>0</v>
      </c>
      <c r="R17" s="56">
        <f t="shared" si="3"/>
        <v>0</v>
      </c>
      <c r="S17" s="59"/>
      <c r="T17" s="59"/>
      <c r="U17" s="56">
        <f t="shared" si="4"/>
        <v>0</v>
      </c>
      <c r="V17" s="56">
        <f t="shared" si="5"/>
        <v>0</v>
      </c>
      <c r="W17" s="36"/>
      <c r="X17" s="9"/>
      <c r="Y17" s="9"/>
      <c r="Z17" s="9"/>
      <c r="AA17" s="9"/>
      <c r="AB17" s="9"/>
      <c r="AC17" s="9"/>
      <c r="AD17" s="9"/>
      <c r="AE17" s="9"/>
      <c r="AF17" s="9"/>
      <c r="AG17" s="9"/>
    </row>
    <row r="18" spans="1:33" x14ac:dyDescent="0.2">
      <c r="A18" s="346" t="s">
        <v>55</v>
      </c>
      <c r="B18" s="312" t="s">
        <v>67</v>
      </c>
      <c r="C18" s="312"/>
      <c r="D18" s="312"/>
      <c r="E18" s="312"/>
      <c r="F18" s="347"/>
      <c r="G18" s="313" t="s">
        <v>116</v>
      </c>
      <c r="H18" s="45"/>
      <c r="I18" s="57">
        <f t="shared" ref="I18:P18" si="7">+I19+I20</f>
        <v>0</v>
      </c>
      <c r="J18" s="57">
        <f t="shared" si="7"/>
        <v>0</v>
      </c>
      <c r="K18" s="57">
        <f t="shared" si="7"/>
        <v>0</v>
      </c>
      <c r="L18" s="57">
        <f t="shared" si="7"/>
        <v>0</v>
      </c>
      <c r="M18" s="57">
        <f t="shared" si="7"/>
        <v>0</v>
      </c>
      <c r="N18" s="57">
        <f t="shared" si="7"/>
        <v>0</v>
      </c>
      <c r="O18" s="57">
        <f t="shared" si="7"/>
        <v>0</v>
      </c>
      <c r="P18" s="57">
        <f t="shared" si="7"/>
        <v>0</v>
      </c>
      <c r="Q18" s="56">
        <f t="shared" si="2"/>
        <v>0</v>
      </c>
      <c r="R18" s="56">
        <f t="shared" si="3"/>
        <v>0</v>
      </c>
      <c r="S18" s="57">
        <f>+S19+S20</f>
        <v>0</v>
      </c>
      <c r="T18" s="57">
        <f>+T19+T20</f>
        <v>0</v>
      </c>
      <c r="U18" s="56">
        <f t="shared" si="4"/>
        <v>0</v>
      </c>
      <c r="V18" s="56">
        <f t="shared" si="5"/>
        <v>0</v>
      </c>
      <c r="W18" s="36"/>
      <c r="X18" s="9"/>
      <c r="Y18" s="9"/>
      <c r="Z18" s="9"/>
      <c r="AA18" s="9"/>
      <c r="AB18" s="9"/>
      <c r="AC18" s="9"/>
      <c r="AD18" s="9"/>
      <c r="AE18" s="9"/>
      <c r="AF18" s="9"/>
      <c r="AG18" s="9"/>
    </row>
    <row r="19" spans="1:33" x14ac:dyDescent="0.2">
      <c r="A19" s="346"/>
      <c r="B19" s="312" t="s">
        <v>59</v>
      </c>
      <c r="C19" s="312" t="s">
        <v>68</v>
      </c>
      <c r="D19" s="312"/>
      <c r="E19" s="312"/>
      <c r="F19" s="347"/>
      <c r="G19" s="313" t="s">
        <v>117</v>
      </c>
      <c r="H19" s="45"/>
      <c r="I19" s="59"/>
      <c r="J19" s="59"/>
      <c r="K19" s="59"/>
      <c r="L19" s="59"/>
      <c r="M19" s="59"/>
      <c r="N19" s="59"/>
      <c r="O19" s="59"/>
      <c r="P19" s="59"/>
      <c r="Q19" s="56">
        <f t="shared" si="2"/>
        <v>0</v>
      </c>
      <c r="R19" s="56">
        <f t="shared" si="3"/>
        <v>0</v>
      </c>
      <c r="S19" s="59"/>
      <c r="T19" s="59"/>
      <c r="U19" s="56">
        <f t="shared" si="4"/>
        <v>0</v>
      </c>
      <c r="V19" s="56">
        <f t="shared" si="5"/>
        <v>0</v>
      </c>
      <c r="W19" s="36"/>
      <c r="X19" s="9"/>
      <c r="Y19" s="9"/>
      <c r="Z19" s="9"/>
      <c r="AA19" s="9"/>
      <c r="AB19" s="9"/>
      <c r="AC19" s="9"/>
      <c r="AD19" s="9"/>
      <c r="AE19" s="9"/>
      <c r="AF19" s="9"/>
      <c r="AG19" s="9"/>
    </row>
    <row r="20" spans="1:33" x14ac:dyDescent="0.2">
      <c r="A20" s="346"/>
      <c r="B20" s="312" t="s">
        <v>69</v>
      </c>
      <c r="C20" s="312" t="s">
        <v>70</v>
      </c>
      <c r="D20" s="312"/>
      <c r="E20" s="312"/>
      <c r="F20" s="347"/>
      <c r="G20" s="313" t="s">
        <v>118</v>
      </c>
      <c r="H20" s="45"/>
      <c r="I20" s="59"/>
      <c r="J20" s="59"/>
      <c r="K20" s="59"/>
      <c r="L20" s="59"/>
      <c r="M20" s="59"/>
      <c r="N20" s="59"/>
      <c r="O20" s="59"/>
      <c r="P20" s="59"/>
      <c r="Q20" s="56">
        <f t="shared" si="2"/>
        <v>0</v>
      </c>
      <c r="R20" s="56">
        <f t="shared" si="3"/>
        <v>0</v>
      </c>
      <c r="S20" s="59"/>
      <c r="T20" s="59"/>
      <c r="U20" s="56">
        <f t="shared" si="4"/>
        <v>0</v>
      </c>
      <c r="V20" s="56">
        <f t="shared" si="5"/>
        <v>0</v>
      </c>
      <c r="W20" s="36"/>
      <c r="X20" s="9"/>
      <c r="Y20" s="9"/>
      <c r="Z20" s="9"/>
      <c r="AA20" s="9"/>
      <c r="AB20" s="9"/>
      <c r="AC20" s="9"/>
      <c r="AD20" s="9"/>
      <c r="AE20" s="9"/>
      <c r="AF20" s="9"/>
      <c r="AG20" s="9"/>
    </row>
    <row r="21" spans="1:33" x14ac:dyDescent="0.2">
      <c r="A21" s="346" t="s">
        <v>65</v>
      </c>
      <c r="B21" s="3" t="s">
        <v>1440</v>
      </c>
      <c r="C21" s="3"/>
      <c r="D21" s="3"/>
      <c r="E21" s="3"/>
      <c r="F21" s="3"/>
      <c r="G21" s="317" t="s">
        <v>119</v>
      </c>
      <c r="H21" s="45"/>
      <c r="I21" s="57">
        <f t="shared" ref="I21:P21" si="8">+I22+I23</f>
        <v>0</v>
      </c>
      <c r="J21" s="57">
        <f t="shared" si="8"/>
        <v>0</v>
      </c>
      <c r="K21" s="57">
        <f t="shared" si="8"/>
        <v>0</v>
      </c>
      <c r="L21" s="57">
        <f t="shared" si="8"/>
        <v>0</v>
      </c>
      <c r="M21" s="57">
        <f t="shared" si="8"/>
        <v>0</v>
      </c>
      <c r="N21" s="57">
        <f t="shared" si="8"/>
        <v>0</v>
      </c>
      <c r="O21" s="57">
        <f t="shared" si="8"/>
        <v>0</v>
      </c>
      <c r="P21" s="57">
        <f t="shared" si="8"/>
        <v>0</v>
      </c>
      <c r="Q21" s="56">
        <f t="shared" ref="Q21:R23" si="9">+I21+K21+M21+O21</f>
        <v>0</v>
      </c>
      <c r="R21" s="56">
        <f t="shared" si="9"/>
        <v>0</v>
      </c>
      <c r="S21" s="57">
        <f>+S22+S23</f>
        <v>0</v>
      </c>
      <c r="T21" s="57">
        <f>+T22+T23</f>
        <v>0</v>
      </c>
      <c r="U21" s="56">
        <f t="shared" ref="U21:V23" si="10">+Q21-S21</f>
        <v>0</v>
      </c>
      <c r="V21" s="56">
        <f t="shared" si="10"/>
        <v>0</v>
      </c>
      <c r="W21" s="36"/>
      <c r="X21" s="9"/>
      <c r="Y21" s="9"/>
      <c r="Z21" s="9"/>
      <c r="AA21" s="9"/>
      <c r="AB21" s="9"/>
      <c r="AC21" s="9"/>
      <c r="AD21" s="9"/>
      <c r="AE21" s="9"/>
      <c r="AF21" s="9"/>
      <c r="AG21" s="9"/>
    </row>
    <row r="22" spans="1:33" x14ac:dyDescent="0.2">
      <c r="A22" s="346"/>
      <c r="B22" s="3" t="s">
        <v>59</v>
      </c>
      <c r="C22" s="658" t="s">
        <v>543</v>
      </c>
      <c r="D22" s="659"/>
      <c r="E22" s="659"/>
      <c r="F22" s="660"/>
      <c r="G22" s="416" t="s">
        <v>1437</v>
      </c>
      <c r="H22" s="45"/>
      <c r="I22" s="59"/>
      <c r="J22" s="59"/>
      <c r="K22" s="59"/>
      <c r="L22" s="59"/>
      <c r="M22" s="59"/>
      <c r="N22" s="59"/>
      <c r="O22" s="59"/>
      <c r="P22" s="59"/>
      <c r="Q22" s="56">
        <f t="shared" si="9"/>
        <v>0</v>
      </c>
      <c r="R22" s="56">
        <f t="shared" si="9"/>
        <v>0</v>
      </c>
      <c r="S22" s="59"/>
      <c r="T22" s="59"/>
      <c r="U22" s="56">
        <f t="shared" si="10"/>
        <v>0</v>
      </c>
      <c r="V22" s="56">
        <f t="shared" si="10"/>
        <v>0</v>
      </c>
      <c r="W22" s="36"/>
      <c r="X22" s="9"/>
      <c r="Y22" s="9"/>
      <c r="Z22" s="9"/>
      <c r="AA22" s="9"/>
      <c r="AB22" s="9"/>
      <c r="AC22" s="9"/>
      <c r="AD22" s="9"/>
      <c r="AE22" s="9"/>
      <c r="AF22" s="9"/>
      <c r="AG22" s="9"/>
    </row>
    <row r="23" spans="1:33" x14ac:dyDescent="0.2">
      <c r="A23" s="346"/>
      <c r="B23" s="3" t="s">
        <v>61</v>
      </c>
      <c r="C23" s="658" t="s">
        <v>1430</v>
      </c>
      <c r="D23" s="659"/>
      <c r="E23" s="659"/>
      <c r="F23" s="660"/>
      <c r="G23" s="416" t="s">
        <v>1438</v>
      </c>
      <c r="H23" s="45"/>
      <c r="I23" s="59"/>
      <c r="J23" s="59"/>
      <c r="K23" s="59"/>
      <c r="L23" s="59"/>
      <c r="M23" s="59"/>
      <c r="N23" s="59"/>
      <c r="O23" s="59"/>
      <c r="P23" s="59"/>
      <c r="Q23" s="56">
        <f t="shared" si="9"/>
        <v>0</v>
      </c>
      <c r="R23" s="56">
        <f t="shared" si="9"/>
        <v>0</v>
      </c>
      <c r="S23" s="59"/>
      <c r="T23" s="59"/>
      <c r="U23" s="56">
        <f t="shared" si="10"/>
        <v>0</v>
      </c>
      <c r="V23" s="56">
        <f t="shared" si="10"/>
        <v>0</v>
      </c>
      <c r="W23" s="36"/>
      <c r="X23" s="9"/>
      <c r="Y23" s="9"/>
      <c r="Z23" s="9"/>
      <c r="AA23" s="9"/>
      <c r="AB23" s="9"/>
      <c r="AC23" s="9"/>
      <c r="AD23" s="9"/>
      <c r="AE23" s="9"/>
      <c r="AF23" s="9"/>
      <c r="AG23" s="9"/>
    </row>
    <row r="24" spans="1:33" x14ac:dyDescent="0.2">
      <c r="A24" s="346" t="s">
        <v>90</v>
      </c>
      <c r="B24" s="312" t="s">
        <v>646</v>
      </c>
      <c r="C24" s="312"/>
      <c r="D24" s="312"/>
      <c r="E24" s="312"/>
      <c r="F24" s="347"/>
      <c r="G24" s="313" t="s">
        <v>120</v>
      </c>
      <c r="H24" s="45"/>
      <c r="I24" s="57">
        <f t="shared" ref="I24:P24" si="11">+I25+I26</f>
        <v>0</v>
      </c>
      <c r="J24" s="57">
        <f t="shared" si="11"/>
        <v>0</v>
      </c>
      <c r="K24" s="57">
        <f t="shared" si="11"/>
        <v>0</v>
      </c>
      <c r="L24" s="57">
        <f t="shared" si="11"/>
        <v>0</v>
      </c>
      <c r="M24" s="57">
        <f t="shared" si="11"/>
        <v>0</v>
      </c>
      <c r="N24" s="57">
        <f t="shared" si="11"/>
        <v>0</v>
      </c>
      <c r="O24" s="57">
        <f t="shared" si="11"/>
        <v>0</v>
      </c>
      <c r="P24" s="57">
        <f t="shared" si="11"/>
        <v>0</v>
      </c>
      <c r="Q24" s="56">
        <f t="shared" ref="Q24:Q45" si="12">+I24+K24+M24+O24</f>
        <v>0</v>
      </c>
      <c r="R24" s="56">
        <f t="shared" si="3"/>
        <v>0</v>
      </c>
      <c r="S24" s="57">
        <f>+S25+S26</f>
        <v>0</v>
      </c>
      <c r="T24" s="57">
        <f>+T25+T26</f>
        <v>0</v>
      </c>
      <c r="U24" s="56">
        <f t="shared" ref="U24:U45" si="13">+Q24-S24</f>
        <v>0</v>
      </c>
      <c r="V24" s="56">
        <f t="shared" si="5"/>
        <v>0</v>
      </c>
      <c r="W24" s="36"/>
      <c r="X24" s="9"/>
      <c r="Y24" s="9"/>
      <c r="Z24" s="9"/>
      <c r="AA24" s="9"/>
      <c r="AB24" s="9"/>
      <c r="AC24" s="9"/>
      <c r="AD24" s="9"/>
      <c r="AE24" s="9"/>
      <c r="AF24" s="9"/>
      <c r="AG24" s="9"/>
    </row>
    <row r="25" spans="1:33" x14ac:dyDescent="0.2">
      <c r="A25" s="346"/>
      <c r="B25" s="312" t="s">
        <v>59</v>
      </c>
      <c r="C25" s="312" t="s">
        <v>1451</v>
      </c>
      <c r="D25" s="312"/>
      <c r="E25" s="312"/>
      <c r="F25" s="347"/>
      <c r="G25" s="313" t="s">
        <v>121</v>
      </c>
      <c r="H25" s="45"/>
      <c r="I25" s="59"/>
      <c r="J25" s="59"/>
      <c r="K25" s="59"/>
      <c r="L25" s="59"/>
      <c r="M25" s="59"/>
      <c r="N25" s="59"/>
      <c r="O25" s="59"/>
      <c r="P25" s="59"/>
      <c r="Q25" s="56">
        <f t="shared" si="12"/>
        <v>0</v>
      </c>
      <c r="R25" s="56">
        <f t="shared" si="3"/>
        <v>0</v>
      </c>
      <c r="S25" s="59"/>
      <c r="T25" s="59"/>
      <c r="U25" s="56">
        <f t="shared" si="13"/>
        <v>0</v>
      </c>
      <c r="V25" s="56">
        <f t="shared" si="5"/>
        <v>0</v>
      </c>
      <c r="W25" s="36"/>
      <c r="X25" s="9"/>
      <c r="Y25" s="9"/>
      <c r="Z25" s="9"/>
      <c r="AA25" s="9"/>
      <c r="AB25" s="9"/>
      <c r="AC25" s="9"/>
      <c r="AD25" s="9"/>
      <c r="AE25" s="9"/>
      <c r="AF25" s="9"/>
      <c r="AG25" s="9"/>
    </row>
    <row r="26" spans="1:33" x14ac:dyDescent="0.2">
      <c r="A26" s="346"/>
      <c r="B26" s="312" t="s">
        <v>69</v>
      </c>
      <c r="C26" s="312" t="s">
        <v>1452</v>
      </c>
      <c r="D26" s="312"/>
      <c r="E26" s="312"/>
      <c r="F26" s="347"/>
      <c r="G26" s="313" t="s">
        <v>122</v>
      </c>
      <c r="H26" s="45"/>
      <c r="I26" s="59"/>
      <c r="J26" s="59"/>
      <c r="K26" s="59"/>
      <c r="L26" s="59"/>
      <c r="M26" s="59"/>
      <c r="N26" s="59"/>
      <c r="O26" s="59"/>
      <c r="P26" s="59"/>
      <c r="Q26" s="56">
        <f t="shared" si="12"/>
        <v>0</v>
      </c>
      <c r="R26" s="56">
        <f t="shared" si="3"/>
        <v>0</v>
      </c>
      <c r="S26" s="59"/>
      <c r="T26" s="59"/>
      <c r="U26" s="56">
        <f t="shared" si="13"/>
        <v>0</v>
      </c>
      <c r="V26" s="56">
        <f t="shared" si="5"/>
        <v>0</v>
      </c>
      <c r="W26" s="36"/>
      <c r="X26" s="9"/>
      <c r="Y26" s="9"/>
      <c r="Z26" s="9"/>
      <c r="AA26" s="9"/>
      <c r="AB26" s="9"/>
      <c r="AC26" s="9"/>
      <c r="AD26" s="9"/>
      <c r="AE26" s="9"/>
      <c r="AF26" s="9"/>
      <c r="AG26" s="9"/>
    </row>
    <row r="27" spans="1:33" x14ac:dyDescent="0.2">
      <c r="A27" s="346" t="s">
        <v>257</v>
      </c>
      <c r="B27" s="312" t="s">
        <v>983</v>
      </c>
      <c r="C27" s="312"/>
      <c r="D27" s="312"/>
      <c r="E27" s="312"/>
      <c r="F27" s="347"/>
      <c r="G27" s="313" t="s">
        <v>123</v>
      </c>
      <c r="H27" s="45"/>
      <c r="I27" s="59"/>
      <c r="J27" s="59"/>
      <c r="K27" s="59"/>
      <c r="L27" s="59"/>
      <c r="M27" s="59"/>
      <c r="N27" s="59"/>
      <c r="O27" s="59"/>
      <c r="P27" s="59"/>
      <c r="Q27" s="56">
        <f t="shared" si="12"/>
        <v>0</v>
      </c>
      <c r="R27" s="56">
        <f t="shared" si="3"/>
        <v>0</v>
      </c>
      <c r="S27" s="59"/>
      <c r="T27" s="59"/>
      <c r="U27" s="56">
        <f t="shared" si="13"/>
        <v>0</v>
      </c>
      <c r="V27" s="56">
        <f t="shared" si="5"/>
        <v>0</v>
      </c>
      <c r="W27" s="36"/>
      <c r="X27" s="9"/>
      <c r="Y27" s="9"/>
      <c r="Z27" s="9"/>
      <c r="AA27" s="9"/>
      <c r="AB27" s="9"/>
      <c r="AC27" s="9"/>
      <c r="AD27" s="9"/>
      <c r="AE27" s="9"/>
      <c r="AF27" s="9"/>
      <c r="AG27" s="9"/>
    </row>
    <row r="28" spans="1:33" x14ac:dyDescent="0.2">
      <c r="A28" s="346" t="s">
        <v>74</v>
      </c>
      <c r="B28" s="312" t="s">
        <v>77</v>
      </c>
      <c r="C28" s="312"/>
      <c r="D28" s="312"/>
      <c r="E28" s="312"/>
      <c r="F28" s="347"/>
      <c r="G28" s="313" t="s">
        <v>124</v>
      </c>
      <c r="H28" s="45"/>
      <c r="I28" s="57">
        <f t="shared" ref="I28:P28" si="14">+I29+I30</f>
        <v>0</v>
      </c>
      <c r="J28" s="57">
        <f t="shared" si="14"/>
        <v>0</v>
      </c>
      <c r="K28" s="57">
        <f t="shared" si="14"/>
        <v>0</v>
      </c>
      <c r="L28" s="57">
        <f t="shared" si="14"/>
        <v>0</v>
      </c>
      <c r="M28" s="57">
        <f t="shared" si="14"/>
        <v>0</v>
      </c>
      <c r="N28" s="57">
        <f t="shared" si="14"/>
        <v>0</v>
      </c>
      <c r="O28" s="57">
        <f t="shared" si="14"/>
        <v>0</v>
      </c>
      <c r="P28" s="57">
        <f t="shared" si="14"/>
        <v>0</v>
      </c>
      <c r="Q28" s="56">
        <f t="shared" si="12"/>
        <v>0</v>
      </c>
      <c r="R28" s="56">
        <f t="shared" si="3"/>
        <v>0</v>
      </c>
      <c r="S28" s="57">
        <f>+S29+S30</f>
        <v>0</v>
      </c>
      <c r="T28" s="57">
        <f>+T29+T30</f>
        <v>0</v>
      </c>
      <c r="U28" s="56">
        <f t="shared" si="13"/>
        <v>0</v>
      </c>
      <c r="V28" s="56">
        <f t="shared" si="5"/>
        <v>0</v>
      </c>
      <c r="W28" s="36"/>
      <c r="X28" s="9"/>
      <c r="Y28" s="9"/>
      <c r="Z28" s="9"/>
      <c r="AA28" s="9"/>
      <c r="AB28" s="9"/>
      <c r="AC28" s="9"/>
      <c r="AD28" s="9"/>
      <c r="AE28" s="9"/>
      <c r="AF28" s="9"/>
      <c r="AG28" s="9"/>
    </row>
    <row r="29" spans="1:33" x14ac:dyDescent="0.2">
      <c r="A29" s="346"/>
      <c r="B29" s="312" t="s">
        <v>59</v>
      </c>
      <c r="C29" s="312" t="s">
        <v>78</v>
      </c>
      <c r="D29" s="312"/>
      <c r="E29" s="312"/>
      <c r="F29" s="347"/>
      <c r="G29" s="313" t="s">
        <v>125</v>
      </c>
      <c r="H29" s="45"/>
      <c r="I29" s="59"/>
      <c r="J29" s="59"/>
      <c r="K29" s="59"/>
      <c r="L29" s="59"/>
      <c r="M29" s="59"/>
      <c r="N29" s="59"/>
      <c r="O29" s="59"/>
      <c r="P29" s="59"/>
      <c r="Q29" s="56">
        <f t="shared" si="12"/>
        <v>0</v>
      </c>
      <c r="R29" s="56">
        <f t="shared" si="3"/>
        <v>0</v>
      </c>
      <c r="S29" s="59"/>
      <c r="T29" s="59"/>
      <c r="U29" s="56">
        <f t="shared" si="13"/>
        <v>0</v>
      </c>
      <c r="V29" s="56">
        <f t="shared" si="5"/>
        <v>0</v>
      </c>
      <c r="W29" s="36"/>
      <c r="X29" s="9"/>
      <c r="Y29" s="9"/>
      <c r="Z29" s="9"/>
      <c r="AA29" s="9"/>
      <c r="AB29" s="9"/>
      <c r="AC29" s="9"/>
      <c r="AD29" s="9"/>
      <c r="AE29" s="9"/>
      <c r="AF29" s="9"/>
      <c r="AG29" s="9"/>
    </row>
    <row r="30" spans="1:33" x14ac:dyDescent="0.2">
      <c r="A30" s="346"/>
      <c r="B30" s="312" t="s">
        <v>61</v>
      </c>
      <c r="C30" s="312" t="s">
        <v>66</v>
      </c>
      <c r="D30" s="312"/>
      <c r="E30" s="312"/>
      <c r="F30" s="347"/>
      <c r="G30" s="313" t="s">
        <v>126</v>
      </c>
      <c r="H30" s="45"/>
      <c r="I30" s="59"/>
      <c r="J30" s="59"/>
      <c r="K30" s="59"/>
      <c r="L30" s="59"/>
      <c r="M30" s="59"/>
      <c r="N30" s="59"/>
      <c r="O30" s="59"/>
      <c r="P30" s="59"/>
      <c r="Q30" s="56">
        <f t="shared" si="12"/>
        <v>0</v>
      </c>
      <c r="R30" s="56">
        <f t="shared" si="3"/>
        <v>0</v>
      </c>
      <c r="S30" s="59"/>
      <c r="T30" s="59"/>
      <c r="U30" s="56">
        <f t="shared" si="13"/>
        <v>0</v>
      </c>
      <c r="V30" s="56">
        <f t="shared" si="5"/>
        <v>0</v>
      </c>
      <c r="W30" s="36"/>
      <c r="X30" s="9"/>
      <c r="Y30" s="9"/>
      <c r="Z30" s="9"/>
      <c r="AA30" s="9"/>
      <c r="AB30" s="9"/>
      <c r="AC30" s="9"/>
      <c r="AD30" s="9"/>
      <c r="AE30" s="9"/>
      <c r="AF30" s="9"/>
      <c r="AG30" s="9"/>
    </row>
    <row r="31" spans="1:33" x14ac:dyDescent="0.2">
      <c r="A31" s="346" t="s">
        <v>76</v>
      </c>
      <c r="B31" s="640" t="s">
        <v>982</v>
      </c>
      <c r="C31" s="640"/>
      <c r="D31" s="640"/>
      <c r="E31" s="640"/>
      <c r="F31" s="640"/>
      <c r="G31" s="313" t="s">
        <v>127</v>
      </c>
      <c r="H31" s="45"/>
      <c r="I31" s="59"/>
      <c r="J31" s="59"/>
      <c r="K31" s="59"/>
      <c r="L31" s="59"/>
      <c r="M31" s="59"/>
      <c r="N31" s="59"/>
      <c r="O31" s="59"/>
      <c r="P31" s="59"/>
      <c r="Q31" s="56">
        <f t="shared" si="12"/>
        <v>0</v>
      </c>
      <c r="R31" s="56">
        <f t="shared" si="3"/>
        <v>0</v>
      </c>
      <c r="S31" s="59"/>
      <c r="T31" s="59"/>
      <c r="U31" s="56">
        <f t="shared" si="13"/>
        <v>0</v>
      </c>
      <c r="V31" s="56">
        <f t="shared" si="5"/>
        <v>0</v>
      </c>
      <c r="W31" s="36"/>
      <c r="X31" s="9"/>
      <c r="Y31" s="9"/>
      <c r="Z31" s="9"/>
      <c r="AA31" s="9"/>
      <c r="AB31" s="9"/>
      <c r="AC31" s="9"/>
      <c r="AD31" s="9"/>
      <c r="AE31" s="9"/>
      <c r="AF31" s="9"/>
      <c r="AG31" s="9"/>
    </row>
    <row r="32" spans="1:33" x14ac:dyDescent="0.2">
      <c r="A32" s="346" t="s">
        <v>79</v>
      </c>
      <c r="B32" s="312" t="s">
        <v>1467</v>
      </c>
      <c r="C32" s="312"/>
      <c r="D32" s="312"/>
      <c r="E32" s="312"/>
      <c r="F32" s="347"/>
      <c r="G32" s="313" t="s">
        <v>128</v>
      </c>
      <c r="H32" s="45"/>
      <c r="I32" s="57">
        <f>+I33+I34+I37+I38</f>
        <v>0</v>
      </c>
      <c r="J32" s="57">
        <f t="shared" ref="J32:P32" si="15">+J33+J34+J37+J38</f>
        <v>0</v>
      </c>
      <c r="K32" s="57">
        <f t="shared" si="15"/>
        <v>0</v>
      </c>
      <c r="L32" s="57">
        <f t="shared" si="15"/>
        <v>0</v>
      </c>
      <c r="M32" s="57">
        <f t="shared" si="15"/>
        <v>0</v>
      </c>
      <c r="N32" s="57">
        <f t="shared" si="15"/>
        <v>0</v>
      </c>
      <c r="O32" s="57">
        <f t="shared" si="15"/>
        <v>0</v>
      </c>
      <c r="P32" s="57">
        <f t="shared" si="15"/>
        <v>0</v>
      </c>
      <c r="Q32" s="56">
        <f t="shared" si="12"/>
        <v>0</v>
      </c>
      <c r="R32" s="56">
        <f t="shared" si="3"/>
        <v>0</v>
      </c>
      <c r="S32" s="57">
        <f>+S33+S34+S37+S38</f>
        <v>0</v>
      </c>
      <c r="T32" s="57">
        <f>+T33+T34+T37+T38</f>
        <v>0</v>
      </c>
      <c r="U32" s="56">
        <f t="shared" si="13"/>
        <v>0</v>
      </c>
      <c r="V32" s="56">
        <f t="shared" si="5"/>
        <v>0</v>
      </c>
      <c r="W32" s="36"/>
      <c r="X32" s="9"/>
      <c r="Y32" s="9"/>
      <c r="Z32" s="9"/>
      <c r="AA32" s="9"/>
      <c r="AB32" s="9"/>
      <c r="AC32" s="9"/>
      <c r="AD32" s="9"/>
      <c r="AE32" s="9"/>
      <c r="AF32" s="9"/>
      <c r="AG32" s="9"/>
    </row>
    <row r="33" spans="1:39" x14ac:dyDescent="0.2">
      <c r="A33" s="346"/>
      <c r="B33" s="312" t="s">
        <v>59</v>
      </c>
      <c r="C33" s="312" t="s">
        <v>82</v>
      </c>
      <c r="D33" s="312"/>
      <c r="E33" s="312"/>
      <c r="F33" s="347"/>
      <c r="G33" s="313" t="s">
        <v>129</v>
      </c>
      <c r="H33" s="45"/>
      <c r="I33" s="59"/>
      <c r="J33" s="59"/>
      <c r="K33" s="59"/>
      <c r="L33" s="59"/>
      <c r="M33" s="59"/>
      <c r="N33" s="59"/>
      <c r="O33" s="59"/>
      <c r="P33" s="59"/>
      <c r="Q33" s="56">
        <f t="shared" si="12"/>
        <v>0</v>
      </c>
      <c r="R33" s="56">
        <f t="shared" si="3"/>
        <v>0</v>
      </c>
      <c r="S33" s="59"/>
      <c r="T33" s="59"/>
      <c r="U33" s="56">
        <f t="shared" si="13"/>
        <v>0</v>
      </c>
      <c r="V33" s="56">
        <f t="shared" si="5"/>
        <v>0</v>
      </c>
      <c r="W33" s="36"/>
      <c r="X33" s="9"/>
      <c r="Y33" s="9"/>
      <c r="Z33" s="9"/>
      <c r="AA33" s="9"/>
      <c r="AB33" s="9"/>
      <c r="AC33" s="9"/>
      <c r="AD33" s="9"/>
      <c r="AE33" s="9"/>
      <c r="AF33" s="9"/>
      <c r="AG33" s="9"/>
    </row>
    <row r="34" spans="1:39" x14ac:dyDescent="0.2">
      <c r="A34" s="346"/>
      <c r="B34" s="312" t="s">
        <v>61</v>
      </c>
      <c r="C34" s="662" t="s">
        <v>1457</v>
      </c>
      <c r="D34" s="662"/>
      <c r="E34" s="662"/>
      <c r="F34" s="663"/>
      <c r="G34" s="313" t="s">
        <v>130</v>
      </c>
      <c r="H34" s="45"/>
      <c r="I34" s="57">
        <f>I35+I36</f>
        <v>0</v>
      </c>
      <c r="J34" s="57">
        <f t="shared" ref="J34:P34" si="16">J35+J36</f>
        <v>0</v>
      </c>
      <c r="K34" s="57">
        <f t="shared" si="16"/>
        <v>0</v>
      </c>
      <c r="L34" s="57">
        <f t="shared" si="16"/>
        <v>0</v>
      </c>
      <c r="M34" s="57">
        <f t="shared" si="16"/>
        <v>0</v>
      </c>
      <c r="N34" s="57">
        <f t="shared" si="16"/>
        <v>0</v>
      </c>
      <c r="O34" s="57">
        <f t="shared" si="16"/>
        <v>0</v>
      </c>
      <c r="P34" s="57">
        <f t="shared" si="16"/>
        <v>0</v>
      </c>
      <c r="Q34" s="57">
        <f t="shared" si="12"/>
        <v>0</v>
      </c>
      <c r="R34" s="57">
        <f>+J34+L34+N34+P34</f>
        <v>0</v>
      </c>
      <c r="S34" s="57">
        <f>S35+S36</f>
        <v>0</v>
      </c>
      <c r="T34" s="57">
        <f>T35+T36</f>
        <v>0</v>
      </c>
      <c r="U34" s="57">
        <f t="shared" si="13"/>
        <v>0</v>
      </c>
      <c r="V34" s="57">
        <f>+R34-T34</f>
        <v>0</v>
      </c>
      <c r="W34" s="37"/>
      <c r="X34" s="22"/>
      <c r="Y34" s="22"/>
      <c r="Z34" s="22"/>
      <c r="AA34" s="22"/>
      <c r="AB34" s="22"/>
      <c r="AC34" s="22"/>
      <c r="AD34" s="22"/>
      <c r="AE34" s="22"/>
      <c r="AF34" s="22"/>
      <c r="AG34" s="22"/>
      <c r="AH34" s="21"/>
      <c r="AI34" s="21"/>
      <c r="AJ34" s="21"/>
      <c r="AK34" s="21"/>
      <c r="AL34" s="21"/>
      <c r="AM34" s="21"/>
    </row>
    <row r="35" spans="1:39" x14ac:dyDescent="0.2">
      <c r="A35" s="617"/>
      <c r="B35" s="556"/>
      <c r="C35" s="312" t="s">
        <v>54</v>
      </c>
      <c r="D35" s="312" t="s">
        <v>83</v>
      </c>
      <c r="E35" s="312"/>
      <c r="F35" s="312"/>
      <c r="G35" s="618" t="s">
        <v>1463</v>
      </c>
      <c r="H35" s="45"/>
      <c r="I35" s="59"/>
      <c r="J35" s="59"/>
      <c r="K35" s="59"/>
      <c r="L35" s="59"/>
      <c r="M35" s="59"/>
      <c r="N35" s="59"/>
      <c r="O35" s="59"/>
      <c r="P35" s="59"/>
      <c r="Q35" s="56">
        <f t="shared" si="12"/>
        <v>0</v>
      </c>
      <c r="R35" s="56">
        <f>+J35+L35+N35+P35</f>
        <v>0</v>
      </c>
      <c r="S35" s="59"/>
      <c r="T35" s="59"/>
      <c r="U35" s="56">
        <f t="shared" si="13"/>
        <v>0</v>
      </c>
      <c r="V35" s="56">
        <f>+R35-T35</f>
        <v>0</v>
      </c>
      <c r="W35" s="37"/>
      <c r="X35" s="22"/>
      <c r="Y35" s="22"/>
      <c r="Z35" s="22"/>
      <c r="AA35" s="22"/>
      <c r="AB35" s="22"/>
      <c r="AC35" s="22"/>
      <c r="AD35" s="22"/>
      <c r="AE35" s="22"/>
      <c r="AF35" s="22"/>
      <c r="AG35" s="22"/>
      <c r="AH35" s="21"/>
      <c r="AI35" s="21"/>
      <c r="AJ35" s="21"/>
      <c r="AK35" s="21"/>
      <c r="AL35" s="21"/>
      <c r="AM35" s="21"/>
    </row>
    <row r="36" spans="1:39" x14ac:dyDescent="0.2">
      <c r="A36" s="617"/>
      <c r="B36" s="556"/>
      <c r="C36" s="312" t="s">
        <v>55</v>
      </c>
      <c r="D36" s="312" t="s">
        <v>1458</v>
      </c>
      <c r="E36" s="312"/>
      <c r="F36" s="312"/>
      <c r="G36" s="618" t="s">
        <v>1464</v>
      </c>
      <c r="H36" s="45"/>
      <c r="I36" s="59"/>
      <c r="J36" s="59"/>
      <c r="K36" s="59"/>
      <c r="L36" s="59"/>
      <c r="M36" s="59"/>
      <c r="N36" s="59"/>
      <c r="O36" s="59"/>
      <c r="P36" s="59"/>
      <c r="Q36" s="56">
        <f t="shared" si="12"/>
        <v>0</v>
      </c>
      <c r="R36" s="56">
        <f>+J36+L36+N36+P36</f>
        <v>0</v>
      </c>
      <c r="S36" s="59"/>
      <c r="T36" s="59"/>
      <c r="U36" s="56">
        <f t="shared" si="13"/>
        <v>0</v>
      </c>
      <c r="V36" s="56">
        <f>+R36-T36</f>
        <v>0</v>
      </c>
      <c r="W36" s="37"/>
      <c r="X36" s="22"/>
      <c r="Y36" s="22"/>
      <c r="Z36" s="22"/>
      <c r="AA36" s="22"/>
      <c r="AB36" s="22"/>
      <c r="AC36" s="22"/>
      <c r="AD36" s="22"/>
      <c r="AE36" s="22"/>
      <c r="AF36" s="22"/>
      <c r="AG36" s="22"/>
      <c r="AH36" s="21"/>
      <c r="AI36" s="21"/>
      <c r="AJ36" s="21"/>
      <c r="AK36" s="21"/>
      <c r="AL36" s="21"/>
      <c r="AM36" s="21"/>
    </row>
    <row r="37" spans="1:39" ht="26.25" customHeight="1" x14ac:dyDescent="0.2">
      <c r="A37" s="346"/>
      <c r="B37" s="3" t="s">
        <v>1434</v>
      </c>
      <c r="C37" s="694" t="s">
        <v>1468</v>
      </c>
      <c r="D37" s="695"/>
      <c r="E37" s="695"/>
      <c r="F37" s="696"/>
      <c r="G37" s="416" t="s">
        <v>1439</v>
      </c>
      <c r="H37" s="45"/>
      <c r="I37" s="59"/>
      <c r="J37" s="59"/>
      <c r="K37" s="59"/>
      <c r="L37" s="59"/>
      <c r="M37" s="59"/>
      <c r="N37" s="59"/>
      <c r="O37" s="59"/>
      <c r="P37" s="59"/>
      <c r="Q37" s="56">
        <f t="shared" si="12"/>
        <v>0</v>
      </c>
      <c r="R37" s="56">
        <f>+J37+L37+N37+P37</f>
        <v>0</v>
      </c>
      <c r="S37" s="59"/>
      <c r="T37" s="59"/>
      <c r="U37" s="56">
        <f t="shared" si="13"/>
        <v>0</v>
      </c>
      <c r="V37" s="56">
        <f>+R37-T37</f>
        <v>0</v>
      </c>
      <c r="W37" s="37"/>
      <c r="X37" s="22"/>
      <c r="Y37" s="22"/>
      <c r="Z37" s="22"/>
      <c r="AA37" s="22"/>
      <c r="AB37" s="22"/>
      <c r="AC37" s="22"/>
      <c r="AD37" s="22"/>
      <c r="AE37" s="22"/>
      <c r="AF37" s="22"/>
      <c r="AG37" s="22"/>
      <c r="AH37" s="21"/>
      <c r="AI37" s="21"/>
      <c r="AJ37" s="21"/>
      <c r="AK37" s="21"/>
      <c r="AL37" s="21"/>
      <c r="AM37" s="21"/>
    </row>
    <row r="38" spans="1:39" x14ac:dyDescent="0.2">
      <c r="A38" s="346"/>
      <c r="B38" s="312" t="s">
        <v>1433</v>
      </c>
      <c r="C38" s="312" t="s">
        <v>52</v>
      </c>
      <c r="D38" s="312"/>
      <c r="E38" s="312"/>
      <c r="F38" s="347"/>
      <c r="G38" s="313" t="s">
        <v>131</v>
      </c>
      <c r="H38" s="45"/>
      <c r="I38" s="59"/>
      <c r="J38" s="59"/>
      <c r="K38" s="59"/>
      <c r="L38" s="59"/>
      <c r="M38" s="59"/>
      <c r="N38" s="59"/>
      <c r="O38" s="59"/>
      <c r="P38" s="59"/>
      <c r="Q38" s="56">
        <f t="shared" si="12"/>
        <v>0</v>
      </c>
      <c r="R38" s="56">
        <f t="shared" si="3"/>
        <v>0</v>
      </c>
      <c r="S38" s="59"/>
      <c r="T38" s="59"/>
      <c r="U38" s="56">
        <f t="shared" si="13"/>
        <v>0</v>
      </c>
      <c r="V38" s="56">
        <f t="shared" si="5"/>
        <v>0</v>
      </c>
      <c r="W38" s="37"/>
      <c r="X38" s="22"/>
      <c r="Y38" s="22"/>
      <c r="Z38" s="22"/>
      <c r="AA38" s="22"/>
      <c r="AB38" s="22"/>
      <c r="AC38" s="22"/>
      <c r="AD38" s="22"/>
      <c r="AE38" s="22"/>
      <c r="AF38" s="22"/>
      <c r="AG38" s="22"/>
      <c r="AH38" s="21"/>
      <c r="AI38" s="21"/>
      <c r="AJ38" s="21"/>
      <c r="AK38" s="21"/>
      <c r="AL38" s="21"/>
      <c r="AM38" s="21"/>
    </row>
    <row r="39" spans="1:39" x14ac:dyDescent="0.2">
      <c r="A39" s="346" t="s">
        <v>81</v>
      </c>
      <c r="B39" s="312" t="s">
        <v>85</v>
      </c>
      <c r="C39" s="312"/>
      <c r="D39" s="312"/>
      <c r="E39" s="312"/>
      <c r="F39" s="347"/>
      <c r="G39" s="313" t="s">
        <v>132</v>
      </c>
      <c r="H39" s="45"/>
      <c r="I39" s="59"/>
      <c r="J39" s="59"/>
      <c r="K39" s="59"/>
      <c r="L39" s="59"/>
      <c r="M39" s="59"/>
      <c r="N39" s="59"/>
      <c r="O39" s="59"/>
      <c r="P39" s="59"/>
      <c r="Q39" s="56">
        <f t="shared" si="12"/>
        <v>0</v>
      </c>
      <c r="R39" s="56">
        <f t="shared" si="3"/>
        <v>0</v>
      </c>
      <c r="S39" s="59"/>
      <c r="T39" s="59"/>
      <c r="U39" s="56">
        <f t="shared" si="13"/>
        <v>0</v>
      </c>
      <c r="V39" s="56">
        <f t="shared" si="5"/>
        <v>0</v>
      </c>
      <c r="W39" s="37"/>
      <c r="X39" s="22"/>
      <c r="Y39" s="22"/>
      <c r="Z39" s="22"/>
      <c r="AA39" s="22"/>
      <c r="AB39" s="22"/>
      <c r="AC39" s="22"/>
      <c r="AD39" s="22"/>
      <c r="AE39" s="22"/>
      <c r="AF39" s="22"/>
      <c r="AG39" s="22"/>
      <c r="AH39" s="21"/>
      <c r="AI39" s="21"/>
      <c r="AJ39" s="21"/>
      <c r="AK39" s="21"/>
      <c r="AL39" s="21"/>
      <c r="AM39" s="21"/>
    </row>
    <row r="40" spans="1:39" x14ac:dyDescent="0.2">
      <c r="A40" s="223" t="s">
        <v>86</v>
      </c>
      <c r="B40" s="312"/>
      <c r="C40" s="312"/>
      <c r="D40" s="312"/>
      <c r="E40" s="312"/>
      <c r="F40" s="347"/>
      <c r="G40" s="313" t="s">
        <v>133</v>
      </c>
      <c r="H40" s="45"/>
      <c r="I40" s="57">
        <f t="shared" ref="I40:P40" si="17">+I41+I42+I43+I44</f>
        <v>0</v>
      </c>
      <c r="J40" s="57">
        <f t="shared" si="17"/>
        <v>0</v>
      </c>
      <c r="K40" s="57">
        <f t="shared" si="17"/>
        <v>0</v>
      </c>
      <c r="L40" s="57">
        <f t="shared" si="17"/>
        <v>0</v>
      </c>
      <c r="M40" s="57">
        <f t="shared" si="17"/>
        <v>0</v>
      </c>
      <c r="N40" s="57">
        <f t="shared" si="17"/>
        <v>0</v>
      </c>
      <c r="O40" s="57">
        <f t="shared" si="17"/>
        <v>0</v>
      </c>
      <c r="P40" s="57">
        <f t="shared" si="17"/>
        <v>0</v>
      </c>
      <c r="Q40" s="56">
        <f t="shared" si="12"/>
        <v>0</v>
      </c>
      <c r="R40" s="56">
        <f t="shared" si="3"/>
        <v>0</v>
      </c>
      <c r="S40" s="57">
        <f>+S41+S42+S43+S44</f>
        <v>0</v>
      </c>
      <c r="T40" s="57">
        <f>+T41+T42+T43+T44</f>
        <v>0</v>
      </c>
      <c r="U40" s="56">
        <f t="shared" si="13"/>
        <v>0</v>
      </c>
      <c r="V40" s="56">
        <f t="shared" si="5"/>
        <v>0</v>
      </c>
      <c r="W40" s="37"/>
      <c r="X40" s="22"/>
      <c r="Y40" s="22"/>
      <c r="Z40" s="22"/>
      <c r="AA40" s="22"/>
      <c r="AB40" s="22"/>
      <c r="AC40" s="22"/>
      <c r="AD40" s="22"/>
      <c r="AE40" s="22"/>
      <c r="AF40" s="22"/>
      <c r="AG40" s="22"/>
      <c r="AH40" s="21"/>
      <c r="AI40" s="21"/>
      <c r="AJ40" s="21"/>
      <c r="AK40" s="21"/>
      <c r="AL40" s="21"/>
      <c r="AM40" s="21"/>
    </row>
    <row r="41" spans="1:39" x14ac:dyDescent="0.2">
      <c r="A41" s="348" t="s">
        <v>54</v>
      </c>
      <c r="B41" s="225" t="s">
        <v>87</v>
      </c>
      <c r="C41" s="312"/>
      <c r="D41" s="312"/>
      <c r="E41" s="312"/>
      <c r="F41" s="347"/>
      <c r="G41" s="313" t="s">
        <v>134</v>
      </c>
      <c r="H41" s="45"/>
      <c r="I41" s="59"/>
      <c r="J41" s="59"/>
      <c r="K41" s="59"/>
      <c r="L41" s="59"/>
      <c r="M41" s="59"/>
      <c r="N41" s="59"/>
      <c r="O41" s="59"/>
      <c r="P41" s="59"/>
      <c r="Q41" s="56">
        <f t="shared" si="12"/>
        <v>0</v>
      </c>
      <c r="R41" s="56">
        <f t="shared" si="3"/>
        <v>0</v>
      </c>
      <c r="S41" s="59"/>
      <c r="T41" s="59"/>
      <c r="U41" s="56">
        <f t="shared" si="13"/>
        <v>0</v>
      </c>
      <c r="V41" s="56">
        <f t="shared" si="5"/>
        <v>0</v>
      </c>
      <c r="W41" s="37"/>
      <c r="X41" s="22"/>
      <c r="Y41" s="22"/>
      <c r="Z41" s="22"/>
      <c r="AA41" s="22"/>
      <c r="AB41" s="22"/>
      <c r="AC41" s="22"/>
      <c r="AD41" s="22"/>
      <c r="AE41" s="22"/>
      <c r="AF41" s="22"/>
      <c r="AG41" s="22"/>
      <c r="AH41" s="21"/>
      <c r="AI41" s="21"/>
      <c r="AJ41" s="21"/>
      <c r="AK41" s="21"/>
      <c r="AL41" s="21"/>
      <c r="AM41" s="21"/>
    </row>
    <row r="42" spans="1:39" x14ac:dyDescent="0.2">
      <c r="A42" s="348" t="s">
        <v>55</v>
      </c>
      <c r="B42" s="225" t="s">
        <v>88</v>
      </c>
      <c r="C42" s="312"/>
      <c r="D42" s="312"/>
      <c r="E42" s="312"/>
      <c r="F42" s="347"/>
      <c r="G42" s="313" t="s">
        <v>135</v>
      </c>
      <c r="H42" s="45"/>
      <c r="I42" s="59"/>
      <c r="J42" s="59"/>
      <c r="K42" s="59"/>
      <c r="L42" s="59"/>
      <c r="M42" s="59"/>
      <c r="N42" s="59"/>
      <c r="O42" s="59"/>
      <c r="P42" s="59"/>
      <c r="Q42" s="56">
        <f t="shared" si="12"/>
        <v>0</v>
      </c>
      <c r="R42" s="56">
        <f t="shared" si="3"/>
        <v>0</v>
      </c>
      <c r="S42" s="59"/>
      <c r="T42" s="59"/>
      <c r="U42" s="56">
        <f t="shared" si="13"/>
        <v>0</v>
      </c>
      <c r="V42" s="56">
        <f t="shared" si="5"/>
        <v>0</v>
      </c>
      <c r="W42" s="37"/>
      <c r="X42" s="22"/>
      <c r="Y42" s="22"/>
      <c r="Z42" s="22"/>
      <c r="AA42" s="22"/>
      <c r="AB42" s="22"/>
      <c r="AC42" s="22"/>
      <c r="AD42" s="22"/>
      <c r="AE42" s="22"/>
      <c r="AF42" s="22"/>
      <c r="AG42" s="22"/>
      <c r="AH42" s="21"/>
      <c r="AI42" s="21"/>
      <c r="AJ42" s="21"/>
      <c r="AK42" s="21"/>
      <c r="AL42" s="21"/>
      <c r="AM42" s="21"/>
    </row>
    <row r="43" spans="1:39" x14ac:dyDescent="0.2">
      <c r="A43" s="348" t="s">
        <v>65</v>
      </c>
      <c r="B43" s="312" t="s">
        <v>89</v>
      </c>
      <c r="C43" s="312"/>
      <c r="D43" s="312"/>
      <c r="E43" s="312"/>
      <c r="F43" s="347"/>
      <c r="G43" s="313" t="s">
        <v>136</v>
      </c>
      <c r="H43" s="45"/>
      <c r="I43" s="59"/>
      <c r="J43" s="59"/>
      <c r="K43" s="59"/>
      <c r="L43" s="59"/>
      <c r="M43" s="59"/>
      <c r="N43" s="59"/>
      <c r="O43" s="59"/>
      <c r="P43" s="59"/>
      <c r="Q43" s="56">
        <f t="shared" si="12"/>
        <v>0</v>
      </c>
      <c r="R43" s="56">
        <f t="shared" si="3"/>
        <v>0</v>
      </c>
      <c r="S43" s="59"/>
      <c r="T43" s="59"/>
      <c r="U43" s="56">
        <f t="shared" si="13"/>
        <v>0</v>
      </c>
      <c r="V43" s="56">
        <f t="shared" si="5"/>
        <v>0</v>
      </c>
      <c r="W43" s="37"/>
      <c r="X43" s="22"/>
      <c r="Y43" s="22"/>
      <c r="Z43" s="22"/>
      <c r="AA43" s="22"/>
      <c r="AB43" s="22"/>
      <c r="AC43" s="22"/>
      <c r="AD43" s="22"/>
      <c r="AE43" s="22"/>
      <c r="AF43" s="22"/>
      <c r="AG43" s="22"/>
      <c r="AH43" s="21"/>
      <c r="AI43" s="21"/>
      <c r="AJ43" s="21"/>
      <c r="AK43" s="21"/>
      <c r="AL43" s="21"/>
      <c r="AM43" s="21"/>
    </row>
    <row r="44" spans="1:39" x14ac:dyDescent="0.2">
      <c r="A44" s="348" t="s">
        <v>90</v>
      </c>
      <c r="B44" s="312" t="s">
        <v>91</v>
      </c>
      <c r="C44" s="312"/>
      <c r="D44" s="312"/>
      <c r="E44" s="312"/>
      <c r="F44" s="347"/>
      <c r="G44" s="313" t="s">
        <v>137</v>
      </c>
      <c r="H44" s="45"/>
      <c r="I44" s="231"/>
      <c r="J44" s="231"/>
      <c r="K44" s="231"/>
      <c r="L44" s="231"/>
      <c r="M44" s="231"/>
      <c r="N44" s="231"/>
      <c r="O44" s="231"/>
      <c r="P44" s="231"/>
      <c r="Q44" s="176">
        <f t="shared" si="12"/>
        <v>0</v>
      </c>
      <c r="R44" s="176">
        <f t="shared" si="3"/>
        <v>0</v>
      </c>
      <c r="S44" s="231"/>
      <c r="T44" s="231"/>
      <c r="U44" s="176">
        <f t="shared" si="13"/>
        <v>0</v>
      </c>
      <c r="V44" s="176">
        <f t="shared" si="5"/>
        <v>0</v>
      </c>
      <c r="W44" s="37"/>
      <c r="X44" s="22"/>
      <c r="Y44" s="22"/>
      <c r="Z44" s="22"/>
      <c r="AA44" s="22"/>
      <c r="AB44" s="22"/>
      <c r="AC44" s="22"/>
      <c r="AD44" s="22"/>
      <c r="AE44" s="22"/>
      <c r="AF44" s="22"/>
      <c r="AG44" s="22"/>
      <c r="AH44" s="21"/>
      <c r="AI44" s="21"/>
      <c r="AJ44" s="21"/>
      <c r="AK44" s="21"/>
      <c r="AL44" s="21"/>
      <c r="AM44" s="21"/>
    </row>
    <row r="45" spans="1:39" s="21" customFormat="1" x14ac:dyDescent="0.2">
      <c r="A45" s="643" t="s">
        <v>104</v>
      </c>
      <c r="B45" s="684"/>
      <c r="C45" s="684"/>
      <c r="D45" s="684"/>
      <c r="E45" s="684"/>
      <c r="F45" s="685"/>
      <c r="G45" s="313" t="s">
        <v>138</v>
      </c>
      <c r="H45" s="115"/>
      <c r="I45" s="205">
        <f t="shared" ref="I45:P45" si="18">+I10+I40</f>
        <v>0</v>
      </c>
      <c r="J45" s="205">
        <f t="shared" si="18"/>
        <v>0</v>
      </c>
      <c r="K45" s="205">
        <f t="shared" si="18"/>
        <v>0</v>
      </c>
      <c r="L45" s="205">
        <f t="shared" si="18"/>
        <v>0</v>
      </c>
      <c r="M45" s="205">
        <f t="shared" si="18"/>
        <v>0</v>
      </c>
      <c r="N45" s="205">
        <f t="shared" si="18"/>
        <v>0</v>
      </c>
      <c r="O45" s="205">
        <f t="shared" si="18"/>
        <v>0</v>
      </c>
      <c r="P45" s="205">
        <f t="shared" si="18"/>
        <v>0</v>
      </c>
      <c r="Q45" s="56">
        <f t="shared" si="12"/>
        <v>0</v>
      </c>
      <c r="R45" s="56">
        <f t="shared" si="3"/>
        <v>0</v>
      </c>
      <c r="S45" s="205">
        <f>+S10+S40</f>
        <v>0</v>
      </c>
      <c r="T45" s="205">
        <f>+T10+T40</f>
        <v>0</v>
      </c>
      <c r="U45" s="56">
        <f t="shared" si="13"/>
        <v>0</v>
      </c>
      <c r="V45" s="56">
        <f t="shared" si="5"/>
        <v>0</v>
      </c>
      <c r="W45" s="37"/>
      <c r="X45" s="22"/>
      <c r="Y45" s="22"/>
      <c r="Z45" s="22"/>
      <c r="AA45" s="22"/>
      <c r="AB45" s="22"/>
      <c r="AC45" s="22"/>
      <c r="AD45" s="22"/>
      <c r="AE45" s="22"/>
      <c r="AF45" s="22"/>
      <c r="AG45" s="22"/>
    </row>
    <row r="46" spans="1:39" s="21" customFormat="1" x14ac:dyDescent="0.2">
      <c r="A46" s="328" t="s">
        <v>644</v>
      </c>
      <c r="B46" s="329"/>
      <c r="C46" s="329"/>
      <c r="D46" s="330"/>
      <c r="E46" s="329"/>
      <c r="F46" s="331"/>
      <c r="G46" s="350"/>
      <c r="H46" s="19"/>
      <c r="I46" s="84"/>
      <c r="J46" s="84"/>
      <c r="K46" s="84"/>
      <c r="L46" s="84"/>
      <c r="M46" s="84"/>
      <c r="N46" s="84"/>
      <c r="O46" s="84"/>
      <c r="P46" s="84"/>
      <c r="Q46" s="19"/>
      <c r="R46" s="19"/>
      <c r="S46" s="19"/>
      <c r="T46" s="19"/>
      <c r="U46" s="19"/>
      <c r="V46" s="19"/>
      <c r="W46" s="22"/>
      <c r="X46" s="22"/>
      <c r="Y46" s="22"/>
      <c r="Z46" s="22"/>
      <c r="AA46" s="22"/>
      <c r="AB46" s="22"/>
      <c r="AC46" s="22"/>
      <c r="AD46" s="22"/>
      <c r="AE46" s="22"/>
      <c r="AF46" s="22"/>
      <c r="AG46" s="22"/>
    </row>
    <row r="47" spans="1:39" s="21" customFormat="1" x14ac:dyDescent="0.2">
      <c r="A47" s="333" t="s">
        <v>161</v>
      </c>
      <c r="B47" s="303" t="s">
        <v>68</v>
      </c>
      <c r="C47" s="303"/>
      <c r="D47" s="303"/>
      <c r="E47" s="303"/>
      <c r="F47" s="334"/>
      <c r="G47" s="351" t="s">
        <v>642</v>
      </c>
      <c r="H47" s="260"/>
      <c r="I47" s="231"/>
      <c r="J47" s="231"/>
      <c r="K47" s="231"/>
      <c r="L47" s="231"/>
      <c r="M47" s="231"/>
      <c r="N47" s="231"/>
      <c r="O47" s="231"/>
      <c r="P47" s="231"/>
      <c r="Q47" s="56">
        <f>+I47+K47+M47+O47</f>
        <v>0</v>
      </c>
      <c r="R47" s="56">
        <f>+J47+L47+N47+P47</f>
        <v>0</v>
      </c>
      <c r="S47" s="231"/>
      <c r="T47" s="231"/>
      <c r="U47" s="56">
        <f>+Q47-S47</f>
        <v>0</v>
      </c>
      <c r="V47" s="56">
        <f>+R47-T47</f>
        <v>0</v>
      </c>
      <c r="W47" s="22"/>
      <c r="X47" s="22"/>
      <c r="Y47" s="22"/>
      <c r="Z47" s="22"/>
      <c r="AA47" s="22"/>
      <c r="AB47" s="22"/>
      <c r="AC47" s="22"/>
      <c r="AD47" s="22"/>
      <c r="AE47" s="22"/>
      <c r="AF47" s="22"/>
      <c r="AG47" s="22"/>
    </row>
    <row r="48" spans="1:39" s="21" customFormat="1" x14ac:dyDescent="0.2">
      <c r="A48" s="333" t="s">
        <v>164</v>
      </c>
      <c r="B48" s="303" t="s">
        <v>70</v>
      </c>
      <c r="C48" s="303"/>
      <c r="D48" s="303"/>
      <c r="E48" s="303"/>
      <c r="F48" s="334"/>
      <c r="G48" s="351" t="s">
        <v>643</v>
      </c>
      <c r="H48" s="260"/>
      <c r="I48" s="231"/>
      <c r="J48" s="231"/>
      <c r="K48" s="231"/>
      <c r="L48" s="231"/>
      <c r="M48" s="231"/>
      <c r="N48" s="231"/>
      <c r="O48" s="231"/>
      <c r="P48" s="231"/>
      <c r="Q48" s="56">
        <f>+I48+K48+M48+O48</f>
        <v>0</v>
      </c>
      <c r="R48" s="56">
        <f>+J48+L48+N48+P48</f>
        <v>0</v>
      </c>
      <c r="S48" s="231"/>
      <c r="T48" s="231"/>
      <c r="U48" s="56">
        <f>+Q48-S48</f>
        <v>0</v>
      </c>
      <c r="V48" s="56">
        <f>+R48-T48</f>
        <v>0</v>
      </c>
      <c r="W48" s="22"/>
      <c r="X48" s="22"/>
      <c r="Y48" s="22"/>
      <c r="Z48" s="22"/>
      <c r="AA48" s="22"/>
      <c r="AB48" s="22"/>
      <c r="AC48" s="22"/>
      <c r="AD48" s="22"/>
      <c r="AE48" s="22"/>
      <c r="AF48" s="22"/>
      <c r="AG48" s="22"/>
    </row>
    <row r="49" spans="7:33" x14ac:dyDescent="0.2">
      <c r="G49" s="230" t="s">
        <v>108</v>
      </c>
      <c r="I49" s="42"/>
      <c r="J49" s="42"/>
      <c r="K49" s="42"/>
      <c r="L49" s="42"/>
      <c r="M49" s="42"/>
      <c r="N49" s="42"/>
      <c r="O49" s="42"/>
      <c r="P49" s="42"/>
      <c r="Q49" s="42"/>
      <c r="R49" s="42"/>
      <c r="S49" s="42"/>
      <c r="T49" s="42"/>
      <c r="U49" s="42"/>
      <c r="V49" s="42"/>
      <c r="W49" s="9"/>
      <c r="X49" s="9"/>
      <c r="Y49" s="9"/>
      <c r="Z49" s="9"/>
      <c r="AA49" s="9"/>
      <c r="AB49" s="9"/>
      <c r="AC49" s="9"/>
      <c r="AD49" s="9"/>
      <c r="AE49" s="9"/>
      <c r="AF49" s="9"/>
      <c r="AG49" s="9"/>
    </row>
  </sheetData>
  <sheetProtection password="E2FA" sheet="1" objects="1" scenarios="1" selectLockedCells="1"/>
  <mergeCells count="26">
    <mergeCell ref="C22:F22"/>
    <mergeCell ref="M5:N5"/>
    <mergeCell ref="O5:P5"/>
    <mergeCell ref="U5:V5"/>
    <mergeCell ref="U6:V8"/>
    <mergeCell ref="I5:J5"/>
    <mergeCell ref="Q5:R5"/>
    <mergeCell ref="S5:T5"/>
    <mergeCell ref="K5:L5"/>
    <mergeCell ref="M7:N8"/>
    <mergeCell ref="O7:P8"/>
    <mergeCell ref="A1:V1"/>
    <mergeCell ref="A2:V2"/>
    <mergeCell ref="A3:V3"/>
    <mergeCell ref="A5:F9"/>
    <mergeCell ref="G5:G9"/>
    <mergeCell ref="A45:F45"/>
    <mergeCell ref="I6:J8"/>
    <mergeCell ref="S6:T8"/>
    <mergeCell ref="B31:F31"/>
    <mergeCell ref="C23:F23"/>
    <mergeCell ref="Q6:R8"/>
    <mergeCell ref="C34:F34"/>
    <mergeCell ref="C37:F37"/>
    <mergeCell ref="K6:L8"/>
    <mergeCell ref="M6:P6"/>
  </mergeCells>
  <phoneticPr fontId="2" type="noConversion"/>
  <dataValidations count="1">
    <dataValidation type="decimal" allowBlank="1" showInputMessage="1" showErrorMessage="1" sqref="S25:T27 S29:T31 S41:T44 I25:P27 I29:P31 I22:P23 I41:P44 S12:T13 S19:T20 I15:P17 I12:P13 S47:T48 S15:T17 I47:P48 I19:P20 S22:T23 I33:P39 S33:T39">
      <formula1>0</formula1>
      <formula2>99999999999999900</formula2>
    </dataValidation>
  </dataValidations>
  <printOptions horizontalCentered="1"/>
  <pageMargins left="0.25" right="0.5" top="1" bottom="0.5" header="0.6" footer="0.5"/>
  <pageSetup paperSize="9" orientation="landscape" horizontalDpi="300" verticalDpi="300" r:id="rId1"/>
  <headerFooter alignWithMargins="0">
    <oddHeader>&amp;R&amp;"Arial,Bold"&amp;8&amp;USchedule 11b4&amp;"Arial,Regular"&amp;10&amp;U
&amp;"Arial,Bold"&amp;8&amp;P of &amp;N&amp;C&amp;"Arial,Bold"&amp;8 ABN AMRO BANK INC (A COMM'L BANK)  [ 01-000000 ]
 As of: January 31, 2008</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46"/>
  <sheetViews>
    <sheetView zoomScaleNormal="100" zoomScaleSheetLayoutView="100" workbookViewId="0">
      <pane xSplit="8" ySplit="9" topLeftCell="I28" activePane="bottomRight" state="frozen"/>
      <selection pane="topRight" activeCell="I1" sqref="I1"/>
      <selection pane="bottomLeft" activeCell="A10" sqref="A10"/>
      <selection pane="bottomRight" sqref="A1:P1"/>
    </sheetView>
  </sheetViews>
  <sheetFormatPr defaultRowHeight="11.25" x14ac:dyDescent="0.2"/>
  <cols>
    <col min="1" max="1" width="3.140625" style="5" customWidth="1"/>
    <col min="2" max="2" width="3.42578125" style="5" customWidth="1"/>
    <col min="3" max="3" width="2.7109375" style="5" customWidth="1"/>
    <col min="4" max="5" width="4.140625" style="5" customWidth="1"/>
    <col min="6" max="6" width="21.85546875" style="5" customWidth="1"/>
    <col min="7" max="7" width="16.5703125" style="61" bestFit="1" customWidth="1"/>
    <col min="8" max="8" width="24.140625" style="18" hidden="1" customWidth="1"/>
    <col min="9" max="16" width="25.7109375" style="42" customWidth="1"/>
    <col min="17" max="20" width="9.140625" style="21"/>
    <col min="21" max="16384" width="9.140625" style="5"/>
  </cols>
  <sheetData>
    <row r="1" spans="1:20" s="243" customFormat="1" ht="12.75" x14ac:dyDescent="0.2">
      <c r="A1" s="669" t="s">
        <v>213</v>
      </c>
      <c r="B1" s="669"/>
      <c r="C1" s="669"/>
      <c r="D1" s="669"/>
      <c r="E1" s="669"/>
      <c r="F1" s="669"/>
      <c r="G1" s="669"/>
      <c r="H1" s="669"/>
      <c r="I1" s="669"/>
      <c r="J1" s="669"/>
      <c r="K1" s="669"/>
      <c r="L1" s="669"/>
      <c r="M1" s="669"/>
      <c r="N1" s="669"/>
      <c r="O1" s="669"/>
      <c r="P1" s="669"/>
      <c r="Q1" s="244"/>
      <c r="R1" s="244"/>
      <c r="S1" s="244"/>
      <c r="T1" s="244"/>
    </row>
    <row r="2" spans="1:20" s="243" customFormat="1" ht="12.75" x14ac:dyDescent="0.2">
      <c r="A2" s="669" t="s">
        <v>499</v>
      </c>
      <c r="B2" s="669"/>
      <c r="C2" s="669"/>
      <c r="D2" s="669"/>
      <c r="E2" s="669"/>
      <c r="F2" s="669"/>
      <c r="G2" s="669"/>
      <c r="H2" s="669"/>
      <c r="I2" s="669"/>
      <c r="J2" s="669"/>
      <c r="K2" s="669"/>
      <c r="L2" s="669"/>
      <c r="M2" s="669"/>
      <c r="N2" s="669"/>
      <c r="O2" s="669"/>
      <c r="P2" s="669"/>
      <c r="Q2" s="244"/>
      <c r="R2" s="244"/>
      <c r="S2" s="244"/>
      <c r="T2" s="244"/>
    </row>
    <row r="3" spans="1:20" s="243" customFormat="1" ht="12.75" x14ac:dyDescent="0.2">
      <c r="A3" s="669" t="s">
        <v>93</v>
      </c>
      <c r="B3" s="669"/>
      <c r="C3" s="669"/>
      <c r="D3" s="669"/>
      <c r="E3" s="669"/>
      <c r="F3" s="669"/>
      <c r="G3" s="669"/>
      <c r="H3" s="669"/>
      <c r="I3" s="669"/>
      <c r="J3" s="669"/>
      <c r="K3" s="669"/>
      <c r="L3" s="669"/>
      <c r="M3" s="669"/>
      <c r="N3" s="669"/>
      <c r="O3" s="669"/>
      <c r="P3" s="669"/>
      <c r="Q3" s="244"/>
      <c r="R3" s="244"/>
      <c r="S3" s="244"/>
      <c r="T3" s="244"/>
    </row>
    <row r="4" spans="1:20" ht="10.5" customHeight="1" x14ac:dyDescent="0.2">
      <c r="A4" s="6"/>
      <c r="B4" s="6"/>
      <c r="C4" s="6"/>
      <c r="D4" s="6"/>
      <c r="E4" s="6"/>
      <c r="F4" s="6"/>
      <c r="G4" s="195"/>
      <c r="H4" s="196"/>
      <c r="I4" s="130"/>
      <c r="J4" s="130"/>
      <c r="K4" s="130"/>
      <c r="L4" s="130"/>
      <c r="M4" s="130"/>
      <c r="N4" s="130"/>
      <c r="O4" s="130"/>
      <c r="P4" s="130"/>
    </row>
    <row r="5" spans="1:20" ht="9.75" customHeight="1" x14ac:dyDescent="0.2">
      <c r="A5" s="704" t="s">
        <v>45</v>
      </c>
      <c r="B5" s="704"/>
      <c r="C5" s="704"/>
      <c r="D5" s="704"/>
      <c r="E5" s="704"/>
      <c r="F5" s="704"/>
      <c r="G5" s="703" t="s">
        <v>46</v>
      </c>
      <c r="H5" s="60"/>
      <c r="I5" s="667" t="s">
        <v>500</v>
      </c>
      <c r="J5" s="667" t="s">
        <v>501</v>
      </c>
      <c r="K5" s="667" t="s">
        <v>548</v>
      </c>
      <c r="L5" s="667" t="s">
        <v>549</v>
      </c>
      <c r="M5" s="667" t="s">
        <v>502</v>
      </c>
      <c r="N5" s="667" t="s">
        <v>503</v>
      </c>
      <c r="O5" s="667" t="s">
        <v>504</v>
      </c>
      <c r="P5" s="667" t="s">
        <v>505</v>
      </c>
    </row>
    <row r="6" spans="1:20" ht="9.75" customHeight="1" x14ac:dyDescent="0.2">
      <c r="A6" s="704"/>
      <c r="B6" s="704"/>
      <c r="C6" s="704"/>
      <c r="D6" s="704"/>
      <c r="E6" s="704"/>
      <c r="F6" s="704"/>
      <c r="G6" s="703"/>
      <c r="H6" s="60"/>
      <c r="I6" s="700"/>
      <c r="J6" s="701"/>
      <c r="K6" s="701"/>
      <c r="L6" s="701"/>
      <c r="M6" s="700"/>
      <c r="N6" s="667"/>
      <c r="O6" s="667"/>
      <c r="P6" s="667"/>
    </row>
    <row r="7" spans="1:20" ht="9.75" customHeight="1" x14ac:dyDescent="0.2">
      <c r="A7" s="704"/>
      <c r="B7" s="704"/>
      <c r="C7" s="704"/>
      <c r="D7" s="704"/>
      <c r="E7" s="704"/>
      <c r="F7" s="704"/>
      <c r="G7" s="703"/>
      <c r="H7" s="60"/>
      <c r="I7" s="700"/>
      <c r="J7" s="701"/>
      <c r="K7" s="701"/>
      <c r="L7" s="701"/>
      <c r="M7" s="700"/>
      <c r="N7" s="667"/>
      <c r="O7" s="667"/>
      <c r="P7" s="667"/>
    </row>
    <row r="8" spans="1:20" ht="14.25" customHeight="1" x14ac:dyDescent="0.2">
      <c r="A8" s="704"/>
      <c r="B8" s="704"/>
      <c r="C8" s="704"/>
      <c r="D8" s="704"/>
      <c r="E8" s="704"/>
      <c r="F8" s="704"/>
      <c r="G8" s="703"/>
      <c r="H8" s="60"/>
      <c r="I8" s="700"/>
      <c r="J8" s="701"/>
      <c r="K8" s="701"/>
      <c r="L8" s="701"/>
      <c r="M8" s="700"/>
      <c r="N8" s="667"/>
      <c r="O8" s="667"/>
      <c r="P8" s="667"/>
    </row>
    <row r="9" spans="1:20" ht="17.25" customHeight="1" x14ac:dyDescent="0.2">
      <c r="A9" s="702" t="s">
        <v>506</v>
      </c>
      <c r="B9" s="702"/>
      <c r="C9" s="702"/>
      <c r="D9" s="702"/>
      <c r="E9" s="702"/>
      <c r="F9" s="702"/>
      <c r="G9" s="702"/>
      <c r="H9" s="702"/>
      <c r="I9" s="702"/>
      <c r="J9" s="702"/>
      <c r="K9" s="702"/>
      <c r="L9" s="702"/>
      <c r="M9" s="702"/>
      <c r="N9" s="702"/>
      <c r="O9" s="702"/>
      <c r="P9" s="702"/>
    </row>
    <row r="10" spans="1:20" s="17" customFormat="1" ht="11.25" customHeight="1" x14ac:dyDescent="0.2">
      <c r="A10" s="223" t="s">
        <v>57</v>
      </c>
      <c r="B10" s="312"/>
      <c r="C10" s="312"/>
      <c r="D10" s="312"/>
      <c r="E10" s="312"/>
      <c r="F10" s="347"/>
      <c r="G10" s="338" t="s">
        <v>508</v>
      </c>
      <c r="H10" s="23"/>
      <c r="I10" s="41">
        <f>'11C1'!I10+'11C2'!J10+'11C3'!J10+'11C4'!J10</f>
        <v>0</v>
      </c>
      <c r="J10" s="41">
        <f>'11C1'!J10+'11C2'!L10+'11C3'!L10+'11C4'!L10</f>
        <v>0</v>
      </c>
      <c r="K10" s="41">
        <f>'11C1'!K10+'11C2'!N10+'11C3'!N10+'11C4'!N10</f>
        <v>0</v>
      </c>
      <c r="L10" s="41">
        <f>'11C1'!L10+'11C2'!P10+'11C3'!P10+'11C4'!P10</f>
        <v>0</v>
      </c>
      <c r="M10" s="41">
        <f>'11C1'!M10+'11C2'!R10+'11C3'!R10+'11C4'!R10</f>
        <v>0</v>
      </c>
      <c r="N10" s="41">
        <f>'11C1'!N10+'11C2'!T10+'11C3'!T10+'11C4'!T10</f>
        <v>0</v>
      </c>
      <c r="O10" s="41">
        <f>'11C1'!O10+'11C2'!V10+'11C3'!V10+'11C4'!V10</f>
        <v>0</v>
      </c>
      <c r="P10" s="41">
        <f>'11C1'!P10+'11C2'!X10+'11C3'!X10+'11C4'!X10</f>
        <v>0</v>
      </c>
      <c r="Q10" s="20"/>
      <c r="R10" s="20"/>
      <c r="S10" s="20"/>
      <c r="T10" s="20"/>
    </row>
    <row r="11" spans="1:20" s="17" customFormat="1" x14ac:dyDescent="0.2">
      <c r="A11" s="346" t="s">
        <v>58</v>
      </c>
      <c r="B11" s="312" t="s">
        <v>544</v>
      </c>
      <c r="C11" s="312"/>
      <c r="D11" s="312"/>
      <c r="E11" s="312"/>
      <c r="F11" s="347"/>
      <c r="G11" s="338" t="s">
        <v>509</v>
      </c>
      <c r="H11" s="23"/>
      <c r="I11" s="41">
        <f>'11C1'!I11+'11C2'!J11+'11C3'!J11+'11C4'!J11</f>
        <v>0</v>
      </c>
      <c r="J11" s="41">
        <f>'11C1'!J11+'11C2'!L11+'11C3'!L11+'11C4'!L11</f>
        <v>0</v>
      </c>
      <c r="K11" s="41">
        <f>'11C1'!K11+'11C2'!N11+'11C3'!N11+'11C4'!N11</f>
        <v>0</v>
      </c>
      <c r="L11" s="41">
        <f>'11C1'!L11+'11C2'!P11+'11C3'!P11+'11C4'!P11</f>
        <v>0</v>
      </c>
      <c r="M11" s="41">
        <f>'11C1'!M11+'11C2'!R11+'11C3'!R11+'11C4'!R11</f>
        <v>0</v>
      </c>
      <c r="N11" s="41">
        <f>'11C1'!N11+'11C2'!T11+'11C3'!T11+'11C4'!T11</f>
        <v>0</v>
      </c>
      <c r="O11" s="41">
        <f>'11C1'!O11+'11C2'!V11+'11C3'!V11+'11C4'!V11</f>
        <v>0</v>
      </c>
      <c r="P11" s="41">
        <f>'11C1'!P11+'11C2'!X11+'11C3'!X11+'11C4'!X11</f>
        <v>0</v>
      </c>
      <c r="Q11" s="20"/>
      <c r="R11" s="20"/>
      <c r="S11" s="20"/>
      <c r="T11" s="20"/>
    </row>
    <row r="12" spans="1:20" s="17" customFormat="1" x14ac:dyDescent="0.2">
      <c r="A12" s="346"/>
      <c r="B12" s="312" t="s">
        <v>59</v>
      </c>
      <c r="C12" s="312" t="s">
        <v>60</v>
      </c>
      <c r="D12" s="312"/>
      <c r="E12" s="312"/>
      <c r="F12" s="347"/>
      <c r="G12" s="338" t="s">
        <v>510</v>
      </c>
      <c r="H12" s="23"/>
      <c r="I12" s="41">
        <f>'11C1'!I12+'11C2'!J12+'11C3'!J12+'11C4'!J12</f>
        <v>0</v>
      </c>
      <c r="J12" s="41">
        <f>'11C1'!J12+'11C2'!L12+'11C3'!L12+'11C4'!L12</f>
        <v>0</v>
      </c>
      <c r="K12" s="41">
        <f>'11C1'!K12+'11C2'!N12+'11C3'!N12+'11C4'!N12</f>
        <v>0</v>
      </c>
      <c r="L12" s="41">
        <f>'11C1'!L12+'11C2'!P12+'11C3'!P12+'11C4'!P12</f>
        <v>0</v>
      </c>
      <c r="M12" s="41">
        <f>'11C1'!M12+'11C2'!R12+'11C3'!R12+'11C4'!R12</f>
        <v>0</v>
      </c>
      <c r="N12" s="41">
        <f>'11C1'!N12+'11C2'!T12+'11C3'!T12+'11C4'!T12</f>
        <v>0</v>
      </c>
      <c r="O12" s="41">
        <f>'11C1'!O12+'11C2'!V12+'11C3'!V12+'11C4'!V12</f>
        <v>0</v>
      </c>
      <c r="P12" s="41">
        <f>'11C1'!P12+'11C2'!X12+'11C3'!X12+'11C4'!X12</f>
        <v>0</v>
      </c>
      <c r="Q12" s="20"/>
      <c r="R12" s="20"/>
      <c r="S12" s="20"/>
      <c r="T12" s="20"/>
    </row>
    <row r="13" spans="1:20" s="17" customFormat="1" x14ac:dyDescent="0.2">
      <c r="A13" s="346"/>
      <c r="B13" s="312" t="s">
        <v>61</v>
      </c>
      <c r="C13" s="312" t="s">
        <v>72</v>
      </c>
      <c r="D13" s="312"/>
      <c r="E13" s="312"/>
      <c r="F13" s="347"/>
      <c r="G13" s="338" t="s">
        <v>550</v>
      </c>
      <c r="H13" s="23"/>
      <c r="I13" s="41">
        <f>'11C1'!I13+'11C2'!J13+'11C3'!J13+'11C4'!J13</f>
        <v>0</v>
      </c>
      <c r="J13" s="41">
        <f>'11C1'!J13+'11C2'!L13+'11C3'!L13+'11C4'!L13</f>
        <v>0</v>
      </c>
      <c r="K13" s="41">
        <f>'11C1'!K13+'11C2'!N13+'11C3'!N13+'11C4'!N13</f>
        <v>0</v>
      </c>
      <c r="L13" s="41">
        <f>'11C1'!L13+'11C2'!P13+'11C3'!P13+'11C4'!P13</f>
        <v>0</v>
      </c>
      <c r="M13" s="41">
        <f>'11C1'!M13+'11C2'!R13+'11C3'!R13+'11C4'!R13</f>
        <v>0</v>
      </c>
      <c r="N13" s="41">
        <f>'11C1'!N13+'11C2'!T13+'11C3'!T13+'11C4'!T13</f>
        <v>0</v>
      </c>
      <c r="O13" s="41">
        <f>'11C1'!O13+'11C2'!V13+'11C3'!V13+'11C4'!V13</f>
        <v>0</v>
      </c>
      <c r="P13" s="41">
        <f>'11C1'!P13+'11C2'!X13+'11C3'!X13+'11C4'!X13</f>
        <v>0</v>
      </c>
      <c r="Q13" s="20"/>
      <c r="R13" s="20"/>
      <c r="S13" s="20"/>
      <c r="T13" s="20"/>
    </row>
    <row r="14" spans="1:20" s="17" customFormat="1" ht="10.5" customHeight="1" x14ac:dyDescent="0.2">
      <c r="A14" s="346"/>
      <c r="B14" s="312" t="s">
        <v>71</v>
      </c>
      <c r="C14" s="312" t="s">
        <v>62</v>
      </c>
      <c r="D14" s="312"/>
      <c r="E14" s="312"/>
      <c r="F14" s="347"/>
      <c r="G14" s="338" t="s">
        <v>511</v>
      </c>
      <c r="H14" s="23"/>
      <c r="I14" s="41">
        <f>'11C1'!I14+'11C2'!J14+'11C3'!J14+'11C4'!J14</f>
        <v>0</v>
      </c>
      <c r="J14" s="41">
        <f>'11C1'!J14+'11C2'!L14+'11C3'!L14+'11C4'!L14</f>
        <v>0</v>
      </c>
      <c r="K14" s="41">
        <f>'11C1'!K14+'11C2'!N14+'11C3'!N14+'11C4'!N14</f>
        <v>0</v>
      </c>
      <c r="L14" s="41">
        <f>'11C1'!L14+'11C2'!P14+'11C3'!P14+'11C4'!P14</f>
        <v>0</v>
      </c>
      <c r="M14" s="41">
        <f>'11C1'!M14+'11C2'!R14+'11C3'!R14+'11C4'!R14</f>
        <v>0</v>
      </c>
      <c r="N14" s="41">
        <f>'11C1'!N14+'11C2'!T14+'11C3'!T14+'11C4'!T14</f>
        <v>0</v>
      </c>
      <c r="O14" s="41">
        <f>'11C1'!O14+'11C2'!V14+'11C3'!V14+'11C4'!V14</f>
        <v>0</v>
      </c>
      <c r="P14" s="41">
        <f>'11C1'!P14+'11C2'!X14+'11C3'!X14+'11C4'!X14</f>
        <v>0</v>
      </c>
      <c r="Q14" s="20"/>
      <c r="R14" s="20"/>
      <c r="S14" s="20"/>
      <c r="T14" s="20"/>
    </row>
    <row r="15" spans="1:20" s="17" customFormat="1" x14ac:dyDescent="0.2">
      <c r="A15" s="346"/>
      <c r="B15" s="312"/>
      <c r="C15" s="311" t="s">
        <v>54</v>
      </c>
      <c r="D15" s="312" t="s">
        <v>63</v>
      </c>
      <c r="E15" s="312"/>
      <c r="F15" s="347"/>
      <c r="G15" s="338" t="s">
        <v>512</v>
      </c>
      <c r="H15" s="23"/>
      <c r="I15" s="41">
        <f>'11C1'!I15+'11C2'!J15+'11C3'!J15+'11C4'!J15</f>
        <v>0</v>
      </c>
      <c r="J15" s="41">
        <f>'11C1'!J15+'11C2'!L15+'11C3'!L15+'11C4'!L15</f>
        <v>0</v>
      </c>
      <c r="K15" s="41">
        <f>'11C1'!K15+'11C2'!N15+'11C3'!N15+'11C4'!N15</f>
        <v>0</v>
      </c>
      <c r="L15" s="41">
        <f>'11C1'!L15+'11C2'!P15+'11C3'!P15+'11C4'!P15</f>
        <v>0</v>
      </c>
      <c r="M15" s="41">
        <f>'11C1'!M15+'11C2'!R15+'11C3'!R15+'11C4'!R15</f>
        <v>0</v>
      </c>
      <c r="N15" s="41">
        <f>'11C1'!N15+'11C2'!T15+'11C3'!T15+'11C4'!T15</f>
        <v>0</v>
      </c>
      <c r="O15" s="41">
        <f>'11C1'!O15+'11C2'!V15+'11C3'!V15+'11C4'!V15</f>
        <v>0</v>
      </c>
      <c r="P15" s="41">
        <f>'11C1'!P15+'11C2'!X15+'11C3'!X15+'11C4'!X15</f>
        <v>0</v>
      </c>
      <c r="Q15" s="20"/>
      <c r="R15" s="20"/>
      <c r="S15" s="20"/>
      <c r="T15" s="20"/>
    </row>
    <row r="16" spans="1:20" s="17" customFormat="1" x14ac:dyDescent="0.2">
      <c r="A16" s="346"/>
      <c r="B16" s="312"/>
      <c r="C16" s="311" t="s">
        <v>55</v>
      </c>
      <c r="D16" s="312" t="s">
        <v>64</v>
      </c>
      <c r="E16" s="312"/>
      <c r="F16" s="347"/>
      <c r="G16" s="338" t="s">
        <v>513</v>
      </c>
      <c r="H16" s="23"/>
      <c r="I16" s="41">
        <f>'11C1'!I16+'11C2'!J16+'11C3'!J16+'11C4'!J16</f>
        <v>0</v>
      </c>
      <c r="J16" s="41">
        <f>'11C1'!J16+'11C2'!L16+'11C3'!L16+'11C4'!L16</f>
        <v>0</v>
      </c>
      <c r="K16" s="41">
        <f>'11C1'!K16+'11C2'!N16+'11C3'!N16+'11C4'!N16</f>
        <v>0</v>
      </c>
      <c r="L16" s="41">
        <f>'11C1'!L16+'11C2'!P16+'11C3'!P16+'11C4'!P16</f>
        <v>0</v>
      </c>
      <c r="M16" s="41">
        <f>'11C1'!M16+'11C2'!R16+'11C3'!R16+'11C4'!R16</f>
        <v>0</v>
      </c>
      <c r="N16" s="41">
        <f>'11C1'!N16+'11C2'!T16+'11C3'!T16+'11C4'!T16</f>
        <v>0</v>
      </c>
      <c r="O16" s="41">
        <f>'11C1'!O16+'11C2'!V16+'11C3'!V16+'11C4'!V16</f>
        <v>0</v>
      </c>
      <c r="P16" s="41">
        <f>'11C1'!P16+'11C2'!X16+'11C3'!X16+'11C4'!X16</f>
        <v>0</v>
      </c>
      <c r="Q16" s="20"/>
      <c r="R16" s="20"/>
      <c r="S16" s="20"/>
      <c r="T16" s="20"/>
    </row>
    <row r="17" spans="1:20" s="17" customFormat="1" x14ac:dyDescent="0.2">
      <c r="A17" s="346"/>
      <c r="B17" s="312"/>
      <c r="C17" s="311" t="s">
        <v>65</v>
      </c>
      <c r="D17" s="312" t="s">
        <v>66</v>
      </c>
      <c r="E17" s="312"/>
      <c r="F17" s="347"/>
      <c r="G17" s="338" t="s">
        <v>514</v>
      </c>
      <c r="H17" s="23"/>
      <c r="I17" s="41">
        <f>'11C1'!I17+'11C2'!J17+'11C3'!J17+'11C4'!J17</f>
        <v>0</v>
      </c>
      <c r="J17" s="41">
        <f>'11C1'!J17+'11C2'!L17+'11C3'!L17+'11C4'!L17</f>
        <v>0</v>
      </c>
      <c r="K17" s="41">
        <f>'11C1'!K17+'11C2'!N17+'11C3'!N17+'11C4'!N17</f>
        <v>0</v>
      </c>
      <c r="L17" s="41">
        <f>'11C1'!L17+'11C2'!P17+'11C3'!P17+'11C4'!P17</f>
        <v>0</v>
      </c>
      <c r="M17" s="41">
        <f>'11C1'!M17+'11C2'!R17+'11C3'!R17+'11C4'!R17</f>
        <v>0</v>
      </c>
      <c r="N17" s="41">
        <f>'11C1'!N17+'11C2'!T17+'11C3'!T17+'11C4'!T17</f>
        <v>0</v>
      </c>
      <c r="O17" s="41">
        <f>'11C1'!O17+'11C2'!V17+'11C3'!V17+'11C4'!V17</f>
        <v>0</v>
      </c>
      <c r="P17" s="41">
        <f>'11C1'!P17+'11C2'!X17+'11C3'!X17+'11C4'!X17</f>
        <v>0</v>
      </c>
      <c r="Q17" s="20"/>
      <c r="R17" s="20"/>
      <c r="S17" s="20"/>
      <c r="T17" s="20"/>
    </row>
    <row r="18" spans="1:20" s="17" customFormat="1" x14ac:dyDescent="0.2">
      <c r="A18" s="346" t="s">
        <v>55</v>
      </c>
      <c r="B18" s="312" t="s">
        <v>67</v>
      </c>
      <c r="C18" s="312"/>
      <c r="D18" s="312"/>
      <c r="E18" s="312"/>
      <c r="F18" s="347"/>
      <c r="G18" s="338" t="s">
        <v>515</v>
      </c>
      <c r="H18" s="23"/>
      <c r="I18" s="41">
        <f>'11C1'!I18+'11C2'!J18+'11C3'!J18+'11C4'!J18</f>
        <v>0</v>
      </c>
      <c r="J18" s="41">
        <f>'11C1'!J18+'11C2'!L18+'11C3'!L18+'11C4'!L18</f>
        <v>0</v>
      </c>
      <c r="K18" s="41">
        <f>'11C1'!K18+'11C2'!N18+'11C3'!N18+'11C4'!N18</f>
        <v>0</v>
      </c>
      <c r="L18" s="41">
        <f>'11C1'!L18+'11C2'!P18+'11C3'!P18+'11C4'!P18</f>
        <v>0</v>
      </c>
      <c r="M18" s="41">
        <f>'11C1'!M18+'11C2'!R18+'11C3'!R18+'11C4'!R18</f>
        <v>0</v>
      </c>
      <c r="N18" s="41">
        <f>'11C1'!N18+'11C2'!T18+'11C3'!T18+'11C4'!T18</f>
        <v>0</v>
      </c>
      <c r="O18" s="41">
        <f>'11C1'!O18+'11C2'!V18+'11C3'!V18+'11C4'!V18</f>
        <v>0</v>
      </c>
      <c r="P18" s="41">
        <f>'11C1'!P18+'11C2'!X18+'11C3'!X18+'11C4'!X18</f>
        <v>0</v>
      </c>
      <c r="Q18" s="20"/>
      <c r="R18" s="20"/>
      <c r="S18" s="20"/>
      <c r="T18" s="20"/>
    </row>
    <row r="19" spans="1:20" s="17" customFormat="1" x14ac:dyDescent="0.2">
      <c r="A19" s="346"/>
      <c r="B19" s="312" t="s">
        <v>59</v>
      </c>
      <c r="C19" s="312" t="s">
        <v>68</v>
      </c>
      <c r="D19" s="312"/>
      <c r="E19" s="312"/>
      <c r="F19" s="347"/>
      <c r="G19" s="338" t="s">
        <v>516</v>
      </c>
      <c r="H19" s="23"/>
      <c r="I19" s="41">
        <f>'11C1'!I19+'11C2'!J19+'11C3'!J19+'11C4'!J19</f>
        <v>0</v>
      </c>
      <c r="J19" s="41">
        <f>'11C1'!J19+'11C2'!L19+'11C3'!L19+'11C4'!L19</f>
        <v>0</v>
      </c>
      <c r="K19" s="41">
        <f>'11C1'!K19+'11C2'!N19+'11C3'!N19+'11C4'!N19</f>
        <v>0</v>
      </c>
      <c r="L19" s="41">
        <f>'11C1'!L19+'11C2'!P19+'11C3'!P19+'11C4'!P19</f>
        <v>0</v>
      </c>
      <c r="M19" s="41">
        <f>'11C1'!M19+'11C2'!R19+'11C3'!R19+'11C4'!R19</f>
        <v>0</v>
      </c>
      <c r="N19" s="41">
        <f>'11C1'!N19+'11C2'!T19+'11C3'!T19+'11C4'!T19</f>
        <v>0</v>
      </c>
      <c r="O19" s="41">
        <f>'11C1'!O19+'11C2'!V19+'11C3'!V19+'11C4'!V19</f>
        <v>0</v>
      </c>
      <c r="P19" s="41">
        <f>'11C1'!P19+'11C2'!X19+'11C3'!X19+'11C4'!X19</f>
        <v>0</v>
      </c>
      <c r="Q19" s="20"/>
      <c r="R19" s="20"/>
      <c r="S19" s="20"/>
      <c r="T19" s="20"/>
    </row>
    <row r="20" spans="1:20" s="17" customFormat="1" x14ac:dyDescent="0.2">
      <c r="A20" s="346"/>
      <c r="B20" s="312" t="s">
        <v>69</v>
      </c>
      <c r="C20" s="312" t="s">
        <v>70</v>
      </c>
      <c r="D20" s="312"/>
      <c r="E20" s="312"/>
      <c r="F20" s="347"/>
      <c r="G20" s="338" t="s">
        <v>517</v>
      </c>
      <c r="H20" s="23"/>
      <c r="I20" s="41">
        <f>'11C1'!I20+'11C2'!J20+'11C3'!J20+'11C4'!J20</f>
        <v>0</v>
      </c>
      <c r="J20" s="41">
        <f>'11C1'!J20+'11C2'!L20+'11C3'!L20+'11C4'!L20</f>
        <v>0</v>
      </c>
      <c r="K20" s="41">
        <f>'11C1'!K20+'11C2'!N20+'11C3'!N20+'11C4'!N20</f>
        <v>0</v>
      </c>
      <c r="L20" s="41">
        <f>'11C1'!L20+'11C2'!P20+'11C3'!P20+'11C4'!P20</f>
        <v>0</v>
      </c>
      <c r="M20" s="41">
        <f>'11C1'!M20+'11C2'!R20+'11C3'!R20+'11C4'!R20</f>
        <v>0</v>
      </c>
      <c r="N20" s="41">
        <f>'11C1'!N20+'11C2'!T20+'11C3'!T20+'11C4'!T20</f>
        <v>0</v>
      </c>
      <c r="O20" s="41">
        <f>'11C1'!O20+'11C2'!V20+'11C3'!V20+'11C4'!V20</f>
        <v>0</v>
      </c>
      <c r="P20" s="41">
        <f>'11C1'!P20+'11C2'!X20+'11C3'!X20+'11C4'!X20</f>
        <v>0</v>
      </c>
      <c r="Q20" s="20"/>
      <c r="R20" s="20"/>
      <c r="S20" s="20"/>
      <c r="T20" s="20"/>
    </row>
    <row r="21" spans="1:20" s="17" customFormat="1" x14ac:dyDescent="0.2">
      <c r="A21" s="346" t="s">
        <v>65</v>
      </c>
      <c r="B21" s="3" t="s">
        <v>1443</v>
      </c>
      <c r="C21" s="3"/>
      <c r="D21" s="3"/>
      <c r="E21" s="3"/>
      <c r="F21" s="3"/>
      <c r="G21" s="605" t="s">
        <v>518</v>
      </c>
      <c r="H21" s="23"/>
      <c r="I21" s="41">
        <f>'11C1'!I21+'11C2'!J21+'11C3'!J21+'11C4'!J21</f>
        <v>0</v>
      </c>
      <c r="J21" s="41">
        <f>'11C1'!J21+'11C2'!L21+'11C3'!L21+'11C4'!L21</f>
        <v>0</v>
      </c>
      <c r="K21" s="41">
        <f>'11C1'!K21+'11C2'!N21+'11C3'!N21+'11C4'!N21</f>
        <v>0</v>
      </c>
      <c r="L21" s="41">
        <f>'11C1'!L21+'11C2'!P21+'11C3'!P21+'11C4'!P21</f>
        <v>0</v>
      </c>
      <c r="M21" s="41">
        <f>'11C1'!M21+'11C2'!R21+'11C3'!R21+'11C4'!R21</f>
        <v>0</v>
      </c>
      <c r="N21" s="41">
        <f>'11C1'!N21+'11C2'!T21+'11C3'!T21+'11C4'!T21</f>
        <v>0</v>
      </c>
      <c r="O21" s="41">
        <f>'11C1'!O21+'11C2'!V21+'11C3'!V21+'11C4'!V21</f>
        <v>0</v>
      </c>
      <c r="P21" s="41">
        <f>'11C1'!P21+'11C2'!X21+'11C3'!X21+'11C4'!X21</f>
        <v>0</v>
      </c>
      <c r="Q21" s="20"/>
      <c r="R21" s="20"/>
      <c r="S21" s="20"/>
      <c r="T21" s="20"/>
    </row>
    <row r="22" spans="1:20" s="17" customFormat="1" x14ac:dyDescent="0.2">
      <c r="A22" s="346"/>
      <c r="B22" s="3" t="s">
        <v>59</v>
      </c>
      <c r="C22" s="658" t="s">
        <v>543</v>
      </c>
      <c r="D22" s="659"/>
      <c r="E22" s="659"/>
      <c r="F22" s="660"/>
      <c r="G22" s="605" t="s">
        <v>1441</v>
      </c>
      <c r="H22" s="23"/>
      <c r="I22" s="41">
        <f>'11C1'!I22+'11C2'!J22+'11C3'!J22+'11C4'!J22</f>
        <v>0</v>
      </c>
      <c r="J22" s="41">
        <f>'11C1'!J22+'11C2'!L22+'11C3'!L22+'11C4'!L22</f>
        <v>0</v>
      </c>
      <c r="K22" s="41">
        <f>'11C1'!K22+'11C2'!N22+'11C3'!N22+'11C4'!N22</f>
        <v>0</v>
      </c>
      <c r="L22" s="41">
        <f>'11C1'!L22+'11C2'!P22+'11C3'!P22+'11C4'!P22</f>
        <v>0</v>
      </c>
      <c r="M22" s="41">
        <f>'11C1'!M22+'11C2'!R22+'11C3'!R22+'11C4'!R22</f>
        <v>0</v>
      </c>
      <c r="N22" s="41">
        <f>'11C1'!N22+'11C2'!T22+'11C3'!T22+'11C4'!T22</f>
        <v>0</v>
      </c>
      <c r="O22" s="41">
        <f>'11C1'!O22+'11C2'!V22+'11C3'!V22+'11C4'!V22</f>
        <v>0</v>
      </c>
      <c r="P22" s="41">
        <f>'11C1'!P22+'11C2'!X22+'11C3'!X22+'11C4'!X22</f>
        <v>0</v>
      </c>
      <c r="Q22" s="20"/>
      <c r="R22" s="20"/>
      <c r="S22" s="20"/>
      <c r="T22" s="20"/>
    </row>
    <row r="23" spans="1:20" s="17" customFormat="1" x14ac:dyDescent="0.2">
      <c r="A23" s="346"/>
      <c r="B23" s="3" t="s">
        <v>61</v>
      </c>
      <c r="C23" s="658" t="s">
        <v>1430</v>
      </c>
      <c r="D23" s="659"/>
      <c r="E23" s="659"/>
      <c r="F23" s="660"/>
      <c r="G23" s="605" t="s">
        <v>1442</v>
      </c>
      <c r="H23" s="23"/>
      <c r="I23" s="41">
        <f>'11C1'!I23+'11C2'!J23+'11C3'!J23+'11C4'!J23</f>
        <v>0</v>
      </c>
      <c r="J23" s="41">
        <f>'11C1'!J23+'11C2'!L23+'11C3'!L23+'11C4'!L23</f>
        <v>0</v>
      </c>
      <c r="K23" s="41">
        <f>'11C1'!K23+'11C2'!N23+'11C3'!N23+'11C4'!N23</f>
        <v>0</v>
      </c>
      <c r="L23" s="41">
        <f>'11C1'!L23+'11C2'!P23+'11C3'!P23+'11C4'!P23</f>
        <v>0</v>
      </c>
      <c r="M23" s="41">
        <f>'11C1'!M23+'11C2'!R23+'11C3'!R23+'11C4'!R23</f>
        <v>0</v>
      </c>
      <c r="N23" s="41">
        <f>'11C1'!N23+'11C2'!T23+'11C3'!T23+'11C4'!T23</f>
        <v>0</v>
      </c>
      <c r="O23" s="41">
        <f>'11C1'!O23+'11C2'!V23+'11C3'!V23+'11C4'!V23</f>
        <v>0</v>
      </c>
      <c r="P23" s="41">
        <f>'11C1'!P23+'11C2'!X23+'11C3'!X23+'11C4'!X23</f>
        <v>0</v>
      </c>
      <c r="Q23" s="20"/>
      <c r="R23" s="20"/>
      <c r="S23" s="20"/>
      <c r="T23" s="20"/>
    </row>
    <row r="24" spans="1:20" s="17" customFormat="1" x14ac:dyDescent="0.2">
      <c r="A24" s="346" t="s">
        <v>90</v>
      </c>
      <c r="B24" s="312" t="s">
        <v>73</v>
      </c>
      <c r="C24" s="312"/>
      <c r="D24" s="312"/>
      <c r="E24" s="312"/>
      <c r="F24" s="347"/>
      <c r="G24" s="338" t="s">
        <v>519</v>
      </c>
      <c r="H24" s="23"/>
      <c r="I24" s="41">
        <f>'11C1'!I24+'11C2'!J24+'11C3'!J24+'11C4'!J24</f>
        <v>0</v>
      </c>
      <c r="J24" s="41">
        <f>'11C1'!J24+'11C2'!L24+'11C3'!L24+'11C4'!L24</f>
        <v>0</v>
      </c>
      <c r="K24" s="41">
        <f>'11C1'!K24+'11C2'!N24+'11C3'!N24+'11C4'!N24</f>
        <v>0</v>
      </c>
      <c r="L24" s="41">
        <f>'11C1'!L24+'11C2'!P24+'11C3'!P24+'11C4'!P24</f>
        <v>0</v>
      </c>
      <c r="M24" s="41">
        <f>'11C1'!M24+'11C2'!R24+'11C3'!R24+'11C4'!R24</f>
        <v>0</v>
      </c>
      <c r="N24" s="41">
        <f>'11C1'!N24+'11C2'!T24+'11C3'!T24+'11C4'!T24</f>
        <v>0</v>
      </c>
      <c r="O24" s="41">
        <f>'11C1'!O24+'11C2'!V24+'11C3'!V24+'11C4'!V24</f>
        <v>0</v>
      </c>
      <c r="P24" s="41">
        <f>'11C1'!P24+'11C2'!X24+'11C3'!X24+'11C4'!X24</f>
        <v>0</v>
      </c>
      <c r="Q24" s="20"/>
      <c r="R24" s="20"/>
      <c r="S24" s="20"/>
      <c r="T24" s="20"/>
    </row>
    <row r="25" spans="1:20" s="17" customFormat="1" x14ac:dyDescent="0.2">
      <c r="A25" s="346"/>
      <c r="B25" s="312" t="s">
        <v>59</v>
      </c>
      <c r="C25" s="312" t="s">
        <v>1451</v>
      </c>
      <c r="D25" s="312"/>
      <c r="E25" s="312"/>
      <c r="F25" s="347"/>
      <c r="G25" s="338" t="s">
        <v>521</v>
      </c>
      <c r="H25" s="23"/>
      <c r="I25" s="41">
        <f>'11C1'!I25+'11C2'!J25+'11C3'!J25+'11C4'!J25</f>
        <v>0</v>
      </c>
      <c r="J25" s="41">
        <f>'11C1'!J25+'11C2'!L25+'11C3'!L25+'11C4'!L25</f>
        <v>0</v>
      </c>
      <c r="K25" s="41">
        <f>'11C1'!K25+'11C2'!N25+'11C3'!N25+'11C4'!N25</f>
        <v>0</v>
      </c>
      <c r="L25" s="41">
        <f>'11C1'!L25+'11C2'!P25+'11C3'!P25+'11C4'!P25</f>
        <v>0</v>
      </c>
      <c r="M25" s="41">
        <f>'11C1'!M25+'11C2'!R25+'11C3'!R25+'11C4'!R25</f>
        <v>0</v>
      </c>
      <c r="N25" s="41">
        <f>'11C1'!N25+'11C2'!T25+'11C3'!T25+'11C4'!T25</f>
        <v>0</v>
      </c>
      <c r="O25" s="41">
        <f>'11C1'!O25+'11C2'!V25+'11C3'!V25+'11C4'!V25</f>
        <v>0</v>
      </c>
      <c r="P25" s="41">
        <f>'11C1'!P25+'11C2'!X25+'11C3'!X25+'11C4'!X25</f>
        <v>0</v>
      </c>
      <c r="Q25" s="20"/>
      <c r="R25" s="20"/>
      <c r="S25" s="20"/>
      <c r="T25" s="20"/>
    </row>
    <row r="26" spans="1:20" s="17" customFormat="1" x14ac:dyDescent="0.2">
      <c r="A26" s="346"/>
      <c r="B26" s="312" t="s">
        <v>69</v>
      </c>
      <c r="C26" s="312" t="s">
        <v>1452</v>
      </c>
      <c r="D26" s="312"/>
      <c r="E26" s="312"/>
      <c r="F26" s="347"/>
      <c r="G26" s="338" t="s">
        <v>522</v>
      </c>
      <c r="H26" s="23"/>
      <c r="I26" s="41">
        <f>'11C1'!I26+'11C2'!J26+'11C3'!J26+'11C4'!J26</f>
        <v>0</v>
      </c>
      <c r="J26" s="41">
        <f>'11C1'!J26+'11C2'!L26+'11C3'!L26+'11C4'!L26</f>
        <v>0</v>
      </c>
      <c r="K26" s="41">
        <f>'11C1'!K26+'11C2'!N26+'11C3'!N26+'11C4'!N26</f>
        <v>0</v>
      </c>
      <c r="L26" s="41">
        <f>'11C1'!L26+'11C2'!P26+'11C3'!P26+'11C4'!P26</f>
        <v>0</v>
      </c>
      <c r="M26" s="41">
        <f>'11C1'!M26+'11C2'!R26+'11C3'!R26+'11C4'!R26</f>
        <v>0</v>
      </c>
      <c r="N26" s="41">
        <f>'11C1'!N26+'11C2'!T26+'11C3'!T26+'11C4'!T26</f>
        <v>0</v>
      </c>
      <c r="O26" s="41">
        <f>'11C1'!O26+'11C2'!V26+'11C3'!V26+'11C4'!V26</f>
        <v>0</v>
      </c>
      <c r="P26" s="41">
        <f>'11C1'!P26+'11C2'!X26+'11C3'!X26+'11C4'!X26</f>
        <v>0</v>
      </c>
      <c r="Q26" s="20"/>
      <c r="R26" s="20"/>
      <c r="S26" s="20"/>
      <c r="T26" s="20"/>
    </row>
    <row r="27" spans="1:20" s="17" customFormat="1" x14ac:dyDescent="0.2">
      <c r="A27" s="346" t="s">
        <v>257</v>
      </c>
      <c r="B27" s="312" t="s">
        <v>983</v>
      </c>
      <c r="C27" s="312"/>
      <c r="D27" s="312"/>
      <c r="E27" s="312"/>
      <c r="F27" s="347"/>
      <c r="G27" s="338" t="s">
        <v>523</v>
      </c>
      <c r="H27" s="23"/>
      <c r="I27" s="41">
        <f>'11C1'!I27+'11C2'!J27+'11C3'!J27+'11C4'!J27</f>
        <v>0</v>
      </c>
      <c r="J27" s="41">
        <f>'11C1'!J27+'11C2'!L27+'11C3'!L27+'11C4'!L27</f>
        <v>0</v>
      </c>
      <c r="K27" s="41">
        <f>'11C1'!K27+'11C2'!N27+'11C3'!N27+'11C4'!N27</f>
        <v>0</v>
      </c>
      <c r="L27" s="41">
        <f>'11C1'!L27+'11C2'!P27+'11C3'!P27+'11C4'!P27</f>
        <v>0</v>
      </c>
      <c r="M27" s="41">
        <f>'11C1'!M27+'11C2'!R27+'11C3'!R27+'11C4'!R27</f>
        <v>0</v>
      </c>
      <c r="N27" s="41">
        <f>'11C1'!N27+'11C2'!T27+'11C3'!T27+'11C4'!T27</f>
        <v>0</v>
      </c>
      <c r="O27" s="41">
        <f>'11C1'!O27+'11C2'!V27+'11C3'!V27+'11C4'!V27</f>
        <v>0</v>
      </c>
      <c r="P27" s="41">
        <f>'11C1'!P27+'11C2'!X27+'11C3'!X27+'11C4'!X27</f>
        <v>0</v>
      </c>
      <c r="Q27" s="20"/>
      <c r="R27" s="20"/>
      <c r="S27" s="20"/>
      <c r="T27" s="20"/>
    </row>
    <row r="28" spans="1:20" s="17" customFormat="1" x14ac:dyDescent="0.2">
      <c r="A28" s="346" t="s">
        <v>74</v>
      </c>
      <c r="B28" s="312" t="s">
        <v>77</v>
      </c>
      <c r="C28" s="312"/>
      <c r="D28" s="312"/>
      <c r="E28" s="312"/>
      <c r="F28" s="347"/>
      <c r="G28" s="338" t="s">
        <v>524</v>
      </c>
      <c r="H28" s="23"/>
      <c r="I28" s="41">
        <f>'11C1'!I28+'11C2'!J28+'11C3'!J28+'11C4'!J28</f>
        <v>0</v>
      </c>
      <c r="J28" s="41">
        <f>'11C1'!J28+'11C2'!L28+'11C3'!L28+'11C4'!L28</f>
        <v>0</v>
      </c>
      <c r="K28" s="41">
        <f>'11C1'!K28+'11C2'!N28+'11C3'!N28+'11C4'!N28</f>
        <v>0</v>
      </c>
      <c r="L28" s="41">
        <f>'11C1'!L28+'11C2'!P28+'11C3'!P28+'11C4'!P28</f>
        <v>0</v>
      </c>
      <c r="M28" s="41">
        <f>'11C1'!M28+'11C2'!R28+'11C3'!R28+'11C4'!R28</f>
        <v>0</v>
      </c>
      <c r="N28" s="41">
        <f>'11C1'!N28+'11C2'!T28+'11C3'!T28+'11C4'!T28</f>
        <v>0</v>
      </c>
      <c r="O28" s="41">
        <f>'11C1'!O28+'11C2'!V28+'11C3'!V28+'11C4'!V28</f>
        <v>0</v>
      </c>
      <c r="P28" s="41">
        <f>'11C1'!P28+'11C2'!X28+'11C3'!X28+'11C4'!X28</f>
        <v>0</v>
      </c>
      <c r="Q28" s="20"/>
      <c r="R28" s="20"/>
      <c r="S28" s="20"/>
      <c r="T28" s="20"/>
    </row>
    <row r="29" spans="1:20" s="17" customFormat="1" x14ac:dyDescent="0.2">
      <c r="A29" s="346"/>
      <c r="B29" s="312" t="s">
        <v>59</v>
      </c>
      <c r="C29" s="312" t="s">
        <v>78</v>
      </c>
      <c r="D29" s="312"/>
      <c r="E29" s="312"/>
      <c r="F29" s="347"/>
      <c r="G29" s="338" t="s">
        <v>525</v>
      </c>
      <c r="H29" s="23"/>
      <c r="I29" s="41">
        <f>'11C1'!I29+'11C2'!J29+'11C3'!J29+'11C4'!J29</f>
        <v>0</v>
      </c>
      <c r="J29" s="41">
        <f>'11C1'!J29+'11C2'!L29+'11C3'!L29+'11C4'!L29</f>
        <v>0</v>
      </c>
      <c r="K29" s="41">
        <f>'11C1'!K29+'11C2'!N29+'11C3'!N29+'11C4'!N29</f>
        <v>0</v>
      </c>
      <c r="L29" s="41">
        <f>'11C1'!L29+'11C2'!P29+'11C3'!P29+'11C4'!P29</f>
        <v>0</v>
      </c>
      <c r="M29" s="41">
        <f>'11C1'!M29+'11C2'!R29+'11C3'!R29+'11C4'!R29</f>
        <v>0</v>
      </c>
      <c r="N29" s="41">
        <f>'11C1'!N29+'11C2'!T29+'11C3'!T29+'11C4'!T29</f>
        <v>0</v>
      </c>
      <c r="O29" s="41">
        <f>'11C1'!O29+'11C2'!V29+'11C3'!V29+'11C4'!V29</f>
        <v>0</v>
      </c>
      <c r="P29" s="41">
        <f>'11C1'!P29+'11C2'!X29+'11C3'!X29+'11C4'!X29</f>
        <v>0</v>
      </c>
      <c r="Q29" s="20"/>
      <c r="R29" s="20"/>
      <c r="S29" s="20"/>
      <c r="T29" s="20"/>
    </row>
    <row r="30" spans="1:20" s="17" customFormat="1" x14ac:dyDescent="0.2">
      <c r="A30" s="346"/>
      <c r="B30" s="312" t="s">
        <v>61</v>
      </c>
      <c r="C30" s="312" t="s">
        <v>66</v>
      </c>
      <c r="D30" s="312"/>
      <c r="E30" s="312"/>
      <c r="F30" s="347"/>
      <c r="G30" s="338" t="s">
        <v>526</v>
      </c>
      <c r="H30" s="23"/>
      <c r="I30" s="41">
        <f>'11C1'!I30+'11C2'!J30+'11C3'!J30+'11C4'!J30</f>
        <v>0</v>
      </c>
      <c r="J30" s="41">
        <f>'11C1'!J30+'11C2'!L30+'11C3'!L30+'11C4'!L30</f>
        <v>0</v>
      </c>
      <c r="K30" s="41">
        <f>'11C1'!K30+'11C2'!N30+'11C3'!N30+'11C4'!N30</f>
        <v>0</v>
      </c>
      <c r="L30" s="41">
        <f>'11C1'!L30+'11C2'!P30+'11C3'!P30+'11C4'!P30</f>
        <v>0</v>
      </c>
      <c r="M30" s="41">
        <f>'11C1'!M30+'11C2'!R30+'11C3'!R30+'11C4'!R30</f>
        <v>0</v>
      </c>
      <c r="N30" s="41">
        <f>'11C1'!N30+'11C2'!T30+'11C3'!T30+'11C4'!T30</f>
        <v>0</v>
      </c>
      <c r="O30" s="41">
        <f>'11C1'!O30+'11C2'!V30+'11C3'!V30+'11C4'!V30</f>
        <v>0</v>
      </c>
      <c r="P30" s="41">
        <f>'11C1'!P30+'11C2'!X30+'11C3'!X30+'11C4'!X30</f>
        <v>0</v>
      </c>
      <c r="Q30" s="20"/>
      <c r="R30" s="20"/>
      <c r="S30" s="20"/>
      <c r="T30" s="20"/>
    </row>
    <row r="31" spans="1:20" s="17" customFormat="1" x14ac:dyDescent="0.2">
      <c r="A31" s="346" t="s">
        <v>76</v>
      </c>
      <c r="B31" s="640" t="s">
        <v>982</v>
      </c>
      <c r="C31" s="640"/>
      <c r="D31" s="640"/>
      <c r="E31" s="640"/>
      <c r="F31" s="640"/>
      <c r="G31" s="338" t="s">
        <v>527</v>
      </c>
      <c r="H31" s="23"/>
      <c r="I31" s="41">
        <f>'11C1'!I31+'11C2'!J31+'11C3'!J31+'11C4'!J31</f>
        <v>0</v>
      </c>
      <c r="J31" s="41">
        <f>'11C1'!J31+'11C2'!L31+'11C3'!L31+'11C4'!L31</f>
        <v>0</v>
      </c>
      <c r="K31" s="41">
        <f>'11C1'!K31+'11C2'!N31+'11C3'!N31+'11C4'!N31</f>
        <v>0</v>
      </c>
      <c r="L31" s="41">
        <f>'11C1'!L31+'11C2'!P31+'11C3'!P31+'11C4'!P31</f>
        <v>0</v>
      </c>
      <c r="M31" s="41">
        <f>'11C1'!M31+'11C2'!R31+'11C3'!R31+'11C4'!R31</f>
        <v>0</v>
      </c>
      <c r="N31" s="41">
        <f>'11C1'!N31+'11C2'!T31+'11C3'!T31+'11C4'!T31</f>
        <v>0</v>
      </c>
      <c r="O31" s="41">
        <f>'11C1'!O31+'11C2'!V31+'11C3'!V31+'11C4'!V31</f>
        <v>0</v>
      </c>
      <c r="P31" s="41">
        <f>'11C1'!P31+'11C2'!X31+'11C3'!X31+'11C4'!X31</f>
        <v>0</v>
      </c>
      <c r="Q31" s="20"/>
      <c r="R31" s="20"/>
      <c r="S31" s="20"/>
      <c r="T31" s="20"/>
    </row>
    <row r="32" spans="1:20" s="17" customFormat="1" ht="11.25" customHeight="1" x14ac:dyDescent="0.2">
      <c r="A32" s="346" t="s">
        <v>79</v>
      </c>
      <c r="B32" s="312" t="s">
        <v>1467</v>
      </c>
      <c r="C32" s="312"/>
      <c r="D32" s="312"/>
      <c r="E32" s="312"/>
      <c r="F32" s="347"/>
      <c r="G32" s="338" t="s">
        <v>528</v>
      </c>
      <c r="H32" s="23"/>
      <c r="I32" s="41">
        <f>'11C1'!I32+'11C2'!J32+'11C3'!J32+'11C4'!J32</f>
        <v>0</v>
      </c>
      <c r="J32" s="41">
        <f>'11C1'!J32+'11C2'!L32+'11C3'!L32+'11C4'!L32</f>
        <v>0</v>
      </c>
      <c r="K32" s="41">
        <f>'11C1'!K32+'11C2'!N32+'11C3'!N32+'11C4'!N32</f>
        <v>0</v>
      </c>
      <c r="L32" s="41">
        <f>'11C1'!L32+'11C2'!P32+'11C3'!P32+'11C4'!P32</f>
        <v>0</v>
      </c>
      <c r="M32" s="41">
        <f>'11C1'!M32+'11C2'!R32+'11C3'!R32+'11C4'!R32</f>
        <v>0</v>
      </c>
      <c r="N32" s="41">
        <f>'11C1'!N32+'11C2'!T32+'11C3'!T32+'11C4'!T32</f>
        <v>0</v>
      </c>
      <c r="O32" s="41">
        <f>'11C1'!O32+'11C2'!V32+'11C3'!V32+'11C4'!V32</f>
        <v>0</v>
      </c>
      <c r="P32" s="41">
        <f>'11C1'!P32+'11C2'!X32+'11C3'!X32+'11C4'!X32</f>
        <v>0</v>
      </c>
      <c r="Q32" s="20"/>
      <c r="R32" s="20"/>
      <c r="S32" s="20"/>
      <c r="T32" s="20"/>
    </row>
    <row r="33" spans="1:20" s="17" customFormat="1" x14ac:dyDescent="0.2">
      <c r="A33" s="346"/>
      <c r="B33" s="312" t="s">
        <v>59</v>
      </c>
      <c r="C33" s="312" t="s">
        <v>82</v>
      </c>
      <c r="D33" s="312"/>
      <c r="E33" s="312"/>
      <c r="F33" s="347"/>
      <c r="G33" s="338" t="s">
        <v>529</v>
      </c>
      <c r="H33" s="23"/>
      <c r="I33" s="41">
        <f>'11C1'!I33+'11C2'!J33+'11C3'!J33+'11C4'!J33</f>
        <v>0</v>
      </c>
      <c r="J33" s="41">
        <f>'11C1'!J33+'11C2'!L33+'11C3'!L33+'11C4'!L33</f>
        <v>0</v>
      </c>
      <c r="K33" s="41">
        <f>'11C1'!K33+'11C2'!N33+'11C3'!N33+'11C4'!N33</f>
        <v>0</v>
      </c>
      <c r="L33" s="41">
        <f>'11C1'!L33+'11C2'!P33+'11C3'!P33+'11C4'!P33</f>
        <v>0</v>
      </c>
      <c r="M33" s="41">
        <f>'11C1'!M33+'11C2'!R33+'11C3'!R33+'11C4'!R33</f>
        <v>0</v>
      </c>
      <c r="N33" s="41">
        <f>'11C1'!N33+'11C2'!T33+'11C3'!T33+'11C4'!T33</f>
        <v>0</v>
      </c>
      <c r="O33" s="41">
        <f>'11C1'!O33+'11C2'!V33+'11C3'!V33+'11C4'!V33</f>
        <v>0</v>
      </c>
      <c r="P33" s="41">
        <f>'11C1'!P33+'11C2'!X33+'11C3'!X33+'11C4'!X33</f>
        <v>0</v>
      </c>
      <c r="Q33" s="20"/>
      <c r="R33" s="20"/>
      <c r="S33" s="20"/>
      <c r="T33" s="20"/>
    </row>
    <row r="34" spans="1:20" s="17" customFormat="1" x14ac:dyDescent="0.2">
      <c r="A34" s="346"/>
      <c r="B34" s="312" t="s">
        <v>61</v>
      </c>
      <c r="C34" s="662" t="s">
        <v>1457</v>
      </c>
      <c r="D34" s="662"/>
      <c r="E34" s="662"/>
      <c r="F34" s="663"/>
      <c r="G34" s="338" t="s">
        <v>530</v>
      </c>
      <c r="H34" s="23"/>
      <c r="I34" s="41">
        <f>'11C1'!I34+'11C2'!J34+'11C3'!J34+'11C4'!J34</f>
        <v>0</v>
      </c>
      <c r="J34" s="41">
        <f>'11C1'!J34+'11C2'!L34+'11C3'!L34+'11C4'!L34</f>
        <v>0</v>
      </c>
      <c r="K34" s="41">
        <f>'11C1'!K34+'11C2'!N34+'11C3'!N34+'11C4'!N34</f>
        <v>0</v>
      </c>
      <c r="L34" s="41">
        <f>'11C1'!L34+'11C2'!P34+'11C3'!P34+'11C4'!P34</f>
        <v>0</v>
      </c>
      <c r="M34" s="41">
        <f>'11C1'!M34+'11C2'!R34+'11C3'!R34+'11C4'!R34</f>
        <v>0</v>
      </c>
      <c r="N34" s="41">
        <f>'11C1'!N34+'11C2'!T34+'11C3'!T34+'11C4'!T34</f>
        <v>0</v>
      </c>
      <c r="O34" s="41">
        <f>'11C1'!O34+'11C2'!V34+'11C3'!V34+'11C4'!V34</f>
        <v>0</v>
      </c>
      <c r="P34" s="41">
        <f>'11C1'!P34+'11C2'!X34+'11C3'!X34+'11C4'!X34</f>
        <v>0</v>
      </c>
      <c r="Q34" s="20"/>
      <c r="R34" s="20"/>
      <c r="S34" s="20"/>
      <c r="T34" s="20"/>
    </row>
    <row r="35" spans="1:20" s="17" customFormat="1" x14ac:dyDescent="0.2">
      <c r="A35" s="617"/>
      <c r="B35" s="556"/>
      <c r="C35" s="312" t="s">
        <v>54</v>
      </c>
      <c r="D35" s="312" t="s">
        <v>83</v>
      </c>
      <c r="E35" s="312"/>
      <c r="F35" s="312"/>
      <c r="G35" s="618" t="s">
        <v>1461</v>
      </c>
      <c r="H35" s="291"/>
      <c r="I35" s="41">
        <f>'11C1'!I35+'11C2'!J35+'11C3'!J35+'11C4'!J35</f>
        <v>0</v>
      </c>
      <c r="J35" s="41">
        <f>'11C1'!J35+'11C2'!L35+'11C3'!L35+'11C4'!L35</f>
        <v>0</v>
      </c>
      <c r="K35" s="41">
        <f>'11C1'!K35+'11C2'!N35+'11C3'!N35+'11C4'!N35</f>
        <v>0</v>
      </c>
      <c r="L35" s="41">
        <f>'11C1'!L35+'11C2'!P35+'11C3'!P35+'11C4'!P35</f>
        <v>0</v>
      </c>
      <c r="M35" s="41">
        <f>'11C1'!M35+'11C2'!R35+'11C3'!R35+'11C4'!R35</f>
        <v>0</v>
      </c>
      <c r="N35" s="41">
        <f>'11C1'!N35+'11C2'!T35+'11C3'!T35+'11C4'!T35</f>
        <v>0</v>
      </c>
      <c r="O35" s="41">
        <f>'11C1'!O35+'11C2'!V35+'11C3'!V35+'11C4'!V35</f>
        <v>0</v>
      </c>
      <c r="P35" s="41">
        <f>'11C1'!P35+'11C2'!X35+'11C3'!X35+'11C4'!X35</f>
        <v>0</v>
      </c>
      <c r="Q35" s="20"/>
      <c r="R35" s="20"/>
      <c r="S35" s="20"/>
      <c r="T35" s="20"/>
    </row>
    <row r="36" spans="1:20" s="17" customFormat="1" x14ac:dyDescent="0.2">
      <c r="A36" s="617"/>
      <c r="B36" s="556"/>
      <c r="C36" s="312" t="s">
        <v>55</v>
      </c>
      <c r="D36" s="312" t="s">
        <v>1458</v>
      </c>
      <c r="E36" s="312"/>
      <c r="F36" s="312"/>
      <c r="G36" s="618" t="s">
        <v>1462</v>
      </c>
      <c r="H36" s="291"/>
      <c r="I36" s="41">
        <f>'11C1'!I36+'11C2'!J36+'11C3'!J36+'11C4'!J36</f>
        <v>0</v>
      </c>
      <c r="J36" s="41">
        <f>'11C1'!J36+'11C2'!L36+'11C3'!L36+'11C4'!L36</f>
        <v>0</v>
      </c>
      <c r="K36" s="41">
        <f>'11C1'!K36+'11C2'!N36+'11C3'!N36+'11C4'!N36</f>
        <v>0</v>
      </c>
      <c r="L36" s="41">
        <f>'11C1'!L36+'11C2'!P36+'11C3'!P36+'11C4'!P36</f>
        <v>0</v>
      </c>
      <c r="M36" s="41">
        <f>'11C1'!M36+'11C2'!R36+'11C3'!R36+'11C4'!R36</f>
        <v>0</v>
      </c>
      <c r="N36" s="41">
        <f>'11C1'!N36+'11C2'!T36+'11C3'!T36+'11C4'!T36</f>
        <v>0</v>
      </c>
      <c r="O36" s="41">
        <f>'11C1'!O36+'11C2'!V36+'11C3'!V36+'11C4'!V36</f>
        <v>0</v>
      </c>
      <c r="P36" s="41">
        <f>'11C1'!P36+'11C2'!X36+'11C3'!X36+'11C4'!X36</f>
        <v>0</v>
      </c>
      <c r="Q36" s="20"/>
      <c r="R36" s="20"/>
      <c r="S36" s="20"/>
      <c r="T36" s="20"/>
    </row>
    <row r="37" spans="1:20" s="17" customFormat="1" ht="24.75" customHeight="1" x14ac:dyDescent="0.2">
      <c r="A37" s="346"/>
      <c r="B37" s="3" t="s">
        <v>71</v>
      </c>
      <c r="C37" s="694" t="s">
        <v>1468</v>
      </c>
      <c r="D37" s="695"/>
      <c r="E37" s="695"/>
      <c r="F37" s="696"/>
      <c r="G37" s="605" t="s">
        <v>1444</v>
      </c>
      <c r="H37" s="23"/>
      <c r="I37" s="41">
        <f>'11C1'!I37+'11C2'!J37+'11C3'!J37+'11C4'!J37</f>
        <v>0</v>
      </c>
      <c r="J37" s="41">
        <f>'11C1'!J37+'11C2'!L37+'11C3'!L37+'11C4'!L37</f>
        <v>0</v>
      </c>
      <c r="K37" s="41">
        <f>'11C1'!K37+'11C2'!N37+'11C3'!N37+'11C4'!N37</f>
        <v>0</v>
      </c>
      <c r="L37" s="41">
        <f>'11C1'!L37+'11C2'!P37+'11C3'!P37+'11C4'!P37</f>
        <v>0</v>
      </c>
      <c r="M37" s="41">
        <f>'11C1'!M37+'11C2'!R37+'11C3'!R37+'11C4'!R37</f>
        <v>0</v>
      </c>
      <c r="N37" s="41">
        <f>'11C1'!N37+'11C2'!T37+'11C3'!T37+'11C4'!T37</f>
        <v>0</v>
      </c>
      <c r="O37" s="41">
        <f>'11C1'!O37+'11C2'!V37+'11C3'!V37+'11C4'!V37</f>
        <v>0</v>
      </c>
      <c r="P37" s="41">
        <f>'11C1'!P37+'11C2'!X37+'11C3'!X37+'11C4'!X37</f>
        <v>0</v>
      </c>
      <c r="Q37" s="20"/>
      <c r="R37" s="20"/>
      <c r="S37" s="20"/>
      <c r="T37" s="20"/>
    </row>
    <row r="38" spans="1:20" s="17" customFormat="1" x14ac:dyDescent="0.2">
      <c r="A38" s="346"/>
      <c r="B38" s="312" t="s">
        <v>1433</v>
      </c>
      <c r="C38" s="312" t="s">
        <v>52</v>
      </c>
      <c r="D38" s="312"/>
      <c r="E38" s="312"/>
      <c r="F38" s="347"/>
      <c r="G38" s="338" t="s">
        <v>531</v>
      </c>
      <c r="H38" s="23"/>
      <c r="I38" s="41">
        <f>'11C1'!I38+'11C2'!J38+'11C3'!J38+'11C4'!J38</f>
        <v>0</v>
      </c>
      <c r="J38" s="41">
        <f>'11C1'!J38+'11C2'!L38+'11C3'!L38+'11C4'!L38</f>
        <v>0</v>
      </c>
      <c r="K38" s="41">
        <f>'11C1'!K38+'11C2'!N38+'11C3'!N38+'11C4'!N38</f>
        <v>0</v>
      </c>
      <c r="L38" s="41">
        <f>'11C1'!L38+'11C2'!P38+'11C3'!P38+'11C4'!P38</f>
        <v>0</v>
      </c>
      <c r="M38" s="41">
        <f>'11C1'!M38+'11C2'!R38+'11C3'!R38+'11C4'!R38</f>
        <v>0</v>
      </c>
      <c r="N38" s="41">
        <f>'11C1'!N38+'11C2'!T38+'11C3'!T38+'11C4'!T38</f>
        <v>0</v>
      </c>
      <c r="O38" s="41">
        <f>'11C1'!O38+'11C2'!V38+'11C3'!V38+'11C4'!V38</f>
        <v>0</v>
      </c>
      <c r="P38" s="41">
        <f>'11C1'!P38+'11C2'!X38+'11C3'!X38+'11C4'!X38</f>
        <v>0</v>
      </c>
      <c r="Q38" s="20"/>
      <c r="R38" s="20"/>
      <c r="S38" s="20"/>
      <c r="T38" s="20"/>
    </row>
    <row r="39" spans="1:20" s="17" customFormat="1" x14ac:dyDescent="0.2">
      <c r="A39" s="346" t="s">
        <v>81</v>
      </c>
      <c r="B39" s="312" t="s">
        <v>85</v>
      </c>
      <c r="C39" s="312"/>
      <c r="D39" s="312"/>
      <c r="E39" s="312"/>
      <c r="F39" s="347"/>
      <c r="G39" s="338" t="s">
        <v>532</v>
      </c>
      <c r="H39" s="23"/>
      <c r="I39" s="41">
        <f>'11C1'!I39+'11C2'!J39+'11C3'!J39+'11C4'!J39</f>
        <v>0</v>
      </c>
      <c r="J39" s="41">
        <f>'11C1'!J39+'11C2'!L39+'11C3'!L39+'11C4'!L39</f>
        <v>0</v>
      </c>
      <c r="K39" s="41">
        <f>'11C1'!K39+'11C2'!N39+'11C3'!N39+'11C4'!N39</f>
        <v>0</v>
      </c>
      <c r="L39" s="41">
        <f>'11C1'!L39+'11C2'!P39+'11C3'!P39+'11C4'!P39</f>
        <v>0</v>
      </c>
      <c r="M39" s="41">
        <f>'11C1'!M39+'11C2'!R39+'11C3'!R39+'11C4'!R39</f>
        <v>0</v>
      </c>
      <c r="N39" s="41">
        <f>'11C1'!N39+'11C2'!T39+'11C3'!T39+'11C4'!T39</f>
        <v>0</v>
      </c>
      <c r="O39" s="41">
        <f>'11C1'!O39+'11C2'!V39+'11C3'!V39+'11C4'!V39</f>
        <v>0</v>
      </c>
      <c r="P39" s="41">
        <f>'11C1'!P39+'11C2'!X39+'11C3'!X39+'11C4'!X39</f>
        <v>0</v>
      </c>
      <c r="Q39" s="20"/>
      <c r="R39" s="20"/>
      <c r="S39" s="20"/>
      <c r="T39" s="20"/>
    </row>
    <row r="40" spans="1:20" s="17" customFormat="1" ht="11.25" customHeight="1" x14ac:dyDescent="0.2">
      <c r="A40" s="223" t="s">
        <v>86</v>
      </c>
      <c r="B40" s="312"/>
      <c r="C40" s="312"/>
      <c r="D40" s="312"/>
      <c r="E40" s="312"/>
      <c r="F40" s="347"/>
      <c r="G40" s="338" t="s">
        <v>533</v>
      </c>
      <c r="H40" s="23"/>
      <c r="I40" s="41">
        <f>'11C1'!I40+'11C2'!J40+'11C3'!J40+'11C4'!J40</f>
        <v>0</v>
      </c>
      <c r="J40" s="41">
        <f>'11C1'!J40+'11C2'!L40+'11C3'!L40+'11C4'!L40</f>
        <v>0</v>
      </c>
      <c r="K40" s="41">
        <f>'11C1'!K40+'11C2'!N40+'11C3'!N40+'11C4'!N40</f>
        <v>0</v>
      </c>
      <c r="L40" s="41">
        <f>'11C1'!L40+'11C2'!P40+'11C3'!P40+'11C4'!P40</f>
        <v>0</v>
      </c>
      <c r="M40" s="41">
        <f>'11C1'!M40+'11C2'!R40+'11C3'!R40+'11C4'!R40</f>
        <v>0</v>
      </c>
      <c r="N40" s="41">
        <f>'11C1'!N40+'11C2'!T40+'11C3'!T40+'11C4'!T40</f>
        <v>0</v>
      </c>
      <c r="O40" s="41">
        <f>'11C1'!O40+'11C2'!V40+'11C3'!V40+'11C4'!V40</f>
        <v>0</v>
      </c>
      <c r="P40" s="41">
        <f>'11C1'!P40+'11C2'!X40+'11C3'!X40+'11C4'!X40</f>
        <v>0</v>
      </c>
      <c r="Q40" s="20"/>
      <c r="R40" s="20"/>
      <c r="S40" s="20"/>
      <c r="T40" s="20"/>
    </row>
    <row r="41" spans="1:20" s="17" customFormat="1" x14ac:dyDescent="0.2">
      <c r="A41" s="348" t="s">
        <v>54</v>
      </c>
      <c r="B41" s="225" t="s">
        <v>87</v>
      </c>
      <c r="C41" s="312"/>
      <c r="D41" s="312"/>
      <c r="E41" s="312"/>
      <c r="F41" s="347"/>
      <c r="G41" s="338" t="s">
        <v>534</v>
      </c>
      <c r="H41" s="23"/>
      <c r="I41" s="41">
        <f>'11C1'!I41+'11C2'!J41+'11C3'!J41+'11C4'!J41</f>
        <v>0</v>
      </c>
      <c r="J41" s="41">
        <f>'11C1'!J41+'11C2'!L41+'11C3'!L41+'11C4'!L41</f>
        <v>0</v>
      </c>
      <c r="K41" s="41">
        <f>'11C1'!K41+'11C2'!N41+'11C3'!N41+'11C4'!N41</f>
        <v>0</v>
      </c>
      <c r="L41" s="41">
        <f>'11C1'!L41+'11C2'!P41+'11C3'!P41+'11C4'!P41</f>
        <v>0</v>
      </c>
      <c r="M41" s="41">
        <f>'11C1'!M41+'11C2'!R41+'11C3'!R41+'11C4'!R41</f>
        <v>0</v>
      </c>
      <c r="N41" s="41">
        <f>'11C1'!N41+'11C2'!T41+'11C3'!T41+'11C4'!T41</f>
        <v>0</v>
      </c>
      <c r="O41" s="41">
        <f>'11C1'!O41+'11C2'!V41+'11C3'!V41+'11C4'!V41</f>
        <v>0</v>
      </c>
      <c r="P41" s="41">
        <f>'11C1'!P41+'11C2'!X41+'11C3'!X41+'11C4'!X41</f>
        <v>0</v>
      </c>
      <c r="Q41" s="20"/>
      <c r="R41" s="20"/>
      <c r="S41" s="20"/>
      <c r="T41" s="20"/>
    </row>
    <row r="42" spans="1:20" s="17" customFormat="1" x14ac:dyDescent="0.2">
      <c r="A42" s="348" t="s">
        <v>55</v>
      </c>
      <c r="B42" s="225" t="s">
        <v>88</v>
      </c>
      <c r="C42" s="312"/>
      <c r="D42" s="312"/>
      <c r="E42" s="312"/>
      <c r="F42" s="347"/>
      <c r="G42" s="338" t="s">
        <v>535</v>
      </c>
      <c r="H42" s="23"/>
      <c r="I42" s="41">
        <f>'11C1'!I42+'11C2'!J42+'11C3'!J42+'11C4'!J42</f>
        <v>0</v>
      </c>
      <c r="J42" s="41">
        <f>'11C1'!J42+'11C2'!L42+'11C3'!L42+'11C4'!L42</f>
        <v>0</v>
      </c>
      <c r="K42" s="41">
        <f>'11C1'!K42+'11C2'!N42+'11C3'!N42+'11C4'!N42</f>
        <v>0</v>
      </c>
      <c r="L42" s="41">
        <f>'11C1'!L42+'11C2'!P42+'11C3'!P42+'11C4'!P42</f>
        <v>0</v>
      </c>
      <c r="M42" s="41">
        <f>'11C1'!M42+'11C2'!R42+'11C3'!R42+'11C4'!R42</f>
        <v>0</v>
      </c>
      <c r="N42" s="41">
        <f>'11C1'!N42+'11C2'!T42+'11C3'!T42+'11C4'!T42</f>
        <v>0</v>
      </c>
      <c r="O42" s="41">
        <f>'11C1'!O42+'11C2'!V42+'11C3'!V42+'11C4'!V42</f>
        <v>0</v>
      </c>
      <c r="P42" s="41">
        <f>'11C1'!P42+'11C2'!X42+'11C3'!X42+'11C4'!X42</f>
        <v>0</v>
      </c>
      <c r="Q42" s="20"/>
      <c r="R42" s="20"/>
      <c r="S42" s="20"/>
      <c r="T42" s="20"/>
    </row>
    <row r="43" spans="1:20" s="17" customFormat="1" x14ac:dyDescent="0.2">
      <c r="A43" s="348" t="s">
        <v>65</v>
      </c>
      <c r="B43" s="312" t="s">
        <v>89</v>
      </c>
      <c r="C43" s="312"/>
      <c r="D43" s="312"/>
      <c r="E43" s="312"/>
      <c r="F43" s="347"/>
      <c r="G43" s="338" t="s">
        <v>536</v>
      </c>
      <c r="H43" s="23"/>
      <c r="I43" s="41">
        <f>'11C1'!I43+'11C2'!J43+'11C3'!J43+'11C4'!J43</f>
        <v>0</v>
      </c>
      <c r="J43" s="41">
        <f>'11C1'!J43+'11C2'!L43+'11C3'!L43+'11C4'!L43</f>
        <v>0</v>
      </c>
      <c r="K43" s="41">
        <f>'11C1'!K43+'11C2'!N43+'11C3'!N43+'11C4'!N43</f>
        <v>0</v>
      </c>
      <c r="L43" s="41">
        <f>'11C1'!L43+'11C2'!P43+'11C3'!P43+'11C4'!P43</f>
        <v>0</v>
      </c>
      <c r="M43" s="41">
        <f>'11C1'!M43+'11C2'!R43+'11C3'!R43+'11C4'!R43</f>
        <v>0</v>
      </c>
      <c r="N43" s="41">
        <f>'11C1'!N43+'11C2'!T43+'11C3'!T43+'11C4'!T43</f>
        <v>0</v>
      </c>
      <c r="O43" s="41">
        <f>'11C1'!O43+'11C2'!V43+'11C3'!V43+'11C4'!V43</f>
        <v>0</v>
      </c>
      <c r="P43" s="41">
        <f>'11C1'!P43+'11C2'!X43+'11C3'!X43+'11C4'!X43</f>
        <v>0</v>
      </c>
      <c r="Q43" s="20"/>
      <c r="R43" s="20"/>
      <c r="S43" s="20"/>
      <c r="T43" s="20"/>
    </row>
    <row r="44" spans="1:20" s="17" customFormat="1" x14ac:dyDescent="0.2">
      <c r="A44" s="348" t="s">
        <v>90</v>
      </c>
      <c r="B44" s="312" t="s">
        <v>91</v>
      </c>
      <c r="C44" s="312"/>
      <c r="D44" s="312"/>
      <c r="E44" s="312"/>
      <c r="F44" s="347"/>
      <c r="G44" s="338" t="s">
        <v>537</v>
      </c>
      <c r="H44" s="23"/>
      <c r="I44" s="41">
        <f>'11C1'!I44+'11C2'!J44+'11C3'!J44+'11C4'!J44</f>
        <v>0</v>
      </c>
      <c r="J44" s="41">
        <f>'11C1'!J44+'11C2'!L44+'11C3'!L44+'11C4'!L44</f>
        <v>0</v>
      </c>
      <c r="K44" s="41">
        <f>'11C1'!K44+'11C2'!N44+'11C3'!N44+'11C4'!N44</f>
        <v>0</v>
      </c>
      <c r="L44" s="41">
        <f>'11C1'!L44+'11C2'!P44+'11C3'!P44+'11C4'!P44</f>
        <v>0</v>
      </c>
      <c r="M44" s="41">
        <f>'11C1'!M44+'11C2'!R44+'11C3'!R44+'11C4'!R44</f>
        <v>0</v>
      </c>
      <c r="N44" s="41">
        <f>'11C1'!N44+'11C2'!T44+'11C3'!T44+'11C4'!T44</f>
        <v>0</v>
      </c>
      <c r="O44" s="41">
        <f>'11C1'!O44+'11C2'!V44+'11C3'!V44+'11C4'!V44</f>
        <v>0</v>
      </c>
      <c r="P44" s="41">
        <f>'11C1'!P44+'11C2'!X44+'11C3'!X44+'11C4'!X44</f>
        <v>0</v>
      </c>
      <c r="Q44" s="20"/>
      <c r="R44" s="20"/>
      <c r="S44" s="20"/>
      <c r="T44" s="20"/>
    </row>
    <row r="45" spans="1:20" s="17" customFormat="1" x14ac:dyDescent="0.2">
      <c r="A45" s="365" t="s">
        <v>140</v>
      </c>
      <c r="B45" s="349"/>
      <c r="C45" s="349"/>
      <c r="D45" s="349"/>
      <c r="E45" s="349"/>
      <c r="F45" s="347"/>
      <c r="G45" s="338" t="s">
        <v>538</v>
      </c>
      <c r="H45" s="23"/>
      <c r="I45" s="41">
        <f>'11C1'!I45+'11C2'!J45+'11C3'!J45+'11C4'!J45</f>
        <v>0</v>
      </c>
      <c r="J45" s="41">
        <f>'11C1'!J45+'11C2'!L45+'11C3'!L45+'11C4'!L45</f>
        <v>0</v>
      </c>
      <c r="K45" s="41">
        <f>'11C1'!K45+'11C2'!N45+'11C3'!N45+'11C4'!N45</f>
        <v>0</v>
      </c>
      <c r="L45" s="41">
        <f>'11C1'!L45+'11C2'!P45+'11C3'!P45+'11C4'!P45</f>
        <v>0</v>
      </c>
      <c r="M45" s="41">
        <f>'11C1'!M45+'11C2'!R45+'11C3'!R45+'11C4'!R45</f>
        <v>0</v>
      </c>
      <c r="N45" s="41">
        <f>'11C1'!N45+'11C2'!T45+'11C3'!T45+'11C4'!T45</f>
        <v>0</v>
      </c>
      <c r="O45" s="41">
        <f>'11C1'!O45+'11C2'!V45+'11C3'!V45+'11C4'!V45</f>
        <v>0</v>
      </c>
      <c r="P45" s="41">
        <f>'11C1'!P45+'11C2'!X45+'11C3'!X45+'11C4'!X45</f>
        <v>0</v>
      </c>
      <c r="Q45" s="20"/>
      <c r="R45" s="20"/>
      <c r="S45" s="20"/>
      <c r="T45" s="20"/>
    </row>
    <row r="46" spans="1:20" x14ac:dyDescent="0.2">
      <c r="G46" s="229" t="s">
        <v>108</v>
      </c>
    </row>
  </sheetData>
  <sheetProtection password="D0C5" sheet="1" objects="1" scenarios="1" selectLockedCells="1"/>
  <mergeCells count="19">
    <mergeCell ref="C37:F37"/>
    <mergeCell ref="C34:F34"/>
    <mergeCell ref="A9:P9"/>
    <mergeCell ref="G5:G8"/>
    <mergeCell ref="P5:P8"/>
    <mergeCell ref="A2:P2"/>
    <mergeCell ref="B31:F31"/>
    <mergeCell ref="A5:F8"/>
    <mergeCell ref="C22:F22"/>
    <mergeCell ref="C23:F23"/>
    <mergeCell ref="A1:P1"/>
    <mergeCell ref="I5:I8"/>
    <mergeCell ref="J5:J8"/>
    <mergeCell ref="K5:K8"/>
    <mergeCell ref="L5:L8"/>
    <mergeCell ref="M5:M8"/>
    <mergeCell ref="N5:N8"/>
    <mergeCell ref="O5:O8"/>
    <mergeCell ref="A3:P3"/>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11c&amp;8&amp;U
&amp;P of &amp;N&amp;C&amp;"Arial,Bold"&amp;8 NEW RURAL BANK OF SAN LEONARDO, INC  [ 04-040656 ]
 As of: September 30, 2017</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46"/>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3.42578125" style="5" customWidth="1"/>
    <col min="3" max="3" width="2.7109375" style="5" customWidth="1"/>
    <col min="4" max="5" width="4.140625" style="5" customWidth="1"/>
    <col min="6" max="6" width="38.42578125" style="5" customWidth="1"/>
    <col min="7" max="7" width="16.5703125" style="52" bestFit="1" customWidth="1"/>
    <col min="8" max="8" width="16.5703125" style="52" hidden="1" customWidth="1"/>
    <col min="9" max="12" width="25.7109375" style="48" customWidth="1"/>
    <col min="13" max="13" width="25.7109375" style="198" customWidth="1"/>
    <col min="14" max="14" width="25.7109375" style="48" customWidth="1"/>
    <col min="15" max="16" width="25.7109375" style="198" customWidth="1"/>
    <col min="17" max="16384" width="9.140625" style="5"/>
  </cols>
  <sheetData>
    <row r="1" spans="1:16" s="243" customFormat="1" ht="12.75" x14ac:dyDescent="0.2">
      <c r="A1" s="669" t="s">
        <v>213</v>
      </c>
      <c r="B1" s="669"/>
      <c r="C1" s="669"/>
      <c r="D1" s="669"/>
      <c r="E1" s="669"/>
      <c r="F1" s="669"/>
      <c r="G1" s="669"/>
      <c r="H1" s="669"/>
      <c r="I1" s="669"/>
      <c r="J1" s="669"/>
      <c r="K1" s="669"/>
      <c r="L1" s="669"/>
      <c r="M1" s="669"/>
      <c r="N1" s="669"/>
      <c r="O1" s="669"/>
      <c r="P1" s="669"/>
    </row>
    <row r="2" spans="1:16" s="243" customFormat="1" ht="12.75" x14ac:dyDescent="0.2">
      <c r="A2" s="669" t="s">
        <v>507</v>
      </c>
      <c r="B2" s="669"/>
      <c r="C2" s="669"/>
      <c r="D2" s="669"/>
      <c r="E2" s="669"/>
      <c r="F2" s="669"/>
      <c r="G2" s="669"/>
      <c r="H2" s="669"/>
      <c r="I2" s="669"/>
      <c r="J2" s="669"/>
      <c r="K2" s="669"/>
      <c r="L2" s="669"/>
      <c r="M2" s="669"/>
      <c r="N2" s="669"/>
      <c r="O2" s="669"/>
      <c r="P2" s="669"/>
    </row>
    <row r="3" spans="1:16" s="243" customFormat="1" ht="12.75" x14ac:dyDescent="0.2">
      <c r="A3" s="669" t="s">
        <v>56</v>
      </c>
      <c r="B3" s="669"/>
      <c r="C3" s="669"/>
      <c r="D3" s="669"/>
      <c r="E3" s="669"/>
      <c r="F3" s="669"/>
      <c r="G3" s="669"/>
      <c r="H3" s="669"/>
      <c r="I3" s="669"/>
      <c r="J3" s="669"/>
      <c r="K3" s="669"/>
      <c r="L3" s="669"/>
      <c r="M3" s="669"/>
      <c r="N3" s="669"/>
      <c r="O3" s="669"/>
      <c r="P3" s="669"/>
    </row>
    <row r="4" spans="1:16" ht="12.75" customHeight="1" x14ac:dyDescent="0.2">
      <c r="A4" s="6"/>
      <c r="B4" s="6"/>
      <c r="C4" s="6"/>
      <c r="D4" s="6"/>
      <c r="E4" s="6"/>
      <c r="F4" s="6"/>
      <c r="G4" s="54"/>
      <c r="H4" s="54"/>
      <c r="I4" s="47"/>
      <c r="J4" s="47"/>
      <c r="K4" s="47"/>
      <c r="L4" s="47"/>
      <c r="M4" s="197"/>
      <c r="N4" s="47"/>
      <c r="O4" s="197"/>
      <c r="P4" s="197"/>
    </row>
    <row r="5" spans="1:16" ht="12.75" customHeight="1" x14ac:dyDescent="0.2">
      <c r="A5" s="704" t="s">
        <v>45</v>
      </c>
      <c r="B5" s="704"/>
      <c r="C5" s="704"/>
      <c r="D5" s="704"/>
      <c r="E5" s="704"/>
      <c r="F5" s="704"/>
      <c r="G5" s="712" t="s">
        <v>46</v>
      </c>
      <c r="H5" s="39"/>
      <c r="I5" s="705" t="s">
        <v>500</v>
      </c>
      <c r="J5" s="670" t="s">
        <v>501</v>
      </c>
      <c r="K5" s="670" t="s">
        <v>548</v>
      </c>
      <c r="L5" s="670" t="s">
        <v>549</v>
      </c>
      <c r="M5" s="708" t="s">
        <v>502</v>
      </c>
      <c r="N5" s="670" t="s">
        <v>503</v>
      </c>
      <c r="O5" s="710" t="s">
        <v>504</v>
      </c>
      <c r="P5" s="710" t="s">
        <v>505</v>
      </c>
    </row>
    <row r="6" spans="1:16" ht="12.75" customHeight="1" x14ac:dyDescent="0.2">
      <c r="A6" s="704"/>
      <c r="B6" s="704"/>
      <c r="C6" s="704"/>
      <c r="D6" s="704"/>
      <c r="E6" s="704"/>
      <c r="F6" s="704"/>
      <c r="G6" s="712"/>
      <c r="H6" s="39"/>
      <c r="I6" s="706"/>
      <c r="J6" s="707"/>
      <c r="K6" s="707"/>
      <c r="L6" s="707"/>
      <c r="M6" s="709"/>
      <c r="N6" s="670"/>
      <c r="O6" s="710"/>
      <c r="P6" s="710"/>
    </row>
    <row r="7" spans="1:16" ht="12.75" customHeight="1" x14ac:dyDescent="0.2">
      <c r="A7" s="704"/>
      <c r="B7" s="704"/>
      <c r="C7" s="704"/>
      <c r="D7" s="704"/>
      <c r="E7" s="704"/>
      <c r="F7" s="704"/>
      <c r="G7" s="712"/>
      <c r="H7" s="39"/>
      <c r="I7" s="706"/>
      <c r="J7" s="707"/>
      <c r="K7" s="707"/>
      <c r="L7" s="707"/>
      <c r="M7" s="709"/>
      <c r="N7" s="670"/>
      <c r="O7" s="710"/>
      <c r="P7" s="710"/>
    </row>
    <row r="8" spans="1:16" ht="27.75" customHeight="1" x14ac:dyDescent="0.2">
      <c r="A8" s="704"/>
      <c r="B8" s="704"/>
      <c r="C8" s="704"/>
      <c r="D8" s="704"/>
      <c r="E8" s="704"/>
      <c r="F8" s="704"/>
      <c r="G8" s="712"/>
      <c r="H8" s="39"/>
      <c r="I8" s="706"/>
      <c r="J8" s="707"/>
      <c r="K8" s="707"/>
      <c r="L8" s="707"/>
      <c r="M8" s="709"/>
      <c r="N8" s="670"/>
      <c r="O8" s="710"/>
      <c r="P8" s="710"/>
    </row>
    <row r="9" spans="1:16" ht="17.25" customHeight="1" x14ac:dyDescent="0.2">
      <c r="A9" s="711" t="s">
        <v>506</v>
      </c>
      <c r="B9" s="711"/>
      <c r="C9" s="711"/>
      <c r="D9" s="711"/>
      <c r="E9" s="711"/>
      <c r="F9" s="711"/>
      <c r="G9" s="711"/>
      <c r="H9" s="711"/>
      <c r="I9" s="711"/>
      <c r="J9" s="711"/>
      <c r="K9" s="711"/>
      <c r="L9" s="711"/>
      <c r="M9" s="711"/>
      <c r="N9" s="711"/>
      <c r="O9" s="711"/>
      <c r="P9" s="711"/>
    </row>
    <row r="10" spans="1:16" s="17" customFormat="1" x14ac:dyDescent="0.2">
      <c r="A10" s="223" t="s">
        <v>57</v>
      </c>
      <c r="B10" s="312"/>
      <c r="C10" s="312"/>
      <c r="D10" s="312"/>
      <c r="E10" s="312"/>
      <c r="F10" s="347"/>
      <c r="G10" s="313" t="s">
        <v>508</v>
      </c>
      <c r="H10" s="45"/>
      <c r="I10" s="41">
        <f>I11+I18+I21+I24+I27+I28+I31+I32+I39</f>
        <v>0</v>
      </c>
      <c r="J10" s="41">
        <f>J11+J18+J21+J24+J27+J28+J31+J32+J39</f>
        <v>0</v>
      </c>
      <c r="K10" s="41">
        <f>K11+K18+K21+K24+K27+K28+K31+K32+K39</f>
        <v>0</v>
      </c>
      <c r="L10" s="41">
        <f>L11+L18+L21+L24+L27+L28+L31+L32+L39</f>
        <v>0</v>
      </c>
      <c r="M10" s="41">
        <f>M11+M18+M21+M24+M27+M28+M31+M32+M39</f>
        <v>0</v>
      </c>
      <c r="N10" s="41">
        <f t="shared" ref="N10:N39" si="0">I10-J10+K10-L10+M10</f>
        <v>0</v>
      </c>
      <c r="O10" s="41">
        <f>O11+O18+O21+O24+O27+O28+O31+O32+O39</f>
        <v>0</v>
      </c>
      <c r="P10" s="41">
        <f>P11+P18+P21+P24+P27+P28+P31+P32+P39</f>
        <v>0</v>
      </c>
    </row>
    <row r="11" spans="1:16" s="17" customFormat="1" x14ac:dyDescent="0.2">
      <c r="A11" s="346" t="s">
        <v>58</v>
      </c>
      <c r="B11" s="312" t="s">
        <v>544</v>
      </c>
      <c r="C11" s="312"/>
      <c r="D11" s="312"/>
      <c r="E11" s="312"/>
      <c r="F11" s="347"/>
      <c r="G11" s="313" t="s">
        <v>509</v>
      </c>
      <c r="H11" s="45"/>
      <c r="I11" s="41">
        <f>+I12+I13+I14</f>
        <v>0</v>
      </c>
      <c r="J11" s="41">
        <f>+J12+J13+J14</f>
        <v>0</v>
      </c>
      <c r="K11" s="41">
        <f>+K12+K13+K14</f>
        <v>0</v>
      </c>
      <c r="L11" s="41">
        <f>+L12+L13+L14</f>
        <v>0</v>
      </c>
      <c r="M11" s="41">
        <f>+M12+M13+M14</f>
        <v>0</v>
      </c>
      <c r="N11" s="41">
        <f t="shared" si="0"/>
        <v>0</v>
      </c>
      <c r="O11" s="41">
        <f>+O12+O13+O14</f>
        <v>0</v>
      </c>
      <c r="P11" s="41">
        <f>+P12+P13+P14</f>
        <v>0</v>
      </c>
    </row>
    <row r="12" spans="1:16" s="17" customFormat="1" x14ac:dyDescent="0.2">
      <c r="A12" s="346"/>
      <c r="B12" s="312" t="s">
        <v>59</v>
      </c>
      <c r="C12" s="312" t="s">
        <v>60</v>
      </c>
      <c r="D12" s="312"/>
      <c r="E12" s="312"/>
      <c r="F12" s="347"/>
      <c r="G12" s="313" t="s">
        <v>510</v>
      </c>
      <c r="H12" s="45"/>
      <c r="I12" s="44"/>
      <c r="J12" s="44"/>
      <c r="K12" s="44"/>
      <c r="L12" s="44"/>
      <c r="M12" s="44"/>
      <c r="N12" s="41">
        <f t="shared" si="0"/>
        <v>0</v>
      </c>
      <c r="O12" s="44"/>
      <c r="P12" s="44"/>
    </row>
    <row r="13" spans="1:16" s="17" customFormat="1" x14ac:dyDescent="0.2">
      <c r="A13" s="346"/>
      <c r="B13" s="312" t="s">
        <v>61</v>
      </c>
      <c r="C13" s="312" t="s">
        <v>72</v>
      </c>
      <c r="D13" s="312"/>
      <c r="E13" s="312"/>
      <c r="F13" s="347"/>
      <c r="G13" s="313" t="s">
        <v>550</v>
      </c>
      <c r="H13" s="45"/>
      <c r="I13" s="44"/>
      <c r="J13" s="44"/>
      <c r="K13" s="44"/>
      <c r="L13" s="44"/>
      <c r="M13" s="44"/>
      <c r="N13" s="41">
        <f t="shared" si="0"/>
        <v>0</v>
      </c>
      <c r="O13" s="44"/>
      <c r="P13" s="44"/>
    </row>
    <row r="14" spans="1:16" s="17" customFormat="1" x14ac:dyDescent="0.2">
      <c r="A14" s="346"/>
      <c r="B14" s="312" t="s">
        <v>71</v>
      </c>
      <c r="C14" s="312" t="s">
        <v>62</v>
      </c>
      <c r="D14" s="312"/>
      <c r="E14" s="312"/>
      <c r="F14" s="347"/>
      <c r="G14" s="313" t="s">
        <v>511</v>
      </c>
      <c r="H14" s="45"/>
      <c r="I14" s="41">
        <f>I15+I16+I17</f>
        <v>0</v>
      </c>
      <c r="J14" s="41">
        <f>J15+J16+J17</f>
        <v>0</v>
      </c>
      <c r="K14" s="41">
        <f>K15+K16+K17</f>
        <v>0</v>
      </c>
      <c r="L14" s="41">
        <f>L15+L16+L17</f>
        <v>0</v>
      </c>
      <c r="M14" s="41">
        <f>M15+M16+M17</f>
        <v>0</v>
      </c>
      <c r="N14" s="41">
        <f t="shared" si="0"/>
        <v>0</v>
      </c>
      <c r="O14" s="41">
        <f>O15+O16+O17</f>
        <v>0</v>
      </c>
      <c r="P14" s="41">
        <f>P15+P16+P17</f>
        <v>0</v>
      </c>
    </row>
    <row r="15" spans="1:16" s="17" customFormat="1" x14ac:dyDescent="0.2">
      <c r="A15" s="346"/>
      <c r="B15" s="312"/>
      <c r="C15" s="311" t="s">
        <v>54</v>
      </c>
      <c r="D15" s="312" t="s">
        <v>63</v>
      </c>
      <c r="E15" s="312"/>
      <c r="F15" s="347"/>
      <c r="G15" s="313" t="s">
        <v>512</v>
      </c>
      <c r="H15" s="45"/>
      <c r="I15" s="44"/>
      <c r="J15" s="44"/>
      <c r="K15" s="44"/>
      <c r="L15" s="44"/>
      <c r="M15" s="44"/>
      <c r="N15" s="41">
        <f t="shared" si="0"/>
        <v>0</v>
      </c>
      <c r="O15" s="44"/>
      <c r="P15" s="44"/>
    </row>
    <row r="16" spans="1:16" s="17" customFormat="1" x14ac:dyDescent="0.2">
      <c r="A16" s="346"/>
      <c r="B16" s="312"/>
      <c r="C16" s="311" t="s">
        <v>55</v>
      </c>
      <c r="D16" s="312" t="s">
        <v>64</v>
      </c>
      <c r="E16" s="312"/>
      <c r="F16" s="347"/>
      <c r="G16" s="313" t="s">
        <v>513</v>
      </c>
      <c r="H16" s="45"/>
      <c r="I16" s="44"/>
      <c r="J16" s="44"/>
      <c r="K16" s="44"/>
      <c r="L16" s="44"/>
      <c r="M16" s="44"/>
      <c r="N16" s="41">
        <f t="shared" si="0"/>
        <v>0</v>
      </c>
      <c r="O16" s="44"/>
      <c r="P16" s="44"/>
    </row>
    <row r="17" spans="1:16" s="17" customFormat="1" x14ac:dyDescent="0.2">
      <c r="A17" s="346"/>
      <c r="B17" s="312"/>
      <c r="C17" s="311" t="s">
        <v>65</v>
      </c>
      <c r="D17" s="312" t="s">
        <v>66</v>
      </c>
      <c r="E17" s="312"/>
      <c r="F17" s="347"/>
      <c r="G17" s="313" t="s">
        <v>514</v>
      </c>
      <c r="H17" s="45"/>
      <c r="I17" s="44"/>
      <c r="J17" s="44"/>
      <c r="K17" s="44"/>
      <c r="L17" s="44"/>
      <c r="M17" s="44"/>
      <c r="N17" s="41">
        <f t="shared" si="0"/>
        <v>0</v>
      </c>
      <c r="O17" s="44"/>
      <c r="P17" s="44"/>
    </row>
    <row r="18" spans="1:16" s="17" customFormat="1" x14ac:dyDescent="0.2">
      <c r="A18" s="346" t="s">
        <v>55</v>
      </c>
      <c r="B18" s="312" t="s">
        <v>67</v>
      </c>
      <c r="C18" s="312"/>
      <c r="D18" s="312"/>
      <c r="E18" s="312"/>
      <c r="F18" s="347"/>
      <c r="G18" s="313" t="s">
        <v>515</v>
      </c>
      <c r="H18" s="45"/>
      <c r="I18" s="41">
        <f>I19+I20</f>
        <v>0</v>
      </c>
      <c r="J18" s="41">
        <f>J19+J20</f>
        <v>0</v>
      </c>
      <c r="K18" s="41">
        <f>K19+K20</f>
        <v>0</v>
      </c>
      <c r="L18" s="41">
        <f>L19+L20</f>
        <v>0</v>
      </c>
      <c r="M18" s="41">
        <f>M19+M20</f>
        <v>0</v>
      </c>
      <c r="N18" s="41">
        <f t="shared" si="0"/>
        <v>0</v>
      </c>
      <c r="O18" s="41">
        <f>O19+O20</f>
        <v>0</v>
      </c>
      <c r="P18" s="41">
        <f>P19+P20</f>
        <v>0</v>
      </c>
    </row>
    <row r="19" spans="1:16" s="17" customFormat="1" x14ac:dyDescent="0.2">
      <c r="A19" s="346"/>
      <c r="B19" s="312" t="s">
        <v>59</v>
      </c>
      <c r="C19" s="312" t="s">
        <v>68</v>
      </c>
      <c r="D19" s="312"/>
      <c r="E19" s="312"/>
      <c r="F19" s="347"/>
      <c r="G19" s="313" t="s">
        <v>516</v>
      </c>
      <c r="H19" s="45"/>
      <c r="I19" s="44"/>
      <c r="J19" s="44"/>
      <c r="K19" s="44"/>
      <c r="L19" s="44"/>
      <c r="M19" s="44"/>
      <c r="N19" s="41">
        <f t="shared" si="0"/>
        <v>0</v>
      </c>
      <c r="O19" s="44"/>
      <c r="P19" s="44"/>
    </row>
    <row r="20" spans="1:16" s="17" customFormat="1" x14ac:dyDescent="0.2">
      <c r="A20" s="346"/>
      <c r="B20" s="312" t="s">
        <v>69</v>
      </c>
      <c r="C20" s="312" t="s">
        <v>70</v>
      </c>
      <c r="D20" s="312"/>
      <c r="E20" s="312"/>
      <c r="F20" s="347"/>
      <c r="G20" s="313" t="s">
        <v>517</v>
      </c>
      <c r="H20" s="45"/>
      <c r="I20" s="44"/>
      <c r="J20" s="44"/>
      <c r="K20" s="44"/>
      <c r="L20" s="44"/>
      <c r="M20" s="44"/>
      <c r="N20" s="41">
        <f t="shared" si="0"/>
        <v>0</v>
      </c>
      <c r="O20" s="44"/>
      <c r="P20" s="44"/>
    </row>
    <row r="21" spans="1:16" s="17" customFormat="1" x14ac:dyDescent="0.2">
      <c r="A21" s="346" t="s">
        <v>65</v>
      </c>
      <c r="B21" s="3" t="s">
        <v>1443</v>
      </c>
      <c r="C21" s="3"/>
      <c r="D21" s="3"/>
      <c r="E21" s="3"/>
      <c r="F21" s="3"/>
      <c r="G21" s="416" t="s">
        <v>518</v>
      </c>
      <c r="H21" s="45"/>
      <c r="I21" s="41">
        <f>I22+I23</f>
        <v>0</v>
      </c>
      <c r="J21" s="41">
        <f>J22+J23</f>
        <v>0</v>
      </c>
      <c r="K21" s="41">
        <f>K22+K23</f>
        <v>0</v>
      </c>
      <c r="L21" s="41">
        <f>L22+L23</f>
        <v>0</v>
      </c>
      <c r="M21" s="41">
        <f>M22+M23</f>
        <v>0</v>
      </c>
      <c r="N21" s="41">
        <f>I21-J21+K21-L21+M21</f>
        <v>0</v>
      </c>
      <c r="O21" s="41">
        <f>O22+O23</f>
        <v>0</v>
      </c>
      <c r="P21" s="41">
        <f>P22+P23</f>
        <v>0</v>
      </c>
    </row>
    <row r="22" spans="1:16" s="17" customFormat="1" x14ac:dyDescent="0.2">
      <c r="A22" s="346"/>
      <c r="B22" s="3" t="s">
        <v>59</v>
      </c>
      <c r="C22" s="658" t="s">
        <v>543</v>
      </c>
      <c r="D22" s="659"/>
      <c r="E22" s="659"/>
      <c r="F22" s="660"/>
      <c r="G22" s="416" t="s">
        <v>1441</v>
      </c>
      <c r="H22" s="45"/>
      <c r="I22" s="44"/>
      <c r="J22" s="44"/>
      <c r="K22" s="44"/>
      <c r="L22" s="44"/>
      <c r="M22" s="44"/>
      <c r="N22" s="41">
        <f>I22-J22+K22-L22+M22</f>
        <v>0</v>
      </c>
      <c r="O22" s="44"/>
      <c r="P22" s="44"/>
    </row>
    <row r="23" spans="1:16" s="17" customFormat="1" x14ac:dyDescent="0.2">
      <c r="A23" s="346"/>
      <c r="B23" s="3" t="s">
        <v>61</v>
      </c>
      <c r="C23" s="658" t="s">
        <v>1430</v>
      </c>
      <c r="D23" s="659"/>
      <c r="E23" s="659"/>
      <c r="F23" s="660"/>
      <c r="G23" s="416" t="s">
        <v>1442</v>
      </c>
      <c r="H23" s="45"/>
      <c r="I23" s="44"/>
      <c r="J23" s="44"/>
      <c r="K23" s="44"/>
      <c r="L23" s="44"/>
      <c r="M23" s="44"/>
      <c r="N23" s="41">
        <f>I23-J23+K23-L23+M23</f>
        <v>0</v>
      </c>
      <c r="O23" s="44"/>
      <c r="P23" s="44"/>
    </row>
    <row r="24" spans="1:16" s="17" customFormat="1" x14ac:dyDescent="0.2">
      <c r="A24" s="346" t="s">
        <v>90</v>
      </c>
      <c r="B24" s="312" t="s">
        <v>73</v>
      </c>
      <c r="C24" s="312"/>
      <c r="D24" s="312"/>
      <c r="E24" s="312"/>
      <c r="F24" s="347"/>
      <c r="G24" s="313" t="s">
        <v>519</v>
      </c>
      <c r="H24" s="45"/>
      <c r="I24" s="41">
        <f>I25+I26</f>
        <v>0</v>
      </c>
      <c r="J24" s="41">
        <f>J25+J26</f>
        <v>0</v>
      </c>
      <c r="K24" s="41">
        <f>K25+K26</f>
        <v>0</v>
      </c>
      <c r="L24" s="41">
        <f>L25+L26</f>
        <v>0</v>
      </c>
      <c r="M24" s="41">
        <f>M25+M26</f>
        <v>0</v>
      </c>
      <c r="N24" s="41">
        <f t="shared" si="0"/>
        <v>0</v>
      </c>
      <c r="O24" s="41">
        <f>O25+O26</f>
        <v>0</v>
      </c>
      <c r="P24" s="41">
        <f>P25+P26</f>
        <v>0</v>
      </c>
    </row>
    <row r="25" spans="1:16" s="17" customFormat="1" x14ac:dyDescent="0.2">
      <c r="A25" s="346"/>
      <c r="B25" s="312" t="s">
        <v>59</v>
      </c>
      <c r="C25" s="312" t="s">
        <v>1451</v>
      </c>
      <c r="D25" s="312"/>
      <c r="E25" s="312"/>
      <c r="F25" s="347"/>
      <c r="G25" s="313" t="s">
        <v>521</v>
      </c>
      <c r="H25" s="45"/>
      <c r="I25" s="44"/>
      <c r="J25" s="44"/>
      <c r="K25" s="44"/>
      <c r="L25" s="44"/>
      <c r="M25" s="44"/>
      <c r="N25" s="41">
        <f t="shared" si="0"/>
        <v>0</v>
      </c>
      <c r="O25" s="44"/>
      <c r="P25" s="44"/>
    </row>
    <row r="26" spans="1:16" s="17" customFormat="1" x14ac:dyDescent="0.2">
      <c r="A26" s="346"/>
      <c r="B26" s="312" t="s">
        <v>69</v>
      </c>
      <c r="C26" s="312" t="s">
        <v>1452</v>
      </c>
      <c r="D26" s="312"/>
      <c r="E26" s="312"/>
      <c r="F26" s="347"/>
      <c r="G26" s="313" t="s">
        <v>522</v>
      </c>
      <c r="H26" s="45"/>
      <c r="I26" s="44"/>
      <c r="J26" s="44"/>
      <c r="K26" s="44"/>
      <c r="L26" s="44"/>
      <c r="M26" s="44"/>
      <c r="N26" s="41">
        <f t="shared" si="0"/>
        <v>0</v>
      </c>
      <c r="O26" s="44"/>
      <c r="P26" s="44"/>
    </row>
    <row r="27" spans="1:16" s="17" customFormat="1" x14ac:dyDescent="0.2">
      <c r="A27" s="346" t="s">
        <v>257</v>
      </c>
      <c r="B27" s="312" t="s">
        <v>983</v>
      </c>
      <c r="C27" s="312"/>
      <c r="D27" s="312"/>
      <c r="E27" s="312"/>
      <c r="F27" s="347"/>
      <c r="G27" s="313" t="s">
        <v>523</v>
      </c>
      <c r="H27" s="45"/>
      <c r="I27" s="44"/>
      <c r="J27" s="44"/>
      <c r="K27" s="44"/>
      <c r="L27" s="44"/>
      <c r="M27" s="44"/>
      <c r="N27" s="41">
        <f t="shared" si="0"/>
        <v>0</v>
      </c>
      <c r="O27" s="44"/>
      <c r="P27" s="44"/>
    </row>
    <row r="28" spans="1:16" s="17" customFormat="1" x14ac:dyDescent="0.2">
      <c r="A28" s="346" t="s">
        <v>74</v>
      </c>
      <c r="B28" s="312" t="s">
        <v>77</v>
      </c>
      <c r="C28" s="312"/>
      <c r="D28" s="312"/>
      <c r="E28" s="312"/>
      <c r="F28" s="347"/>
      <c r="G28" s="313" t="s">
        <v>524</v>
      </c>
      <c r="H28" s="45"/>
      <c r="I28" s="41">
        <f>I29+I30</f>
        <v>0</v>
      </c>
      <c r="J28" s="41">
        <f>J29+J30</f>
        <v>0</v>
      </c>
      <c r="K28" s="41">
        <f>K29+K30</f>
        <v>0</v>
      </c>
      <c r="L28" s="41">
        <f>L29+L30</f>
        <v>0</v>
      </c>
      <c r="M28" s="41">
        <f>M29+M30</f>
        <v>0</v>
      </c>
      <c r="N28" s="41">
        <f t="shared" si="0"/>
        <v>0</v>
      </c>
      <c r="O28" s="41">
        <f>O29+O30</f>
        <v>0</v>
      </c>
      <c r="P28" s="41">
        <f>P29+P30</f>
        <v>0</v>
      </c>
    </row>
    <row r="29" spans="1:16" s="17" customFormat="1" x14ac:dyDescent="0.2">
      <c r="A29" s="346"/>
      <c r="B29" s="312" t="s">
        <v>59</v>
      </c>
      <c r="C29" s="312" t="s">
        <v>78</v>
      </c>
      <c r="D29" s="312"/>
      <c r="E29" s="312"/>
      <c r="F29" s="347"/>
      <c r="G29" s="313" t="s">
        <v>525</v>
      </c>
      <c r="H29" s="45"/>
      <c r="I29" s="44"/>
      <c r="J29" s="44"/>
      <c r="K29" s="44"/>
      <c r="L29" s="44"/>
      <c r="M29" s="44"/>
      <c r="N29" s="41">
        <f t="shared" si="0"/>
        <v>0</v>
      </c>
      <c r="O29" s="44"/>
      <c r="P29" s="44"/>
    </row>
    <row r="30" spans="1:16" s="17" customFormat="1" x14ac:dyDescent="0.2">
      <c r="A30" s="346"/>
      <c r="B30" s="312" t="s">
        <v>61</v>
      </c>
      <c r="C30" s="312" t="s">
        <v>66</v>
      </c>
      <c r="D30" s="312"/>
      <c r="E30" s="312"/>
      <c r="F30" s="347"/>
      <c r="G30" s="313" t="s">
        <v>526</v>
      </c>
      <c r="H30" s="45"/>
      <c r="I30" s="44"/>
      <c r="J30" s="44"/>
      <c r="K30" s="44"/>
      <c r="L30" s="44"/>
      <c r="M30" s="44"/>
      <c r="N30" s="41">
        <f t="shared" si="0"/>
        <v>0</v>
      </c>
      <c r="O30" s="44"/>
      <c r="P30" s="44"/>
    </row>
    <row r="31" spans="1:16" s="17" customFormat="1" x14ac:dyDescent="0.2">
      <c r="A31" s="346" t="s">
        <v>76</v>
      </c>
      <c r="B31" s="640" t="s">
        <v>982</v>
      </c>
      <c r="C31" s="640"/>
      <c r="D31" s="640"/>
      <c r="E31" s="640"/>
      <c r="F31" s="640"/>
      <c r="G31" s="313" t="s">
        <v>527</v>
      </c>
      <c r="H31" s="45"/>
      <c r="I31" s="44"/>
      <c r="J31" s="44"/>
      <c r="K31" s="44"/>
      <c r="L31" s="44"/>
      <c r="M31" s="44"/>
      <c r="N31" s="41">
        <f t="shared" si="0"/>
        <v>0</v>
      </c>
      <c r="O31" s="44"/>
      <c r="P31" s="44"/>
    </row>
    <row r="32" spans="1:16" s="17" customFormat="1" x14ac:dyDescent="0.2">
      <c r="A32" s="346" t="s">
        <v>79</v>
      </c>
      <c r="B32" s="312" t="s">
        <v>1467</v>
      </c>
      <c r="C32" s="312"/>
      <c r="D32" s="312"/>
      <c r="E32" s="312"/>
      <c r="F32" s="347"/>
      <c r="G32" s="313" t="s">
        <v>528</v>
      </c>
      <c r="H32" s="45"/>
      <c r="I32" s="41">
        <f>I33+I34+I37+I38</f>
        <v>0</v>
      </c>
      <c r="J32" s="41">
        <f>J33+J34+J37+J38</f>
        <v>0</v>
      </c>
      <c r="K32" s="41">
        <f>K33+K34+K37+K38</f>
        <v>0</v>
      </c>
      <c r="L32" s="41">
        <f>L33+L34+L37+L38</f>
        <v>0</v>
      </c>
      <c r="M32" s="41">
        <f>M33+M34+M37+M38</f>
        <v>0</v>
      </c>
      <c r="N32" s="41">
        <f t="shared" si="0"/>
        <v>0</v>
      </c>
      <c r="O32" s="41">
        <f>O33+O34+O37+O38</f>
        <v>0</v>
      </c>
      <c r="P32" s="41">
        <f>P33+P34+P37+P38</f>
        <v>0</v>
      </c>
    </row>
    <row r="33" spans="1:16" s="17" customFormat="1" x14ac:dyDescent="0.2">
      <c r="A33" s="346"/>
      <c r="B33" s="312" t="s">
        <v>59</v>
      </c>
      <c r="C33" s="312" t="s">
        <v>82</v>
      </c>
      <c r="D33" s="312"/>
      <c r="E33" s="312"/>
      <c r="F33" s="347"/>
      <c r="G33" s="313" t="s">
        <v>529</v>
      </c>
      <c r="H33" s="45"/>
      <c r="I33" s="44"/>
      <c r="J33" s="44"/>
      <c r="K33" s="44"/>
      <c r="L33" s="44"/>
      <c r="M33" s="44"/>
      <c r="N33" s="41">
        <f t="shared" si="0"/>
        <v>0</v>
      </c>
      <c r="O33" s="44"/>
      <c r="P33" s="44"/>
    </row>
    <row r="34" spans="1:16" s="17" customFormat="1" x14ac:dyDescent="0.2">
      <c r="A34" s="346"/>
      <c r="B34" s="312" t="s">
        <v>61</v>
      </c>
      <c r="C34" s="662" t="s">
        <v>1457</v>
      </c>
      <c r="D34" s="662"/>
      <c r="E34" s="662"/>
      <c r="F34" s="663"/>
      <c r="G34" s="313" t="s">
        <v>530</v>
      </c>
      <c r="H34" s="45"/>
      <c r="I34" s="41">
        <f>I35+I36</f>
        <v>0</v>
      </c>
      <c r="J34" s="41">
        <f>J35+J36</f>
        <v>0</v>
      </c>
      <c r="K34" s="41">
        <f>K35+K36</f>
        <v>0</v>
      </c>
      <c r="L34" s="41">
        <f>L35+L36</f>
        <v>0</v>
      </c>
      <c r="M34" s="41">
        <f>M35+M36</f>
        <v>0</v>
      </c>
      <c r="N34" s="41">
        <f t="shared" si="0"/>
        <v>0</v>
      </c>
      <c r="O34" s="41">
        <f>O35+O36</f>
        <v>0</v>
      </c>
      <c r="P34" s="41">
        <f>P35+P36</f>
        <v>0</v>
      </c>
    </row>
    <row r="35" spans="1:16" s="17" customFormat="1" x14ac:dyDescent="0.2">
      <c r="A35" s="617"/>
      <c r="B35" s="556"/>
      <c r="C35" s="312" t="s">
        <v>54</v>
      </c>
      <c r="D35" s="312" t="s">
        <v>83</v>
      </c>
      <c r="E35" s="312"/>
      <c r="F35" s="312"/>
      <c r="G35" s="618" t="s">
        <v>1461</v>
      </c>
      <c r="H35" s="45"/>
      <c r="I35" s="44"/>
      <c r="J35" s="44"/>
      <c r="K35" s="44"/>
      <c r="L35" s="44"/>
      <c r="M35" s="44"/>
      <c r="N35" s="41">
        <f>I35-J35+K35-L35+M35</f>
        <v>0</v>
      </c>
      <c r="O35" s="44"/>
      <c r="P35" s="44"/>
    </row>
    <row r="36" spans="1:16" s="17" customFormat="1" x14ac:dyDescent="0.2">
      <c r="A36" s="617"/>
      <c r="B36" s="556"/>
      <c r="C36" s="312" t="s">
        <v>55</v>
      </c>
      <c r="D36" s="312" t="s">
        <v>1458</v>
      </c>
      <c r="E36" s="312"/>
      <c r="F36" s="312"/>
      <c r="G36" s="618" t="s">
        <v>1462</v>
      </c>
      <c r="H36" s="45"/>
      <c r="I36" s="44"/>
      <c r="J36" s="44"/>
      <c r="K36" s="44"/>
      <c r="L36" s="44"/>
      <c r="M36" s="44"/>
      <c r="N36" s="41">
        <f>I36-J36+K36-L36+M36</f>
        <v>0</v>
      </c>
      <c r="O36" s="44"/>
      <c r="P36" s="44"/>
    </row>
    <row r="37" spans="1:16" s="17" customFormat="1" x14ac:dyDescent="0.2">
      <c r="A37" s="346"/>
      <c r="B37" s="3" t="s">
        <v>71</v>
      </c>
      <c r="C37" s="3" t="s">
        <v>1468</v>
      </c>
      <c r="D37" s="3"/>
      <c r="E37" s="3"/>
      <c r="F37" s="3"/>
      <c r="G37" s="416" t="s">
        <v>1444</v>
      </c>
      <c r="H37" s="45"/>
      <c r="I37" s="44"/>
      <c r="J37" s="44"/>
      <c r="K37" s="44"/>
      <c r="L37" s="44"/>
      <c r="M37" s="44"/>
      <c r="N37" s="41">
        <f>I37-J37+K37-L37+M37</f>
        <v>0</v>
      </c>
      <c r="O37" s="44"/>
      <c r="P37" s="44"/>
    </row>
    <row r="38" spans="1:16" s="17" customFormat="1" x14ac:dyDescent="0.2">
      <c r="A38" s="346"/>
      <c r="B38" s="312" t="s">
        <v>1433</v>
      </c>
      <c r="C38" s="312" t="s">
        <v>52</v>
      </c>
      <c r="D38" s="312"/>
      <c r="E38" s="312"/>
      <c r="F38" s="347"/>
      <c r="G38" s="313" t="s">
        <v>531</v>
      </c>
      <c r="H38" s="45"/>
      <c r="I38" s="44"/>
      <c r="J38" s="44"/>
      <c r="K38" s="44"/>
      <c r="L38" s="44"/>
      <c r="M38" s="44"/>
      <c r="N38" s="41">
        <f t="shared" si="0"/>
        <v>0</v>
      </c>
      <c r="O38" s="44"/>
      <c r="P38" s="44"/>
    </row>
    <row r="39" spans="1:16" s="17" customFormat="1" x14ac:dyDescent="0.2">
      <c r="A39" s="346" t="s">
        <v>81</v>
      </c>
      <c r="B39" s="312" t="s">
        <v>85</v>
      </c>
      <c r="C39" s="312"/>
      <c r="D39" s="312"/>
      <c r="E39" s="312"/>
      <c r="F39" s="347"/>
      <c r="G39" s="313" t="s">
        <v>532</v>
      </c>
      <c r="H39" s="45"/>
      <c r="I39" s="44"/>
      <c r="J39" s="44"/>
      <c r="K39" s="44"/>
      <c r="L39" s="44"/>
      <c r="M39" s="44"/>
      <c r="N39" s="41">
        <f t="shared" si="0"/>
        <v>0</v>
      </c>
      <c r="O39" s="44"/>
      <c r="P39" s="44"/>
    </row>
    <row r="40" spans="1:16" s="17" customFormat="1" x14ac:dyDescent="0.2">
      <c r="A40" s="223" t="s">
        <v>86</v>
      </c>
      <c r="B40" s="312"/>
      <c r="C40" s="312"/>
      <c r="D40" s="312"/>
      <c r="E40" s="312"/>
      <c r="F40" s="347"/>
      <c r="G40" s="313" t="s">
        <v>533</v>
      </c>
      <c r="H40" s="45"/>
      <c r="I40" s="41">
        <f>I41+I42+I43+I44</f>
        <v>0</v>
      </c>
      <c r="J40" s="41">
        <f>J41+J42+J43+J44</f>
        <v>0</v>
      </c>
      <c r="K40" s="41">
        <f>K41+K42+K43+K44</f>
        <v>0</v>
      </c>
      <c r="L40" s="41">
        <f>L41+L42+L43+L44</f>
        <v>0</v>
      </c>
      <c r="M40" s="41">
        <f>M41+M42+M43+M44</f>
        <v>0</v>
      </c>
      <c r="N40" s="41">
        <f>I40-J40+K40-L40+M40</f>
        <v>0</v>
      </c>
      <c r="O40" s="41">
        <f>O41+O42+O43+O44</f>
        <v>0</v>
      </c>
      <c r="P40" s="41">
        <f>P41+P42+P43+P44</f>
        <v>0</v>
      </c>
    </row>
    <row r="41" spans="1:16" s="17" customFormat="1" x14ac:dyDescent="0.2">
      <c r="A41" s="348" t="s">
        <v>54</v>
      </c>
      <c r="B41" s="225" t="s">
        <v>87</v>
      </c>
      <c r="C41" s="312"/>
      <c r="D41" s="312"/>
      <c r="E41" s="312"/>
      <c r="F41" s="347"/>
      <c r="G41" s="313" t="s">
        <v>534</v>
      </c>
      <c r="H41" s="45"/>
      <c r="I41" s="43"/>
      <c r="J41" s="43"/>
      <c r="K41" s="43"/>
      <c r="L41" s="43"/>
      <c r="M41" s="43"/>
      <c r="N41" s="43"/>
      <c r="O41" s="43"/>
      <c r="P41" s="43"/>
    </row>
    <row r="42" spans="1:16" s="17" customFormat="1" x14ac:dyDescent="0.2">
      <c r="A42" s="348" t="s">
        <v>55</v>
      </c>
      <c r="B42" s="225" t="s">
        <v>88</v>
      </c>
      <c r="C42" s="312"/>
      <c r="D42" s="312"/>
      <c r="E42" s="312"/>
      <c r="F42" s="347"/>
      <c r="G42" s="313" t="s">
        <v>535</v>
      </c>
      <c r="H42" s="45"/>
      <c r="I42" s="43"/>
      <c r="J42" s="43"/>
      <c r="K42" s="43"/>
      <c r="L42" s="43"/>
      <c r="M42" s="43"/>
      <c r="N42" s="43"/>
      <c r="O42" s="43"/>
      <c r="P42" s="43"/>
    </row>
    <row r="43" spans="1:16" s="17" customFormat="1" x14ac:dyDescent="0.2">
      <c r="A43" s="348" t="s">
        <v>65</v>
      </c>
      <c r="B43" s="312" t="s">
        <v>89</v>
      </c>
      <c r="C43" s="312"/>
      <c r="D43" s="312"/>
      <c r="E43" s="312"/>
      <c r="F43" s="347"/>
      <c r="G43" s="313" t="s">
        <v>536</v>
      </c>
      <c r="H43" s="45"/>
      <c r="I43" s="43"/>
      <c r="J43" s="43"/>
      <c r="K43" s="43"/>
      <c r="L43" s="43"/>
      <c r="M43" s="43"/>
      <c r="N43" s="43"/>
      <c r="O43" s="43"/>
      <c r="P43" s="43"/>
    </row>
    <row r="44" spans="1:16" s="17" customFormat="1" x14ac:dyDescent="0.2">
      <c r="A44" s="348" t="s">
        <v>90</v>
      </c>
      <c r="B44" s="312" t="s">
        <v>91</v>
      </c>
      <c r="C44" s="312"/>
      <c r="D44" s="312"/>
      <c r="E44" s="312"/>
      <c r="F44" s="347"/>
      <c r="G44" s="313" t="s">
        <v>537</v>
      </c>
      <c r="H44" s="45"/>
      <c r="I44" s="44"/>
      <c r="J44" s="44"/>
      <c r="K44" s="44"/>
      <c r="L44" s="44"/>
      <c r="M44" s="44"/>
      <c r="N44" s="41">
        <f>I44-J44+K44-L44+M44</f>
        <v>0</v>
      </c>
      <c r="O44" s="44"/>
      <c r="P44" s="44"/>
    </row>
    <row r="45" spans="1:16" s="20" customFormat="1" x14ac:dyDescent="0.2">
      <c r="A45" s="318" t="s">
        <v>140</v>
      </c>
      <c r="B45" s="360"/>
      <c r="C45" s="329"/>
      <c r="D45" s="331"/>
      <c r="E45" s="367"/>
      <c r="F45" s="303"/>
      <c r="G45" s="313" t="s">
        <v>538</v>
      </c>
      <c r="H45" s="115"/>
      <c r="I45" s="41">
        <f t="shared" ref="I45:P45" si="1">I40+I10</f>
        <v>0</v>
      </c>
      <c r="J45" s="41">
        <f t="shared" si="1"/>
        <v>0</v>
      </c>
      <c r="K45" s="41">
        <f t="shared" si="1"/>
        <v>0</v>
      </c>
      <c r="L45" s="41">
        <f t="shared" si="1"/>
        <v>0</v>
      </c>
      <c r="M45" s="41">
        <f t="shared" si="1"/>
        <v>0</v>
      </c>
      <c r="N45" s="41">
        <f t="shared" si="1"/>
        <v>0</v>
      </c>
      <c r="O45" s="41">
        <f t="shared" si="1"/>
        <v>0</v>
      </c>
      <c r="P45" s="41">
        <f t="shared" si="1"/>
        <v>0</v>
      </c>
    </row>
    <row r="46" spans="1:16" x14ac:dyDescent="0.2">
      <c r="G46" s="230" t="s">
        <v>108</v>
      </c>
    </row>
  </sheetData>
  <sheetProtection password="F4FA" sheet="1" objects="1" scenarios="1" selectLockedCells="1"/>
  <mergeCells count="18">
    <mergeCell ref="C34:F34"/>
    <mergeCell ref="A3:P3"/>
    <mergeCell ref="A9:P9"/>
    <mergeCell ref="B31:F31"/>
    <mergeCell ref="A5:F8"/>
    <mergeCell ref="G5:G8"/>
    <mergeCell ref="C22:F22"/>
    <mergeCell ref="C23:F23"/>
    <mergeCell ref="A1:P1"/>
    <mergeCell ref="I5:I8"/>
    <mergeCell ref="J5:J8"/>
    <mergeCell ref="K5:K8"/>
    <mergeCell ref="L5:L8"/>
    <mergeCell ref="M5:M8"/>
    <mergeCell ref="N5:N8"/>
    <mergeCell ref="O5:O8"/>
    <mergeCell ref="P5:P8"/>
    <mergeCell ref="A2:P2"/>
  </mergeCells>
  <phoneticPr fontId="2" type="noConversion"/>
  <dataValidations count="2">
    <dataValidation type="decimal" allowBlank="1" showInputMessage="1" showErrorMessage="1" sqref="I25:L27 I29:L31 I22:L23 I12:L13 I15:L17 I19:L20 O44:P44 I44:M44 I33:L39">
      <formula1>0</formula1>
      <formula2>99999999999999900</formula2>
    </dataValidation>
    <dataValidation type="decimal" operator="greaterThanOrEqual" allowBlank="1" showInputMessage="1" showErrorMessage="1" sqref="O46:P65536 M41:M43 M46:M65536 M1:M10 O1:P10 M12:M31 O41:P43 O12:P31 M33:M39 O33:P39">
      <formula1>-99999999999999900</formula1>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11c1&amp;8&amp;U
&amp;P of &amp;N&amp;C&amp;"Arial,Bold"&amp;8 NEW RURAL BANK OF SAN LEONARDO, INC  [ 04-040656 ]
 As of: September 30, 2017</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46"/>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3" width="2.5703125" style="5" customWidth="1"/>
    <col min="4" max="5" width="4.140625" style="5" customWidth="1"/>
    <col min="6" max="6" width="38.7109375" style="5" customWidth="1"/>
    <col min="7" max="7" width="16.5703125" style="52" bestFit="1" customWidth="1"/>
    <col min="8" max="8" width="16.5703125" style="52"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198" customWidth="1"/>
    <col min="18" max="18" width="25.7109375" style="198" customWidth="1"/>
    <col min="19" max="19" width="20.7109375" style="48" customWidth="1"/>
    <col min="20" max="20" width="25.7109375" style="48" customWidth="1"/>
    <col min="21" max="21" width="20.7109375" style="48" customWidth="1"/>
    <col min="22" max="22" width="25.7109375" style="48" customWidth="1"/>
    <col min="23" max="23" width="20.7109375" style="48" customWidth="1"/>
    <col min="24" max="24" width="25.7109375" style="48" customWidth="1"/>
    <col min="25" max="16384" width="9.140625" style="5"/>
  </cols>
  <sheetData>
    <row r="1" spans="1:24" s="243" customFormat="1" ht="12.75" x14ac:dyDescent="0.2">
      <c r="A1" s="669" t="s">
        <v>213</v>
      </c>
      <c r="B1" s="669"/>
      <c r="C1" s="669"/>
      <c r="D1" s="669"/>
      <c r="E1" s="669"/>
      <c r="F1" s="669"/>
      <c r="G1" s="669"/>
      <c r="H1" s="669"/>
      <c r="I1" s="669"/>
      <c r="J1" s="669"/>
      <c r="K1" s="669"/>
      <c r="L1" s="669"/>
      <c r="M1" s="669"/>
      <c r="N1" s="669"/>
      <c r="O1" s="669"/>
      <c r="P1" s="669"/>
      <c r="Q1" s="669"/>
      <c r="R1" s="669"/>
      <c r="S1" s="669"/>
      <c r="T1" s="669"/>
      <c r="U1" s="669"/>
      <c r="V1" s="669"/>
      <c r="W1" s="669"/>
      <c r="X1" s="669"/>
    </row>
    <row r="2" spans="1:24" s="243" customFormat="1" ht="12.75" x14ac:dyDescent="0.2">
      <c r="A2" s="669" t="s">
        <v>499</v>
      </c>
      <c r="B2" s="669"/>
      <c r="C2" s="669"/>
      <c r="D2" s="669"/>
      <c r="E2" s="669"/>
      <c r="F2" s="669"/>
      <c r="G2" s="669"/>
      <c r="H2" s="669"/>
      <c r="I2" s="669"/>
      <c r="J2" s="669"/>
      <c r="K2" s="669"/>
      <c r="L2" s="669"/>
      <c r="M2" s="669"/>
      <c r="N2" s="669"/>
      <c r="O2" s="669"/>
      <c r="P2" s="669"/>
      <c r="Q2" s="669"/>
      <c r="R2" s="669"/>
      <c r="S2" s="669"/>
      <c r="T2" s="669"/>
      <c r="U2" s="669"/>
      <c r="V2" s="669"/>
      <c r="W2" s="669"/>
      <c r="X2" s="669"/>
    </row>
    <row r="3" spans="1:24" s="243" customFormat="1" ht="12.75" x14ac:dyDescent="0.2">
      <c r="A3" s="669" t="s">
        <v>49</v>
      </c>
      <c r="B3" s="669"/>
      <c r="C3" s="669"/>
      <c r="D3" s="669"/>
      <c r="E3" s="669"/>
      <c r="F3" s="669"/>
      <c r="G3" s="669"/>
      <c r="H3" s="669"/>
      <c r="I3" s="669"/>
      <c r="J3" s="669"/>
      <c r="K3" s="669"/>
      <c r="L3" s="669"/>
      <c r="M3" s="669"/>
      <c r="N3" s="669"/>
      <c r="O3" s="669"/>
      <c r="P3" s="669"/>
      <c r="Q3" s="669"/>
      <c r="R3" s="669"/>
      <c r="S3" s="669"/>
      <c r="T3" s="669"/>
      <c r="U3" s="669"/>
      <c r="V3" s="669"/>
      <c r="W3" s="669"/>
      <c r="X3" s="669"/>
    </row>
    <row r="4" spans="1:24" ht="12.75" customHeight="1" x14ac:dyDescent="0.2">
      <c r="A4" s="6"/>
      <c r="B4" s="6"/>
      <c r="C4" s="6"/>
      <c r="D4" s="6"/>
      <c r="E4" s="6"/>
      <c r="F4" s="6"/>
      <c r="G4" s="54"/>
      <c r="H4" s="54"/>
      <c r="I4" s="47"/>
      <c r="J4" s="47"/>
      <c r="K4" s="47"/>
      <c r="L4" s="47"/>
      <c r="M4" s="47"/>
      <c r="N4" s="47"/>
      <c r="O4" s="47"/>
      <c r="P4" s="47"/>
      <c r="Q4" s="197"/>
      <c r="R4" s="197"/>
      <c r="S4" s="47"/>
      <c r="T4" s="47"/>
      <c r="U4" s="47"/>
      <c r="V4" s="47"/>
      <c r="W4" s="47"/>
      <c r="X4" s="47"/>
    </row>
    <row r="5" spans="1:24" ht="12.75" customHeight="1" x14ac:dyDescent="0.2">
      <c r="A5" s="704" t="s">
        <v>45</v>
      </c>
      <c r="B5" s="704"/>
      <c r="C5" s="704"/>
      <c r="D5" s="704"/>
      <c r="E5" s="704"/>
      <c r="F5" s="704"/>
      <c r="G5" s="713" t="s">
        <v>46</v>
      </c>
      <c r="H5" s="24"/>
      <c r="I5" s="705" t="s">
        <v>500</v>
      </c>
      <c r="J5" s="705"/>
      <c r="K5" s="670" t="s">
        <v>501</v>
      </c>
      <c r="L5" s="670"/>
      <c r="M5" s="670" t="s">
        <v>548</v>
      </c>
      <c r="N5" s="670"/>
      <c r="O5" s="670" t="s">
        <v>549</v>
      </c>
      <c r="P5" s="670"/>
      <c r="Q5" s="708" t="s">
        <v>502</v>
      </c>
      <c r="R5" s="708"/>
      <c r="S5" s="670" t="s">
        <v>503</v>
      </c>
      <c r="T5" s="670"/>
      <c r="U5" s="670" t="s">
        <v>504</v>
      </c>
      <c r="V5" s="670"/>
      <c r="W5" s="670" t="s">
        <v>505</v>
      </c>
      <c r="X5" s="670"/>
    </row>
    <row r="6" spans="1:24" ht="11.25" customHeight="1" x14ac:dyDescent="0.2">
      <c r="A6" s="704"/>
      <c r="B6" s="704"/>
      <c r="C6" s="704"/>
      <c r="D6" s="704"/>
      <c r="E6" s="704"/>
      <c r="F6" s="704"/>
      <c r="G6" s="713"/>
      <c r="H6" s="24"/>
      <c r="I6" s="705"/>
      <c r="J6" s="705"/>
      <c r="K6" s="670"/>
      <c r="L6" s="670"/>
      <c r="M6" s="670"/>
      <c r="N6" s="670"/>
      <c r="O6" s="670"/>
      <c r="P6" s="670"/>
      <c r="Q6" s="708"/>
      <c r="R6" s="708"/>
      <c r="S6" s="670"/>
      <c r="T6" s="670"/>
      <c r="U6" s="670"/>
      <c r="V6" s="670"/>
      <c r="W6" s="670"/>
      <c r="X6" s="670"/>
    </row>
    <row r="7" spans="1:24" ht="11.25" customHeight="1" x14ac:dyDescent="0.2">
      <c r="A7" s="704"/>
      <c r="B7" s="704"/>
      <c r="C7" s="704"/>
      <c r="D7" s="704"/>
      <c r="E7" s="704"/>
      <c r="F7" s="704"/>
      <c r="G7" s="713"/>
      <c r="H7" s="24"/>
      <c r="I7" s="705"/>
      <c r="J7" s="705"/>
      <c r="K7" s="670"/>
      <c r="L7" s="670"/>
      <c r="M7" s="670"/>
      <c r="N7" s="670"/>
      <c r="O7" s="670"/>
      <c r="P7" s="670"/>
      <c r="Q7" s="708"/>
      <c r="R7" s="708"/>
      <c r="S7" s="670"/>
      <c r="T7" s="670"/>
      <c r="U7" s="670"/>
      <c r="V7" s="670"/>
      <c r="W7" s="670"/>
      <c r="X7" s="670"/>
    </row>
    <row r="8" spans="1:24" ht="17.25" customHeight="1" x14ac:dyDescent="0.2">
      <c r="A8" s="711" t="s">
        <v>506</v>
      </c>
      <c r="B8" s="711"/>
      <c r="C8" s="711"/>
      <c r="D8" s="711"/>
      <c r="E8" s="711"/>
      <c r="F8" s="711"/>
      <c r="G8" s="711"/>
      <c r="H8" s="711"/>
      <c r="I8" s="711"/>
      <c r="J8" s="711"/>
      <c r="K8" s="711"/>
      <c r="L8" s="711"/>
      <c r="M8" s="711"/>
      <c r="N8" s="711"/>
      <c r="O8" s="711"/>
      <c r="P8" s="711"/>
      <c r="Q8" s="711"/>
      <c r="R8" s="711"/>
      <c r="S8" s="711"/>
      <c r="T8" s="711"/>
      <c r="U8" s="711"/>
      <c r="V8" s="711"/>
      <c r="W8" s="711"/>
      <c r="X8" s="711"/>
    </row>
    <row r="9" spans="1:24" s="121" customFormat="1" ht="21" customHeight="1" x14ac:dyDescent="0.2">
      <c r="A9" s="199"/>
      <c r="B9" s="199"/>
      <c r="C9" s="199"/>
      <c r="D9" s="199"/>
      <c r="E9" s="199"/>
      <c r="F9" s="199"/>
      <c r="G9" s="200"/>
      <c r="H9" s="200"/>
      <c r="I9" s="201" t="s">
        <v>50</v>
      </c>
      <c r="J9" s="201" t="s">
        <v>51</v>
      </c>
      <c r="K9" s="201" t="s">
        <v>50</v>
      </c>
      <c r="L9" s="201" t="s">
        <v>51</v>
      </c>
      <c r="M9" s="201" t="s">
        <v>50</v>
      </c>
      <c r="N9" s="201" t="s">
        <v>51</v>
      </c>
      <c r="O9" s="201" t="s">
        <v>50</v>
      </c>
      <c r="P9" s="201" t="s">
        <v>51</v>
      </c>
      <c r="Q9" s="202" t="s">
        <v>50</v>
      </c>
      <c r="R9" s="202" t="s">
        <v>51</v>
      </c>
      <c r="S9" s="201" t="s">
        <v>50</v>
      </c>
      <c r="T9" s="201" t="s">
        <v>51</v>
      </c>
      <c r="U9" s="201" t="s">
        <v>50</v>
      </c>
      <c r="V9" s="201" t="s">
        <v>51</v>
      </c>
      <c r="W9" s="201" t="s">
        <v>50</v>
      </c>
      <c r="X9" s="201" t="s">
        <v>51</v>
      </c>
    </row>
    <row r="10" spans="1:24" s="17" customFormat="1" x14ac:dyDescent="0.2">
      <c r="A10" s="223" t="s">
        <v>57</v>
      </c>
      <c r="B10" s="312"/>
      <c r="C10" s="312"/>
      <c r="D10" s="312"/>
      <c r="E10" s="312"/>
      <c r="F10" s="312"/>
      <c r="G10" s="313" t="s">
        <v>508</v>
      </c>
      <c r="H10" s="45"/>
      <c r="I10" s="49">
        <f t="shared" ref="I10:R10" si="0">I11+I18+I21+I24+I27+I28+I31+I32+I39</f>
        <v>0</v>
      </c>
      <c r="J10" s="49">
        <f t="shared" si="0"/>
        <v>0</v>
      </c>
      <c r="K10" s="49">
        <f t="shared" si="0"/>
        <v>0</v>
      </c>
      <c r="L10" s="49">
        <f t="shared" si="0"/>
        <v>0</v>
      </c>
      <c r="M10" s="49">
        <f t="shared" si="0"/>
        <v>0</v>
      </c>
      <c r="N10" s="49">
        <f t="shared" si="0"/>
        <v>0</v>
      </c>
      <c r="O10" s="49">
        <f t="shared" si="0"/>
        <v>0</v>
      </c>
      <c r="P10" s="49">
        <f t="shared" si="0"/>
        <v>0</v>
      </c>
      <c r="Q10" s="49">
        <f t="shared" si="0"/>
        <v>0</v>
      </c>
      <c r="R10" s="49">
        <f t="shared" si="0"/>
        <v>0</v>
      </c>
      <c r="S10" s="49">
        <f t="shared" ref="S10:S17" si="1">I10-K10+M10-O10+Q10</f>
        <v>0</v>
      </c>
      <c r="T10" s="49">
        <f t="shared" ref="T10:T39" si="2">J10-L10+N10-P10+R10</f>
        <v>0</v>
      </c>
      <c r="U10" s="49">
        <f>U11+U18+U21+U24+U27+U28+U31+U32+U39</f>
        <v>0</v>
      </c>
      <c r="V10" s="49">
        <f>V11+V18+V21+V24+V27+V28+V31+V32+V39</f>
        <v>0</v>
      </c>
      <c r="W10" s="49">
        <f>W11+W18+W21+W24+W27+W28+W31+W32+W39</f>
        <v>0</v>
      </c>
      <c r="X10" s="49">
        <f>X11+X18+X21+X24+X27+X28+X31+X32+X39</f>
        <v>0</v>
      </c>
    </row>
    <row r="11" spans="1:24" s="17" customFormat="1" x14ac:dyDescent="0.2">
      <c r="A11" s="346" t="s">
        <v>58</v>
      </c>
      <c r="B11" s="312" t="s">
        <v>544</v>
      </c>
      <c r="C11" s="312"/>
      <c r="D11" s="312"/>
      <c r="E11" s="312"/>
      <c r="F11" s="312"/>
      <c r="G11" s="313" t="s">
        <v>509</v>
      </c>
      <c r="H11" s="45"/>
      <c r="I11" s="41">
        <f>+I12+I13+I14</f>
        <v>0</v>
      </c>
      <c r="J11" s="41">
        <f t="shared" ref="J11:R11" si="3">+J12+J13+J14</f>
        <v>0</v>
      </c>
      <c r="K11" s="41">
        <f t="shared" si="3"/>
        <v>0</v>
      </c>
      <c r="L11" s="41">
        <f t="shared" si="3"/>
        <v>0</v>
      </c>
      <c r="M11" s="41">
        <f t="shared" si="3"/>
        <v>0</v>
      </c>
      <c r="N11" s="41">
        <f t="shared" si="3"/>
        <v>0</v>
      </c>
      <c r="O11" s="41">
        <f t="shared" si="3"/>
        <v>0</v>
      </c>
      <c r="P11" s="41">
        <f t="shared" si="3"/>
        <v>0</v>
      </c>
      <c r="Q11" s="41">
        <f t="shared" si="3"/>
        <v>0</v>
      </c>
      <c r="R11" s="41">
        <f t="shared" si="3"/>
        <v>0</v>
      </c>
      <c r="S11" s="49">
        <f t="shared" si="1"/>
        <v>0</v>
      </c>
      <c r="T11" s="49">
        <f t="shared" si="2"/>
        <v>0</v>
      </c>
      <c r="U11" s="41">
        <f>+U12+U13+U14</f>
        <v>0</v>
      </c>
      <c r="V11" s="41">
        <f>+V12+V13+V14</f>
        <v>0</v>
      </c>
      <c r="W11" s="41">
        <f>+W12+W13+W14</f>
        <v>0</v>
      </c>
      <c r="X11" s="41">
        <f>+X12+X13+X14</f>
        <v>0</v>
      </c>
    </row>
    <row r="12" spans="1:24" s="17" customFormat="1" x14ac:dyDescent="0.2">
      <c r="A12" s="346"/>
      <c r="B12" s="312" t="s">
        <v>59</v>
      </c>
      <c r="C12" s="312" t="s">
        <v>60</v>
      </c>
      <c r="D12" s="312"/>
      <c r="E12" s="312"/>
      <c r="F12" s="312"/>
      <c r="G12" s="313" t="s">
        <v>510</v>
      </c>
      <c r="H12" s="45"/>
      <c r="I12" s="44"/>
      <c r="J12" s="44"/>
      <c r="K12" s="44"/>
      <c r="L12" s="44"/>
      <c r="M12" s="44"/>
      <c r="N12" s="44"/>
      <c r="O12" s="44"/>
      <c r="P12" s="44"/>
      <c r="Q12" s="44"/>
      <c r="R12" s="44"/>
      <c r="S12" s="49">
        <f t="shared" si="1"/>
        <v>0</v>
      </c>
      <c r="T12" s="49">
        <f t="shared" si="2"/>
        <v>0</v>
      </c>
      <c r="U12" s="44"/>
      <c r="V12" s="44"/>
      <c r="W12" s="44"/>
      <c r="X12" s="44"/>
    </row>
    <row r="13" spans="1:24" s="17" customFormat="1" x14ac:dyDescent="0.2">
      <c r="A13" s="346"/>
      <c r="B13" s="312" t="s">
        <v>61</v>
      </c>
      <c r="C13" s="312" t="s">
        <v>72</v>
      </c>
      <c r="D13" s="312"/>
      <c r="E13" s="312"/>
      <c r="F13" s="312"/>
      <c r="G13" s="313" t="s">
        <v>550</v>
      </c>
      <c r="H13" s="45"/>
      <c r="I13" s="44"/>
      <c r="J13" s="44"/>
      <c r="K13" s="44"/>
      <c r="L13" s="44"/>
      <c r="M13" s="44"/>
      <c r="N13" s="44"/>
      <c r="O13" s="44"/>
      <c r="P13" s="44"/>
      <c r="Q13" s="44"/>
      <c r="R13" s="44"/>
      <c r="S13" s="49">
        <f t="shared" si="1"/>
        <v>0</v>
      </c>
      <c r="T13" s="49">
        <f>J13-L13+N13-P13+R13</f>
        <v>0</v>
      </c>
      <c r="U13" s="44"/>
      <c r="V13" s="44"/>
      <c r="W13" s="44"/>
      <c r="X13" s="44"/>
    </row>
    <row r="14" spans="1:24" s="17" customFormat="1" x14ac:dyDescent="0.2">
      <c r="A14" s="346"/>
      <c r="B14" s="312" t="s">
        <v>71</v>
      </c>
      <c r="C14" s="312" t="s">
        <v>62</v>
      </c>
      <c r="D14" s="312"/>
      <c r="E14" s="312"/>
      <c r="F14" s="312"/>
      <c r="G14" s="313" t="s">
        <v>511</v>
      </c>
      <c r="H14" s="45"/>
      <c r="I14" s="41">
        <f>I15+I16+I17</f>
        <v>0</v>
      </c>
      <c r="J14" s="41">
        <f t="shared" ref="J14:R14" si="4">J15+J16+J17</f>
        <v>0</v>
      </c>
      <c r="K14" s="41">
        <f t="shared" si="4"/>
        <v>0</v>
      </c>
      <c r="L14" s="41">
        <f t="shared" si="4"/>
        <v>0</v>
      </c>
      <c r="M14" s="41">
        <f t="shared" si="4"/>
        <v>0</v>
      </c>
      <c r="N14" s="41">
        <f t="shared" si="4"/>
        <v>0</v>
      </c>
      <c r="O14" s="41">
        <f t="shared" si="4"/>
        <v>0</v>
      </c>
      <c r="P14" s="41">
        <f t="shared" si="4"/>
        <v>0</v>
      </c>
      <c r="Q14" s="41">
        <f t="shared" si="4"/>
        <v>0</v>
      </c>
      <c r="R14" s="41">
        <f t="shared" si="4"/>
        <v>0</v>
      </c>
      <c r="S14" s="49">
        <f t="shared" si="1"/>
        <v>0</v>
      </c>
      <c r="T14" s="49">
        <f t="shared" si="2"/>
        <v>0</v>
      </c>
      <c r="U14" s="41">
        <f>U15+U16+U17</f>
        <v>0</v>
      </c>
      <c r="V14" s="41">
        <f>V15+V16+V17</f>
        <v>0</v>
      </c>
      <c r="W14" s="41">
        <f>W15+W16+W17</f>
        <v>0</v>
      </c>
      <c r="X14" s="41">
        <f>X15+X16+X17</f>
        <v>0</v>
      </c>
    </row>
    <row r="15" spans="1:24" s="17" customFormat="1" x14ac:dyDescent="0.2">
      <c r="A15" s="346"/>
      <c r="B15" s="312"/>
      <c r="C15" s="311" t="s">
        <v>54</v>
      </c>
      <c r="D15" s="312" t="s">
        <v>63</v>
      </c>
      <c r="E15" s="312"/>
      <c r="F15" s="312"/>
      <c r="G15" s="313" t="s">
        <v>512</v>
      </c>
      <c r="H15" s="45"/>
      <c r="I15" s="44"/>
      <c r="J15" s="44"/>
      <c r="K15" s="44"/>
      <c r="L15" s="44"/>
      <c r="M15" s="44"/>
      <c r="N15" s="44"/>
      <c r="O15" s="44"/>
      <c r="P15" s="44"/>
      <c r="Q15" s="44"/>
      <c r="R15" s="44"/>
      <c r="S15" s="49">
        <f t="shared" si="1"/>
        <v>0</v>
      </c>
      <c r="T15" s="49">
        <f t="shared" si="2"/>
        <v>0</v>
      </c>
      <c r="U15" s="44"/>
      <c r="V15" s="44"/>
      <c r="W15" s="44"/>
      <c r="X15" s="44"/>
    </row>
    <row r="16" spans="1:24" s="17" customFormat="1" x14ac:dyDescent="0.2">
      <c r="A16" s="346"/>
      <c r="B16" s="312"/>
      <c r="C16" s="311" t="s">
        <v>55</v>
      </c>
      <c r="D16" s="312" t="s">
        <v>64</v>
      </c>
      <c r="E16" s="312"/>
      <c r="F16" s="312"/>
      <c r="G16" s="313" t="s">
        <v>513</v>
      </c>
      <c r="H16" s="45"/>
      <c r="I16" s="44"/>
      <c r="J16" s="44"/>
      <c r="K16" s="44"/>
      <c r="L16" s="44"/>
      <c r="M16" s="44"/>
      <c r="N16" s="44"/>
      <c r="O16" s="44"/>
      <c r="P16" s="44"/>
      <c r="Q16" s="44"/>
      <c r="R16" s="44"/>
      <c r="S16" s="49">
        <f t="shared" si="1"/>
        <v>0</v>
      </c>
      <c r="T16" s="49">
        <f t="shared" si="2"/>
        <v>0</v>
      </c>
      <c r="U16" s="44"/>
      <c r="V16" s="44"/>
      <c r="W16" s="44"/>
      <c r="X16" s="44"/>
    </row>
    <row r="17" spans="1:26" s="17" customFormat="1" x14ac:dyDescent="0.2">
      <c r="A17" s="346"/>
      <c r="B17" s="312"/>
      <c r="C17" s="311" t="s">
        <v>65</v>
      </c>
      <c r="D17" s="312" t="s">
        <v>66</v>
      </c>
      <c r="E17" s="312"/>
      <c r="F17" s="312"/>
      <c r="G17" s="313" t="s">
        <v>514</v>
      </c>
      <c r="H17" s="45"/>
      <c r="I17" s="44"/>
      <c r="J17" s="44"/>
      <c r="K17" s="44"/>
      <c r="L17" s="44"/>
      <c r="M17" s="44"/>
      <c r="N17" s="44"/>
      <c r="O17" s="44"/>
      <c r="P17" s="44"/>
      <c r="Q17" s="44"/>
      <c r="R17" s="44"/>
      <c r="S17" s="49">
        <f t="shared" si="1"/>
        <v>0</v>
      </c>
      <c r="T17" s="49">
        <f t="shared" si="2"/>
        <v>0</v>
      </c>
      <c r="U17" s="44"/>
      <c r="V17" s="44"/>
      <c r="W17" s="44"/>
      <c r="X17" s="44"/>
      <c r="Y17" s="20"/>
      <c r="Z17" s="20"/>
    </row>
    <row r="18" spans="1:26" s="17" customFormat="1" x14ac:dyDescent="0.2">
      <c r="A18" s="346" t="s">
        <v>55</v>
      </c>
      <c r="B18" s="312" t="s">
        <v>67</v>
      </c>
      <c r="C18" s="312"/>
      <c r="D18" s="312"/>
      <c r="E18" s="312"/>
      <c r="F18" s="312"/>
      <c r="G18" s="313" t="s">
        <v>515</v>
      </c>
      <c r="H18" s="45"/>
      <c r="I18" s="41">
        <f>I19+I20</f>
        <v>0</v>
      </c>
      <c r="J18" s="41">
        <f t="shared" ref="J18:R18" si="5">J19+J20</f>
        <v>0</v>
      </c>
      <c r="K18" s="41">
        <f t="shared" si="5"/>
        <v>0</v>
      </c>
      <c r="L18" s="41">
        <f t="shared" si="5"/>
        <v>0</v>
      </c>
      <c r="M18" s="41">
        <f t="shared" si="5"/>
        <v>0</v>
      </c>
      <c r="N18" s="41">
        <f t="shared" si="5"/>
        <v>0</v>
      </c>
      <c r="O18" s="41">
        <f t="shared" si="5"/>
        <v>0</v>
      </c>
      <c r="P18" s="41">
        <f t="shared" si="5"/>
        <v>0</v>
      </c>
      <c r="Q18" s="41">
        <f t="shared" si="5"/>
        <v>0</v>
      </c>
      <c r="R18" s="41">
        <f t="shared" si="5"/>
        <v>0</v>
      </c>
      <c r="S18" s="49">
        <f t="shared" ref="S18:T20" si="6">I18-K18+M18-O18+Q18</f>
        <v>0</v>
      </c>
      <c r="T18" s="49">
        <f t="shared" si="6"/>
        <v>0</v>
      </c>
      <c r="U18" s="41">
        <f>U19+U20</f>
        <v>0</v>
      </c>
      <c r="V18" s="41">
        <f>V19+V20</f>
        <v>0</v>
      </c>
      <c r="W18" s="41">
        <f>W19+W20</f>
        <v>0</v>
      </c>
      <c r="X18" s="41">
        <f>X19+X20</f>
        <v>0</v>
      </c>
    </row>
    <row r="19" spans="1:26" s="17" customFormat="1" x14ac:dyDescent="0.2">
      <c r="A19" s="346"/>
      <c r="B19" s="312" t="s">
        <v>59</v>
      </c>
      <c r="C19" s="312" t="s">
        <v>68</v>
      </c>
      <c r="D19" s="312"/>
      <c r="E19" s="312"/>
      <c r="F19" s="312"/>
      <c r="G19" s="313" t="s">
        <v>516</v>
      </c>
      <c r="H19" s="45"/>
      <c r="I19" s="44"/>
      <c r="J19" s="44"/>
      <c r="K19" s="44"/>
      <c r="L19" s="44"/>
      <c r="M19" s="44"/>
      <c r="N19" s="44"/>
      <c r="O19" s="44"/>
      <c r="P19" s="44"/>
      <c r="Q19" s="44"/>
      <c r="R19" s="44"/>
      <c r="S19" s="49">
        <f t="shared" si="6"/>
        <v>0</v>
      </c>
      <c r="T19" s="49">
        <f t="shared" si="6"/>
        <v>0</v>
      </c>
      <c r="U19" s="44"/>
      <c r="V19" s="44"/>
      <c r="W19" s="44"/>
      <c r="X19" s="44"/>
    </row>
    <row r="20" spans="1:26" s="17" customFormat="1" x14ac:dyDescent="0.2">
      <c r="A20" s="346"/>
      <c r="B20" s="312" t="s">
        <v>69</v>
      </c>
      <c r="C20" s="312" t="s">
        <v>70</v>
      </c>
      <c r="D20" s="312"/>
      <c r="E20" s="312"/>
      <c r="F20" s="312"/>
      <c r="G20" s="313" t="s">
        <v>517</v>
      </c>
      <c r="H20" s="45"/>
      <c r="I20" s="44"/>
      <c r="J20" s="44"/>
      <c r="K20" s="44"/>
      <c r="L20" s="44"/>
      <c r="M20" s="44"/>
      <c r="N20" s="44"/>
      <c r="O20" s="44"/>
      <c r="P20" s="44"/>
      <c r="Q20" s="44"/>
      <c r="R20" s="44"/>
      <c r="S20" s="49">
        <f t="shared" si="6"/>
        <v>0</v>
      </c>
      <c r="T20" s="49">
        <f t="shared" si="6"/>
        <v>0</v>
      </c>
      <c r="U20" s="44"/>
      <c r="V20" s="44"/>
      <c r="W20" s="44"/>
      <c r="X20" s="44"/>
    </row>
    <row r="21" spans="1:26" s="17" customFormat="1" x14ac:dyDescent="0.2">
      <c r="A21" s="346" t="s">
        <v>65</v>
      </c>
      <c r="B21" s="3" t="s">
        <v>1443</v>
      </c>
      <c r="C21" s="3"/>
      <c r="D21" s="3"/>
      <c r="E21" s="3"/>
      <c r="F21" s="3"/>
      <c r="G21" s="416" t="s">
        <v>518</v>
      </c>
      <c r="H21" s="45"/>
      <c r="I21" s="41">
        <f>I22+I23</f>
        <v>0</v>
      </c>
      <c r="J21" s="41">
        <f t="shared" ref="J21:R21" si="7">J22+J23</f>
        <v>0</v>
      </c>
      <c r="K21" s="41">
        <f t="shared" si="7"/>
        <v>0</v>
      </c>
      <c r="L21" s="41">
        <f t="shared" si="7"/>
        <v>0</v>
      </c>
      <c r="M21" s="41">
        <f t="shared" si="7"/>
        <v>0</v>
      </c>
      <c r="N21" s="41">
        <f t="shared" si="7"/>
        <v>0</v>
      </c>
      <c r="O21" s="41">
        <f t="shared" si="7"/>
        <v>0</v>
      </c>
      <c r="P21" s="41">
        <f t="shared" si="7"/>
        <v>0</v>
      </c>
      <c r="Q21" s="41">
        <f t="shared" si="7"/>
        <v>0</v>
      </c>
      <c r="R21" s="41">
        <f t="shared" si="7"/>
        <v>0</v>
      </c>
      <c r="S21" s="49">
        <f t="shared" ref="S21:T23" si="8">I21-K21+M21-O21+Q21</f>
        <v>0</v>
      </c>
      <c r="T21" s="49">
        <f t="shared" si="8"/>
        <v>0</v>
      </c>
      <c r="U21" s="41">
        <f>U22+U23</f>
        <v>0</v>
      </c>
      <c r="V21" s="41">
        <f>V22+V23</f>
        <v>0</v>
      </c>
      <c r="W21" s="41">
        <f>W22+W23</f>
        <v>0</v>
      </c>
      <c r="X21" s="41">
        <f>X22+X23</f>
        <v>0</v>
      </c>
    </row>
    <row r="22" spans="1:26" s="17" customFormat="1" x14ac:dyDescent="0.2">
      <c r="A22" s="346"/>
      <c r="B22" s="3" t="s">
        <v>59</v>
      </c>
      <c r="C22" s="658" t="s">
        <v>543</v>
      </c>
      <c r="D22" s="659"/>
      <c r="E22" s="659"/>
      <c r="F22" s="660"/>
      <c r="G22" s="416" t="s">
        <v>1441</v>
      </c>
      <c r="H22" s="45"/>
      <c r="I22" s="44"/>
      <c r="J22" s="44"/>
      <c r="K22" s="44"/>
      <c r="L22" s="44"/>
      <c r="M22" s="44"/>
      <c r="N22" s="44"/>
      <c r="O22" s="44"/>
      <c r="P22" s="44"/>
      <c r="Q22" s="44"/>
      <c r="R22" s="44"/>
      <c r="S22" s="49">
        <f t="shared" si="8"/>
        <v>0</v>
      </c>
      <c r="T22" s="49">
        <f t="shared" si="8"/>
        <v>0</v>
      </c>
      <c r="U22" s="44"/>
      <c r="V22" s="44"/>
      <c r="W22" s="44"/>
      <c r="X22" s="44"/>
    </row>
    <row r="23" spans="1:26" s="17" customFormat="1" x14ac:dyDescent="0.2">
      <c r="A23" s="346"/>
      <c r="B23" s="3" t="s">
        <v>61</v>
      </c>
      <c r="C23" s="658" t="s">
        <v>1430</v>
      </c>
      <c r="D23" s="659"/>
      <c r="E23" s="659"/>
      <c r="F23" s="660"/>
      <c r="G23" s="416" t="s">
        <v>1442</v>
      </c>
      <c r="H23" s="45"/>
      <c r="I23" s="44"/>
      <c r="J23" s="44"/>
      <c r="K23" s="44"/>
      <c r="L23" s="44"/>
      <c r="M23" s="44"/>
      <c r="N23" s="44"/>
      <c r="O23" s="44"/>
      <c r="P23" s="44"/>
      <c r="Q23" s="44"/>
      <c r="R23" s="44"/>
      <c r="S23" s="49">
        <f t="shared" si="8"/>
        <v>0</v>
      </c>
      <c r="T23" s="49">
        <f t="shared" si="8"/>
        <v>0</v>
      </c>
      <c r="U23" s="44"/>
      <c r="V23" s="44"/>
      <c r="W23" s="44"/>
      <c r="X23" s="44"/>
    </row>
    <row r="24" spans="1:26" s="17" customFormat="1" x14ac:dyDescent="0.2">
      <c r="A24" s="346" t="s">
        <v>90</v>
      </c>
      <c r="B24" s="312" t="s">
        <v>73</v>
      </c>
      <c r="C24" s="312"/>
      <c r="D24" s="312"/>
      <c r="E24" s="312"/>
      <c r="F24" s="312"/>
      <c r="G24" s="313" t="s">
        <v>519</v>
      </c>
      <c r="H24" s="45"/>
      <c r="I24" s="41">
        <f>I25+I26</f>
        <v>0</v>
      </c>
      <c r="J24" s="41">
        <f t="shared" ref="J24:R24" si="9">J25+J26</f>
        <v>0</v>
      </c>
      <c r="K24" s="41">
        <f t="shared" si="9"/>
        <v>0</v>
      </c>
      <c r="L24" s="41">
        <f t="shared" si="9"/>
        <v>0</v>
      </c>
      <c r="M24" s="41">
        <f t="shared" si="9"/>
        <v>0</v>
      </c>
      <c r="N24" s="41">
        <f t="shared" si="9"/>
        <v>0</v>
      </c>
      <c r="O24" s="41">
        <f t="shared" si="9"/>
        <v>0</v>
      </c>
      <c r="P24" s="41">
        <f t="shared" si="9"/>
        <v>0</v>
      </c>
      <c r="Q24" s="41">
        <f t="shared" si="9"/>
        <v>0</v>
      </c>
      <c r="R24" s="41">
        <f t="shared" si="9"/>
        <v>0</v>
      </c>
      <c r="S24" s="49">
        <f t="shared" ref="S24:T26" si="10">I24-K24+M24-O24+Q24</f>
        <v>0</v>
      </c>
      <c r="T24" s="49">
        <f t="shared" si="10"/>
        <v>0</v>
      </c>
      <c r="U24" s="41">
        <f>U25+U26</f>
        <v>0</v>
      </c>
      <c r="V24" s="41">
        <f>V25+V26</f>
        <v>0</v>
      </c>
      <c r="W24" s="41">
        <f>W25+W26</f>
        <v>0</v>
      </c>
      <c r="X24" s="41">
        <f>X25+X26</f>
        <v>0</v>
      </c>
    </row>
    <row r="25" spans="1:26" s="17" customFormat="1" x14ac:dyDescent="0.2">
      <c r="A25" s="346"/>
      <c r="B25" s="312" t="s">
        <v>59</v>
      </c>
      <c r="C25" s="312" t="s">
        <v>1451</v>
      </c>
      <c r="D25" s="312"/>
      <c r="E25" s="312"/>
      <c r="F25" s="312"/>
      <c r="G25" s="313" t="s">
        <v>521</v>
      </c>
      <c r="H25" s="45"/>
      <c r="I25" s="44"/>
      <c r="J25" s="44"/>
      <c r="K25" s="44"/>
      <c r="L25" s="44"/>
      <c r="M25" s="44"/>
      <c r="N25" s="44"/>
      <c r="O25" s="44"/>
      <c r="P25" s="44"/>
      <c r="Q25" s="44"/>
      <c r="R25" s="44"/>
      <c r="S25" s="49">
        <f t="shared" si="10"/>
        <v>0</v>
      </c>
      <c r="T25" s="49">
        <f t="shared" si="10"/>
        <v>0</v>
      </c>
      <c r="U25" s="44"/>
      <c r="V25" s="44"/>
      <c r="W25" s="44"/>
      <c r="X25" s="44"/>
    </row>
    <row r="26" spans="1:26" s="17" customFormat="1" x14ac:dyDescent="0.2">
      <c r="A26" s="346"/>
      <c r="B26" s="312" t="s">
        <v>69</v>
      </c>
      <c r="C26" s="312" t="s">
        <v>1452</v>
      </c>
      <c r="D26" s="312"/>
      <c r="E26" s="312"/>
      <c r="F26" s="312"/>
      <c r="G26" s="313" t="s">
        <v>522</v>
      </c>
      <c r="H26" s="45"/>
      <c r="I26" s="44"/>
      <c r="J26" s="44"/>
      <c r="K26" s="44"/>
      <c r="L26" s="44"/>
      <c r="M26" s="44"/>
      <c r="N26" s="44"/>
      <c r="O26" s="44"/>
      <c r="P26" s="44"/>
      <c r="Q26" s="44"/>
      <c r="R26" s="44"/>
      <c r="S26" s="49">
        <f t="shared" si="10"/>
        <v>0</v>
      </c>
      <c r="T26" s="49">
        <f t="shared" si="10"/>
        <v>0</v>
      </c>
      <c r="U26" s="44"/>
      <c r="V26" s="44"/>
      <c r="W26" s="44"/>
      <c r="X26" s="44"/>
    </row>
    <row r="27" spans="1:26" s="17" customFormat="1" x14ac:dyDescent="0.2">
      <c r="A27" s="346" t="s">
        <v>257</v>
      </c>
      <c r="B27" s="312" t="s">
        <v>983</v>
      </c>
      <c r="C27" s="312"/>
      <c r="D27" s="312"/>
      <c r="E27" s="312"/>
      <c r="F27" s="312"/>
      <c r="G27" s="313" t="s">
        <v>523</v>
      </c>
      <c r="H27" s="45"/>
      <c r="I27" s="44"/>
      <c r="J27" s="44"/>
      <c r="K27" s="44"/>
      <c r="L27" s="44"/>
      <c r="M27" s="44"/>
      <c r="N27" s="44"/>
      <c r="O27" s="44"/>
      <c r="P27" s="44"/>
      <c r="Q27" s="44"/>
      <c r="R27" s="44"/>
      <c r="S27" s="49">
        <f t="shared" ref="S27:S39" si="11">I27-K27+M27-O27+Q27</f>
        <v>0</v>
      </c>
      <c r="T27" s="49">
        <f t="shared" si="2"/>
        <v>0</v>
      </c>
      <c r="U27" s="44"/>
      <c r="V27" s="44"/>
      <c r="W27" s="44"/>
      <c r="X27" s="44"/>
    </row>
    <row r="28" spans="1:26" s="17" customFormat="1" x14ac:dyDescent="0.2">
      <c r="A28" s="346" t="s">
        <v>74</v>
      </c>
      <c r="B28" s="312" t="s">
        <v>77</v>
      </c>
      <c r="C28" s="312"/>
      <c r="D28" s="312"/>
      <c r="E28" s="312"/>
      <c r="F28" s="312"/>
      <c r="G28" s="313" t="s">
        <v>524</v>
      </c>
      <c r="H28" s="45"/>
      <c r="I28" s="41">
        <f>I29+I30</f>
        <v>0</v>
      </c>
      <c r="J28" s="41">
        <f t="shared" ref="J28:R28" si="12">J29+J30</f>
        <v>0</v>
      </c>
      <c r="K28" s="41">
        <f t="shared" si="12"/>
        <v>0</v>
      </c>
      <c r="L28" s="41">
        <f t="shared" si="12"/>
        <v>0</v>
      </c>
      <c r="M28" s="41">
        <f t="shared" si="12"/>
        <v>0</v>
      </c>
      <c r="N28" s="41">
        <f t="shared" si="12"/>
        <v>0</v>
      </c>
      <c r="O28" s="41">
        <f t="shared" si="12"/>
        <v>0</v>
      </c>
      <c r="P28" s="41">
        <f t="shared" si="12"/>
        <v>0</v>
      </c>
      <c r="Q28" s="41">
        <f t="shared" si="12"/>
        <v>0</v>
      </c>
      <c r="R28" s="41">
        <f t="shared" si="12"/>
        <v>0</v>
      </c>
      <c r="S28" s="49">
        <f t="shared" si="11"/>
        <v>0</v>
      </c>
      <c r="T28" s="49">
        <f t="shared" si="2"/>
        <v>0</v>
      </c>
      <c r="U28" s="41">
        <f>U29+U30</f>
        <v>0</v>
      </c>
      <c r="V28" s="41">
        <f>V29+V30</f>
        <v>0</v>
      </c>
      <c r="W28" s="41">
        <f>W29+W30</f>
        <v>0</v>
      </c>
      <c r="X28" s="41">
        <f>X29+X30</f>
        <v>0</v>
      </c>
    </row>
    <row r="29" spans="1:26" s="17" customFormat="1" x14ac:dyDescent="0.2">
      <c r="A29" s="346"/>
      <c r="B29" s="312" t="s">
        <v>59</v>
      </c>
      <c r="C29" s="312" t="s">
        <v>78</v>
      </c>
      <c r="D29" s="312"/>
      <c r="E29" s="312"/>
      <c r="F29" s="312"/>
      <c r="G29" s="313" t="s">
        <v>525</v>
      </c>
      <c r="H29" s="45"/>
      <c r="I29" s="44"/>
      <c r="J29" s="44"/>
      <c r="K29" s="44"/>
      <c r="L29" s="44"/>
      <c r="M29" s="44"/>
      <c r="N29" s="44"/>
      <c r="O29" s="44"/>
      <c r="P29" s="44"/>
      <c r="Q29" s="44"/>
      <c r="R29" s="44"/>
      <c r="S29" s="49">
        <f t="shared" si="11"/>
        <v>0</v>
      </c>
      <c r="T29" s="49">
        <f t="shared" si="2"/>
        <v>0</v>
      </c>
      <c r="U29" s="44"/>
      <c r="V29" s="44"/>
      <c r="W29" s="44"/>
      <c r="X29" s="44"/>
    </row>
    <row r="30" spans="1:26" s="17" customFormat="1" x14ac:dyDescent="0.2">
      <c r="A30" s="346"/>
      <c r="B30" s="312" t="s">
        <v>61</v>
      </c>
      <c r="C30" s="312" t="s">
        <v>66</v>
      </c>
      <c r="D30" s="312"/>
      <c r="E30" s="312"/>
      <c r="F30" s="312"/>
      <c r="G30" s="313" t="s">
        <v>526</v>
      </c>
      <c r="H30" s="45"/>
      <c r="I30" s="44"/>
      <c r="J30" s="44"/>
      <c r="K30" s="44"/>
      <c r="L30" s="44"/>
      <c r="M30" s="44"/>
      <c r="N30" s="44"/>
      <c r="O30" s="44"/>
      <c r="P30" s="44"/>
      <c r="Q30" s="44"/>
      <c r="R30" s="44"/>
      <c r="S30" s="49">
        <f t="shared" si="11"/>
        <v>0</v>
      </c>
      <c r="T30" s="49">
        <f t="shared" si="2"/>
        <v>0</v>
      </c>
      <c r="U30" s="44"/>
      <c r="V30" s="44"/>
      <c r="W30" s="44"/>
      <c r="X30" s="44"/>
    </row>
    <row r="31" spans="1:26" s="17" customFormat="1" x14ac:dyDescent="0.2">
      <c r="A31" s="346" t="s">
        <v>76</v>
      </c>
      <c r="B31" s="640" t="s">
        <v>982</v>
      </c>
      <c r="C31" s="640"/>
      <c r="D31" s="640"/>
      <c r="E31" s="640"/>
      <c r="F31" s="640"/>
      <c r="G31" s="313" t="s">
        <v>527</v>
      </c>
      <c r="H31" s="45"/>
      <c r="I31" s="44"/>
      <c r="J31" s="44"/>
      <c r="K31" s="44"/>
      <c r="L31" s="44"/>
      <c r="M31" s="44"/>
      <c r="N31" s="44"/>
      <c r="O31" s="44"/>
      <c r="P31" s="44"/>
      <c r="Q31" s="44"/>
      <c r="R31" s="44"/>
      <c r="S31" s="49">
        <f t="shared" si="11"/>
        <v>0</v>
      </c>
      <c r="T31" s="49">
        <f t="shared" si="2"/>
        <v>0</v>
      </c>
      <c r="U31" s="44"/>
      <c r="V31" s="44"/>
      <c r="W31" s="44"/>
      <c r="X31" s="44"/>
    </row>
    <row r="32" spans="1:26" s="17" customFormat="1" x14ac:dyDescent="0.2">
      <c r="A32" s="346" t="s">
        <v>79</v>
      </c>
      <c r="B32" s="312" t="s">
        <v>1467</v>
      </c>
      <c r="C32" s="312"/>
      <c r="D32" s="312"/>
      <c r="E32" s="312"/>
      <c r="F32" s="312"/>
      <c r="G32" s="313" t="s">
        <v>528</v>
      </c>
      <c r="H32" s="45"/>
      <c r="I32" s="41">
        <f>I33+I34+I37+I38</f>
        <v>0</v>
      </c>
      <c r="J32" s="41">
        <f t="shared" ref="J32:R32" si="13">J33+J34+J37+J38</f>
        <v>0</v>
      </c>
      <c r="K32" s="41">
        <f t="shared" si="13"/>
        <v>0</v>
      </c>
      <c r="L32" s="41">
        <f t="shared" si="13"/>
        <v>0</v>
      </c>
      <c r="M32" s="41">
        <f t="shared" si="13"/>
        <v>0</v>
      </c>
      <c r="N32" s="41">
        <f t="shared" si="13"/>
        <v>0</v>
      </c>
      <c r="O32" s="41">
        <f t="shared" si="13"/>
        <v>0</v>
      </c>
      <c r="P32" s="41">
        <f t="shared" si="13"/>
        <v>0</v>
      </c>
      <c r="Q32" s="41">
        <f t="shared" si="13"/>
        <v>0</v>
      </c>
      <c r="R32" s="41">
        <f t="shared" si="13"/>
        <v>0</v>
      </c>
      <c r="S32" s="49">
        <f t="shared" si="11"/>
        <v>0</v>
      </c>
      <c r="T32" s="49">
        <f t="shared" si="2"/>
        <v>0</v>
      </c>
      <c r="U32" s="41">
        <f>U33+U34+U37+U38</f>
        <v>0</v>
      </c>
      <c r="V32" s="41">
        <f>V33+V34+V37+V38</f>
        <v>0</v>
      </c>
      <c r="W32" s="41">
        <f>W33+W34+W37+W38</f>
        <v>0</v>
      </c>
      <c r="X32" s="41">
        <f>X33+X34+X37+X38</f>
        <v>0</v>
      </c>
    </row>
    <row r="33" spans="1:24" s="17" customFormat="1" x14ac:dyDescent="0.2">
      <c r="A33" s="346"/>
      <c r="B33" s="312" t="s">
        <v>59</v>
      </c>
      <c r="C33" s="312" t="s">
        <v>82</v>
      </c>
      <c r="D33" s="312"/>
      <c r="E33" s="312"/>
      <c r="F33" s="312"/>
      <c r="G33" s="313" t="s">
        <v>529</v>
      </c>
      <c r="H33" s="45"/>
      <c r="I33" s="44"/>
      <c r="J33" s="44"/>
      <c r="K33" s="44"/>
      <c r="L33" s="44"/>
      <c r="M33" s="44"/>
      <c r="N33" s="44"/>
      <c r="O33" s="44"/>
      <c r="P33" s="44"/>
      <c r="Q33" s="44"/>
      <c r="R33" s="44"/>
      <c r="S33" s="49">
        <f t="shared" si="11"/>
        <v>0</v>
      </c>
      <c r="T33" s="49">
        <f t="shared" si="2"/>
        <v>0</v>
      </c>
      <c r="U33" s="44"/>
      <c r="V33" s="44"/>
      <c r="W33" s="44"/>
      <c r="X33" s="44"/>
    </row>
    <row r="34" spans="1:24" s="17" customFormat="1" x14ac:dyDescent="0.2">
      <c r="A34" s="346"/>
      <c r="B34" s="312" t="s">
        <v>61</v>
      </c>
      <c r="C34" s="662" t="s">
        <v>1457</v>
      </c>
      <c r="D34" s="662"/>
      <c r="E34" s="662"/>
      <c r="F34" s="663"/>
      <c r="G34" s="313" t="s">
        <v>530</v>
      </c>
      <c r="H34" s="45"/>
      <c r="I34" s="41">
        <f>I35+I36</f>
        <v>0</v>
      </c>
      <c r="J34" s="41">
        <f t="shared" ref="J34:R34" si="14">J35+J36</f>
        <v>0</v>
      </c>
      <c r="K34" s="41">
        <f t="shared" si="14"/>
        <v>0</v>
      </c>
      <c r="L34" s="41">
        <f t="shared" si="14"/>
        <v>0</v>
      </c>
      <c r="M34" s="41">
        <f t="shared" si="14"/>
        <v>0</v>
      </c>
      <c r="N34" s="41">
        <f t="shared" si="14"/>
        <v>0</v>
      </c>
      <c r="O34" s="41">
        <f t="shared" si="14"/>
        <v>0</v>
      </c>
      <c r="P34" s="41">
        <f t="shared" si="14"/>
        <v>0</v>
      </c>
      <c r="Q34" s="41">
        <f t="shared" si="14"/>
        <v>0</v>
      </c>
      <c r="R34" s="41">
        <f t="shared" si="14"/>
        <v>0</v>
      </c>
      <c r="S34" s="41">
        <f t="shared" si="11"/>
        <v>0</v>
      </c>
      <c r="T34" s="41">
        <f>J34-L34+N34-P34+R34</f>
        <v>0</v>
      </c>
      <c r="U34" s="41">
        <f>U35+U36</f>
        <v>0</v>
      </c>
      <c r="V34" s="41">
        <f>V35+V36</f>
        <v>0</v>
      </c>
      <c r="W34" s="41">
        <f>W35+W36</f>
        <v>0</v>
      </c>
      <c r="X34" s="41">
        <f>X35+X36</f>
        <v>0</v>
      </c>
    </row>
    <row r="35" spans="1:24" s="17" customFormat="1" x14ac:dyDescent="0.2">
      <c r="A35" s="617"/>
      <c r="B35" s="556"/>
      <c r="C35" s="312" t="s">
        <v>54</v>
      </c>
      <c r="D35" s="312" t="s">
        <v>83</v>
      </c>
      <c r="E35" s="312"/>
      <c r="F35" s="312"/>
      <c r="G35" s="618" t="s">
        <v>1461</v>
      </c>
      <c r="H35" s="45"/>
      <c r="I35" s="44"/>
      <c r="J35" s="44"/>
      <c r="K35" s="44"/>
      <c r="L35" s="44"/>
      <c r="M35" s="44"/>
      <c r="N35" s="44"/>
      <c r="O35" s="44"/>
      <c r="P35" s="44"/>
      <c r="Q35" s="44"/>
      <c r="R35" s="44"/>
      <c r="S35" s="49">
        <f t="shared" si="11"/>
        <v>0</v>
      </c>
      <c r="T35" s="49">
        <f>J35-L35+N35-P35+R35</f>
        <v>0</v>
      </c>
      <c r="U35" s="44"/>
      <c r="V35" s="44"/>
      <c r="W35" s="44"/>
      <c r="X35" s="44"/>
    </row>
    <row r="36" spans="1:24" s="17" customFormat="1" x14ac:dyDescent="0.2">
      <c r="A36" s="617"/>
      <c r="B36" s="556"/>
      <c r="C36" s="312" t="s">
        <v>55</v>
      </c>
      <c r="D36" s="312" t="s">
        <v>1458</v>
      </c>
      <c r="E36" s="312"/>
      <c r="F36" s="312"/>
      <c r="G36" s="618" t="s">
        <v>1462</v>
      </c>
      <c r="H36" s="45"/>
      <c r="I36" s="44"/>
      <c r="J36" s="44"/>
      <c r="K36" s="44"/>
      <c r="L36" s="44"/>
      <c r="M36" s="44"/>
      <c r="N36" s="44"/>
      <c r="O36" s="44"/>
      <c r="P36" s="44"/>
      <c r="Q36" s="44"/>
      <c r="R36" s="44"/>
      <c r="S36" s="49">
        <f t="shared" si="11"/>
        <v>0</v>
      </c>
      <c r="T36" s="49">
        <f>J36-L36+N36-P36+R36</f>
        <v>0</v>
      </c>
      <c r="U36" s="44"/>
      <c r="V36" s="44"/>
      <c r="W36" s="44"/>
      <c r="X36" s="44"/>
    </row>
    <row r="37" spans="1:24" s="17" customFormat="1" x14ac:dyDescent="0.2">
      <c r="A37" s="346"/>
      <c r="B37" s="3" t="s">
        <v>71</v>
      </c>
      <c r="C37" s="3" t="s">
        <v>1468</v>
      </c>
      <c r="D37" s="3"/>
      <c r="E37" s="3"/>
      <c r="F37" s="3"/>
      <c r="G37" s="416" t="s">
        <v>1444</v>
      </c>
      <c r="H37" s="45"/>
      <c r="I37" s="44"/>
      <c r="J37" s="44"/>
      <c r="K37" s="44"/>
      <c r="L37" s="44"/>
      <c r="M37" s="44"/>
      <c r="N37" s="44"/>
      <c r="O37" s="44"/>
      <c r="P37" s="44"/>
      <c r="Q37" s="44"/>
      <c r="R37" s="44"/>
      <c r="S37" s="49">
        <f t="shared" si="11"/>
        <v>0</v>
      </c>
      <c r="T37" s="49">
        <f>J37-L37+N37-P37+R37</f>
        <v>0</v>
      </c>
      <c r="U37" s="44"/>
      <c r="V37" s="44"/>
      <c r="W37" s="44"/>
      <c r="X37" s="44"/>
    </row>
    <row r="38" spans="1:24" s="17" customFormat="1" x14ac:dyDescent="0.2">
      <c r="A38" s="346"/>
      <c r="B38" s="312" t="s">
        <v>1433</v>
      </c>
      <c r="C38" s="312" t="s">
        <v>52</v>
      </c>
      <c r="D38" s="312"/>
      <c r="E38" s="312"/>
      <c r="F38" s="312"/>
      <c r="G38" s="313" t="s">
        <v>531</v>
      </c>
      <c r="H38" s="45"/>
      <c r="I38" s="44"/>
      <c r="J38" s="44"/>
      <c r="K38" s="44"/>
      <c r="L38" s="44"/>
      <c r="M38" s="44"/>
      <c r="N38" s="44"/>
      <c r="O38" s="44"/>
      <c r="P38" s="44"/>
      <c r="Q38" s="44"/>
      <c r="R38" s="44"/>
      <c r="S38" s="49">
        <f t="shared" si="11"/>
        <v>0</v>
      </c>
      <c r="T38" s="49">
        <f t="shared" si="2"/>
        <v>0</v>
      </c>
      <c r="U38" s="44"/>
      <c r="V38" s="44"/>
      <c r="W38" s="44"/>
      <c r="X38" s="44"/>
    </row>
    <row r="39" spans="1:24" s="17" customFormat="1" x14ac:dyDescent="0.2">
      <c r="A39" s="346" t="s">
        <v>81</v>
      </c>
      <c r="B39" s="312" t="s">
        <v>85</v>
      </c>
      <c r="C39" s="312"/>
      <c r="D39" s="312"/>
      <c r="E39" s="312"/>
      <c r="F39" s="312"/>
      <c r="G39" s="313" t="s">
        <v>532</v>
      </c>
      <c r="H39" s="45"/>
      <c r="I39" s="50"/>
      <c r="J39" s="50"/>
      <c r="K39" s="50"/>
      <c r="L39" s="50"/>
      <c r="M39" s="50"/>
      <c r="N39" s="50"/>
      <c r="O39" s="50"/>
      <c r="P39" s="50"/>
      <c r="Q39" s="50"/>
      <c r="R39" s="50"/>
      <c r="S39" s="49">
        <f t="shared" si="11"/>
        <v>0</v>
      </c>
      <c r="T39" s="49">
        <f t="shared" si="2"/>
        <v>0</v>
      </c>
      <c r="U39" s="50"/>
      <c r="V39" s="50"/>
      <c r="W39" s="50"/>
      <c r="X39" s="50"/>
    </row>
    <row r="40" spans="1:24" s="17" customFormat="1" x14ac:dyDescent="0.2">
      <c r="A40" s="223" t="s">
        <v>86</v>
      </c>
      <c r="B40" s="312"/>
      <c r="C40" s="312"/>
      <c r="D40" s="312"/>
      <c r="E40" s="312"/>
      <c r="F40" s="312"/>
      <c r="G40" s="313" t="s">
        <v>533</v>
      </c>
      <c r="H40" s="45"/>
      <c r="I40" s="85"/>
      <c r="J40" s="85"/>
      <c r="K40" s="85"/>
      <c r="L40" s="85"/>
      <c r="M40" s="85"/>
      <c r="N40" s="85"/>
      <c r="O40" s="85"/>
      <c r="P40" s="85"/>
      <c r="Q40" s="85"/>
      <c r="R40" s="85"/>
      <c r="S40" s="104"/>
      <c r="T40" s="104"/>
      <c r="U40" s="85"/>
      <c r="V40" s="85"/>
      <c r="W40" s="85"/>
      <c r="X40" s="85"/>
    </row>
    <row r="41" spans="1:24" s="17" customFormat="1" x14ac:dyDescent="0.2">
      <c r="A41" s="348" t="s">
        <v>54</v>
      </c>
      <c r="B41" s="225" t="s">
        <v>87</v>
      </c>
      <c r="C41" s="312"/>
      <c r="D41" s="312"/>
      <c r="E41" s="312"/>
      <c r="F41" s="312"/>
      <c r="G41" s="313" t="s">
        <v>534</v>
      </c>
      <c r="H41" s="45"/>
      <c r="I41" s="85"/>
      <c r="J41" s="85"/>
      <c r="K41" s="85"/>
      <c r="L41" s="85"/>
      <c r="M41" s="85"/>
      <c r="N41" s="85"/>
      <c r="O41" s="85"/>
      <c r="P41" s="85"/>
      <c r="Q41" s="85"/>
      <c r="R41" s="85"/>
      <c r="S41" s="104"/>
      <c r="T41" s="104"/>
      <c r="U41" s="85"/>
      <c r="V41" s="85"/>
      <c r="W41" s="85"/>
      <c r="X41" s="85"/>
    </row>
    <row r="42" spans="1:24" s="17" customFormat="1" x14ac:dyDescent="0.2">
      <c r="A42" s="348" t="s">
        <v>55</v>
      </c>
      <c r="B42" s="225" t="s">
        <v>88</v>
      </c>
      <c r="C42" s="312"/>
      <c r="D42" s="312"/>
      <c r="E42" s="312"/>
      <c r="F42" s="312"/>
      <c r="G42" s="313" t="s">
        <v>535</v>
      </c>
      <c r="H42" s="45"/>
      <c r="I42" s="85"/>
      <c r="J42" s="85"/>
      <c r="K42" s="85"/>
      <c r="L42" s="85"/>
      <c r="M42" s="85"/>
      <c r="N42" s="85"/>
      <c r="O42" s="85"/>
      <c r="P42" s="85"/>
      <c r="Q42" s="85"/>
      <c r="R42" s="85"/>
      <c r="S42" s="104"/>
      <c r="T42" s="104"/>
      <c r="U42" s="85"/>
      <c r="V42" s="85"/>
      <c r="W42" s="85"/>
      <c r="X42" s="85"/>
    </row>
    <row r="43" spans="1:24" s="17" customFormat="1" x14ac:dyDescent="0.2">
      <c r="A43" s="348" t="s">
        <v>65</v>
      </c>
      <c r="B43" s="312" t="s">
        <v>89</v>
      </c>
      <c r="C43" s="312"/>
      <c r="D43" s="312"/>
      <c r="E43" s="312"/>
      <c r="F43" s="312"/>
      <c r="G43" s="313" t="s">
        <v>536</v>
      </c>
      <c r="H43" s="45"/>
      <c r="I43" s="85"/>
      <c r="J43" s="85"/>
      <c r="K43" s="85"/>
      <c r="L43" s="85"/>
      <c r="M43" s="85"/>
      <c r="N43" s="85"/>
      <c r="O43" s="85"/>
      <c r="P43" s="85"/>
      <c r="Q43" s="85"/>
      <c r="R43" s="85"/>
      <c r="S43" s="104"/>
      <c r="T43" s="104"/>
      <c r="U43" s="85"/>
      <c r="V43" s="85"/>
      <c r="W43" s="85"/>
      <c r="X43" s="85"/>
    </row>
    <row r="44" spans="1:24" s="17" customFormat="1" x14ac:dyDescent="0.2">
      <c r="A44" s="348" t="s">
        <v>90</v>
      </c>
      <c r="B44" s="312" t="s">
        <v>91</v>
      </c>
      <c r="C44" s="312"/>
      <c r="D44" s="312"/>
      <c r="E44" s="312"/>
      <c r="F44" s="312"/>
      <c r="G44" s="313" t="s">
        <v>537</v>
      </c>
      <c r="H44" s="45"/>
      <c r="I44" s="85"/>
      <c r="J44" s="85"/>
      <c r="K44" s="85"/>
      <c r="L44" s="85"/>
      <c r="M44" s="85"/>
      <c r="N44" s="85"/>
      <c r="O44" s="85"/>
      <c r="P44" s="85"/>
      <c r="Q44" s="85"/>
      <c r="R44" s="85"/>
      <c r="S44" s="104"/>
      <c r="T44" s="104"/>
      <c r="U44" s="85"/>
      <c r="V44" s="85"/>
      <c r="W44" s="85"/>
      <c r="X44" s="85"/>
    </row>
    <row r="45" spans="1:24" s="20" customFormat="1" x14ac:dyDescent="0.2">
      <c r="A45" s="307" t="s">
        <v>140</v>
      </c>
      <c r="B45" s="368"/>
      <c r="C45" s="369"/>
      <c r="D45" s="370"/>
      <c r="E45" s="367"/>
      <c r="F45" s="303"/>
      <c r="G45" s="313" t="s">
        <v>538</v>
      </c>
      <c r="H45" s="115"/>
      <c r="I45" s="49">
        <f t="shared" ref="I45:R45" si="15">I40+I10</f>
        <v>0</v>
      </c>
      <c r="J45" s="49">
        <f t="shared" si="15"/>
        <v>0</v>
      </c>
      <c r="K45" s="49">
        <f t="shared" si="15"/>
        <v>0</v>
      </c>
      <c r="L45" s="49">
        <f t="shared" si="15"/>
        <v>0</v>
      </c>
      <c r="M45" s="49">
        <f t="shared" si="15"/>
        <v>0</v>
      </c>
      <c r="N45" s="49">
        <f t="shared" si="15"/>
        <v>0</v>
      </c>
      <c r="O45" s="49">
        <f t="shared" si="15"/>
        <v>0</v>
      </c>
      <c r="P45" s="49">
        <f t="shared" si="15"/>
        <v>0</v>
      </c>
      <c r="Q45" s="49">
        <f t="shared" si="15"/>
        <v>0</v>
      </c>
      <c r="R45" s="49">
        <f t="shared" si="15"/>
        <v>0</v>
      </c>
      <c r="S45" s="49">
        <f>I45-K45+M45-O45+Q45</f>
        <v>0</v>
      </c>
      <c r="T45" s="49">
        <f>J45-L45+N45-P45+R45</f>
        <v>0</v>
      </c>
      <c r="U45" s="49">
        <f>U40+U10</f>
        <v>0</v>
      </c>
      <c r="V45" s="49">
        <f>V40+V10</f>
        <v>0</v>
      </c>
      <c r="W45" s="49">
        <f>W40+W10</f>
        <v>0</v>
      </c>
      <c r="X45" s="49">
        <f>X40+X10</f>
        <v>0</v>
      </c>
    </row>
    <row r="46" spans="1:24" x14ac:dyDescent="0.2">
      <c r="G46" s="230" t="s">
        <v>108</v>
      </c>
    </row>
  </sheetData>
  <sheetProtection password="F8FA" sheet="1" objects="1" scenarios="1" selectLockedCells="1"/>
  <mergeCells count="18">
    <mergeCell ref="C34:F34"/>
    <mergeCell ref="C23:F23"/>
    <mergeCell ref="I5:J7"/>
    <mergeCell ref="K5:L7"/>
    <mergeCell ref="M5:N7"/>
    <mergeCell ref="Q5:R7"/>
    <mergeCell ref="B31:F31"/>
    <mergeCell ref="A8:X8"/>
    <mergeCell ref="S5:T7"/>
    <mergeCell ref="C22:F22"/>
    <mergeCell ref="U5:V7"/>
    <mergeCell ref="W5:X7"/>
    <mergeCell ref="A1:X1"/>
    <mergeCell ref="A2:X2"/>
    <mergeCell ref="A3:X3"/>
    <mergeCell ref="O5:P7"/>
    <mergeCell ref="A5:F7"/>
    <mergeCell ref="G5:G7"/>
  </mergeCells>
  <phoneticPr fontId="2" type="noConversion"/>
  <dataValidations count="2">
    <dataValidation type="decimal" allowBlank="1" showInputMessage="1" showErrorMessage="1" sqref="I25:P27 I29:P31 I22:P23 I12:P13 I15:P17 I19:P20 I33:P39">
      <formula1>0</formula1>
      <formula2>99999999999999900</formula2>
    </dataValidation>
    <dataValidation type="decimal" operator="greaterThanOrEqual" allowBlank="1" showInputMessage="1" showErrorMessage="1" sqref="U22:X23 Q19:R20 Q1:R10 U12:X17 Q12:R17 U10:X10 U19:X20 Q22:R23 Q25:R31 U25:X31 Q33:R65536 U33:X45">
      <formula1>-99999999999999900</formula1>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11c2&amp;8&amp;U
&amp;P of &amp;N&amp;C&amp;"Arial,Bold"&amp;8 NEW RURAL BANK OF SAN LEONARDO, INC  [ 04-040656 ]
 As of: September 30, 2017</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49"/>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2.5703125" style="5" customWidth="1"/>
    <col min="3" max="3" width="2.7109375" style="5" customWidth="1"/>
    <col min="4" max="5" width="4.140625" style="5" customWidth="1"/>
    <col min="6" max="6" width="38.42578125" style="5" customWidth="1"/>
    <col min="7" max="7" width="16.7109375" style="52" customWidth="1"/>
    <col min="8" max="8" width="16.7109375" style="52"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198" customWidth="1"/>
    <col min="18" max="18" width="25.7109375" style="198" customWidth="1"/>
    <col min="19" max="19" width="20.7109375" style="48" customWidth="1"/>
    <col min="20" max="20" width="25.7109375" style="48" customWidth="1"/>
    <col min="21" max="21" width="20.7109375" style="48" customWidth="1"/>
    <col min="22" max="22" width="25.7109375" style="48" customWidth="1"/>
    <col min="23" max="23" width="20.7109375" style="48" customWidth="1"/>
    <col min="24" max="24" width="25.7109375" style="48" customWidth="1"/>
    <col min="25" max="16384" width="9.140625" style="5"/>
  </cols>
  <sheetData>
    <row r="1" spans="1:24" s="243" customFormat="1" ht="12.75" x14ac:dyDescent="0.2">
      <c r="A1" s="669" t="s">
        <v>213</v>
      </c>
      <c r="B1" s="669"/>
      <c r="C1" s="669"/>
      <c r="D1" s="669"/>
      <c r="E1" s="669"/>
      <c r="F1" s="669"/>
      <c r="G1" s="669"/>
      <c r="H1" s="669"/>
      <c r="I1" s="669"/>
      <c r="J1" s="669"/>
      <c r="K1" s="669"/>
      <c r="L1" s="669"/>
      <c r="M1" s="669"/>
      <c r="N1" s="669"/>
      <c r="O1" s="669"/>
      <c r="P1" s="669"/>
      <c r="Q1" s="669"/>
      <c r="R1" s="669"/>
      <c r="S1" s="669"/>
      <c r="T1" s="669"/>
      <c r="U1" s="669"/>
      <c r="V1" s="669"/>
      <c r="W1" s="669"/>
      <c r="X1" s="669"/>
    </row>
    <row r="2" spans="1:24" s="243" customFormat="1" ht="12.75" x14ac:dyDescent="0.2">
      <c r="A2" s="669" t="s">
        <v>499</v>
      </c>
      <c r="B2" s="669"/>
      <c r="C2" s="669"/>
      <c r="D2" s="669"/>
      <c r="E2" s="669"/>
      <c r="F2" s="669"/>
      <c r="G2" s="669"/>
      <c r="H2" s="669"/>
      <c r="I2" s="669"/>
      <c r="J2" s="669"/>
      <c r="K2" s="669"/>
      <c r="L2" s="669"/>
      <c r="M2" s="669"/>
      <c r="N2" s="669"/>
      <c r="O2" s="669"/>
      <c r="P2" s="669"/>
      <c r="Q2" s="669"/>
      <c r="R2" s="669"/>
      <c r="S2" s="669"/>
      <c r="T2" s="669"/>
      <c r="U2" s="669"/>
      <c r="V2" s="669"/>
      <c r="W2" s="669"/>
      <c r="X2" s="669"/>
    </row>
    <row r="3" spans="1:24" s="243" customFormat="1" ht="12.75" x14ac:dyDescent="0.2">
      <c r="A3" s="669" t="s">
        <v>53</v>
      </c>
      <c r="B3" s="669"/>
      <c r="C3" s="669"/>
      <c r="D3" s="669"/>
      <c r="E3" s="669"/>
      <c r="F3" s="669"/>
      <c r="G3" s="669"/>
      <c r="H3" s="669"/>
      <c r="I3" s="669"/>
      <c r="J3" s="669"/>
      <c r="K3" s="669"/>
      <c r="L3" s="669"/>
      <c r="M3" s="669"/>
      <c r="N3" s="669"/>
      <c r="O3" s="669"/>
      <c r="P3" s="669"/>
      <c r="Q3" s="669"/>
      <c r="R3" s="669"/>
      <c r="S3" s="669"/>
      <c r="T3" s="669"/>
      <c r="U3" s="669"/>
      <c r="V3" s="669"/>
      <c r="W3" s="669"/>
      <c r="X3" s="669"/>
    </row>
    <row r="4" spans="1:24" x14ac:dyDescent="0.2">
      <c r="A4" s="6"/>
      <c r="B4" s="6"/>
      <c r="C4" s="6"/>
      <c r="D4" s="6"/>
      <c r="E4" s="6"/>
      <c r="F4" s="6"/>
      <c r="G4" s="54"/>
      <c r="H4" s="54"/>
      <c r="I4" s="47"/>
      <c r="J4" s="47"/>
      <c r="K4" s="47"/>
      <c r="L4" s="47"/>
      <c r="M4" s="47"/>
      <c r="N4" s="47"/>
      <c r="O4" s="47"/>
      <c r="P4" s="47"/>
      <c r="Q4" s="197"/>
      <c r="R4" s="197"/>
      <c r="S4" s="47"/>
      <c r="T4" s="47"/>
      <c r="U4" s="47"/>
      <c r="V4" s="47"/>
      <c r="W4" s="47"/>
      <c r="X4" s="47"/>
    </row>
    <row r="5" spans="1:24" ht="10.5" customHeight="1" x14ac:dyDescent="0.2">
      <c r="A5" s="704" t="s">
        <v>45</v>
      </c>
      <c r="B5" s="704"/>
      <c r="C5" s="704"/>
      <c r="D5" s="704"/>
      <c r="E5" s="704"/>
      <c r="F5" s="704"/>
      <c r="G5" s="713" t="s">
        <v>46</v>
      </c>
      <c r="H5" s="24"/>
      <c r="I5" s="705" t="s">
        <v>500</v>
      </c>
      <c r="J5" s="705"/>
      <c r="K5" s="670" t="s">
        <v>501</v>
      </c>
      <c r="L5" s="670"/>
      <c r="M5" s="670" t="s">
        <v>548</v>
      </c>
      <c r="N5" s="670"/>
      <c r="O5" s="670" t="s">
        <v>549</v>
      </c>
      <c r="P5" s="670"/>
      <c r="Q5" s="708" t="s">
        <v>502</v>
      </c>
      <c r="R5" s="708"/>
      <c r="S5" s="670" t="s">
        <v>503</v>
      </c>
      <c r="T5" s="670"/>
      <c r="U5" s="670" t="s">
        <v>504</v>
      </c>
      <c r="V5" s="670"/>
      <c r="W5" s="670" t="s">
        <v>505</v>
      </c>
      <c r="X5" s="670"/>
    </row>
    <row r="6" spans="1:24" ht="10.5" customHeight="1" x14ac:dyDescent="0.2">
      <c r="A6" s="704"/>
      <c r="B6" s="704"/>
      <c r="C6" s="704"/>
      <c r="D6" s="704"/>
      <c r="E6" s="704"/>
      <c r="F6" s="704"/>
      <c r="G6" s="713"/>
      <c r="H6" s="24"/>
      <c r="I6" s="705"/>
      <c r="J6" s="705"/>
      <c r="K6" s="670"/>
      <c r="L6" s="670"/>
      <c r="M6" s="670"/>
      <c r="N6" s="670"/>
      <c r="O6" s="670"/>
      <c r="P6" s="670"/>
      <c r="Q6" s="708"/>
      <c r="R6" s="708"/>
      <c r="S6" s="670"/>
      <c r="T6" s="670"/>
      <c r="U6" s="670"/>
      <c r="V6" s="670"/>
      <c r="W6" s="670"/>
      <c r="X6" s="670"/>
    </row>
    <row r="7" spans="1:24" ht="10.5" customHeight="1" x14ac:dyDescent="0.2">
      <c r="A7" s="704"/>
      <c r="B7" s="704"/>
      <c r="C7" s="704"/>
      <c r="D7" s="704"/>
      <c r="E7" s="704"/>
      <c r="F7" s="704"/>
      <c r="G7" s="713"/>
      <c r="H7" s="24"/>
      <c r="I7" s="705"/>
      <c r="J7" s="705"/>
      <c r="K7" s="670"/>
      <c r="L7" s="670"/>
      <c r="M7" s="670"/>
      <c r="N7" s="670"/>
      <c r="O7" s="670"/>
      <c r="P7" s="670"/>
      <c r="Q7" s="708"/>
      <c r="R7" s="708"/>
      <c r="S7" s="670"/>
      <c r="T7" s="670"/>
      <c r="U7" s="670"/>
      <c r="V7" s="670"/>
      <c r="W7" s="670"/>
      <c r="X7" s="670"/>
    </row>
    <row r="8" spans="1:24" ht="17.25" customHeight="1" x14ac:dyDescent="0.2">
      <c r="A8" s="711" t="s">
        <v>506</v>
      </c>
      <c r="B8" s="711"/>
      <c r="C8" s="711"/>
      <c r="D8" s="711"/>
      <c r="E8" s="711"/>
      <c r="F8" s="711"/>
      <c r="G8" s="711"/>
      <c r="H8" s="711"/>
      <c r="I8" s="711"/>
      <c r="J8" s="711"/>
      <c r="K8" s="711"/>
      <c r="L8" s="711"/>
      <c r="M8" s="711"/>
      <c r="N8" s="711"/>
      <c r="O8" s="711"/>
      <c r="P8" s="711"/>
      <c r="Q8" s="711"/>
      <c r="R8" s="711"/>
      <c r="S8" s="711"/>
      <c r="T8" s="711"/>
      <c r="U8" s="711"/>
      <c r="V8" s="711"/>
      <c r="W8" s="711"/>
      <c r="X8" s="711"/>
    </row>
    <row r="9" spans="1:24" s="121" customFormat="1" ht="21" customHeight="1" x14ac:dyDescent="0.2">
      <c r="A9" s="199"/>
      <c r="B9" s="199"/>
      <c r="C9" s="199"/>
      <c r="D9" s="199"/>
      <c r="E9" s="199"/>
      <c r="F9" s="199"/>
      <c r="G9" s="200"/>
      <c r="H9" s="200"/>
      <c r="I9" s="201" t="s">
        <v>50</v>
      </c>
      <c r="J9" s="201" t="s">
        <v>379</v>
      </c>
      <c r="K9" s="201" t="s">
        <v>50</v>
      </c>
      <c r="L9" s="201" t="s">
        <v>379</v>
      </c>
      <c r="M9" s="201" t="s">
        <v>50</v>
      </c>
      <c r="N9" s="201" t="s">
        <v>379</v>
      </c>
      <c r="O9" s="201" t="s">
        <v>50</v>
      </c>
      <c r="P9" s="201" t="s">
        <v>379</v>
      </c>
      <c r="Q9" s="202" t="s">
        <v>50</v>
      </c>
      <c r="R9" s="202" t="s">
        <v>379</v>
      </c>
      <c r="S9" s="201" t="s">
        <v>50</v>
      </c>
      <c r="T9" s="201" t="s">
        <v>379</v>
      </c>
      <c r="U9" s="201" t="s">
        <v>50</v>
      </c>
      <c r="V9" s="201" t="s">
        <v>379</v>
      </c>
      <c r="W9" s="201" t="s">
        <v>50</v>
      </c>
      <c r="X9" s="201" t="s">
        <v>379</v>
      </c>
    </row>
    <row r="10" spans="1:24" s="17" customFormat="1" x14ac:dyDescent="0.2">
      <c r="A10" s="223" t="s">
        <v>57</v>
      </c>
      <c r="B10" s="312"/>
      <c r="C10" s="312"/>
      <c r="D10" s="312"/>
      <c r="E10" s="312"/>
      <c r="F10" s="312"/>
      <c r="G10" s="313" t="s">
        <v>508</v>
      </c>
      <c r="H10" s="45"/>
      <c r="I10" s="49">
        <f t="shared" ref="I10:R10" si="0">I11+I18+I21+I24+I27+I28+I31+I32+I39</f>
        <v>0</v>
      </c>
      <c r="J10" s="49">
        <f t="shared" si="0"/>
        <v>0</v>
      </c>
      <c r="K10" s="49">
        <f t="shared" si="0"/>
        <v>0</v>
      </c>
      <c r="L10" s="49">
        <f t="shared" si="0"/>
        <v>0</v>
      </c>
      <c r="M10" s="49">
        <f t="shared" si="0"/>
        <v>0</v>
      </c>
      <c r="N10" s="49">
        <f t="shared" si="0"/>
        <v>0</v>
      </c>
      <c r="O10" s="49">
        <f t="shared" si="0"/>
        <v>0</v>
      </c>
      <c r="P10" s="49">
        <f t="shared" si="0"/>
        <v>0</v>
      </c>
      <c r="Q10" s="49">
        <f t="shared" si="0"/>
        <v>0</v>
      </c>
      <c r="R10" s="49">
        <f t="shared" si="0"/>
        <v>0</v>
      </c>
      <c r="S10" s="49">
        <f t="shared" ref="S10:S16" si="1">I10-K10+M10-O10+Q10</f>
        <v>0</v>
      </c>
      <c r="T10" s="49">
        <f t="shared" ref="T10:T45" si="2">J10-L10+N10-P10+R10</f>
        <v>0</v>
      </c>
      <c r="U10" s="49">
        <f>U11+U18+U21+U24+U27+U28+U31+U32+U39</f>
        <v>0</v>
      </c>
      <c r="V10" s="49">
        <f>V11+V18+V21+V24+V27+V28+V31+V32+V39</f>
        <v>0</v>
      </c>
      <c r="W10" s="49">
        <f>W11+W18+W21+W24+W27+W28+W31+W32+W39</f>
        <v>0</v>
      </c>
      <c r="X10" s="49">
        <f>X11+X18+X21+X24+X27+X28+X31+X32+X39</f>
        <v>0</v>
      </c>
    </row>
    <row r="11" spans="1:24" s="17" customFormat="1" x14ac:dyDescent="0.2">
      <c r="A11" s="346" t="s">
        <v>58</v>
      </c>
      <c r="B11" s="312" t="s">
        <v>544</v>
      </c>
      <c r="C11" s="312"/>
      <c r="D11" s="312"/>
      <c r="E11" s="312"/>
      <c r="F11" s="312"/>
      <c r="G11" s="313" t="s">
        <v>509</v>
      </c>
      <c r="H11" s="45"/>
      <c r="I11" s="49">
        <f>I12+I13+I14</f>
        <v>0</v>
      </c>
      <c r="J11" s="49">
        <f t="shared" ref="J11:R11" si="3">J12+J13+J14</f>
        <v>0</v>
      </c>
      <c r="K11" s="49">
        <f t="shared" si="3"/>
        <v>0</v>
      </c>
      <c r="L11" s="49">
        <f t="shared" si="3"/>
        <v>0</v>
      </c>
      <c r="M11" s="49">
        <f t="shared" si="3"/>
        <v>0</v>
      </c>
      <c r="N11" s="49">
        <f t="shared" si="3"/>
        <v>0</v>
      </c>
      <c r="O11" s="49">
        <f t="shared" si="3"/>
        <v>0</v>
      </c>
      <c r="P11" s="49">
        <f t="shared" si="3"/>
        <v>0</v>
      </c>
      <c r="Q11" s="49">
        <f t="shared" si="3"/>
        <v>0</v>
      </c>
      <c r="R11" s="49">
        <f t="shared" si="3"/>
        <v>0</v>
      </c>
      <c r="S11" s="49">
        <f t="shared" si="1"/>
        <v>0</v>
      </c>
      <c r="T11" s="49">
        <f t="shared" si="2"/>
        <v>0</v>
      </c>
      <c r="U11" s="49">
        <f>U12+U13+U14</f>
        <v>0</v>
      </c>
      <c r="V11" s="49">
        <f>V12+V13+V14</f>
        <v>0</v>
      </c>
      <c r="W11" s="49">
        <f>W12+W13+W14</f>
        <v>0</v>
      </c>
      <c r="X11" s="49">
        <f>X12+X13+X14</f>
        <v>0</v>
      </c>
    </row>
    <row r="12" spans="1:24" s="17" customFormat="1" x14ac:dyDescent="0.2">
      <c r="A12" s="346"/>
      <c r="B12" s="312" t="s">
        <v>59</v>
      </c>
      <c r="C12" s="312" t="s">
        <v>60</v>
      </c>
      <c r="D12" s="312"/>
      <c r="E12" s="312"/>
      <c r="F12" s="312"/>
      <c r="G12" s="313" t="s">
        <v>510</v>
      </c>
      <c r="H12" s="45"/>
      <c r="I12" s="50"/>
      <c r="J12" s="50"/>
      <c r="K12" s="50"/>
      <c r="L12" s="50"/>
      <c r="M12" s="50"/>
      <c r="N12" s="50"/>
      <c r="O12" s="50"/>
      <c r="P12" s="50"/>
      <c r="Q12" s="50"/>
      <c r="R12" s="50"/>
      <c r="S12" s="49">
        <f t="shared" si="1"/>
        <v>0</v>
      </c>
      <c r="T12" s="49">
        <f t="shared" si="2"/>
        <v>0</v>
      </c>
      <c r="U12" s="50"/>
      <c r="V12" s="50"/>
      <c r="W12" s="50"/>
      <c r="X12" s="50"/>
    </row>
    <row r="13" spans="1:24" s="17" customFormat="1" x14ac:dyDescent="0.2">
      <c r="A13" s="346"/>
      <c r="B13" s="312" t="s">
        <v>61</v>
      </c>
      <c r="C13" s="312" t="s">
        <v>72</v>
      </c>
      <c r="D13" s="312"/>
      <c r="E13" s="312"/>
      <c r="F13" s="312"/>
      <c r="G13" s="313" t="s">
        <v>550</v>
      </c>
      <c r="H13" s="45"/>
      <c r="I13" s="50"/>
      <c r="J13" s="50"/>
      <c r="K13" s="50"/>
      <c r="L13" s="50"/>
      <c r="M13" s="50"/>
      <c r="N13" s="50"/>
      <c r="O13" s="50"/>
      <c r="P13" s="50"/>
      <c r="Q13" s="50"/>
      <c r="R13" s="50"/>
      <c r="S13" s="49">
        <f t="shared" si="1"/>
        <v>0</v>
      </c>
      <c r="T13" s="49">
        <f>J13-L13+N13-P13+R13</f>
        <v>0</v>
      </c>
      <c r="U13" s="50"/>
      <c r="V13" s="50"/>
      <c r="W13" s="50"/>
      <c r="X13" s="50"/>
    </row>
    <row r="14" spans="1:24" s="17" customFormat="1" x14ac:dyDescent="0.2">
      <c r="A14" s="346"/>
      <c r="B14" s="312" t="s">
        <v>71</v>
      </c>
      <c r="C14" s="312" t="s">
        <v>62</v>
      </c>
      <c r="D14" s="312"/>
      <c r="E14" s="312"/>
      <c r="F14" s="312"/>
      <c r="G14" s="313" t="s">
        <v>511</v>
      </c>
      <c r="H14" s="45"/>
      <c r="I14" s="49">
        <f t="shared" ref="I14:R14" si="4">I15+I16+I17</f>
        <v>0</v>
      </c>
      <c r="J14" s="49">
        <f t="shared" si="4"/>
        <v>0</v>
      </c>
      <c r="K14" s="49">
        <f t="shared" si="4"/>
        <v>0</v>
      </c>
      <c r="L14" s="49">
        <f t="shared" si="4"/>
        <v>0</v>
      </c>
      <c r="M14" s="49">
        <f t="shared" si="4"/>
        <v>0</v>
      </c>
      <c r="N14" s="49">
        <f t="shared" si="4"/>
        <v>0</v>
      </c>
      <c r="O14" s="49">
        <f t="shared" si="4"/>
        <v>0</v>
      </c>
      <c r="P14" s="49">
        <f t="shared" si="4"/>
        <v>0</v>
      </c>
      <c r="Q14" s="49">
        <f t="shared" si="4"/>
        <v>0</v>
      </c>
      <c r="R14" s="49">
        <f t="shared" si="4"/>
        <v>0</v>
      </c>
      <c r="S14" s="49">
        <f t="shared" si="1"/>
        <v>0</v>
      </c>
      <c r="T14" s="49">
        <f t="shared" si="2"/>
        <v>0</v>
      </c>
      <c r="U14" s="49">
        <f>U15+U16+U17</f>
        <v>0</v>
      </c>
      <c r="V14" s="49">
        <f>V15+V16+V17</f>
        <v>0</v>
      </c>
      <c r="W14" s="49">
        <f>W15+W16+W17</f>
        <v>0</v>
      </c>
      <c r="X14" s="49">
        <f>X15+X16+X17</f>
        <v>0</v>
      </c>
    </row>
    <row r="15" spans="1:24" s="17" customFormat="1" x14ac:dyDescent="0.2">
      <c r="A15" s="346"/>
      <c r="B15" s="312"/>
      <c r="C15" s="311" t="s">
        <v>54</v>
      </c>
      <c r="D15" s="312" t="s">
        <v>63</v>
      </c>
      <c r="E15" s="312"/>
      <c r="F15" s="312"/>
      <c r="G15" s="313" t="s">
        <v>512</v>
      </c>
      <c r="H15" s="45"/>
      <c r="I15" s="50"/>
      <c r="J15" s="50"/>
      <c r="K15" s="50"/>
      <c r="L15" s="50"/>
      <c r="M15" s="50"/>
      <c r="N15" s="50"/>
      <c r="O15" s="50"/>
      <c r="P15" s="50"/>
      <c r="Q15" s="50"/>
      <c r="R15" s="50"/>
      <c r="S15" s="49">
        <f t="shared" si="1"/>
        <v>0</v>
      </c>
      <c r="T15" s="49">
        <f t="shared" si="2"/>
        <v>0</v>
      </c>
      <c r="U15" s="50"/>
      <c r="V15" s="50"/>
      <c r="W15" s="50"/>
      <c r="X15" s="50"/>
    </row>
    <row r="16" spans="1:24" s="17" customFormat="1" x14ac:dyDescent="0.2">
      <c r="A16" s="346"/>
      <c r="B16" s="312"/>
      <c r="C16" s="311" t="s">
        <v>55</v>
      </c>
      <c r="D16" s="312" t="s">
        <v>64</v>
      </c>
      <c r="E16" s="312"/>
      <c r="F16" s="312"/>
      <c r="G16" s="313" t="s">
        <v>513</v>
      </c>
      <c r="H16" s="45"/>
      <c r="I16" s="44"/>
      <c r="J16" s="44"/>
      <c r="K16" s="44"/>
      <c r="L16" s="44"/>
      <c r="M16" s="44"/>
      <c r="N16" s="44"/>
      <c r="O16" s="44"/>
      <c r="P16" s="44"/>
      <c r="Q16" s="44"/>
      <c r="R16" s="44"/>
      <c r="S16" s="49">
        <f t="shared" si="1"/>
        <v>0</v>
      </c>
      <c r="T16" s="49">
        <f t="shared" si="2"/>
        <v>0</v>
      </c>
      <c r="U16" s="44"/>
      <c r="V16" s="44"/>
      <c r="W16" s="44"/>
      <c r="X16" s="44"/>
    </row>
    <row r="17" spans="1:26" s="17" customFormat="1" x14ac:dyDescent="0.2">
      <c r="A17" s="346"/>
      <c r="B17" s="312"/>
      <c r="C17" s="311" t="s">
        <v>65</v>
      </c>
      <c r="D17" s="312" t="s">
        <v>66</v>
      </c>
      <c r="E17" s="312"/>
      <c r="F17" s="312"/>
      <c r="G17" s="313" t="s">
        <v>514</v>
      </c>
      <c r="H17" s="45"/>
      <c r="I17" s="44"/>
      <c r="J17" s="44"/>
      <c r="K17" s="44"/>
      <c r="L17" s="44"/>
      <c r="M17" s="44"/>
      <c r="N17" s="44"/>
      <c r="O17" s="44"/>
      <c r="P17" s="44"/>
      <c r="Q17" s="44"/>
      <c r="R17" s="44"/>
      <c r="S17" s="49">
        <f t="shared" ref="S17:T20" si="5">I17-K17+M17-O17+Q17</f>
        <v>0</v>
      </c>
      <c r="T17" s="49">
        <f t="shared" si="5"/>
        <v>0</v>
      </c>
      <c r="U17" s="44"/>
      <c r="V17" s="44"/>
      <c r="W17" s="44"/>
      <c r="X17" s="44"/>
      <c r="Y17" s="20"/>
      <c r="Z17" s="20"/>
    </row>
    <row r="18" spans="1:26" s="17" customFormat="1" x14ac:dyDescent="0.2">
      <c r="A18" s="346" t="s">
        <v>55</v>
      </c>
      <c r="B18" s="312" t="s">
        <v>67</v>
      </c>
      <c r="C18" s="312"/>
      <c r="D18" s="312"/>
      <c r="E18" s="312"/>
      <c r="F18" s="312"/>
      <c r="G18" s="313" t="s">
        <v>515</v>
      </c>
      <c r="H18" s="45"/>
      <c r="I18" s="41">
        <f>I19+I20</f>
        <v>0</v>
      </c>
      <c r="J18" s="41">
        <f t="shared" ref="J18:R18" si="6">J19+J20</f>
        <v>0</v>
      </c>
      <c r="K18" s="41">
        <f t="shared" si="6"/>
        <v>0</v>
      </c>
      <c r="L18" s="41">
        <f t="shared" si="6"/>
        <v>0</v>
      </c>
      <c r="M18" s="41">
        <f t="shared" si="6"/>
        <v>0</v>
      </c>
      <c r="N18" s="41">
        <f t="shared" si="6"/>
        <v>0</v>
      </c>
      <c r="O18" s="41">
        <f t="shared" si="6"/>
        <v>0</v>
      </c>
      <c r="P18" s="41">
        <f t="shared" si="6"/>
        <v>0</v>
      </c>
      <c r="Q18" s="41">
        <f t="shared" si="6"/>
        <v>0</v>
      </c>
      <c r="R18" s="41">
        <f t="shared" si="6"/>
        <v>0</v>
      </c>
      <c r="S18" s="49">
        <f t="shared" si="5"/>
        <v>0</v>
      </c>
      <c r="T18" s="49">
        <f t="shared" si="5"/>
        <v>0</v>
      </c>
      <c r="U18" s="41">
        <f>U19+U20</f>
        <v>0</v>
      </c>
      <c r="V18" s="41">
        <f>V19+V20</f>
        <v>0</v>
      </c>
      <c r="W18" s="41">
        <f>W19+W20</f>
        <v>0</v>
      </c>
      <c r="X18" s="41">
        <f>X19+X20</f>
        <v>0</v>
      </c>
    </row>
    <row r="19" spans="1:26" s="17" customFormat="1" x14ac:dyDescent="0.2">
      <c r="A19" s="346"/>
      <c r="B19" s="312" t="s">
        <v>59</v>
      </c>
      <c r="C19" s="312" t="s">
        <v>68</v>
      </c>
      <c r="D19" s="312"/>
      <c r="E19" s="312"/>
      <c r="F19" s="312"/>
      <c r="G19" s="313" t="s">
        <v>516</v>
      </c>
      <c r="H19" s="45"/>
      <c r="I19" s="44"/>
      <c r="J19" s="44"/>
      <c r="K19" s="44"/>
      <c r="L19" s="44"/>
      <c r="M19" s="44"/>
      <c r="N19" s="44"/>
      <c r="O19" s="44"/>
      <c r="P19" s="44"/>
      <c r="Q19" s="44"/>
      <c r="R19" s="44"/>
      <c r="S19" s="49">
        <f t="shared" si="5"/>
        <v>0</v>
      </c>
      <c r="T19" s="49">
        <f t="shared" si="5"/>
        <v>0</v>
      </c>
      <c r="U19" s="44"/>
      <c r="V19" s="44"/>
      <c r="W19" s="44"/>
      <c r="X19" s="44"/>
    </row>
    <row r="20" spans="1:26" s="17" customFormat="1" x14ac:dyDescent="0.2">
      <c r="A20" s="346"/>
      <c r="B20" s="312" t="s">
        <v>69</v>
      </c>
      <c r="C20" s="312" t="s">
        <v>70</v>
      </c>
      <c r="D20" s="312"/>
      <c r="E20" s="312"/>
      <c r="F20" s="312"/>
      <c r="G20" s="313" t="s">
        <v>517</v>
      </c>
      <c r="H20" s="45"/>
      <c r="I20" s="44"/>
      <c r="J20" s="44"/>
      <c r="K20" s="44"/>
      <c r="L20" s="44"/>
      <c r="M20" s="44"/>
      <c r="N20" s="44"/>
      <c r="O20" s="44"/>
      <c r="P20" s="44"/>
      <c r="Q20" s="44"/>
      <c r="R20" s="44"/>
      <c r="S20" s="49">
        <f t="shared" si="5"/>
        <v>0</v>
      </c>
      <c r="T20" s="49">
        <f t="shared" si="5"/>
        <v>0</v>
      </c>
      <c r="U20" s="44"/>
      <c r="V20" s="44"/>
      <c r="W20" s="44"/>
      <c r="X20" s="44"/>
    </row>
    <row r="21" spans="1:26" s="17" customFormat="1" x14ac:dyDescent="0.2">
      <c r="A21" s="346" t="s">
        <v>65</v>
      </c>
      <c r="B21" s="3" t="s">
        <v>1443</v>
      </c>
      <c r="C21" s="3"/>
      <c r="D21" s="3"/>
      <c r="E21" s="3"/>
      <c r="F21" s="3"/>
      <c r="G21" s="416" t="s">
        <v>518</v>
      </c>
      <c r="H21" s="45"/>
      <c r="I21" s="41">
        <f>I22+I23</f>
        <v>0</v>
      </c>
      <c r="J21" s="41">
        <f t="shared" ref="J21:R21" si="7">J22+J23</f>
        <v>0</v>
      </c>
      <c r="K21" s="41">
        <f t="shared" si="7"/>
        <v>0</v>
      </c>
      <c r="L21" s="41">
        <f t="shared" si="7"/>
        <v>0</v>
      </c>
      <c r="M21" s="41">
        <f t="shared" si="7"/>
        <v>0</v>
      </c>
      <c r="N21" s="41">
        <f t="shared" si="7"/>
        <v>0</v>
      </c>
      <c r="O21" s="41">
        <f t="shared" si="7"/>
        <v>0</v>
      </c>
      <c r="P21" s="41">
        <f t="shared" si="7"/>
        <v>0</v>
      </c>
      <c r="Q21" s="41">
        <f t="shared" si="7"/>
        <v>0</v>
      </c>
      <c r="R21" s="41">
        <f t="shared" si="7"/>
        <v>0</v>
      </c>
      <c r="S21" s="49">
        <f t="shared" ref="S21:T23" si="8">I21-K21+M21-O21+Q21</f>
        <v>0</v>
      </c>
      <c r="T21" s="49">
        <f t="shared" si="8"/>
        <v>0</v>
      </c>
      <c r="U21" s="41">
        <f>U22+U23</f>
        <v>0</v>
      </c>
      <c r="V21" s="41">
        <f>V22+V23</f>
        <v>0</v>
      </c>
      <c r="W21" s="41">
        <f>W22+W23</f>
        <v>0</v>
      </c>
      <c r="X21" s="41">
        <f>X22+X23</f>
        <v>0</v>
      </c>
    </row>
    <row r="22" spans="1:26" s="17" customFormat="1" x14ac:dyDescent="0.2">
      <c r="A22" s="346"/>
      <c r="B22" s="3" t="s">
        <v>59</v>
      </c>
      <c r="C22" s="658" t="s">
        <v>543</v>
      </c>
      <c r="D22" s="659"/>
      <c r="E22" s="659"/>
      <c r="F22" s="660"/>
      <c r="G22" s="416" t="s">
        <v>1441</v>
      </c>
      <c r="H22" s="45"/>
      <c r="I22" s="44"/>
      <c r="J22" s="44"/>
      <c r="K22" s="44"/>
      <c r="L22" s="44"/>
      <c r="M22" s="44"/>
      <c r="N22" s="44"/>
      <c r="O22" s="44"/>
      <c r="P22" s="44"/>
      <c r="Q22" s="44"/>
      <c r="R22" s="44"/>
      <c r="S22" s="49">
        <f t="shared" si="8"/>
        <v>0</v>
      </c>
      <c r="T22" s="49">
        <f t="shared" si="8"/>
        <v>0</v>
      </c>
      <c r="U22" s="44"/>
      <c r="V22" s="44"/>
      <c r="W22" s="44"/>
      <c r="X22" s="44"/>
    </row>
    <row r="23" spans="1:26" s="17" customFormat="1" x14ac:dyDescent="0.2">
      <c r="A23" s="346"/>
      <c r="B23" s="3" t="s">
        <v>61</v>
      </c>
      <c r="C23" s="658" t="s">
        <v>1430</v>
      </c>
      <c r="D23" s="659"/>
      <c r="E23" s="659"/>
      <c r="F23" s="660"/>
      <c r="G23" s="416" t="s">
        <v>1442</v>
      </c>
      <c r="H23" s="45"/>
      <c r="I23" s="44"/>
      <c r="J23" s="44"/>
      <c r="K23" s="44"/>
      <c r="L23" s="44"/>
      <c r="M23" s="44"/>
      <c r="N23" s="44"/>
      <c r="O23" s="44"/>
      <c r="P23" s="44"/>
      <c r="Q23" s="44"/>
      <c r="R23" s="44"/>
      <c r="S23" s="49">
        <f t="shared" si="8"/>
        <v>0</v>
      </c>
      <c r="T23" s="49">
        <f t="shared" si="8"/>
        <v>0</v>
      </c>
      <c r="U23" s="44"/>
      <c r="V23" s="44"/>
      <c r="W23" s="44"/>
      <c r="X23" s="44"/>
    </row>
    <row r="24" spans="1:26" s="17" customFormat="1" x14ac:dyDescent="0.2">
      <c r="A24" s="346" t="s">
        <v>90</v>
      </c>
      <c r="B24" s="312" t="s">
        <v>73</v>
      </c>
      <c r="C24" s="312"/>
      <c r="D24" s="312"/>
      <c r="E24" s="312"/>
      <c r="F24" s="312"/>
      <c r="G24" s="313" t="s">
        <v>519</v>
      </c>
      <c r="H24" s="45"/>
      <c r="I24" s="41">
        <f>I25+I26</f>
        <v>0</v>
      </c>
      <c r="J24" s="41">
        <f t="shared" ref="J24:R24" si="9">J25+J26</f>
        <v>0</v>
      </c>
      <c r="K24" s="41">
        <f t="shared" si="9"/>
        <v>0</v>
      </c>
      <c r="L24" s="41">
        <f t="shared" si="9"/>
        <v>0</v>
      </c>
      <c r="M24" s="41">
        <f t="shared" si="9"/>
        <v>0</v>
      </c>
      <c r="N24" s="41">
        <f t="shared" si="9"/>
        <v>0</v>
      </c>
      <c r="O24" s="41">
        <f t="shared" si="9"/>
        <v>0</v>
      </c>
      <c r="P24" s="41">
        <f t="shared" si="9"/>
        <v>0</v>
      </c>
      <c r="Q24" s="41">
        <f t="shared" si="9"/>
        <v>0</v>
      </c>
      <c r="R24" s="41">
        <f t="shared" si="9"/>
        <v>0</v>
      </c>
      <c r="S24" s="49">
        <f t="shared" ref="S24:T26" si="10">I24-K24+M24-O24+Q24</f>
        <v>0</v>
      </c>
      <c r="T24" s="49">
        <f t="shared" si="10"/>
        <v>0</v>
      </c>
      <c r="U24" s="41">
        <f>U25+U26</f>
        <v>0</v>
      </c>
      <c r="V24" s="41">
        <f>V25+V26</f>
        <v>0</v>
      </c>
      <c r="W24" s="41">
        <f>W25+W26</f>
        <v>0</v>
      </c>
      <c r="X24" s="41">
        <f>X25+X26</f>
        <v>0</v>
      </c>
    </row>
    <row r="25" spans="1:26" s="17" customFormat="1" x14ac:dyDescent="0.2">
      <c r="A25" s="346"/>
      <c r="B25" s="312" t="s">
        <v>59</v>
      </c>
      <c r="C25" s="312" t="s">
        <v>1451</v>
      </c>
      <c r="D25" s="312"/>
      <c r="E25" s="312"/>
      <c r="F25" s="312"/>
      <c r="G25" s="313" t="s">
        <v>521</v>
      </c>
      <c r="H25" s="45"/>
      <c r="I25" s="44"/>
      <c r="J25" s="44"/>
      <c r="K25" s="44"/>
      <c r="L25" s="44"/>
      <c r="M25" s="44"/>
      <c r="N25" s="44"/>
      <c r="O25" s="44"/>
      <c r="P25" s="44"/>
      <c r="Q25" s="44"/>
      <c r="R25" s="44"/>
      <c r="S25" s="49">
        <f t="shared" si="10"/>
        <v>0</v>
      </c>
      <c r="T25" s="49">
        <f t="shared" si="10"/>
        <v>0</v>
      </c>
      <c r="U25" s="44"/>
      <c r="V25" s="44"/>
      <c r="W25" s="44"/>
      <c r="X25" s="44"/>
    </row>
    <row r="26" spans="1:26" s="17" customFormat="1" x14ac:dyDescent="0.2">
      <c r="A26" s="346"/>
      <c r="B26" s="312" t="s">
        <v>69</v>
      </c>
      <c r="C26" s="312" t="s">
        <v>1452</v>
      </c>
      <c r="D26" s="312"/>
      <c r="E26" s="312"/>
      <c r="F26" s="312"/>
      <c r="G26" s="313" t="s">
        <v>522</v>
      </c>
      <c r="H26" s="45"/>
      <c r="I26" s="44"/>
      <c r="J26" s="44"/>
      <c r="K26" s="44"/>
      <c r="L26" s="44"/>
      <c r="M26" s="44"/>
      <c r="N26" s="44"/>
      <c r="O26" s="44"/>
      <c r="P26" s="44"/>
      <c r="Q26" s="44"/>
      <c r="R26" s="44"/>
      <c r="S26" s="49">
        <f t="shared" si="10"/>
        <v>0</v>
      </c>
      <c r="T26" s="49">
        <f t="shared" si="10"/>
        <v>0</v>
      </c>
      <c r="U26" s="44"/>
      <c r="V26" s="44"/>
      <c r="W26" s="44"/>
      <c r="X26" s="44"/>
    </row>
    <row r="27" spans="1:26" s="17" customFormat="1" x14ac:dyDescent="0.2">
      <c r="A27" s="346" t="s">
        <v>257</v>
      </c>
      <c r="B27" s="312" t="s">
        <v>983</v>
      </c>
      <c r="C27" s="312"/>
      <c r="D27" s="312"/>
      <c r="E27" s="312"/>
      <c r="F27" s="312"/>
      <c r="G27" s="313" t="s">
        <v>523</v>
      </c>
      <c r="H27" s="45"/>
      <c r="I27" s="44"/>
      <c r="J27" s="44"/>
      <c r="K27" s="44"/>
      <c r="L27" s="44"/>
      <c r="M27" s="44"/>
      <c r="N27" s="44"/>
      <c r="O27" s="44"/>
      <c r="P27" s="44"/>
      <c r="Q27" s="44"/>
      <c r="R27" s="44"/>
      <c r="S27" s="49">
        <f t="shared" ref="S27:S45" si="11">I27-K27+M27-O27+Q27</f>
        <v>0</v>
      </c>
      <c r="T27" s="49">
        <f t="shared" si="2"/>
        <v>0</v>
      </c>
      <c r="U27" s="44"/>
      <c r="V27" s="44"/>
      <c r="W27" s="44"/>
      <c r="X27" s="44"/>
    </row>
    <row r="28" spans="1:26" s="17" customFormat="1" x14ac:dyDescent="0.2">
      <c r="A28" s="346" t="s">
        <v>74</v>
      </c>
      <c r="B28" s="312" t="s">
        <v>77</v>
      </c>
      <c r="C28" s="312"/>
      <c r="D28" s="312"/>
      <c r="E28" s="312"/>
      <c r="F28" s="312"/>
      <c r="G28" s="313" t="s">
        <v>524</v>
      </c>
      <c r="H28" s="45"/>
      <c r="I28" s="41">
        <f t="shared" ref="I28:R28" si="12">I29+I30</f>
        <v>0</v>
      </c>
      <c r="J28" s="41">
        <f t="shared" si="12"/>
        <v>0</v>
      </c>
      <c r="K28" s="41">
        <f t="shared" si="12"/>
        <v>0</v>
      </c>
      <c r="L28" s="41">
        <f t="shared" si="12"/>
        <v>0</v>
      </c>
      <c r="M28" s="41">
        <f t="shared" si="12"/>
        <v>0</v>
      </c>
      <c r="N28" s="41">
        <f t="shared" si="12"/>
        <v>0</v>
      </c>
      <c r="O28" s="41">
        <f t="shared" si="12"/>
        <v>0</v>
      </c>
      <c r="P28" s="41">
        <f t="shared" si="12"/>
        <v>0</v>
      </c>
      <c r="Q28" s="41">
        <f t="shared" si="12"/>
        <v>0</v>
      </c>
      <c r="R28" s="41">
        <f t="shared" si="12"/>
        <v>0</v>
      </c>
      <c r="S28" s="49">
        <f t="shared" si="11"/>
        <v>0</v>
      </c>
      <c r="T28" s="49">
        <f t="shared" si="2"/>
        <v>0</v>
      </c>
      <c r="U28" s="41">
        <f>U29+U30</f>
        <v>0</v>
      </c>
      <c r="V28" s="41">
        <f>V29+V30</f>
        <v>0</v>
      </c>
      <c r="W28" s="41">
        <f>W29+W30</f>
        <v>0</v>
      </c>
      <c r="X28" s="41">
        <f>X29+X30</f>
        <v>0</v>
      </c>
    </row>
    <row r="29" spans="1:26" s="17" customFormat="1" x14ac:dyDescent="0.2">
      <c r="A29" s="346"/>
      <c r="B29" s="312" t="s">
        <v>59</v>
      </c>
      <c r="C29" s="312" t="s">
        <v>78</v>
      </c>
      <c r="D29" s="312"/>
      <c r="E29" s="312"/>
      <c r="F29" s="312"/>
      <c r="G29" s="313" t="s">
        <v>525</v>
      </c>
      <c r="H29" s="45"/>
      <c r="I29" s="44"/>
      <c r="J29" s="44"/>
      <c r="K29" s="44"/>
      <c r="L29" s="44"/>
      <c r="M29" s="44"/>
      <c r="N29" s="44"/>
      <c r="O29" s="44"/>
      <c r="P29" s="44"/>
      <c r="Q29" s="44"/>
      <c r="R29" s="44"/>
      <c r="S29" s="49">
        <f t="shared" si="11"/>
        <v>0</v>
      </c>
      <c r="T29" s="49">
        <f t="shared" si="2"/>
        <v>0</v>
      </c>
      <c r="U29" s="44"/>
      <c r="V29" s="44"/>
      <c r="W29" s="44"/>
      <c r="X29" s="44"/>
    </row>
    <row r="30" spans="1:26" s="17" customFormat="1" x14ac:dyDescent="0.2">
      <c r="A30" s="346"/>
      <c r="B30" s="312" t="s">
        <v>61</v>
      </c>
      <c r="C30" s="312" t="s">
        <v>66</v>
      </c>
      <c r="D30" s="312"/>
      <c r="E30" s="312"/>
      <c r="F30" s="312"/>
      <c r="G30" s="313" t="s">
        <v>526</v>
      </c>
      <c r="H30" s="45"/>
      <c r="I30" s="44"/>
      <c r="J30" s="44"/>
      <c r="K30" s="44"/>
      <c r="L30" s="44"/>
      <c r="M30" s="44"/>
      <c r="N30" s="44"/>
      <c r="O30" s="44"/>
      <c r="P30" s="44"/>
      <c r="Q30" s="44"/>
      <c r="R30" s="44"/>
      <c r="S30" s="49">
        <f t="shared" si="11"/>
        <v>0</v>
      </c>
      <c r="T30" s="49">
        <f t="shared" si="2"/>
        <v>0</v>
      </c>
      <c r="U30" s="44"/>
      <c r="V30" s="44"/>
      <c r="W30" s="44"/>
      <c r="X30" s="44"/>
    </row>
    <row r="31" spans="1:26" s="17" customFormat="1" x14ac:dyDescent="0.2">
      <c r="A31" s="346" t="s">
        <v>76</v>
      </c>
      <c r="B31" s="640" t="s">
        <v>982</v>
      </c>
      <c r="C31" s="640"/>
      <c r="D31" s="640"/>
      <c r="E31" s="640"/>
      <c r="F31" s="640"/>
      <c r="G31" s="313" t="s">
        <v>527</v>
      </c>
      <c r="H31" s="45"/>
      <c r="I31" s="44"/>
      <c r="J31" s="44"/>
      <c r="K31" s="44"/>
      <c r="L31" s="44"/>
      <c r="M31" s="44"/>
      <c r="N31" s="44"/>
      <c r="O31" s="44"/>
      <c r="P31" s="44"/>
      <c r="Q31" s="44"/>
      <c r="R31" s="44"/>
      <c r="S31" s="49">
        <f t="shared" si="11"/>
        <v>0</v>
      </c>
      <c r="T31" s="49">
        <f t="shared" si="2"/>
        <v>0</v>
      </c>
      <c r="U31" s="44"/>
      <c r="V31" s="44"/>
      <c r="W31" s="44"/>
      <c r="X31" s="44"/>
    </row>
    <row r="32" spans="1:26" s="17" customFormat="1" x14ac:dyDescent="0.2">
      <c r="A32" s="346" t="s">
        <v>79</v>
      </c>
      <c r="B32" s="312" t="s">
        <v>1467</v>
      </c>
      <c r="C32" s="312"/>
      <c r="D32" s="312"/>
      <c r="E32" s="312"/>
      <c r="F32" s="312"/>
      <c r="G32" s="313" t="s">
        <v>528</v>
      </c>
      <c r="H32" s="45"/>
      <c r="I32" s="41">
        <f>I33+I34+I37+I38</f>
        <v>0</v>
      </c>
      <c r="J32" s="41">
        <f t="shared" ref="J32:R32" si="13">J33+J34+J37+J38</f>
        <v>0</v>
      </c>
      <c r="K32" s="41">
        <f t="shared" si="13"/>
        <v>0</v>
      </c>
      <c r="L32" s="41">
        <f t="shared" si="13"/>
        <v>0</v>
      </c>
      <c r="M32" s="41">
        <f t="shared" si="13"/>
        <v>0</v>
      </c>
      <c r="N32" s="41">
        <f t="shared" si="13"/>
        <v>0</v>
      </c>
      <c r="O32" s="41">
        <f t="shared" si="13"/>
        <v>0</v>
      </c>
      <c r="P32" s="41">
        <f t="shared" si="13"/>
        <v>0</v>
      </c>
      <c r="Q32" s="41">
        <f t="shared" si="13"/>
        <v>0</v>
      </c>
      <c r="R32" s="41">
        <f t="shared" si="13"/>
        <v>0</v>
      </c>
      <c r="S32" s="49">
        <f t="shared" si="11"/>
        <v>0</v>
      </c>
      <c r="T32" s="49">
        <f t="shared" si="2"/>
        <v>0</v>
      </c>
      <c r="U32" s="41">
        <f>U33+U34+U37+U38</f>
        <v>0</v>
      </c>
      <c r="V32" s="41">
        <f>V33+V34+V37+V38</f>
        <v>0</v>
      </c>
      <c r="W32" s="41">
        <f>W33+W34+W37+W38</f>
        <v>0</v>
      </c>
      <c r="X32" s="41">
        <f>X33+X34+X37+X38</f>
        <v>0</v>
      </c>
    </row>
    <row r="33" spans="1:24" s="17" customFormat="1" x14ac:dyDescent="0.2">
      <c r="A33" s="346"/>
      <c r="B33" s="312" t="s">
        <v>59</v>
      </c>
      <c r="C33" s="312" t="s">
        <v>82</v>
      </c>
      <c r="D33" s="312"/>
      <c r="E33" s="312"/>
      <c r="F33" s="312"/>
      <c r="G33" s="313" t="s">
        <v>529</v>
      </c>
      <c r="H33" s="45"/>
      <c r="I33" s="44"/>
      <c r="J33" s="44"/>
      <c r="K33" s="44"/>
      <c r="L33" s="44"/>
      <c r="M33" s="44"/>
      <c r="N33" s="44"/>
      <c r="O33" s="44"/>
      <c r="P33" s="44"/>
      <c r="Q33" s="44"/>
      <c r="R33" s="44"/>
      <c r="S33" s="49">
        <f t="shared" si="11"/>
        <v>0</v>
      </c>
      <c r="T33" s="49">
        <f t="shared" si="2"/>
        <v>0</v>
      </c>
      <c r="U33" s="44"/>
      <c r="V33" s="44"/>
      <c r="W33" s="44"/>
      <c r="X33" s="44"/>
    </row>
    <row r="34" spans="1:24" s="17" customFormat="1" x14ac:dyDescent="0.2">
      <c r="A34" s="346"/>
      <c r="B34" s="312" t="s">
        <v>61</v>
      </c>
      <c r="C34" s="662" t="s">
        <v>1457</v>
      </c>
      <c r="D34" s="662"/>
      <c r="E34" s="662"/>
      <c r="F34" s="663"/>
      <c r="G34" s="313" t="s">
        <v>530</v>
      </c>
      <c r="H34" s="45"/>
      <c r="I34" s="41">
        <f>I35+I36</f>
        <v>0</v>
      </c>
      <c r="J34" s="41">
        <f t="shared" ref="J34:R34" si="14">J35+J36</f>
        <v>0</v>
      </c>
      <c r="K34" s="41">
        <f t="shared" si="14"/>
        <v>0</v>
      </c>
      <c r="L34" s="41">
        <f t="shared" si="14"/>
        <v>0</v>
      </c>
      <c r="M34" s="41">
        <f t="shared" si="14"/>
        <v>0</v>
      </c>
      <c r="N34" s="41">
        <f t="shared" si="14"/>
        <v>0</v>
      </c>
      <c r="O34" s="41">
        <f t="shared" si="14"/>
        <v>0</v>
      </c>
      <c r="P34" s="41">
        <f t="shared" si="14"/>
        <v>0</v>
      </c>
      <c r="Q34" s="41">
        <f t="shared" si="14"/>
        <v>0</v>
      </c>
      <c r="R34" s="41">
        <f t="shared" si="14"/>
        <v>0</v>
      </c>
      <c r="S34" s="41">
        <f t="shared" si="11"/>
        <v>0</v>
      </c>
      <c r="T34" s="41">
        <f>J34-L34+N34-P34+R34</f>
        <v>0</v>
      </c>
      <c r="U34" s="41">
        <f>U35+U36</f>
        <v>0</v>
      </c>
      <c r="V34" s="41">
        <f>V35+V36</f>
        <v>0</v>
      </c>
      <c r="W34" s="41">
        <f>W35+W36</f>
        <v>0</v>
      </c>
      <c r="X34" s="41">
        <f>X35+X36</f>
        <v>0</v>
      </c>
    </row>
    <row r="35" spans="1:24" s="17" customFormat="1" x14ac:dyDescent="0.2">
      <c r="A35" s="617"/>
      <c r="B35" s="556"/>
      <c r="C35" s="312" t="s">
        <v>54</v>
      </c>
      <c r="D35" s="312" t="s">
        <v>83</v>
      </c>
      <c r="E35" s="312"/>
      <c r="F35" s="312"/>
      <c r="G35" s="618" t="s">
        <v>1461</v>
      </c>
      <c r="H35" s="45"/>
      <c r="I35" s="44"/>
      <c r="J35" s="44"/>
      <c r="K35" s="44"/>
      <c r="L35" s="44"/>
      <c r="M35" s="44"/>
      <c r="N35" s="44"/>
      <c r="O35" s="44"/>
      <c r="P35" s="44"/>
      <c r="Q35" s="44"/>
      <c r="R35" s="44"/>
      <c r="S35" s="49">
        <f t="shared" si="11"/>
        <v>0</v>
      </c>
      <c r="T35" s="49">
        <f>J35-L35+N35-P35+R35</f>
        <v>0</v>
      </c>
      <c r="U35" s="44"/>
      <c r="V35" s="44"/>
      <c r="W35" s="44"/>
      <c r="X35" s="44"/>
    </row>
    <row r="36" spans="1:24" s="17" customFormat="1" x14ac:dyDescent="0.2">
      <c r="A36" s="617"/>
      <c r="B36" s="556"/>
      <c r="C36" s="312" t="s">
        <v>55</v>
      </c>
      <c r="D36" s="312" t="s">
        <v>1458</v>
      </c>
      <c r="E36" s="312"/>
      <c r="F36" s="312"/>
      <c r="G36" s="618" t="s">
        <v>1462</v>
      </c>
      <c r="H36" s="45"/>
      <c r="I36" s="44"/>
      <c r="J36" s="44"/>
      <c r="K36" s="44"/>
      <c r="L36" s="44"/>
      <c r="M36" s="44"/>
      <c r="N36" s="44"/>
      <c r="O36" s="44"/>
      <c r="P36" s="44"/>
      <c r="Q36" s="44"/>
      <c r="R36" s="44"/>
      <c r="S36" s="49">
        <f t="shared" si="11"/>
        <v>0</v>
      </c>
      <c r="T36" s="49">
        <f>J36-L36+N36-P36+R36</f>
        <v>0</v>
      </c>
      <c r="U36" s="44"/>
      <c r="V36" s="44"/>
      <c r="W36" s="44"/>
      <c r="X36" s="44"/>
    </row>
    <row r="37" spans="1:24" s="17" customFormat="1" x14ac:dyDescent="0.2">
      <c r="A37" s="346"/>
      <c r="B37" s="3" t="s">
        <v>71</v>
      </c>
      <c r="C37" s="3" t="s">
        <v>1468</v>
      </c>
      <c r="D37" s="3"/>
      <c r="E37" s="3"/>
      <c r="F37" s="3"/>
      <c r="G37" s="416" t="s">
        <v>1444</v>
      </c>
      <c r="H37" s="45"/>
      <c r="I37" s="44"/>
      <c r="J37" s="44"/>
      <c r="K37" s="44"/>
      <c r="L37" s="44"/>
      <c r="M37" s="44"/>
      <c r="N37" s="44"/>
      <c r="O37" s="44"/>
      <c r="P37" s="44"/>
      <c r="Q37" s="44"/>
      <c r="R37" s="44"/>
      <c r="S37" s="49">
        <f t="shared" si="11"/>
        <v>0</v>
      </c>
      <c r="T37" s="49">
        <f>J37-L37+N37-P37+R37</f>
        <v>0</v>
      </c>
      <c r="U37" s="44"/>
      <c r="V37" s="44"/>
      <c r="W37" s="44"/>
      <c r="X37" s="44"/>
    </row>
    <row r="38" spans="1:24" s="17" customFormat="1" x14ac:dyDescent="0.2">
      <c r="A38" s="346"/>
      <c r="B38" s="312" t="s">
        <v>1433</v>
      </c>
      <c r="C38" s="312" t="s">
        <v>52</v>
      </c>
      <c r="D38" s="312"/>
      <c r="E38" s="312"/>
      <c r="F38" s="312"/>
      <c r="G38" s="313" t="s">
        <v>531</v>
      </c>
      <c r="H38" s="45"/>
      <c r="I38" s="44"/>
      <c r="J38" s="44"/>
      <c r="K38" s="44"/>
      <c r="L38" s="44"/>
      <c r="M38" s="44"/>
      <c r="N38" s="44"/>
      <c r="O38" s="44"/>
      <c r="P38" s="44"/>
      <c r="Q38" s="44"/>
      <c r="R38" s="44"/>
      <c r="S38" s="49">
        <f t="shared" si="11"/>
        <v>0</v>
      </c>
      <c r="T38" s="49">
        <f t="shared" si="2"/>
        <v>0</v>
      </c>
      <c r="U38" s="44"/>
      <c r="V38" s="44"/>
      <c r="W38" s="44"/>
      <c r="X38" s="44"/>
    </row>
    <row r="39" spans="1:24" s="17" customFormat="1" x14ac:dyDescent="0.2">
      <c r="A39" s="346" t="s">
        <v>81</v>
      </c>
      <c r="B39" s="312" t="s">
        <v>85</v>
      </c>
      <c r="C39" s="312"/>
      <c r="D39" s="312"/>
      <c r="E39" s="312"/>
      <c r="F39" s="312"/>
      <c r="G39" s="313" t="s">
        <v>532</v>
      </c>
      <c r="H39" s="45"/>
      <c r="I39" s="44"/>
      <c r="J39" s="44"/>
      <c r="K39" s="44"/>
      <c r="L39" s="44"/>
      <c r="M39" s="44"/>
      <c r="N39" s="44"/>
      <c r="O39" s="44"/>
      <c r="P39" s="44"/>
      <c r="Q39" s="44"/>
      <c r="R39" s="44"/>
      <c r="S39" s="49">
        <f t="shared" si="11"/>
        <v>0</v>
      </c>
      <c r="T39" s="49">
        <f t="shared" si="2"/>
        <v>0</v>
      </c>
      <c r="U39" s="44"/>
      <c r="V39" s="44"/>
      <c r="W39" s="44"/>
      <c r="X39" s="44"/>
    </row>
    <row r="40" spans="1:24" s="17" customFormat="1" x14ac:dyDescent="0.2">
      <c r="A40" s="223" t="s">
        <v>86</v>
      </c>
      <c r="B40" s="312"/>
      <c r="C40" s="312"/>
      <c r="D40" s="312"/>
      <c r="E40" s="312"/>
      <c r="F40" s="312"/>
      <c r="G40" s="313" t="s">
        <v>533</v>
      </c>
      <c r="H40" s="45"/>
      <c r="I40" s="41">
        <f t="shared" ref="I40:R40" si="15">I41+I42+I43+I44</f>
        <v>0</v>
      </c>
      <c r="J40" s="41">
        <f t="shared" si="15"/>
        <v>0</v>
      </c>
      <c r="K40" s="41">
        <f t="shared" si="15"/>
        <v>0</v>
      </c>
      <c r="L40" s="41">
        <f t="shared" si="15"/>
        <v>0</v>
      </c>
      <c r="M40" s="41">
        <f t="shared" si="15"/>
        <v>0</v>
      </c>
      <c r="N40" s="41">
        <f t="shared" si="15"/>
        <v>0</v>
      </c>
      <c r="O40" s="41">
        <f t="shared" si="15"/>
        <v>0</v>
      </c>
      <c r="P40" s="41">
        <f t="shared" si="15"/>
        <v>0</v>
      </c>
      <c r="Q40" s="41">
        <f t="shared" si="15"/>
        <v>0</v>
      </c>
      <c r="R40" s="41">
        <f t="shared" si="15"/>
        <v>0</v>
      </c>
      <c r="S40" s="49">
        <f t="shared" si="11"/>
        <v>0</v>
      </c>
      <c r="T40" s="49">
        <f t="shared" si="2"/>
        <v>0</v>
      </c>
      <c r="U40" s="41">
        <f>U41+U42+U43+U44</f>
        <v>0</v>
      </c>
      <c r="V40" s="41">
        <f>V41+V42+V43+V44</f>
        <v>0</v>
      </c>
      <c r="W40" s="41">
        <f>W41+W42+W43+W44</f>
        <v>0</v>
      </c>
      <c r="X40" s="41">
        <f>X41+X42+X43+X44</f>
        <v>0</v>
      </c>
    </row>
    <row r="41" spans="1:24" s="17" customFormat="1" x14ac:dyDescent="0.2">
      <c r="A41" s="348" t="s">
        <v>54</v>
      </c>
      <c r="B41" s="225" t="s">
        <v>87</v>
      </c>
      <c r="C41" s="312"/>
      <c r="D41" s="312"/>
      <c r="E41" s="312"/>
      <c r="F41" s="312"/>
      <c r="G41" s="313" t="s">
        <v>534</v>
      </c>
      <c r="H41" s="45"/>
      <c r="I41" s="44"/>
      <c r="J41" s="44"/>
      <c r="K41" s="44"/>
      <c r="L41" s="44"/>
      <c r="M41" s="44"/>
      <c r="N41" s="44"/>
      <c r="O41" s="44"/>
      <c r="P41" s="44"/>
      <c r="Q41" s="44"/>
      <c r="R41" s="44"/>
      <c r="S41" s="49">
        <f t="shared" si="11"/>
        <v>0</v>
      </c>
      <c r="T41" s="49">
        <f t="shared" si="2"/>
        <v>0</v>
      </c>
      <c r="U41" s="44"/>
      <c r="V41" s="44"/>
      <c r="W41" s="44"/>
      <c r="X41" s="44"/>
    </row>
    <row r="42" spans="1:24" s="17" customFormat="1" x14ac:dyDescent="0.2">
      <c r="A42" s="348" t="s">
        <v>55</v>
      </c>
      <c r="B42" s="225" t="s">
        <v>88</v>
      </c>
      <c r="C42" s="312"/>
      <c r="D42" s="312"/>
      <c r="E42" s="312"/>
      <c r="F42" s="312"/>
      <c r="G42" s="313" t="s">
        <v>535</v>
      </c>
      <c r="H42" s="45"/>
      <c r="I42" s="44"/>
      <c r="J42" s="44"/>
      <c r="K42" s="44"/>
      <c r="L42" s="44"/>
      <c r="M42" s="44"/>
      <c r="N42" s="44"/>
      <c r="O42" s="44"/>
      <c r="P42" s="44"/>
      <c r="Q42" s="44"/>
      <c r="R42" s="44"/>
      <c r="S42" s="49">
        <f t="shared" si="11"/>
        <v>0</v>
      </c>
      <c r="T42" s="49">
        <f t="shared" si="2"/>
        <v>0</v>
      </c>
      <c r="U42" s="44"/>
      <c r="V42" s="44"/>
      <c r="W42" s="44"/>
      <c r="X42" s="44"/>
    </row>
    <row r="43" spans="1:24" s="17" customFormat="1" x14ac:dyDescent="0.2">
      <c r="A43" s="348" t="s">
        <v>65</v>
      </c>
      <c r="B43" s="312" t="s">
        <v>89</v>
      </c>
      <c r="C43" s="312"/>
      <c r="D43" s="312"/>
      <c r="E43" s="312"/>
      <c r="F43" s="312"/>
      <c r="G43" s="313" t="s">
        <v>536</v>
      </c>
      <c r="H43" s="45"/>
      <c r="I43" s="44"/>
      <c r="J43" s="44"/>
      <c r="K43" s="44"/>
      <c r="L43" s="44"/>
      <c r="M43" s="44"/>
      <c r="N43" s="44"/>
      <c r="O43" s="44"/>
      <c r="P43" s="44"/>
      <c r="Q43" s="44"/>
      <c r="R43" s="44"/>
      <c r="S43" s="49">
        <f t="shared" si="11"/>
        <v>0</v>
      </c>
      <c r="T43" s="49">
        <f t="shared" si="2"/>
        <v>0</v>
      </c>
      <c r="U43" s="44"/>
      <c r="V43" s="44"/>
      <c r="W43" s="44"/>
      <c r="X43" s="44"/>
    </row>
    <row r="44" spans="1:24" s="17" customFormat="1" x14ac:dyDescent="0.2">
      <c r="A44" s="348" t="s">
        <v>90</v>
      </c>
      <c r="B44" s="312" t="s">
        <v>91</v>
      </c>
      <c r="C44" s="312"/>
      <c r="D44" s="312"/>
      <c r="E44" s="312"/>
      <c r="F44" s="312"/>
      <c r="G44" s="313" t="s">
        <v>537</v>
      </c>
      <c r="H44" s="45"/>
      <c r="I44" s="44"/>
      <c r="J44" s="44"/>
      <c r="K44" s="44"/>
      <c r="L44" s="44"/>
      <c r="M44" s="44"/>
      <c r="N44" s="44"/>
      <c r="O44" s="44"/>
      <c r="P44" s="44"/>
      <c r="Q44" s="44"/>
      <c r="R44" s="44"/>
      <c r="S44" s="49">
        <f t="shared" si="11"/>
        <v>0</v>
      </c>
      <c r="T44" s="49">
        <f t="shared" si="2"/>
        <v>0</v>
      </c>
      <c r="U44" s="44"/>
      <c r="V44" s="44"/>
      <c r="W44" s="44"/>
      <c r="X44" s="44"/>
    </row>
    <row r="45" spans="1:24" s="20" customFormat="1" x14ac:dyDescent="0.2">
      <c r="A45" s="307" t="s">
        <v>140</v>
      </c>
      <c r="B45" s="371"/>
      <c r="C45" s="330"/>
      <c r="D45" s="322"/>
      <c r="E45" s="367"/>
      <c r="F45" s="303"/>
      <c r="G45" s="313" t="s">
        <v>538</v>
      </c>
      <c r="H45" s="115"/>
      <c r="I45" s="41">
        <f t="shared" ref="I45:R45" si="16">I40+I10</f>
        <v>0</v>
      </c>
      <c r="J45" s="41">
        <f t="shared" si="16"/>
        <v>0</v>
      </c>
      <c r="K45" s="41">
        <f t="shared" si="16"/>
        <v>0</v>
      </c>
      <c r="L45" s="41">
        <f t="shared" si="16"/>
        <v>0</v>
      </c>
      <c r="M45" s="41">
        <f t="shared" si="16"/>
        <v>0</v>
      </c>
      <c r="N45" s="41">
        <f t="shared" si="16"/>
        <v>0</v>
      </c>
      <c r="O45" s="41">
        <f t="shared" si="16"/>
        <v>0</v>
      </c>
      <c r="P45" s="41">
        <f t="shared" si="16"/>
        <v>0</v>
      </c>
      <c r="Q45" s="41">
        <f t="shared" si="16"/>
        <v>0</v>
      </c>
      <c r="R45" s="41">
        <f t="shared" si="16"/>
        <v>0</v>
      </c>
      <c r="S45" s="49">
        <f t="shared" si="11"/>
        <v>0</v>
      </c>
      <c r="T45" s="49">
        <f t="shared" si="2"/>
        <v>0</v>
      </c>
      <c r="U45" s="41">
        <f>U40+U10</f>
        <v>0</v>
      </c>
      <c r="V45" s="41">
        <f>V40+V10</f>
        <v>0</v>
      </c>
      <c r="W45" s="41">
        <f>W40+W10</f>
        <v>0</v>
      </c>
      <c r="X45" s="41">
        <f>X40+X10</f>
        <v>0</v>
      </c>
    </row>
    <row r="46" spans="1:24" x14ac:dyDescent="0.2">
      <c r="G46" s="230" t="s">
        <v>108</v>
      </c>
      <c r="I46" s="42"/>
      <c r="J46" s="42"/>
      <c r="K46" s="42"/>
      <c r="L46" s="42"/>
      <c r="M46" s="42"/>
      <c r="N46" s="42"/>
      <c r="O46" s="42"/>
      <c r="P46" s="42"/>
      <c r="Q46" s="203"/>
      <c r="R46" s="203"/>
      <c r="S46" s="42"/>
      <c r="T46" s="42"/>
      <c r="U46" s="42"/>
      <c r="V46" s="42"/>
      <c r="W46" s="5"/>
      <c r="X46" s="5"/>
    </row>
    <row r="47" spans="1:24" x14ac:dyDescent="0.2">
      <c r="I47" s="42"/>
      <c r="J47" s="42"/>
      <c r="K47" s="42"/>
      <c r="L47" s="42"/>
      <c r="M47" s="42"/>
      <c r="N47" s="42"/>
      <c r="O47" s="42"/>
      <c r="P47" s="42"/>
      <c r="Q47" s="203"/>
      <c r="R47" s="203"/>
      <c r="S47" s="42"/>
      <c r="T47" s="42"/>
      <c r="U47" s="42"/>
      <c r="V47" s="42"/>
      <c r="W47" s="42"/>
      <c r="X47" s="42"/>
    </row>
    <row r="48" spans="1:24" x14ac:dyDescent="0.2">
      <c r="I48" s="42"/>
      <c r="J48" s="42"/>
      <c r="K48" s="42"/>
      <c r="L48" s="42"/>
      <c r="M48" s="42"/>
      <c r="N48" s="42"/>
      <c r="O48" s="42"/>
      <c r="P48" s="42"/>
      <c r="Q48" s="203"/>
      <c r="R48" s="203"/>
      <c r="S48" s="42"/>
      <c r="T48" s="42"/>
      <c r="U48" s="42"/>
      <c r="V48" s="42"/>
      <c r="W48" s="42"/>
      <c r="X48" s="42"/>
    </row>
    <row r="49" spans="9:24" x14ac:dyDescent="0.2">
      <c r="I49" s="42"/>
      <c r="J49" s="42"/>
      <c r="K49" s="42"/>
      <c r="L49" s="42"/>
      <c r="M49" s="42"/>
      <c r="N49" s="42"/>
      <c r="O49" s="42"/>
      <c r="P49" s="42"/>
      <c r="Q49" s="203"/>
      <c r="R49" s="203"/>
      <c r="S49" s="42"/>
      <c r="T49" s="42"/>
      <c r="U49" s="42"/>
      <c r="V49" s="42"/>
      <c r="W49" s="42"/>
      <c r="X49" s="42"/>
    </row>
  </sheetData>
  <sheetProtection password="FCFA" sheet="1" objects="1" scenarios="1" selectLockedCells="1"/>
  <mergeCells count="18">
    <mergeCell ref="A1:X1"/>
    <mergeCell ref="A2:X2"/>
    <mergeCell ref="A3:X3"/>
    <mergeCell ref="I5:J7"/>
    <mergeCell ref="K5:L7"/>
    <mergeCell ref="C34:F34"/>
    <mergeCell ref="C23:F23"/>
    <mergeCell ref="M5:N7"/>
    <mergeCell ref="O5:P7"/>
    <mergeCell ref="Q5:R7"/>
    <mergeCell ref="U5:V7"/>
    <mergeCell ref="W5:X7"/>
    <mergeCell ref="A8:X8"/>
    <mergeCell ref="B31:F31"/>
    <mergeCell ref="A5:F7"/>
    <mergeCell ref="G5:G7"/>
    <mergeCell ref="S5:T7"/>
    <mergeCell ref="C22:F22"/>
  </mergeCells>
  <phoneticPr fontId="2" type="noConversion"/>
  <dataValidations count="2">
    <dataValidation type="decimal" allowBlank="1" showInputMessage="1" showErrorMessage="1" sqref="I25:P27 I29:P31 I22:P23 I41:P44 I12:P13 I15:P17 I19:P20 I33:P39">
      <formula1>0</formula1>
      <formula2>99999999999999900</formula2>
    </dataValidation>
    <dataValidation type="decimal" operator="greaterThanOrEqual" allowBlank="1" showInputMessage="1" showErrorMessage="1" sqref="U22:X23 Q19:R20 Q1:R10 U12:X17 Q12:R17 U10:X10 U19:X20 Q22:R23 Q25:R31 U25:X31 Q33:R65536 U33:X44">
      <formula1>-99999999999999900</formula1>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11c3&amp;8&amp;U
&amp;P of &amp;N&amp;C&amp;"Arial,Bold"&amp;8 NEW RURAL BANK OF SAN LEONARDO, INC  [ 04-040656 ]
 As of: September 30, 2017</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Z49"/>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2.5703125" style="5" customWidth="1"/>
    <col min="3" max="3" width="2.7109375" style="5" customWidth="1"/>
    <col min="4" max="5" width="4.140625" style="5" customWidth="1"/>
    <col min="6" max="6" width="38.42578125" style="5" customWidth="1"/>
    <col min="7" max="7" width="16.7109375" style="52" customWidth="1"/>
    <col min="8" max="8" width="16.7109375" style="52" hidden="1" customWidth="1"/>
    <col min="9" max="9" width="20.7109375" style="48" customWidth="1"/>
    <col min="10" max="10" width="25.7109375" style="48" customWidth="1"/>
    <col min="11" max="11" width="20.7109375" style="48" customWidth="1"/>
    <col min="12" max="12" width="25.7109375" style="48" customWidth="1"/>
    <col min="13" max="13" width="20.7109375" style="48" customWidth="1"/>
    <col min="14" max="14" width="25.7109375" style="48" customWidth="1"/>
    <col min="15" max="15" width="20.7109375" style="48" customWidth="1"/>
    <col min="16" max="16" width="25.7109375" style="48" customWidth="1"/>
    <col min="17" max="17" width="20.7109375" style="198" customWidth="1"/>
    <col min="18" max="18" width="25.7109375" style="198" customWidth="1"/>
    <col min="19" max="19" width="20.7109375" style="48" customWidth="1"/>
    <col min="20" max="20" width="25.7109375" style="48" customWidth="1"/>
    <col min="21" max="21" width="20.7109375" style="48" customWidth="1"/>
    <col min="22" max="22" width="25.7109375" style="48" customWidth="1"/>
    <col min="23" max="23" width="20.7109375" style="48" customWidth="1"/>
    <col min="24" max="24" width="25.7109375" style="48" customWidth="1"/>
    <col min="25" max="16384" width="9.140625" style="5"/>
  </cols>
  <sheetData>
    <row r="1" spans="1:24" s="243" customFormat="1" ht="12.75" x14ac:dyDescent="0.2">
      <c r="A1" s="669" t="s">
        <v>213</v>
      </c>
      <c r="B1" s="669"/>
      <c r="C1" s="669"/>
      <c r="D1" s="669"/>
      <c r="E1" s="669"/>
      <c r="F1" s="669"/>
      <c r="G1" s="669"/>
      <c r="H1" s="669"/>
      <c r="I1" s="669"/>
      <c r="J1" s="669"/>
      <c r="K1" s="669"/>
      <c r="L1" s="669"/>
      <c r="M1" s="669"/>
      <c r="N1" s="669"/>
      <c r="O1" s="669"/>
      <c r="P1" s="669"/>
      <c r="Q1" s="669"/>
      <c r="R1" s="669"/>
      <c r="S1" s="669"/>
      <c r="T1" s="669"/>
      <c r="U1" s="669"/>
      <c r="V1" s="669"/>
      <c r="W1" s="669"/>
      <c r="X1" s="669"/>
    </row>
    <row r="2" spans="1:24" s="243" customFormat="1" ht="12.75" x14ac:dyDescent="0.2">
      <c r="A2" s="669" t="s">
        <v>499</v>
      </c>
      <c r="B2" s="669"/>
      <c r="C2" s="669"/>
      <c r="D2" s="669"/>
      <c r="E2" s="669"/>
      <c r="F2" s="669"/>
      <c r="G2" s="669"/>
      <c r="H2" s="669"/>
      <c r="I2" s="669"/>
      <c r="J2" s="669"/>
      <c r="K2" s="669"/>
      <c r="L2" s="669"/>
      <c r="M2" s="669"/>
      <c r="N2" s="669"/>
      <c r="O2" s="669"/>
      <c r="P2" s="669"/>
      <c r="Q2" s="669"/>
      <c r="R2" s="669"/>
      <c r="S2" s="669"/>
      <c r="T2" s="669"/>
      <c r="U2" s="669"/>
      <c r="V2" s="669"/>
      <c r="W2" s="669"/>
      <c r="X2" s="669"/>
    </row>
    <row r="3" spans="1:24" s="243" customFormat="1" ht="12.75" x14ac:dyDescent="0.2">
      <c r="A3" s="669" t="s">
        <v>139</v>
      </c>
      <c r="B3" s="669"/>
      <c r="C3" s="669"/>
      <c r="D3" s="669"/>
      <c r="E3" s="669"/>
      <c r="F3" s="669"/>
      <c r="G3" s="669"/>
      <c r="H3" s="669"/>
      <c r="I3" s="669"/>
      <c r="J3" s="669"/>
      <c r="K3" s="669"/>
      <c r="L3" s="669"/>
      <c r="M3" s="669"/>
      <c r="N3" s="669"/>
      <c r="O3" s="669"/>
      <c r="P3" s="669"/>
      <c r="Q3" s="669"/>
      <c r="R3" s="669"/>
      <c r="S3" s="669"/>
      <c r="T3" s="669"/>
      <c r="U3" s="669"/>
      <c r="V3" s="669"/>
      <c r="W3" s="669"/>
      <c r="X3" s="669"/>
    </row>
    <row r="4" spans="1:24" x14ac:dyDescent="0.2">
      <c r="A4" s="6"/>
      <c r="B4" s="6"/>
      <c r="C4" s="6"/>
      <c r="D4" s="6"/>
      <c r="E4" s="6"/>
      <c r="F4" s="6"/>
      <c r="G4" s="54"/>
      <c r="H4" s="54"/>
      <c r="I4" s="47"/>
      <c r="J4" s="47"/>
      <c r="K4" s="47"/>
      <c r="L4" s="47"/>
      <c r="M4" s="47"/>
      <c r="N4" s="47"/>
      <c r="O4" s="47"/>
      <c r="P4" s="47"/>
      <c r="Q4" s="197"/>
      <c r="R4" s="197"/>
      <c r="S4" s="47"/>
      <c r="T4" s="47"/>
      <c r="U4" s="47"/>
      <c r="V4" s="47"/>
      <c r="W4" s="47"/>
      <c r="X4" s="47"/>
    </row>
    <row r="5" spans="1:24" ht="10.5" customHeight="1" x14ac:dyDescent="0.2">
      <c r="A5" s="704" t="s">
        <v>45</v>
      </c>
      <c r="B5" s="704"/>
      <c r="C5" s="704"/>
      <c r="D5" s="704"/>
      <c r="E5" s="704"/>
      <c r="F5" s="704"/>
      <c r="G5" s="713" t="s">
        <v>46</v>
      </c>
      <c r="H5" s="24"/>
      <c r="I5" s="705" t="s">
        <v>500</v>
      </c>
      <c r="J5" s="705"/>
      <c r="K5" s="670" t="s">
        <v>501</v>
      </c>
      <c r="L5" s="670"/>
      <c r="M5" s="670" t="s">
        <v>548</v>
      </c>
      <c r="N5" s="670"/>
      <c r="O5" s="670" t="s">
        <v>549</v>
      </c>
      <c r="P5" s="670"/>
      <c r="Q5" s="708" t="s">
        <v>502</v>
      </c>
      <c r="R5" s="708"/>
      <c r="S5" s="670" t="s">
        <v>503</v>
      </c>
      <c r="T5" s="670"/>
      <c r="U5" s="670" t="s">
        <v>504</v>
      </c>
      <c r="V5" s="670"/>
      <c r="W5" s="670" t="s">
        <v>505</v>
      </c>
      <c r="X5" s="670"/>
    </row>
    <row r="6" spans="1:24" ht="10.5" customHeight="1" x14ac:dyDescent="0.2">
      <c r="A6" s="704"/>
      <c r="B6" s="704"/>
      <c r="C6" s="704"/>
      <c r="D6" s="704"/>
      <c r="E6" s="704"/>
      <c r="F6" s="704"/>
      <c r="G6" s="713"/>
      <c r="H6" s="24"/>
      <c r="I6" s="705"/>
      <c r="J6" s="705"/>
      <c r="K6" s="670"/>
      <c r="L6" s="670"/>
      <c r="M6" s="670"/>
      <c r="N6" s="670"/>
      <c r="O6" s="670"/>
      <c r="P6" s="670"/>
      <c r="Q6" s="708"/>
      <c r="R6" s="708"/>
      <c r="S6" s="670"/>
      <c r="T6" s="670"/>
      <c r="U6" s="670"/>
      <c r="V6" s="670"/>
      <c r="W6" s="670"/>
      <c r="X6" s="670"/>
    </row>
    <row r="7" spans="1:24" ht="10.5" customHeight="1" x14ac:dyDescent="0.2">
      <c r="A7" s="704"/>
      <c r="B7" s="704"/>
      <c r="C7" s="704"/>
      <c r="D7" s="704"/>
      <c r="E7" s="704"/>
      <c r="F7" s="704"/>
      <c r="G7" s="713"/>
      <c r="H7" s="24"/>
      <c r="I7" s="705"/>
      <c r="J7" s="705"/>
      <c r="K7" s="670"/>
      <c r="L7" s="670"/>
      <c r="M7" s="670"/>
      <c r="N7" s="670"/>
      <c r="O7" s="670"/>
      <c r="P7" s="670"/>
      <c r="Q7" s="708"/>
      <c r="R7" s="708"/>
      <c r="S7" s="670"/>
      <c r="T7" s="670"/>
      <c r="U7" s="670"/>
      <c r="V7" s="670"/>
      <c r="W7" s="670"/>
      <c r="X7" s="670"/>
    </row>
    <row r="8" spans="1:24" ht="17.25" customHeight="1" x14ac:dyDescent="0.2">
      <c r="A8" s="711" t="s">
        <v>506</v>
      </c>
      <c r="B8" s="711"/>
      <c r="C8" s="711"/>
      <c r="D8" s="711"/>
      <c r="E8" s="711"/>
      <c r="F8" s="711"/>
      <c r="G8" s="711"/>
      <c r="H8" s="711"/>
      <c r="I8" s="711"/>
      <c r="J8" s="711"/>
      <c r="K8" s="711"/>
      <c r="L8" s="711"/>
      <c r="M8" s="711"/>
      <c r="N8" s="711"/>
      <c r="O8" s="711"/>
      <c r="P8" s="711"/>
      <c r="Q8" s="711"/>
      <c r="R8" s="711"/>
      <c r="S8" s="711"/>
      <c r="T8" s="711"/>
      <c r="U8" s="711"/>
      <c r="V8" s="711"/>
      <c r="W8" s="711"/>
      <c r="X8" s="711"/>
    </row>
    <row r="9" spans="1:24" s="121" customFormat="1" ht="21" customHeight="1" x14ac:dyDescent="0.2">
      <c r="A9" s="199"/>
      <c r="B9" s="199"/>
      <c r="C9" s="199"/>
      <c r="D9" s="199"/>
      <c r="E9" s="199"/>
      <c r="F9" s="199"/>
      <c r="G9" s="200"/>
      <c r="H9" s="200"/>
      <c r="I9" s="201" t="s">
        <v>50</v>
      </c>
      <c r="J9" s="201" t="s">
        <v>379</v>
      </c>
      <c r="K9" s="201" t="s">
        <v>50</v>
      </c>
      <c r="L9" s="201" t="s">
        <v>379</v>
      </c>
      <c r="M9" s="201" t="s">
        <v>50</v>
      </c>
      <c r="N9" s="201" t="s">
        <v>379</v>
      </c>
      <c r="O9" s="201" t="s">
        <v>50</v>
      </c>
      <c r="P9" s="201" t="s">
        <v>379</v>
      </c>
      <c r="Q9" s="202" t="s">
        <v>50</v>
      </c>
      <c r="R9" s="202" t="s">
        <v>379</v>
      </c>
      <c r="S9" s="201" t="s">
        <v>50</v>
      </c>
      <c r="T9" s="201" t="s">
        <v>379</v>
      </c>
      <c r="U9" s="201" t="s">
        <v>50</v>
      </c>
      <c r="V9" s="201" t="s">
        <v>379</v>
      </c>
      <c r="W9" s="201" t="s">
        <v>50</v>
      </c>
      <c r="X9" s="201" t="s">
        <v>379</v>
      </c>
    </row>
    <row r="10" spans="1:24" s="17" customFormat="1" x14ac:dyDescent="0.2">
      <c r="A10" s="223" t="s">
        <v>57</v>
      </c>
      <c r="B10" s="312"/>
      <c r="C10" s="312"/>
      <c r="D10" s="312"/>
      <c r="E10" s="312"/>
      <c r="F10" s="312"/>
      <c r="G10" s="313" t="s">
        <v>508</v>
      </c>
      <c r="H10" s="45"/>
      <c r="I10" s="49">
        <f t="shared" ref="I10:R10" si="0">I11+I18+I21+I24+I27+I28+I31+I32+I39</f>
        <v>0</v>
      </c>
      <c r="J10" s="49">
        <f t="shared" si="0"/>
        <v>0</v>
      </c>
      <c r="K10" s="49">
        <f t="shared" si="0"/>
        <v>0</v>
      </c>
      <c r="L10" s="49">
        <f t="shared" si="0"/>
        <v>0</v>
      </c>
      <c r="M10" s="49">
        <f t="shared" si="0"/>
        <v>0</v>
      </c>
      <c r="N10" s="49">
        <f t="shared" si="0"/>
        <v>0</v>
      </c>
      <c r="O10" s="49">
        <f t="shared" si="0"/>
        <v>0</v>
      </c>
      <c r="P10" s="49">
        <f t="shared" si="0"/>
        <v>0</v>
      </c>
      <c r="Q10" s="49">
        <f t="shared" si="0"/>
        <v>0</v>
      </c>
      <c r="R10" s="49">
        <f t="shared" si="0"/>
        <v>0</v>
      </c>
      <c r="S10" s="49">
        <f>I10-K10+M10-O10+Q10</f>
        <v>0</v>
      </c>
      <c r="T10" s="49">
        <f>J10-L10+N10-P10+R10</f>
        <v>0</v>
      </c>
      <c r="U10" s="49">
        <f>U11+U18+U21+U24+U27+U28+U31+U32+U39</f>
        <v>0</v>
      </c>
      <c r="V10" s="49">
        <f>V11+V18+V21+V24+V27+V28+V31+V32+V39</f>
        <v>0</v>
      </c>
      <c r="W10" s="49">
        <f>W11+W18+W21+W24+W27+W28+W31+W32+W39</f>
        <v>0</v>
      </c>
      <c r="X10" s="49">
        <f>X11+X18+X21+X24+X27+X28+X31+X32+X39</f>
        <v>0</v>
      </c>
    </row>
    <row r="11" spans="1:24" s="17" customFormat="1" x14ac:dyDescent="0.2">
      <c r="A11" s="346" t="s">
        <v>58</v>
      </c>
      <c r="B11" s="312" t="s">
        <v>540</v>
      </c>
      <c r="C11" s="312"/>
      <c r="D11" s="312"/>
      <c r="E11" s="312"/>
      <c r="F11" s="312"/>
      <c r="G11" s="313" t="s">
        <v>509</v>
      </c>
      <c r="H11" s="45"/>
      <c r="I11" s="49">
        <f>+I12+I13+I14</f>
        <v>0</v>
      </c>
      <c r="J11" s="49">
        <f t="shared" ref="J11:R11" si="1">+J12+J13+J14</f>
        <v>0</v>
      </c>
      <c r="K11" s="49">
        <f t="shared" si="1"/>
        <v>0</v>
      </c>
      <c r="L11" s="49">
        <f t="shared" si="1"/>
        <v>0</v>
      </c>
      <c r="M11" s="49">
        <f t="shared" si="1"/>
        <v>0</v>
      </c>
      <c r="N11" s="49">
        <f t="shared" si="1"/>
        <v>0</v>
      </c>
      <c r="O11" s="49">
        <f t="shared" si="1"/>
        <v>0</v>
      </c>
      <c r="P11" s="49">
        <f t="shared" si="1"/>
        <v>0</v>
      </c>
      <c r="Q11" s="49">
        <f t="shared" si="1"/>
        <v>0</v>
      </c>
      <c r="R11" s="49">
        <f t="shared" si="1"/>
        <v>0</v>
      </c>
      <c r="S11" s="49">
        <f t="shared" ref="S11:S20" si="2">I11-K11+M11-O11+Q11</f>
        <v>0</v>
      </c>
      <c r="T11" s="49">
        <f t="shared" ref="T11:T45" si="3">J11-L11+N11-P11+R11</f>
        <v>0</v>
      </c>
      <c r="U11" s="49">
        <f>+U12+U13+U14</f>
        <v>0</v>
      </c>
      <c r="V11" s="49">
        <f>+V12+V13+V14</f>
        <v>0</v>
      </c>
      <c r="W11" s="49">
        <f>+W12+W13+W14</f>
        <v>0</v>
      </c>
      <c r="X11" s="49">
        <f>+X12+X13+X14</f>
        <v>0</v>
      </c>
    </row>
    <row r="12" spans="1:24" s="17" customFormat="1" x14ac:dyDescent="0.2">
      <c r="A12" s="346"/>
      <c r="B12" s="312" t="s">
        <v>59</v>
      </c>
      <c r="C12" s="312" t="s">
        <v>60</v>
      </c>
      <c r="D12" s="312"/>
      <c r="E12" s="312"/>
      <c r="F12" s="312"/>
      <c r="G12" s="313" t="s">
        <v>510</v>
      </c>
      <c r="H12" s="45"/>
      <c r="I12" s="50"/>
      <c r="J12" s="50"/>
      <c r="K12" s="50"/>
      <c r="L12" s="50"/>
      <c r="M12" s="50"/>
      <c r="N12" s="50"/>
      <c r="O12" s="50"/>
      <c r="P12" s="50"/>
      <c r="Q12" s="50"/>
      <c r="R12" s="50"/>
      <c r="S12" s="49">
        <f t="shared" si="2"/>
        <v>0</v>
      </c>
      <c r="T12" s="49">
        <f t="shared" si="3"/>
        <v>0</v>
      </c>
      <c r="U12" s="50"/>
      <c r="V12" s="50"/>
      <c r="W12" s="50"/>
      <c r="X12" s="50"/>
    </row>
    <row r="13" spans="1:24" s="17" customFormat="1" x14ac:dyDescent="0.2">
      <c r="A13" s="346"/>
      <c r="B13" s="312" t="s">
        <v>61</v>
      </c>
      <c r="C13" s="312" t="s">
        <v>72</v>
      </c>
      <c r="D13" s="312"/>
      <c r="E13" s="312"/>
      <c r="F13" s="312"/>
      <c r="G13" s="313" t="s">
        <v>550</v>
      </c>
      <c r="H13" s="45"/>
      <c r="I13" s="50"/>
      <c r="J13" s="50"/>
      <c r="K13" s="50"/>
      <c r="L13" s="50"/>
      <c r="M13" s="50"/>
      <c r="N13" s="50"/>
      <c r="O13" s="50"/>
      <c r="P13" s="50"/>
      <c r="Q13" s="50"/>
      <c r="R13" s="50"/>
      <c r="S13" s="49">
        <f t="shared" si="2"/>
        <v>0</v>
      </c>
      <c r="T13" s="49">
        <f>J13-L13+N13-P13+R13</f>
        <v>0</v>
      </c>
      <c r="U13" s="50"/>
      <c r="V13" s="50"/>
      <c r="W13" s="50"/>
      <c r="X13" s="50"/>
    </row>
    <row r="14" spans="1:24" s="17" customFormat="1" x14ac:dyDescent="0.2">
      <c r="A14" s="346"/>
      <c r="B14" s="312" t="s">
        <v>71</v>
      </c>
      <c r="C14" s="312" t="s">
        <v>62</v>
      </c>
      <c r="D14" s="312"/>
      <c r="E14" s="312"/>
      <c r="F14" s="312"/>
      <c r="G14" s="313" t="s">
        <v>511</v>
      </c>
      <c r="H14" s="45"/>
      <c r="I14" s="49">
        <f t="shared" ref="I14:R14" si="4">I15+I16+I17</f>
        <v>0</v>
      </c>
      <c r="J14" s="49">
        <f t="shared" si="4"/>
        <v>0</v>
      </c>
      <c r="K14" s="49">
        <f t="shared" si="4"/>
        <v>0</v>
      </c>
      <c r="L14" s="49">
        <f t="shared" si="4"/>
        <v>0</v>
      </c>
      <c r="M14" s="49">
        <f t="shared" si="4"/>
        <v>0</v>
      </c>
      <c r="N14" s="49">
        <f t="shared" si="4"/>
        <v>0</v>
      </c>
      <c r="O14" s="49">
        <f t="shared" si="4"/>
        <v>0</v>
      </c>
      <c r="P14" s="49">
        <f t="shared" si="4"/>
        <v>0</v>
      </c>
      <c r="Q14" s="49">
        <f t="shared" si="4"/>
        <v>0</v>
      </c>
      <c r="R14" s="49">
        <f t="shared" si="4"/>
        <v>0</v>
      </c>
      <c r="S14" s="49">
        <f t="shared" si="2"/>
        <v>0</v>
      </c>
      <c r="T14" s="49">
        <f t="shared" si="3"/>
        <v>0</v>
      </c>
      <c r="U14" s="49">
        <f>U15+U16+U17</f>
        <v>0</v>
      </c>
      <c r="V14" s="49">
        <f>V15+V16+V17</f>
        <v>0</v>
      </c>
      <c r="W14" s="49">
        <f>W15+W16+W17</f>
        <v>0</v>
      </c>
      <c r="X14" s="49">
        <f>X15+X16+X17</f>
        <v>0</v>
      </c>
    </row>
    <row r="15" spans="1:24" s="17" customFormat="1" x14ac:dyDescent="0.2">
      <c r="A15" s="346"/>
      <c r="B15" s="312"/>
      <c r="C15" s="311" t="s">
        <v>54</v>
      </c>
      <c r="D15" s="312" t="s">
        <v>63</v>
      </c>
      <c r="E15" s="312"/>
      <c r="F15" s="312"/>
      <c r="G15" s="313" t="s">
        <v>512</v>
      </c>
      <c r="H15" s="45"/>
      <c r="I15" s="50"/>
      <c r="J15" s="50"/>
      <c r="K15" s="50"/>
      <c r="L15" s="50"/>
      <c r="M15" s="50"/>
      <c r="N15" s="50"/>
      <c r="O15" s="50"/>
      <c r="P15" s="50"/>
      <c r="Q15" s="50"/>
      <c r="R15" s="50"/>
      <c r="S15" s="49">
        <f t="shared" si="2"/>
        <v>0</v>
      </c>
      <c r="T15" s="49">
        <f t="shared" si="3"/>
        <v>0</v>
      </c>
      <c r="U15" s="50"/>
      <c r="V15" s="50"/>
      <c r="W15" s="50"/>
      <c r="X15" s="50"/>
    </row>
    <row r="16" spans="1:24" s="17" customFormat="1" x14ac:dyDescent="0.2">
      <c r="A16" s="346"/>
      <c r="B16" s="312"/>
      <c r="C16" s="311" t="s">
        <v>55</v>
      </c>
      <c r="D16" s="312" t="s">
        <v>64</v>
      </c>
      <c r="E16" s="312"/>
      <c r="F16" s="312"/>
      <c r="G16" s="313" t="s">
        <v>513</v>
      </c>
      <c r="H16" s="45"/>
      <c r="I16" s="44"/>
      <c r="J16" s="44"/>
      <c r="K16" s="44"/>
      <c r="L16" s="44"/>
      <c r="M16" s="44"/>
      <c r="N16" s="44"/>
      <c r="O16" s="44"/>
      <c r="P16" s="44"/>
      <c r="Q16" s="44"/>
      <c r="R16" s="44"/>
      <c r="S16" s="49">
        <f t="shared" si="2"/>
        <v>0</v>
      </c>
      <c r="T16" s="49">
        <f t="shared" si="3"/>
        <v>0</v>
      </c>
      <c r="U16" s="44"/>
      <c r="V16" s="44"/>
      <c r="W16" s="44"/>
      <c r="X16" s="44"/>
    </row>
    <row r="17" spans="1:26" s="17" customFormat="1" x14ac:dyDescent="0.2">
      <c r="A17" s="346"/>
      <c r="B17" s="312"/>
      <c r="C17" s="311" t="s">
        <v>65</v>
      </c>
      <c r="D17" s="312" t="s">
        <v>66</v>
      </c>
      <c r="E17" s="312"/>
      <c r="F17" s="312"/>
      <c r="G17" s="313" t="s">
        <v>514</v>
      </c>
      <c r="H17" s="45"/>
      <c r="I17" s="44"/>
      <c r="J17" s="44"/>
      <c r="K17" s="44"/>
      <c r="L17" s="44"/>
      <c r="M17" s="44"/>
      <c r="N17" s="44"/>
      <c r="O17" s="44"/>
      <c r="P17" s="44"/>
      <c r="Q17" s="44"/>
      <c r="R17" s="44"/>
      <c r="S17" s="49">
        <f t="shared" si="2"/>
        <v>0</v>
      </c>
      <c r="T17" s="49">
        <f t="shared" si="3"/>
        <v>0</v>
      </c>
      <c r="U17" s="44"/>
      <c r="V17" s="44"/>
      <c r="W17" s="44"/>
      <c r="X17" s="44"/>
      <c r="Y17" s="20"/>
      <c r="Z17" s="20"/>
    </row>
    <row r="18" spans="1:26" s="17" customFormat="1" x14ac:dyDescent="0.2">
      <c r="A18" s="346" t="s">
        <v>55</v>
      </c>
      <c r="B18" s="312" t="s">
        <v>67</v>
      </c>
      <c r="C18" s="312"/>
      <c r="D18" s="312"/>
      <c r="E18" s="312"/>
      <c r="F18" s="312"/>
      <c r="G18" s="313" t="s">
        <v>515</v>
      </c>
      <c r="H18" s="45"/>
      <c r="I18" s="41">
        <f t="shared" ref="I18:R18" si="5">I19+I20</f>
        <v>0</v>
      </c>
      <c r="J18" s="41">
        <f t="shared" si="5"/>
        <v>0</v>
      </c>
      <c r="K18" s="41">
        <f t="shared" si="5"/>
        <v>0</v>
      </c>
      <c r="L18" s="41">
        <f t="shared" si="5"/>
        <v>0</v>
      </c>
      <c r="M18" s="41">
        <f t="shared" si="5"/>
        <v>0</v>
      </c>
      <c r="N18" s="41">
        <f t="shared" si="5"/>
        <v>0</v>
      </c>
      <c r="O18" s="41">
        <f t="shared" si="5"/>
        <v>0</v>
      </c>
      <c r="P18" s="41">
        <f t="shared" si="5"/>
        <v>0</v>
      </c>
      <c r="Q18" s="41">
        <f t="shared" si="5"/>
        <v>0</v>
      </c>
      <c r="R18" s="41">
        <f t="shared" si="5"/>
        <v>0</v>
      </c>
      <c r="S18" s="49">
        <f t="shared" si="2"/>
        <v>0</v>
      </c>
      <c r="T18" s="49">
        <f t="shared" si="3"/>
        <v>0</v>
      </c>
      <c r="U18" s="41">
        <f>U19+U20</f>
        <v>0</v>
      </c>
      <c r="V18" s="41">
        <f>V19+V20</f>
        <v>0</v>
      </c>
      <c r="W18" s="41">
        <f>W19+W20</f>
        <v>0</v>
      </c>
      <c r="X18" s="41">
        <f>X19+X20</f>
        <v>0</v>
      </c>
    </row>
    <row r="19" spans="1:26" s="17" customFormat="1" x14ac:dyDescent="0.2">
      <c r="A19" s="346"/>
      <c r="B19" s="312" t="s">
        <v>59</v>
      </c>
      <c r="C19" s="312" t="s">
        <v>68</v>
      </c>
      <c r="D19" s="312"/>
      <c r="E19" s="312"/>
      <c r="F19" s="312"/>
      <c r="G19" s="313" t="s">
        <v>516</v>
      </c>
      <c r="H19" s="45"/>
      <c r="I19" s="44"/>
      <c r="J19" s="44"/>
      <c r="K19" s="44"/>
      <c r="L19" s="44"/>
      <c r="M19" s="44"/>
      <c r="N19" s="44"/>
      <c r="O19" s="44"/>
      <c r="P19" s="44"/>
      <c r="Q19" s="44"/>
      <c r="R19" s="44"/>
      <c r="S19" s="49">
        <f t="shared" si="2"/>
        <v>0</v>
      </c>
      <c r="T19" s="49">
        <f t="shared" si="3"/>
        <v>0</v>
      </c>
      <c r="U19" s="44"/>
      <c r="V19" s="44"/>
      <c r="W19" s="44"/>
      <c r="X19" s="44"/>
    </row>
    <row r="20" spans="1:26" s="17" customFormat="1" x14ac:dyDescent="0.2">
      <c r="A20" s="346"/>
      <c r="B20" s="312" t="s">
        <v>69</v>
      </c>
      <c r="C20" s="312" t="s">
        <v>70</v>
      </c>
      <c r="D20" s="312"/>
      <c r="E20" s="312"/>
      <c r="F20" s="312"/>
      <c r="G20" s="313" t="s">
        <v>517</v>
      </c>
      <c r="H20" s="45"/>
      <c r="I20" s="44"/>
      <c r="J20" s="44"/>
      <c r="K20" s="44"/>
      <c r="L20" s="44"/>
      <c r="M20" s="44"/>
      <c r="N20" s="44"/>
      <c r="O20" s="44"/>
      <c r="P20" s="44"/>
      <c r="Q20" s="44"/>
      <c r="R20" s="44"/>
      <c r="S20" s="49">
        <f t="shared" si="2"/>
        <v>0</v>
      </c>
      <c r="T20" s="49">
        <f t="shared" si="3"/>
        <v>0</v>
      </c>
      <c r="U20" s="44"/>
      <c r="V20" s="44"/>
      <c r="W20" s="44"/>
      <c r="X20" s="44"/>
    </row>
    <row r="21" spans="1:26" s="17" customFormat="1" x14ac:dyDescent="0.2">
      <c r="A21" s="346" t="s">
        <v>65</v>
      </c>
      <c r="B21" s="3" t="s">
        <v>1443</v>
      </c>
      <c r="C21" s="3"/>
      <c r="D21" s="3"/>
      <c r="E21" s="3"/>
      <c r="F21" s="3"/>
      <c r="G21" s="416" t="s">
        <v>518</v>
      </c>
      <c r="H21" s="45"/>
      <c r="I21" s="41">
        <f t="shared" ref="I21:R21" si="6">I22+I23</f>
        <v>0</v>
      </c>
      <c r="J21" s="41">
        <f t="shared" si="6"/>
        <v>0</v>
      </c>
      <c r="K21" s="41">
        <f t="shared" si="6"/>
        <v>0</v>
      </c>
      <c r="L21" s="41">
        <f t="shared" si="6"/>
        <v>0</v>
      </c>
      <c r="M21" s="41">
        <f t="shared" si="6"/>
        <v>0</v>
      </c>
      <c r="N21" s="41">
        <f t="shared" si="6"/>
        <v>0</v>
      </c>
      <c r="O21" s="41">
        <f t="shared" si="6"/>
        <v>0</v>
      </c>
      <c r="P21" s="41">
        <f t="shared" si="6"/>
        <v>0</v>
      </c>
      <c r="Q21" s="41">
        <f t="shared" si="6"/>
        <v>0</v>
      </c>
      <c r="R21" s="41">
        <f t="shared" si="6"/>
        <v>0</v>
      </c>
      <c r="S21" s="49">
        <f t="shared" ref="S21:T23" si="7">I21-K21+M21-O21+Q21</f>
        <v>0</v>
      </c>
      <c r="T21" s="49">
        <f t="shared" si="7"/>
        <v>0</v>
      </c>
      <c r="U21" s="41">
        <f>U22+U23</f>
        <v>0</v>
      </c>
      <c r="V21" s="41">
        <f>V22+V23</f>
        <v>0</v>
      </c>
      <c r="W21" s="41">
        <f>W22+W23</f>
        <v>0</v>
      </c>
      <c r="X21" s="41">
        <f>X22+X23</f>
        <v>0</v>
      </c>
    </row>
    <row r="22" spans="1:26" s="17" customFormat="1" x14ac:dyDescent="0.2">
      <c r="A22" s="346"/>
      <c r="B22" s="3" t="s">
        <v>59</v>
      </c>
      <c r="C22" s="658" t="s">
        <v>543</v>
      </c>
      <c r="D22" s="659"/>
      <c r="E22" s="659"/>
      <c r="F22" s="660"/>
      <c r="G22" s="416" t="s">
        <v>1441</v>
      </c>
      <c r="H22" s="45"/>
      <c r="I22" s="44"/>
      <c r="J22" s="44"/>
      <c r="K22" s="44"/>
      <c r="L22" s="44"/>
      <c r="M22" s="44"/>
      <c r="N22" s="44"/>
      <c r="O22" s="44"/>
      <c r="P22" s="44"/>
      <c r="Q22" s="44"/>
      <c r="R22" s="44"/>
      <c r="S22" s="49">
        <f t="shared" si="7"/>
        <v>0</v>
      </c>
      <c r="T22" s="49">
        <f t="shared" si="7"/>
        <v>0</v>
      </c>
      <c r="U22" s="44"/>
      <c r="V22" s="44"/>
      <c r="W22" s="44"/>
      <c r="X22" s="44"/>
    </row>
    <row r="23" spans="1:26" s="17" customFormat="1" x14ac:dyDescent="0.2">
      <c r="A23" s="346"/>
      <c r="B23" s="3" t="s">
        <v>61</v>
      </c>
      <c r="C23" s="658" t="s">
        <v>1430</v>
      </c>
      <c r="D23" s="659"/>
      <c r="E23" s="659"/>
      <c r="F23" s="660"/>
      <c r="G23" s="416" t="s">
        <v>1442</v>
      </c>
      <c r="H23" s="45"/>
      <c r="I23" s="44"/>
      <c r="J23" s="44"/>
      <c r="K23" s="44"/>
      <c r="L23" s="44"/>
      <c r="M23" s="44"/>
      <c r="N23" s="44"/>
      <c r="O23" s="44"/>
      <c r="P23" s="44"/>
      <c r="Q23" s="44"/>
      <c r="R23" s="44"/>
      <c r="S23" s="49">
        <f t="shared" si="7"/>
        <v>0</v>
      </c>
      <c r="T23" s="49">
        <f t="shared" si="7"/>
        <v>0</v>
      </c>
      <c r="U23" s="44"/>
      <c r="V23" s="44"/>
      <c r="W23" s="44"/>
      <c r="X23" s="44"/>
    </row>
    <row r="24" spans="1:26" s="17" customFormat="1" x14ac:dyDescent="0.2">
      <c r="A24" s="346" t="s">
        <v>90</v>
      </c>
      <c r="B24" s="312" t="s">
        <v>73</v>
      </c>
      <c r="C24" s="312"/>
      <c r="D24" s="312"/>
      <c r="E24" s="312"/>
      <c r="F24" s="312"/>
      <c r="G24" s="313" t="s">
        <v>519</v>
      </c>
      <c r="H24" s="45"/>
      <c r="I24" s="41">
        <f t="shared" ref="I24:R24" si="8">I25+I26</f>
        <v>0</v>
      </c>
      <c r="J24" s="41">
        <f t="shared" si="8"/>
        <v>0</v>
      </c>
      <c r="K24" s="41">
        <f t="shared" si="8"/>
        <v>0</v>
      </c>
      <c r="L24" s="41">
        <f t="shared" si="8"/>
        <v>0</v>
      </c>
      <c r="M24" s="41">
        <f t="shared" si="8"/>
        <v>0</v>
      </c>
      <c r="N24" s="41">
        <f t="shared" si="8"/>
        <v>0</v>
      </c>
      <c r="O24" s="41">
        <f t="shared" si="8"/>
        <v>0</v>
      </c>
      <c r="P24" s="41">
        <f t="shared" si="8"/>
        <v>0</v>
      </c>
      <c r="Q24" s="41">
        <f t="shared" si="8"/>
        <v>0</v>
      </c>
      <c r="R24" s="41">
        <f t="shared" si="8"/>
        <v>0</v>
      </c>
      <c r="S24" s="49">
        <f t="shared" ref="S24:S45" si="9">I24-K24+M24-O24+Q24</f>
        <v>0</v>
      </c>
      <c r="T24" s="49">
        <f t="shared" si="3"/>
        <v>0</v>
      </c>
      <c r="U24" s="41">
        <f>U25+U26</f>
        <v>0</v>
      </c>
      <c r="V24" s="41">
        <f>V25+V26</f>
        <v>0</v>
      </c>
      <c r="W24" s="41">
        <f>W25+W26</f>
        <v>0</v>
      </c>
      <c r="X24" s="41">
        <f>X25+X26</f>
        <v>0</v>
      </c>
    </row>
    <row r="25" spans="1:26" s="17" customFormat="1" x14ac:dyDescent="0.2">
      <c r="A25" s="346"/>
      <c r="B25" s="312" t="s">
        <v>59</v>
      </c>
      <c r="C25" s="312" t="s">
        <v>1451</v>
      </c>
      <c r="D25" s="312"/>
      <c r="E25" s="312"/>
      <c r="F25" s="312"/>
      <c r="G25" s="313" t="s">
        <v>521</v>
      </c>
      <c r="H25" s="45"/>
      <c r="I25" s="44"/>
      <c r="J25" s="44"/>
      <c r="K25" s="44"/>
      <c r="L25" s="44"/>
      <c r="M25" s="44"/>
      <c r="N25" s="44"/>
      <c r="O25" s="44"/>
      <c r="P25" s="44"/>
      <c r="Q25" s="44"/>
      <c r="R25" s="44"/>
      <c r="S25" s="49">
        <f t="shared" si="9"/>
        <v>0</v>
      </c>
      <c r="T25" s="49">
        <f t="shared" si="3"/>
        <v>0</v>
      </c>
      <c r="U25" s="44"/>
      <c r="V25" s="44"/>
      <c r="W25" s="44"/>
      <c r="X25" s="44"/>
    </row>
    <row r="26" spans="1:26" s="17" customFormat="1" x14ac:dyDescent="0.2">
      <c r="A26" s="346"/>
      <c r="B26" s="312" t="s">
        <v>69</v>
      </c>
      <c r="C26" s="312" t="s">
        <v>1452</v>
      </c>
      <c r="D26" s="312"/>
      <c r="E26" s="312"/>
      <c r="F26" s="312"/>
      <c r="G26" s="313" t="s">
        <v>522</v>
      </c>
      <c r="H26" s="45"/>
      <c r="I26" s="44"/>
      <c r="J26" s="44"/>
      <c r="K26" s="44"/>
      <c r="L26" s="44"/>
      <c r="M26" s="44"/>
      <c r="N26" s="44"/>
      <c r="O26" s="44"/>
      <c r="P26" s="44"/>
      <c r="Q26" s="44"/>
      <c r="R26" s="44"/>
      <c r="S26" s="49">
        <f t="shared" si="9"/>
        <v>0</v>
      </c>
      <c r="T26" s="49">
        <f t="shared" si="3"/>
        <v>0</v>
      </c>
      <c r="U26" s="44"/>
      <c r="V26" s="44"/>
      <c r="W26" s="44"/>
      <c r="X26" s="44"/>
    </row>
    <row r="27" spans="1:26" s="17" customFormat="1" x14ac:dyDescent="0.2">
      <c r="A27" s="346" t="s">
        <v>257</v>
      </c>
      <c r="B27" s="312" t="s">
        <v>983</v>
      </c>
      <c r="C27" s="312"/>
      <c r="D27" s="312"/>
      <c r="E27" s="312"/>
      <c r="F27" s="312"/>
      <c r="G27" s="313" t="s">
        <v>523</v>
      </c>
      <c r="H27" s="45"/>
      <c r="I27" s="44"/>
      <c r="J27" s="44"/>
      <c r="K27" s="44"/>
      <c r="L27" s="44"/>
      <c r="M27" s="44"/>
      <c r="N27" s="44"/>
      <c r="O27" s="44"/>
      <c r="P27" s="44"/>
      <c r="Q27" s="44"/>
      <c r="R27" s="44"/>
      <c r="S27" s="49">
        <f t="shared" si="9"/>
        <v>0</v>
      </c>
      <c r="T27" s="49">
        <f t="shared" si="3"/>
        <v>0</v>
      </c>
      <c r="U27" s="44"/>
      <c r="V27" s="44"/>
      <c r="W27" s="44"/>
      <c r="X27" s="44"/>
    </row>
    <row r="28" spans="1:26" s="17" customFormat="1" x14ac:dyDescent="0.2">
      <c r="A28" s="346" t="s">
        <v>74</v>
      </c>
      <c r="B28" s="312" t="s">
        <v>77</v>
      </c>
      <c r="C28" s="312"/>
      <c r="D28" s="312"/>
      <c r="E28" s="312"/>
      <c r="F28" s="312"/>
      <c r="G28" s="313" t="s">
        <v>524</v>
      </c>
      <c r="H28" s="45"/>
      <c r="I28" s="41">
        <f t="shared" ref="I28:R28" si="10">I29+I30</f>
        <v>0</v>
      </c>
      <c r="J28" s="41">
        <f t="shared" si="10"/>
        <v>0</v>
      </c>
      <c r="K28" s="41">
        <f t="shared" si="10"/>
        <v>0</v>
      </c>
      <c r="L28" s="41">
        <f t="shared" si="10"/>
        <v>0</v>
      </c>
      <c r="M28" s="41">
        <f t="shared" si="10"/>
        <v>0</v>
      </c>
      <c r="N28" s="41">
        <f t="shared" si="10"/>
        <v>0</v>
      </c>
      <c r="O28" s="41">
        <f t="shared" si="10"/>
        <v>0</v>
      </c>
      <c r="P28" s="41">
        <f t="shared" si="10"/>
        <v>0</v>
      </c>
      <c r="Q28" s="41">
        <f t="shared" si="10"/>
        <v>0</v>
      </c>
      <c r="R28" s="41">
        <f t="shared" si="10"/>
        <v>0</v>
      </c>
      <c r="S28" s="49">
        <f t="shared" si="9"/>
        <v>0</v>
      </c>
      <c r="T28" s="49">
        <f t="shared" si="3"/>
        <v>0</v>
      </c>
      <c r="U28" s="41">
        <f>U29+U30</f>
        <v>0</v>
      </c>
      <c r="V28" s="41">
        <f>V29+V30</f>
        <v>0</v>
      </c>
      <c r="W28" s="41">
        <f>W29+W30</f>
        <v>0</v>
      </c>
      <c r="X28" s="41">
        <f>X29+X30</f>
        <v>0</v>
      </c>
    </row>
    <row r="29" spans="1:26" s="17" customFormat="1" x14ac:dyDescent="0.2">
      <c r="A29" s="346"/>
      <c r="B29" s="312" t="s">
        <v>59</v>
      </c>
      <c r="C29" s="312" t="s">
        <v>78</v>
      </c>
      <c r="D29" s="312"/>
      <c r="E29" s="312"/>
      <c r="F29" s="312"/>
      <c r="G29" s="313" t="s">
        <v>525</v>
      </c>
      <c r="H29" s="45"/>
      <c r="I29" s="44"/>
      <c r="J29" s="44"/>
      <c r="K29" s="44"/>
      <c r="L29" s="44"/>
      <c r="M29" s="44"/>
      <c r="N29" s="44"/>
      <c r="O29" s="44"/>
      <c r="P29" s="44"/>
      <c r="Q29" s="44"/>
      <c r="R29" s="44"/>
      <c r="S29" s="49">
        <f t="shared" si="9"/>
        <v>0</v>
      </c>
      <c r="T29" s="49">
        <f t="shared" si="3"/>
        <v>0</v>
      </c>
      <c r="U29" s="44"/>
      <c r="V29" s="44"/>
      <c r="W29" s="44"/>
      <c r="X29" s="44"/>
    </row>
    <row r="30" spans="1:26" s="17" customFormat="1" x14ac:dyDescent="0.2">
      <c r="A30" s="346"/>
      <c r="B30" s="312" t="s">
        <v>61</v>
      </c>
      <c r="C30" s="312" t="s">
        <v>66</v>
      </c>
      <c r="D30" s="312"/>
      <c r="E30" s="312"/>
      <c r="F30" s="312"/>
      <c r="G30" s="313" t="s">
        <v>526</v>
      </c>
      <c r="H30" s="45"/>
      <c r="I30" s="44"/>
      <c r="J30" s="44"/>
      <c r="K30" s="44"/>
      <c r="L30" s="44"/>
      <c r="M30" s="44"/>
      <c r="N30" s="44"/>
      <c r="O30" s="44"/>
      <c r="P30" s="44"/>
      <c r="Q30" s="44"/>
      <c r="R30" s="44"/>
      <c r="S30" s="49">
        <f t="shared" si="9"/>
        <v>0</v>
      </c>
      <c r="T30" s="49">
        <f t="shared" si="3"/>
        <v>0</v>
      </c>
      <c r="U30" s="44"/>
      <c r="V30" s="44"/>
      <c r="W30" s="44"/>
      <c r="X30" s="44"/>
    </row>
    <row r="31" spans="1:26" s="17" customFormat="1" x14ac:dyDescent="0.2">
      <c r="A31" s="346" t="s">
        <v>76</v>
      </c>
      <c r="B31" s="640" t="s">
        <v>982</v>
      </c>
      <c r="C31" s="640"/>
      <c r="D31" s="640"/>
      <c r="E31" s="640"/>
      <c r="F31" s="640"/>
      <c r="G31" s="313" t="s">
        <v>527</v>
      </c>
      <c r="H31" s="45"/>
      <c r="I31" s="44"/>
      <c r="J31" s="44"/>
      <c r="K31" s="44"/>
      <c r="L31" s="44"/>
      <c r="M31" s="44"/>
      <c r="N31" s="44"/>
      <c r="O31" s="44"/>
      <c r="P31" s="44"/>
      <c r="Q31" s="44"/>
      <c r="R31" s="44"/>
      <c r="S31" s="49">
        <f t="shared" si="9"/>
        <v>0</v>
      </c>
      <c r="T31" s="49">
        <f t="shared" si="3"/>
        <v>0</v>
      </c>
      <c r="U31" s="44"/>
      <c r="V31" s="44"/>
      <c r="W31" s="44"/>
      <c r="X31" s="44"/>
    </row>
    <row r="32" spans="1:26" s="17" customFormat="1" x14ac:dyDescent="0.2">
      <c r="A32" s="346" t="s">
        <v>79</v>
      </c>
      <c r="B32" s="312" t="s">
        <v>1467</v>
      </c>
      <c r="C32" s="312"/>
      <c r="D32" s="312"/>
      <c r="E32" s="312"/>
      <c r="F32" s="312"/>
      <c r="G32" s="313" t="s">
        <v>528</v>
      </c>
      <c r="H32" s="45"/>
      <c r="I32" s="41">
        <f>I33+I34+I37+I38</f>
        <v>0</v>
      </c>
      <c r="J32" s="41">
        <f t="shared" ref="J32:R32" si="11">J33+J34+J37+J38</f>
        <v>0</v>
      </c>
      <c r="K32" s="41">
        <f t="shared" si="11"/>
        <v>0</v>
      </c>
      <c r="L32" s="41">
        <f t="shared" si="11"/>
        <v>0</v>
      </c>
      <c r="M32" s="41">
        <f t="shared" si="11"/>
        <v>0</v>
      </c>
      <c r="N32" s="41">
        <f t="shared" si="11"/>
        <v>0</v>
      </c>
      <c r="O32" s="41">
        <f t="shared" si="11"/>
        <v>0</v>
      </c>
      <c r="P32" s="41">
        <f t="shared" si="11"/>
        <v>0</v>
      </c>
      <c r="Q32" s="41">
        <f t="shared" si="11"/>
        <v>0</v>
      </c>
      <c r="R32" s="41">
        <f t="shared" si="11"/>
        <v>0</v>
      </c>
      <c r="S32" s="49">
        <f t="shared" si="9"/>
        <v>0</v>
      </c>
      <c r="T32" s="49">
        <f t="shared" si="3"/>
        <v>0</v>
      </c>
      <c r="U32" s="41">
        <f>U33+U34+U37+U38</f>
        <v>0</v>
      </c>
      <c r="V32" s="41">
        <f>V33+V34+V37+V38</f>
        <v>0</v>
      </c>
      <c r="W32" s="41">
        <f>W33+W34+W37+W38</f>
        <v>0</v>
      </c>
      <c r="X32" s="41">
        <f>X33+X34+X37+X38</f>
        <v>0</v>
      </c>
    </row>
    <row r="33" spans="1:24" s="17" customFormat="1" x14ac:dyDescent="0.2">
      <c r="A33" s="346"/>
      <c r="B33" s="312" t="s">
        <v>59</v>
      </c>
      <c r="C33" s="312" t="s">
        <v>82</v>
      </c>
      <c r="D33" s="312"/>
      <c r="E33" s="312"/>
      <c r="F33" s="312"/>
      <c r="G33" s="313" t="s">
        <v>529</v>
      </c>
      <c r="H33" s="45"/>
      <c r="I33" s="44"/>
      <c r="J33" s="44"/>
      <c r="K33" s="44"/>
      <c r="L33" s="44"/>
      <c r="M33" s="44"/>
      <c r="N33" s="44"/>
      <c r="O33" s="44"/>
      <c r="P33" s="44"/>
      <c r="Q33" s="44"/>
      <c r="R33" s="44"/>
      <c r="S33" s="49">
        <f t="shared" si="9"/>
        <v>0</v>
      </c>
      <c r="T33" s="49">
        <f t="shared" si="3"/>
        <v>0</v>
      </c>
      <c r="U33" s="44"/>
      <c r="V33" s="44"/>
      <c r="W33" s="44"/>
      <c r="X33" s="44"/>
    </row>
    <row r="34" spans="1:24" s="17" customFormat="1" x14ac:dyDescent="0.2">
      <c r="A34" s="346"/>
      <c r="B34" s="312" t="s">
        <v>61</v>
      </c>
      <c r="C34" s="662" t="s">
        <v>1457</v>
      </c>
      <c r="D34" s="662"/>
      <c r="E34" s="662"/>
      <c r="F34" s="663"/>
      <c r="G34" s="313" t="s">
        <v>530</v>
      </c>
      <c r="H34" s="45"/>
      <c r="I34" s="41">
        <f>I35+I36</f>
        <v>0</v>
      </c>
      <c r="J34" s="41">
        <f t="shared" ref="J34:R34" si="12">J35+J36</f>
        <v>0</v>
      </c>
      <c r="K34" s="41">
        <f t="shared" si="12"/>
        <v>0</v>
      </c>
      <c r="L34" s="41">
        <f t="shared" si="12"/>
        <v>0</v>
      </c>
      <c r="M34" s="41">
        <f t="shared" si="12"/>
        <v>0</v>
      </c>
      <c r="N34" s="41">
        <f t="shared" si="12"/>
        <v>0</v>
      </c>
      <c r="O34" s="41">
        <f t="shared" si="12"/>
        <v>0</v>
      </c>
      <c r="P34" s="41">
        <f t="shared" si="12"/>
        <v>0</v>
      </c>
      <c r="Q34" s="41">
        <f t="shared" si="12"/>
        <v>0</v>
      </c>
      <c r="R34" s="41">
        <f t="shared" si="12"/>
        <v>0</v>
      </c>
      <c r="S34" s="41">
        <f t="shared" si="9"/>
        <v>0</v>
      </c>
      <c r="T34" s="41">
        <f>J34-L34+N34-P34+R34</f>
        <v>0</v>
      </c>
      <c r="U34" s="41">
        <f>U35+U36</f>
        <v>0</v>
      </c>
      <c r="V34" s="41">
        <f>V35+V36</f>
        <v>0</v>
      </c>
      <c r="W34" s="41">
        <f>W35+W36</f>
        <v>0</v>
      </c>
      <c r="X34" s="41">
        <f>X35+X36</f>
        <v>0</v>
      </c>
    </row>
    <row r="35" spans="1:24" s="17" customFormat="1" x14ac:dyDescent="0.2">
      <c r="A35" s="617"/>
      <c r="B35" s="556"/>
      <c r="C35" s="312" t="s">
        <v>54</v>
      </c>
      <c r="D35" s="312" t="s">
        <v>83</v>
      </c>
      <c r="E35" s="312"/>
      <c r="F35" s="312"/>
      <c r="G35" s="618" t="s">
        <v>1461</v>
      </c>
      <c r="H35" s="45"/>
      <c r="I35" s="44"/>
      <c r="J35" s="44"/>
      <c r="K35" s="44"/>
      <c r="L35" s="44"/>
      <c r="M35" s="44"/>
      <c r="N35" s="44"/>
      <c r="O35" s="44"/>
      <c r="P35" s="44"/>
      <c r="Q35" s="44"/>
      <c r="R35" s="44"/>
      <c r="S35" s="49">
        <f t="shared" si="9"/>
        <v>0</v>
      </c>
      <c r="T35" s="49">
        <f>J35-L35+N35-P35+R35</f>
        <v>0</v>
      </c>
      <c r="U35" s="44"/>
      <c r="V35" s="44"/>
      <c r="W35" s="44"/>
      <c r="X35" s="44"/>
    </row>
    <row r="36" spans="1:24" s="17" customFormat="1" x14ac:dyDescent="0.2">
      <c r="A36" s="617"/>
      <c r="B36" s="556"/>
      <c r="C36" s="312" t="s">
        <v>55</v>
      </c>
      <c r="D36" s="312" t="s">
        <v>1458</v>
      </c>
      <c r="E36" s="312"/>
      <c r="F36" s="312"/>
      <c r="G36" s="618" t="s">
        <v>1462</v>
      </c>
      <c r="H36" s="45"/>
      <c r="I36" s="44"/>
      <c r="J36" s="44"/>
      <c r="K36" s="44"/>
      <c r="L36" s="44"/>
      <c r="M36" s="44"/>
      <c r="N36" s="44"/>
      <c r="O36" s="44"/>
      <c r="P36" s="44"/>
      <c r="Q36" s="44"/>
      <c r="R36" s="44"/>
      <c r="S36" s="49">
        <f t="shared" si="9"/>
        <v>0</v>
      </c>
      <c r="T36" s="49">
        <f>J36-L36+N36-P36+R36</f>
        <v>0</v>
      </c>
      <c r="U36" s="44"/>
      <c r="V36" s="44"/>
      <c r="W36" s="44"/>
      <c r="X36" s="44"/>
    </row>
    <row r="37" spans="1:24" s="17" customFormat="1" x14ac:dyDescent="0.2">
      <c r="A37" s="346"/>
      <c r="B37" s="3" t="s">
        <v>71</v>
      </c>
      <c r="C37" s="3" t="s">
        <v>1468</v>
      </c>
      <c r="D37" s="3"/>
      <c r="E37" s="3"/>
      <c r="F37" s="3"/>
      <c r="G37" s="416" t="s">
        <v>1444</v>
      </c>
      <c r="H37" s="45"/>
      <c r="I37" s="44"/>
      <c r="J37" s="44"/>
      <c r="K37" s="44"/>
      <c r="L37" s="44"/>
      <c r="M37" s="44"/>
      <c r="N37" s="44"/>
      <c r="O37" s="44"/>
      <c r="P37" s="44"/>
      <c r="Q37" s="44"/>
      <c r="R37" s="44"/>
      <c r="S37" s="49">
        <f t="shared" si="9"/>
        <v>0</v>
      </c>
      <c r="T37" s="49">
        <f>J37-L37+N37-P37+R37</f>
        <v>0</v>
      </c>
      <c r="U37" s="44"/>
      <c r="V37" s="44"/>
      <c r="W37" s="44"/>
      <c r="X37" s="44"/>
    </row>
    <row r="38" spans="1:24" s="17" customFormat="1" x14ac:dyDescent="0.2">
      <c r="A38" s="346"/>
      <c r="B38" s="312" t="s">
        <v>1433</v>
      </c>
      <c r="C38" s="312" t="s">
        <v>52</v>
      </c>
      <c r="D38" s="312"/>
      <c r="E38" s="312"/>
      <c r="F38" s="312"/>
      <c r="G38" s="313" t="s">
        <v>531</v>
      </c>
      <c r="H38" s="45"/>
      <c r="I38" s="44"/>
      <c r="J38" s="44"/>
      <c r="K38" s="44"/>
      <c r="L38" s="44"/>
      <c r="M38" s="44"/>
      <c r="N38" s="44"/>
      <c r="O38" s="44"/>
      <c r="P38" s="44"/>
      <c r="Q38" s="44"/>
      <c r="R38" s="44"/>
      <c r="S38" s="49">
        <f t="shared" si="9"/>
        <v>0</v>
      </c>
      <c r="T38" s="49">
        <f t="shared" si="3"/>
        <v>0</v>
      </c>
      <c r="U38" s="44"/>
      <c r="V38" s="44"/>
      <c r="W38" s="44"/>
      <c r="X38" s="44"/>
    </row>
    <row r="39" spans="1:24" s="17" customFormat="1" x14ac:dyDescent="0.2">
      <c r="A39" s="346" t="s">
        <v>81</v>
      </c>
      <c r="B39" s="312" t="s">
        <v>85</v>
      </c>
      <c r="C39" s="312"/>
      <c r="D39" s="312"/>
      <c r="E39" s="312"/>
      <c r="F39" s="312"/>
      <c r="G39" s="313" t="s">
        <v>532</v>
      </c>
      <c r="H39" s="45"/>
      <c r="I39" s="44"/>
      <c r="J39" s="44"/>
      <c r="K39" s="44"/>
      <c r="L39" s="44"/>
      <c r="M39" s="44"/>
      <c r="N39" s="44"/>
      <c r="O39" s="44"/>
      <c r="P39" s="44"/>
      <c r="Q39" s="44"/>
      <c r="R39" s="44"/>
      <c r="S39" s="49">
        <f t="shared" si="9"/>
        <v>0</v>
      </c>
      <c r="T39" s="49">
        <f t="shared" si="3"/>
        <v>0</v>
      </c>
      <c r="U39" s="44"/>
      <c r="V39" s="44"/>
      <c r="W39" s="44"/>
      <c r="X39" s="44"/>
    </row>
    <row r="40" spans="1:24" s="17" customFormat="1" x14ac:dyDescent="0.2">
      <c r="A40" s="223" t="s">
        <v>86</v>
      </c>
      <c r="B40" s="312"/>
      <c r="C40" s="312"/>
      <c r="D40" s="312"/>
      <c r="E40" s="312"/>
      <c r="F40" s="312"/>
      <c r="G40" s="313" t="s">
        <v>533</v>
      </c>
      <c r="H40" s="45"/>
      <c r="I40" s="41">
        <f t="shared" ref="I40:R40" si="13">I41+I42+I43+I44</f>
        <v>0</v>
      </c>
      <c r="J40" s="41">
        <f t="shared" si="13"/>
        <v>0</v>
      </c>
      <c r="K40" s="41">
        <f t="shared" si="13"/>
        <v>0</v>
      </c>
      <c r="L40" s="41">
        <f t="shared" si="13"/>
        <v>0</v>
      </c>
      <c r="M40" s="41">
        <f t="shared" si="13"/>
        <v>0</v>
      </c>
      <c r="N40" s="41">
        <f t="shared" si="13"/>
        <v>0</v>
      </c>
      <c r="O40" s="41">
        <f t="shared" si="13"/>
        <v>0</v>
      </c>
      <c r="P40" s="41">
        <f t="shared" si="13"/>
        <v>0</v>
      </c>
      <c r="Q40" s="41">
        <f t="shared" si="13"/>
        <v>0</v>
      </c>
      <c r="R40" s="41">
        <f t="shared" si="13"/>
        <v>0</v>
      </c>
      <c r="S40" s="49">
        <f t="shared" si="9"/>
        <v>0</v>
      </c>
      <c r="T40" s="49">
        <f t="shared" si="3"/>
        <v>0</v>
      </c>
      <c r="U40" s="41">
        <f>U41+U42+U43+U44</f>
        <v>0</v>
      </c>
      <c r="V40" s="41">
        <f>V41+V42+V43+V44</f>
        <v>0</v>
      </c>
      <c r="W40" s="41">
        <f>W41+W42+W43+W44</f>
        <v>0</v>
      </c>
      <c r="X40" s="41">
        <f>X41+X42+X43+X44</f>
        <v>0</v>
      </c>
    </row>
    <row r="41" spans="1:24" s="17" customFormat="1" x14ac:dyDescent="0.2">
      <c r="A41" s="348" t="s">
        <v>54</v>
      </c>
      <c r="B41" s="225" t="s">
        <v>87</v>
      </c>
      <c r="C41" s="312"/>
      <c r="D41" s="312"/>
      <c r="E41" s="312"/>
      <c r="F41" s="312"/>
      <c r="G41" s="313" t="s">
        <v>534</v>
      </c>
      <c r="H41" s="45"/>
      <c r="I41" s="44"/>
      <c r="J41" s="44"/>
      <c r="K41" s="44"/>
      <c r="L41" s="44"/>
      <c r="M41" s="44"/>
      <c r="N41" s="44"/>
      <c r="O41" s="44"/>
      <c r="P41" s="44"/>
      <c r="Q41" s="44"/>
      <c r="R41" s="44"/>
      <c r="S41" s="49">
        <f t="shared" si="9"/>
        <v>0</v>
      </c>
      <c r="T41" s="49">
        <f t="shared" si="3"/>
        <v>0</v>
      </c>
      <c r="U41" s="44"/>
      <c r="V41" s="44"/>
      <c r="W41" s="44"/>
      <c r="X41" s="44"/>
    </row>
    <row r="42" spans="1:24" s="17" customFormat="1" x14ac:dyDescent="0.2">
      <c r="A42" s="348" t="s">
        <v>55</v>
      </c>
      <c r="B42" s="225" t="s">
        <v>88</v>
      </c>
      <c r="C42" s="312"/>
      <c r="D42" s="312"/>
      <c r="E42" s="312"/>
      <c r="F42" s="312"/>
      <c r="G42" s="313" t="s">
        <v>535</v>
      </c>
      <c r="H42" s="45"/>
      <c r="I42" s="44"/>
      <c r="J42" s="44"/>
      <c r="K42" s="44"/>
      <c r="L42" s="44"/>
      <c r="M42" s="44"/>
      <c r="N42" s="44"/>
      <c r="O42" s="44"/>
      <c r="P42" s="44"/>
      <c r="Q42" s="44"/>
      <c r="R42" s="44"/>
      <c r="S42" s="49">
        <f t="shared" si="9"/>
        <v>0</v>
      </c>
      <c r="T42" s="49">
        <f t="shared" si="3"/>
        <v>0</v>
      </c>
      <c r="U42" s="44"/>
      <c r="V42" s="44"/>
      <c r="W42" s="44"/>
      <c r="X42" s="44"/>
    </row>
    <row r="43" spans="1:24" s="17" customFormat="1" x14ac:dyDescent="0.2">
      <c r="A43" s="348" t="s">
        <v>65</v>
      </c>
      <c r="B43" s="312" t="s">
        <v>89</v>
      </c>
      <c r="C43" s="312"/>
      <c r="D43" s="312"/>
      <c r="E43" s="312"/>
      <c r="F43" s="312"/>
      <c r="G43" s="313" t="s">
        <v>536</v>
      </c>
      <c r="H43" s="45"/>
      <c r="I43" s="44"/>
      <c r="J43" s="44"/>
      <c r="K43" s="44"/>
      <c r="L43" s="44"/>
      <c r="M43" s="44"/>
      <c r="N43" s="44"/>
      <c r="O43" s="44"/>
      <c r="P43" s="44"/>
      <c r="Q43" s="44"/>
      <c r="R43" s="44"/>
      <c r="S43" s="49">
        <f t="shared" si="9"/>
        <v>0</v>
      </c>
      <c r="T43" s="49">
        <f t="shared" si="3"/>
        <v>0</v>
      </c>
      <c r="U43" s="44"/>
      <c r="V43" s="44"/>
      <c r="W43" s="44"/>
      <c r="X43" s="44"/>
    </row>
    <row r="44" spans="1:24" s="17" customFormat="1" x14ac:dyDescent="0.2">
      <c r="A44" s="348" t="s">
        <v>90</v>
      </c>
      <c r="B44" s="312" t="s">
        <v>91</v>
      </c>
      <c r="C44" s="312"/>
      <c r="D44" s="312"/>
      <c r="E44" s="312"/>
      <c r="F44" s="312"/>
      <c r="G44" s="313" t="s">
        <v>537</v>
      </c>
      <c r="H44" s="45"/>
      <c r="I44" s="44"/>
      <c r="J44" s="44"/>
      <c r="K44" s="44"/>
      <c r="L44" s="44"/>
      <c r="M44" s="44"/>
      <c r="N44" s="44"/>
      <c r="O44" s="44"/>
      <c r="P44" s="44"/>
      <c r="Q44" s="44"/>
      <c r="R44" s="44"/>
      <c r="S44" s="49">
        <f t="shared" si="9"/>
        <v>0</v>
      </c>
      <c r="T44" s="49">
        <f t="shared" si="3"/>
        <v>0</v>
      </c>
      <c r="U44" s="44"/>
      <c r="V44" s="44"/>
      <c r="W44" s="44"/>
      <c r="X44" s="44"/>
    </row>
    <row r="45" spans="1:24" s="20" customFormat="1" x14ac:dyDescent="0.2">
      <c r="A45" s="371" t="s">
        <v>140</v>
      </c>
      <c r="B45" s="330"/>
      <c r="C45" s="330"/>
      <c r="D45" s="330"/>
      <c r="E45" s="330"/>
      <c r="F45" s="322"/>
      <c r="G45" s="313" t="s">
        <v>538</v>
      </c>
      <c r="H45" s="115"/>
      <c r="I45" s="41">
        <f t="shared" ref="I45:R45" si="14">I40+I10</f>
        <v>0</v>
      </c>
      <c r="J45" s="41">
        <f t="shared" si="14"/>
        <v>0</v>
      </c>
      <c r="K45" s="41">
        <f t="shared" si="14"/>
        <v>0</v>
      </c>
      <c r="L45" s="41">
        <f t="shared" si="14"/>
        <v>0</v>
      </c>
      <c r="M45" s="41">
        <f t="shared" si="14"/>
        <v>0</v>
      </c>
      <c r="N45" s="41">
        <f t="shared" si="14"/>
        <v>0</v>
      </c>
      <c r="O45" s="41">
        <f t="shared" si="14"/>
        <v>0</v>
      </c>
      <c r="P45" s="41">
        <f t="shared" si="14"/>
        <v>0</v>
      </c>
      <c r="Q45" s="41">
        <f t="shared" si="14"/>
        <v>0</v>
      </c>
      <c r="R45" s="41">
        <f t="shared" si="14"/>
        <v>0</v>
      </c>
      <c r="S45" s="49">
        <f t="shared" si="9"/>
        <v>0</v>
      </c>
      <c r="T45" s="49">
        <f t="shared" si="3"/>
        <v>0</v>
      </c>
      <c r="U45" s="41">
        <f>U40+U10</f>
        <v>0</v>
      </c>
      <c r="V45" s="41">
        <f>V40+V10</f>
        <v>0</v>
      </c>
      <c r="W45" s="41">
        <f>W40+W10</f>
        <v>0</v>
      </c>
      <c r="X45" s="41">
        <f>X40+X10</f>
        <v>0</v>
      </c>
    </row>
    <row r="46" spans="1:24" x14ac:dyDescent="0.2">
      <c r="G46" s="230" t="s">
        <v>108</v>
      </c>
      <c r="I46" s="42"/>
      <c r="J46" s="42"/>
      <c r="K46" s="42"/>
      <c r="L46" s="42"/>
      <c r="M46" s="42"/>
      <c r="N46" s="42"/>
      <c r="O46" s="42"/>
      <c r="P46" s="42"/>
      <c r="Q46" s="203"/>
      <c r="R46" s="203"/>
      <c r="S46" s="42"/>
      <c r="T46" s="42"/>
      <c r="U46" s="42"/>
      <c r="V46" s="42"/>
      <c r="W46" s="5"/>
      <c r="X46" s="5"/>
    </row>
    <row r="47" spans="1:24" x14ac:dyDescent="0.2">
      <c r="I47" s="42"/>
      <c r="J47" s="42"/>
      <c r="K47" s="42"/>
      <c r="L47" s="42"/>
      <c r="M47" s="42"/>
      <c r="N47" s="42"/>
      <c r="O47" s="42"/>
      <c r="P47" s="42"/>
      <c r="Q47" s="203"/>
      <c r="R47" s="203"/>
      <c r="S47" s="42"/>
      <c r="T47" s="42"/>
      <c r="U47" s="42"/>
      <c r="V47" s="42"/>
      <c r="W47" s="42"/>
      <c r="X47" s="42"/>
    </row>
    <row r="48" spans="1:24" x14ac:dyDescent="0.2">
      <c r="I48" s="42"/>
      <c r="J48" s="42"/>
      <c r="K48" s="42"/>
      <c r="L48" s="42"/>
      <c r="M48" s="42"/>
      <c r="N48" s="42"/>
      <c r="O48" s="42"/>
      <c r="P48" s="42"/>
      <c r="Q48" s="203"/>
      <c r="R48" s="203"/>
      <c r="S48" s="42"/>
      <c r="T48" s="42"/>
      <c r="U48" s="42"/>
      <c r="V48" s="42"/>
      <c r="W48" s="42"/>
      <c r="X48" s="42"/>
    </row>
    <row r="49" spans="9:24" x14ac:dyDescent="0.2">
      <c r="I49" s="42"/>
      <c r="J49" s="42"/>
      <c r="K49" s="42"/>
      <c r="L49" s="42"/>
      <c r="M49" s="42"/>
      <c r="N49" s="42"/>
      <c r="O49" s="42"/>
      <c r="P49" s="42"/>
      <c r="Q49" s="203"/>
      <c r="R49" s="203"/>
      <c r="S49" s="42"/>
      <c r="T49" s="42"/>
      <c r="U49" s="42"/>
      <c r="V49" s="42"/>
      <c r="W49" s="42"/>
      <c r="X49" s="42"/>
    </row>
  </sheetData>
  <sheetProtection password="E0FA" sheet="1" objects="1" scenarios="1" selectLockedCells="1"/>
  <mergeCells count="18">
    <mergeCell ref="C34:F34"/>
    <mergeCell ref="W5:X7"/>
    <mergeCell ref="A8:X8"/>
    <mergeCell ref="B31:F31"/>
    <mergeCell ref="A5:F7"/>
    <mergeCell ref="G5:G7"/>
    <mergeCell ref="C22:F22"/>
    <mergeCell ref="C23:F23"/>
    <mergeCell ref="A1:X1"/>
    <mergeCell ref="A2:X2"/>
    <mergeCell ref="A3:X3"/>
    <mergeCell ref="I5:J7"/>
    <mergeCell ref="K5:L7"/>
    <mergeCell ref="M5:N7"/>
    <mergeCell ref="O5:P7"/>
    <mergeCell ref="Q5:R7"/>
    <mergeCell ref="S5:T7"/>
    <mergeCell ref="U5:V7"/>
  </mergeCells>
  <phoneticPr fontId="2" type="noConversion"/>
  <dataValidations count="2">
    <dataValidation type="decimal" allowBlank="1" showInputMessage="1" showErrorMessage="1" sqref="I25:P27 I29:P31 I22:P23 I41:P44 I12:P13 I15:P17 I19:P20 I33:P39">
      <formula1>0</formula1>
      <formula2>99999999999999900</formula2>
    </dataValidation>
    <dataValidation type="decimal" operator="greaterThanOrEqual" allowBlank="1" showInputMessage="1" showErrorMessage="1" sqref="U10:X10 Q1:R10 Q12:R31 U12:X31 U33:X44 Q33:R65536">
      <formula1>-99999999999999900</formula1>
    </dataValidation>
  </dataValidations>
  <printOptions horizontalCentered="1"/>
  <pageMargins left="0.25" right="0.25" top="1" bottom="0.5" header="0.6" footer="0.47"/>
  <pageSetup paperSize="9" orientation="landscape" horizontalDpi="360" verticalDpi="360" r:id="rId1"/>
  <headerFooter alignWithMargins="0">
    <oddHeader>&amp;R&amp;"Arial,Bold"&amp;9&amp;USchedule 11c4&amp;8&amp;U
&amp;P of &amp;N&amp;C&amp;"Arial,Bold"&amp;8 ABN AMRO BANK INC (A COMM'L BANK)  [ 01-000000 ]
 As of: January 31, 2008</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AL126"/>
  <sheetViews>
    <sheetView zoomScaleNormal="100" zoomScaleSheetLayoutView="100" workbookViewId="0">
      <pane xSplit="6" ySplit="9" topLeftCell="W10" activePane="bottomRight" state="frozen"/>
      <selection pane="topRight" activeCell="G1" sqref="G1"/>
      <selection pane="bottomLeft" activeCell="A10" sqref="A10"/>
      <selection pane="bottomRight"/>
    </sheetView>
  </sheetViews>
  <sheetFormatPr defaultRowHeight="12.75" x14ac:dyDescent="0.2"/>
  <cols>
    <col min="1" max="1" width="2.42578125" style="442" customWidth="1"/>
    <col min="2" max="2" width="2.28515625" style="442" customWidth="1"/>
    <col min="3" max="4" width="2.7109375" style="442" customWidth="1"/>
    <col min="5" max="5" width="12" style="442" customWidth="1"/>
    <col min="6" max="6" width="24.28515625" style="442" customWidth="1"/>
    <col min="7" max="7" width="18" style="480" customWidth="1"/>
    <col min="8" max="8" width="23.140625" style="442" hidden="1" customWidth="1"/>
    <col min="9" max="30" width="25.7109375" style="479" customWidth="1"/>
    <col min="31" max="16384" width="9.140625" style="442"/>
  </cols>
  <sheetData>
    <row r="2" spans="1:30" s="439" customFormat="1" x14ac:dyDescent="0.2">
      <c r="A2" s="437" t="s">
        <v>709</v>
      </c>
      <c r="B2" s="437"/>
      <c r="C2" s="437"/>
      <c r="D2" s="437"/>
      <c r="E2" s="437"/>
      <c r="F2" s="437"/>
      <c r="G2" s="437"/>
      <c r="H2" s="437"/>
      <c r="I2" s="437"/>
      <c r="J2" s="437"/>
      <c r="K2" s="437"/>
      <c r="L2" s="437"/>
      <c r="M2" s="437"/>
      <c r="N2" s="437"/>
      <c r="O2" s="437"/>
      <c r="P2" s="437"/>
      <c r="Q2" s="437"/>
      <c r="R2" s="437"/>
      <c r="S2" s="437"/>
      <c r="T2" s="437"/>
      <c r="U2" s="437"/>
      <c r="V2" s="437"/>
      <c r="W2" s="437"/>
      <c r="X2" s="437"/>
      <c r="Y2" s="437"/>
      <c r="Z2" s="437"/>
      <c r="AA2" s="437"/>
      <c r="AB2" s="437"/>
      <c r="AC2" s="437"/>
      <c r="AD2" s="438"/>
    </row>
    <row r="3" spans="1:30" s="439" customFormat="1" ht="9.75" customHeight="1" x14ac:dyDescent="0.2">
      <c r="A3" s="437" t="s">
        <v>93</v>
      </c>
      <c r="B3" s="437"/>
      <c r="C3" s="437"/>
      <c r="D3" s="437"/>
      <c r="E3" s="437"/>
      <c r="F3" s="437"/>
      <c r="G3" s="437"/>
      <c r="H3" s="437"/>
      <c r="I3" s="437"/>
      <c r="J3" s="437"/>
      <c r="K3" s="437"/>
      <c r="L3" s="437"/>
      <c r="M3" s="437"/>
      <c r="N3" s="437"/>
      <c r="O3" s="437"/>
      <c r="P3" s="437"/>
      <c r="Q3" s="437"/>
      <c r="R3" s="437"/>
      <c r="S3" s="437"/>
      <c r="T3" s="437"/>
      <c r="U3" s="437"/>
      <c r="V3" s="437"/>
      <c r="W3" s="437"/>
      <c r="X3" s="437"/>
      <c r="Y3" s="437"/>
      <c r="Z3" s="437"/>
      <c r="AA3" s="437"/>
      <c r="AB3" s="437"/>
      <c r="AC3" s="437"/>
      <c r="AD3" s="438"/>
    </row>
    <row r="4" spans="1:30" ht="12.75" customHeight="1" x14ac:dyDescent="0.2">
      <c r="A4" s="440"/>
      <c r="B4" s="440"/>
      <c r="C4" s="440"/>
      <c r="D4" s="440"/>
      <c r="E4" s="440"/>
      <c r="F4" s="440"/>
      <c r="G4" s="440"/>
      <c r="H4" s="440"/>
      <c r="I4" s="441"/>
      <c r="J4" s="441"/>
      <c r="K4" s="441"/>
      <c r="L4" s="441"/>
      <c r="M4" s="441"/>
      <c r="N4" s="441"/>
      <c r="O4" s="441"/>
      <c r="P4" s="441"/>
      <c r="Q4" s="441"/>
      <c r="R4" s="441"/>
      <c r="S4" s="441"/>
      <c r="T4" s="441"/>
      <c r="U4" s="441"/>
      <c r="V4" s="441"/>
      <c r="W4" s="441"/>
      <c r="X4" s="441"/>
      <c r="Y4" s="441"/>
      <c r="Z4" s="441"/>
      <c r="AA4" s="441"/>
      <c r="AB4" s="441"/>
      <c r="AC4" s="441"/>
      <c r="AD4" s="441"/>
    </row>
    <row r="5" spans="1:30" s="444" customFormat="1" ht="12.75" customHeight="1" x14ac:dyDescent="0.2">
      <c r="A5" s="739"/>
      <c r="B5" s="740"/>
      <c r="C5" s="740"/>
      <c r="D5" s="740"/>
      <c r="E5" s="740"/>
      <c r="F5" s="743" t="s">
        <v>710</v>
      </c>
      <c r="G5" s="745" t="s">
        <v>46</v>
      </c>
      <c r="H5" s="443"/>
      <c r="I5" s="746" t="s">
        <v>1320</v>
      </c>
      <c r="J5" s="726" t="s">
        <v>380</v>
      </c>
      <c r="K5" s="726" t="s">
        <v>381</v>
      </c>
      <c r="L5" s="726" t="s">
        <v>1321</v>
      </c>
      <c r="M5" s="726" t="s">
        <v>1322</v>
      </c>
      <c r="N5" s="726" t="s">
        <v>382</v>
      </c>
      <c r="O5" s="726" t="s">
        <v>1323</v>
      </c>
      <c r="P5" s="726" t="s">
        <v>1324</v>
      </c>
      <c r="Q5" s="726" t="s">
        <v>1325</v>
      </c>
      <c r="R5" s="726" t="s">
        <v>1326</v>
      </c>
      <c r="S5" s="726" t="s">
        <v>1327</v>
      </c>
      <c r="T5" s="726" t="s">
        <v>1328</v>
      </c>
      <c r="U5" s="726" t="s">
        <v>1329</v>
      </c>
      <c r="V5" s="726" t="s">
        <v>1330</v>
      </c>
      <c r="W5" s="726" t="s">
        <v>1331</v>
      </c>
      <c r="X5" s="726" t="s">
        <v>383</v>
      </c>
      <c r="Y5" s="726" t="s">
        <v>1332</v>
      </c>
      <c r="Z5" s="726" t="s">
        <v>1333</v>
      </c>
      <c r="AA5" s="726" t="s">
        <v>1334</v>
      </c>
      <c r="AB5" s="726" t="s">
        <v>1335</v>
      </c>
      <c r="AC5" s="726" t="s">
        <v>1336</v>
      </c>
      <c r="AD5" s="726" t="s">
        <v>144</v>
      </c>
    </row>
    <row r="6" spans="1:30" s="444" customFormat="1" ht="12.75" customHeight="1" x14ac:dyDescent="0.2">
      <c r="A6" s="741"/>
      <c r="B6" s="742"/>
      <c r="C6" s="742"/>
      <c r="D6" s="742"/>
      <c r="E6" s="742"/>
      <c r="F6" s="744"/>
      <c r="G6" s="745"/>
      <c r="H6" s="443"/>
      <c r="I6" s="747"/>
      <c r="J6" s="735"/>
      <c r="K6" s="735"/>
      <c r="L6" s="735"/>
      <c r="M6" s="737"/>
      <c r="N6" s="735"/>
      <c r="O6" s="735"/>
      <c r="P6" s="735"/>
      <c r="Q6" s="735"/>
      <c r="R6" s="737"/>
      <c r="S6" s="735"/>
      <c r="T6" s="735"/>
      <c r="U6" s="735"/>
      <c r="V6" s="735"/>
      <c r="W6" s="735"/>
      <c r="X6" s="735"/>
      <c r="Y6" s="735"/>
      <c r="Z6" s="737"/>
      <c r="AA6" s="735"/>
      <c r="AB6" s="735"/>
      <c r="AC6" s="735"/>
      <c r="AD6" s="727"/>
    </row>
    <row r="7" spans="1:30" s="444" customFormat="1" ht="12.75" customHeight="1" x14ac:dyDescent="0.2">
      <c r="A7" s="741"/>
      <c r="B7" s="742"/>
      <c r="C7" s="742"/>
      <c r="D7" s="742"/>
      <c r="E7" s="742"/>
      <c r="F7" s="744"/>
      <c r="G7" s="745"/>
      <c r="H7" s="443"/>
      <c r="I7" s="747"/>
      <c r="J7" s="735"/>
      <c r="K7" s="735"/>
      <c r="L7" s="735"/>
      <c r="M7" s="737"/>
      <c r="N7" s="735"/>
      <c r="O7" s="735"/>
      <c r="P7" s="735"/>
      <c r="Q7" s="735"/>
      <c r="R7" s="737"/>
      <c r="S7" s="735"/>
      <c r="T7" s="735"/>
      <c r="U7" s="735"/>
      <c r="V7" s="735"/>
      <c r="W7" s="735"/>
      <c r="X7" s="735"/>
      <c r="Y7" s="735"/>
      <c r="Z7" s="737"/>
      <c r="AA7" s="735"/>
      <c r="AB7" s="735"/>
      <c r="AC7" s="735"/>
      <c r="AD7" s="727"/>
    </row>
    <row r="8" spans="1:30" s="444" customFormat="1" ht="19.5" customHeight="1" x14ac:dyDescent="0.2">
      <c r="A8" s="729" t="s">
        <v>711</v>
      </c>
      <c r="B8" s="730"/>
      <c r="C8" s="730"/>
      <c r="D8" s="730"/>
      <c r="E8" s="730"/>
      <c r="F8" s="733"/>
      <c r="G8" s="745"/>
      <c r="H8" s="443"/>
      <c r="I8" s="747"/>
      <c r="J8" s="735"/>
      <c r="K8" s="735"/>
      <c r="L8" s="735"/>
      <c r="M8" s="737"/>
      <c r="N8" s="735"/>
      <c r="O8" s="735"/>
      <c r="P8" s="735"/>
      <c r="Q8" s="735"/>
      <c r="R8" s="737"/>
      <c r="S8" s="735"/>
      <c r="T8" s="735"/>
      <c r="U8" s="735"/>
      <c r="V8" s="735"/>
      <c r="W8" s="735"/>
      <c r="X8" s="735"/>
      <c r="Y8" s="735"/>
      <c r="Z8" s="737"/>
      <c r="AA8" s="735"/>
      <c r="AB8" s="735"/>
      <c r="AC8" s="735"/>
      <c r="AD8" s="727"/>
    </row>
    <row r="9" spans="1:30" s="446" customFormat="1" x14ac:dyDescent="0.2">
      <c r="A9" s="731"/>
      <c r="B9" s="732"/>
      <c r="C9" s="732"/>
      <c r="D9" s="732"/>
      <c r="E9" s="732"/>
      <c r="F9" s="734"/>
      <c r="G9" s="745"/>
      <c r="H9" s="445"/>
      <c r="I9" s="748"/>
      <c r="J9" s="736"/>
      <c r="K9" s="736"/>
      <c r="L9" s="736"/>
      <c r="M9" s="738"/>
      <c r="N9" s="736"/>
      <c r="O9" s="736"/>
      <c r="P9" s="736"/>
      <c r="Q9" s="736"/>
      <c r="R9" s="738"/>
      <c r="S9" s="736"/>
      <c r="T9" s="736"/>
      <c r="U9" s="736"/>
      <c r="V9" s="736"/>
      <c r="W9" s="736"/>
      <c r="X9" s="736"/>
      <c r="Y9" s="736"/>
      <c r="Z9" s="738"/>
      <c r="AA9" s="736"/>
      <c r="AB9" s="736"/>
      <c r="AC9" s="736"/>
      <c r="AD9" s="728"/>
    </row>
    <row r="10" spans="1:30" s="452" customFormat="1" x14ac:dyDescent="0.2">
      <c r="A10" s="725" t="s">
        <v>57</v>
      </c>
      <c r="B10" s="716"/>
      <c r="C10" s="716"/>
      <c r="D10" s="716"/>
      <c r="E10" s="716"/>
      <c r="F10" s="717"/>
      <c r="G10" s="448" t="s">
        <v>323</v>
      </c>
      <c r="H10" s="449"/>
      <c r="I10" s="450">
        <f>'11D1'!I10+'11D2'!J10+'11D3'!J10+'11D4'!J10</f>
        <v>0</v>
      </c>
      <c r="J10" s="450">
        <f>'11D1'!J10+'11D2'!L10+'11D3'!L10+'11D4'!L10</f>
        <v>0</v>
      </c>
      <c r="K10" s="450">
        <f>'11D1'!K10+'11D2'!N10+'11D3'!N10+'11D4'!N10</f>
        <v>0</v>
      </c>
      <c r="L10" s="450">
        <f>'11D1'!L10+'11D2'!P10+'11D3'!P10+'11D4'!P10</f>
        <v>0</v>
      </c>
      <c r="M10" s="450">
        <f>'11D1'!M10+'11D2'!R10+'11D3'!R10+'11D4'!R10</f>
        <v>0</v>
      </c>
      <c r="N10" s="450">
        <f>'11D1'!N10+'11D2'!T10+'11D3'!T10+'11D4'!T10</f>
        <v>0</v>
      </c>
      <c r="O10" s="450">
        <f>'11D1'!O10+'11D2'!V10+'11D3'!V10+'11D4'!V10</f>
        <v>0</v>
      </c>
      <c r="P10" s="450">
        <f>'11D1'!P10+'11D2'!X10+'11D3'!X10+'11D4'!X10</f>
        <v>0</v>
      </c>
      <c r="Q10" s="450">
        <f>'11D1'!Q10+'11D2'!Z10+'11D3'!Z10+'11D4'!Z10</f>
        <v>0</v>
      </c>
      <c r="R10" s="450">
        <f>'11D1'!R10+'11D2'!AB10+'11D3'!AB10+'11D4'!AB10</f>
        <v>0</v>
      </c>
      <c r="S10" s="450">
        <f>'11D1'!S10+'11D2'!AD10+'11D3'!AD10+'11D4'!AD10</f>
        <v>0</v>
      </c>
      <c r="T10" s="450">
        <f>'11D1'!T10+'11D2'!AF10+'11D3'!AF10+'11D4'!AF10</f>
        <v>0</v>
      </c>
      <c r="U10" s="450">
        <f>'11D1'!U10+'11D2'!AH10+'11D3'!AH10+'11D4'!AH10</f>
        <v>0</v>
      </c>
      <c r="V10" s="450">
        <f>'11D1'!V10+'11D2'!AJ10+'11D3'!AJ10+'11D4'!AJ10</f>
        <v>0</v>
      </c>
      <c r="W10" s="450">
        <f>'11D1'!W10+'11D2'!AL10+'11D3'!AL10+'11D4'!AL10</f>
        <v>0</v>
      </c>
      <c r="X10" s="450">
        <f>'11D1'!X10+'11D2'!AN10+'11D3'!AN10+'11D4'!AN10</f>
        <v>0</v>
      </c>
      <c r="Y10" s="450">
        <f>'11D1'!Y10+'11D2'!AP10+'11D3'!AP10+'11D4'!AP10</f>
        <v>0</v>
      </c>
      <c r="Z10" s="450">
        <f>'11D1'!Z10+'11D2'!AR10+'11D3'!AR10+'11D4'!AR10</f>
        <v>0</v>
      </c>
      <c r="AA10" s="450">
        <f>'11D1'!AA10+'11D2'!AT10+'11D3'!AT10+'11D4'!AT10</f>
        <v>0</v>
      </c>
      <c r="AB10" s="450">
        <f>'11D1'!AB10+'11D2'!AV10+'11D3'!AV10+'11D4'!AV10</f>
        <v>0</v>
      </c>
      <c r="AC10" s="451"/>
      <c r="AD10" s="450">
        <f>'11D1'!AD10+'11D2'!AY10+'11D3'!AY10+'11D4'!AY10</f>
        <v>0</v>
      </c>
    </row>
    <row r="11" spans="1:30" s="452" customFormat="1" x14ac:dyDescent="0.2">
      <c r="A11" s="453" t="s">
        <v>712</v>
      </c>
      <c r="B11" s="454"/>
      <c r="C11" s="454"/>
      <c r="D11" s="454"/>
      <c r="E11" s="454"/>
      <c r="F11" s="454"/>
      <c r="G11" s="448" t="s">
        <v>713</v>
      </c>
      <c r="H11" s="449"/>
      <c r="I11" s="450">
        <f>'11D1'!I11+'11D2'!J11+'11D3'!J11+'11D4'!J11</f>
        <v>0</v>
      </c>
      <c r="J11" s="450">
        <f>'11D1'!J11+'11D2'!L11+'11D3'!L11+'11D4'!L11</f>
        <v>0</v>
      </c>
      <c r="K11" s="450">
        <f>'11D1'!K11+'11D2'!N11+'11D3'!N11+'11D4'!N11</f>
        <v>0</v>
      </c>
      <c r="L11" s="450">
        <f>'11D1'!L11+'11D2'!P11+'11D3'!P11+'11D4'!P11</f>
        <v>0</v>
      </c>
      <c r="M11" s="450">
        <f>'11D1'!M11+'11D2'!R11+'11D3'!R11+'11D4'!R11</f>
        <v>0</v>
      </c>
      <c r="N11" s="450">
        <f>'11D1'!N11+'11D2'!T11+'11D3'!T11+'11D4'!T11</f>
        <v>0</v>
      </c>
      <c r="O11" s="450">
        <f>'11D1'!O11+'11D2'!V11+'11D3'!V11+'11D4'!V11</f>
        <v>0</v>
      </c>
      <c r="P11" s="450">
        <f>'11D1'!P11+'11D2'!X11+'11D3'!X11+'11D4'!X11</f>
        <v>0</v>
      </c>
      <c r="Q11" s="450">
        <f>'11D1'!Q11+'11D2'!Z11+'11D3'!Z11+'11D4'!Z11</f>
        <v>0</v>
      </c>
      <c r="R11" s="450">
        <f>'11D1'!R11+'11D2'!AB11+'11D3'!AB11+'11D4'!AB11</f>
        <v>0</v>
      </c>
      <c r="S11" s="450">
        <f>'11D1'!S11+'11D2'!AD11+'11D3'!AD11+'11D4'!AD11</f>
        <v>0</v>
      </c>
      <c r="T11" s="450">
        <f>'11D1'!T11+'11D2'!AF11+'11D3'!AF11+'11D4'!AF11</f>
        <v>0</v>
      </c>
      <c r="U11" s="450">
        <f>'11D1'!U11+'11D2'!AH11+'11D3'!AH11+'11D4'!AH11</f>
        <v>0</v>
      </c>
      <c r="V11" s="450">
        <f>'11D1'!V11+'11D2'!AJ11+'11D3'!AJ11+'11D4'!AJ11</f>
        <v>0</v>
      </c>
      <c r="W11" s="450">
        <f>'11D1'!W11+'11D2'!AL11+'11D3'!AL11+'11D4'!AL11</f>
        <v>0</v>
      </c>
      <c r="X11" s="450">
        <f>'11D1'!X11+'11D2'!AN11+'11D3'!AN11+'11D4'!AN11</f>
        <v>0</v>
      </c>
      <c r="Y11" s="450">
        <f>'11D1'!Y11+'11D2'!AP11+'11D3'!AP11+'11D4'!AP11</f>
        <v>0</v>
      </c>
      <c r="Z11" s="450">
        <f>'11D1'!Z11+'11D2'!AR11+'11D3'!AR11+'11D4'!AR11</f>
        <v>0</v>
      </c>
      <c r="AA11" s="450">
        <f>'11D1'!AA11+'11D2'!AT11+'11D3'!AT11+'11D4'!AT11</f>
        <v>0</v>
      </c>
      <c r="AB11" s="450">
        <f>'11D1'!AB11+'11D2'!AV11+'11D3'!AV11+'11D4'!AV11</f>
        <v>0</v>
      </c>
      <c r="AC11" s="451"/>
      <c r="AD11" s="450">
        <f>'11D1'!AD11+'11D2'!AY11+'11D3'!AY11+'11D4'!AY11</f>
        <v>0</v>
      </c>
    </row>
    <row r="12" spans="1:30" s="452" customFormat="1" x14ac:dyDescent="0.2">
      <c r="A12" s="455" t="s">
        <v>54</v>
      </c>
      <c r="B12" s="718" t="s">
        <v>540</v>
      </c>
      <c r="C12" s="718"/>
      <c r="D12" s="718"/>
      <c r="E12" s="718"/>
      <c r="F12" s="719"/>
      <c r="G12" s="448" t="s">
        <v>324</v>
      </c>
      <c r="H12" s="449"/>
      <c r="I12" s="450">
        <f>'11D1'!I12+'11D2'!J12+'11D3'!J12+'11D4'!J12</f>
        <v>0</v>
      </c>
      <c r="J12" s="450">
        <f>'11D1'!J12+'11D2'!L12+'11D3'!L12+'11D4'!L12</f>
        <v>0</v>
      </c>
      <c r="K12" s="450">
        <f>'11D1'!K12+'11D2'!N12+'11D3'!N12+'11D4'!N12</f>
        <v>0</v>
      </c>
      <c r="L12" s="450">
        <f>'11D1'!L12+'11D2'!P12+'11D3'!P12+'11D4'!P12</f>
        <v>0</v>
      </c>
      <c r="M12" s="450">
        <f>'11D1'!M12+'11D2'!R12+'11D3'!R12+'11D4'!R12</f>
        <v>0</v>
      </c>
      <c r="N12" s="450">
        <f>'11D1'!N12+'11D2'!T12+'11D3'!T12+'11D4'!T12</f>
        <v>0</v>
      </c>
      <c r="O12" s="450">
        <f>'11D1'!O12+'11D2'!V12+'11D3'!V12+'11D4'!V12</f>
        <v>0</v>
      </c>
      <c r="P12" s="450">
        <f>'11D1'!P12+'11D2'!X12+'11D3'!X12+'11D4'!X12</f>
        <v>0</v>
      </c>
      <c r="Q12" s="450">
        <f>'11D1'!Q12+'11D2'!Z12+'11D3'!Z12+'11D4'!Z12</f>
        <v>0</v>
      </c>
      <c r="R12" s="450">
        <f>'11D1'!R12+'11D2'!AB12+'11D3'!AB12+'11D4'!AB12</f>
        <v>0</v>
      </c>
      <c r="S12" s="450">
        <f>'11D1'!S12+'11D2'!AD12+'11D3'!AD12+'11D4'!AD12</f>
        <v>0</v>
      </c>
      <c r="T12" s="450">
        <f>'11D1'!T12+'11D2'!AF12+'11D3'!AF12+'11D4'!AF12</f>
        <v>0</v>
      </c>
      <c r="U12" s="450">
        <f>'11D1'!U12+'11D2'!AH12+'11D3'!AH12+'11D4'!AH12</f>
        <v>0</v>
      </c>
      <c r="V12" s="450">
        <f>'11D1'!V12+'11D2'!AJ12+'11D3'!AJ12+'11D4'!AJ12</f>
        <v>0</v>
      </c>
      <c r="W12" s="450">
        <f>'11D1'!W12+'11D2'!AL12+'11D3'!AL12+'11D4'!AL12</f>
        <v>0</v>
      </c>
      <c r="X12" s="450">
        <f>'11D1'!X12+'11D2'!AN12+'11D3'!AN12+'11D4'!AN12</f>
        <v>0</v>
      </c>
      <c r="Y12" s="450">
        <f>'11D1'!Y12+'11D2'!AP12+'11D3'!AP12+'11D4'!AP12</f>
        <v>0</v>
      </c>
      <c r="Z12" s="450">
        <f>'11D1'!Z12+'11D2'!AR12+'11D3'!AR12+'11D4'!AR12</f>
        <v>0</v>
      </c>
      <c r="AA12" s="450">
        <f>'11D1'!AA12+'11D2'!AT12+'11D3'!AT12+'11D4'!AT12</f>
        <v>0</v>
      </c>
      <c r="AB12" s="450">
        <f>'11D1'!AB12+'11D2'!AV12+'11D3'!AV12+'11D4'!AV12</f>
        <v>0</v>
      </c>
      <c r="AC12" s="451"/>
      <c r="AD12" s="450">
        <f>'11D1'!AD12+'11D2'!AY12+'11D3'!AY12+'11D4'!AY12</f>
        <v>0</v>
      </c>
    </row>
    <row r="13" spans="1:30" s="452" customFormat="1" x14ac:dyDescent="0.2">
      <c r="A13" s="455"/>
      <c r="B13" s="456" t="s">
        <v>59</v>
      </c>
      <c r="C13" s="718" t="s">
        <v>60</v>
      </c>
      <c r="D13" s="718"/>
      <c r="E13" s="718"/>
      <c r="F13" s="719"/>
      <c r="G13" s="448" t="s">
        <v>325</v>
      </c>
      <c r="H13" s="449"/>
      <c r="I13" s="451"/>
      <c r="J13" s="451"/>
      <c r="K13" s="451"/>
      <c r="L13" s="451"/>
      <c r="M13" s="451"/>
      <c r="N13" s="451"/>
      <c r="O13" s="451"/>
      <c r="P13" s="451"/>
      <c r="Q13" s="451"/>
      <c r="R13" s="451"/>
      <c r="S13" s="451"/>
      <c r="T13" s="451"/>
      <c r="U13" s="451"/>
      <c r="V13" s="451"/>
      <c r="W13" s="450">
        <f>'11D1'!W13+'11D2'!AL13+'11D3'!AL13+'11D4'!AL13</f>
        <v>0</v>
      </c>
      <c r="X13" s="450">
        <f>'11D1'!X13+'11D2'!AN13+'11D3'!AN13+'11D4'!AN13</f>
        <v>0</v>
      </c>
      <c r="Y13" s="450">
        <f>'11D1'!Y13+'11D2'!AP13+'11D3'!AP13+'11D4'!AP13</f>
        <v>0</v>
      </c>
      <c r="Z13" s="451"/>
      <c r="AA13" s="451"/>
      <c r="AB13" s="451"/>
      <c r="AC13" s="451"/>
      <c r="AD13" s="450">
        <f>'11D1'!AD13+'11D2'!AY13+'11D3'!AY13+'11D4'!AY13</f>
        <v>0</v>
      </c>
    </row>
    <row r="14" spans="1:30" s="452" customFormat="1" x14ac:dyDescent="0.2">
      <c r="A14" s="455"/>
      <c r="B14" s="456" t="s">
        <v>61</v>
      </c>
      <c r="C14" s="718" t="s">
        <v>72</v>
      </c>
      <c r="D14" s="718"/>
      <c r="E14" s="718"/>
      <c r="F14" s="719"/>
      <c r="G14" s="448" t="s">
        <v>541</v>
      </c>
      <c r="H14" s="449"/>
      <c r="I14" s="451"/>
      <c r="J14" s="451"/>
      <c r="K14" s="451"/>
      <c r="L14" s="451"/>
      <c r="M14" s="451"/>
      <c r="N14" s="451"/>
      <c r="O14" s="451"/>
      <c r="P14" s="451"/>
      <c r="Q14" s="451"/>
      <c r="R14" s="451"/>
      <c r="S14" s="451"/>
      <c r="T14" s="451"/>
      <c r="U14" s="451"/>
      <c r="V14" s="451"/>
      <c r="W14" s="450">
        <f>'11D1'!W14+'11D2'!AL14+'11D3'!AL14+'11D4'!AL14</f>
        <v>0</v>
      </c>
      <c r="X14" s="450">
        <f>'11D1'!X14+'11D2'!AN14+'11D3'!AN14+'11D4'!AN14</f>
        <v>0</v>
      </c>
      <c r="Y14" s="450">
        <f>'11D1'!Y14+'11D2'!AP14+'11D3'!AP14+'11D4'!AP14</f>
        <v>0</v>
      </c>
      <c r="Z14" s="451"/>
      <c r="AA14" s="451"/>
      <c r="AB14" s="451"/>
      <c r="AC14" s="451"/>
      <c r="AD14" s="450">
        <f>'11D1'!AD14+'11D2'!AY14+'11D3'!AY14+'11D4'!AY14</f>
        <v>0</v>
      </c>
    </row>
    <row r="15" spans="1:30" s="452" customFormat="1" x14ac:dyDescent="0.2">
      <c r="A15" s="455"/>
      <c r="B15" s="456" t="s">
        <v>71</v>
      </c>
      <c r="C15" s="718" t="s">
        <v>62</v>
      </c>
      <c r="D15" s="718"/>
      <c r="E15" s="718"/>
      <c r="F15" s="719"/>
      <c r="G15" s="448" t="s">
        <v>326</v>
      </c>
      <c r="H15" s="449"/>
      <c r="I15" s="450">
        <f>'11D1'!I15+'11D2'!J15+'11D3'!J15+'11D4'!J15</f>
        <v>0</v>
      </c>
      <c r="J15" s="450">
        <f>'11D1'!J15+'11D2'!L15+'11D3'!L15+'11D4'!L15</f>
        <v>0</v>
      </c>
      <c r="K15" s="450">
        <f>'11D1'!K15+'11D2'!N15+'11D3'!N15+'11D4'!N15</f>
        <v>0</v>
      </c>
      <c r="L15" s="450">
        <f>'11D1'!L15+'11D2'!P15+'11D3'!P15+'11D4'!P15</f>
        <v>0</v>
      </c>
      <c r="M15" s="450">
        <f>'11D1'!M15+'11D2'!R15+'11D3'!R15+'11D4'!R15</f>
        <v>0</v>
      </c>
      <c r="N15" s="450">
        <f>'11D1'!N15+'11D2'!T15+'11D3'!T15+'11D4'!T15</f>
        <v>0</v>
      </c>
      <c r="O15" s="450">
        <f>'11D1'!O15+'11D2'!V15+'11D3'!V15+'11D4'!V15</f>
        <v>0</v>
      </c>
      <c r="P15" s="450">
        <f>'11D1'!P15+'11D2'!X15+'11D3'!X15+'11D4'!X15</f>
        <v>0</v>
      </c>
      <c r="Q15" s="450">
        <f>'11D1'!Q15+'11D2'!Z15+'11D3'!Z15+'11D4'!Z15</f>
        <v>0</v>
      </c>
      <c r="R15" s="450">
        <f>'11D1'!R15+'11D2'!AB15+'11D3'!AB15+'11D4'!AB15</f>
        <v>0</v>
      </c>
      <c r="S15" s="450">
        <f>'11D1'!S15+'11D2'!AD15+'11D3'!AD15+'11D4'!AD15</f>
        <v>0</v>
      </c>
      <c r="T15" s="450">
        <f>'11D1'!T15+'11D2'!AF15+'11D3'!AF15+'11D4'!AF15</f>
        <v>0</v>
      </c>
      <c r="U15" s="450">
        <f>'11D1'!U15+'11D2'!AH15+'11D3'!AH15+'11D4'!AH15</f>
        <v>0</v>
      </c>
      <c r="V15" s="450">
        <f>'11D1'!V15+'11D2'!AJ15+'11D3'!AJ15+'11D4'!AJ15</f>
        <v>0</v>
      </c>
      <c r="W15" s="450">
        <f>'11D1'!W15+'11D2'!AL15+'11D3'!AL15+'11D4'!AL15</f>
        <v>0</v>
      </c>
      <c r="X15" s="450">
        <f>'11D1'!X15+'11D2'!AN15+'11D3'!AN15+'11D4'!AN15</f>
        <v>0</v>
      </c>
      <c r="Y15" s="450">
        <f>'11D1'!Y15+'11D2'!AP15+'11D3'!AP15+'11D4'!AP15</f>
        <v>0</v>
      </c>
      <c r="Z15" s="450">
        <f>'11D1'!Z15+'11D2'!AR15+'11D3'!AR15+'11D4'!AR15</f>
        <v>0</v>
      </c>
      <c r="AA15" s="450">
        <f>'11D1'!AA15+'11D2'!AT15+'11D3'!AT15+'11D4'!AT15</f>
        <v>0</v>
      </c>
      <c r="AB15" s="451"/>
      <c r="AC15" s="451"/>
      <c r="AD15" s="450">
        <f>'11D1'!AD15+'11D2'!AY15+'11D3'!AY15+'11D4'!AY15</f>
        <v>0</v>
      </c>
    </row>
    <row r="16" spans="1:30" s="452" customFormat="1" x14ac:dyDescent="0.2">
      <c r="A16" s="455"/>
      <c r="B16" s="456"/>
      <c r="C16" s="459" t="s">
        <v>54</v>
      </c>
      <c r="D16" s="718" t="s">
        <v>63</v>
      </c>
      <c r="E16" s="716"/>
      <c r="F16" s="717"/>
      <c r="G16" s="448" t="s">
        <v>327</v>
      </c>
      <c r="H16" s="449"/>
      <c r="I16" s="451"/>
      <c r="J16" s="451"/>
      <c r="K16" s="451"/>
      <c r="L16" s="451"/>
      <c r="M16" s="451"/>
      <c r="N16" s="451"/>
      <c r="O16" s="451"/>
      <c r="P16" s="451"/>
      <c r="Q16" s="451"/>
      <c r="R16" s="451"/>
      <c r="S16" s="451"/>
      <c r="T16" s="451"/>
      <c r="U16" s="451"/>
      <c r="V16" s="451"/>
      <c r="W16" s="450">
        <f>'11D1'!W16+'11D2'!AL16+'11D3'!AL16+'11D4'!AL16</f>
        <v>0</v>
      </c>
      <c r="X16" s="451"/>
      <c r="Y16" s="451"/>
      <c r="Z16" s="451"/>
      <c r="AA16" s="451"/>
      <c r="AB16" s="451"/>
      <c r="AC16" s="451"/>
      <c r="AD16" s="450">
        <f>'11D1'!AD16+'11D2'!AY16+'11D3'!AY16+'11D4'!AY16</f>
        <v>0</v>
      </c>
    </row>
    <row r="17" spans="1:30" s="452" customFormat="1" x14ac:dyDescent="0.2">
      <c r="A17" s="455"/>
      <c r="B17" s="456"/>
      <c r="C17" s="459" t="s">
        <v>55</v>
      </c>
      <c r="D17" s="718" t="s">
        <v>64</v>
      </c>
      <c r="E17" s="716"/>
      <c r="F17" s="717"/>
      <c r="G17" s="448" t="s">
        <v>328</v>
      </c>
      <c r="H17" s="449"/>
      <c r="I17" s="451"/>
      <c r="J17" s="451"/>
      <c r="K17" s="451"/>
      <c r="L17" s="451"/>
      <c r="M17" s="451"/>
      <c r="N17" s="451"/>
      <c r="O17" s="451"/>
      <c r="P17" s="451"/>
      <c r="Q17" s="451"/>
      <c r="R17" s="451"/>
      <c r="S17" s="450">
        <f>'11D1'!S17+'11D2'!AD17+'11D3'!AD17+'11D4'!AD17</f>
        <v>0</v>
      </c>
      <c r="T17" s="451"/>
      <c r="U17" s="451"/>
      <c r="V17" s="451"/>
      <c r="W17" s="451"/>
      <c r="X17" s="451"/>
      <c r="Y17" s="451"/>
      <c r="Z17" s="451"/>
      <c r="AA17" s="451"/>
      <c r="AB17" s="451"/>
      <c r="AC17" s="451"/>
      <c r="AD17" s="450">
        <f>'11D1'!AD17+'11D2'!AY17+'11D3'!AY17+'11D4'!AY17</f>
        <v>0</v>
      </c>
    </row>
    <row r="18" spans="1:30" s="452" customFormat="1" x14ac:dyDescent="0.2">
      <c r="A18" s="455"/>
      <c r="B18" s="456"/>
      <c r="C18" s="459" t="s">
        <v>65</v>
      </c>
      <c r="D18" s="718" t="s">
        <v>66</v>
      </c>
      <c r="E18" s="716"/>
      <c r="F18" s="717"/>
      <c r="G18" s="448" t="s">
        <v>329</v>
      </c>
      <c r="H18" s="449"/>
      <c r="I18" s="450">
        <f>'11D1'!I18+'11D2'!J18+'11D3'!J18+'11D4'!J18</f>
        <v>0</v>
      </c>
      <c r="J18" s="450">
        <f>'11D1'!J18+'11D2'!L18+'11D3'!L18+'11D4'!L18</f>
        <v>0</v>
      </c>
      <c r="K18" s="450">
        <f>'11D1'!K18+'11D2'!N18+'11D3'!N18+'11D4'!N18</f>
        <v>0</v>
      </c>
      <c r="L18" s="450">
        <f>'11D1'!L18+'11D2'!P18+'11D3'!P18+'11D4'!P18</f>
        <v>0</v>
      </c>
      <c r="M18" s="450">
        <f>'11D1'!M18+'11D2'!R18+'11D3'!R18+'11D4'!R18</f>
        <v>0</v>
      </c>
      <c r="N18" s="450">
        <f>'11D1'!N18+'11D2'!T18+'11D3'!T18+'11D4'!T18</f>
        <v>0</v>
      </c>
      <c r="O18" s="450">
        <f>'11D1'!O18+'11D2'!V18+'11D3'!V18+'11D4'!V18</f>
        <v>0</v>
      </c>
      <c r="P18" s="450">
        <f>'11D1'!P18+'11D2'!X18+'11D3'!X18+'11D4'!X18</f>
        <v>0</v>
      </c>
      <c r="Q18" s="450">
        <f>'11D1'!Q18+'11D2'!Z18+'11D3'!Z18+'11D4'!Z18</f>
        <v>0</v>
      </c>
      <c r="R18" s="450">
        <f>'11D1'!R18+'11D2'!AB18+'11D3'!AB18+'11D4'!AB18</f>
        <v>0</v>
      </c>
      <c r="S18" s="451"/>
      <c r="T18" s="450">
        <f>'11D1'!T18+'11D2'!AF18+'11D3'!AF18+'11D4'!AF18</f>
        <v>0</v>
      </c>
      <c r="U18" s="450">
        <f>'11D1'!U18+'11D2'!AH18+'11D3'!AH18+'11D4'!AH18</f>
        <v>0</v>
      </c>
      <c r="V18" s="450">
        <f>'11D1'!V18+'11D2'!AJ18+'11D3'!AJ18+'11D4'!AJ18</f>
        <v>0</v>
      </c>
      <c r="W18" s="450">
        <f>'11D1'!W18+'11D2'!AL18+'11D3'!AL18+'11D4'!AL18</f>
        <v>0</v>
      </c>
      <c r="X18" s="450">
        <f>'11D1'!X18+'11D2'!AN18+'11D3'!AN18+'11D4'!AN18</f>
        <v>0</v>
      </c>
      <c r="Y18" s="450">
        <f>'11D1'!Y18+'11D2'!AP18+'11D3'!AP18+'11D4'!AP18</f>
        <v>0</v>
      </c>
      <c r="Z18" s="450">
        <f>'11D1'!Z18+'11D2'!AR18+'11D3'!AR18+'11D4'!AR18</f>
        <v>0</v>
      </c>
      <c r="AA18" s="450">
        <f>'11D1'!AA18+'11D2'!AT18+'11D3'!AT18+'11D4'!AT18</f>
        <v>0</v>
      </c>
      <c r="AB18" s="451"/>
      <c r="AC18" s="451"/>
      <c r="AD18" s="450">
        <f>'11D1'!AD18+'11D2'!AY18+'11D3'!AY18+'11D4'!AY18</f>
        <v>0</v>
      </c>
    </row>
    <row r="19" spans="1:30" s="460" customFormat="1" ht="11.25" x14ac:dyDescent="0.2">
      <c r="A19" s="455" t="s">
        <v>55</v>
      </c>
      <c r="B19" s="456" t="s">
        <v>67</v>
      </c>
      <c r="C19" s="456"/>
      <c r="D19" s="456"/>
      <c r="E19" s="456"/>
      <c r="F19" s="457"/>
      <c r="G19" s="448" t="s">
        <v>330</v>
      </c>
      <c r="H19" s="449"/>
      <c r="I19" s="450">
        <f>'11D1'!I19+'11D2'!J19+'11D3'!J19+'11D4'!J19</f>
        <v>0</v>
      </c>
      <c r="J19" s="451"/>
      <c r="K19" s="450">
        <f>'11D1'!K19+'11D2'!N19+'11D3'!N19+'11D4'!N19</f>
        <v>0</v>
      </c>
      <c r="L19" s="450">
        <f>'11D1'!L19+'11D2'!P19+'11D3'!P19+'11D4'!P19</f>
        <v>0</v>
      </c>
      <c r="M19" s="450">
        <f>'11D1'!M19+'11D2'!R19+'11D3'!R19+'11D4'!R19</f>
        <v>0</v>
      </c>
      <c r="N19" s="450">
        <f>'11D1'!N19+'11D2'!T19+'11D3'!T19+'11D4'!T19</f>
        <v>0</v>
      </c>
      <c r="O19" s="450">
        <f>'11D1'!O19+'11D2'!V19+'11D3'!V19+'11D4'!V19</f>
        <v>0</v>
      </c>
      <c r="P19" s="451"/>
      <c r="Q19" s="450">
        <f>'11D1'!Q19+'11D2'!Z19+'11D3'!Z19+'11D4'!Z19</f>
        <v>0</v>
      </c>
      <c r="R19" s="450">
        <f>'11D1'!R19+'11D2'!AB19+'11D3'!AB19+'11D4'!AB19</f>
        <v>0</v>
      </c>
      <c r="S19" s="450">
        <f>'11D1'!S19+'11D2'!AD19+'11D3'!AD19+'11D4'!AD19</f>
        <v>0</v>
      </c>
      <c r="T19" s="450">
        <f>'11D1'!T19+'11D2'!AF19+'11D3'!AF19+'11D4'!AF19</f>
        <v>0</v>
      </c>
      <c r="U19" s="450">
        <f>'11D1'!U19+'11D2'!AH19+'11D3'!AH19+'11D4'!AH19</f>
        <v>0</v>
      </c>
      <c r="V19" s="450">
        <f>'11D1'!V19+'11D2'!AJ19+'11D3'!AJ19+'11D4'!AJ19</f>
        <v>0</v>
      </c>
      <c r="W19" s="450">
        <f>'11D1'!W19+'11D2'!AL19+'11D3'!AL19+'11D4'!AL19</f>
        <v>0</v>
      </c>
      <c r="X19" s="451"/>
      <c r="Y19" s="451"/>
      <c r="Z19" s="451"/>
      <c r="AA19" s="451"/>
      <c r="AB19" s="451"/>
      <c r="AC19" s="451"/>
      <c r="AD19" s="450">
        <f>'11D1'!AD19+'11D2'!AY19+'11D3'!AY19+'11D4'!AY19</f>
        <v>0</v>
      </c>
    </row>
    <row r="20" spans="1:30" s="460" customFormat="1" ht="11.25" x14ac:dyDescent="0.2">
      <c r="A20" s="455"/>
      <c r="B20" s="456" t="s">
        <v>59</v>
      </c>
      <c r="C20" s="718" t="s">
        <v>68</v>
      </c>
      <c r="D20" s="718"/>
      <c r="E20" s="718"/>
      <c r="F20" s="719"/>
      <c r="G20" s="448" t="s">
        <v>331</v>
      </c>
      <c r="H20" s="449"/>
      <c r="I20" s="450">
        <f>'11D1'!I20+'11D2'!J20+'11D3'!J20+'11D4'!J20</f>
        <v>0</v>
      </c>
      <c r="J20" s="451"/>
      <c r="K20" s="450">
        <f>'11D1'!K20+'11D2'!N20+'11D3'!N20+'11D4'!N20</f>
        <v>0</v>
      </c>
      <c r="L20" s="450">
        <f>'11D1'!L20+'11D2'!P20+'11D3'!P20+'11D4'!P20</f>
        <v>0</v>
      </c>
      <c r="M20" s="450">
        <f>'11D1'!M20+'11D2'!R20+'11D3'!R20+'11D4'!R20</f>
        <v>0</v>
      </c>
      <c r="N20" s="450">
        <f>'11D1'!N20+'11D2'!T20+'11D3'!T20+'11D4'!T20</f>
        <v>0</v>
      </c>
      <c r="O20" s="450">
        <f>'11D1'!O20+'11D2'!V20+'11D3'!V20+'11D4'!V20</f>
        <v>0</v>
      </c>
      <c r="P20" s="451"/>
      <c r="Q20" s="450">
        <f>'11D1'!Q20+'11D2'!Z20+'11D3'!Z20+'11D4'!Z20</f>
        <v>0</v>
      </c>
      <c r="R20" s="450">
        <f>'11D1'!R20+'11D2'!AB20+'11D3'!AB20+'11D4'!AB20</f>
        <v>0</v>
      </c>
      <c r="S20" s="450">
        <f>'11D1'!S20+'11D2'!AD20+'11D3'!AD20+'11D4'!AD20</f>
        <v>0</v>
      </c>
      <c r="T20" s="450">
        <f>'11D1'!T20+'11D2'!AF20+'11D3'!AF20+'11D4'!AF20</f>
        <v>0</v>
      </c>
      <c r="U20" s="450">
        <f>'11D1'!U20+'11D2'!AH20+'11D3'!AH20+'11D4'!AH20</f>
        <v>0</v>
      </c>
      <c r="V20" s="450">
        <f>'11D1'!V20+'11D2'!AJ20+'11D3'!AJ20+'11D4'!AJ20</f>
        <v>0</v>
      </c>
      <c r="W20" s="450">
        <f>'11D1'!W20+'11D2'!AL20+'11D3'!AL20+'11D4'!AL20</f>
        <v>0</v>
      </c>
      <c r="X20" s="451"/>
      <c r="Y20" s="451"/>
      <c r="Z20" s="451"/>
      <c r="AA20" s="451"/>
      <c r="AB20" s="451"/>
      <c r="AC20" s="451"/>
      <c r="AD20" s="450">
        <f>'11D1'!AD20+'11D2'!AY20+'11D3'!AY20+'11D4'!AY20</f>
        <v>0</v>
      </c>
    </row>
    <row r="21" spans="1:30" s="460" customFormat="1" ht="11.25" x14ac:dyDescent="0.2">
      <c r="A21" s="455"/>
      <c r="B21" s="456" t="s">
        <v>69</v>
      </c>
      <c r="C21" s="456" t="s">
        <v>70</v>
      </c>
      <c r="D21" s="456"/>
      <c r="E21" s="456"/>
      <c r="F21" s="457"/>
      <c r="G21" s="448" t="s">
        <v>332</v>
      </c>
      <c r="H21" s="449"/>
      <c r="I21" s="450">
        <f>'11D1'!I21+'11D2'!J21+'11D3'!J21+'11D4'!J21</f>
        <v>0</v>
      </c>
      <c r="J21" s="451"/>
      <c r="K21" s="450">
        <f>'11D1'!K21+'11D2'!N21+'11D3'!N21+'11D4'!N21</f>
        <v>0</v>
      </c>
      <c r="L21" s="450">
        <f>'11D1'!L21+'11D2'!P21+'11D3'!P21+'11D4'!P21</f>
        <v>0</v>
      </c>
      <c r="M21" s="450">
        <f>'11D1'!M21+'11D2'!R21+'11D3'!R21+'11D4'!R21</f>
        <v>0</v>
      </c>
      <c r="N21" s="450">
        <f>'11D1'!N21+'11D2'!T21+'11D3'!T21+'11D4'!T21</f>
        <v>0</v>
      </c>
      <c r="O21" s="450">
        <f>'11D1'!O21+'11D2'!V21+'11D3'!V21+'11D4'!V21</f>
        <v>0</v>
      </c>
      <c r="P21" s="451"/>
      <c r="Q21" s="450">
        <f>'11D1'!Q21+'11D2'!Z21+'11D3'!Z21+'11D4'!Z21</f>
        <v>0</v>
      </c>
      <c r="R21" s="450">
        <f>'11D1'!R21+'11D2'!AB21+'11D3'!AB21+'11D4'!AB21</f>
        <v>0</v>
      </c>
      <c r="S21" s="450">
        <f>'11D1'!S21+'11D2'!AD21+'11D3'!AD21+'11D4'!AD21</f>
        <v>0</v>
      </c>
      <c r="T21" s="450">
        <f>'11D1'!T21+'11D2'!AF21+'11D3'!AF21+'11D4'!AF21</f>
        <v>0</v>
      </c>
      <c r="U21" s="450">
        <f>'11D1'!U21+'11D2'!AH21+'11D3'!AH21+'11D4'!AH21</f>
        <v>0</v>
      </c>
      <c r="V21" s="450">
        <f>'11D1'!V21+'11D2'!AJ21+'11D3'!AJ21+'11D4'!AJ21</f>
        <v>0</v>
      </c>
      <c r="W21" s="450">
        <f>'11D1'!W21+'11D2'!AL21+'11D3'!AL21+'11D4'!AL21</f>
        <v>0</v>
      </c>
      <c r="X21" s="451"/>
      <c r="Y21" s="451"/>
      <c r="Z21" s="451"/>
      <c r="AA21" s="451"/>
      <c r="AB21" s="451"/>
      <c r="AC21" s="451"/>
      <c r="AD21" s="450">
        <f>'11D1'!AD21+'11D2'!AY21+'11D3'!AY21+'11D4'!AY21</f>
        <v>0</v>
      </c>
    </row>
    <row r="22" spans="1:30" s="460" customFormat="1" ht="11.25" x14ac:dyDescent="0.2">
      <c r="A22" s="461" t="s">
        <v>65</v>
      </c>
      <c r="B22" s="659" t="s">
        <v>1443</v>
      </c>
      <c r="C22" s="659"/>
      <c r="D22" s="659"/>
      <c r="E22" s="659"/>
      <c r="F22" s="660"/>
      <c r="G22" s="603" t="s">
        <v>333</v>
      </c>
      <c r="H22" s="449"/>
      <c r="I22" s="450">
        <f>'11D1'!I22+'11D2'!J22+'11D3'!J22+'11D4'!J22</f>
        <v>0</v>
      </c>
      <c r="J22" s="450">
        <f>'11D1'!J22+'11D2'!L22+'11D3'!L22+'11D4'!L22</f>
        <v>0</v>
      </c>
      <c r="K22" s="450">
        <f>'11D1'!K22+'11D2'!N22+'11D3'!N22+'11D4'!N22</f>
        <v>0</v>
      </c>
      <c r="L22" s="450">
        <f>'11D1'!L22+'11D2'!P22+'11D3'!P22+'11D4'!P22</f>
        <v>0</v>
      </c>
      <c r="M22" s="450">
        <f>'11D1'!M22+'11D2'!R22+'11D3'!R22+'11D4'!R22</f>
        <v>0</v>
      </c>
      <c r="N22" s="450">
        <f>'11D1'!N22+'11D2'!T22+'11D3'!T22+'11D4'!T22</f>
        <v>0</v>
      </c>
      <c r="O22" s="450">
        <f>'11D1'!O22+'11D2'!V22+'11D3'!V22+'11D4'!V22</f>
        <v>0</v>
      </c>
      <c r="P22" s="450">
        <f>'11D1'!P22+'11D2'!X22+'11D3'!X22+'11D4'!X22</f>
        <v>0</v>
      </c>
      <c r="Q22" s="450">
        <f>'11D1'!Q22+'11D2'!Z22+'11D3'!Z22+'11D4'!Z22</f>
        <v>0</v>
      </c>
      <c r="R22" s="450">
        <f>'11D1'!R22+'11D2'!AB22+'11D3'!AB22+'11D4'!AB22</f>
        <v>0</v>
      </c>
      <c r="S22" s="451"/>
      <c r="T22" s="450">
        <f>'11D1'!T22+'11D2'!AF22+'11D3'!AF22+'11D4'!AF22</f>
        <v>0</v>
      </c>
      <c r="U22" s="450">
        <f>'11D1'!U22+'11D2'!AH22+'11D3'!AH22+'11D4'!AH22</f>
        <v>0</v>
      </c>
      <c r="V22" s="450">
        <f>'11D1'!V22+'11D2'!AJ22+'11D3'!AJ22+'11D4'!AJ22</f>
        <v>0</v>
      </c>
      <c r="W22" s="451"/>
      <c r="X22" s="451"/>
      <c r="Y22" s="450">
        <f>'11D1'!Y22+'11D2'!AP22+'11D3'!AP22+'11D4'!AP22</f>
        <v>0</v>
      </c>
      <c r="Z22" s="450">
        <f>'11D1'!Z22+'11D2'!AR22+'11D3'!AR22+'11D4'!AR22</f>
        <v>0</v>
      </c>
      <c r="AA22" s="450">
        <f>'11D1'!AA22+'11D2'!AT22+'11D3'!AT22+'11D4'!AT22</f>
        <v>0</v>
      </c>
      <c r="AB22" s="451"/>
      <c r="AC22" s="451"/>
      <c r="AD22" s="450">
        <f>'11D1'!AD22+'11D2'!AY22+'11D3'!AY22+'11D4'!AY22</f>
        <v>0</v>
      </c>
    </row>
    <row r="23" spans="1:30" s="460" customFormat="1" ht="11.25" x14ac:dyDescent="0.2">
      <c r="A23" s="461"/>
      <c r="B23" s="569" t="s">
        <v>59</v>
      </c>
      <c r="C23" s="659" t="s">
        <v>543</v>
      </c>
      <c r="D23" s="659"/>
      <c r="E23" s="659"/>
      <c r="F23" s="660"/>
      <c r="G23" s="603" t="s">
        <v>1431</v>
      </c>
      <c r="H23" s="449"/>
      <c r="I23" s="450">
        <f>'11D1'!I23+'11D2'!J23+'11D3'!J23+'11D4'!J23</f>
        <v>0</v>
      </c>
      <c r="J23" s="450">
        <f>'11D1'!J23+'11D2'!L23+'11D3'!L23+'11D4'!L23</f>
        <v>0</v>
      </c>
      <c r="K23" s="450">
        <f>'11D1'!K23+'11D2'!N23+'11D3'!N23+'11D4'!N23</f>
        <v>0</v>
      </c>
      <c r="L23" s="450">
        <f>'11D1'!L23+'11D2'!P23+'11D3'!P23+'11D4'!P23</f>
        <v>0</v>
      </c>
      <c r="M23" s="450">
        <f>'11D1'!M23+'11D2'!R23+'11D3'!R23+'11D4'!R23</f>
        <v>0</v>
      </c>
      <c r="N23" s="450">
        <f>'11D1'!N23+'11D2'!T23+'11D3'!T23+'11D4'!T23</f>
        <v>0</v>
      </c>
      <c r="O23" s="450">
        <f>'11D1'!O23+'11D2'!V23+'11D3'!V23+'11D4'!V23</f>
        <v>0</v>
      </c>
      <c r="P23" s="450">
        <f>'11D1'!P23+'11D2'!X23+'11D3'!X23+'11D4'!X23</f>
        <v>0</v>
      </c>
      <c r="Q23" s="450">
        <f>'11D1'!Q23+'11D2'!Z23+'11D3'!Z23+'11D4'!Z23</f>
        <v>0</v>
      </c>
      <c r="R23" s="450">
        <f>'11D1'!R23+'11D2'!AB23+'11D3'!AB23+'11D4'!AB23</f>
        <v>0</v>
      </c>
      <c r="S23" s="451"/>
      <c r="T23" s="450">
        <f>'11D1'!T23+'11D2'!AF23+'11D3'!AF23+'11D4'!AF23</f>
        <v>0</v>
      </c>
      <c r="U23" s="450">
        <f>'11D1'!U23+'11D2'!AH23+'11D3'!AH23+'11D4'!AH23</f>
        <v>0</v>
      </c>
      <c r="V23" s="450">
        <f>'11D1'!V23+'11D2'!AJ23+'11D3'!AJ23+'11D4'!AJ23</f>
        <v>0</v>
      </c>
      <c r="W23" s="451"/>
      <c r="X23" s="451"/>
      <c r="Y23" s="450">
        <f>'11D1'!Y23+'11D2'!AP23+'11D3'!AP23+'11D4'!AP23</f>
        <v>0</v>
      </c>
      <c r="Z23" s="450">
        <f>'11D1'!Z23+'11D2'!AR23+'11D3'!AR23+'11D4'!AR23</f>
        <v>0</v>
      </c>
      <c r="AA23" s="450">
        <f>'11D1'!AA23+'11D2'!AT23+'11D3'!AT23+'11D4'!AT23</f>
        <v>0</v>
      </c>
      <c r="AB23" s="451"/>
      <c r="AC23" s="451"/>
      <c r="AD23" s="450">
        <f>'11D1'!AD23+'11D2'!AY23+'11D3'!AY23+'11D4'!AY23</f>
        <v>0</v>
      </c>
    </row>
    <row r="24" spans="1:30" s="460" customFormat="1" ht="11.25" x14ac:dyDescent="0.2">
      <c r="A24" s="461"/>
      <c r="B24" s="569" t="s">
        <v>61</v>
      </c>
      <c r="C24" s="659" t="s">
        <v>1430</v>
      </c>
      <c r="D24" s="659"/>
      <c r="E24" s="659"/>
      <c r="F24" s="660"/>
      <c r="G24" s="603" t="s">
        <v>1432</v>
      </c>
      <c r="H24" s="449"/>
      <c r="I24" s="450">
        <f>'11D1'!I24+'11D2'!J24+'11D3'!J24+'11D4'!J24</f>
        <v>0</v>
      </c>
      <c r="J24" s="450">
        <f>'11D1'!J24+'11D2'!L24+'11D3'!L24+'11D4'!L24</f>
        <v>0</v>
      </c>
      <c r="K24" s="450">
        <f>'11D1'!K24+'11D2'!N24+'11D3'!N24+'11D4'!N24</f>
        <v>0</v>
      </c>
      <c r="L24" s="450">
        <f>'11D1'!L24+'11D2'!P24+'11D3'!P24+'11D4'!P24</f>
        <v>0</v>
      </c>
      <c r="M24" s="450">
        <f>'11D1'!M24+'11D2'!R24+'11D3'!R24+'11D4'!R24</f>
        <v>0</v>
      </c>
      <c r="N24" s="450">
        <f>'11D1'!N24+'11D2'!T24+'11D3'!T24+'11D4'!T24</f>
        <v>0</v>
      </c>
      <c r="O24" s="450">
        <f>'11D1'!O24+'11D2'!V24+'11D3'!V24+'11D4'!V24</f>
        <v>0</v>
      </c>
      <c r="P24" s="450">
        <f>'11D1'!P24+'11D2'!X24+'11D3'!X24+'11D4'!X24</f>
        <v>0</v>
      </c>
      <c r="Q24" s="450">
        <f>'11D1'!Q24+'11D2'!Z24+'11D3'!Z24+'11D4'!Z24</f>
        <v>0</v>
      </c>
      <c r="R24" s="450">
        <f>'11D1'!R24+'11D2'!AB24+'11D3'!AB24+'11D4'!AB24</f>
        <v>0</v>
      </c>
      <c r="S24" s="451"/>
      <c r="T24" s="450">
        <f>'11D1'!T24+'11D2'!AF24+'11D3'!AF24+'11D4'!AF24</f>
        <v>0</v>
      </c>
      <c r="U24" s="450">
        <f>'11D1'!U24+'11D2'!AH24+'11D3'!AH24+'11D4'!AH24</f>
        <v>0</v>
      </c>
      <c r="V24" s="450">
        <f>'11D1'!V24+'11D2'!AJ24+'11D3'!AJ24+'11D4'!AJ24</f>
        <v>0</v>
      </c>
      <c r="W24" s="451"/>
      <c r="X24" s="451"/>
      <c r="Y24" s="450">
        <f>'11D1'!Y24+'11D2'!AP24+'11D3'!AP24+'11D4'!AP24</f>
        <v>0</v>
      </c>
      <c r="Z24" s="450">
        <f>'11D1'!Z24+'11D2'!AR24+'11D3'!AR24+'11D4'!AR24</f>
        <v>0</v>
      </c>
      <c r="AA24" s="450">
        <f>'11D1'!AA24+'11D2'!AT24+'11D3'!AT24+'11D4'!AT24</f>
        <v>0</v>
      </c>
      <c r="AB24" s="451"/>
      <c r="AC24" s="451"/>
      <c r="AD24" s="450">
        <f>'11D1'!AD24+'11D2'!AY24+'11D3'!AY24+'11D4'!AY24</f>
        <v>0</v>
      </c>
    </row>
    <row r="25" spans="1:30" s="460" customFormat="1" ht="11.25" x14ac:dyDescent="0.2">
      <c r="A25" s="461" t="s">
        <v>90</v>
      </c>
      <c r="B25" s="456" t="s">
        <v>73</v>
      </c>
      <c r="C25" s="456"/>
      <c r="D25" s="456"/>
      <c r="E25" s="456"/>
      <c r="F25" s="457"/>
      <c r="G25" s="448" t="s">
        <v>334</v>
      </c>
      <c r="H25" s="449"/>
      <c r="I25" s="450">
        <f>'11D1'!I25+'11D2'!J25+'11D3'!J25+'11D4'!J25</f>
        <v>0</v>
      </c>
      <c r="J25" s="450">
        <f>'11D1'!J25+'11D2'!L25+'11D3'!L25+'11D4'!L25</f>
        <v>0</v>
      </c>
      <c r="K25" s="450">
        <f>'11D1'!K25+'11D2'!N25+'11D3'!N25+'11D4'!N25</f>
        <v>0</v>
      </c>
      <c r="L25" s="450">
        <f>'11D1'!L25+'11D2'!P25+'11D3'!P25+'11D4'!P25</f>
        <v>0</v>
      </c>
      <c r="M25" s="450">
        <f>'11D1'!M25+'11D2'!R25+'11D3'!R25+'11D4'!R25</f>
        <v>0</v>
      </c>
      <c r="N25" s="450">
        <f>'11D1'!N25+'11D2'!T25+'11D3'!T25+'11D4'!T25</f>
        <v>0</v>
      </c>
      <c r="O25" s="450">
        <f>'11D1'!O25+'11D2'!V25+'11D3'!V25+'11D4'!V25</f>
        <v>0</v>
      </c>
      <c r="P25" s="450">
        <f>'11D1'!P25+'11D2'!X25+'11D3'!X25+'11D4'!X25</f>
        <v>0</v>
      </c>
      <c r="Q25" s="450">
        <f>'11D1'!Q25+'11D2'!Z25+'11D3'!Z25+'11D4'!Z25</f>
        <v>0</v>
      </c>
      <c r="R25" s="450">
        <f>'11D1'!R25+'11D2'!AB25+'11D3'!AB25+'11D4'!AB25</f>
        <v>0</v>
      </c>
      <c r="S25" s="450">
        <f>'11D1'!S25+'11D2'!AD25+'11D3'!AD25+'11D4'!AD25</f>
        <v>0</v>
      </c>
      <c r="T25" s="450">
        <f>'11D1'!T25+'11D2'!AF25+'11D3'!AF25+'11D4'!AF25</f>
        <v>0</v>
      </c>
      <c r="U25" s="450">
        <f>'11D1'!U25+'11D2'!AH25+'11D3'!AH25+'11D4'!AH25</f>
        <v>0</v>
      </c>
      <c r="V25" s="450">
        <f>'11D1'!V25+'11D2'!AJ25+'11D3'!AJ25+'11D4'!AJ25</f>
        <v>0</v>
      </c>
      <c r="W25" s="451"/>
      <c r="X25" s="450">
        <f>'11D1'!X25+'11D2'!AN25+'11D3'!AN25+'11D4'!AN25</f>
        <v>0</v>
      </c>
      <c r="Y25" s="450">
        <f>'11D1'!Y25+'11D2'!AP25+'11D3'!AP25+'11D4'!AP25</f>
        <v>0</v>
      </c>
      <c r="Z25" s="450">
        <f>'11D1'!Z25+'11D2'!AR25+'11D3'!AR25+'11D4'!AR25</f>
        <v>0</v>
      </c>
      <c r="AA25" s="450">
        <f>'11D1'!AA25+'11D2'!AT25+'11D3'!AT25+'11D4'!AT25</f>
        <v>0</v>
      </c>
      <c r="AB25" s="451"/>
      <c r="AC25" s="451"/>
      <c r="AD25" s="450">
        <f>'11D1'!AD25+'11D2'!AY25+'11D3'!AY25+'11D4'!AY25</f>
        <v>0</v>
      </c>
    </row>
    <row r="26" spans="1:30" s="460" customFormat="1" ht="11.25" x14ac:dyDescent="0.2">
      <c r="A26" s="455"/>
      <c r="B26" s="456" t="s">
        <v>59</v>
      </c>
      <c r="C26" s="718" t="s">
        <v>1451</v>
      </c>
      <c r="D26" s="718"/>
      <c r="E26" s="718"/>
      <c r="F26" s="719"/>
      <c r="G26" s="448" t="s">
        <v>335</v>
      </c>
      <c r="H26" s="449"/>
      <c r="I26" s="450">
        <f>'11D1'!I26+'11D2'!J26+'11D3'!J26+'11D4'!J26</f>
        <v>0</v>
      </c>
      <c r="J26" s="450">
        <f>'11D1'!J26+'11D2'!L26+'11D3'!L26+'11D4'!L26</f>
        <v>0</v>
      </c>
      <c r="K26" s="450">
        <f>'11D1'!K26+'11D2'!N26+'11D3'!N26+'11D4'!N26</f>
        <v>0</v>
      </c>
      <c r="L26" s="450">
        <f>'11D1'!L26+'11D2'!P26+'11D3'!P26+'11D4'!P26</f>
        <v>0</v>
      </c>
      <c r="M26" s="450">
        <f>'11D1'!M26+'11D2'!R26+'11D3'!R26+'11D4'!R26</f>
        <v>0</v>
      </c>
      <c r="N26" s="450">
        <f>'11D1'!N26+'11D2'!T26+'11D3'!T26+'11D4'!T26</f>
        <v>0</v>
      </c>
      <c r="O26" s="450">
        <f>'11D1'!O26+'11D2'!V26+'11D3'!V26+'11D4'!V26</f>
        <v>0</v>
      </c>
      <c r="P26" s="450">
        <f>'11D1'!P26+'11D2'!X26+'11D3'!X26+'11D4'!X26</f>
        <v>0</v>
      </c>
      <c r="Q26" s="450">
        <f>'11D1'!Q26+'11D2'!Z26+'11D3'!Z26+'11D4'!Z26</f>
        <v>0</v>
      </c>
      <c r="R26" s="450">
        <f>'11D1'!R26+'11D2'!AB26+'11D3'!AB26+'11D4'!AB26</f>
        <v>0</v>
      </c>
      <c r="S26" s="450">
        <f>'11D1'!S26+'11D2'!AD26+'11D3'!AD26+'11D4'!AD26</f>
        <v>0</v>
      </c>
      <c r="T26" s="450">
        <f>'11D1'!T26+'11D2'!AF26+'11D3'!AF26+'11D4'!AF26</f>
        <v>0</v>
      </c>
      <c r="U26" s="450">
        <f>'11D1'!U26+'11D2'!AH26+'11D3'!AH26+'11D4'!AH26</f>
        <v>0</v>
      </c>
      <c r="V26" s="450">
        <f>'11D1'!V26+'11D2'!AJ26+'11D3'!AJ26+'11D4'!AJ26</f>
        <v>0</v>
      </c>
      <c r="W26" s="451"/>
      <c r="X26" s="450">
        <f>'11D1'!X26+'11D2'!AN26+'11D3'!AN26+'11D4'!AN26</f>
        <v>0</v>
      </c>
      <c r="Y26" s="450">
        <f>'11D1'!Y26+'11D2'!AP26+'11D3'!AP26+'11D4'!AP26</f>
        <v>0</v>
      </c>
      <c r="Z26" s="450">
        <f>'11D1'!Z26+'11D2'!AR26+'11D3'!AR26+'11D4'!AR26</f>
        <v>0</v>
      </c>
      <c r="AA26" s="450">
        <f>'11D1'!AA26+'11D2'!AT26+'11D3'!AT26+'11D4'!AT26</f>
        <v>0</v>
      </c>
      <c r="AB26" s="451"/>
      <c r="AC26" s="451"/>
      <c r="AD26" s="450">
        <f>'11D1'!AD26+'11D2'!AY26+'11D3'!AY26+'11D4'!AY26</f>
        <v>0</v>
      </c>
    </row>
    <row r="27" spans="1:30" s="460" customFormat="1" ht="11.25" x14ac:dyDescent="0.2">
      <c r="A27" s="455"/>
      <c r="B27" s="456" t="s">
        <v>69</v>
      </c>
      <c r="C27" s="718" t="s">
        <v>1452</v>
      </c>
      <c r="D27" s="718"/>
      <c r="E27" s="718"/>
      <c r="F27" s="719"/>
      <c r="G27" s="448" t="s">
        <v>336</v>
      </c>
      <c r="H27" s="449"/>
      <c r="I27" s="450">
        <f>'11D1'!I27+'11D2'!J27+'11D3'!J27+'11D4'!J27</f>
        <v>0</v>
      </c>
      <c r="J27" s="450">
        <f>'11D1'!J27+'11D2'!L27+'11D3'!L27+'11D4'!L27</f>
        <v>0</v>
      </c>
      <c r="K27" s="450">
        <f>'11D1'!K27+'11D2'!N27+'11D3'!N27+'11D4'!N27</f>
        <v>0</v>
      </c>
      <c r="L27" s="450">
        <f>'11D1'!L27+'11D2'!P27+'11D3'!P27+'11D4'!P27</f>
        <v>0</v>
      </c>
      <c r="M27" s="450">
        <f>'11D1'!M27+'11D2'!R27+'11D3'!R27+'11D4'!R27</f>
        <v>0</v>
      </c>
      <c r="N27" s="450">
        <f>'11D1'!N27+'11D2'!T27+'11D3'!T27+'11D4'!T27</f>
        <v>0</v>
      </c>
      <c r="O27" s="450">
        <f>'11D1'!O27+'11D2'!V27+'11D3'!V27+'11D4'!V27</f>
        <v>0</v>
      </c>
      <c r="P27" s="450">
        <f>'11D1'!P27+'11D2'!X27+'11D3'!X27+'11D4'!X27</f>
        <v>0</v>
      </c>
      <c r="Q27" s="450">
        <f>'11D1'!Q27+'11D2'!Z27+'11D3'!Z27+'11D4'!Z27</f>
        <v>0</v>
      </c>
      <c r="R27" s="450">
        <f>'11D1'!R27+'11D2'!AB27+'11D3'!AB27+'11D4'!AB27</f>
        <v>0</v>
      </c>
      <c r="S27" s="450">
        <f>'11D1'!S27+'11D2'!AD27+'11D3'!AD27+'11D4'!AD27</f>
        <v>0</v>
      </c>
      <c r="T27" s="450">
        <f>'11D1'!T27+'11D2'!AF27+'11D3'!AF27+'11D4'!AF27</f>
        <v>0</v>
      </c>
      <c r="U27" s="450">
        <f>'11D1'!U27+'11D2'!AH27+'11D3'!AH27+'11D4'!AH27</f>
        <v>0</v>
      </c>
      <c r="V27" s="450">
        <f>'11D1'!V27+'11D2'!AJ27+'11D3'!AJ27+'11D4'!AJ27</f>
        <v>0</v>
      </c>
      <c r="W27" s="451"/>
      <c r="X27" s="450">
        <f>'11D1'!X27+'11D2'!AN27+'11D3'!AN27+'11D4'!AN27</f>
        <v>0</v>
      </c>
      <c r="Y27" s="450">
        <f>'11D1'!Y27+'11D2'!AP27+'11D3'!AP27+'11D4'!AP27</f>
        <v>0</v>
      </c>
      <c r="Z27" s="450">
        <f>'11D1'!Z27+'11D2'!AR27+'11D3'!AR27+'11D4'!AR27</f>
        <v>0</v>
      </c>
      <c r="AA27" s="450">
        <f>'11D1'!AA27+'11D2'!AT27+'11D3'!AT27+'11D4'!AT27</f>
        <v>0</v>
      </c>
      <c r="AB27" s="451"/>
      <c r="AC27" s="451"/>
      <c r="AD27" s="450">
        <f>'11D1'!AD27+'11D2'!AY27+'11D3'!AY27+'11D4'!AY27</f>
        <v>0</v>
      </c>
    </row>
    <row r="28" spans="1:30" s="460" customFormat="1" ht="11.25" x14ac:dyDescent="0.2">
      <c r="A28" s="462" t="s">
        <v>257</v>
      </c>
      <c r="B28" s="723" t="s">
        <v>983</v>
      </c>
      <c r="C28" s="723"/>
      <c r="D28" s="723"/>
      <c r="E28" s="723"/>
      <c r="F28" s="724"/>
      <c r="G28" s="448" t="s">
        <v>337</v>
      </c>
      <c r="H28" s="449"/>
      <c r="I28" s="451"/>
      <c r="J28" s="451"/>
      <c r="K28" s="451"/>
      <c r="L28" s="451"/>
      <c r="M28" s="451"/>
      <c r="N28" s="451"/>
      <c r="O28" s="451"/>
      <c r="P28" s="451"/>
      <c r="Q28" s="451"/>
      <c r="R28" s="451"/>
      <c r="S28" s="451"/>
      <c r="T28" s="450">
        <f>'11D1'!T28+'11D2'!AF28+'11D3'!AF28+'11D4'!AF28</f>
        <v>0</v>
      </c>
      <c r="U28" s="451"/>
      <c r="V28" s="451"/>
      <c r="W28" s="451"/>
      <c r="X28" s="451"/>
      <c r="Y28" s="451"/>
      <c r="Z28" s="451"/>
      <c r="AA28" s="451"/>
      <c r="AB28" s="451"/>
      <c r="AC28" s="451"/>
      <c r="AD28" s="450">
        <f>'11D1'!AD28+'11D2'!AY28+'11D3'!AY28+'11D4'!AY28</f>
        <v>0</v>
      </c>
    </row>
    <row r="29" spans="1:30" s="460" customFormat="1" ht="11.25" x14ac:dyDescent="0.2">
      <c r="A29" s="461" t="s">
        <v>74</v>
      </c>
      <c r="B29" s="718" t="s">
        <v>77</v>
      </c>
      <c r="C29" s="718"/>
      <c r="D29" s="718"/>
      <c r="E29" s="718"/>
      <c r="F29" s="719"/>
      <c r="G29" s="448" t="s">
        <v>338</v>
      </c>
      <c r="H29" s="449"/>
      <c r="I29" s="450">
        <f>'11D1'!I29+'11D2'!J29+'11D3'!J29+'11D4'!J29</f>
        <v>0</v>
      </c>
      <c r="J29" s="450">
        <f>'11D1'!J29+'11D2'!L29+'11D3'!L29+'11D4'!L29</f>
        <v>0</v>
      </c>
      <c r="K29" s="450">
        <f>'11D1'!K29+'11D2'!N29+'11D3'!N29+'11D4'!N29</f>
        <v>0</v>
      </c>
      <c r="L29" s="450">
        <f>'11D1'!L29+'11D2'!P29+'11D3'!P29+'11D4'!P29</f>
        <v>0</v>
      </c>
      <c r="M29" s="450">
        <f>'11D1'!M29+'11D2'!R29+'11D3'!R29+'11D4'!R29</f>
        <v>0</v>
      </c>
      <c r="N29" s="450">
        <f>'11D1'!N29+'11D2'!T29+'11D3'!T29+'11D4'!T29</f>
        <v>0</v>
      </c>
      <c r="O29" s="450">
        <f>'11D1'!O29+'11D2'!V29+'11D3'!V29+'11D4'!V29</f>
        <v>0</v>
      </c>
      <c r="P29" s="450">
        <f>'11D1'!P29+'11D2'!X29+'11D3'!X29+'11D4'!X29</f>
        <v>0</v>
      </c>
      <c r="Q29" s="450">
        <f>'11D1'!Q29+'11D2'!Z29+'11D3'!Z29+'11D4'!Z29</f>
        <v>0</v>
      </c>
      <c r="R29" s="450">
        <f>'11D1'!R29+'11D2'!AB29+'11D3'!AB29+'11D4'!AB29</f>
        <v>0</v>
      </c>
      <c r="S29" s="450">
        <f>'11D1'!S29+'11D2'!AD29+'11D3'!AD29+'11D4'!AD29</f>
        <v>0</v>
      </c>
      <c r="T29" s="450">
        <f>'11D1'!T29+'11D2'!AF29+'11D3'!AF29+'11D4'!AF29</f>
        <v>0</v>
      </c>
      <c r="U29" s="450">
        <f>'11D1'!U29+'11D2'!AH29+'11D3'!AH29+'11D4'!AH29</f>
        <v>0</v>
      </c>
      <c r="V29" s="450">
        <f>'11D1'!V29+'11D2'!AJ29+'11D3'!AJ29+'11D4'!AJ29</f>
        <v>0</v>
      </c>
      <c r="W29" s="451"/>
      <c r="X29" s="450">
        <f>'11D1'!X29+'11D2'!AN29+'11D3'!AN29+'11D4'!AN29</f>
        <v>0</v>
      </c>
      <c r="Y29" s="450">
        <f>'11D1'!Y29+'11D2'!AP29+'11D3'!AP29+'11D4'!AP29</f>
        <v>0</v>
      </c>
      <c r="Z29" s="450">
        <f>'11D1'!Z29+'11D2'!AR29+'11D3'!AR29+'11D4'!AR29</f>
        <v>0</v>
      </c>
      <c r="AA29" s="450">
        <f>'11D1'!AA29+'11D2'!AT29+'11D3'!AT29+'11D4'!AT29</f>
        <v>0</v>
      </c>
      <c r="AB29" s="451"/>
      <c r="AC29" s="451"/>
      <c r="AD29" s="450">
        <f>'11D1'!AD29+'11D2'!AY29+'11D3'!AY29+'11D4'!AY29</f>
        <v>0</v>
      </c>
    </row>
    <row r="30" spans="1:30" s="460" customFormat="1" ht="11.25" x14ac:dyDescent="0.2">
      <c r="A30" s="455"/>
      <c r="B30" s="456" t="s">
        <v>59</v>
      </c>
      <c r="C30" s="718" t="s">
        <v>78</v>
      </c>
      <c r="D30" s="718"/>
      <c r="E30" s="718"/>
      <c r="F30" s="719"/>
      <c r="G30" s="448" t="s">
        <v>339</v>
      </c>
      <c r="H30" s="449"/>
      <c r="I30" s="451"/>
      <c r="J30" s="451"/>
      <c r="K30" s="451"/>
      <c r="L30" s="451"/>
      <c r="M30" s="451"/>
      <c r="N30" s="451"/>
      <c r="O30" s="451"/>
      <c r="P30" s="451"/>
      <c r="Q30" s="451"/>
      <c r="R30" s="451"/>
      <c r="S30" s="450">
        <f>'11D1'!S30+'11D2'!AD30+'11D3'!AD30+'11D4'!AD30</f>
        <v>0</v>
      </c>
      <c r="T30" s="451"/>
      <c r="U30" s="451"/>
      <c r="V30" s="451"/>
      <c r="W30" s="451"/>
      <c r="X30" s="451"/>
      <c r="Y30" s="451"/>
      <c r="Z30" s="451"/>
      <c r="AA30" s="451"/>
      <c r="AB30" s="451"/>
      <c r="AC30" s="451"/>
      <c r="AD30" s="450">
        <f>'11D1'!AD30+'11D2'!AY30+'11D3'!AY30+'11D4'!AY30</f>
        <v>0</v>
      </c>
    </row>
    <row r="31" spans="1:30" s="460" customFormat="1" ht="24" customHeight="1" x14ac:dyDescent="0.2">
      <c r="A31" s="455"/>
      <c r="B31" s="456" t="s">
        <v>61</v>
      </c>
      <c r="C31" s="718" t="s">
        <v>66</v>
      </c>
      <c r="D31" s="718"/>
      <c r="E31" s="718"/>
      <c r="F31" s="719"/>
      <c r="G31" s="448" t="s">
        <v>340</v>
      </c>
      <c r="H31" s="449"/>
      <c r="I31" s="450">
        <f>'11D1'!I31+'11D2'!J31+'11D3'!J31+'11D4'!J31</f>
        <v>0</v>
      </c>
      <c r="J31" s="450">
        <f>'11D1'!J31+'11D2'!L31+'11D3'!L31+'11D4'!L31</f>
        <v>0</v>
      </c>
      <c r="K31" s="450">
        <f>'11D1'!K31+'11D2'!N31+'11D3'!N31+'11D4'!N31</f>
        <v>0</v>
      </c>
      <c r="L31" s="450">
        <f>'11D1'!L31+'11D2'!P31+'11D3'!P31+'11D4'!P31</f>
        <v>0</v>
      </c>
      <c r="M31" s="450">
        <f>'11D1'!M31+'11D2'!R31+'11D3'!R31+'11D4'!R31</f>
        <v>0</v>
      </c>
      <c r="N31" s="450">
        <f>'11D1'!N31+'11D2'!T31+'11D3'!T31+'11D4'!T31</f>
        <v>0</v>
      </c>
      <c r="O31" s="450">
        <f>'11D1'!O31+'11D2'!V31+'11D3'!V31+'11D4'!V31</f>
        <v>0</v>
      </c>
      <c r="P31" s="450">
        <f>'11D1'!P31+'11D2'!X31+'11D3'!X31+'11D4'!X31</f>
        <v>0</v>
      </c>
      <c r="Q31" s="450">
        <f>'11D1'!Q31+'11D2'!Z31+'11D3'!Z31+'11D4'!Z31</f>
        <v>0</v>
      </c>
      <c r="R31" s="450">
        <f>'11D1'!R31+'11D2'!AB31+'11D3'!AB31+'11D4'!AB31</f>
        <v>0</v>
      </c>
      <c r="S31" s="451"/>
      <c r="T31" s="450">
        <f>'11D1'!T31+'11D2'!AF31+'11D3'!AF31+'11D4'!AF31</f>
        <v>0</v>
      </c>
      <c r="U31" s="450">
        <f>'11D1'!U31+'11D2'!AH31+'11D3'!AH31+'11D4'!AH31</f>
        <v>0</v>
      </c>
      <c r="V31" s="450">
        <f>'11D1'!V31+'11D2'!AJ31+'11D3'!AJ31+'11D4'!AJ31</f>
        <v>0</v>
      </c>
      <c r="W31" s="451"/>
      <c r="X31" s="450">
        <f>'11D1'!X31+'11D2'!AN31+'11D3'!AN31+'11D4'!AN31</f>
        <v>0</v>
      </c>
      <c r="Y31" s="450">
        <f>'11D1'!Y31+'11D2'!AP31+'11D3'!AP31+'11D4'!AP31</f>
        <v>0</v>
      </c>
      <c r="Z31" s="450">
        <f>'11D1'!Z31+'11D2'!AR31+'11D3'!AR31+'11D4'!AR31</f>
        <v>0</v>
      </c>
      <c r="AA31" s="450">
        <f>'11D1'!AA31+'11D2'!AT31+'11D3'!AT31+'11D4'!AT31</f>
        <v>0</v>
      </c>
      <c r="AB31" s="451"/>
      <c r="AC31" s="451"/>
      <c r="AD31" s="450">
        <f>'11D1'!AD31+'11D2'!AY31+'11D3'!AY31+'11D4'!AY31</f>
        <v>0</v>
      </c>
    </row>
    <row r="32" spans="1:30" s="460" customFormat="1" ht="11.25" x14ac:dyDescent="0.2">
      <c r="A32" s="461" t="s">
        <v>76</v>
      </c>
      <c r="B32" s="723" t="s">
        <v>1337</v>
      </c>
      <c r="C32" s="723"/>
      <c r="D32" s="723"/>
      <c r="E32" s="723"/>
      <c r="F32" s="724"/>
      <c r="G32" s="463" t="s">
        <v>341</v>
      </c>
      <c r="H32" s="464"/>
      <c r="I32" s="451"/>
      <c r="J32" s="451"/>
      <c r="K32" s="451"/>
      <c r="L32" s="451"/>
      <c r="M32" s="451"/>
      <c r="N32" s="451"/>
      <c r="O32" s="451"/>
      <c r="P32" s="451"/>
      <c r="Q32" s="451"/>
      <c r="R32" s="451"/>
      <c r="S32" s="451"/>
      <c r="T32" s="450">
        <f>'11D1'!T32+'11D2'!AF32+'11D3'!AF32+'11D4'!AF32</f>
        <v>0</v>
      </c>
      <c r="U32" s="451"/>
      <c r="V32" s="451"/>
      <c r="W32" s="451"/>
      <c r="X32" s="451"/>
      <c r="Y32" s="451"/>
      <c r="Z32" s="451"/>
      <c r="AA32" s="451"/>
      <c r="AB32" s="451"/>
      <c r="AC32" s="451"/>
      <c r="AD32" s="450">
        <f>'11D1'!AD32+'11D2'!AY32+'11D3'!AY32+'11D4'!AY32</f>
        <v>0</v>
      </c>
    </row>
    <row r="33" spans="1:38" s="460" customFormat="1" ht="11.25" x14ac:dyDescent="0.2">
      <c r="A33" s="462" t="s">
        <v>79</v>
      </c>
      <c r="B33" s="456" t="s">
        <v>85</v>
      </c>
      <c r="C33" s="456"/>
      <c r="D33" s="456"/>
      <c r="E33" s="456"/>
      <c r="F33" s="457"/>
      <c r="G33" s="448" t="s">
        <v>346</v>
      </c>
      <c r="H33" s="449"/>
      <c r="I33" s="450">
        <f>'11D1'!I33+'11D2'!J33+'11D3'!J33+'11D4'!J33</f>
        <v>0</v>
      </c>
      <c r="J33" s="450">
        <f>'11D1'!J33+'11D2'!L33+'11D3'!L33+'11D4'!L33</f>
        <v>0</v>
      </c>
      <c r="K33" s="450">
        <f>'11D1'!K33+'11D2'!N33+'11D3'!N33+'11D4'!N33</f>
        <v>0</v>
      </c>
      <c r="L33" s="451"/>
      <c r="M33" s="450">
        <f>'11D1'!M33+'11D2'!R33+'11D3'!R33+'11D4'!R33</f>
        <v>0</v>
      </c>
      <c r="N33" s="450">
        <f>'11D1'!N33+'11D2'!T33+'11D3'!T33+'11D4'!T33</f>
        <v>0</v>
      </c>
      <c r="O33" s="450">
        <f>'11D1'!O33+'11D2'!V33+'11D3'!V33+'11D4'!V33</f>
        <v>0</v>
      </c>
      <c r="P33" s="450">
        <f>'11D1'!P33+'11D2'!X33+'11D3'!X33+'11D4'!X33</f>
        <v>0</v>
      </c>
      <c r="Q33" s="450">
        <f>'11D1'!Q33+'11D2'!Z33+'11D3'!Z33+'11D4'!Z33</f>
        <v>0</v>
      </c>
      <c r="R33" s="450">
        <f>'11D1'!R33+'11D2'!AB33+'11D3'!AB33+'11D4'!AB33</f>
        <v>0</v>
      </c>
      <c r="S33" s="451"/>
      <c r="T33" s="450">
        <f>'11D1'!T33+'11D2'!AF33+'11D3'!AF33+'11D4'!AF33</f>
        <v>0</v>
      </c>
      <c r="U33" s="450">
        <f>'11D1'!U33+'11D2'!AH33+'11D3'!AH33+'11D4'!AH33</f>
        <v>0</v>
      </c>
      <c r="V33" s="450">
        <f>'11D1'!V33+'11D2'!AJ33+'11D3'!AJ33+'11D4'!AJ33</f>
        <v>0</v>
      </c>
      <c r="W33" s="451"/>
      <c r="X33" s="450">
        <f>'11D1'!X33+'11D2'!AN33+'11D3'!AN33+'11D4'!AN33</f>
        <v>0</v>
      </c>
      <c r="Y33" s="450">
        <f>'11D1'!Y33+'11D2'!AP33+'11D3'!AP33+'11D4'!AP33</f>
        <v>0</v>
      </c>
      <c r="Z33" s="450">
        <f>'11D1'!Z33+'11D2'!AR33+'11D3'!AR33+'11D4'!AR33</f>
        <v>0</v>
      </c>
      <c r="AA33" s="450">
        <f>'11D1'!AA33+'11D2'!AT33+'11D3'!AT33+'11D4'!AT33</f>
        <v>0</v>
      </c>
      <c r="AB33" s="450">
        <f>'11D1'!AB33+'11D2'!AV33+'11D3'!AV33+'11D4'!AV33</f>
        <v>0</v>
      </c>
      <c r="AC33" s="451"/>
      <c r="AD33" s="450">
        <f>'11D1'!AD33+'11D2'!AY33+'11D3'!AY33+'11D4'!AY33</f>
        <v>0</v>
      </c>
    </row>
    <row r="34" spans="1:38" s="460" customFormat="1" ht="11.25" x14ac:dyDescent="0.2">
      <c r="A34" s="447" t="s">
        <v>714</v>
      </c>
      <c r="B34" s="456"/>
      <c r="C34" s="456"/>
      <c r="D34" s="456"/>
      <c r="E34" s="456"/>
      <c r="F34" s="457"/>
      <c r="G34" s="448" t="s">
        <v>715</v>
      </c>
      <c r="H34" s="449"/>
      <c r="I34" s="451"/>
      <c r="J34" s="451"/>
      <c r="K34" s="451"/>
      <c r="L34" s="451"/>
      <c r="M34" s="451"/>
      <c r="N34" s="451"/>
      <c r="O34" s="451"/>
      <c r="P34" s="451"/>
      <c r="Q34" s="451"/>
      <c r="R34" s="451"/>
      <c r="S34" s="451"/>
      <c r="T34" s="451"/>
      <c r="U34" s="451"/>
      <c r="V34" s="451"/>
      <c r="W34" s="451"/>
      <c r="X34" s="451"/>
      <c r="Y34" s="451"/>
      <c r="Z34" s="451"/>
      <c r="AA34" s="451"/>
      <c r="AB34" s="451"/>
      <c r="AC34" s="451"/>
      <c r="AD34" s="450">
        <f>'11D1'!AD34+'11D2'!AY34+'11D3'!AY34+'11D4'!AY34</f>
        <v>0</v>
      </c>
    </row>
    <row r="35" spans="1:38" s="460" customFormat="1" ht="11.25" x14ac:dyDescent="0.2">
      <c r="A35" s="462" t="s">
        <v>81</v>
      </c>
      <c r="B35" s="456" t="s">
        <v>1467</v>
      </c>
      <c r="C35" s="456"/>
      <c r="D35" s="456"/>
      <c r="E35" s="456"/>
      <c r="F35" s="457"/>
      <c r="G35" s="448" t="s">
        <v>342</v>
      </c>
      <c r="H35" s="449"/>
      <c r="I35" s="451"/>
      <c r="J35" s="451"/>
      <c r="K35" s="451"/>
      <c r="L35" s="451"/>
      <c r="M35" s="451"/>
      <c r="N35" s="451"/>
      <c r="O35" s="451"/>
      <c r="P35" s="451"/>
      <c r="Q35" s="451"/>
      <c r="R35" s="451"/>
      <c r="S35" s="451"/>
      <c r="T35" s="451"/>
      <c r="U35" s="451"/>
      <c r="V35" s="451"/>
      <c r="W35" s="451"/>
      <c r="X35" s="451"/>
      <c r="Y35" s="451"/>
      <c r="Z35" s="451"/>
      <c r="AA35" s="451"/>
      <c r="AB35" s="451"/>
      <c r="AC35" s="451"/>
      <c r="AD35" s="450">
        <f>'11D1'!AD35+'11D2'!AY35+'11D3'!AY35+'11D4'!AY35</f>
        <v>0</v>
      </c>
    </row>
    <row r="36" spans="1:38" s="452" customFormat="1" x14ac:dyDescent="0.2">
      <c r="A36" s="455"/>
      <c r="B36" s="456" t="s">
        <v>59</v>
      </c>
      <c r="C36" s="718" t="s">
        <v>82</v>
      </c>
      <c r="D36" s="718"/>
      <c r="E36" s="718"/>
      <c r="F36" s="719"/>
      <c r="G36" s="448" t="s">
        <v>343</v>
      </c>
      <c r="H36" s="449"/>
      <c r="I36" s="451"/>
      <c r="J36" s="451"/>
      <c r="K36" s="451"/>
      <c r="L36" s="451"/>
      <c r="M36" s="451"/>
      <c r="N36" s="451"/>
      <c r="O36" s="451"/>
      <c r="P36" s="451"/>
      <c r="Q36" s="451"/>
      <c r="R36" s="451"/>
      <c r="S36" s="451"/>
      <c r="T36" s="451"/>
      <c r="U36" s="451"/>
      <c r="V36" s="451"/>
      <c r="W36" s="451"/>
      <c r="X36" s="451"/>
      <c r="Y36" s="451"/>
      <c r="Z36" s="451"/>
      <c r="AA36" s="451"/>
      <c r="AB36" s="451"/>
      <c r="AC36" s="451"/>
      <c r="AD36" s="450">
        <f>'11D1'!AD36+'11D2'!AY36+'11D3'!AY36+'11D4'!AY36</f>
        <v>0</v>
      </c>
    </row>
    <row r="37" spans="1:38" s="452" customFormat="1" x14ac:dyDescent="0.2">
      <c r="A37" s="455"/>
      <c r="B37" s="456" t="s">
        <v>61</v>
      </c>
      <c r="C37" s="662" t="s">
        <v>1457</v>
      </c>
      <c r="D37" s="662"/>
      <c r="E37" s="662"/>
      <c r="F37" s="663"/>
      <c r="G37" s="448" t="s">
        <v>344</v>
      </c>
      <c r="H37" s="449"/>
      <c r="I37" s="451"/>
      <c r="J37" s="451"/>
      <c r="K37" s="451"/>
      <c r="L37" s="451"/>
      <c r="M37" s="451"/>
      <c r="N37" s="451"/>
      <c r="O37" s="451"/>
      <c r="P37" s="451"/>
      <c r="Q37" s="451"/>
      <c r="R37" s="451"/>
      <c r="S37" s="451"/>
      <c r="T37" s="451"/>
      <c r="U37" s="451"/>
      <c r="V37" s="451"/>
      <c r="W37" s="451"/>
      <c r="X37" s="451"/>
      <c r="Y37" s="451"/>
      <c r="Z37" s="451"/>
      <c r="AA37" s="451"/>
      <c r="AB37" s="451"/>
      <c r="AC37" s="451"/>
      <c r="AD37" s="450">
        <f>'11D1'!AD37+'11D2'!AY37+'11D3'!AY37+'11D4'!AY37</f>
        <v>0</v>
      </c>
    </row>
    <row r="38" spans="1:38" s="452" customFormat="1" x14ac:dyDescent="0.2">
      <c r="A38" s="455"/>
      <c r="B38" s="456"/>
      <c r="C38" s="456" t="s">
        <v>54</v>
      </c>
      <c r="D38" s="456" t="s">
        <v>83</v>
      </c>
      <c r="E38" s="456"/>
      <c r="F38" s="456"/>
      <c r="G38" s="616" t="s">
        <v>1459</v>
      </c>
      <c r="H38" s="449"/>
      <c r="I38" s="451"/>
      <c r="J38" s="451"/>
      <c r="K38" s="451"/>
      <c r="L38" s="451"/>
      <c r="M38" s="451"/>
      <c r="N38" s="451"/>
      <c r="O38" s="451"/>
      <c r="P38" s="451"/>
      <c r="Q38" s="451"/>
      <c r="R38" s="451"/>
      <c r="S38" s="451"/>
      <c r="T38" s="451"/>
      <c r="U38" s="451"/>
      <c r="V38" s="451"/>
      <c r="W38" s="451"/>
      <c r="X38" s="451"/>
      <c r="Y38" s="451"/>
      <c r="Z38" s="451"/>
      <c r="AA38" s="451"/>
      <c r="AB38" s="451"/>
      <c r="AC38" s="451"/>
      <c r="AD38" s="450">
        <f>'11D1'!AD38+'11D2'!AY38+'11D3'!AY38+'11D4'!AY38</f>
        <v>0</v>
      </c>
    </row>
    <row r="39" spans="1:38" s="452" customFormat="1" x14ac:dyDescent="0.2">
      <c r="A39" s="455"/>
      <c r="B39" s="456"/>
      <c r="C39" s="456" t="s">
        <v>55</v>
      </c>
      <c r="D39" s="456" t="s">
        <v>1458</v>
      </c>
      <c r="E39" s="456"/>
      <c r="F39" s="456"/>
      <c r="G39" s="616" t="s">
        <v>1460</v>
      </c>
      <c r="H39" s="449"/>
      <c r="I39" s="451"/>
      <c r="J39" s="451"/>
      <c r="K39" s="451"/>
      <c r="L39" s="451"/>
      <c r="M39" s="451"/>
      <c r="N39" s="451"/>
      <c r="O39" s="451"/>
      <c r="P39" s="451"/>
      <c r="Q39" s="451"/>
      <c r="R39" s="451"/>
      <c r="S39" s="451"/>
      <c r="T39" s="451"/>
      <c r="U39" s="451"/>
      <c r="V39" s="451"/>
      <c r="W39" s="451"/>
      <c r="X39" s="451"/>
      <c r="Y39" s="451"/>
      <c r="Z39" s="451"/>
      <c r="AA39" s="451"/>
      <c r="AB39" s="451"/>
      <c r="AC39" s="451"/>
      <c r="AD39" s="450">
        <f>'11D1'!AD39+'11D2'!AY39+'11D3'!AY39+'11D4'!AY39</f>
        <v>0</v>
      </c>
    </row>
    <row r="40" spans="1:38" s="452" customFormat="1" x14ac:dyDescent="0.2">
      <c r="A40" s="455"/>
      <c r="B40" s="467" t="s">
        <v>71</v>
      </c>
      <c r="C40" s="467" t="s">
        <v>1468</v>
      </c>
      <c r="D40" s="467"/>
      <c r="E40" s="467"/>
      <c r="F40" s="604"/>
      <c r="G40" s="603" t="s">
        <v>1435</v>
      </c>
      <c r="H40" s="449"/>
      <c r="I40" s="451"/>
      <c r="J40" s="451"/>
      <c r="K40" s="451"/>
      <c r="L40" s="451"/>
      <c r="M40" s="451"/>
      <c r="N40" s="451"/>
      <c r="O40" s="451"/>
      <c r="P40" s="451"/>
      <c r="Q40" s="451"/>
      <c r="R40" s="451"/>
      <c r="S40" s="451"/>
      <c r="T40" s="451"/>
      <c r="U40" s="451"/>
      <c r="V40" s="451"/>
      <c r="W40" s="451"/>
      <c r="X40" s="451"/>
      <c r="Y40" s="451"/>
      <c r="Z40" s="451"/>
      <c r="AA40" s="451"/>
      <c r="AB40" s="451"/>
      <c r="AC40" s="451"/>
      <c r="AD40" s="450">
        <f>'11D1'!AD40+'11D2'!AY40+'11D3'!AY40+'11D4'!AY40</f>
        <v>0</v>
      </c>
    </row>
    <row r="41" spans="1:38" s="452" customFormat="1" x14ac:dyDescent="0.2">
      <c r="A41" s="455"/>
      <c r="B41" s="456" t="s">
        <v>1433</v>
      </c>
      <c r="C41" s="718" t="s">
        <v>52</v>
      </c>
      <c r="D41" s="718"/>
      <c r="E41" s="718"/>
      <c r="F41" s="719"/>
      <c r="G41" s="448" t="s">
        <v>345</v>
      </c>
      <c r="H41" s="449"/>
      <c r="I41" s="451"/>
      <c r="J41" s="451"/>
      <c r="K41" s="451"/>
      <c r="L41" s="451"/>
      <c r="M41" s="451"/>
      <c r="N41" s="451"/>
      <c r="O41" s="451"/>
      <c r="P41" s="451"/>
      <c r="Q41" s="451"/>
      <c r="R41" s="451"/>
      <c r="S41" s="451"/>
      <c r="T41" s="451"/>
      <c r="U41" s="451"/>
      <c r="V41" s="451"/>
      <c r="W41" s="451"/>
      <c r="X41" s="451"/>
      <c r="Y41" s="451"/>
      <c r="Z41" s="451"/>
      <c r="AA41" s="451"/>
      <c r="AB41" s="451"/>
      <c r="AC41" s="451"/>
      <c r="AD41" s="450">
        <f>'11D1'!AD41+'11D2'!AY41+'11D3'!AY41+'11D4'!AY41</f>
        <v>0</v>
      </c>
    </row>
    <row r="42" spans="1:38" s="452" customFormat="1" x14ac:dyDescent="0.2">
      <c r="A42" s="725" t="s">
        <v>86</v>
      </c>
      <c r="B42" s="716"/>
      <c r="C42" s="716"/>
      <c r="D42" s="716"/>
      <c r="E42" s="716"/>
      <c r="F42" s="717"/>
      <c r="G42" s="448" t="s">
        <v>347</v>
      </c>
      <c r="H42" s="449"/>
      <c r="I42" s="451"/>
      <c r="J42" s="451"/>
      <c r="K42" s="451"/>
      <c r="L42" s="451"/>
      <c r="M42" s="451"/>
      <c r="N42" s="451"/>
      <c r="O42" s="451"/>
      <c r="P42" s="451"/>
      <c r="Q42" s="451"/>
      <c r="R42" s="451"/>
      <c r="S42" s="451"/>
      <c r="T42" s="451"/>
      <c r="U42" s="451"/>
      <c r="V42" s="451"/>
      <c r="W42" s="451"/>
      <c r="X42" s="451"/>
      <c r="Y42" s="451"/>
      <c r="Z42" s="451"/>
      <c r="AA42" s="451"/>
      <c r="AB42" s="451"/>
      <c r="AC42" s="451"/>
      <c r="AD42" s="450">
        <f>'11D1'!AD42+'11D2'!AY42+'11D3'!AY42+'11D4'!AY42</f>
        <v>0</v>
      </c>
      <c r="AE42" s="465"/>
    </row>
    <row r="43" spans="1:38" s="452" customFormat="1" x14ac:dyDescent="0.2">
      <c r="A43" s="466" t="s">
        <v>54</v>
      </c>
      <c r="B43" s="715" t="s">
        <v>87</v>
      </c>
      <c r="C43" s="716"/>
      <c r="D43" s="716"/>
      <c r="E43" s="716"/>
      <c r="F43" s="717"/>
      <c r="G43" s="448" t="s">
        <v>348</v>
      </c>
      <c r="H43" s="449"/>
      <c r="I43" s="451"/>
      <c r="J43" s="451"/>
      <c r="K43" s="451"/>
      <c r="L43" s="451"/>
      <c r="M43" s="451"/>
      <c r="N43" s="451"/>
      <c r="O43" s="451"/>
      <c r="P43" s="451"/>
      <c r="Q43" s="451"/>
      <c r="R43" s="451"/>
      <c r="S43" s="451"/>
      <c r="T43" s="451"/>
      <c r="U43" s="451"/>
      <c r="V43" s="451"/>
      <c r="W43" s="451"/>
      <c r="X43" s="451"/>
      <c r="Y43" s="451"/>
      <c r="Z43" s="451"/>
      <c r="AA43" s="451"/>
      <c r="AB43" s="451"/>
      <c r="AC43" s="451"/>
      <c r="AD43" s="450">
        <f>'11D1'!AD43+'11D2'!AY43+'11D3'!AY43+'11D4'!AY43</f>
        <v>0</v>
      </c>
    </row>
    <row r="44" spans="1:38" s="452" customFormat="1" x14ac:dyDescent="0.2">
      <c r="A44" s="466" t="s">
        <v>55</v>
      </c>
      <c r="B44" s="715" t="s">
        <v>88</v>
      </c>
      <c r="C44" s="716"/>
      <c r="D44" s="716"/>
      <c r="E44" s="716"/>
      <c r="F44" s="717"/>
      <c r="G44" s="448" t="s">
        <v>349</v>
      </c>
      <c r="H44" s="449"/>
      <c r="I44" s="451"/>
      <c r="J44" s="451"/>
      <c r="K44" s="451"/>
      <c r="L44" s="451"/>
      <c r="M44" s="451"/>
      <c r="N44" s="451"/>
      <c r="O44" s="451"/>
      <c r="P44" s="451"/>
      <c r="Q44" s="451"/>
      <c r="R44" s="451"/>
      <c r="S44" s="451"/>
      <c r="T44" s="451"/>
      <c r="U44" s="451"/>
      <c r="V44" s="451"/>
      <c r="W44" s="451"/>
      <c r="X44" s="451"/>
      <c r="Y44" s="451"/>
      <c r="Z44" s="451"/>
      <c r="AA44" s="451"/>
      <c r="AB44" s="451"/>
      <c r="AC44" s="451"/>
      <c r="AD44" s="450">
        <f>'11D1'!AD44+'11D2'!AY44+'11D3'!AY44+'11D4'!AY44</f>
        <v>0</v>
      </c>
      <c r="AE44" s="465"/>
      <c r="AF44" s="465"/>
      <c r="AG44" s="465"/>
      <c r="AH44" s="465"/>
      <c r="AI44" s="465"/>
      <c r="AJ44" s="465"/>
      <c r="AK44" s="465"/>
      <c r="AL44" s="465"/>
    </row>
    <row r="45" spans="1:38" s="452" customFormat="1" x14ac:dyDescent="0.2">
      <c r="A45" s="466" t="s">
        <v>65</v>
      </c>
      <c r="B45" s="718" t="s">
        <v>89</v>
      </c>
      <c r="C45" s="718"/>
      <c r="D45" s="718"/>
      <c r="E45" s="718"/>
      <c r="F45" s="719"/>
      <c r="G45" s="448" t="s">
        <v>350</v>
      </c>
      <c r="H45" s="449"/>
      <c r="I45" s="451"/>
      <c r="J45" s="451"/>
      <c r="K45" s="451"/>
      <c r="L45" s="451"/>
      <c r="M45" s="451"/>
      <c r="N45" s="451"/>
      <c r="O45" s="451"/>
      <c r="P45" s="451"/>
      <c r="Q45" s="451"/>
      <c r="R45" s="451"/>
      <c r="S45" s="451"/>
      <c r="T45" s="451"/>
      <c r="U45" s="451"/>
      <c r="V45" s="451"/>
      <c r="W45" s="451"/>
      <c r="X45" s="451"/>
      <c r="Y45" s="451"/>
      <c r="Z45" s="451"/>
      <c r="AA45" s="451"/>
      <c r="AB45" s="451"/>
      <c r="AC45" s="451"/>
      <c r="AD45" s="450">
        <f>'11D1'!AD45+'11D2'!AY45+'11D3'!AY45+'11D4'!AY45</f>
        <v>0</v>
      </c>
      <c r="AE45" s="465"/>
      <c r="AF45" s="465"/>
      <c r="AG45" s="465"/>
      <c r="AH45" s="465"/>
      <c r="AI45" s="465"/>
      <c r="AJ45" s="465"/>
      <c r="AK45" s="465"/>
      <c r="AL45" s="465"/>
    </row>
    <row r="46" spans="1:38" s="452" customFormat="1" x14ac:dyDescent="0.2">
      <c r="A46" s="466" t="s">
        <v>90</v>
      </c>
      <c r="B46" s="718" t="s">
        <v>91</v>
      </c>
      <c r="C46" s="716"/>
      <c r="D46" s="716"/>
      <c r="E46" s="716"/>
      <c r="F46" s="717"/>
      <c r="G46" s="448" t="s">
        <v>351</v>
      </c>
      <c r="H46" s="449"/>
      <c r="I46" s="451"/>
      <c r="J46" s="451"/>
      <c r="K46" s="451"/>
      <c r="L46" s="451"/>
      <c r="M46" s="451"/>
      <c r="N46" s="451"/>
      <c r="O46" s="451"/>
      <c r="P46" s="451"/>
      <c r="Q46" s="451"/>
      <c r="R46" s="451"/>
      <c r="S46" s="451"/>
      <c r="T46" s="451"/>
      <c r="U46" s="451"/>
      <c r="V46" s="451"/>
      <c r="W46" s="451"/>
      <c r="X46" s="451"/>
      <c r="Y46" s="451"/>
      <c r="Z46" s="451"/>
      <c r="AA46" s="451"/>
      <c r="AB46" s="451"/>
      <c r="AC46" s="451"/>
      <c r="AD46" s="450">
        <f>'11D1'!AD46+'11D2'!AY46+'11D3'!AY46+'11D4'!AY46</f>
        <v>0</v>
      </c>
      <c r="AE46" s="465"/>
      <c r="AF46" s="465"/>
      <c r="AG46" s="465"/>
      <c r="AH46" s="465"/>
      <c r="AI46" s="465"/>
      <c r="AJ46" s="465"/>
      <c r="AK46" s="465"/>
      <c r="AL46" s="465"/>
    </row>
    <row r="47" spans="1:38" s="452" customFormat="1" x14ac:dyDescent="0.2">
      <c r="A47" s="468" t="s">
        <v>140</v>
      </c>
      <c r="B47" s="456"/>
      <c r="C47" s="469"/>
      <c r="D47" s="469"/>
      <c r="E47" s="469"/>
      <c r="F47" s="470"/>
      <c r="G47" s="448" t="s">
        <v>352</v>
      </c>
      <c r="H47" s="449"/>
      <c r="I47" s="450">
        <f>'11D1'!I47+'11D2'!J47+'11D3'!J47+'11D4'!J47</f>
        <v>0</v>
      </c>
      <c r="J47" s="450">
        <f>'11D1'!J47+'11D2'!L47+'11D3'!L47+'11D4'!L47</f>
        <v>0</v>
      </c>
      <c r="K47" s="450">
        <f>'11D1'!K47+'11D2'!N47+'11D3'!N47+'11D4'!N47</f>
        <v>0</v>
      </c>
      <c r="L47" s="450">
        <f>'11D1'!L47+'11D2'!P47+'11D3'!P47+'11D4'!P47</f>
        <v>0</v>
      </c>
      <c r="M47" s="450">
        <f>'11D1'!M47+'11D2'!R47+'11D3'!R47+'11D4'!R47</f>
        <v>0</v>
      </c>
      <c r="N47" s="450">
        <f>'11D1'!N47+'11D2'!T47+'11D3'!T47+'11D4'!T47</f>
        <v>0</v>
      </c>
      <c r="O47" s="450">
        <f>'11D1'!O47+'11D2'!V47+'11D3'!V47+'11D4'!V47</f>
        <v>0</v>
      </c>
      <c r="P47" s="450">
        <f>'11D1'!P47+'11D2'!X47+'11D3'!X47+'11D4'!X47</f>
        <v>0</v>
      </c>
      <c r="Q47" s="450">
        <f>'11D1'!Q47+'11D2'!Z47+'11D3'!Z47+'11D4'!Z47</f>
        <v>0</v>
      </c>
      <c r="R47" s="450">
        <f>'11D1'!R47+'11D2'!AB47+'11D3'!AB47+'11D4'!AB47</f>
        <v>0</v>
      </c>
      <c r="S47" s="450">
        <f>'11D1'!S47+'11D2'!AD47+'11D3'!AD47+'11D4'!AD47</f>
        <v>0</v>
      </c>
      <c r="T47" s="450">
        <f>'11D1'!T47+'11D2'!AF47+'11D3'!AF47+'11D4'!AF47</f>
        <v>0</v>
      </c>
      <c r="U47" s="450">
        <f>'11D1'!U47+'11D2'!AH47+'11D3'!AH47+'11D4'!AH47</f>
        <v>0</v>
      </c>
      <c r="V47" s="450">
        <f>'11D1'!V47+'11D2'!AJ47+'11D3'!AJ47+'11D4'!AJ47</f>
        <v>0</v>
      </c>
      <c r="W47" s="450">
        <f>'11D1'!W47+'11D2'!AL47+'11D3'!AL47+'11D4'!AL47</f>
        <v>0</v>
      </c>
      <c r="X47" s="450">
        <f>'11D1'!X47+'11D2'!AN47+'11D3'!AN47+'11D4'!AN47</f>
        <v>0</v>
      </c>
      <c r="Y47" s="450">
        <f>'11D1'!Y47+'11D2'!AP47+'11D3'!AP47+'11D4'!AP47</f>
        <v>0</v>
      </c>
      <c r="Z47" s="450">
        <f>'11D1'!Z47+'11D2'!AR47+'11D3'!AR47+'11D4'!AR47</f>
        <v>0</v>
      </c>
      <c r="AA47" s="450">
        <f>'11D1'!AA47+'11D2'!AT47+'11D3'!AT47+'11D4'!AT47</f>
        <v>0</v>
      </c>
      <c r="AB47" s="450">
        <f>'11D1'!AB47+'11D2'!AV47+'11D3'!AV47+'11D4'!AV47</f>
        <v>0</v>
      </c>
      <c r="AC47" s="451"/>
      <c r="AD47" s="450">
        <f>'11D1'!AD47+'11D2'!AY47+'11D3'!AY47+'11D4'!AY47</f>
        <v>0</v>
      </c>
    </row>
    <row r="48" spans="1:38" s="452" customFormat="1" x14ac:dyDescent="0.2">
      <c r="A48" s="720" t="s">
        <v>245</v>
      </c>
      <c r="B48" s="716"/>
      <c r="C48" s="716"/>
      <c r="D48" s="716"/>
      <c r="E48" s="716"/>
      <c r="F48" s="717"/>
      <c r="G48" s="448"/>
      <c r="H48" s="449"/>
      <c r="I48" s="451"/>
      <c r="J48" s="451"/>
      <c r="K48" s="451"/>
      <c r="L48" s="451"/>
      <c r="M48" s="451"/>
      <c r="N48" s="451"/>
      <c r="O48" s="451"/>
      <c r="P48" s="451"/>
      <c r="Q48" s="451"/>
      <c r="R48" s="451"/>
      <c r="S48" s="451"/>
      <c r="T48" s="451"/>
      <c r="U48" s="451"/>
      <c r="V48" s="451"/>
      <c r="W48" s="451"/>
      <c r="X48" s="451"/>
      <c r="Y48" s="451"/>
      <c r="Z48" s="451"/>
      <c r="AA48" s="451"/>
      <c r="AB48" s="451"/>
      <c r="AC48" s="451"/>
      <c r="AD48" s="451"/>
    </row>
    <row r="49" spans="1:30" s="452" customFormat="1" x14ac:dyDescent="0.2">
      <c r="A49" s="471" t="s">
        <v>54</v>
      </c>
      <c r="B49" s="472" t="s">
        <v>101</v>
      </c>
      <c r="C49" s="473"/>
      <c r="D49" s="473"/>
      <c r="E49" s="473"/>
      <c r="F49" s="474"/>
      <c r="G49" s="448" t="s">
        <v>716</v>
      </c>
      <c r="H49" s="449"/>
      <c r="I49" s="450">
        <f>'11D1'!I49+'11D2'!J49+'11D3'!J49+'11D4'!J49</f>
        <v>0</v>
      </c>
      <c r="J49" s="450">
        <f>'11D1'!J49+'11D2'!L49+'11D3'!L49+'11D4'!L49</f>
        <v>0</v>
      </c>
      <c r="K49" s="450">
        <f>'11D1'!K49+'11D2'!N49+'11D3'!N49+'11D4'!N49</f>
        <v>0</v>
      </c>
      <c r="L49" s="450">
        <f>'11D1'!L49+'11D2'!P49+'11D3'!P49+'11D4'!P49</f>
        <v>0</v>
      </c>
      <c r="M49" s="450">
        <f>'11D1'!M49+'11D2'!R49+'11D3'!R49+'11D4'!R49</f>
        <v>0</v>
      </c>
      <c r="N49" s="450">
        <f>'11D1'!N49+'11D2'!T49+'11D3'!T49+'11D4'!T49</f>
        <v>0</v>
      </c>
      <c r="O49" s="450">
        <f>'11D1'!O49+'11D2'!V49+'11D3'!V49+'11D4'!V49</f>
        <v>0</v>
      </c>
      <c r="P49" s="450">
        <f>'11D1'!P49+'11D2'!X49+'11D3'!X49+'11D4'!X49</f>
        <v>0</v>
      </c>
      <c r="Q49" s="450">
        <f>'11D1'!Q49+'11D2'!Z49+'11D3'!Z49+'11D4'!Z49</f>
        <v>0</v>
      </c>
      <c r="R49" s="450">
        <f>'11D1'!R49+'11D2'!AB49+'11D3'!AB49+'11D4'!AB49</f>
        <v>0</v>
      </c>
      <c r="S49" s="450">
        <f>'11D1'!S49+'11D2'!AD49+'11D3'!AD49+'11D4'!AD49</f>
        <v>0</v>
      </c>
      <c r="T49" s="450">
        <f>'11D1'!T49+'11D2'!AF49+'11D3'!AF49+'11D4'!AF49</f>
        <v>0</v>
      </c>
      <c r="U49" s="450">
        <f>'11D1'!U49+'11D2'!AH49+'11D3'!AH49+'11D4'!AH49</f>
        <v>0</v>
      </c>
      <c r="V49" s="450">
        <f>'11D1'!V49+'11D2'!AJ49+'11D3'!AJ49+'11D4'!AJ49</f>
        <v>0</v>
      </c>
      <c r="W49" s="450">
        <f>'11D1'!W49+'11D2'!AL49+'11D3'!AL49+'11D4'!AL49</f>
        <v>0</v>
      </c>
      <c r="X49" s="450">
        <f>'11D1'!X49+'11D2'!AN49+'11D3'!AN49+'11D4'!AN49</f>
        <v>0</v>
      </c>
      <c r="Y49" s="450">
        <f>'11D1'!Y49+'11D2'!AP49+'11D3'!AP49+'11D4'!AP49</f>
        <v>0</v>
      </c>
      <c r="Z49" s="450">
        <f>'11D1'!Z49+'11D2'!AR49+'11D3'!AR49+'11D4'!AR49</f>
        <v>0</v>
      </c>
      <c r="AA49" s="450">
        <f>'11D1'!AA49+'11D2'!AT49+'11D3'!AT49+'11D4'!AT49</f>
        <v>0</v>
      </c>
      <c r="AB49" s="450">
        <f>'11D1'!AB49+'11D2'!AV49+'11D3'!AV49+'11D4'!AV49</f>
        <v>0</v>
      </c>
      <c r="AC49" s="451"/>
      <c r="AD49" s="450">
        <f>'11D1'!AD49+'11D2'!AY49+'11D3'!AY49+'11D4'!AY49</f>
        <v>0</v>
      </c>
    </row>
    <row r="50" spans="1:30" s="452" customFormat="1" x14ac:dyDescent="0.2">
      <c r="A50" s="471" t="s">
        <v>55</v>
      </c>
      <c r="B50" s="467" t="s">
        <v>1475</v>
      </c>
      <c r="C50" s="625"/>
      <c r="D50" s="467"/>
      <c r="E50" s="625"/>
      <c r="F50" s="626"/>
      <c r="G50" s="448" t="s">
        <v>717</v>
      </c>
      <c r="H50" s="449"/>
      <c r="I50" s="450">
        <f>'11D1'!I50+'11D2'!J50+'11D3'!J50+'11D4'!J50</f>
        <v>0</v>
      </c>
      <c r="J50" s="450">
        <f>'11D1'!J50+'11D2'!L50+'11D3'!L50+'11D4'!L50</f>
        <v>0</v>
      </c>
      <c r="K50" s="450">
        <f>'11D1'!K50+'11D2'!N50+'11D3'!N50+'11D4'!N50</f>
        <v>0</v>
      </c>
      <c r="L50" s="450">
        <f>'11D1'!L50+'11D2'!P50+'11D3'!P50+'11D4'!P50</f>
        <v>0</v>
      </c>
      <c r="M50" s="450">
        <f>'11D1'!M50+'11D2'!R50+'11D3'!R50+'11D4'!R50</f>
        <v>0</v>
      </c>
      <c r="N50" s="450">
        <f>'11D1'!N50+'11D2'!T50+'11D3'!T50+'11D4'!T50</f>
        <v>0</v>
      </c>
      <c r="O50" s="450">
        <f>'11D1'!O50+'11D2'!V50+'11D3'!V50+'11D4'!V50</f>
        <v>0</v>
      </c>
      <c r="P50" s="450">
        <f>'11D1'!P50+'11D2'!X50+'11D3'!X50+'11D4'!X50</f>
        <v>0</v>
      </c>
      <c r="Q50" s="450">
        <f>'11D1'!Q50+'11D2'!Z50+'11D3'!Z50+'11D4'!Z50</f>
        <v>0</v>
      </c>
      <c r="R50" s="450">
        <f>'11D1'!R50+'11D2'!AB50+'11D3'!AB50+'11D4'!AB50</f>
        <v>0</v>
      </c>
      <c r="S50" s="450">
        <f>'11D1'!S50+'11D2'!AD50+'11D3'!AD50+'11D4'!AD50</f>
        <v>0</v>
      </c>
      <c r="T50" s="450">
        <f>'11D1'!T50+'11D2'!AF50+'11D3'!AF50+'11D4'!AF50</f>
        <v>0</v>
      </c>
      <c r="U50" s="450">
        <f>'11D1'!U50+'11D2'!AH50+'11D3'!AH50+'11D4'!AH50</f>
        <v>0</v>
      </c>
      <c r="V50" s="450">
        <f>'11D1'!V50+'11D2'!AJ50+'11D3'!AJ50+'11D4'!AJ50</f>
        <v>0</v>
      </c>
      <c r="W50" s="450">
        <f>'11D1'!W50+'11D2'!AL50+'11D3'!AL50+'11D4'!AL50</f>
        <v>0</v>
      </c>
      <c r="X50" s="450">
        <f>'11D1'!X50+'11D2'!AN50+'11D3'!AN50+'11D4'!AN50</f>
        <v>0</v>
      </c>
      <c r="Y50" s="450">
        <f>'11D1'!Y50+'11D2'!AP50+'11D3'!AP50+'11D4'!AP50</f>
        <v>0</v>
      </c>
      <c r="Z50" s="450">
        <f>'11D1'!Z50+'11D2'!AR50+'11D3'!AR50+'11D4'!AR50</f>
        <v>0</v>
      </c>
      <c r="AA50" s="450">
        <f>'11D1'!AA50+'11D2'!AT50+'11D3'!AT50+'11D4'!AT50</f>
        <v>0</v>
      </c>
      <c r="AB50" s="450">
        <f>'11D1'!AB50+'11D2'!AV50+'11D3'!AV50+'11D4'!AV50</f>
        <v>0</v>
      </c>
      <c r="AC50" s="451"/>
      <c r="AD50" s="450">
        <f>'11D1'!AD50+'11D2'!AY50+'11D3'!AY50+'11D4'!AY50</f>
        <v>0</v>
      </c>
    </row>
    <row r="51" spans="1:30" s="452" customFormat="1" x14ac:dyDescent="0.2">
      <c r="A51" s="471" t="s">
        <v>65</v>
      </c>
      <c r="B51" s="604" t="s">
        <v>1472</v>
      </c>
      <c r="C51" s="625"/>
      <c r="D51" s="467"/>
      <c r="E51" s="625"/>
      <c r="F51" s="626"/>
      <c r="G51" s="448" t="s">
        <v>718</v>
      </c>
      <c r="H51" s="449"/>
      <c r="I51" s="450">
        <f>'11D1'!I51+'11D2'!J51+'11D3'!J51+'11D4'!J51</f>
        <v>0</v>
      </c>
      <c r="J51" s="450">
        <f>'11D1'!J51+'11D2'!L51+'11D3'!L51+'11D4'!L51</f>
        <v>0</v>
      </c>
      <c r="K51" s="450">
        <f>'11D1'!K51+'11D2'!N51+'11D3'!N51+'11D4'!N51</f>
        <v>0</v>
      </c>
      <c r="L51" s="450">
        <f>'11D1'!L51+'11D2'!P51+'11D3'!P51+'11D4'!P51</f>
        <v>0</v>
      </c>
      <c r="M51" s="450">
        <f>'11D1'!M51+'11D2'!R51+'11D3'!R51+'11D4'!R51</f>
        <v>0</v>
      </c>
      <c r="N51" s="450">
        <f>'11D1'!N51+'11D2'!T51+'11D3'!T51+'11D4'!T51</f>
        <v>0</v>
      </c>
      <c r="O51" s="450">
        <f>'11D1'!O51+'11D2'!V51+'11D3'!V51+'11D4'!V51</f>
        <v>0</v>
      </c>
      <c r="P51" s="450">
        <f>'11D1'!P51+'11D2'!X51+'11D3'!X51+'11D4'!X51</f>
        <v>0</v>
      </c>
      <c r="Q51" s="450">
        <f>'11D1'!Q51+'11D2'!Z51+'11D3'!Z51+'11D4'!Z51</f>
        <v>0</v>
      </c>
      <c r="R51" s="450">
        <f>'11D1'!R51+'11D2'!AB51+'11D3'!AB51+'11D4'!AB51</f>
        <v>0</v>
      </c>
      <c r="S51" s="450">
        <f>'11D1'!S51+'11D2'!AD51+'11D3'!AD51+'11D4'!AD51</f>
        <v>0</v>
      </c>
      <c r="T51" s="450">
        <f>'11D1'!T51+'11D2'!AF51+'11D3'!AF51+'11D4'!AF51</f>
        <v>0</v>
      </c>
      <c r="U51" s="450">
        <f>'11D1'!U51+'11D2'!AH51+'11D3'!AH51+'11D4'!AH51</f>
        <v>0</v>
      </c>
      <c r="V51" s="450">
        <f>'11D1'!V51+'11D2'!AJ51+'11D3'!AJ51+'11D4'!AJ51</f>
        <v>0</v>
      </c>
      <c r="W51" s="450">
        <f>'11D1'!W51+'11D2'!AL51+'11D3'!AL51+'11D4'!AL51</f>
        <v>0</v>
      </c>
      <c r="X51" s="450">
        <f>'11D1'!X51+'11D2'!AN51+'11D3'!AN51+'11D4'!AN51</f>
        <v>0</v>
      </c>
      <c r="Y51" s="450">
        <f>'11D1'!Y51+'11D2'!AP51+'11D3'!AP51+'11D4'!AP51</f>
        <v>0</v>
      </c>
      <c r="Z51" s="450">
        <f>'11D1'!Z51+'11D2'!AR51+'11D3'!AR51+'11D4'!AR51</f>
        <v>0</v>
      </c>
      <c r="AA51" s="450">
        <f>'11D1'!AA51+'11D2'!AT51+'11D3'!AT51+'11D4'!AT51</f>
        <v>0</v>
      </c>
      <c r="AB51" s="450">
        <f>'11D1'!AB51+'11D2'!AV51+'11D3'!AV51+'11D4'!AV51</f>
        <v>0</v>
      </c>
      <c r="AC51" s="451"/>
      <c r="AD51" s="450">
        <f>'11D1'!AD51+'11D2'!AY51+'11D3'!AY51+'11D4'!AY51</f>
        <v>0</v>
      </c>
    </row>
    <row r="52" spans="1:30" s="452" customFormat="1" ht="11.25" customHeight="1" x14ac:dyDescent="0.2">
      <c r="A52" s="471" t="s">
        <v>90</v>
      </c>
      <c r="B52" s="721" t="s">
        <v>1473</v>
      </c>
      <c r="C52" s="721"/>
      <c r="D52" s="721"/>
      <c r="E52" s="721"/>
      <c r="F52" s="722"/>
      <c r="G52" s="448" t="s">
        <v>719</v>
      </c>
      <c r="H52" s="449"/>
      <c r="I52" s="450">
        <f>'11D1'!I52+'11D2'!J52+'11D3'!J52+'11D4'!J52</f>
        <v>0</v>
      </c>
      <c r="J52" s="450">
        <f>'11D1'!J52+'11D2'!L52+'11D3'!L52+'11D4'!L52</f>
        <v>0</v>
      </c>
      <c r="K52" s="450">
        <f>'11D1'!K52+'11D2'!N52+'11D3'!N52+'11D4'!N52</f>
        <v>0</v>
      </c>
      <c r="L52" s="450">
        <f>'11D1'!L52+'11D2'!P52+'11D3'!P52+'11D4'!P52</f>
        <v>0</v>
      </c>
      <c r="M52" s="450">
        <f>'11D1'!M52+'11D2'!R52+'11D3'!R52+'11D4'!R52</f>
        <v>0</v>
      </c>
      <c r="N52" s="450">
        <f>'11D1'!N52+'11D2'!T52+'11D3'!T52+'11D4'!T52</f>
        <v>0</v>
      </c>
      <c r="O52" s="450">
        <f>'11D1'!O52+'11D2'!V52+'11D3'!V52+'11D4'!V52</f>
        <v>0</v>
      </c>
      <c r="P52" s="450">
        <f>'11D1'!P52+'11D2'!X52+'11D3'!X52+'11D4'!X52</f>
        <v>0</v>
      </c>
      <c r="Q52" s="450">
        <f>'11D1'!Q52+'11D2'!Z52+'11D3'!Z52+'11D4'!Z52</f>
        <v>0</v>
      </c>
      <c r="R52" s="450">
        <f>'11D1'!R52+'11D2'!AB52+'11D3'!AB52+'11D4'!AB52</f>
        <v>0</v>
      </c>
      <c r="S52" s="450">
        <f>'11D1'!S52+'11D2'!AD52+'11D3'!AD52+'11D4'!AD52</f>
        <v>0</v>
      </c>
      <c r="T52" s="450">
        <f>'11D1'!T52+'11D2'!AF52+'11D3'!AF52+'11D4'!AF52</f>
        <v>0</v>
      </c>
      <c r="U52" s="450">
        <f>'11D1'!U52+'11D2'!AH52+'11D3'!AH52+'11D4'!AH52</f>
        <v>0</v>
      </c>
      <c r="V52" s="450">
        <f>'11D1'!V52+'11D2'!AJ52+'11D3'!AJ52+'11D4'!AJ52</f>
        <v>0</v>
      </c>
      <c r="W52" s="450">
        <f>'11D1'!W52+'11D2'!AL52+'11D3'!AL52+'11D4'!AL52</f>
        <v>0</v>
      </c>
      <c r="X52" s="450">
        <f>'11D1'!X52+'11D2'!AN52+'11D3'!AN52+'11D4'!AN52</f>
        <v>0</v>
      </c>
      <c r="Y52" s="450">
        <f>'11D1'!Y52+'11D2'!AP52+'11D3'!AP52+'11D4'!AP52</f>
        <v>0</v>
      </c>
      <c r="Z52" s="450">
        <f>'11D1'!Z52+'11D2'!AR52+'11D3'!AR52+'11D4'!AR52</f>
        <v>0</v>
      </c>
      <c r="AA52" s="450">
        <f>'11D1'!AA52+'11D2'!AT52+'11D3'!AT52+'11D4'!AT52</f>
        <v>0</v>
      </c>
      <c r="AB52" s="450">
        <f>'11D1'!AB52+'11D2'!AV52+'11D3'!AV52+'11D4'!AV52</f>
        <v>0</v>
      </c>
      <c r="AC52" s="451"/>
      <c r="AD52" s="450">
        <f>'11D1'!AD52+'11D2'!AY52+'11D3'!AY52+'11D4'!AY52</f>
        <v>0</v>
      </c>
    </row>
    <row r="53" spans="1:30" ht="24" customHeight="1" x14ac:dyDescent="0.2">
      <c r="A53" s="471" t="s">
        <v>257</v>
      </c>
      <c r="B53" s="714" t="s">
        <v>1449</v>
      </c>
      <c r="C53" s="714"/>
      <c r="D53" s="714"/>
      <c r="E53" s="714"/>
      <c r="F53" s="714"/>
      <c r="G53" s="583" t="s">
        <v>1338</v>
      </c>
      <c r="H53" s="476"/>
      <c r="I53" s="450">
        <f>'11D1'!I53+'11D2'!J53+'11D3'!J53+'11D4'!J53</f>
        <v>0</v>
      </c>
      <c r="J53" s="450">
        <f>'11D1'!J53+'11D2'!L53+'11D3'!L53+'11D4'!L53</f>
        <v>0</v>
      </c>
      <c r="K53" s="450">
        <f>'11D1'!K53+'11D2'!N53+'11D3'!N53+'11D4'!N53</f>
        <v>0</v>
      </c>
      <c r="L53" s="450">
        <f>'11D1'!L53+'11D2'!P53+'11D3'!P53+'11D4'!P53</f>
        <v>0</v>
      </c>
      <c r="M53" s="450">
        <f>'11D1'!M53+'11D2'!R53+'11D3'!R53+'11D4'!R53</f>
        <v>0</v>
      </c>
      <c r="N53" s="450">
        <f>'11D1'!N53+'11D2'!T53+'11D3'!T53+'11D4'!T53</f>
        <v>0</v>
      </c>
      <c r="O53" s="450">
        <f>'11D1'!O53+'11D2'!V53+'11D3'!V53+'11D4'!V53</f>
        <v>0</v>
      </c>
      <c r="P53" s="450">
        <f>'11D1'!P53+'11D2'!X53+'11D3'!X53+'11D4'!X53</f>
        <v>0</v>
      </c>
      <c r="Q53" s="450">
        <f>'11D1'!Q53+'11D2'!Z53+'11D3'!Z53+'11D4'!Z53</f>
        <v>0</v>
      </c>
      <c r="R53" s="450">
        <f>'11D1'!R53+'11D2'!AB53+'11D3'!AB53+'11D4'!AB53</f>
        <v>0</v>
      </c>
      <c r="S53" s="450">
        <f>'11D1'!S53+'11D2'!AD53+'11D3'!AD53+'11D4'!AD53</f>
        <v>0</v>
      </c>
      <c r="T53" s="450">
        <f>'11D1'!T53+'11D2'!AF53+'11D3'!AF53+'11D4'!AF53</f>
        <v>0</v>
      </c>
      <c r="U53" s="450">
        <f>'11D1'!U53+'11D2'!AH53+'11D3'!AH53+'11D4'!AH53</f>
        <v>0</v>
      </c>
      <c r="V53" s="450">
        <f>'11D1'!V53+'11D2'!AJ53+'11D3'!AJ53+'11D4'!AJ53</f>
        <v>0</v>
      </c>
      <c r="W53" s="450">
        <f>'11D1'!W53+'11D2'!AL53+'11D3'!AL53+'11D4'!AL53</f>
        <v>0</v>
      </c>
      <c r="X53" s="450">
        <f>'11D1'!X53+'11D2'!AN53+'11D3'!AN53+'11D4'!AN53</f>
        <v>0</v>
      </c>
      <c r="Y53" s="450">
        <f>'11D1'!Y53+'11D2'!AP53+'11D3'!AP53+'11D4'!AP53</f>
        <v>0</v>
      </c>
      <c r="Z53" s="450">
        <f>'11D1'!Z53+'11D2'!AR53+'11D3'!AR53+'11D4'!AR53</f>
        <v>0</v>
      </c>
      <c r="AA53" s="450">
        <f>'11D1'!AA53+'11D2'!AT53+'11D3'!AT53+'11D4'!AT53</f>
        <v>0</v>
      </c>
      <c r="AB53" s="450">
        <f>'11D1'!AB53+'11D2'!AV53+'11D3'!AV53+'11D4'!AV53</f>
        <v>0</v>
      </c>
      <c r="AC53" s="451"/>
      <c r="AD53" s="450">
        <f>'11D1'!AD53+'11D2'!AY53+'11D3'!AY53+'11D4'!AY53</f>
        <v>0</v>
      </c>
    </row>
    <row r="54" spans="1:30" ht="24" customHeight="1" x14ac:dyDescent="0.2">
      <c r="A54" s="471" t="s">
        <v>74</v>
      </c>
      <c r="B54" s="714" t="s">
        <v>1450</v>
      </c>
      <c r="C54" s="714"/>
      <c r="D54" s="714"/>
      <c r="E54" s="714"/>
      <c r="F54" s="714"/>
      <c r="G54" s="583" t="s">
        <v>1339</v>
      </c>
      <c r="H54" s="477"/>
      <c r="I54" s="450">
        <f>'11D1'!I54+'11D2'!J54+'11D3'!J54+'11D4'!J54</f>
        <v>0</v>
      </c>
      <c r="J54" s="450">
        <f>'11D1'!J54+'11D2'!L54+'11D3'!L54+'11D4'!L54</f>
        <v>0</v>
      </c>
      <c r="K54" s="450">
        <f>'11D1'!K54+'11D2'!N54+'11D3'!N54+'11D4'!N54</f>
        <v>0</v>
      </c>
      <c r="L54" s="450">
        <f>'11D1'!L54+'11D2'!P54+'11D3'!P54+'11D4'!P54</f>
        <v>0</v>
      </c>
      <c r="M54" s="450">
        <f>'11D1'!M54+'11D2'!R54+'11D3'!R54+'11D4'!R54</f>
        <v>0</v>
      </c>
      <c r="N54" s="450">
        <f>'11D1'!N54+'11D2'!T54+'11D3'!T54+'11D4'!T54</f>
        <v>0</v>
      </c>
      <c r="O54" s="450">
        <f>'11D1'!O54+'11D2'!V54+'11D3'!V54+'11D4'!V54</f>
        <v>0</v>
      </c>
      <c r="P54" s="450">
        <f>'11D1'!P54+'11D2'!X54+'11D3'!X54+'11D4'!X54</f>
        <v>0</v>
      </c>
      <c r="Q54" s="450">
        <f>'11D1'!Q54+'11D2'!Z54+'11D3'!Z54+'11D4'!Z54</f>
        <v>0</v>
      </c>
      <c r="R54" s="450">
        <f>'11D1'!R54+'11D2'!AB54+'11D3'!AB54+'11D4'!AB54</f>
        <v>0</v>
      </c>
      <c r="S54" s="450">
        <f>'11D1'!S54+'11D2'!AD54+'11D3'!AD54+'11D4'!AD54</f>
        <v>0</v>
      </c>
      <c r="T54" s="450">
        <f>'11D1'!T54+'11D2'!AF54+'11D3'!AF54+'11D4'!AF54</f>
        <v>0</v>
      </c>
      <c r="U54" s="450">
        <f>'11D1'!U54+'11D2'!AH54+'11D3'!AH54+'11D4'!AH54</f>
        <v>0</v>
      </c>
      <c r="V54" s="450">
        <f>'11D1'!V54+'11D2'!AJ54+'11D3'!AJ54+'11D4'!AJ54</f>
        <v>0</v>
      </c>
      <c r="W54" s="450">
        <f>'11D1'!W54+'11D2'!AL54+'11D3'!AL54+'11D4'!AL54</f>
        <v>0</v>
      </c>
      <c r="X54" s="450">
        <f>'11D1'!X54+'11D2'!AN54+'11D3'!AN54+'11D4'!AN54</f>
        <v>0</v>
      </c>
      <c r="Y54" s="450">
        <f>'11D1'!Y54+'11D2'!AP54+'11D3'!AP54+'11D4'!AP54</f>
        <v>0</v>
      </c>
      <c r="Z54" s="450">
        <f>'11D1'!Z54+'11D2'!AR54+'11D3'!AR54+'11D4'!AR54</f>
        <v>0</v>
      </c>
      <c r="AA54" s="450">
        <f>'11D1'!AA54+'11D2'!AT54+'11D3'!AT54+'11D4'!AT54</f>
        <v>0</v>
      </c>
      <c r="AB54" s="450">
        <f>'11D1'!AB54+'11D2'!AV54+'11D3'!AV54+'11D4'!AV54</f>
        <v>0</v>
      </c>
      <c r="AC54" s="451"/>
      <c r="AD54" s="450">
        <f>'11D1'!AD54+'11D2'!AY54+'11D3'!AY54+'11D4'!AY54</f>
        <v>0</v>
      </c>
    </row>
    <row r="55" spans="1:30" ht="11.25" customHeight="1" x14ac:dyDescent="0.25">
      <c r="G55" s="478" t="s">
        <v>108</v>
      </c>
    </row>
    <row r="56" spans="1:30" ht="11.25" customHeight="1" x14ac:dyDescent="0.2"/>
    <row r="123" spans="7:30" x14ac:dyDescent="0.2">
      <c r="G123" s="442"/>
      <c r="I123" s="481" t="s">
        <v>212</v>
      </c>
      <c r="J123" s="442"/>
      <c r="K123" s="442"/>
      <c r="L123" s="442"/>
      <c r="M123" s="442"/>
      <c r="N123" s="442"/>
      <c r="O123" s="442"/>
      <c r="P123" s="442"/>
      <c r="Q123" s="442"/>
      <c r="R123" s="442"/>
      <c r="S123" s="442"/>
      <c r="T123" s="442"/>
      <c r="U123" s="442"/>
      <c r="V123" s="442"/>
      <c r="W123" s="442"/>
      <c r="X123" s="442"/>
      <c r="Y123" s="442"/>
      <c r="Z123" s="442"/>
      <c r="AA123" s="442"/>
      <c r="AB123" s="442"/>
      <c r="AC123" s="442"/>
      <c r="AD123" s="442"/>
    </row>
    <row r="124" spans="7:30" x14ac:dyDescent="0.2">
      <c r="G124" s="442"/>
      <c r="I124" s="481"/>
      <c r="J124" s="442"/>
      <c r="K124" s="442"/>
      <c r="L124" s="442"/>
      <c r="M124" s="442"/>
      <c r="N124" s="442"/>
      <c r="O124" s="442"/>
      <c r="P124" s="442"/>
      <c r="Q124" s="442"/>
      <c r="R124" s="442"/>
      <c r="S124" s="442"/>
      <c r="T124" s="442"/>
      <c r="U124" s="442"/>
      <c r="V124" s="442"/>
      <c r="W124" s="442"/>
      <c r="X124" s="442"/>
      <c r="Y124" s="442"/>
      <c r="Z124" s="442"/>
      <c r="AA124" s="442"/>
      <c r="AB124" s="442"/>
      <c r="AC124" s="442"/>
      <c r="AD124" s="442"/>
    </row>
    <row r="125" spans="7:30" x14ac:dyDescent="0.2">
      <c r="G125" s="442"/>
      <c r="I125" s="481"/>
      <c r="J125" s="442"/>
      <c r="K125" s="442"/>
      <c r="L125" s="442"/>
      <c r="M125" s="442"/>
      <c r="N125" s="442"/>
      <c r="O125" s="442"/>
      <c r="P125" s="442"/>
      <c r="Q125" s="442"/>
      <c r="R125" s="442"/>
      <c r="S125" s="442"/>
      <c r="T125" s="442"/>
      <c r="U125" s="442"/>
      <c r="V125" s="442"/>
      <c r="W125" s="442"/>
      <c r="X125" s="442"/>
      <c r="Y125" s="442"/>
      <c r="Z125" s="442"/>
      <c r="AA125" s="442"/>
      <c r="AB125" s="442"/>
      <c r="AC125" s="442"/>
      <c r="AD125" s="442"/>
    </row>
    <row r="126" spans="7:30" x14ac:dyDescent="0.2">
      <c r="G126" s="442"/>
      <c r="I126" s="481" t="s">
        <v>212</v>
      </c>
      <c r="J126" s="442"/>
      <c r="K126" s="442"/>
      <c r="L126" s="442"/>
      <c r="M126" s="442"/>
      <c r="N126" s="442"/>
      <c r="O126" s="442"/>
      <c r="P126" s="442"/>
      <c r="Q126" s="442"/>
      <c r="R126" s="442"/>
      <c r="S126" s="442"/>
      <c r="T126" s="442"/>
      <c r="U126" s="442"/>
      <c r="V126" s="442"/>
      <c r="W126" s="442"/>
      <c r="X126" s="442"/>
      <c r="Y126" s="442"/>
      <c r="Z126" s="442"/>
      <c r="AA126" s="442"/>
      <c r="AB126" s="442"/>
      <c r="AC126" s="442"/>
      <c r="AD126" s="442"/>
    </row>
  </sheetData>
  <sheetProtection password="DEC5" sheet="1" objects="1" scenarios="1" selectLockedCells="1"/>
  <mergeCells count="58">
    <mergeCell ref="A5:E7"/>
    <mergeCell ref="F5:F7"/>
    <mergeCell ref="G5:G9"/>
    <mergeCell ref="I5:I9"/>
    <mergeCell ref="J5:J9"/>
    <mergeCell ref="K5:K9"/>
    <mergeCell ref="L5:L9"/>
    <mergeCell ref="M5:M9"/>
    <mergeCell ref="N5:N9"/>
    <mergeCell ref="O5:O9"/>
    <mergeCell ref="P5:P9"/>
    <mergeCell ref="Q5:Q9"/>
    <mergeCell ref="AB5:AB9"/>
    <mergeCell ref="AC5:AC9"/>
    <mergeCell ref="R5:R9"/>
    <mergeCell ref="S5:S9"/>
    <mergeCell ref="T5:T9"/>
    <mergeCell ref="U5:U9"/>
    <mergeCell ref="V5:V9"/>
    <mergeCell ref="W5:W9"/>
    <mergeCell ref="AD5:AD9"/>
    <mergeCell ref="A8:E9"/>
    <mergeCell ref="F8:F9"/>
    <mergeCell ref="A10:F10"/>
    <mergeCell ref="B12:F12"/>
    <mergeCell ref="C13:F13"/>
    <mergeCell ref="X5:X9"/>
    <mergeCell ref="Y5:Y9"/>
    <mergeCell ref="Z5:Z9"/>
    <mergeCell ref="AA5:AA9"/>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printOptions horizontalCentered="1"/>
  <pageMargins left="0.25" right="0.25" top="1" bottom="0.5" header="0.6" footer="0.4"/>
  <pageSetup paperSize="9" orientation="landscape" horizontalDpi="360" verticalDpi="360" r:id="rId1"/>
  <headerFooter alignWithMargins="0">
    <oddHeader>&amp;R&amp;"Arial,Bold"&amp;9&amp;USchedule 11d&amp;8&amp;U
&amp;P of &amp;N&amp;C&amp;"Arial,Bold"&amp;8 NEW RURAL BANK OF SAN LEONARDO, INC  [ 04-040656 ]
 As of: September 30, 2017</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AL125"/>
  <sheetViews>
    <sheetView zoomScaleNormal="100" zoomScaleSheetLayoutView="80" workbookViewId="0">
      <pane xSplit="6" ySplit="9" topLeftCell="W13" activePane="bottomRight" state="frozen"/>
      <selection pane="topRight" activeCell="G1" sqref="G1"/>
      <selection pane="bottomLeft" activeCell="A10" sqref="A10"/>
      <selection pane="bottomRight" activeCell="W13" sqref="W13"/>
    </sheetView>
  </sheetViews>
  <sheetFormatPr defaultRowHeight="12.75" x14ac:dyDescent="0.2"/>
  <cols>
    <col min="1" max="1" width="2.42578125" style="442" customWidth="1"/>
    <col min="2" max="2" width="2.28515625" style="442" customWidth="1"/>
    <col min="3" max="4" width="2.7109375" style="442" customWidth="1"/>
    <col min="5" max="5" width="11.85546875" style="442" customWidth="1"/>
    <col min="6" max="6" width="24.140625" style="442" customWidth="1"/>
    <col min="7" max="7" width="17.5703125" style="480" customWidth="1"/>
    <col min="8" max="8" width="1" style="442" hidden="1" customWidth="1"/>
    <col min="9" max="30" width="25.7109375" style="479" customWidth="1"/>
    <col min="31" max="16384" width="9.140625" style="442"/>
  </cols>
  <sheetData>
    <row r="2" spans="1:30" s="439" customFormat="1" x14ac:dyDescent="0.2">
      <c r="A2" s="437" t="s">
        <v>709</v>
      </c>
      <c r="B2" s="437"/>
      <c r="C2" s="437"/>
      <c r="D2" s="437"/>
      <c r="E2" s="437"/>
      <c r="F2" s="437"/>
      <c r="G2" s="437"/>
      <c r="H2" s="437"/>
      <c r="I2" s="437"/>
      <c r="J2" s="437"/>
      <c r="K2" s="437"/>
      <c r="L2" s="437"/>
      <c r="M2" s="437"/>
      <c r="N2" s="437"/>
      <c r="O2" s="437"/>
      <c r="P2" s="437"/>
      <c r="Q2" s="437"/>
      <c r="R2" s="437"/>
      <c r="S2" s="437"/>
      <c r="T2" s="437"/>
      <c r="U2" s="437"/>
      <c r="V2" s="437"/>
      <c r="W2" s="437"/>
      <c r="X2" s="437"/>
      <c r="Y2" s="437"/>
      <c r="Z2" s="437"/>
      <c r="AA2" s="437"/>
      <c r="AB2" s="437"/>
      <c r="AC2" s="437"/>
      <c r="AD2" s="482"/>
    </row>
    <row r="3" spans="1:30" s="439" customFormat="1" x14ac:dyDescent="0.2">
      <c r="A3" s="437" t="s">
        <v>56</v>
      </c>
      <c r="B3" s="437"/>
      <c r="C3" s="437"/>
      <c r="D3" s="437"/>
      <c r="E3" s="437"/>
      <c r="F3" s="437"/>
      <c r="G3" s="437"/>
      <c r="H3" s="437"/>
      <c r="I3" s="437"/>
      <c r="J3" s="437"/>
      <c r="K3" s="437"/>
      <c r="L3" s="437"/>
      <c r="M3" s="437"/>
      <c r="N3" s="437"/>
      <c r="O3" s="437"/>
      <c r="P3" s="437"/>
      <c r="Q3" s="437"/>
      <c r="R3" s="437"/>
      <c r="S3" s="437"/>
      <c r="T3" s="437"/>
      <c r="U3" s="437"/>
      <c r="V3" s="437"/>
      <c r="W3" s="437"/>
      <c r="X3" s="437"/>
      <c r="Y3" s="437"/>
      <c r="Z3" s="437"/>
      <c r="AA3" s="437"/>
      <c r="AB3" s="437"/>
      <c r="AC3" s="437"/>
      <c r="AD3" s="482"/>
    </row>
    <row r="4" spans="1:30" ht="12.75" customHeight="1" x14ac:dyDescent="0.2">
      <c r="A4" s="440"/>
      <c r="B4" s="440"/>
      <c r="C4" s="440"/>
      <c r="D4" s="440"/>
      <c r="E4" s="440"/>
      <c r="F4" s="440"/>
      <c r="G4" s="440"/>
      <c r="H4" s="440"/>
      <c r="I4" s="441"/>
      <c r="J4" s="441"/>
      <c r="K4" s="441"/>
      <c r="L4" s="441"/>
      <c r="M4" s="441"/>
      <c r="N4" s="441"/>
      <c r="O4" s="441"/>
      <c r="P4" s="441"/>
      <c r="Q4" s="441"/>
      <c r="R4" s="441"/>
      <c r="S4" s="441"/>
      <c r="T4" s="441"/>
      <c r="U4" s="441"/>
      <c r="V4" s="441"/>
      <c r="W4" s="441"/>
      <c r="X4" s="441"/>
      <c r="Y4" s="441"/>
      <c r="Z4" s="441"/>
      <c r="AA4" s="441"/>
      <c r="AB4" s="441"/>
      <c r="AC4" s="441"/>
      <c r="AD4" s="441"/>
    </row>
    <row r="5" spans="1:30" s="444" customFormat="1" ht="12.75" customHeight="1" x14ac:dyDescent="0.2">
      <c r="A5" s="739"/>
      <c r="B5" s="740"/>
      <c r="C5" s="740"/>
      <c r="D5" s="740"/>
      <c r="E5" s="740"/>
      <c r="F5" s="743" t="s">
        <v>710</v>
      </c>
      <c r="G5" s="745" t="s">
        <v>46</v>
      </c>
      <c r="H5" s="443"/>
      <c r="I5" s="746" t="s">
        <v>1320</v>
      </c>
      <c r="J5" s="726" t="s">
        <v>380</v>
      </c>
      <c r="K5" s="726" t="s">
        <v>381</v>
      </c>
      <c r="L5" s="726" t="s">
        <v>1321</v>
      </c>
      <c r="M5" s="726" t="s">
        <v>1322</v>
      </c>
      <c r="N5" s="726" t="s">
        <v>382</v>
      </c>
      <c r="O5" s="726" t="s">
        <v>1323</v>
      </c>
      <c r="P5" s="726" t="s">
        <v>1324</v>
      </c>
      <c r="Q5" s="726" t="s">
        <v>1325</v>
      </c>
      <c r="R5" s="726" t="s">
        <v>1326</v>
      </c>
      <c r="S5" s="726" t="s">
        <v>1327</v>
      </c>
      <c r="T5" s="726" t="s">
        <v>1328</v>
      </c>
      <c r="U5" s="726" t="s">
        <v>1329</v>
      </c>
      <c r="V5" s="726" t="s">
        <v>1330</v>
      </c>
      <c r="W5" s="726" t="s">
        <v>1331</v>
      </c>
      <c r="X5" s="726" t="s">
        <v>383</v>
      </c>
      <c r="Y5" s="726" t="s">
        <v>1332</v>
      </c>
      <c r="Z5" s="726" t="s">
        <v>1333</v>
      </c>
      <c r="AA5" s="726" t="s">
        <v>1334</v>
      </c>
      <c r="AB5" s="726" t="s">
        <v>1335</v>
      </c>
      <c r="AC5" s="726" t="s">
        <v>1336</v>
      </c>
      <c r="AD5" s="726" t="s">
        <v>144</v>
      </c>
    </row>
    <row r="6" spans="1:30" s="444" customFormat="1" ht="12.75" customHeight="1" x14ac:dyDescent="0.2">
      <c r="A6" s="741"/>
      <c r="B6" s="742"/>
      <c r="C6" s="742"/>
      <c r="D6" s="742"/>
      <c r="E6" s="742"/>
      <c r="F6" s="744"/>
      <c r="G6" s="745"/>
      <c r="H6" s="443"/>
      <c r="I6" s="747"/>
      <c r="J6" s="735"/>
      <c r="K6" s="735"/>
      <c r="L6" s="735"/>
      <c r="M6" s="737"/>
      <c r="N6" s="735"/>
      <c r="O6" s="735"/>
      <c r="P6" s="735"/>
      <c r="Q6" s="735"/>
      <c r="R6" s="737"/>
      <c r="S6" s="735"/>
      <c r="T6" s="735"/>
      <c r="U6" s="735"/>
      <c r="V6" s="735"/>
      <c r="W6" s="735"/>
      <c r="X6" s="735"/>
      <c r="Y6" s="735"/>
      <c r="Z6" s="737"/>
      <c r="AA6" s="735"/>
      <c r="AB6" s="735"/>
      <c r="AC6" s="737"/>
      <c r="AD6" s="727"/>
    </row>
    <row r="7" spans="1:30" s="444" customFormat="1" ht="12.75" customHeight="1" x14ac:dyDescent="0.2">
      <c r="A7" s="741"/>
      <c r="B7" s="742"/>
      <c r="C7" s="742"/>
      <c r="D7" s="742"/>
      <c r="E7" s="742"/>
      <c r="F7" s="744"/>
      <c r="G7" s="745"/>
      <c r="H7" s="443"/>
      <c r="I7" s="747"/>
      <c r="J7" s="735"/>
      <c r="K7" s="735"/>
      <c r="L7" s="735"/>
      <c r="M7" s="737"/>
      <c r="N7" s="735"/>
      <c r="O7" s="735"/>
      <c r="P7" s="735"/>
      <c r="Q7" s="735"/>
      <c r="R7" s="737"/>
      <c r="S7" s="735"/>
      <c r="T7" s="735"/>
      <c r="U7" s="735"/>
      <c r="V7" s="735"/>
      <c r="W7" s="735"/>
      <c r="X7" s="735"/>
      <c r="Y7" s="735"/>
      <c r="Z7" s="737"/>
      <c r="AA7" s="735"/>
      <c r="AB7" s="735"/>
      <c r="AC7" s="737"/>
      <c r="AD7" s="727"/>
    </row>
    <row r="8" spans="1:30" s="444" customFormat="1" ht="14.25" customHeight="1" x14ac:dyDescent="0.2">
      <c r="A8" s="729" t="s">
        <v>711</v>
      </c>
      <c r="B8" s="730"/>
      <c r="C8" s="730"/>
      <c r="D8" s="730"/>
      <c r="E8" s="730"/>
      <c r="F8" s="733"/>
      <c r="G8" s="745"/>
      <c r="H8" s="443"/>
      <c r="I8" s="747"/>
      <c r="J8" s="735"/>
      <c r="K8" s="735"/>
      <c r="L8" s="735"/>
      <c r="M8" s="737"/>
      <c r="N8" s="735"/>
      <c r="O8" s="735"/>
      <c r="P8" s="735"/>
      <c r="Q8" s="735"/>
      <c r="R8" s="737"/>
      <c r="S8" s="735"/>
      <c r="T8" s="735"/>
      <c r="U8" s="735"/>
      <c r="V8" s="735"/>
      <c r="W8" s="735"/>
      <c r="X8" s="735"/>
      <c r="Y8" s="735"/>
      <c r="Z8" s="737"/>
      <c r="AA8" s="735"/>
      <c r="AB8" s="735"/>
      <c r="AC8" s="737"/>
      <c r="AD8" s="727"/>
    </row>
    <row r="9" spans="1:30" s="446" customFormat="1" ht="30" customHeight="1" x14ac:dyDescent="0.2">
      <c r="A9" s="731"/>
      <c r="B9" s="732"/>
      <c r="C9" s="732"/>
      <c r="D9" s="732"/>
      <c r="E9" s="732"/>
      <c r="F9" s="734"/>
      <c r="G9" s="745"/>
      <c r="H9" s="445"/>
      <c r="I9" s="748"/>
      <c r="J9" s="736"/>
      <c r="K9" s="736"/>
      <c r="L9" s="736"/>
      <c r="M9" s="738"/>
      <c r="N9" s="736"/>
      <c r="O9" s="736"/>
      <c r="P9" s="736"/>
      <c r="Q9" s="736"/>
      <c r="R9" s="738"/>
      <c r="S9" s="736"/>
      <c r="T9" s="736"/>
      <c r="U9" s="736"/>
      <c r="V9" s="736"/>
      <c r="W9" s="736"/>
      <c r="X9" s="736"/>
      <c r="Y9" s="736"/>
      <c r="Z9" s="738"/>
      <c r="AA9" s="736"/>
      <c r="AB9" s="736"/>
      <c r="AC9" s="738"/>
      <c r="AD9" s="728"/>
    </row>
    <row r="10" spans="1:30" s="452" customFormat="1" x14ac:dyDescent="0.2">
      <c r="A10" s="725" t="s">
        <v>57</v>
      </c>
      <c r="B10" s="716"/>
      <c r="C10" s="716"/>
      <c r="D10" s="716"/>
      <c r="E10" s="716"/>
      <c r="F10" s="717"/>
      <c r="G10" s="448" t="s">
        <v>323</v>
      </c>
      <c r="H10" s="449"/>
      <c r="I10" s="450">
        <f t="shared" ref="I10:AD10" si="0">I11+I34</f>
        <v>0</v>
      </c>
      <c r="J10" s="450">
        <f t="shared" si="0"/>
        <v>0</v>
      </c>
      <c r="K10" s="450">
        <f t="shared" si="0"/>
        <v>0</v>
      </c>
      <c r="L10" s="450">
        <f t="shared" si="0"/>
        <v>0</v>
      </c>
      <c r="M10" s="450">
        <f t="shared" si="0"/>
        <v>0</v>
      </c>
      <c r="N10" s="450">
        <f t="shared" si="0"/>
        <v>0</v>
      </c>
      <c r="O10" s="450">
        <f t="shared" si="0"/>
        <v>0</v>
      </c>
      <c r="P10" s="450">
        <f t="shared" si="0"/>
        <v>0</v>
      </c>
      <c r="Q10" s="450">
        <f t="shared" si="0"/>
        <v>0</v>
      </c>
      <c r="R10" s="450">
        <f t="shared" si="0"/>
        <v>0</v>
      </c>
      <c r="S10" s="450">
        <f t="shared" si="0"/>
        <v>0</v>
      </c>
      <c r="T10" s="450">
        <f t="shared" si="0"/>
        <v>0</v>
      </c>
      <c r="U10" s="450">
        <f t="shared" si="0"/>
        <v>0</v>
      </c>
      <c r="V10" s="450">
        <f t="shared" si="0"/>
        <v>0</v>
      </c>
      <c r="W10" s="450">
        <f t="shared" si="0"/>
        <v>0</v>
      </c>
      <c r="X10" s="450">
        <f t="shared" si="0"/>
        <v>0</v>
      </c>
      <c r="Y10" s="450">
        <f t="shared" si="0"/>
        <v>0</v>
      </c>
      <c r="Z10" s="450">
        <f t="shared" si="0"/>
        <v>0</v>
      </c>
      <c r="AA10" s="450">
        <f t="shared" si="0"/>
        <v>0</v>
      </c>
      <c r="AB10" s="450">
        <f t="shared" si="0"/>
        <v>0</v>
      </c>
      <c r="AC10" s="451"/>
      <c r="AD10" s="450">
        <f t="shared" si="0"/>
        <v>0</v>
      </c>
    </row>
    <row r="11" spans="1:30" s="452" customFormat="1" x14ac:dyDescent="0.2">
      <c r="A11" s="453" t="s">
        <v>712</v>
      </c>
      <c r="B11" s="454"/>
      <c r="C11" s="454"/>
      <c r="D11" s="454"/>
      <c r="E11" s="454"/>
      <c r="F11" s="454"/>
      <c r="G11" s="448" t="s">
        <v>713</v>
      </c>
      <c r="H11" s="449"/>
      <c r="I11" s="450">
        <f t="shared" ref="I11:AD11" si="1">I12+I19+I22+I25+I28+I29+I32+I33</f>
        <v>0</v>
      </c>
      <c r="J11" s="450">
        <f t="shared" si="1"/>
        <v>0</v>
      </c>
      <c r="K11" s="450">
        <f t="shared" si="1"/>
        <v>0</v>
      </c>
      <c r="L11" s="450">
        <f t="shared" si="1"/>
        <v>0</v>
      </c>
      <c r="M11" s="450">
        <f t="shared" si="1"/>
        <v>0</v>
      </c>
      <c r="N11" s="450">
        <f t="shared" si="1"/>
        <v>0</v>
      </c>
      <c r="O11" s="450">
        <f t="shared" si="1"/>
        <v>0</v>
      </c>
      <c r="P11" s="450">
        <f t="shared" si="1"/>
        <v>0</v>
      </c>
      <c r="Q11" s="450">
        <f t="shared" si="1"/>
        <v>0</v>
      </c>
      <c r="R11" s="450">
        <f t="shared" si="1"/>
        <v>0</v>
      </c>
      <c r="S11" s="450">
        <f t="shared" si="1"/>
        <v>0</v>
      </c>
      <c r="T11" s="450">
        <f t="shared" si="1"/>
        <v>0</v>
      </c>
      <c r="U11" s="450">
        <f t="shared" si="1"/>
        <v>0</v>
      </c>
      <c r="V11" s="450">
        <f t="shared" si="1"/>
        <v>0</v>
      </c>
      <c r="W11" s="450">
        <f t="shared" si="1"/>
        <v>0</v>
      </c>
      <c r="X11" s="450">
        <f t="shared" si="1"/>
        <v>0</v>
      </c>
      <c r="Y11" s="450">
        <f t="shared" si="1"/>
        <v>0</v>
      </c>
      <c r="Z11" s="450">
        <f t="shared" si="1"/>
        <v>0</v>
      </c>
      <c r="AA11" s="450">
        <f t="shared" si="1"/>
        <v>0</v>
      </c>
      <c r="AB11" s="450">
        <f t="shared" si="1"/>
        <v>0</v>
      </c>
      <c r="AC11" s="451"/>
      <c r="AD11" s="450">
        <f t="shared" si="1"/>
        <v>0</v>
      </c>
    </row>
    <row r="12" spans="1:30" s="452" customFormat="1" x14ac:dyDescent="0.2">
      <c r="A12" s="483" t="s">
        <v>54</v>
      </c>
      <c r="B12" s="718" t="s">
        <v>540</v>
      </c>
      <c r="C12" s="718"/>
      <c r="D12" s="718"/>
      <c r="E12" s="718"/>
      <c r="F12" s="719"/>
      <c r="G12" s="448" t="s">
        <v>324</v>
      </c>
      <c r="H12" s="449"/>
      <c r="I12" s="450">
        <f t="shared" ref="I12:AD12" si="2">SUM(I13:I15)</f>
        <v>0</v>
      </c>
      <c r="J12" s="450">
        <f t="shared" si="2"/>
        <v>0</v>
      </c>
      <c r="K12" s="450">
        <f t="shared" si="2"/>
        <v>0</v>
      </c>
      <c r="L12" s="450">
        <f t="shared" si="2"/>
        <v>0</v>
      </c>
      <c r="M12" s="450">
        <f t="shared" si="2"/>
        <v>0</v>
      </c>
      <c r="N12" s="450">
        <f t="shared" si="2"/>
        <v>0</v>
      </c>
      <c r="O12" s="450">
        <f t="shared" si="2"/>
        <v>0</v>
      </c>
      <c r="P12" s="450">
        <f t="shared" si="2"/>
        <v>0</v>
      </c>
      <c r="Q12" s="450">
        <f t="shared" si="2"/>
        <v>0</v>
      </c>
      <c r="R12" s="450">
        <f t="shared" si="2"/>
        <v>0</v>
      </c>
      <c r="S12" s="450">
        <f t="shared" si="2"/>
        <v>0</v>
      </c>
      <c r="T12" s="450">
        <f t="shared" si="2"/>
        <v>0</v>
      </c>
      <c r="U12" s="450">
        <f t="shared" si="2"/>
        <v>0</v>
      </c>
      <c r="V12" s="450">
        <f t="shared" si="2"/>
        <v>0</v>
      </c>
      <c r="W12" s="450">
        <f t="shared" si="2"/>
        <v>0</v>
      </c>
      <c r="X12" s="450">
        <f t="shared" si="2"/>
        <v>0</v>
      </c>
      <c r="Y12" s="450">
        <f t="shared" si="2"/>
        <v>0</v>
      </c>
      <c r="Z12" s="450">
        <f t="shared" si="2"/>
        <v>0</v>
      </c>
      <c r="AA12" s="450">
        <f t="shared" si="2"/>
        <v>0</v>
      </c>
      <c r="AB12" s="450">
        <f t="shared" si="2"/>
        <v>0</v>
      </c>
      <c r="AC12" s="451"/>
      <c r="AD12" s="450">
        <f t="shared" si="2"/>
        <v>0</v>
      </c>
    </row>
    <row r="13" spans="1:30" s="452" customFormat="1" x14ac:dyDescent="0.2">
      <c r="A13" s="455"/>
      <c r="B13" s="456" t="s">
        <v>59</v>
      </c>
      <c r="C13" s="718" t="s">
        <v>60</v>
      </c>
      <c r="D13" s="718"/>
      <c r="E13" s="718"/>
      <c r="F13" s="719"/>
      <c r="G13" s="448" t="s">
        <v>325</v>
      </c>
      <c r="H13" s="449"/>
      <c r="I13" s="451"/>
      <c r="J13" s="451"/>
      <c r="K13" s="451"/>
      <c r="L13" s="451"/>
      <c r="M13" s="451"/>
      <c r="N13" s="451"/>
      <c r="O13" s="451"/>
      <c r="P13" s="451"/>
      <c r="Q13" s="451"/>
      <c r="R13" s="451"/>
      <c r="S13" s="451"/>
      <c r="T13" s="451"/>
      <c r="U13" s="451"/>
      <c r="V13" s="451"/>
      <c r="W13" s="458"/>
      <c r="X13" s="458"/>
      <c r="Y13" s="458"/>
      <c r="Z13" s="451"/>
      <c r="AA13" s="451"/>
      <c r="AB13" s="451"/>
      <c r="AC13" s="451"/>
      <c r="AD13" s="450">
        <f>SUM(I13:AC13)</f>
        <v>0</v>
      </c>
    </row>
    <row r="14" spans="1:30" s="452" customFormat="1" x14ac:dyDescent="0.2">
      <c r="A14" s="455"/>
      <c r="B14" s="456" t="s">
        <v>61</v>
      </c>
      <c r="C14" s="718" t="s">
        <v>72</v>
      </c>
      <c r="D14" s="718"/>
      <c r="E14" s="718"/>
      <c r="F14" s="719"/>
      <c r="G14" s="448" t="s">
        <v>541</v>
      </c>
      <c r="H14" s="449"/>
      <c r="I14" s="451"/>
      <c r="J14" s="451"/>
      <c r="K14" s="451"/>
      <c r="L14" s="451"/>
      <c r="M14" s="451"/>
      <c r="N14" s="451"/>
      <c r="O14" s="451"/>
      <c r="P14" s="451"/>
      <c r="Q14" s="451"/>
      <c r="R14" s="451"/>
      <c r="S14" s="451"/>
      <c r="T14" s="451"/>
      <c r="U14" s="451"/>
      <c r="V14" s="451"/>
      <c r="W14" s="458"/>
      <c r="X14" s="458"/>
      <c r="Y14" s="458"/>
      <c r="Z14" s="451"/>
      <c r="AA14" s="451"/>
      <c r="AB14" s="451"/>
      <c r="AC14" s="451"/>
      <c r="AD14" s="450">
        <f>SUM(I14:AC14)</f>
        <v>0</v>
      </c>
    </row>
    <row r="15" spans="1:30" s="452" customFormat="1" x14ac:dyDescent="0.2">
      <c r="A15" s="455"/>
      <c r="B15" s="456" t="s">
        <v>71</v>
      </c>
      <c r="C15" s="718" t="s">
        <v>62</v>
      </c>
      <c r="D15" s="718"/>
      <c r="E15" s="718"/>
      <c r="F15" s="719"/>
      <c r="G15" s="448" t="s">
        <v>326</v>
      </c>
      <c r="H15" s="449"/>
      <c r="I15" s="450">
        <f t="shared" ref="I15:AD15" si="3">SUM(I16:I18)</f>
        <v>0</v>
      </c>
      <c r="J15" s="450">
        <f t="shared" si="3"/>
        <v>0</v>
      </c>
      <c r="K15" s="450">
        <f t="shared" si="3"/>
        <v>0</v>
      </c>
      <c r="L15" s="450">
        <f t="shared" si="3"/>
        <v>0</v>
      </c>
      <c r="M15" s="450">
        <f t="shared" si="3"/>
        <v>0</v>
      </c>
      <c r="N15" s="450">
        <f t="shared" si="3"/>
        <v>0</v>
      </c>
      <c r="O15" s="450">
        <f t="shared" si="3"/>
        <v>0</v>
      </c>
      <c r="P15" s="450">
        <f t="shared" si="3"/>
        <v>0</v>
      </c>
      <c r="Q15" s="450">
        <f t="shared" si="3"/>
        <v>0</v>
      </c>
      <c r="R15" s="450">
        <f t="shared" si="3"/>
        <v>0</v>
      </c>
      <c r="S15" s="450">
        <f t="shared" si="3"/>
        <v>0</v>
      </c>
      <c r="T15" s="450">
        <f t="shared" si="3"/>
        <v>0</v>
      </c>
      <c r="U15" s="450">
        <f t="shared" si="3"/>
        <v>0</v>
      </c>
      <c r="V15" s="450">
        <f t="shared" si="3"/>
        <v>0</v>
      </c>
      <c r="W15" s="450">
        <f t="shared" si="3"/>
        <v>0</v>
      </c>
      <c r="X15" s="450">
        <f t="shared" si="3"/>
        <v>0</v>
      </c>
      <c r="Y15" s="450">
        <f t="shared" si="3"/>
        <v>0</v>
      </c>
      <c r="Z15" s="450">
        <f t="shared" si="3"/>
        <v>0</v>
      </c>
      <c r="AA15" s="450">
        <f t="shared" si="3"/>
        <v>0</v>
      </c>
      <c r="AB15" s="451"/>
      <c r="AC15" s="451"/>
      <c r="AD15" s="450">
        <f t="shared" si="3"/>
        <v>0</v>
      </c>
    </row>
    <row r="16" spans="1:30" s="452" customFormat="1" x14ac:dyDescent="0.2">
      <c r="A16" s="455"/>
      <c r="B16" s="456"/>
      <c r="C16" s="459" t="s">
        <v>54</v>
      </c>
      <c r="D16" s="718" t="s">
        <v>63</v>
      </c>
      <c r="E16" s="716"/>
      <c r="F16" s="717"/>
      <c r="G16" s="448" t="s">
        <v>327</v>
      </c>
      <c r="H16" s="449"/>
      <c r="I16" s="451"/>
      <c r="J16" s="451"/>
      <c r="K16" s="451"/>
      <c r="L16" s="451"/>
      <c r="M16" s="451"/>
      <c r="N16" s="451"/>
      <c r="O16" s="451"/>
      <c r="P16" s="451"/>
      <c r="Q16" s="451"/>
      <c r="R16" s="451"/>
      <c r="S16" s="451"/>
      <c r="T16" s="484"/>
      <c r="U16" s="484"/>
      <c r="V16" s="484"/>
      <c r="W16" s="458"/>
      <c r="X16" s="451"/>
      <c r="Y16" s="451"/>
      <c r="Z16" s="451"/>
      <c r="AA16" s="451"/>
      <c r="AB16" s="451"/>
      <c r="AC16" s="451"/>
      <c r="AD16" s="450">
        <f>SUM(I16:AC16)</f>
        <v>0</v>
      </c>
    </row>
    <row r="17" spans="1:30" s="452" customFormat="1" x14ac:dyDescent="0.2">
      <c r="A17" s="455"/>
      <c r="B17" s="456"/>
      <c r="C17" s="459" t="s">
        <v>55</v>
      </c>
      <c r="D17" s="718" t="s">
        <v>64</v>
      </c>
      <c r="E17" s="716"/>
      <c r="F17" s="717"/>
      <c r="G17" s="448" t="s">
        <v>328</v>
      </c>
      <c r="H17" s="449"/>
      <c r="I17" s="451"/>
      <c r="J17" s="451"/>
      <c r="K17" s="451"/>
      <c r="L17" s="451"/>
      <c r="M17" s="451"/>
      <c r="N17" s="451"/>
      <c r="O17" s="451"/>
      <c r="P17" s="451"/>
      <c r="Q17" s="451"/>
      <c r="R17" s="451"/>
      <c r="S17" s="458"/>
      <c r="T17" s="484"/>
      <c r="U17" s="484"/>
      <c r="V17" s="484"/>
      <c r="W17" s="484"/>
      <c r="X17" s="451"/>
      <c r="Y17" s="451"/>
      <c r="Z17" s="451"/>
      <c r="AA17" s="451"/>
      <c r="AB17" s="451"/>
      <c r="AC17" s="451"/>
      <c r="AD17" s="450">
        <f>SUM(I17:AC17)</f>
        <v>0</v>
      </c>
    </row>
    <row r="18" spans="1:30" s="452" customFormat="1" x14ac:dyDescent="0.2">
      <c r="A18" s="455"/>
      <c r="B18" s="456"/>
      <c r="C18" s="459" t="s">
        <v>65</v>
      </c>
      <c r="D18" s="718" t="s">
        <v>66</v>
      </c>
      <c r="E18" s="716"/>
      <c r="F18" s="717"/>
      <c r="G18" s="448" t="s">
        <v>329</v>
      </c>
      <c r="H18" s="449"/>
      <c r="I18" s="458"/>
      <c r="J18" s="458"/>
      <c r="K18" s="458"/>
      <c r="L18" s="458"/>
      <c r="M18" s="458"/>
      <c r="N18" s="458"/>
      <c r="O18" s="458"/>
      <c r="P18" s="458"/>
      <c r="Q18" s="458"/>
      <c r="R18" s="458"/>
      <c r="S18" s="451"/>
      <c r="T18" s="458"/>
      <c r="U18" s="458"/>
      <c r="V18" s="458"/>
      <c r="W18" s="458"/>
      <c r="X18" s="458"/>
      <c r="Y18" s="458"/>
      <c r="Z18" s="458"/>
      <c r="AA18" s="458"/>
      <c r="AB18" s="451"/>
      <c r="AC18" s="451"/>
      <c r="AD18" s="450">
        <f>SUM(I18:AC18)</f>
        <v>0</v>
      </c>
    </row>
    <row r="19" spans="1:30" s="460" customFormat="1" ht="11.25" x14ac:dyDescent="0.2">
      <c r="A19" s="455" t="s">
        <v>55</v>
      </c>
      <c r="B19" s="456" t="s">
        <v>67</v>
      </c>
      <c r="C19" s="456"/>
      <c r="D19" s="456"/>
      <c r="E19" s="456"/>
      <c r="F19" s="457"/>
      <c r="G19" s="448" t="s">
        <v>330</v>
      </c>
      <c r="H19" s="449"/>
      <c r="I19" s="450">
        <f t="shared" ref="I19:AD19" si="4">SUM(I20:I21)</f>
        <v>0</v>
      </c>
      <c r="J19" s="451"/>
      <c r="K19" s="450">
        <f t="shared" si="4"/>
        <v>0</v>
      </c>
      <c r="L19" s="450">
        <f t="shared" si="4"/>
        <v>0</v>
      </c>
      <c r="M19" s="450">
        <f t="shared" si="4"/>
        <v>0</v>
      </c>
      <c r="N19" s="450">
        <f t="shared" si="4"/>
        <v>0</v>
      </c>
      <c r="O19" s="450">
        <f t="shared" si="4"/>
        <v>0</v>
      </c>
      <c r="P19" s="451"/>
      <c r="Q19" s="450">
        <f t="shared" si="4"/>
        <v>0</v>
      </c>
      <c r="R19" s="450">
        <f t="shared" si="4"/>
        <v>0</v>
      </c>
      <c r="S19" s="450">
        <f t="shared" si="4"/>
        <v>0</v>
      </c>
      <c r="T19" s="450">
        <f t="shared" si="4"/>
        <v>0</v>
      </c>
      <c r="U19" s="450">
        <f t="shared" si="4"/>
        <v>0</v>
      </c>
      <c r="V19" s="450">
        <f t="shared" si="4"/>
        <v>0</v>
      </c>
      <c r="W19" s="450">
        <f t="shared" si="4"/>
        <v>0</v>
      </c>
      <c r="X19" s="451"/>
      <c r="Y19" s="451"/>
      <c r="Z19" s="451"/>
      <c r="AA19" s="451"/>
      <c r="AB19" s="451"/>
      <c r="AC19" s="451"/>
      <c r="AD19" s="450">
        <f t="shared" si="4"/>
        <v>0</v>
      </c>
    </row>
    <row r="20" spans="1:30" s="460" customFormat="1" ht="11.25" x14ac:dyDescent="0.2">
      <c r="A20" s="455"/>
      <c r="B20" s="456" t="s">
        <v>59</v>
      </c>
      <c r="C20" s="718" t="s">
        <v>68</v>
      </c>
      <c r="D20" s="718"/>
      <c r="E20" s="718"/>
      <c r="F20" s="719"/>
      <c r="G20" s="448" t="s">
        <v>331</v>
      </c>
      <c r="H20" s="449"/>
      <c r="I20" s="458"/>
      <c r="J20" s="451"/>
      <c r="K20" s="458"/>
      <c r="L20" s="458"/>
      <c r="M20" s="458"/>
      <c r="N20" s="458"/>
      <c r="O20" s="458"/>
      <c r="P20" s="451"/>
      <c r="Q20" s="458"/>
      <c r="R20" s="458"/>
      <c r="S20" s="458"/>
      <c r="T20" s="458"/>
      <c r="U20" s="458"/>
      <c r="V20" s="458"/>
      <c r="W20" s="458"/>
      <c r="X20" s="451"/>
      <c r="Y20" s="451"/>
      <c r="Z20" s="451"/>
      <c r="AA20" s="451"/>
      <c r="AB20" s="451"/>
      <c r="AC20" s="451"/>
      <c r="AD20" s="450">
        <f>SUM(I20:AC20)</f>
        <v>0</v>
      </c>
    </row>
    <row r="21" spans="1:30" s="460" customFormat="1" ht="11.25" x14ac:dyDescent="0.2">
      <c r="A21" s="455"/>
      <c r="B21" s="456" t="s">
        <v>69</v>
      </c>
      <c r="C21" s="456" t="s">
        <v>70</v>
      </c>
      <c r="D21" s="456"/>
      <c r="E21" s="456"/>
      <c r="F21" s="457"/>
      <c r="G21" s="448" t="s">
        <v>332</v>
      </c>
      <c r="H21" s="449"/>
      <c r="I21" s="458"/>
      <c r="J21" s="451"/>
      <c r="K21" s="458"/>
      <c r="L21" s="458"/>
      <c r="M21" s="458"/>
      <c r="N21" s="458"/>
      <c r="O21" s="458"/>
      <c r="P21" s="451"/>
      <c r="Q21" s="458"/>
      <c r="R21" s="458"/>
      <c r="S21" s="458"/>
      <c r="T21" s="458"/>
      <c r="U21" s="458"/>
      <c r="V21" s="458"/>
      <c r="W21" s="458"/>
      <c r="X21" s="451"/>
      <c r="Y21" s="451"/>
      <c r="Z21" s="451"/>
      <c r="AA21" s="451"/>
      <c r="AB21" s="451"/>
      <c r="AC21" s="451"/>
      <c r="AD21" s="450">
        <f>SUM(I21:AC21)</f>
        <v>0</v>
      </c>
    </row>
    <row r="22" spans="1:30" s="460" customFormat="1" ht="11.25" x14ac:dyDescent="0.2">
      <c r="A22" s="461" t="s">
        <v>65</v>
      </c>
      <c r="B22" s="659" t="s">
        <v>1443</v>
      </c>
      <c r="C22" s="659"/>
      <c r="D22" s="659"/>
      <c r="E22" s="659"/>
      <c r="F22" s="660"/>
      <c r="G22" s="603" t="s">
        <v>333</v>
      </c>
      <c r="H22" s="449"/>
      <c r="I22" s="450">
        <f t="shared" ref="I22:R22" si="5">SUM(I23:I24)</f>
        <v>0</v>
      </c>
      <c r="J22" s="450">
        <f t="shared" si="5"/>
        <v>0</v>
      </c>
      <c r="K22" s="450">
        <f t="shared" si="5"/>
        <v>0</v>
      </c>
      <c r="L22" s="450">
        <f t="shared" si="5"/>
        <v>0</v>
      </c>
      <c r="M22" s="450">
        <f t="shared" si="5"/>
        <v>0</v>
      </c>
      <c r="N22" s="450">
        <f t="shared" si="5"/>
        <v>0</v>
      </c>
      <c r="O22" s="450">
        <f t="shared" si="5"/>
        <v>0</v>
      </c>
      <c r="P22" s="450">
        <f t="shared" si="5"/>
        <v>0</v>
      </c>
      <c r="Q22" s="450">
        <f t="shared" si="5"/>
        <v>0</v>
      </c>
      <c r="R22" s="450">
        <f t="shared" si="5"/>
        <v>0</v>
      </c>
      <c r="S22" s="451"/>
      <c r="T22" s="450">
        <f>SUM(T23:T24)</f>
        <v>0</v>
      </c>
      <c r="U22" s="450">
        <f>SUM(U23:U24)</f>
        <v>0</v>
      </c>
      <c r="V22" s="450">
        <f>SUM(V23:V24)</f>
        <v>0</v>
      </c>
      <c r="W22" s="451"/>
      <c r="X22" s="451"/>
      <c r="Y22" s="450">
        <f>SUM(Y23:Y24)</f>
        <v>0</v>
      </c>
      <c r="Z22" s="450">
        <f>SUM(Z23:Z24)</f>
        <v>0</v>
      </c>
      <c r="AA22" s="450">
        <f>SUM(AA23:AA24)</f>
        <v>0</v>
      </c>
      <c r="AB22" s="451"/>
      <c r="AC22" s="451"/>
      <c r="AD22" s="450">
        <f>SUM(I22:AC22)</f>
        <v>0</v>
      </c>
    </row>
    <row r="23" spans="1:30" s="460" customFormat="1" ht="11.25" x14ac:dyDescent="0.2">
      <c r="A23" s="461"/>
      <c r="B23" s="569" t="s">
        <v>59</v>
      </c>
      <c r="C23" s="659" t="s">
        <v>543</v>
      </c>
      <c r="D23" s="659"/>
      <c r="E23" s="659"/>
      <c r="F23" s="660"/>
      <c r="G23" s="603" t="s">
        <v>1431</v>
      </c>
      <c r="H23" s="449"/>
      <c r="I23" s="458"/>
      <c r="J23" s="458"/>
      <c r="K23" s="458"/>
      <c r="L23" s="458"/>
      <c r="M23" s="458"/>
      <c r="N23" s="458"/>
      <c r="O23" s="458"/>
      <c r="P23" s="458"/>
      <c r="Q23" s="458"/>
      <c r="R23" s="458"/>
      <c r="S23" s="451"/>
      <c r="T23" s="458"/>
      <c r="U23" s="458"/>
      <c r="V23" s="458"/>
      <c r="W23" s="451"/>
      <c r="X23" s="451"/>
      <c r="Y23" s="458"/>
      <c r="Z23" s="458"/>
      <c r="AA23" s="458"/>
      <c r="AB23" s="451"/>
      <c r="AC23" s="451"/>
      <c r="AD23" s="450">
        <f>SUM(I23:AC23)</f>
        <v>0</v>
      </c>
    </row>
    <row r="24" spans="1:30" s="460" customFormat="1" ht="11.25" x14ac:dyDescent="0.2">
      <c r="A24" s="461"/>
      <c r="B24" s="569" t="s">
        <v>61</v>
      </c>
      <c r="C24" s="659" t="s">
        <v>1430</v>
      </c>
      <c r="D24" s="659"/>
      <c r="E24" s="659"/>
      <c r="F24" s="660"/>
      <c r="G24" s="603" t="s">
        <v>1432</v>
      </c>
      <c r="H24" s="449"/>
      <c r="I24" s="458"/>
      <c r="J24" s="458"/>
      <c r="K24" s="458"/>
      <c r="L24" s="458"/>
      <c r="M24" s="458"/>
      <c r="N24" s="458"/>
      <c r="O24" s="458"/>
      <c r="P24" s="458"/>
      <c r="Q24" s="458"/>
      <c r="R24" s="458"/>
      <c r="S24" s="451"/>
      <c r="T24" s="458"/>
      <c r="U24" s="458"/>
      <c r="V24" s="458"/>
      <c r="W24" s="451"/>
      <c r="X24" s="451"/>
      <c r="Y24" s="458"/>
      <c r="Z24" s="458"/>
      <c r="AA24" s="458"/>
      <c r="AB24" s="451"/>
      <c r="AC24" s="451"/>
      <c r="AD24" s="450">
        <f>SUM(I24:AC24)</f>
        <v>0</v>
      </c>
    </row>
    <row r="25" spans="1:30" s="460" customFormat="1" ht="11.25" x14ac:dyDescent="0.2">
      <c r="A25" s="461" t="s">
        <v>90</v>
      </c>
      <c r="B25" s="456" t="s">
        <v>73</v>
      </c>
      <c r="C25" s="456"/>
      <c r="D25" s="456"/>
      <c r="E25" s="456"/>
      <c r="F25" s="457"/>
      <c r="G25" s="448" t="s">
        <v>334</v>
      </c>
      <c r="H25" s="449"/>
      <c r="I25" s="450">
        <f t="shared" ref="I25:AD25" si="6">SUM(I26:I27)</f>
        <v>0</v>
      </c>
      <c r="J25" s="450">
        <f t="shared" si="6"/>
        <v>0</v>
      </c>
      <c r="K25" s="450">
        <f t="shared" si="6"/>
        <v>0</v>
      </c>
      <c r="L25" s="450">
        <f t="shared" si="6"/>
        <v>0</v>
      </c>
      <c r="M25" s="450">
        <f t="shared" si="6"/>
        <v>0</v>
      </c>
      <c r="N25" s="450">
        <f t="shared" si="6"/>
        <v>0</v>
      </c>
      <c r="O25" s="450">
        <f t="shared" si="6"/>
        <v>0</v>
      </c>
      <c r="P25" s="450">
        <f t="shared" si="6"/>
        <v>0</v>
      </c>
      <c r="Q25" s="450">
        <f t="shared" si="6"/>
        <v>0</v>
      </c>
      <c r="R25" s="450">
        <f t="shared" si="6"/>
        <v>0</v>
      </c>
      <c r="S25" s="450">
        <f t="shared" si="6"/>
        <v>0</v>
      </c>
      <c r="T25" s="450">
        <f t="shared" si="6"/>
        <v>0</v>
      </c>
      <c r="U25" s="450">
        <f t="shared" si="6"/>
        <v>0</v>
      </c>
      <c r="V25" s="450">
        <f t="shared" si="6"/>
        <v>0</v>
      </c>
      <c r="W25" s="451"/>
      <c r="X25" s="450">
        <f t="shared" si="6"/>
        <v>0</v>
      </c>
      <c r="Y25" s="450">
        <f t="shared" si="6"/>
        <v>0</v>
      </c>
      <c r="Z25" s="450">
        <f t="shared" si="6"/>
        <v>0</v>
      </c>
      <c r="AA25" s="450">
        <f t="shared" si="6"/>
        <v>0</v>
      </c>
      <c r="AB25" s="451"/>
      <c r="AC25" s="451"/>
      <c r="AD25" s="450">
        <f t="shared" si="6"/>
        <v>0</v>
      </c>
    </row>
    <row r="26" spans="1:30" s="460" customFormat="1" ht="11.25" x14ac:dyDescent="0.2">
      <c r="A26" s="455"/>
      <c r="B26" s="456" t="s">
        <v>59</v>
      </c>
      <c r="C26" s="718" t="s">
        <v>1451</v>
      </c>
      <c r="D26" s="718"/>
      <c r="E26" s="718"/>
      <c r="F26" s="719"/>
      <c r="G26" s="448" t="s">
        <v>335</v>
      </c>
      <c r="H26" s="449"/>
      <c r="I26" s="458"/>
      <c r="J26" s="458"/>
      <c r="K26" s="458"/>
      <c r="L26" s="458"/>
      <c r="M26" s="458"/>
      <c r="N26" s="458"/>
      <c r="O26" s="458"/>
      <c r="P26" s="458"/>
      <c r="Q26" s="458"/>
      <c r="R26" s="458"/>
      <c r="S26" s="458"/>
      <c r="T26" s="458"/>
      <c r="U26" s="458"/>
      <c r="V26" s="458"/>
      <c r="W26" s="451"/>
      <c r="X26" s="458"/>
      <c r="Y26" s="458"/>
      <c r="Z26" s="458"/>
      <c r="AA26" s="458"/>
      <c r="AB26" s="451"/>
      <c r="AC26" s="451"/>
      <c r="AD26" s="450">
        <f>SUM(I26:AC26)</f>
        <v>0</v>
      </c>
    </row>
    <row r="27" spans="1:30" s="460" customFormat="1" ht="11.25" x14ac:dyDescent="0.2">
      <c r="A27" s="455"/>
      <c r="B27" s="456" t="s">
        <v>69</v>
      </c>
      <c r="C27" s="718" t="s">
        <v>1452</v>
      </c>
      <c r="D27" s="718"/>
      <c r="E27" s="718"/>
      <c r="F27" s="719"/>
      <c r="G27" s="448" t="s">
        <v>336</v>
      </c>
      <c r="H27" s="449"/>
      <c r="I27" s="458"/>
      <c r="J27" s="458"/>
      <c r="K27" s="458"/>
      <c r="L27" s="458"/>
      <c r="M27" s="458"/>
      <c r="N27" s="458"/>
      <c r="O27" s="458"/>
      <c r="P27" s="458"/>
      <c r="Q27" s="458"/>
      <c r="R27" s="458"/>
      <c r="S27" s="458"/>
      <c r="T27" s="458"/>
      <c r="U27" s="458"/>
      <c r="V27" s="458"/>
      <c r="W27" s="451"/>
      <c r="X27" s="458"/>
      <c r="Y27" s="458"/>
      <c r="Z27" s="458"/>
      <c r="AA27" s="458"/>
      <c r="AB27" s="451"/>
      <c r="AC27" s="451"/>
      <c r="AD27" s="450">
        <f>SUM(I27:AC27)</f>
        <v>0</v>
      </c>
    </row>
    <row r="28" spans="1:30" s="460" customFormat="1" ht="11.25" x14ac:dyDescent="0.2">
      <c r="A28" s="462" t="s">
        <v>257</v>
      </c>
      <c r="B28" s="723" t="s">
        <v>983</v>
      </c>
      <c r="C28" s="723"/>
      <c r="D28" s="723"/>
      <c r="E28" s="723"/>
      <c r="F28" s="724"/>
      <c r="G28" s="448" t="s">
        <v>337</v>
      </c>
      <c r="H28" s="449"/>
      <c r="I28" s="484"/>
      <c r="J28" s="451"/>
      <c r="K28" s="451"/>
      <c r="L28" s="451"/>
      <c r="M28" s="451"/>
      <c r="N28" s="451"/>
      <c r="O28" s="451"/>
      <c r="P28" s="451"/>
      <c r="Q28" s="451"/>
      <c r="R28" s="451"/>
      <c r="S28" s="451"/>
      <c r="T28" s="458"/>
      <c r="U28" s="451"/>
      <c r="V28" s="451"/>
      <c r="W28" s="451"/>
      <c r="X28" s="484"/>
      <c r="Y28" s="484"/>
      <c r="Z28" s="484"/>
      <c r="AA28" s="484"/>
      <c r="AB28" s="451"/>
      <c r="AC28" s="451"/>
      <c r="AD28" s="450">
        <f>SUM(I28:AC28)</f>
        <v>0</v>
      </c>
    </row>
    <row r="29" spans="1:30" s="460" customFormat="1" ht="11.25" x14ac:dyDescent="0.2">
      <c r="A29" s="461" t="s">
        <v>74</v>
      </c>
      <c r="B29" s="718" t="s">
        <v>77</v>
      </c>
      <c r="C29" s="718"/>
      <c r="D29" s="718"/>
      <c r="E29" s="718"/>
      <c r="F29" s="719"/>
      <c r="G29" s="448" t="s">
        <v>338</v>
      </c>
      <c r="H29" s="449"/>
      <c r="I29" s="450">
        <f t="shared" ref="I29:AD29" si="7">SUM(I30:I31)</f>
        <v>0</v>
      </c>
      <c r="J29" s="450">
        <f t="shared" si="7"/>
        <v>0</v>
      </c>
      <c r="K29" s="450">
        <f t="shared" si="7"/>
        <v>0</v>
      </c>
      <c r="L29" s="450">
        <f t="shared" si="7"/>
        <v>0</v>
      </c>
      <c r="M29" s="450">
        <f t="shared" si="7"/>
        <v>0</v>
      </c>
      <c r="N29" s="450">
        <f t="shared" si="7"/>
        <v>0</v>
      </c>
      <c r="O29" s="450">
        <f t="shared" si="7"/>
        <v>0</v>
      </c>
      <c r="P29" s="450">
        <f t="shared" si="7"/>
        <v>0</v>
      </c>
      <c r="Q29" s="450">
        <f t="shared" si="7"/>
        <v>0</v>
      </c>
      <c r="R29" s="450">
        <f t="shared" si="7"/>
        <v>0</v>
      </c>
      <c r="S29" s="450">
        <f t="shared" si="7"/>
        <v>0</v>
      </c>
      <c r="T29" s="450">
        <f t="shared" si="7"/>
        <v>0</v>
      </c>
      <c r="U29" s="450">
        <f t="shared" si="7"/>
        <v>0</v>
      </c>
      <c r="V29" s="450">
        <f t="shared" si="7"/>
        <v>0</v>
      </c>
      <c r="W29" s="451"/>
      <c r="X29" s="450">
        <f t="shared" si="7"/>
        <v>0</v>
      </c>
      <c r="Y29" s="450">
        <f t="shared" si="7"/>
        <v>0</v>
      </c>
      <c r="Z29" s="450">
        <f t="shared" si="7"/>
        <v>0</v>
      </c>
      <c r="AA29" s="450">
        <f t="shared" si="7"/>
        <v>0</v>
      </c>
      <c r="AB29" s="451"/>
      <c r="AC29" s="451"/>
      <c r="AD29" s="450">
        <f t="shared" si="7"/>
        <v>0</v>
      </c>
    </row>
    <row r="30" spans="1:30" s="460" customFormat="1" ht="11.25" x14ac:dyDescent="0.2">
      <c r="A30" s="455"/>
      <c r="B30" s="456" t="s">
        <v>59</v>
      </c>
      <c r="C30" s="718" t="s">
        <v>78</v>
      </c>
      <c r="D30" s="718"/>
      <c r="E30" s="718"/>
      <c r="F30" s="719"/>
      <c r="G30" s="448" t="s">
        <v>339</v>
      </c>
      <c r="H30" s="449"/>
      <c r="I30" s="451"/>
      <c r="J30" s="451"/>
      <c r="K30" s="451"/>
      <c r="L30" s="451"/>
      <c r="M30" s="451"/>
      <c r="N30" s="451"/>
      <c r="O30" s="451"/>
      <c r="P30" s="451"/>
      <c r="Q30" s="451"/>
      <c r="R30" s="451"/>
      <c r="S30" s="458"/>
      <c r="T30" s="451"/>
      <c r="U30" s="451"/>
      <c r="V30" s="451"/>
      <c r="W30" s="451"/>
      <c r="X30" s="451"/>
      <c r="Y30" s="451"/>
      <c r="Z30" s="451"/>
      <c r="AA30" s="451"/>
      <c r="AB30" s="451"/>
      <c r="AC30" s="451"/>
      <c r="AD30" s="450">
        <f>SUM(I30:AC30)</f>
        <v>0</v>
      </c>
    </row>
    <row r="31" spans="1:30" s="460" customFormat="1" ht="23.25" customHeight="1" x14ac:dyDescent="0.2">
      <c r="A31" s="455"/>
      <c r="B31" s="456" t="s">
        <v>61</v>
      </c>
      <c r="C31" s="718" t="s">
        <v>66</v>
      </c>
      <c r="D31" s="718"/>
      <c r="E31" s="718"/>
      <c r="F31" s="719"/>
      <c r="G31" s="448" t="s">
        <v>340</v>
      </c>
      <c r="H31" s="449"/>
      <c r="I31" s="458"/>
      <c r="J31" s="458"/>
      <c r="K31" s="458"/>
      <c r="L31" s="458"/>
      <c r="M31" s="458"/>
      <c r="N31" s="458"/>
      <c r="O31" s="458"/>
      <c r="P31" s="458"/>
      <c r="Q31" s="458"/>
      <c r="R31" s="458"/>
      <c r="S31" s="451"/>
      <c r="T31" s="458"/>
      <c r="U31" s="458"/>
      <c r="V31" s="458"/>
      <c r="W31" s="451"/>
      <c r="X31" s="458"/>
      <c r="Y31" s="458"/>
      <c r="Z31" s="458"/>
      <c r="AA31" s="458"/>
      <c r="AB31" s="451"/>
      <c r="AC31" s="451"/>
      <c r="AD31" s="450">
        <f>SUM(I31:AC31)</f>
        <v>0</v>
      </c>
    </row>
    <row r="32" spans="1:30" s="460" customFormat="1" ht="11.25" x14ac:dyDescent="0.2">
      <c r="A32" s="461" t="s">
        <v>76</v>
      </c>
      <c r="B32" s="723" t="s">
        <v>1337</v>
      </c>
      <c r="C32" s="723"/>
      <c r="D32" s="723"/>
      <c r="E32" s="723"/>
      <c r="F32" s="724"/>
      <c r="G32" s="463" t="s">
        <v>341</v>
      </c>
      <c r="H32" s="464"/>
      <c r="I32" s="451"/>
      <c r="J32" s="451"/>
      <c r="K32" s="451"/>
      <c r="L32" s="451"/>
      <c r="M32" s="451"/>
      <c r="N32" s="451"/>
      <c r="O32" s="451"/>
      <c r="P32" s="484"/>
      <c r="Q32" s="484"/>
      <c r="R32" s="484"/>
      <c r="S32" s="451"/>
      <c r="T32" s="458"/>
      <c r="U32" s="451"/>
      <c r="V32" s="451"/>
      <c r="W32" s="451"/>
      <c r="X32" s="484"/>
      <c r="Y32" s="484"/>
      <c r="Z32" s="484"/>
      <c r="AA32" s="484"/>
      <c r="AB32" s="451"/>
      <c r="AC32" s="451"/>
      <c r="AD32" s="450">
        <f>SUM(I32:AC32)</f>
        <v>0</v>
      </c>
    </row>
    <row r="33" spans="1:38" s="460" customFormat="1" ht="11.25" x14ac:dyDescent="0.2">
      <c r="A33" s="462" t="s">
        <v>79</v>
      </c>
      <c r="B33" s="456" t="s">
        <v>85</v>
      </c>
      <c r="C33" s="456"/>
      <c r="D33" s="456"/>
      <c r="E33" s="456"/>
      <c r="F33" s="457"/>
      <c r="G33" s="448" t="s">
        <v>346</v>
      </c>
      <c r="H33" s="449"/>
      <c r="I33" s="458"/>
      <c r="J33" s="458"/>
      <c r="K33" s="458"/>
      <c r="L33" s="451"/>
      <c r="M33" s="458"/>
      <c r="N33" s="458"/>
      <c r="O33" s="458"/>
      <c r="P33" s="458"/>
      <c r="Q33" s="458"/>
      <c r="R33" s="458"/>
      <c r="S33" s="451"/>
      <c r="T33" s="458"/>
      <c r="U33" s="458"/>
      <c r="V33" s="458"/>
      <c r="W33" s="451"/>
      <c r="X33" s="458"/>
      <c r="Y33" s="458"/>
      <c r="Z33" s="458"/>
      <c r="AA33" s="458"/>
      <c r="AB33" s="458"/>
      <c r="AC33" s="451"/>
      <c r="AD33" s="450">
        <f>SUM(I33:AC33)</f>
        <v>0</v>
      </c>
    </row>
    <row r="34" spans="1:38" s="460" customFormat="1" ht="11.25" x14ac:dyDescent="0.2">
      <c r="A34" s="447" t="s">
        <v>714</v>
      </c>
      <c r="B34" s="456"/>
      <c r="C34" s="456"/>
      <c r="D34" s="456"/>
      <c r="E34" s="456"/>
      <c r="F34" s="457"/>
      <c r="G34" s="448" t="s">
        <v>715</v>
      </c>
      <c r="H34" s="449"/>
      <c r="I34" s="451"/>
      <c r="J34" s="451"/>
      <c r="K34" s="451"/>
      <c r="L34" s="451"/>
      <c r="M34" s="451"/>
      <c r="N34" s="451"/>
      <c r="O34" s="451"/>
      <c r="P34" s="451"/>
      <c r="Q34" s="451"/>
      <c r="R34" s="451"/>
      <c r="S34" s="451"/>
      <c r="T34" s="451"/>
      <c r="U34" s="451"/>
      <c r="V34" s="451"/>
      <c r="W34" s="451"/>
      <c r="X34" s="451"/>
      <c r="Y34" s="451"/>
      <c r="Z34" s="451"/>
      <c r="AA34" s="451"/>
      <c r="AB34" s="451"/>
      <c r="AC34" s="451"/>
      <c r="AD34" s="450">
        <f>AD35</f>
        <v>0</v>
      </c>
    </row>
    <row r="35" spans="1:38" s="460" customFormat="1" ht="11.25" x14ac:dyDescent="0.2">
      <c r="A35" s="462" t="s">
        <v>81</v>
      </c>
      <c r="B35" s="456" t="s">
        <v>1467</v>
      </c>
      <c r="C35" s="456"/>
      <c r="D35" s="456"/>
      <c r="E35" s="456"/>
      <c r="F35" s="457"/>
      <c r="G35" s="448" t="s">
        <v>342</v>
      </c>
      <c r="H35" s="449"/>
      <c r="I35" s="451"/>
      <c r="J35" s="451"/>
      <c r="K35" s="451"/>
      <c r="L35" s="451"/>
      <c r="M35" s="451"/>
      <c r="N35" s="451"/>
      <c r="O35" s="451"/>
      <c r="P35" s="451"/>
      <c r="Q35" s="451"/>
      <c r="R35" s="451"/>
      <c r="S35" s="451"/>
      <c r="T35" s="451"/>
      <c r="U35" s="451"/>
      <c r="V35" s="451"/>
      <c r="W35" s="451"/>
      <c r="X35" s="451"/>
      <c r="Y35" s="451"/>
      <c r="Z35" s="451"/>
      <c r="AA35" s="451"/>
      <c r="AB35" s="451"/>
      <c r="AC35" s="451"/>
      <c r="AD35" s="450">
        <f>AD36+AD37+AD40+AD41</f>
        <v>0</v>
      </c>
    </row>
    <row r="36" spans="1:38" s="452" customFormat="1" x14ac:dyDescent="0.2">
      <c r="A36" s="455"/>
      <c r="B36" s="456" t="s">
        <v>59</v>
      </c>
      <c r="C36" s="718" t="s">
        <v>82</v>
      </c>
      <c r="D36" s="718"/>
      <c r="E36" s="718"/>
      <c r="F36" s="719"/>
      <c r="G36" s="448" t="s">
        <v>343</v>
      </c>
      <c r="H36" s="449"/>
      <c r="I36" s="451"/>
      <c r="J36" s="451"/>
      <c r="K36" s="451"/>
      <c r="L36" s="451"/>
      <c r="M36" s="451"/>
      <c r="N36" s="451"/>
      <c r="O36" s="451"/>
      <c r="P36" s="451"/>
      <c r="Q36" s="451"/>
      <c r="R36" s="451"/>
      <c r="S36" s="451"/>
      <c r="T36" s="451"/>
      <c r="U36" s="451"/>
      <c r="V36" s="451"/>
      <c r="W36" s="451"/>
      <c r="X36" s="451"/>
      <c r="Y36" s="451"/>
      <c r="Z36" s="451"/>
      <c r="AA36" s="451"/>
      <c r="AB36" s="451"/>
      <c r="AC36" s="451"/>
      <c r="AD36" s="458"/>
    </row>
    <row r="37" spans="1:38" s="452" customFormat="1" x14ac:dyDescent="0.2">
      <c r="A37" s="455"/>
      <c r="B37" s="456" t="s">
        <v>61</v>
      </c>
      <c r="C37" s="662" t="s">
        <v>1457</v>
      </c>
      <c r="D37" s="662"/>
      <c r="E37" s="662"/>
      <c r="F37" s="663"/>
      <c r="G37" s="448" t="s">
        <v>344</v>
      </c>
      <c r="H37" s="449"/>
      <c r="I37" s="451"/>
      <c r="J37" s="451"/>
      <c r="K37" s="451"/>
      <c r="L37" s="451"/>
      <c r="M37" s="451"/>
      <c r="N37" s="451"/>
      <c r="O37" s="451"/>
      <c r="P37" s="451"/>
      <c r="Q37" s="451"/>
      <c r="R37" s="451"/>
      <c r="S37" s="451"/>
      <c r="T37" s="451"/>
      <c r="U37" s="451"/>
      <c r="V37" s="451"/>
      <c r="W37" s="451"/>
      <c r="X37" s="451"/>
      <c r="Y37" s="451"/>
      <c r="Z37" s="451"/>
      <c r="AA37" s="451"/>
      <c r="AB37" s="451"/>
      <c r="AC37" s="451"/>
      <c r="AD37" s="450">
        <f>AD38+AD39</f>
        <v>0</v>
      </c>
    </row>
    <row r="38" spans="1:38" s="452" customFormat="1" x14ac:dyDescent="0.2">
      <c r="A38" s="455"/>
      <c r="B38" s="456"/>
      <c r="C38" s="456" t="s">
        <v>54</v>
      </c>
      <c r="D38" s="456" t="s">
        <v>83</v>
      </c>
      <c r="E38" s="456"/>
      <c r="F38" s="456"/>
      <c r="G38" s="616" t="s">
        <v>1459</v>
      </c>
      <c r="H38" s="449"/>
      <c r="I38" s="451"/>
      <c r="J38" s="451"/>
      <c r="K38" s="451"/>
      <c r="L38" s="451"/>
      <c r="M38" s="451"/>
      <c r="N38" s="451"/>
      <c r="O38" s="451"/>
      <c r="P38" s="451"/>
      <c r="Q38" s="451"/>
      <c r="R38" s="451"/>
      <c r="S38" s="451"/>
      <c r="T38" s="451"/>
      <c r="U38" s="451"/>
      <c r="V38" s="451"/>
      <c r="W38" s="451"/>
      <c r="X38" s="451"/>
      <c r="Y38" s="451"/>
      <c r="Z38" s="451"/>
      <c r="AA38" s="451"/>
      <c r="AB38" s="451"/>
      <c r="AC38" s="451"/>
      <c r="AD38" s="458"/>
    </row>
    <row r="39" spans="1:38" s="452" customFormat="1" x14ac:dyDescent="0.2">
      <c r="A39" s="455"/>
      <c r="B39" s="456"/>
      <c r="C39" s="456" t="s">
        <v>55</v>
      </c>
      <c r="D39" s="456" t="s">
        <v>1458</v>
      </c>
      <c r="E39" s="456"/>
      <c r="F39" s="456"/>
      <c r="G39" s="616" t="s">
        <v>1460</v>
      </c>
      <c r="H39" s="449"/>
      <c r="I39" s="451"/>
      <c r="J39" s="451"/>
      <c r="K39" s="451"/>
      <c r="L39" s="451"/>
      <c r="M39" s="451"/>
      <c r="N39" s="451"/>
      <c r="O39" s="451"/>
      <c r="P39" s="451"/>
      <c r="Q39" s="451"/>
      <c r="R39" s="451"/>
      <c r="S39" s="451"/>
      <c r="T39" s="451"/>
      <c r="U39" s="451"/>
      <c r="V39" s="451"/>
      <c r="W39" s="451"/>
      <c r="X39" s="451"/>
      <c r="Y39" s="451"/>
      <c r="Z39" s="451"/>
      <c r="AA39" s="451"/>
      <c r="AB39" s="451"/>
      <c r="AC39" s="451"/>
      <c r="AD39" s="458"/>
    </row>
    <row r="40" spans="1:38" s="452" customFormat="1" x14ac:dyDescent="0.2">
      <c r="A40" s="455"/>
      <c r="B40" s="467" t="s">
        <v>71</v>
      </c>
      <c r="C40" s="467" t="s">
        <v>1468</v>
      </c>
      <c r="D40" s="467"/>
      <c r="E40" s="467"/>
      <c r="F40" s="604"/>
      <c r="G40" s="603" t="s">
        <v>1435</v>
      </c>
      <c r="H40" s="449"/>
      <c r="I40" s="451"/>
      <c r="J40" s="451"/>
      <c r="K40" s="451"/>
      <c r="L40" s="451"/>
      <c r="M40" s="451"/>
      <c r="N40" s="451"/>
      <c r="O40" s="451"/>
      <c r="P40" s="451"/>
      <c r="Q40" s="451"/>
      <c r="R40" s="451"/>
      <c r="S40" s="451"/>
      <c r="T40" s="451"/>
      <c r="U40" s="451"/>
      <c r="V40" s="451"/>
      <c r="W40" s="451"/>
      <c r="X40" s="451"/>
      <c r="Y40" s="451"/>
      <c r="Z40" s="451"/>
      <c r="AA40" s="451"/>
      <c r="AB40" s="451"/>
      <c r="AC40" s="451"/>
      <c r="AD40" s="458"/>
    </row>
    <row r="41" spans="1:38" s="452" customFormat="1" x14ac:dyDescent="0.2">
      <c r="A41" s="455"/>
      <c r="B41" s="456" t="s">
        <v>1433</v>
      </c>
      <c r="C41" s="718" t="s">
        <v>52</v>
      </c>
      <c r="D41" s="718"/>
      <c r="E41" s="718"/>
      <c r="F41" s="719"/>
      <c r="G41" s="448" t="s">
        <v>345</v>
      </c>
      <c r="H41" s="449"/>
      <c r="I41" s="451"/>
      <c r="J41" s="451"/>
      <c r="K41" s="451"/>
      <c r="L41" s="451"/>
      <c r="M41" s="451"/>
      <c r="N41" s="451"/>
      <c r="O41" s="451"/>
      <c r="P41" s="451"/>
      <c r="Q41" s="451"/>
      <c r="R41" s="451"/>
      <c r="S41" s="451"/>
      <c r="T41" s="451"/>
      <c r="U41" s="451"/>
      <c r="V41" s="451"/>
      <c r="W41" s="451"/>
      <c r="X41" s="451"/>
      <c r="Y41" s="451"/>
      <c r="Z41" s="451"/>
      <c r="AA41" s="451"/>
      <c r="AB41" s="451"/>
      <c r="AC41" s="451"/>
      <c r="AD41" s="458"/>
    </row>
    <row r="42" spans="1:38" s="452" customFormat="1" x14ac:dyDescent="0.2">
      <c r="A42" s="725" t="s">
        <v>86</v>
      </c>
      <c r="B42" s="716"/>
      <c r="C42" s="716"/>
      <c r="D42" s="716"/>
      <c r="E42" s="716"/>
      <c r="F42" s="717"/>
      <c r="G42" s="448" t="s">
        <v>347</v>
      </c>
      <c r="H42" s="449"/>
      <c r="I42" s="451"/>
      <c r="J42" s="451"/>
      <c r="K42" s="451"/>
      <c r="L42" s="451"/>
      <c r="M42" s="451"/>
      <c r="N42" s="451"/>
      <c r="O42" s="451"/>
      <c r="P42" s="451"/>
      <c r="Q42" s="451"/>
      <c r="R42" s="451"/>
      <c r="S42" s="451"/>
      <c r="T42" s="451"/>
      <c r="U42" s="451"/>
      <c r="V42" s="451"/>
      <c r="W42" s="451"/>
      <c r="X42" s="451"/>
      <c r="Y42" s="451"/>
      <c r="Z42" s="451"/>
      <c r="AA42" s="451"/>
      <c r="AB42" s="451"/>
      <c r="AC42" s="451"/>
      <c r="AD42" s="450">
        <f>SUM(AD43:AD46)</f>
        <v>0</v>
      </c>
      <c r="AE42" s="465"/>
    </row>
    <row r="43" spans="1:38" s="452" customFormat="1" x14ac:dyDescent="0.2">
      <c r="A43" s="466" t="s">
        <v>54</v>
      </c>
      <c r="B43" s="715" t="s">
        <v>87</v>
      </c>
      <c r="C43" s="716"/>
      <c r="D43" s="716"/>
      <c r="E43" s="716"/>
      <c r="F43" s="717"/>
      <c r="G43" s="448" t="s">
        <v>348</v>
      </c>
      <c r="H43" s="449"/>
      <c r="I43" s="451"/>
      <c r="J43" s="451"/>
      <c r="K43" s="451"/>
      <c r="L43" s="451"/>
      <c r="M43" s="451"/>
      <c r="N43" s="451"/>
      <c r="O43" s="451"/>
      <c r="P43" s="451"/>
      <c r="Q43" s="451"/>
      <c r="R43" s="451"/>
      <c r="S43" s="451"/>
      <c r="T43" s="451"/>
      <c r="U43" s="451"/>
      <c r="V43" s="451"/>
      <c r="W43" s="451"/>
      <c r="X43" s="451"/>
      <c r="Y43" s="451"/>
      <c r="Z43" s="451"/>
      <c r="AA43" s="451"/>
      <c r="AB43" s="451"/>
      <c r="AC43" s="451"/>
      <c r="AD43" s="458"/>
    </row>
    <row r="44" spans="1:38" s="452" customFormat="1" x14ac:dyDescent="0.2">
      <c r="A44" s="466" t="s">
        <v>55</v>
      </c>
      <c r="B44" s="715" t="s">
        <v>88</v>
      </c>
      <c r="C44" s="716"/>
      <c r="D44" s="716"/>
      <c r="E44" s="716"/>
      <c r="F44" s="717"/>
      <c r="G44" s="448" t="s">
        <v>349</v>
      </c>
      <c r="H44" s="449"/>
      <c r="I44" s="451"/>
      <c r="J44" s="451"/>
      <c r="K44" s="451"/>
      <c r="L44" s="451"/>
      <c r="M44" s="451"/>
      <c r="N44" s="451"/>
      <c r="O44" s="451"/>
      <c r="P44" s="451"/>
      <c r="Q44" s="451"/>
      <c r="R44" s="451"/>
      <c r="S44" s="451"/>
      <c r="T44" s="451"/>
      <c r="U44" s="451"/>
      <c r="V44" s="451"/>
      <c r="W44" s="451"/>
      <c r="X44" s="451"/>
      <c r="Y44" s="451"/>
      <c r="Z44" s="451"/>
      <c r="AA44" s="451"/>
      <c r="AB44" s="451"/>
      <c r="AC44" s="451"/>
      <c r="AD44" s="458"/>
      <c r="AE44" s="465"/>
      <c r="AF44" s="465"/>
      <c r="AG44" s="465"/>
      <c r="AH44" s="465"/>
      <c r="AI44" s="465"/>
      <c r="AJ44" s="465"/>
      <c r="AK44" s="465"/>
      <c r="AL44" s="465"/>
    </row>
    <row r="45" spans="1:38" s="452" customFormat="1" x14ac:dyDescent="0.2">
      <c r="A45" s="466" t="s">
        <v>65</v>
      </c>
      <c r="B45" s="718" t="s">
        <v>89</v>
      </c>
      <c r="C45" s="718"/>
      <c r="D45" s="718"/>
      <c r="E45" s="718"/>
      <c r="F45" s="719"/>
      <c r="G45" s="448" t="s">
        <v>350</v>
      </c>
      <c r="H45" s="449"/>
      <c r="I45" s="451"/>
      <c r="J45" s="451"/>
      <c r="K45" s="451"/>
      <c r="L45" s="451"/>
      <c r="M45" s="451"/>
      <c r="N45" s="451"/>
      <c r="O45" s="451"/>
      <c r="P45" s="451"/>
      <c r="Q45" s="451"/>
      <c r="R45" s="451"/>
      <c r="S45" s="451"/>
      <c r="T45" s="451"/>
      <c r="U45" s="451"/>
      <c r="V45" s="451"/>
      <c r="W45" s="451"/>
      <c r="X45" s="451"/>
      <c r="Y45" s="451"/>
      <c r="Z45" s="451"/>
      <c r="AA45" s="451"/>
      <c r="AB45" s="451"/>
      <c r="AC45" s="451"/>
      <c r="AD45" s="458"/>
      <c r="AE45" s="465"/>
      <c r="AF45" s="465"/>
      <c r="AG45" s="465"/>
      <c r="AH45" s="465"/>
      <c r="AI45" s="465"/>
      <c r="AJ45" s="465"/>
      <c r="AK45" s="465"/>
      <c r="AL45" s="465"/>
    </row>
    <row r="46" spans="1:38" s="452" customFormat="1" x14ac:dyDescent="0.2">
      <c r="A46" s="466" t="s">
        <v>90</v>
      </c>
      <c r="B46" s="718" t="s">
        <v>91</v>
      </c>
      <c r="C46" s="716"/>
      <c r="D46" s="716"/>
      <c r="E46" s="716"/>
      <c r="F46" s="717"/>
      <c r="G46" s="448" t="s">
        <v>351</v>
      </c>
      <c r="H46" s="449"/>
      <c r="I46" s="451"/>
      <c r="J46" s="451"/>
      <c r="K46" s="451"/>
      <c r="L46" s="451"/>
      <c r="M46" s="451"/>
      <c r="N46" s="451"/>
      <c r="O46" s="451"/>
      <c r="P46" s="451"/>
      <c r="Q46" s="451"/>
      <c r="R46" s="451"/>
      <c r="S46" s="451"/>
      <c r="T46" s="451"/>
      <c r="U46" s="451"/>
      <c r="V46" s="451"/>
      <c r="W46" s="451"/>
      <c r="X46" s="451"/>
      <c r="Y46" s="451"/>
      <c r="Z46" s="451"/>
      <c r="AA46" s="451"/>
      <c r="AB46" s="451"/>
      <c r="AC46" s="451"/>
      <c r="AD46" s="458"/>
      <c r="AE46" s="465"/>
      <c r="AF46" s="465"/>
      <c r="AG46" s="465"/>
      <c r="AH46" s="465"/>
      <c r="AI46" s="465"/>
      <c r="AJ46" s="465"/>
      <c r="AK46" s="465"/>
      <c r="AL46" s="465"/>
    </row>
    <row r="47" spans="1:38" s="452" customFormat="1" x14ac:dyDescent="0.2">
      <c r="A47" s="468" t="s">
        <v>140</v>
      </c>
      <c r="B47" s="456"/>
      <c r="C47" s="469"/>
      <c r="D47" s="469"/>
      <c r="E47" s="469"/>
      <c r="F47" s="470"/>
      <c r="G47" s="448" t="s">
        <v>352</v>
      </c>
      <c r="H47" s="449"/>
      <c r="I47" s="450">
        <f t="shared" ref="I47:AD47" si="8">I42+I10</f>
        <v>0</v>
      </c>
      <c r="J47" s="450">
        <f t="shared" si="8"/>
        <v>0</v>
      </c>
      <c r="K47" s="450">
        <f t="shared" si="8"/>
        <v>0</v>
      </c>
      <c r="L47" s="450">
        <f t="shared" si="8"/>
        <v>0</v>
      </c>
      <c r="M47" s="450">
        <f t="shared" si="8"/>
        <v>0</v>
      </c>
      <c r="N47" s="450">
        <f t="shared" si="8"/>
        <v>0</v>
      </c>
      <c r="O47" s="450">
        <f t="shared" si="8"/>
        <v>0</v>
      </c>
      <c r="P47" s="450">
        <f t="shared" si="8"/>
        <v>0</v>
      </c>
      <c r="Q47" s="450">
        <f t="shared" si="8"/>
        <v>0</v>
      </c>
      <c r="R47" s="450">
        <f t="shared" si="8"/>
        <v>0</v>
      </c>
      <c r="S47" s="450">
        <f t="shared" si="8"/>
        <v>0</v>
      </c>
      <c r="T47" s="450">
        <f t="shared" si="8"/>
        <v>0</v>
      </c>
      <c r="U47" s="450">
        <f t="shared" si="8"/>
        <v>0</v>
      </c>
      <c r="V47" s="450">
        <f t="shared" si="8"/>
        <v>0</v>
      </c>
      <c r="W47" s="450">
        <f t="shared" si="8"/>
        <v>0</v>
      </c>
      <c r="X47" s="450">
        <f t="shared" si="8"/>
        <v>0</v>
      </c>
      <c r="Y47" s="450">
        <f t="shared" si="8"/>
        <v>0</v>
      </c>
      <c r="Z47" s="450">
        <f t="shared" si="8"/>
        <v>0</v>
      </c>
      <c r="AA47" s="450">
        <f t="shared" si="8"/>
        <v>0</v>
      </c>
      <c r="AB47" s="450">
        <f t="shared" si="8"/>
        <v>0</v>
      </c>
      <c r="AC47" s="451"/>
      <c r="AD47" s="450">
        <f t="shared" si="8"/>
        <v>0</v>
      </c>
    </row>
    <row r="48" spans="1:38" s="452" customFormat="1" x14ac:dyDescent="0.2">
      <c r="A48" s="720" t="s">
        <v>245</v>
      </c>
      <c r="B48" s="716"/>
      <c r="C48" s="716"/>
      <c r="D48" s="716"/>
      <c r="E48" s="716"/>
      <c r="F48" s="717"/>
      <c r="G48" s="448"/>
      <c r="H48" s="449"/>
      <c r="I48" s="451"/>
      <c r="J48" s="451"/>
      <c r="K48" s="451"/>
      <c r="L48" s="451"/>
      <c r="M48" s="451"/>
      <c r="N48" s="451"/>
      <c r="O48" s="451"/>
      <c r="P48" s="451"/>
      <c r="Q48" s="451"/>
      <c r="R48" s="451"/>
      <c r="S48" s="451"/>
      <c r="T48" s="451"/>
      <c r="U48" s="451"/>
      <c r="V48" s="451"/>
      <c r="W48" s="451"/>
      <c r="X48" s="451"/>
      <c r="Y48" s="451"/>
      <c r="Z48" s="451"/>
      <c r="AA48" s="451"/>
      <c r="AB48" s="451"/>
      <c r="AC48" s="451"/>
      <c r="AD48" s="451"/>
    </row>
    <row r="49" spans="1:30" s="452" customFormat="1" x14ac:dyDescent="0.2">
      <c r="A49" s="471" t="s">
        <v>54</v>
      </c>
      <c r="B49" s="472" t="s">
        <v>101</v>
      </c>
      <c r="C49" s="473"/>
      <c r="D49" s="473"/>
      <c r="E49" s="473"/>
      <c r="F49" s="474"/>
      <c r="G49" s="448" t="s">
        <v>716</v>
      </c>
      <c r="H49" s="449"/>
      <c r="I49" s="458"/>
      <c r="J49" s="458"/>
      <c r="K49" s="458"/>
      <c r="L49" s="458"/>
      <c r="M49" s="458"/>
      <c r="N49" s="458"/>
      <c r="O49" s="458"/>
      <c r="P49" s="458"/>
      <c r="Q49" s="458"/>
      <c r="R49" s="458"/>
      <c r="S49" s="458"/>
      <c r="T49" s="458"/>
      <c r="U49" s="458"/>
      <c r="V49" s="458"/>
      <c r="W49" s="458"/>
      <c r="X49" s="458"/>
      <c r="Y49" s="458"/>
      <c r="Z49" s="458"/>
      <c r="AA49" s="458"/>
      <c r="AB49" s="458"/>
      <c r="AC49" s="451"/>
      <c r="AD49" s="450">
        <f t="shared" ref="AD49:AD54" si="9">SUM(I49:AC49)</f>
        <v>0</v>
      </c>
    </row>
    <row r="50" spans="1:30" s="452" customFormat="1" x14ac:dyDescent="0.2">
      <c r="A50" s="471" t="s">
        <v>55</v>
      </c>
      <c r="B50" s="467" t="s">
        <v>1475</v>
      </c>
      <c r="C50" s="625"/>
      <c r="D50" s="467"/>
      <c r="E50" s="625"/>
      <c r="F50" s="626"/>
      <c r="G50" s="448" t="s">
        <v>717</v>
      </c>
      <c r="H50" s="449"/>
      <c r="I50" s="458"/>
      <c r="J50" s="458"/>
      <c r="K50" s="458"/>
      <c r="L50" s="458"/>
      <c r="M50" s="458"/>
      <c r="N50" s="458"/>
      <c r="O50" s="458"/>
      <c r="P50" s="458"/>
      <c r="Q50" s="458"/>
      <c r="R50" s="458"/>
      <c r="S50" s="458"/>
      <c r="T50" s="458"/>
      <c r="U50" s="458"/>
      <c r="V50" s="458"/>
      <c r="W50" s="458"/>
      <c r="X50" s="458"/>
      <c r="Y50" s="458"/>
      <c r="Z50" s="458"/>
      <c r="AA50" s="458"/>
      <c r="AB50" s="458"/>
      <c r="AC50" s="451"/>
      <c r="AD50" s="450">
        <f t="shared" si="9"/>
        <v>0</v>
      </c>
    </row>
    <row r="51" spans="1:30" s="452" customFormat="1" x14ac:dyDescent="0.2">
      <c r="A51" s="471" t="s">
        <v>65</v>
      </c>
      <c r="B51" s="604" t="s">
        <v>1472</v>
      </c>
      <c r="C51" s="625"/>
      <c r="D51" s="467"/>
      <c r="E51" s="625"/>
      <c r="F51" s="626"/>
      <c r="G51" s="448" t="s">
        <v>718</v>
      </c>
      <c r="H51" s="449"/>
      <c r="I51" s="458"/>
      <c r="J51" s="458"/>
      <c r="K51" s="458"/>
      <c r="L51" s="458"/>
      <c r="M51" s="458"/>
      <c r="N51" s="458"/>
      <c r="O51" s="458"/>
      <c r="P51" s="458"/>
      <c r="Q51" s="458"/>
      <c r="R51" s="458"/>
      <c r="S51" s="458"/>
      <c r="T51" s="458"/>
      <c r="U51" s="458"/>
      <c r="V51" s="458"/>
      <c r="W51" s="458"/>
      <c r="X51" s="458"/>
      <c r="Y51" s="458"/>
      <c r="Z51" s="458"/>
      <c r="AA51" s="458"/>
      <c r="AB51" s="458"/>
      <c r="AC51" s="451"/>
      <c r="AD51" s="450">
        <f t="shared" si="9"/>
        <v>0</v>
      </c>
    </row>
    <row r="52" spans="1:30" s="452" customFormat="1" ht="11.25" customHeight="1" x14ac:dyDescent="0.2">
      <c r="A52" s="471" t="s">
        <v>90</v>
      </c>
      <c r="B52" s="721" t="s">
        <v>1473</v>
      </c>
      <c r="C52" s="721"/>
      <c r="D52" s="721"/>
      <c r="E52" s="721"/>
      <c r="F52" s="722"/>
      <c r="G52" s="448" t="s">
        <v>719</v>
      </c>
      <c r="H52" s="449"/>
      <c r="I52" s="458"/>
      <c r="J52" s="458"/>
      <c r="K52" s="458"/>
      <c r="L52" s="458"/>
      <c r="M52" s="458"/>
      <c r="N52" s="458"/>
      <c r="O52" s="458"/>
      <c r="P52" s="458"/>
      <c r="Q52" s="458"/>
      <c r="R52" s="458"/>
      <c r="S52" s="458"/>
      <c r="T52" s="458"/>
      <c r="U52" s="458"/>
      <c r="V52" s="458"/>
      <c r="W52" s="458"/>
      <c r="X52" s="458"/>
      <c r="Y52" s="458"/>
      <c r="Z52" s="458"/>
      <c r="AA52" s="458"/>
      <c r="AB52" s="458"/>
      <c r="AC52" s="451"/>
      <c r="AD52" s="450">
        <f t="shared" si="9"/>
        <v>0</v>
      </c>
    </row>
    <row r="53" spans="1:30" ht="23.25" customHeight="1" x14ac:dyDescent="0.2">
      <c r="A53" s="471" t="s">
        <v>257</v>
      </c>
      <c r="B53" s="714" t="s">
        <v>1449</v>
      </c>
      <c r="C53" s="714"/>
      <c r="D53" s="714"/>
      <c r="E53" s="714"/>
      <c r="F53" s="714"/>
      <c r="G53" s="475" t="s">
        <v>1338</v>
      </c>
      <c r="H53" s="476"/>
      <c r="I53" s="458"/>
      <c r="J53" s="458"/>
      <c r="K53" s="458"/>
      <c r="L53" s="458"/>
      <c r="M53" s="458"/>
      <c r="N53" s="458"/>
      <c r="O53" s="458"/>
      <c r="P53" s="458"/>
      <c r="Q53" s="458"/>
      <c r="R53" s="458"/>
      <c r="S53" s="458"/>
      <c r="T53" s="458"/>
      <c r="U53" s="458"/>
      <c r="V53" s="458"/>
      <c r="W53" s="458"/>
      <c r="X53" s="458"/>
      <c r="Y53" s="458"/>
      <c r="Z53" s="458"/>
      <c r="AA53" s="458"/>
      <c r="AB53" s="458"/>
      <c r="AC53" s="451"/>
      <c r="AD53" s="450">
        <f t="shared" si="9"/>
        <v>0</v>
      </c>
    </row>
    <row r="54" spans="1:30" ht="24.75" customHeight="1" x14ac:dyDescent="0.2">
      <c r="A54" s="471" t="s">
        <v>74</v>
      </c>
      <c r="B54" s="714" t="s">
        <v>1450</v>
      </c>
      <c r="C54" s="714"/>
      <c r="D54" s="714"/>
      <c r="E54" s="714"/>
      <c r="F54" s="714"/>
      <c r="G54" s="475" t="s">
        <v>1339</v>
      </c>
      <c r="H54" s="477"/>
      <c r="I54" s="458"/>
      <c r="J54" s="458"/>
      <c r="K54" s="458"/>
      <c r="L54" s="458"/>
      <c r="M54" s="458"/>
      <c r="N54" s="458"/>
      <c r="O54" s="458"/>
      <c r="P54" s="458"/>
      <c r="Q54" s="458"/>
      <c r="R54" s="458"/>
      <c r="S54" s="458"/>
      <c r="T54" s="458"/>
      <c r="U54" s="458"/>
      <c r="V54" s="458"/>
      <c r="W54" s="458"/>
      <c r="X54" s="458"/>
      <c r="Y54" s="458"/>
      <c r="Z54" s="458"/>
      <c r="AA54" s="458"/>
      <c r="AB54" s="458"/>
      <c r="AC54" s="451"/>
      <c r="AD54" s="450">
        <f t="shared" si="9"/>
        <v>0</v>
      </c>
    </row>
    <row r="55" spans="1:30" ht="11.25" customHeight="1" x14ac:dyDescent="0.25">
      <c r="G55" s="478" t="s">
        <v>108</v>
      </c>
    </row>
    <row r="122" spans="7:30" x14ac:dyDescent="0.2">
      <c r="G122" s="442"/>
      <c r="I122" s="481" t="s">
        <v>212</v>
      </c>
      <c r="J122" s="442"/>
      <c r="K122" s="442"/>
      <c r="L122" s="442"/>
      <c r="M122" s="442"/>
      <c r="N122" s="442"/>
      <c r="O122" s="442"/>
      <c r="P122" s="442"/>
      <c r="Q122" s="442"/>
      <c r="R122" s="442"/>
      <c r="S122" s="442"/>
      <c r="T122" s="442"/>
      <c r="U122" s="442"/>
      <c r="V122" s="442"/>
      <c r="W122" s="442"/>
      <c r="X122" s="442"/>
      <c r="Y122" s="442"/>
      <c r="Z122" s="442"/>
      <c r="AA122" s="442"/>
      <c r="AB122" s="442"/>
      <c r="AC122" s="442"/>
      <c r="AD122" s="444"/>
    </row>
    <row r="123" spans="7:30" x14ac:dyDescent="0.2">
      <c r="G123" s="442"/>
      <c r="I123" s="481"/>
      <c r="J123" s="442"/>
      <c r="K123" s="442"/>
      <c r="L123" s="442"/>
      <c r="M123" s="442"/>
      <c r="N123" s="442"/>
      <c r="O123" s="442"/>
      <c r="P123" s="442"/>
      <c r="Q123" s="442"/>
      <c r="R123" s="442"/>
      <c r="S123" s="442"/>
      <c r="T123" s="442"/>
      <c r="U123" s="442"/>
      <c r="V123" s="442"/>
      <c r="W123" s="442"/>
      <c r="X123" s="442"/>
      <c r="Y123" s="442"/>
      <c r="Z123" s="442"/>
      <c r="AA123" s="442"/>
      <c r="AB123" s="442"/>
      <c r="AC123" s="442"/>
      <c r="AD123" s="444"/>
    </row>
    <row r="124" spans="7:30" x14ac:dyDescent="0.2">
      <c r="G124" s="442"/>
      <c r="I124" s="481"/>
      <c r="J124" s="442"/>
      <c r="K124" s="442"/>
      <c r="L124" s="442"/>
      <c r="M124" s="442"/>
      <c r="N124" s="442"/>
      <c r="O124" s="442"/>
      <c r="P124" s="442"/>
      <c r="Q124" s="442"/>
      <c r="R124" s="442"/>
      <c r="S124" s="442"/>
      <c r="T124" s="442"/>
      <c r="U124" s="442"/>
      <c r="V124" s="442"/>
      <c r="W124" s="442"/>
      <c r="X124" s="442"/>
      <c r="Y124" s="442"/>
      <c r="Z124" s="442"/>
      <c r="AA124" s="442"/>
      <c r="AB124" s="442"/>
      <c r="AC124" s="442"/>
      <c r="AD124" s="444"/>
    </row>
    <row r="125" spans="7:30" x14ac:dyDescent="0.2">
      <c r="G125" s="442"/>
      <c r="I125" s="481" t="s">
        <v>212</v>
      </c>
      <c r="J125" s="442"/>
      <c r="K125" s="442"/>
      <c r="L125" s="442"/>
      <c r="M125" s="442"/>
      <c r="N125" s="442"/>
      <c r="O125" s="442"/>
      <c r="P125" s="442"/>
      <c r="Q125" s="442"/>
      <c r="R125" s="442"/>
      <c r="S125" s="442"/>
      <c r="T125" s="442"/>
      <c r="U125" s="442"/>
      <c r="V125" s="442"/>
      <c r="W125" s="442"/>
      <c r="X125" s="442"/>
      <c r="Y125" s="442"/>
      <c r="Z125" s="442"/>
      <c r="AA125" s="442"/>
      <c r="AB125" s="442"/>
      <c r="AC125" s="442"/>
      <c r="AD125" s="444"/>
    </row>
  </sheetData>
  <sheetProtection password="FAFA" sheet="1" objects="1" scenarios="1" selectLockedCells="1"/>
  <mergeCells count="58">
    <mergeCell ref="A5:E7"/>
    <mergeCell ref="F5:F7"/>
    <mergeCell ref="G5:G9"/>
    <mergeCell ref="I5:I9"/>
    <mergeCell ref="J5:J9"/>
    <mergeCell ref="K5:K9"/>
    <mergeCell ref="L5:L9"/>
    <mergeCell ref="M5:M9"/>
    <mergeCell ref="N5:N9"/>
    <mergeCell ref="O5:O9"/>
    <mergeCell ref="P5:P9"/>
    <mergeCell ref="Q5:Q9"/>
    <mergeCell ref="AB5:AB9"/>
    <mergeCell ref="AC5:AC9"/>
    <mergeCell ref="R5:R9"/>
    <mergeCell ref="S5:S9"/>
    <mergeCell ref="T5:T9"/>
    <mergeCell ref="U5:U9"/>
    <mergeCell ref="V5:V9"/>
    <mergeCell ref="W5:W9"/>
    <mergeCell ref="AD5:AD9"/>
    <mergeCell ref="A8:E9"/>
    <mergeCell ref="F8:F9"/>
    <mergeCell ref="A10:F10"/>
    <mergeCell ref="B12:F12"/>
    <mergeCell ref="C13:F13"/>
    <mergeCell ref="X5:X9"/>
    <mergeCell ref="Y5:Y9"/>
    <mergeCell ref="Z5:Z9"/>
    <mergeCell ref="AA5:AA9"/>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dataValidations count="2">
    <dataValidation type="decimal" allowBlank="1" showInputMessage="1" showErrorMessage="1" error="Invalid data is entered!" sqref="X33:AA33 X26:AA27 X32:Y32 AB14:AB33 I22:V27 I48:AB54 I12:W18 X16:AA18 W21:W46 X30:AA31 X29:Y29 Z14:AA14 AC10:AC54 J28:V28 I29:V46 X34:AB46 I19:P21 AD48 X12:Y15 Z19:AA24 Z13:AB13 Q21:V21 Q19:W20 X19:Y25">
      <formula1>0</formula1>
      <formula2>99999999999999900</formula2>
    </dataValidation>
    <dataValidation type="decimal" allowBlank="1" showErrorMessage="1" errorTitle="Error" error="Entry Must be Decimal" sqref="AD43:AD46 AD36 AD38:AD41">
      <formula1>-99999999999999900000</formula1>
      <formula2>99999999999999900000</formula2>
    </dataValidation>
  </dataValidations>
  <printOptions horizontalCentered="1"/>
  <pageMargins left="0.25" right="0.25" top="1" bottom="0.5" header="0.6" footer="0.34"/>
  <pageSetup paperSize="9" orientation="landscape" horizontalDpi="360" verticalDpi="360" r:id="rId1"/>
  <headerFooter alignWithMargins="0">
    <oddHeader>&amp;R&amp;"Arial,Bold"&amp;9&amp;USchedule 11d1&amp;8&amp;U
&amp;P of &amp;N&amp;C&amp;"Arial,Bold"&amp;8 NEW RURAL BANK OF SAN LEONARDO, INC  [ 04-040656 ]
 As of: September 30, 2017</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G126"/>
  <sheetViews>
    <sheetView zoomScale="85" zoomScaleNormal="85" zoomScaleSheetLayoutView="80" workbookViewId="0">
      <pane xSplit="6" ySplit="9" topLeftCell="AK10" activePane="bottomRight" state="frozen"/>
      <selection pane="topRight" activeCell="G1" sqref="G1"/>
      <selection pane="bottomLeft" activeCell="A10" sqref="A10"/>
      <selection pane="bottomRight" activeCell="AK13" sqref="AK13"/>
    </sheetView>
  </sheetViews>
  <sheetFormatPr defaultRowHeight="11.25" x14ac:dyDescent="0.2"/>
  <cols>
    <col min="1" max="1" width="2.42578125" style="488" customWidth="1"/>
    <col min="2" max="2" width="2.28515625" style="488" customWidth="1"/>
    <col min="3" max="4" width="2.7109375" style="488" customWidth="1"/>
    <col min="5" max="5" width="12" style="488" customWidth="1"/>
    <col min="6" max="6" width="24.42578125" style="488" customWidth="1"/>
    <col min="7" max="7" width="17.42578125" style="494" customWidth="1"/>
    <col min="8" max="8" width="0.85546875" style="488" hidden="1" customWidth="1"/>
    <col min="9" max="51" width="25.7109375" style="492" customWidth="1"/>
    <col min="52" max="16384" width="9.140625" style="488"/>
  </cols>
  <sheetData>
    <row r="2" spans="1:51" s="487" customFormat="1" x14ac:dyDescent="0.2">
      <c r="A2" s="485" t="s">
        <v>709</v>
      </c>
      <c r="B2" s="485"/>
      <c r="C2" s="485"/>
      <c r="D2" s="485"/>
      <c r="E2" s="485"/>
      <c r="F2" s="485"/>
      <c r="G2" s="485"/>
      <c r="H2" s="485"/>
      <c r="I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J2" s="485"/>
      <c r="AK2" s="485"/>
      <c r="AL2" s="485"/>
      <c r="AM2" s="485"/>
      <c r="AN2" s="485"/>
      <c r="AO2" s="485"/>
      <c r="AP2" s="485"/>
      <c r="AQ2" s="485"/>
      <c r="AR2" s="485"/>
      <c r="AS2" s="485"/>
      <c r="AT2" s="485"/>
      <c r="AU2" s="485"/>
      <c r="AV2" s="485"/>
      <c r="AW2" s="485"/>
      <c r="AX2" s="485"/>
      <c r="AY2" s="486"/>
    </row>
    <row r="3" spans="1:51" s="487" customFormat="1" x14ac:dyDescent="0.2">
      <c r="A3" s="485" t="s">
        <v>49</v>
      </c>
      <c r="B3" s="485"/>
      <c r="C3" s="485"/>
      <c r="D3" s="485"/>
      <c r="E3" s="485"/>
      <c r="F3" s="485"/>
      <c r="G3" s="485"/>
      <c r="H3" s="485"/>
      <c r="I3" s="485"/>
      <c r="J3" s="485"/>
      <c r="K3" s="485"/>
      <c r="L3" s="485"/>
      <c r="M3" s="485"/>
      <c r="N3" s="485"/>
      <c r="O3" s="485"/>
      <c r="P3" s="485"/>
      <c r="Q3" s="485"/>
      <c r="R3" s="485"/>
      <c r="S3" s="485"/>
      <c r="T3" s="485"/>
      <c r="U3" s="485"/>
      <c r="V3" s="485"/>
      <c r="W3" s="485"/>
      <c r="X3" s="485"/>
      <c r="Y3" s="485"/>
      <c r="Z3" s="485"/>
      <c r="AA3" s="485"/>
      <c r="AB3" s="485"/>
      <c r="AC3" s="485"/>
      <c r="AD3" s="485"/>
      <c r="AE3" s="485"/>
      <c r="AF3" s="485"/>
      <c r="AG3" s="485"/>
      <c r="AH3" s="485"/>
      <c r="AI3" s="485"/>
      <c r="AJ3" s="485"/>
      <c r="AK3" s="485"/>
      <c r="AL3" s="485"/>
      <c r="AM3" s="485"/>
      <c r="AN3" s="485"/>
      <c r="AO3" s="485"/>
      <c r="AP3" s="485"/>
      <c r="AQ3" s="485"/>
      <c r="AR3" s="485"/>
      <c r="AS3" s="485"/>
      <c r="AT3" s="485"/>
      <c r="AU3" s="485"/>
      <c r="AV3" s="485"/>
      <c r="AW3" s="485"/>
      <c r="AX3" s="485"/>
      <c r="AY3" s="486"/>
    </row>
    <row r="4" spans="1:51" ht="13.5" customHeight="1" x14ac:dyDescent="0.2">
      <c r="A4" s="440"/>
      <c r="B4" s="440"/>
      <c r="C4" s="440"/>
      <c r="D4" s="440"/>
      <c r="E4" s="440"/>
      <c r="F4" s="440"/>
      <c r="G4" s="440"/>
      <c r="H4" s="440"/>
      <c r="I4" s="441"/>
      <c r="J4" s="441"/>
      <c r="K4" s="441"/>
      <c r="L4" s="441"/>
      <c r="M4" s="441"/>
      <c r="N4" s="441"/>
      <c r="O4" s="441"/>
      <c r="P4" s="441"/>
      <c r="Q4" s="441"/>
      <c r="R4" s="441"/>
      <c r="S4" s="441"/>
      <c r="T4" s="441"/>
      <c r="U4" s="441"/>
      <c r="V4" s="441"/>
      <c r="W4" s="441"/>
      <c r="X4" s="441"/>
      <c r="Y4" s="441"/>
      <c r="Z4" s="441"/>
      <c r="AA4" s="441"/>
      <c r="AB4" s="441"/>
      <c r="AC4" s="441"/>
      <c r="AD4" s="441"/>
      <c r="AE4" s="441"/>
      <c r="AF4" s="441"/>
      <c r="AG4" s="441"/>
      <c r="AH4" s="441"/>
      <c r="AI4" s="441"/>
      <c r="AJ4" s="441"/>
      <c r="AK4" s="441"/>
      <c r="AL4" s="441"/>
      <c r="AM4" s="441"/>
      <c r="AN4" s="441"/>
      <c r="AO4" s="441"/>
      <c r="AP4" s="441"/>
      <c r="AQ4" s="441"/>
      <c r="AR4" s="441"/>
      <c r="AS4" s="441"/>
      <c r="AT4" s="441"/>
      <c r="AU4" s="441"/>
      <c r="AV4" s="441"/>
      <c r="AW4" s="441"/>
      <c r="AX4" s="441"/>
      <c r="AY4" s="441"/>
    </row>
    <row r="5" spans="1:51" s="489" customFormat="1" ht="13.5" customHeight="1" x14ac:dyDescent="0.2">
      <c r="A5" s="739"/>
      <c r="B5" s="740"/>
      <c r="C5" s="740"/>
      <c r="D5" s="740"/>
      <c r="E5" s="740"/>
      <c r="F5" s="743" t="s">
        <v>710</v>
      </c>
      <c r="G5" s="745" t="s">
        <v>46</v>
      </c>
      <c r="H5" s="443"/>
      <c r="I5" s="749" t="s">
        <v>1320</v>
      </c>
      <c r="J5" s="749"/>
      <c r="K5" s="749" t="s">
        <v>380</v>
      </c>
      <c r="L5" s="749"/>
      <c r="M5" s="749" t="s">
        <v>381</v>
      </c>
      <c r="N5" s="749"/>
      <c r="O5" s="749" t="s">
        <v>1321</v>
      </c>
      <c r="P5" s="749"/>
      <c r="Q5" s="749" t="s">
        <v>1322</v>
      </c>
      <c r="R5" s="749"/>
      <c r="S5" s="749" t="s">
        <v>382</v>
      </c>
      <c r="T5" s="749"/>
      <c r="U5" s="749" t="s">
        <v>1340</v>
      </c>
      <c r="V5" s="749"/>
      <c r="W5" s="749" t="s">
        <v>1324</v>
      </c>
      <c r="X5" s="749"/>
      <c r="Y5" s="746" t="s">
        <v>1325</v>
      </c>
      <c r="Z5" s="755"/>
      <c r="AA5" s="746" t="s">
        <v>1326</v>
      </c>
      <c r="AB5" s="755"/>
      <c r="AC5" s="749" t="s">
        <v>1327</v>
      </c>
      <c r="AD5" s="749"/>
      <c r="AE5" s="749" t="s">
        <v>1328</v>
      </c>
      <c r="AF5" s="749"/>
      <c r="AG5" s="749" t="s">
        <v>1329</v>
      </c>
      <c r="AH5" s="749"/>
      <c r="AI5" s="749" t="s">
        <v>1341</v>
      </c>
      <c r="AJ5" s="749"/>
      <c r="AK5" s="749" t="s">
        <v>1331</v>
      </c>
      <c r="AL5" s="749"/>
      <c r="AM5" s="749" t="s">
        <v>383</v>
      </c>
      <c r="AN5" s="749"/>
      <c r="AO5" s="749" t="s">
        <v>1332</v>
      </c>
      <c r="AP5" s="749"/>
      <c r="AQ5" s="749" t="s">
        <v>1333</v>
      </c>
      <c r="AR5" s="749"/>
      <c r="AS5" s="749" t="s">
        <v>1334</v>
      </c>
      <c r="AT5" s="749"/>
      <c r="AU5" s="749" t="s">
        <v>1342</v>
      </c>
      <c r="AV5" s="749"/>
      <c r="AW5" s="749" t="s">
        <v>1336</v>
      </c>
      <c r="AX5" s="749"/>
      <c r="AY5" s="749" t="s">
        <v>144</v>
      </c>
    </row>
    <row r="6" spans="1:51" s="489" customFormat="1" ht="13.5" customHeight="1" x14ac:dyDescent="0.2">
      <c r="A6" s="741"/>
      <c r="B6" s="742"/>
      <c r="C6" s="742"/>
      <c r="D6" s="742"/>
      <c r="E6" s="742"/>
      <c r="F6" s="744"/>
      <c r="G6" s="745"/>
      <c r="H6" s="443"/>
      <c r="I6" s="749"/>
      <c r="J6" s="749"/>
      <c r="K6" s="749"/>
      <c r="L6" s="749"/>
      <c r="M6" s="749"/>
      <c r="N6" s="749"/>
      <c r="O6" s="749"/>
      <c r="P6" s="749"/>
      <c r="Q6" s="749"/>
      <c r="R6" s="749"/>
      <c r="S6" s="749"/>
      <c r="T6" s="749"/>
      <c r="U6" s="749"/>
      <c r="V6" s="749"/>
      <c r="W6" s="749"/>
      <c r="X6" s="749"/>
      <c r="Y6" s="756"/>
      <c r="Z6" s="757"/>
      <c r="AA6" s="756"/>
      <c r="AB6" s="757"/>
      <c r="AC6" s="749"/>
      <c r="AD6" s="749"/>
      <c r="AE6" s="749"/>
      <c r="AF6" s="749"/>
      <c r="AG6" s="749"/>
      <c r="AH6" s="749"/>
      <c r="AI6" s="749"/>
      <c r="AJ6" s="749"/>
      <c r="AK6" s="749"/>
      <c r="AL6" s="749"/>
      <c r="AM6" s="749"/>
      <c r="AN6" s="749"/>
      <c r="AO6" s="749"/>
      <c r="AP6" s="749"/>
      <c r="AQ6" s="749"/>
      <c r="AR6" s="749"/>
      <c r="AS6" s="749"/>
      <c r="AT6" s="749"/>
      <c r="AU6" s="749"/>
      <c r="AV6" s="749"/>
      <c r="AW6" s="749"/>
      <c r="AX6" s="749"/>
      <c r="AY6" s="750"/>
    </row>
    <row r="7" spans="1:51" s="489" customFormat="1" ht="19.5" customHeight="1" x14ac:dyDescent="0.2">
      <c r="A7" s="741"/>
      <c r="B7" s="742"/>
      <c r="C7" s="742"/>
      <c r="D7" s="742"/>
      <c r="E7" s="742"/>
      <c r="F7" s="744"/>
      <c r="G7" s="745"/>
      <c r="H7" s="443"/>
      <c r="I7" s="749"/>
      <c r="J7" s="749"/>
      <c r="K7" s="749"/>
      <c r="L7" s="749"/>
      <c r="M7" s="749"/>
      <c r="N7" s="749"/>
      <c r="O7" s="749"/>
      <c r="P7" s="749"/>
      <c r="Q7" s="749"/>
      <c r="R7" s="749"/>
      <c r="S7" s="749"/>
      <c r="T7" s="749"/>
      <c r="U7" s="749"/>
      <c r="V7" s="749"/>
      <c r="W7" s="749"/>
      <c r="X7" s="749"/>
      <c r="Y7" s="756"/>
      <c r="Z7" s="757"/>
      <c r="AA7" s="756"/>
      <c r="AB7" s="757"/>
      <c r="AC7" s="749"/>
      <c r="AD7" s="749"/>
      <c r="AE7" s="749"/>
      <c r="AF7" s="749"/>
      <c r="AG7" s="749"/>
      <c r="AH7" s="749"/>
      <c r="AI7" s="749"/>
      <c r="AJ7" s="749"/>
      <c r="AK7" s="749"/>
      <c r="AL7" s="749"/>
      <c r="AM7" s="749"/>
      <c r="AN7" s="749"/>
      <c r="AO7" s="749"/>
      <c r="AP7" s="749"/>
      <c r="AQ7" s="749"/>
      <c r="AR7" s="749"/>
      <c r="AS7" s="749"/>
      <c r="AT7" s="749"/>
      <c r="AU7" s="749"/>
      <c r="AV7" s="749"/>
      <c r="AW7" s="749"/>
      <c r="AX7" s="749"/>
      <c r="AY7" s="750"/>
    </row>
    <row r="8" spans="1:51" s="489" customFormat="1" ht="19.5" customHeight="1" x14ac:dyDescent="0.2">
      <c r="A8" s="751" t="s">
        <v>711</v>
      </c>
      <c r="B8" s="752"/>
      <c r="C8" s="752"/>
      <c r="D8" s="752"/>
      <c r="E8" s="752"/>
      <c r="F8" s="733"/>
      <c r="G8" s="745"/>
      <c r="H8" s="443"/>
      <c r="I8" s="749"/>
      <c r="J8" s="749"/>
      <c r="K8" s="749"/>
      <c r="L8" s="749"/>
      <c r="M8" s="749"/>
      <c r="N8" s="749"/>
      <c r="O8" s="749"/>
      <c r="P8" s="749"/>
      <c r="Q8" s="749"/>
      <c r="R8" s="749"/>
      <c r="S8" s="749"/>
      <c r="T8" s="749"/>
      <c r="U8" s="749"/>
      <c r="V8" s="749"/>
      <c r="W8" s="749"/>
      <c r="X8" s="749"/>
      <c r="Y8" s="758"/>
      <c r="Z8" s="759"/>
      <c r="AA8" s="758"/>
      <c r="AB8" s="759"/>
      <c r="AC8" s="749"/>
      <c r="AD8" s="749"/>
      <c r="AE8" s="749"/>
      <c r="AF8" s="749"/>
      <c r="AG8" s="749"/>
      <c r="AH8" s="749"/>
      <c r="AI8" s="749"/>
      <c r="AJ8" s="749"/>
      <c r="AK8" s="749"/>
      <c r="AL8" s="749"/>
      <c r="AM8" s="749"/>
      <c r="AN8" s="749"/>
      <c r="AO8" s="749"/>
      <c r="AP8" s="749"/>
      <c r="AQ8" s="749"/>
      <c r="AR8" s="749"/>
      <c r="AS8" s="749"/>
      <c r="AT8" s="749"/>
      <c r="AU8" s="749"/>
      <c r="AV8" s="749"/>
      <c r="AW8" s="749"/>
      <c r="AX8" s="749"/>
      <c r="AY8" s="750"/>
    </row>
    <row r="9" spans="1:51" s="489" customFormat="1" ht="22.5" x14ac:dyDescent="0.2">
      <c r="A9" s="753"/>
      <c r="B9" s="754"/>
      <c r="C9" s="754"/>
      <c r="D9" s="754"/>
      <c r="E9" s="754"/>
      <c r="F9" s="734"/>
      <c r="G9" s="745"/>
      <c r="H9" s="445"/>
      <c r="I9" s="490" t="s">
        <v>1343</v>
      </c>
      <c r="J9" s="490" t="s">
        <v>1344</v>
      </c>
      <c r="K9" s="490" t="s">
        <v>1343</v>
      </c>
      <c r="L9" s="490" t="s">
        <v>1344</v>
      </c>
      <c r="M9" s="490" t="s">
        <v>1343</v>
      </c>
      <c r="N9" s="490" t="s">
        <v>1344</v>
      </c>
      <c r="O9" s="490" t="s">
        <v>1343</v>
      </c>
      <c r="P9" s="490" t="s">
        <v>1344</v>
      </c>
      <c r="Q9" s="490" t="s">
        <v>1343</v>
      </c>
      <c r="R9" s="490" t="s">
        <v>1344</v>
      </c>
      <c r="S9" s="490" t="s">
        <v>1343</v>
      </c>
      <c r="T9" s="490" t="s">
        <v>1344</v>
      </c>
      <c r="U9" s="490" t="s">
        <v>1343</v>
      </c>
      <c r="V9" s="490" t="s">
        <v>1344</v>
      </c>
      <c r="W9" s="490" t="s">
        <v>1343</v>
      </c>
      <c r="X9" s="490" t="s">
        <v>1344</v>
      </c>
      <c r="Y9" s="490" t="s">
        <v>1343</v>
      </c>
      <c r="Z9" s="490" t="s">
        <v>1344</v>
      </c>
      <c r="AA9" s="490" t="s">
        <v>1343</v>
      </c>
      <c r="AB9" s="490" t="s">
        <v>1344</v>
      </c>
      <c r="AC9" s="490" t="s">
        <v>1343</v>
      </c>
      <c r="AD9" s="490" t="s">
        <v>1344</v>
      </c>
      <c r="AE9" s="490" t="s">
        <v>1343</v>
      </c>
      <c r="AF9" s="490" t="s">
        <v>1344</v>
      </c>
      <c r="AG9" s="490" t="s">
        <v>1343</v>
      </c>
      <c r="AH9" s="490" t="s">
        <v>1344</v>
      </c>
      <c r="AI9" s="490" t="s">
        <v>1343</v>
      </c>
      <c r="AJ9" s="490" t="s">
        <v>1344</v>
      </c>
      <c r="AK9" s="490" t="s">
        <v>1343</v>
      </c>
      <c r="AL9" s="490" t="s">
        <v>1344</v>
      </c>
      <c r="AM9" s="490" t="s">
        <v>1343</v>
      </c>
      <c r="AN9" s="490" t="s">
        <v>1344</v>
      </c>
      <c r="AO9" s="490" t="s">
        <v>1343</v>
      </c>
      <c r="AP9" s="490" t="s">
        <v>1344</v>
      </c>
      <c r="AQ9" s="490" t="s">
        <v>1343</v>
      </c>
      <c r="AR9" s="490" t="s">
        <v>1344</v>
      </c>
      <c r="AS9" s="490" t="s">
        <v>1343</v>
      </c>
      <c r="AT9" s="490" t="s">
        <v>1344</v>
      </c>
      <c r="AU9" s="490" t="s">
        <v>1343</v>
      </c>
      <c r="AV9" s="490" t="s">
        <v>1344</v>
      </c>
      <c r="AW9" s="490" t="s">
        <v>1343</v>
      </c>
      <c r="AX9" s="490" t="s">
        <v>51</v>
      </c>
      <c r="AY9" s="750"/>
    </row>
    <row r="10" spans="1:51" s="460" customFormat="1" x14ac:dyDescent="0.2">
      <c r="A10" s="725" t="s">
        <v>57</v>
      </c>
      <c r="B10" s="718"/>
      <c r="C10" s="718"/>
      <c r="D10" s="718"/>
      <c r="E10" s="718"/>
      <c r="F10" s="719"/>
      <c r="G10" s="448" t="s">
        <v>323</v>
      </c>
      <c r="H10" s="449"/>
      <c r="I10" s="450">
        <f t="shared" ref="I10:AY10" si="0">I11+I34</f>
        <v>0</v>
      </c>
      <c r="J10" s="450">
        <f t="shared" si="0"/>
        <v>0</v>
      </c>
      <c r="K10" s="450">
        <f t="shared" si="0"/>
        <v>0</v>
      </c>
      <c r="L10" s="450">
        <f t="shared" si="0"/>
        <v>0</v>
      </c>
      <c r="M10" s="450">
        <f t="shared" si="0"/>
        <v>0</v>
      </c>
      <c r="N10" s="450">
        <f t="shared" si="0"/>
        <v>0</v>
      </c>
      <c r="O10" s="450">
        <f t="shared" si="0"/>
        <v>0</v>
      </c>
      <c r="P10" s="450">
        <f t="shared" si="0"/>
        <v>0</v>
      </c>
      <c r="Q10" s="450">
        <f t="shared" si="0"/>
        <v>0</v>
      </c>
      <c r="R10" s="450">
        <f t="shared" si="0"/>
        <v>0</v>
      </c>
      <c r="S10" s="450">
        <f t="shared" si="0"/>
        <v>0</v>
      </c>
      <c r="T10" s="450">
        <f t="shared" si="0"/>
        <v>0</v>
      </c>
      <c r="U10" s="450">
        <f t="shared" si="0"/>
        <v>0</v>
      </c>
      <c r="V10" s="450">
        <f t="shared" si="0"/>
        <v>0</v>
      </c>
      <c r="W10" s="450">
        <f t="shared" si="0"/>
        <v>0</v>
      </c>
      <c r="X10" s="450">
        <f t="shared" si="0"/>
        <v>0</v>
      </c>
      <c r="Y10" s="450">
        <f t="shared" si="0"/>
        <v>0</v>
      </c>
      <c r="Z10" s="450">
        <f t="shared" si="0"/>
        <v>0</v>
      </c>
      <c r="AA10" s="450">
        <f t="shared" si="0"/>
        <v>0</v>
      </c>
      <c r="AB10" s="450">
        <f t="shared" si="0"/>
        <v>0</v>
      </c>
      <c r="AC10" s="450">
        <f t="shared" si="0"/>
        <v>0</v>
      </c>
      <c r="AD10" s="450">
        <f t="shared" si="0"/>
        <v>0</v>
      </c>
      <c r="AE10" s="450">
        <f t="shared" si="0"/>
        <v>0</v>
      </c>
      <c r="AF10" s="450">
        <f t="shared" si="0"/>
        <v>0</v>
      </c>
      <c r="AG10" s="450">
        <f t="shared" si="0"/>
        <v>0</v>
      </c>
      <c r="AH10" s="450">
        <f t="shared" si="0"/>
        <v>0</v>
      </c>
      <c r="AI10" s="450">
        <f t="shared" si="0"/>
        <v>0</v>
      </c>
      <c r="AJ10" s="450">
        <f t="shared" si="0"/>
        <v>0</v>
      </c>
      <c r="AK10" s="450">
        <f t="shared" si="0"/>
        <v>0</v>
      </c>
      <c r="AL10" s="450">
        <f t="shared" si="0"/>
        <v>0</v>
      </c>
      <c r="AM10" s="450">
        <f t="shared" si="0"/>
        <v>0</v>
      </c>
      <c r="AN10" s="450">
        <f t="shared" si="0"/>
        <v>0</v>
      </c>
      <c r="AO10" s="450">
        <f t="shared" si="0"/>
        <v>0</v>
      </c>
      <c r="AP10" s="450">
        <f t="shared" si="0"/>
        <v>0</v>
      </c>
      <c r="AQ10" s="450">
        <f t="shared" si="0"/>
        <v>0</v>
      </c>
      <c r="AR10" s="450">
        <f t="shared" si="0"/>
        <v>0</v>
      </c>
      <c r="AS10" s="450">
        <f t="shared" si="0"/>
        <v>0</v>
      </c>
      <c r="AT10" s="450">
        <f t="shared" si="0"/>
        <v>0</v>
      </c>
      <c r="AU10" s="450">
        <f t="shared" si="0"/>
        <v>0</v>
      </c>
      <c r="AV10" s="450">
        <f t="shared" si="0"/>
        <v>0</v>
      </c>
      <c r="AW10" s="451"/>
      <c r="AX10" s="451"/>
      <c r="AY10" s="450">
        <f t="shared" si="0"/>
        <v>0</v>
      </c>
    </row>
    <row r="11" spans="1:51" s="460" customFormat="1" x14ac:dyDescent="0.2">
      <c r="A11" s="453" t="s">
        <v>712</v>
      </c>
      <c r="B11" s="454"/>
      <c r="C11" s="454"/>
      <c r="D11" s="454"/>
      <c r="E11" s="454"/>
      <c r="F11" s="454"/>
      <c r="G11" s="448" t="s">
        <v>713</v>
      </c>
      <c r="H11" s="449"/>
      <c r="I11" s="450">
        <f t="shared" ref="I11:AY11" si="1">I12+I19+I22+I25+I28+I29+I32+I33</f>
        <v>0</v>
      </c>
      <c r="J11" s="450">
        <f t="shared" si="1"/>
        <v>0</v>
      </c>
      <c r="K11" s="450">
        <f t="shared" si="1"/>
        <v>0</v>
      </c>
      <c r="L11" s="450">
        <f t="shared" si="1"/>
        <v>0</v>
      </c>
      <c r="M11" s="450">
        <f t="shared" si="1"/>
        <v>0</v>
      </c>
      <c r="N11" s="450">
        <f t="shared" si="1"/>
        <v>0</v>
      </c>
      <c r="O11" s="450">
        <f t="shared" si="1"/>
        <v>0</v>
      </c>
      <c r="P11" s="450">
        <f t="shared" si="1"/>
        <v>0</v>
      </c>
      <c r="Q11" s="450">
        <f t="shared" si="1"/>
        <v>0</v>
      </c>
      <c r="R11" s="450">
        <f t="shared" si="1"/>
        <v>0</v>
      </c>
      <c r="S11" s="450">
        <f t="shared" si="1"/>
        <v>0</v>
      </c>
      <c r="T11" s="450">
        <f t="shared" si="1"/>
        <v>0</v>
      </c>
      <c r="U11" s="450">
        <f t="shared" si="1"/>
        <v>0</v>
      </c>
      <c r="V11" s="450">
        <f t="shared" si="1"/>
        <v>0</v>
      </c>
      <c r="W11" s="450">
        <f t="shared" si="1"/>
        <v>0</v>
      </c>
      <c r="X11" s="450">
        <f t="shared" si="1"/>
        <v>0</v>
      </c>
      <c r="Y11" s="450">
        <f t="shared" si="1"/>
        <v>0</v>
      </c>
      <c r="Z11" s="450">
        <f t="shared" si="1"/>
        <v>0</v>
      </c>
      <c r="AA11" s="450">
        <f t="shared" si="1"/>
        <v>0</v>
      </c>
      <c r="AB11" s="450">
        <f t="shared" si="1"/>
        <v>0</v>
      </c>
      <c r="AC11" s="450">
        <f t="shared" si="1"/>
        <v>0</v>
      </c>
      <c r="AD11" s="450">
        <f t="shared" si="1"/>
        <v>0</v>
      </c>
      <c r="AE11" s="450">
        <f t="shared" si="1"/>
        <v>0</v>
      </c>
      <c r="AF11" s="450">
        <f t="shared" si="1"/>
        <v>0</v>
      </c>
      <c r="AG11" s="450">
        <f t="shared" si="1"/>
        <v>0</v>
      </c>
      <c r="AH11" s="450">
        <f t="shared" si="1"/>
        <v>0</v>
      </c>
      <c r="AI11" s="450">
        <f t="shared" si="1"/>
        <v>0</v>
      </c>
      <c r="AJ11" s="450">
        <f t="shared" si="1"/>
        <v>0</v>
      </c>
      <c r="AK11" s="450">
        <f t="shared" si="1"/>
        <v>0</v>
      </c>
      <c r="AL11" s="450">
        <f t="shared" si="1"/>
        <v>0</v>
      </c>
      <c r="AM11" s="450">
        <f t="shared" si="1"/>
        <v>0</v>
      </c>
      <c r="AN11" s="450">
        <f t="shared" si="1"/>
        <v>0</v>
      </c>
      <c r="AO11" s="450">
        <f t="shared" si="1"/>
        <v>0</v>
      </c>
      <c r="AP11" s="450">
        <f t="shared" si="1"/>
        <v>0</v>
      </c>
      <c r="AQ11" s="450">
        <f t="shared" si="1"/>
        <v>0</v>
      </c>
      <c r="AR11" s="450">
        <f t="shared" si="1"/>
        <v>0</v>
      </c>
      <c r="AS11" s="450">
        <f t="shared" si="1"/>
        <v>0</v>
      </c>
      <c r="AT11" s="450">
        <f t="shared" si="1"/>
        <v>0</v>
      </c>
      <c r="AU11" s="450">
        <f t="shared" si="1"/>
        <v>0</v>
      </c>
      <c r="AV11" s="450">
        <f t="shared" si="1"/>
        <v>0</v>
      </c>
      <c r="AW11" s="451"/>
      <c r="AX11" s="451"/>
      <c r="AY11" s="450">
        <f t="shared" si="1"/>
        <v>0</v>
      </c>
    </row>
    <row r="12" spans="1:51" s="460" customFormat="1" x14ac:dyDescent="0.2">
      <c r="A12" s="455" t="s">
        <v>54</v>
      </c>
      <c r="B12" s="718" t="s">
        <v>540</v>
      </c>
      <c r="C12" s="718"/>
      <c r="D12" s="718"/>
      <c r="E12" s="718"/>
      <c r="F12" s="719"/>
      <c r="G12" s="448" t="s">
        <v>324</v>
      </c>
      <c r="H12" s="449"/>
      <c r="I12" s="450">
        <f t="shared" ref="I12:AY12" si="2">SUM(I13:I15)</f>
        <v>0</v>
      </c>
      <c r="J12" s="450">
        <f>SUM(J13:J15)</f>
        <v>0</v>
      </c>
      <c r="K12" s="450">
        <f t="shared" si="2"/>
        <v>0</v>
      </c>
      <c r="L12" s="450">
        <f>SUM(L13:L15)</f>
        <v>0</v>
      </c>
      <c r="M12" s="450">
        <f t="shared" si="2"/>
        <v>0</v>
      </c>
      <c r="N12" s="450">
        <f>SUM(N13:N15)</f>
        <v>0</v>
      </c>
      <c r="O12" s="450">
        <f t="shared" si="2"/>
        <v>0</v>
      </c>
      <c r="P12" s="450">
        <f>SUM(P13:P15)</f>
        <v>0</v>
      </c>
      <c r="Q12" s="450">
        <f t="shared" si="2"/>
        <v>0</v>
      </c>
      <c r="R12" s="450">
        <f>SUM(R13:R15)</f>
        <v>0</v>
      </c>
      <c r="S12" s="450">
        <f t="shared" si="2"/>
        <v>0</v>
      </c>
      <c r="T12" s="450">
        <f>SUM(T13:T15)</f>
        <v>0</v>
      </c>
      <c r="U12" s="450">
        <f t="shared" si="2"/>
        <v>0</v>
      </c>
      <c r="V12" s="450">
        <f>SUM(V13:V15)</f>
        <v>0</v>
      </c>
      <c r="W12" s="450">
        <f t="shared" si="2"/>
        <v>0</v>
      </c>
      <c r="X12" s="450">
        <f>SUM(X13:X15)</f>
        <v>0</v>
      </c>
      <c r="Y12" s="450">
        <f t="shared" si="2"/>
        <v>0</v>
      </c>
      <c r="Z12" s="450">
        <f>SUM(Z13:Z15)</f>
        <v>0</v>
      </c>
      <c r="AA12" s="450">
        <f t="shared" si="2"/>
        <v>0</v>
      </c>
      <c r="AB12" s="450">
        <f>SUM(AB13:AB15)</f>
        <v>0</v>
      </c>
      <c r="AC12" s="450">
        <f t="shared" si="2"/>
        <v>0</v>
      </c>
      <c r="AD12" s="450">
        <f>SUM(AD13:AD15)</f>
        <v>0</v>
      </c>
      <c r="AE12" s="450">
        <f t="shared" si="2"/>
        <v>0</v>
      </c>
      <c r="AF12" s="450">
        <f>SUM(AF13:AF15)</f>
        <v>0</v>
      </c>
      <c r="AG12" s="450">
        <f t="shared" si="2"/>
        <v>0</v>
      </c>
      <c r="AH12" s="450">
        <f>SUM(AH13:AH15)</f>
        <v>0</v>
      </c>
      <c r="AI12" s="450">
        <f t="shared" si="2"/>
        <v>0</v>
      </c>
      <c r="AJ12" s="450">
        <f>SUM(AJ13:AJ15)</f>
        <v>0</v>
      </c>
      <c r="AK12" s="450">
        <f t="shared" si="2"/>
        <v>0</v>
      </c>
      <c r="AL12" s="450">
        <f>SUM(AL13:AL15)</f>
        <v>0</v>
      </c>
      <c r="AM12" s="450">
        <f t="shared" si="2"/>
        <v>0</v>
      </c>
      <c r="AN12" s="450">
        <f>SUM(AN13:AN15)</f>
        <v>0</v>
      </c>
      <c r="AO12" s="450">
        <f t="shared" si="2"/>
        <v>0</v>
      </c>
      <c r="AP12" s="450">
        <f>SUM(AP13:AP15)</f>
        <v>0</v>
      </c>
      <c r="AQ12" s="450">
        <f t="shared" si="2"/>
        <v>0</v>
      </c>
      <c r="AR12" s="450">
        <f>SUM(AR13:AR15)</f>
        <v>0</v>
      </c>
      <c r="AS12" s="450">
        <f t="shared" si="2"/>
        <v>0</v>
      </c>
      <c r="AT12" s="450">
        <f>SUM(AT13:AT15)</f>
        <v>0</v>
      </c>
      <c r="AU12" s="450">
        <f t="shared" si="2"/>
        <v>0</v>
      </c>
      <c r="AV12" s="450">
        <f>SUM(AV13:AV15)</f>
        <v>0</v>
      </c>
      <c r="AW12" s="451"/>
      <c r="AX12" s="451"/>
      <c r="AY12" s="450">
        <f t="shared" si="2"/>
        <v>0</v>
      </c>
    </row>
    <row r="13" spans="1:51" s="460" customFormat="1" x14ac:dyDescent="0.2">
      <c r="A13" s="455"/>
      <c r="B13" s="456" t="s">
        <v>59</v>
      </c>
      <c r="C13" s="718" t="s">
        <v>60</v>
      </c>
      <c r="D13" s="718"/>
      <c r="E13" s="718"/>
      <c r="F13" s="719"/>
      <c r="G13" s="448" t="s">
        <v>325</v>
      </c>
      <c r="H13" s="449"/>
      <c r="I13" s="451"/>
      <c r="J13" s="451"/>
      <c r="K13" s="451"/>
      <c r="L13" s="451"/>
      <c r="M13" s="451"/>
      <c r="N13" s="451"/>
      <c r="O13" s="451"/>
      <c r="P13" s="451"/>
      <c r="Q13" s="451"/>
      <c r="R13" s="451"/>
      <c r="S13" s="451"/>
      <c r="T13" s="451"/>
      <c r="U13" s="451"/>
      <c r="V13" s="451"/>
      <c r="W13" s="451"/>
      <c r="X13" s="451"/>
      <c r="Y13" s="451"/>
      <c r="Z13" s="451"/>
      <c r="AA13" s="451"/>
      <c r="AB13" s="451"/>
      <c r="AC13" s="451"/>
      <c r="AD13" s="451"/>
      <c r="AE13" s="451"/>
      <c r="AF13" s="451"/>
      <c r="AG13" s="451"/>
      <c r="AH13" s="451"/>
      <c r="AI13" s="451"/>
      <c r="AJ13" s="451"/>
      <c r="AK13" s="458"/>
      <c r="AL13" s="458"/>
      <c r="AM13" s="458"/>
      <c r="AN13" s="458"/>
      <c r="AO13" s="458"/>
      <c r="AP13" s="458"/>
      <c r="AQ13" s="451"/>
      <c r="AR13" s="451"/>
      <c r="AS13" s="451"/>
      <c r="AT13" s="451"/>
      <c r="AU13" s="451"/>
      <c r="AV13" s="451"/>
      <c r="AW13" s="451"/>
      <c r="AX13" s="451"/>
      <c r="AY13" s="450">
        <f>J13+L13+N13+P13+R13+T13+V13+X13+Z13+AB13+AD13+AF13+AH13+AJ13+AL13+AN13+AP13+AR13+AT13+AV13+AX13</f>
        <v>0</v>
      </c>
    </row>
    <row r="14" spans="1:51" s="460" customFormat="1" x14ac:dyDescent="0.2">
      <c r="A14" s="455"/>
      <c r="B14" s="456" t="s">
        <v>61</v>
      </c>
      <c r="C14" s="718" t="s">
        <v>72</v>
      </c>
      <c r="D14" s="718"/>
      <c r="E14" s="718"/>
      <c r="F14" s="719"/>
      <c r="G14" s="448" t="s">
        <v>541</v>
      </c>
      <c r="H14" s="449"/>
      <c r="I14" s="451"/>
      <c r="J14" s="451"/>
      <c r="K14" s="451"/>
      <c r="L14" s="451"/>
      <c r="M14" s="451"/>
      <c r="N14" s="451"/>
      <c r="O14" s="451"/>
      <c r="P14" s="451"/>
      <c r="Q14" s="451"/>
      <c r="R14" s="451"/>
      <c r="S14" s="451"/>
      <c r="T14" s="451"/>
      <c r="U14" s="451"/>
      <c r="V14" s="451"/>
      <c r="W14" s="451"/>
      <c r="X14" s="451"/>
      <c r="Y14" s="451"/>
      <c r="Z14" s="451"/>
      <c r="AA14" s="451"/>
      <c r="AB14" s="451"/>
      <c r="AC14" s="451"/>
      <c r="AD14" s="451"/>
      <c r="AE14" s="451"/>
      <c r="AF14" s="451"/>
      <c r="AG14" s="451"/>
      <c r="AH14" s="451"/>
      <c r="AI14" s="451"/>
      <c r="AJ14" s="451"/>
      <c r="AK14" s="458"/>
      <c r="AL14" s="458"/>
      <c r="AM14" s="458"/>
      <c r="AN14" s="458"/>
      <c r="AO14" s="458"/>
      <c r="AP14" s="458"/>
      <c r="AQ14" s="451"/>
      <c r="AR14" s="451"/>
      <c r="AS14" s="451"/>
      <c r="AT14" s="451"/>
      <c r="AU14" s="451"/>
      <c r="AV14" s="451"/>
      <c r="AW14" s="451"/>
      <c r="AX14" s="451"/>
      <c r="AY14" s="450">
        <f>J14+L14+N14+P14+R14+T14+V14+X14+Z14+AB14+AD14+AF14+AH14+AJ14+AL14+AN14+AP14+AR14+AT14+AV14+AX14</f>
        <v>0</v>
      </c>
    </row>
    <row r="15" spans="1:51" s="460" customFormat="1" x14ac:dyDescent="0.2">
      <c r="A15" s="455"/>
      <c r="B15" s="456" t="s">
        <v>71</v>
      </c>
      <c r="C15" s="718" t="s">
        <v>62</v>
      </c>
      <c r="D15" s="718"/>
      <c r="E15" s="718"/>
      <c r="F15" s="719"/>
      <c r="G15" s="448" t="s">
        <v>326</v>
      </c>
      <c r="H15" s="449"/>
      <c r="I15" s="450">
        <f t="shared" ref="I15:AY15" si="3">SUM(I16:I18)</f>
        <v>0</v>
      </c>
      <c r="J15" s="450">
        <f t="shared" si="3"/>
        <v>0</v>
      </c>
      <c r="K15" s="450">
        <f t="shared" si="3"/>
        <v>0</v>
      </c>
      <c r="L15" s="450">
        <f t="shared" si="3"/>
        <v>0</v>
      </c>
      <c r="M15" s="450">
        <f t="shared" si="3"/>
        <v>0</v>
      </c>
      <c r="N15" s="450">
        <f t="shared" si="3"/>
        <v>0</v>
      </c>
      <c r="O15" s="450">
        <f t="shared" si="3"/>
        <v>0</v>
      </c>
      <c r="P15" s="450">
        <f t="shared" si="3"/>
        <v>0</v>
      </c>
      <c r="Q15" s="450">
        <f t="shared" si="3"/>
        <v>0</v>
      </c>
      <c r="R15" s="450">
        <f t="shared" si="3"/>
        <v>0</v>
      </c>
      <c r="S15" s="450">
        <f t="shared" si="3"/>
        <v>0</v>
      </c>
      <c r="T15" s="450">
        <f t="shared" si="3"/>
        <v>0</v>
      </c>
      <c r="U15" s="450">
        <f t="shared" si="3"/>
        <v>0</v>
      </c>
      <c r="V15" s="450">
        <f t="shared" si="3"/>
        <v>0</v>
      </c>
      <c r="W15" s="450">
        <f t="shared" si="3"/>
        <v>0</v>
      </c>
      <c r="X15" s="450">
        <f t="shared" si="3"/>
        <v>0</v>
      </c>
      <c r="Y15" s="450">
        <f t="shared" si="3"/>
        <v>0</v>
      </c>
      <c r="Z15" s="450">
        <f t="shared" si="3"/>
        <v>0</v>
      </c>
      <c r="AA15" s="450">
        <f t="shared" si="3"/>
        <v>0</v>
      </c>
      <c r="AB15" s="450">
        <f t="shared" si="3"/>
        <v>0</v>
      </c>
      <c r="AC15" s="450">
        <f t="shared" si="3"/>
        <v>0</v>
      </c>
      <c r="AD15" s="450">
        <f t="shared" si="3"/>
        <v>0</v>
      </c>
      <c r="AE15" s="450">
        <f t="shared" si="3"/>
        <v>0</v>
      </c>
      <c r="AF15" s="450">
        <f t="shared" si="3"/>
        <v>0</v>
      </c>
      <c r="AG15" s="450">
        <f t="shared" si="3"/>
        <v>0</v>
      </c>
      <c r="AH15" s="450">
        <f t="shared" si="3"/>
        <v>0</v>
      </c>
      <c r="AI15" s="450">
        <f t="shared" si="3"/>
        <v>0</v>
      </c>
      <c r="AJ15" s="450">
        <f t="shared" si="3"/>
        <v>0</v>
      </c>
      <c r="AK15" s="450">
        <f t="shared" si="3"/>
        <v>0</v>
      </c>
      <c r="AL15" s="450">
        <f t="shared" si="3"/>
        <v>0</v>
      </c>
      <c r="AM15" s="450">
        <f t="shared" si="3"/>
        <v>0</v>
      </c>
      <c r="AN15" s="450">
        <f t="shared" si="3"/>
        <v>0</v>
      </c>
      <c r="AO15" s="450">
        <f t="shared" si="3"/>
        <v>0</v>
      </c>
      <c r="AP15" s="450">
        <f t="shared" si="3"/>
        <v>0</v>
      </c>
      <c r="AQ15" s="450">
        <f t="shared" si="3"/>
        <v>0</v>
      </c>
      <c r="AR15" s="450">
        <f t="shared" si="3"/>
        <v>0</v>
      </c>
      <c r="AS15" s="450">
        <f t="shared" si="3"/>
        <v>0</v>
      </c>
      <c r="AT15" s="450">
        <f t="shared" si="3"/>
        <v>0</v>
      </c>
      <c r="AU15" s="451"/>
      <c r="AV15" s="451"/>
      <c r="AW15" s="451"/>
      <c r="AX15" s="451"/>
      <c r="AY15" s="450">
        <f t="shared" si="3"/>
        <v>0</v>
      </c>
    </row>
    <row r="16" spans="1:51" s="460" customFormat="1" x14ac:dyDescent="0.2">
      <c r="A16" s="455"/>
      <c r="B16" s="456"/>
      <c r="C16" s="459" t="s">
        <v>54</v>
      </c>
      <c r="D16" s="718" t="s">
        <v>63</v>
      </c>
      <c r="E16" s="718"/>
      <c r="F16" s="719"/>
      <c r="G16" s="448" t="s">
        <v>327</v>
      </c>
      <c r="H16" s="449"/>
      <c r="I16" s="451"/>
      <c r="J16" s="451"/>
      <c r="K16" s="451"/>
      <c r="L16" s="451"/>
      <c r="M16" s="451"/>
      <c r="N16" s="451"/>
      <c r="O16" s="451"/>
      <c r="P16" s="451"/>
      <c r="Q16" s="451"/>
      <c r="R16" s="451"/>
      <c r="S16" s="451"/>
      <c r="T16" s="451"/>
      <c r="U16" s="451"/>
      <c r="V16" s="451"/>
      <c r="W16" s="451"/>
      <c r="X16" s="451"/>
      <c r="Y16" s="451"/>
      <c r="Z16" s="451"/>
      <c r="AA16" s="451"/>
      <c r="AB16" s="451"/>
      <c r="AC16" s="451"/>
      <c r="AD16" s="451"/>
      <c r="AE16" s="451"/>
      <c r="AF16" s="451"/>
      <c r="AG16" s="451"/>
      <c r="AH16" s="451"/>
      <c r="AI16" s="451"/>
      <c r="AJ16" s="451"/>
      <c r="AK16" s="458"/>
      <c r="AL16" s="458"/>
      <c r="AM16" s="451"/>
      <c r="AN16" s="451"/>
      <c r="AO16" s="451"/>
      <c r="AP16" s="451"/>
      <c r="AQ16" s="451"/>
      <c r="AR16" s="451"/>
      <c r="AS16" s="451"/>
      <c r="AT16" s="451"/>
      <c r="AU16" s="451"/>
      <c r="AV16" s="451"/>
      <c r="AW16" s="451"/>
      <c r="AX16" s="451"/>
      <c r="AY16" s="450">
        <f>J16+L16+N16+P16+R16+T16+V16+X16+Z16+AB16+AD16+AF16+AH16+AJ16+AL16+AN16+AP16+AR16+AT16+AV16+AX16</f>
        <v>0</v>
      </c>
    </row>
    <row r="17" spans="1:51" s="460" customFormat="1" x14ac:dyDescent="0.2">
      <c r="A17" s="455"/>
      <c r="B17" s="456"/>
      <c r="C17" s="459" t="s">
        <v>55</v>
      </c>
      <c r="D17" s="718" t="s">
        <v>64</v>
      </c>
      <c r="E17" s="718"/>
      <c r="F17" s="719"/>
      <c r="G17" s="448" t="s">
        <v>328</v>
      </c>
      <c r="H17" s="449"/>
      <c r="I17" s="451"/>
      <c r="J17" s="451"/>
      <c r="K17" s="451"/>
      <c r="L17" s="451"/>
      <c r="M17" s="451"/>
      <c r="N17" s="451"/>
      <c r="O17" s="451"/>
      <c r="P17" s="451"/>
      <c r="Q17" s="451"/>
      <c r="R17" s="451"/>
      <c r="S17" s="451"/>
      <c r="T17" s="451"/>
      <c r="U17" s="451"/>
      <c r="V17" s="451"/>
      <c r="W17" s="451"/>
      <c r="X17" s="451"/>
      <c r="Y17" s="451"/>
      <c r="Z17" s="451"/>
      <c r="AA17" s="451"/>
      <c r="AB17" s="451"/>
      <c r="AC17" s="458"/>
      <c r="AD17" s="458"/>
      <c r="AE17" s="451"/>
      <c r="AF17" s="451"/>
      <c r="AG17" s="451"/>
      <c r="AH17" s="451"/>
      <c r="AI17" s="451"/>
      <c r="AJ17" s="451"/>
      <c r="AK17" s="451"/>
      <c r="AL17" s="451"/>
      <c r="AM17" s="451"/>
      <c r="AN17" s="451"/>
      <c r="AO17" s="451"/>
      <c r="AP17" s="451"/>
      <c r="AQ17" s="451"/>
      <c r="AR17" s="451"/>
      <c r="AS17" s="451"/>
      <c r="AT17" s="451"/>
      <c r="AU17" s="451"/>
      <c r="AV17" s="451"/>
      <c r="AW17" s="451"/>
      <c r="AX17" s="451"/>
      <c r="AY17" s="450">
        <f>J17+L17+N17+P17+R17+T17+V17+X17+Z17+AB17+AD17+AF17+AH17+AJ17+AL17+AN17+AP17+AR17+AT17+AV17+AX17</f>
        <v>0</v>
      </c>
    </row>
    <row r="18" spans="1:51" s="460" customFormat="1" x14ac:dyDescent="0.2">
      <c r="A18" s="455"/>
      <c r="B18" s="456"/>
      <c r="C18" s="459" t="s">
        <v>65</v>
      </c>
      <c r="D18" s="718" t="s">
        <v>66</v>
      </c>
      <c r="E18" s="718"/>
      <c r="F18" s="719"/>
      <c r="G18" s="448" t="s">
        <v>329</v>
      </c>
      <c r="H18" s="449"/>
      <c r="I18" s="458"/>
      <c r="J18" s="458"/>
      <c r="K18" s="458"/>
      <c r="L18" s="458"/>
      <c r="M18" s="458"/>
      <c r="N18" s="458"/>
      <c r="O18" s="458"/>
      <c r="P18" s="458"/>
      <c r="Q18" s="458"/>
      <c r="R18" s="458"/>
      <c r="S18" s="458"/>
      <c r="T18" s="458"/>
      <c r="U18" s="458"/>
      <c r="V18" s="458"/>
      <c r="W18" s="458"/>
      <c r="X18" s="458"/>
      <c r="Y18" s="458"/>
      <c r="Z18" s="458"/>
      <c r="AA18" s="458"/>
      <c r="AB18" s="458"/>
      <c r="AC18" s="451"/>
      <c r="AD18" s="451"/>
      <c r="AE18" s="458"/>
      <c r="AF18" s="458"/>
      <c r="AG18" s="458"/>
      <c r="AH18" s="458"/>
      <c r="AI18" s="458"/>
      <c r="AJ18" s="458"/>
      <c r="AK18" s="458"/>
      <c r="AL18" s="458"/>
      <c r="AM18" s="458"/>
      <c r="AN18" s="458"/>
      <c r="AO18" s="458"/>
      <c r="AP18" s="458"/>
      <c r="AQ18" s="458"/>
      <c r="AR18" s="458"/>
      <c r="AS18" s="458"/>
      <c r="AT18" s="458"/>
      <c r="AU18" s="451"/>
      <c r="AV18" s="451"/>
      <c r="AW18" s="451"/>
      <c r="AX18" s="451"/>
      <c r="AY18" s="450">
        <f>J18+L18+N18+P18+R18+T18+V18+X18+Z18+AB18+AD18+AF18+AH18+AJ18+AL18+AN18+AP18+AR18+AT18+AV18+AX18</f>
        <v>0</v>
      </c>
    </row>
    <row r="19" spans="1:51" s="460" customFormat="1" x14ac:dyDescent="0.2">
      <c r="A19" s="455" t="s">
        <v>55</v>
      </c>
      <c r="B19" s="456" t="s">
        <v>67</v>
      </c>
      <c r="C19" s="456"/>
      <c r="D19" s="456"/>
      <c r="E19" s="456"/>
      <c r="F19" s="457"/>
      <c r="G19" s="448" t="s">
        <v>330</v>
      </c>
      <c r="H19" s="449"/>
      <c r="I19" s="450">
        <f>SUM(I20:I21)</f>
        <v>0</v>
      </c>
      <c r="J19" s="450">
        <f>SUM(J20:J21)</f>
        <v>0</v>
      </c>
      <c r="K19" s="451"/>
      <c r="L19" s="451"/>
      <c r="M19" s="450">
        <f t="shared" ref="M19:V19" si="4">SUM(M20:M21)</f>
        <v>0</v>
      </c>
      <c r="N19" s="450">
        <f t="shared" si="4"/>
        <v>0</v>
      </c>
      <c r="O19" s="450">
        <f t="shared" si="4"/>
        <v>0</v>
      </c>
      <c r="P19" s="450">
        <f t="shared" si="4"/>
        <v>0</v>
      </c>
      <c r="Q19" s="450">
        <f t="shared" si="4"/>
        <v>0</v>
      </c>
      <c r="R19" s="450">
        <f t="shared" si="4"/>
        <v>0</v>
      </c>
      <c r="S19" s="450">
        <f t="shared" si="4"/>
        <v>0</v>
      </c>
      <c r="T19" s="450">
        <f t="shared" si="4"/>
        <v>0</v>
      </c>
      <c r="U19" s="450">
        <f t="shared" si="4"/>
        <v>0</v>
      </c>
      <c r="V19" s="450">
        <f t="shared" si="4"/>
        <v>0</v>
      </c>
      <c r="W19" s="451"/>
      <c r="X19" s="451"/>
      <c r="Y19" s="450">
        <f t="shared" ref="Y19:AL19" si="5">SUM(Y20:Y21)</f>
        <v>0</v>
      </c>
      <c r="Z19" s="450">
        <f t="shared" si="5"/>
        <v>0</v>
      </c>
      <c r="AA19" s="450">
        <f t="shared" si="5"/>
        <v>0</v>
      </c>
      <c r="AB19" s="450">
        <f t="shared" si="5"/>
        <v>0</v>
      </c>
      <c r="AC19" s="450">
        <f t="shared" si="5"/>
        <v>0</v>
      </c>
      <c r="AD19" s="450">
        <f t="shared" si="5"/>
        <v>0</v>
      </c>
      <c r="AE19" s="450">
        <f t="shared" si="5"/>
        <v>0</v>
      </c>
      <c r="AF19" s="450">
        <f t="shared" si="5"/>
        <v>0</v>
      </c>
      <c r="AG19" s="450">
        <f t="shared" si="5"/>
        <v>0</v>
      </c>
      <c r="AH19" s="450">
        <f t="shared" si="5"/>
        <v>0</v>
      </c>
      <c r="AI19" s="450">
        <f t="shared" si="5"/>
        <v>0</v>
      </c>
      <c r="AJ19" s="450">
        <f t="shared" si="5"/>
        <v>0</v>
      </c>
      <c r="AK19" s="450">
        <f t="shared" si="5"/>
        <v>0</v>
      </c>
      <c r="AL19" s="450">
        <f t="shared" si="5"/>
        <v>0</v>
      </c>
      <c r="AM19" s="451"/>
      <c r="AN19" s="451"/>
      <c r="AO19" s="451"/>
      <c r="AP19" s="451"/>
      <c r="AQ19" s="451"/>
      <c r="AR19" s="451"/>
      <c r="AS19" s="451"/>
      <c r="AT19" s="451"/>
      <c r="AU19" s="451"/>
      <c r="AV19" s="451"/>
      <c r="AW19" s="451"/>
      <c r="AX19" s="451"/>
      <c r="AY19" s="450">
        <f>SUM(AY20:AY21)</f>
        <v>0</v>
      </c>
    </row>
    <row r="20" spans="1:51" s="460" customFormat="1" x14ac:dyDescent="0.2">
      <c r="A20" s="455"/>
      <c r="B20" s="456" t="s">
        <v>59</v>
      </c>
      <c r="C20" s="718" t="s">
        <v>68</v>
      </c>
      <c r="D20" s="718"/>
      <c r="E20" s="718"/>
      <c r="F20" s="719"/>
      <c r="G20" s="448" t="s">
        <v>331</v>
      </c>
      <c r="H20" s="449"/>
      <c r="I20" s="458"/>
      <c r="J20" s="458"/>
      <c r="K20" s="451"/>
      <c r="L20" s="451"/>
      <c r="M20" s="458"/>
      <c r="N20" s="458"/>
      <c r="O20" s="458"/>
      <c r="P20" s="458"/>
      <c r="Q20" s="458"/>
      <c r="R20" s="458"/>
      <c r="S20" s="458"/>
      <c r="T20" s="458"/>
      <c r="U20" s="458"/>
      <c r="V20" s="458"/>
      <c r="W20" s="451"/>
      <c r="X20" s="451"/>
      <c r="Y20" s="458"/>
      <c r="Z20" s="458"/>
      <c r="AA20" s="458"/>
      <c r="AB20" s="458"/>
      <c r="AC20" s="458"/>
      <c r="AD20" s="458"/>
      <c r="AE20" s="458"/>
      <c r="AF20" s="458"/>
      <c r="AG20" s="458"/>
      <c r="AH20" s="458"/>
      <c r="AI20" s="458"/>
      <c r="AJ20" s="458"/>
      <c r="AK20" s="458"/>
      <c r="AL20" s="458"/>
      <c r="AM20" s="451"/>
      <c r="AN20" s="451"/>
      <c r="AO20" s="451"/>
      <c r="AP20" s="451"/>
      <c r="AQ20" s="451"/>
      <c r="AR20" s="451"/>
      <c r="AS20" s="451"/>
      <c r="AT20" s="451"/>
      <c r="AU20" s="451"/>
      <c r="AV20" s="451"/>
      <c r="AW20" s="451"/>
      <c r="AX20" s="451"/>
      <c r="AY20" s="450">
        <f>J20+L20+N20+P20+R20+T20+V20+X20+Z20+AB20+AD20+AF20+AH20+AJ20+AL20+AN20+AP20+AR20+AT20+AV20+AX20</f>
        <v>0</v>
      </c>
    </row>
    <row r="21" spans="1:51" s="460" customFormat="1" x14ac:dyDescent="0.2">
      <c r="A21" s="455"/>
      <c r="B21" s="456" t="s">
        <v>69</v>
      </c>
      <c r="C21" s="456" t="s">
        <v>70</v>
      </c>
      <c r="D21" s="456"/>
      <c r="E21" s="456"/>
      <c r="F21" s="457"/>
      <c r="G21" s="448" t="s">
        <v>332</v>
      </c>
      <c r="H21" s="449"/>
      <c r="I21" s="458"/>
      <c r="J21" s="458"/>
      <c r="K21" s="451"/>
      <c r="L21" s="451"/>
      <c r="M21" s="458"/>
      <c r="N21" s="458"/>
      <c r="O21" s="458"/>
      <c r="P21" s="458"/>
      <c r="Q21" s="458"/>
      <c r="R21" s="458"/>
      <c r="S21" s="458"/>
      <c r="T21" s="458"/>
      <c r="U21" s="458"/>
      <c r="V21" s="458"/>
      <c r="W21" s="451"/>
      <c r="X21" s="451"/>
      <c r="Y21" s="458"/>
      <c r="Z21" s="458"/>
      <c r="AA21" s="458"/>
      <c r="AB21" s="458"/>
      <c r="AC21" s="458"/>
      <c r="AD21" s="458"/>
      <c r="AE21" s="458"/>
      <c r="AF21" s="458"/>
      <c r="AG21" s="458"/>
      <c r="AH21" s="458"/>
      <c r="AI21" s="458"/>
      <c r="AJ21" s="458"/>
      <c r="AK21" s="458"/>
      <c r="AL21" s="458"/>
      <c r="AM21" s="451"/>
      <c r="AN21" s="451"/>
      <c r="AO21" s="451"/>
      <c r="AP21" s="451"/>
      <c r="AQ21" s="451"/>
      <c r="AR21" s="451"/>
      <c r="AS21" s="451"/>
      <c r="AT21" s="451"/>
      <c r="AU21" s="451"/>
      <c r="AV21" s="451"/>
      <c r="AW21" s="451"/>
      <c r="AX21" s="451"/>
      <c r="AY21" s="450">
        <f>J21+L21+N21+P21+R21+T21+V21+X21+Z21+AB21+AD21+AF21+AH21+AJ21+AL21+AN21+AP21+AR21+AT21+AV21+AX21</f>
        <v>0</v>
      </c>
    </row>
    <row r="22" spans="1:51" s="460" customFormat="1" x14ac:dyDescent="0.2">
      <c r="A22" s="461" t="s">
        <v>65</v>
      </c>
      <c r="B22" s="659" t="s">
        <v>1443</v>
      </c>
      <c r="C22" s="659"/>
      <c r="D22" s="659"/>
      <c r="E22" s="659"/>
      <c r="F22" s="660"/>
      <c r="G22" s="603" t="s">
        <v>333</v>
      </c>
      <c r="H22" s="449"/>
      <c r="I22" s="450">
        <f>SUM(I23:I24)</f>
        <v>0</v>
      </c>
      <c r="J22" s="450">
        <f t="shared" ref="J22:AB22" si="6">SUM(J23:J24)</f>
        <v>0</v>
      </c>
      <c r="K22" s="450">
        <f t="shared" si="6"/>
        <v>0</v>
      </c>
      <c r="L22" s="450">
        <f t="shared" si="6"/>
        <v>0</v>
      </c>
      <c r="M22" s="450">
        <f t="shared" si="6"/>
        <v>0</v>
      </c>
      <c r="N22" s="450">
        <f t="shared" si="6"/>
        <v>0</v>
      </c>
      <c r="O22" s="450">
        <f t="shared" si="6"/>
        <v>0</v>
      </c>
      <c r="P22" s="450">
        <f t="shared" si="6"/>
        <v>0</v>
      </c>
      <c r="Q22" s="450">
        <f t="shared" si="6"/>
        <v>0</v>
      </c>
      <c r="R22" s="450">
        <f t="shared" si="6"/>
        <v>0</v>
      </c>
      <c r="S22" s="450">
        <f t="shared" si="6"/>
        <v>0</v>
      </c>
      <c r="T22" s="450">
        <f t="shared" si="6"/>
        <v>0</v>
      </c>
      <c r="U22" s="450">
        <f t="shared" si="6"/>
        <v>0</v>
      </c>
      <c r="V22" s="450">
        <f t="shared" si="6"/>
        <v>0</v>
      </c>
      <c r="W22" s="450">
        <f t="shared" si="6"/>
        <v>0</v>
      </c>
      <c r="X22" s="450">
        <f t="shared" si="6"/>
        <v>0</v>
      </c>
      <c r="Y22" s="450">
        <f t="shared" si="6"/>
        <v>0</v>
      </c>
      <c r="Z22" s="450">
        <f t="shared" si="6"/>
        <v>0</v>
      </c>
      <c r="AA22" s="450">
        <f t="shared" si="6"/>
        <v>0</v>
      </c>
      <c r="AB22" s="450">
        <f t="shared" si="6"/>
        <v>0</v>
      </c>
      <c r="AC22" s="451"/>
      <c r="AD22" s="451"/>
      <c r="AE22" s="450">
        <f t="shared" ref="AE22:AJ22" si="7">SUM(AE23:AE24)</f>
        <v>0</v>
      </c>
      <c r="AF22" s="450">
        <f t="shared" si="7"/>
        <v>0</v>
      </c>
      <c r="AG22" s="450">
        <f t="shared" si="7"/>
        <v>0</v>
      </c>
      <c r="AH22" s="450">
        <f t="shared" si="7"/>
        <v>0</v>
      </c>
      <c r="AI22" s="450">
        <f t="shared" si="7"/>
        <v>0</v>
      </c>
      <c r="AJ22" s="450">
        <f t="shared" si="7"/>
        <v>0</v>
      </c>
      <c r="AK22" s="451"/>
      <c r="AL22" s="451"/>
      <c r="AM22" s="451"/>
      <c r="AN22" s="451"/>
      <c r="AO22" s="450">
        <f t="shared" ref="AO22:AT22" si="8">SUM(AO23:AO24)</f>
        <v>0</v>
      </c>
      <c r="AP22" s="450">
        <f t="shared" si="8"/>
        <v>0</v>
      </c>
      <c r="AQ22" s="450">
        <f t="shared" si="8"/>
        <v>0</v>
      </c>
      <c r="AR22" s="450">
        <f t="shared" si="8"/>
        <v>0</v>
      </c>
      <c r="AS22" s="450">
        <f t="shared" si="8"/>
        <v>0</v>
      </c>
      <c r="AT22" s="450">
        <f t="shared" si="8"/>
        <v>0</v>
      </c>
      <c r="AU22" s="451"/>
      <c r="AV22" s="451"/>
      <c r="AW22" s="451"/>
      <c r="AX22" s="451"/>
      <c r="AY22" s="450">
        <f>J22+L22+N22+P22+R22+T22+V22+X22+Z22+AB22+AD22+AF22+AH22+AJ22+AL22+AN22+AP22+AR22+AT22+AV22+AX22</f>
        <v>0</v>
      </c>
    </row>
    <row r="23" spans="1:51" s="460" customFormat="1" x14ac:dyDescent="0.2">
      <c r="A23" s="461"/>
      <c r="B23" s="569" t="s">
        <v>59</v>
      </c>
      <c r="C23" s="659" t="s">
        <v>543</v>
      </c>
      <c r="D23" s="659"/>
      <c r="E23" s="659"/>
      <c r="F23" s="660"/>
      <c r="G23" s="603" t="s">
        <v>1431</v>
      </c>
      <c r="H23" s="449"/>
      <c r="I23" s="458"/>
      <c r="J23" s="458"/>
      <c r="K23" s="458"/>
      <c r="L23" s="458"/>
      <c r="M23" s="458"/>
      <c r="N23" s="458"/>
      <c r="O23" s="458"/>
      <c r="P23" s="458"/>
      <c r="Q23" s="458"/>
      <c r="R23" s="458"/>
      <c r="S23" s="458"/>
      <c r="T23" s="458"/>
      <c r="U23" s="458"/>
      <c r="V23" s="458"/>
      <c r="W23" s="458"/>
      <c r="X23" s="458"/>
      <c r="Y23" s="458"/>
      <c r="Z23" s="458"/>
      <c r="AA23" s="458"/>
      <c r="AB23" s="458"/>
      <c r="AC23" s="451"/>
      <c r="AD23" s="451"/>
      <c r="AE23" s="458"/>
      <c r="AF23" s="458"/>
      <c r="AG23" s="458"/>
      <c r="AH23" s="458"/>
      <c r="AI23" s="458"/>
      <c r="AJ23" s="458"/>
      <c r="AK23" s="451"/>
      <c r="AL23" s="451"/>
      <c r="AM23" s="451"/>
      <c r="AN23" s="451"/>
      <c r="AO23" s="458"/>
      <c r="AP23" s="458"/>
      <c r="AQ23" s="458"/>
      <c r="AR23" s="458"/>
      <c r="AS23" s="458"/>
      <c r="AT23" s="458"/>
      <c r="AU23" s="451"/>
      <c r="AV23" s="451"/>
      <c r="AW23" s="451"/>
      <c r="AX23" s="451"/>
      <c r="AY23" s="450">
        <f>J23+L23+N23+P23+R23+T23+V23+X23+Z23+AB23+AD23+AF23+AH23+AJ23+AL23+AN23+AP23+AR23+AT23+AV23+AX23</f>
        <v>0</v>
      </c>
    </row>
    <row r="24" spans="1:51" s="460" customFormat="1" x14ac:dyDescent="0.2">
      <c r="A24" s="461"/>
      <c r="B24" s="569" t="s">
        <v>61</v>
      </c>
      <c r="C24" s="659" t="s">
        <v>1430</v>
      </c>
      <c r="D24" s="659"/>
      <c r="E24" s="659"/>
      <c r="F24" s="660"/>
      <c r="G24" s="603" t="s">
        <v>1432</v>
      </c>
      <c r="H24" s="449"/>
      <c r="I24" s="458"/>
      <c r="J24" s="458"/>
      <c r="K24" s="458"/>
      <c r="L24" s="458"/>
      <c r="M24" s="458"/>
      <c r="N24" s="458"/>
      <c r="O24" s="458"/>
      <c r="P24" s="458"/>
      <c r="Q24" s="458"/>
      <c r="R24" s="458"/>
      <c r="S24" s="458"/>
      <c r="T24" s="458"/>
      <c r="U24" s="458"/>
      <c r="V24" s="458"/>
      <c r="W24" s="458"/>
      <c r="X24" s="458"/>
      <c r="Y24" s="458"/>
      <c r="Z24" s="458"/>
      <c r="AA24" s="458"/>
      <c r="AB24" s="458"/>
      <c r="AC24" s="451"/>
      <c r="AD24" s="451"/>
      <c r="AE24" s="458"/>
      <c r="AF24" s="458"/>
      <c r="AG24" s="458"/>
      <c r="AH24" s="458"/>
      <c r="AI24" s="458"/>
      <c r="AJ24" s="458"/>
      <c r="AK24" s="451"/>
      <c r="AL24" s="451"/>
      <c r="AM24" s="451"/>
      <c r="AN24" s="451"/>
      <c r="AO24" s="458"/>
      <c r="AP24" s="458"/>
      <c r="AQ24" s="458"/>
      <c r="AR24" s="458"/>
      <c r="AS24" s="458"/>
      <c r="AT24" s="458"/>
      <c r="AU24" s="451"/>
      <c r="AV24" s="451"/>
      <c r="AW24" s="451"/>
      <c r="AX24" s="451"/>
      <c r="AY24" s="450">
        <f>J24+L24+N24+P24+R24+T24+V24+X24+Z24+AB24+AD24+AF24+AH24+AJ24+AL24+AN24+AP24+AR24+AT24+AV24+AX24</f>
        <v>0</v>
      </c>
    </row>
    <row r="25" spans="1:51" s="460" customFormat="1" x14ac:dyDescent="0.2">
      <c r="A25" s="461" t="s">
        <v>90</v>
      </c>
      <c r="B25" s="456" t="s">
        <v>73</v>
      </c>
      <c r="C25" s="456"/>
      <c r="D25" s="456"/>
      <c r="E25" s="456"/>
      <c r="F25" s="457"/>
      <c r="G25" s="448" t="s">
        <v>334</v>
      </c>
      <c r="H25" s="449"/>
      <c r="I25" s="450">
        <f t="shared" ref="I25:AJ25" si="9">SUM(I26:I27)</f>
        <v>0</v>
      </c>
      <c r="J25" s="450">
        <f t="shared" si="9"/>
        <v>0</v>
      </c>
      <c r="K25" s="450">
        <f t="shared" si="9"/>
        <v>0</v>
      </c>
      <c r="L25" s="450">
        <f t="shared" si="9"/>
        <v>0</v>
      </c>
      <c r="M25" s="450">
        <f t="shared" si="9"/>
        <v>0</v>
      </c>
      <c r="N25" s="450">
        <f t="shared" si="9"/>
        <v>0</v>
      </c>
      <c r="O25" s="450">
        <f t="shared" si="9"/>
        <v>0</v>
      </c>
      <c r="P25" s="450">
        <f t="shared" si="9"/>
        <v>0</v>
      </c>
      <c r="Q25" s="450">
        <f t="shared" si="9"/>
        <v>0</v>
      </c>
      <c r="R25" s="450">
        <f t="shared" si="9"/>
        <v>0</v>
      </c>
      <c r="S25" s="450">
        <f t="shared" si="9"/>
        <v>0</v>
      </c>
      <c r="T25" s="450">
        <f t="shared" si="9"/>
        <v>0</v>
      </c>
      <c r="U25" s="450">
        <f t="shared" si="9"/>
        <v>0</v>
      </c>
      <c r="V25" s="450">
        <f t="shared" si="9"/>
        <v>0</v>
      </c>
      <c r="W25" s="450">
        <f t="shared" si="9"/>
        <v>0</v>
      </c>
      <c r="X25" s="450">
        <f t="shared" si="9"/>
        <v>0</v>
      </c>
      <c r="Y25" s="450">
        <f t="shared" si="9"/>
        <v>0</v>
      </c>
      <c r="Z25" s="450">
        <f t="shared" si="9"/>
        <v>0</v>
      </c>
      <c r="AA25" s="450">
        <f t="shared" si="9"/>
        <v>0</v>
      </c>
      <c r="AB25" s="450">
        <f t="shared" si="9"/>
        <v>0</v>
      </c>
      <c r="AC25" s="450">
        <f t="shared" si="9"/>
        <v>0</v>
      </c>
      <c r="AD25" s="450">
        <f t="shared" si="9"/>
        <v>0</v>
      </c>
      <c r="AE25" s="450">
        <f t="shared" si="9"/>
        <v>0</v>
      </c>
      <c r="AF25" s="450">
        <f t="shared" si="9"/>
        <v>0</v>
      </c>
      <c r="AG25" s="450">
        <f t="shared" si="9"/>
        <v>0</v>
      </c>
      <c r="AH25" s="450">
        <f t="shared" si="9"/>
        <v>0</v>
      </c>
      <c r="AI25" s="450">
        <f t="shared" si="9"/>
        <v>0</v>
      </c>
      <c r="AJ25" s="450">
        <f t="shared" si="9"/>
        <v>0</v>
      </c>
      <c r="AK25" s="451"/>
      <c r="AL25" s="451"/>
      <c r="AM25" s="450">
        <f t="shared" ref="AM25:AT25" si="10">SUM(AM26:AM27)</f>
        <v>0</v>
      </c>
      <c r="AN25" s="450">
        <f t="shared" si="10"/>
        <v>0</v>
      </c>
      <c r="AO25" s="450">
        <f t="shared" si="10"/>
        <v>0</v>
      </c>
      <c r="AP25" s="450">
        <f t="shared" si="10"/>
        <v>0</v>
      </c>
      <c r="AQ25" s="450">
        <f t="shared" si="10"/>
        <v>0</v>
      </c>
      <c r="AR25" s="450">
        <f t="shared" si="10"/>
        <v>0</v>
      </c>
      <c r="AS25" s="450">
        <f t="shared" si="10"/>
        <v>0</v>
      </c>
      <c r="AT25" s="450">
        <f t="shared" si="10"/>
        <v>0</v>
      </c>
      <c r="AU25" s="451"/>
      <c r="AV25" s="451"/>
      <c r="AW25" s="451"/>
      <c r="AX25" s="451"/>
      <c r="AY25" s="450">
        <f>SUM(AY26:AY27)</f>
        <v>0</v>
      </c>
    </row>
    <row r="26" spans="1:51" s="460" customFormat="1" x14ac:dyDescent="0.2">
      <c r="A26" s="455"/>
      <c r="B26" s="456" t="s">
        <v>59</v>
      </c>
      <c r="C26" s="718" t="s">
        <v>1451</v>
      </c>
      <c r="D26" s="718"/>
      <c r="E26" s="718"/>
      <c r="F26" s="719"/>
      <c r="G26" s="448" t="s">
        <v>335</v>
      </c>
      <c r="H26" s="449"/>
      <c r="I26" s="458"/>
      <c r="J26" s="458"/>
      <c r="K26" s="458"/>
      <c r="L26" s="458"/>
      <c r="M26" s="458"/>
      <c r="N26" s="458"/>
      <c r="O26" s="458"/>
      <c r="P26" s="458"/>
      <c r="Q26" s="458"/>
      <c r="R26" s="458"/>
      <c r="S26" s="458"/>
      <c r="T26" s="458"/>
      <c r="U26" s="458"/>
      <c r="V26" s="458"/>
      <c r="W26" s="458"/>
      <c r="X26" s="458"/>
      <c r="Y26" s="458"/>
      <c r="Z26" s="458"/>
      <c r="AA26" s="458"/>
      <c r="AB26" s="458"/>
      <c r="AC26" s="458"/>
      <c r="AD26" s="458"/>
      <c r="AE26" s="458"/>
      <c r="AF26" s="458"/>
      <c r="AG26" s="458"/>
      <c r="AH26" s="458"/>
      <c r="AI26" s="458"/>
      <c r="AJ26" s="458"/>
      <c r="AK26" s="451"/>
      <c r="AL26" s="451"/>
      <c r="AM26" s="458"/>
      <c r="AN26" s="458"/>
      <c r="AO26" s="458"/>
      <c r="AP26" s="458"/>
      <c r="AQ26" s="458"/>
      <c r="AR26" s="458"/>
      <c r="AS26" s="458"/>
      <c r="AT26" s="458"/>
      <c r="AU26" s="451"/>
      <c r="AV26" s="451"/>
      <c r="AW26" s="451"/>
      <c r="AX26" s="451"/>
      <c r="AY26" s="450">
        <f>J26+L26+N26+P26+R26+T26+V26+X26+Z26+AB26+AD26+AF26+AH26+AJ26+AL26+AN26+AP26+AR26+AT26+AV26+AX26</f>
        <v>0</v>
      </c>
    </row>
    <row r="27" spans="1:51" s="460" customFormat="1" x14ac:dyDescent="0.2">
      <c r="A27" s="455"/>
      <c r="B27" s="456" t="s">
        <v>69</v>
      </c>
      <c r="C27" s="718" t="s">
        <v>1452</v>
      </c>
      <c r="D27" s="718"/>
      <c r="E27" s="718"/>
      <c r="F27" s="719"/>
      <c r="G27" s="448" t="s">
        <v>336</v>
      </c>
      <c r="H27" s="449"/>
      <c r="I27" s="458"/>
      <c r="J27" s="458"/>
      <c r="K27" s="458"/>
      <c r="L27" s="458"/>
      <c r="M27" s="458"/>
      <c r="N27" s="458"/>
      <c r="O27" s="458"/>
      <c r="P27" s="458"/>
      <c r="Q27" s="458"/>
      <c r="R27" s="458"/>
      <c r="S27" s="458"/>
      <c r="T27" s="458"/>
      <c r="U27" s="458"/>
      <c r="V27" s="458"/>
      <c r="W27" s="458"/>
      <c r="X27" s="458"/>
      <c r="Y27" s="458"/>
      <c r="Z27" s="458"/>
      <c r="AA27" s="458"/>
      <c r="AB27" s="458"/>
      <c r="AC27" s="458"/>
      <c r="AD27" s="458"/>
      <c r="AE27" s="458"/>
      <c r="AF27" s="458"/>
      <c r="AG27" s="458"/>
      <c r="AH27" s="458"/>
      <c r="AI27" s="458"/>
      <c r="AJ27" s="458"/>
      <c r="AK27" s="451"/>
      <c r="AL27" s="451"/>
      <c r="AM27" s="458"/>
      <c r="AN27" s="458"/>
      <c r="AO27" s="458"/>
      <c r="AP27" s="458"/>
      <c r="AQ27" s="458"/>
      <c r="AR27" s="458"/>
      <c r="AS27" s="458"/>
      <c r="AT27" s="458"/>
      <c r="AU27" s="451"/>
      <c r="AV27" s="451"/>
      <c r="AW27" s="451"/>
      <c r="AX27" s="451"/>
      <c r="AY27" s="450">
        <f>J27+L27+N27+P27+R27+T27+V27+X27+Z27+AB27+AD27+AF27+AH27+AJ27+AL27+AN27+AP27+AR27+AT27+AV27+AX27</f>
        <v>0</v>
      </c>
    </row>
    <row r="28" spans="1:51" s="460" customFormat="1" x14ac:dyDescent="0.2">
      <c r="A28" s="462" t="s">
        <v>257</v>
      </c>
      <c r="B28" s="723" t="s">
        <v>983</v>
      </c>
      <c r="C28" s="723"/>
      <c r="D28" s="723"/>
      <c r="E28" s="723"/>
      <c r="F28" s="724"/>
      <c r="G28" s="448" t="s">
        <v>337</v>
      </c>
      <c r="H28" s="449"/>
      <c r="I28" s="451"/>
      <c r="J28" s="451"/>
      <c r="K28" s="451"/>
      <c r="L28" s="451"/>
      <c r="M28" s="451"/>
      <c r="N28" s="451"/>
      <c r="O28" s="451"/>
      <c r="P28" s="451"/>
      <c r="Q28" s="451"/>
      <c r="R28" s="451"/>
      <c r="S28" s="451"/>
      <c r="T28" s="451"/>
      <c r="U28" s="451"/>
      <c r="V28" s="451"/>
      <c r="W28" s="451"/>
      <c r="X28" s="451"/>
      <c r="Y28" s="451"/>
      <c r="Z28" s="451"/>
      <c r="AA28" s="451"/>
      <c r="AB28" s="451"/>
      <c r="AC28" s="451"/>
      <c r="AD28" s="451"/>
      <c r="AE28" s="458"/>
      <c r="AF28" s="458"/>
      <c r="AG28" s="451"/>
      <c r="AH28" s="451"/>
      <c r="AI28" s="451"/>
      <c r="AJ28" s="451"/>
      <c r="AK28" s="451"/>
      <c r="AL28" s="451"/>
      <c r="AM28" s="451"/>
      <c r="AN28" s="451"/>
      <c r="AO28" s="451"/>
      <c r="AP28" s="451"/>
      <c r="AQ28" s="451"/>
      <c r="AR28" s="451"/>
      <c r="AS28" s="451"/>
      <c r="AT28" s="451"/>
      <c r="AU28" s="451"/>
      <c r="AV28" s="451"/>
      <c r="AW28" s="451"/>
      <c r="AX28" s="451"/>
      <c r="AY28" s="450">
        <f>J28+L28+N28+P28+R28+T28+V28+X28+Z28+AB28+AD28+AF28+AH28+AJ28+AL28+AN28+AP28+AR28+AT28+AV28+AX28</f>
        <v>0</v>
      </c>
    </row>
    <row r="29" spans="1:51" s="460" customFormat="1" x14ac:dyDescent="0.2">
      <c r="A29" s="461" t="s">
        <v>74</v>
      </c>
      <c r="B29" s="718" t="s">
        <v>77</v>
      </c>
      <c r="C29" s="718"/>
      <c r="D29" s="718"/>
      <c r="E29" s="718"/>
      <c r="F29" s="719"/>
      <c r="G29" s="448" t="s">
        <v>338</v>
      </c>
      <c r="H29" s="449"/>
      <c r="I29" s="450">
        <f t="shared" ref="I29:AJ29" si="11">SUM(I30:I31)</f>
        <v>0</v>
      </c>
      <c r="J29" s="450">
        <f t="shared" si="11"/>
        <v>0</v>
      </c>
      <c r="K29" s="450">
        <f t="shared" si="11"/>
        <v>0</v>
      </c>
      <c r="L29" s="450">
        <f t="shared" si="11"/>
        <v>0</v>
      </c>
      <c r="M29" s="450">
        <f t="shared" si="11"/>
        <v>0</v>
      </c>
      <c r="N29" s="450">
        <f t="shared" si="11"/>
        <v>0</v>
      </c>
      <c r="O29" s="450">
        <f t="shared" si="11"/>
        <v>0</v>
      </c>
      <c r="P29" s="450">
        <f t="shared" si="11"/>
        <v>0</v>
      </c>
      <c r="Q29" s="450">
        <f t="shared" si="11"/>
        <v>0</v>
      </c>
      <c r="R29" s="450">
        <f t="shared" si="11"/>
        <v>0</v>
      </c>
      <c r="S29" s="450">
        <f t="shared" si="11"/>
        <v>0</v>
      </c>
      <c r="T29" s="450">
        <f t="shared" si="11"/>
        <v>0</v>
      </c>
      <c r="U29" s="450">
        <f t="shared" si="11"/>
        <v>0</v>
      </c>
      <c r="V29" s="450">
        <f t="shared" si="11"/>
        <v>0</v>
      </c>
      <c r="W29" s="450">
        <f t="shared" si="11"/>
        <v>0</v>
      </c>
      <c r="X29" s="450">
        <f t="shared" si="11"/>
        <v>0</v>
      </c>
      <c r="Y29" s="450">
        <f t="shared" si="11"/>
        <v>0</v>
      </c>
      <c r="Z29" s="450">
        <f t="shared" si="11"/>
        <v>0</v>
      </c>
      <c r="AA29" s="450">
        <f t="shared" si="11"/>
        <v>0</v>
      </c>
      <c r="AB29" s="450">
        <f t="shared" si="11"/>
        <v>0</v>
      </c>
      <c r="AC29" s="450">
        <f t="shared" si="11"/>
        <v>0</v>
      </c>
      <c r="AD29" s="450">
        <f t="shared" si="11"/>
        <v>0</v>
      </c>
      <c r="AE29" s="450">
        <f t="shared" si="11"/>
        <v>0</v>
      </c>
      <c r="AF29" s="450">
        <f t="shared" si="11"/>
        <v>0</v>
      </c>
      <c r="AG29" s="450">
        <f t="shared" si="11"/>
        <v>0</v>
      </c>
      <c r="AH29" s="450">
        <f t="shared" si="11"/>
        <v>0</v>
      </c>
      <c r="AI29" s="450">
        <f t="shared" si="11"/>
        <v>0</v>
      </c>
      <c r="AJ29" s="450">
        <f t="shared" si="11"/>
        <v>0</v>
      </c>
      <c r="AK29" s="451"/>
      <c r="AL29" s="451"/>
      <c r="AM29" s="450">
        <f t="shared" ref="AM29:AT29" si="12">SUM(AM30:AM31)</f>
        <v>0</v>
      </c>
      <c r="AN29" s="450">
        <f t="shared" si="12"/>
        <v>0</v>
      </c>
      <c r="AO29" s="450">
        <f t="shared" si="12"/>
        <v>0</v>
      </c>
      <c r="AP29" s="450">
        <f t="shared" si="12"/>
        <v>0</v>
      </c>
      <c r="AQ29" s="450">
        <f t="shared" si="12"/>
        <v>0</v>
      </c>
      <c r="AR29" s="450">
        <f t="shared" si="12"/>
        <v>0</v>
      </c>
      <c r="AS29" s="450">
        <f t="shared" si="12"/>
        <v>0</v>
      </c>
      <c r="AT29" s="450">
        <f t="shared" si="12"/>
        <v>0</v>
      </c>
      <c r="AU29" s="451"/>
      <c r="AV29" s="451"/>
      <c r="AW29" s="451"/>
      <c r="AX29" s="451"/>
      <c r="AY29" s="450">
        <f>SUM(AY30:AY31)</f>
        <v>0</v>
      </c>
    </row>
    <row r="30" spans="1:51" s="460" customFormat="1" x14ac:dyDescent="0.2">
      <c r="A30" s="455"/>
      <c r="B30" s="456" t="s">
        <v>59</v>
      </c>
      <c r="C30" s="718" t="s">
        <v>78</v>
      </c>
      <c r="D30" s="718"/>
      <c r="E30" s="718"/>
      <c r="F30" s="719"/>
      <c r="G30" s="448" t="s">
        <v>339</v>
      </c>
      <c r="H30" s="449"/>
      <c r="I30" s="451"/>
      <c r="J30" s="451"/>
      <c r="K30" s="451"/>
      <c r="L30" s="451"/>
      <c r="M30" s="451"/>
      <c r="N30" s="451"/>
      <c r="O30" s="451"/>
      <c r="P30" s="451"/>
      <c r="Q30" s="451"/>
      <c r="R30" s="451"/>
      <c r="S30" s="451"/>
      <c r="T30" s="451"/>
      <c r="U30" s="451"/>
      <c r="V30" s="451"/>
      <c r="W30" s="451"/>
      <c r="X30" s="451"/>
      <c r="Y30" s="451"/>
      <c r="Z30" s="451"/>
      <c r="AA30" s="451"/>
      <c r="AB30" s="451"/>
      <c r="AC30" s="458"/>
      <c r="AD30" s="458"/>
      <c r="AE30" s="451"/>
      <c r="AF30" s="451"/>
      <c r="AG30" s="451"/>
      <c r="AH30" s="451"/>
      <c r="AI30" s="451"/>
      <c r="AJ30" s="451"/>
      <c r="AK30" s="451"/>
      <c r="AL30" s="451"/>
      <c r="AM30" s="451"/>
      <c r="AN30" s="451"/>
      <c r="AO30" s="451"/>
      <c r="AP30" s="451"/>
      <c r="AQ30" s="451"/>
      <c r="AR30" s="451"/>
      <c r="AS30" s="451"/>
      <c r="AT30" s="451"/>
      <c r="AU30" s="451"/>
      <c r="AV30" s="451"/>
      <c r="AW30" s="451"/>
      <c r="AX30" s="451"/>
      <c r="AY30" s="450">
        <f>J30+L30+N30+P30+R30+T30+V30+X30+Z30+AB30+AD30+AF30+AH30+AJ30+AL30+AN30+AP30+AR30+AT30+AV30+AX30</f>
        <v>0</v>
      </c>
    </row>
    <row r="31" spans="1:51" s="460" customFormat="1" ht="25.5" customHeight="1" x14ac:dyDescent="0.2">
      <c r="A31" s="455"/>
      <c r="B31" s="456" t="s">
        <v>61</v>
      </c>
      <c r="C31" s="718" t="s">
        <v>66</v>
      </c>
      <c r="D31" s="718"/>
      <c r="E31" s="718"/>
      <c r="F31" s="719"/>
      <c r="G31" s="448" t="s">
        <v>340</v>
      </c>
      <c r="H31" s="449"/>
      <c r="I31" s="458"/>
      <c r="J31" s="458"/>
      <c r="K31" s="458"/>
      <c r="L31" s="458"/>
      <c r="M31" s="458"/>
      <c r="N31" s="458"/>
      <c r="O31" s="458"/>
      <c r="P31" s="458"/>
      <c r="Q31" s="458"/>
      <c r="R31" s="458"/>
      <c r="S31" s="458"/>
      <c r="T31" s="458"/>
      <c r="U31" s="458"/>
      <c r="V31" s="458"/>
      <c r="W31" s="458"/>
      <c r="X31" s="458"/>
      <c r="Y31" s="458"/>
      <c r="Z31" s="458"/>
      <c r="AA31" s="458"/>
      <c r="AB31" s="458"/>
      <c r="AC31" s="451"/>
      <c r="AD31" s="451"/>
      <c r="AE31" s="458"/>
      <c r="AF31" s="458"/>
      <c r="AG31" s="458"/>
      <c r="AH31" s="458"/>
      <c r="AI31" s="458"/>
      <c r="AJ31" s="458"/>
      <c r="AK31" s="451"/>
      <c r="AL31" s="451"/>
      <c r="AM31" s="458"/>
      <c r="AN31" s="458"/>
      <c r="AO31" s="458"/>
      <c r="AP31" s="458"/>
      <c r="AQ31" s="458"/>
      <c r="AR31" s="458"/>
      <c r="AS31" s="458"/>
      <c r="AT31" s="458"/>
      <c r="AU31" s="451"/>
      <c r="AV31" s="451"/>
      <c r="AW31" s="451"/>
      <c r="AX31" s="451"/>
      <c r="AY31" s="450">
        <f>J31+L31+N31+P31+R31+T31+V31+X31+Z31+AB31+AD31+AF31+AH31+AJ31+AL31+AN31+AP31+AR31+AT31+AV31+AX31</f>
        <v>0</v>
      </c>
    </row>
    <row r="32" spans="1:51" s="460" customFormat="1" x14ac:dyDescent="0.2">
      <c r="A32" s="461" t="s">
        <v>76</v>
      </c>
      <c r="B32" s="723" t="s">
        <v>1337</v>
      </c>
      <c r="C32" s="723"/>
      <c r="D32" s="723"/>
      <c r="E32" s="723"/>
      <c r="F32" s="724"/>
      <c r="G32" s="463" t="s">
        <v>341</v>
      </c>
      <c r="H32" s="464"/>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8"/>
      <c r="AF32" s="458"/>
      <c r="AG32" s="451"/>
      <c r="AH32" s="451"/>
      <c r="AI32" s="451"/>
      <c r="AJ32" s="451"/>
      <c r="AK32" s="451"/>
      <c r="AL32" s="451"/>
      <c r="AM32" s="451"/>
      <c r="AN32" s="451"/>
      <c r="AO32" s="451"/>
      <c r="AP32" s="451"/>
      <c r="AQ32" s="451"/>
      <c r="AR32" s="451"/>
      <c r="AS32" s="451"/>
      <c r="AT32" s="451"/>
      <c r="AU32" s="451"/>
      <c r="AV32" s="451"/>
      <c r="AW32" s="451"/>
      <c r="AX32" s="451"/>
      <c r="AY32" s="450">
        <f>J32+L32+N32+P32+R32+T32+V32+X32+Z32+AB32+AD32+AF32+AH32+AJ32+AL32+AN32+AP32+AR32+AT32+AV32+AX32</f>
        <v>0</v>
      </c>
    </row>
    <row r="33" spans="1:59" s="460" customFormat="1" x14ac:dyDescent="0.2">
      <c r="A33" s="462" t="s">
        <v>79</v>
      </c>
      <c r="B33" s="456" t="s">
        <v>85</v>
      </c>
      <c r="C33" s="456"/>
      <c r="D33" s="456"/>
      <c r="E33" s="456"/>
      <c r="F33" s="457"/>
      <c r="G33" s="448" t="s">
        <v>346</v>
      </c>
      <c r="H33" s="449"/>
      <c r="I33" s="458"/>
      <c r="J33" s="458"/>
      <c r="K33" s="458"/>
      <c r="L33" s="458"/>
      <c r="M33" s="458"/>
      <c r="N33" s="458"/>
      <c r="O33" s="451"/>
      <c r="P33" s="451"/>
      <c r="Q33" s="458"/>
      <c r="R33" s="458"/>
      <c r="S33" s="458"/>
      <c r="T33" s="458"/>
      <c r="U33" s="458"/>
      <c r="V33" s="458"/>
      <c r="W33" s="458"/>
      <c r="X33" s="458"/>
      <c r="Y33" s="458"/>
      <c r="Z33" s="458"/>
      <c r="AA33" s="458"/>
      <c r="AB33" s="458"/>
      <c r="AC33" s="451"/>
      <c r="AD33" s="451"/>
      <c r="AE33" s="458"/>
      <c r="AF33" s="458"/>
      <c r="AG33" s="458"/>
      <c r="AH33" s="458"/>
      <c r="AI33" s="458"/>
      <c r="AJ33" s="458"/>
      <c r="AK33" s="451"/>
      <c r="AL33" s="451"/>
      <c r="AM33" s="458"/>
      <c r="AN33" s="458"/>
      <c r="AO33" s="458"/>
      <c r="AP33" s="458"/>
      <c r="AQ33" s="458"/>
      <c r="AR33" s="458"/>
      <c r="AS33" s="458"/>
      <c r="AT33" s="458"/>
      <c r="AU33" s="458"/>
      <c r="AV33" s="458"/>
      <c r="AW33" s="451"/>
      <c r="AX33" s="451"/>
      <c r="AY33" s="450">
        <f>J33+L33+N33+P33+R33+T33+V33+X33+Z33+AB33+AD33+AF33+AH33+AJ33+AL33+AN33+AP33+AR33+AT33+AV33+AX33</f>
        <v>0</v>
      </c>
    </row>
    <row r="34" spans="1:59" s="460" customFormat="1" x14ac:dyDescent="0.2">
      <c r="A34" s="447" t="s">
        <v>714</v>
      </c>
      <c r="B34" s="456"/>
      <c r="C34" s="456"/>
      <c r="D34" s="456"/>
      <c r="E34" s="456"/>
      <c r="F34" s="457"/>
      <c r="G34" s="448" t="s">
        <v>715</v>
      </c>
      <c r="H34" s="449"/>
      <c r="I34" s="451"/>
      <c r="J34" s="451"/>
      <c r="K34" s="451"/>
      <c r="L34" s="451"/>
      <c r="M34" s="451"/>
      <c r="N34" s="451"/>
      <c r="O34" s="451"/>
      <c r="P34" s="451"/>
      <c r="Q34" s="451"/>
      <c r="R34" s="451"/>
      <c r="S34" s="451"/>
      <c r="T34" s="451"/>
      <c r="U34" s="451"/>
      <c r="V34" s="451"/>
      <c r="W34" s="451"/>
      <c r="X34" s="451"/>
      <c r="Y34" s="451"/>
      <c r="Z34" s="451"/>
      <c r="AA34" s="451"/>
      <c r="AB34" s="451"/>
      <c r="AC34" s="451"/>
      <c r="AD34" s="451"/>
      <c r="AE34" s="451"/>
      <c r="AF34" s="451"/>
      <c r="AG34" s="451"/>
      <c r="AH34" s="451"/>
      <c r="AI34" s="451"/>
      <c r="AJ34" s="451"/>
      <c r="AK34" s="451"/>
      <c r="AL34" s="451"/>
      <c r="AM34" s="451"/>
      <c r="AN34" s="451"/>
      <c r="AO34" s="451"/>
      <c r="AP34" s="451"/>
      <c r="AQ34" s="451"/>
      <c r="AR34" s="451"/>
      <c r="AS34" s="451"/>
      <c r="AT34" s="451"/>
      <c r="AU34" s="451"/>
      <c r="AV34" s="451"/>
      <c r="AW34" s="451"/>
      <c r="AX34" s="451"/>
      <c r="AY34" s="450">
        <f>AY35</f>
        <v>0</v>
      </c>
    </row>
    <row r="35" spans="1:59" s="460" customFormat="1" x14ac:dyDescent="0.2">
      <c r="A35" s="462" t="s">
        <v>81</v>
      </c>
      <c r="B35" s="456" t="s">
        <v>1467</v>
      </c>
      <c r="C35" s="456"/>
      <c r="D35" s="456"/>
      <c r="E35" s="456"/>
      <c r="F35" s="457"/>
      <c r="G35" s="448" t="s">
        <v>342</v>
      </c>
      <c r="H35" s="449"/>
      <c r="I35" s="451"/>
      <c r="J35" s="451"/>
      <c r="K35" s="451"/>
      <c r="L35" s="451"/>
      <c r="M35" s="451"/>
      <c r="N35" s="451"/>
      <c r="O35" s="451"/>
      <c r="P35" s="451"/>
      <c r="Q35" s="451"/>
      <c r="R35" s="451"/>
      <c r="S35" s="451"/>
      <c r="T35" s="451"/>
      <c r="U35" s="451"/>
      <c r="V35" s="451"/>
      <c r="W35" s="451"/>
      <c r="X35" s="451"/>
      <c r="Y35" s="451"/>
      <c r="Z35" s="451"/>
      <c r="AA35" s="451"/>
      <c r="AB35" s="451"/>
      <c r="AC35" s="451"/>
      <c r="AD35" s="451"/>
      <c r="AE35" s="451"/>
      <c r="AF35" s="451"/>
      <c r="AG35" s="451"/>
      <c r="AH35" s="451"/>
      <c r="AI35" s="451"/>
      <c r="AJ35" s="451"/>
      <c r="AK35" s="451"/>
      <c r="AL35" s="451"/>
      <c r="AM35" s="451"/>
      <c r="AN35" s="451"/>
      <c r="AO35" s="451"/>
      <c r="AP35" s="451"/>
      <c r="AQ35" s="451"/>
      <c r="AR35" s="451"/>
      <c r="AS35" s="451"/>
      <c r="AT35" s="451"/>
      <c r="AU35" s="451"/>
      <c r="AV35" s="451"/>
      <c r="AW35" s="451"/>
      <c r="AX35" s="451"/>
      <c r="AY35" s="450">
        <f>AY36+AY37+AY40+AY41</f>
        <v>0</v>
      </c>
    </row>
    <row r="36" spans="1:59" s="460" customFormat="1" x14ac:dyDescent="0.2">
      <c r="A36" s="455"/>
      <c r="B36" s="456" t="s">
        <v>59</v>
      </c>
      <c r="C36" s="718" t="s">
        <v>82</v>
      </c>
      <c r="D36" s="718"/>
      <c r="E36" s="718"/>
      <c r="F36" s="719"/>
      <c r="G36" s="448" t="s">
        <v>343</v>
      </c>
      <c r="H36" s="449"/>
      <c r="I36" s="451"/>
      <c r="J36" s="451"/>
      <c r="K36" s="451"/>
      <c r="L36" s="451"/>
      <c r="M36" s="451"/>
      <c r="N36" s="451"/>
      <c r="O36" s="451"/>
      <c r="P36" s="451"/>
      <c r="Q36" s="451"/>
      <c r="R36" s="451"/>
      <c r="S36" s="451"/>
      <c r="T36" s="451"/>
      <c r="U36" s="451"/>
      <c r="V36" s="451"/>
      <c r="W36" s="451"/>
      <c r="X36" s="451"/>
      <c r="Y36" s="451"/>
      <c r="Z36" s="451"/>
      <c r="AA36" s="451"/>
      <c r="AB36" s="451"/>
      <c r="AC36" s="451"/>
      <c r="AD36" s="451"/>
      <c r="AE36" s="451"/>
      <c r="AF36" s="451"/>
      <c r="AG36" s="451"/>
      <c r="AH36" s="451"/>
      <c r="AI36" s="451"/>
      <c r="AJ36" s="451"/>
      <c r="AK36" s="451"/>
      <c r="AL36" s="451"/>
      <c r="AM36" s="451"/>
      <c r="AN36" s="451"/>
      <c r="AO36" s="451"/>
      <c r="AP36" s="451"/>
      <c r="AQ36" s="451"/>
      <c r="AR36" s="451"/>
      <c r="AS36" s="451"/>
      <c r="AT36" s="451"/>
      <c r="AU36" s="451"/>
      <c r="AV36" s="451"/>
      <c r="AW36" s="451"/>
      <c r="AX36" s="451"/>
      <c r="AY36" s="458"/>
    </row>
    <row r="37" spans="1:59" s="460" customFormat="1" x14ac:dyDescent="0.2">
      <c r="A37" s="455"/>
      <c r="B37" s="456" t="s">
        <v>61</v>
      </c>
      <c r="C37" s="662" t="s">
        <v>1457</v>
      </c>
      <c r="D37" s="662"/>
      <c r="E37" s="662"/>
      <c r="F37" s="663"/>
      <c r="G37" s="448" t="s">
        <v>344</v>
      </c>
      <c r="H37" s="449"/>
      <c r="I37" s="451"/>
      <c r="J37" s="451"/>
      <c r="K37" s="451"/>
      <c r="L37" s="451"/>
      <c r="M37" s="451"/>
      <c r="N37" s="451"/>
      <c r="O37" s="451"/>
      <c r="P37" s="451"/>
      <c r="Q37" s="451"/>
      <c r="R37" s="451"/>
      <c r="S37" s="451"/>
      <c r="T37" s="451"/>
      <c r="U37" s="451"/>
      <c r="V37" s="451"/>
      <c r="W37" s="451"/>
      <c r="X37" s="451"/>
      <c r="Y37" s="451"/>
      <c r="Z37" s="451"/>
      <c r="AA37" s="451"/>
      <c r="AB37" s="451"/>
      <c r="AC37" s="451"/>
      <c r="AD37" s="451"/>
      <c r="AE37" s="451"/>
      <c r="AF37" s="451"/>
      <c r="AG37" s="451"/>
      <c r="AH37" s="451"/>
      <c r="AI37" s="451"/>
      <c r="AJ37" s="451"/>
      <c r="AK37" s="451"/>
      <c r="AL37" s="451"/>
      <c r="AM37" s="451"/>
      <c r="AN37" s="451"/>
      <c r="AO37" s="451"/>
      <c r="AP37" s="451"/>
      <c r="AQ37" s="451"/>
      <c r="AR37" s="451"/>
      <c r="AS37" s="451"/>
      <c r="AT37" s="451"/>
      <c r="AU37" s="451"/>
      <c r="AV37" s="451"/>
      <c r="AW37" s="451"/>
      <c r="AX37" s="451"/>
      <c r="AY37" s="450">
        <f>AY38+AY39</f>
        <v>0</v>
      </c>
    </row>
    <row r="38" spans="1:59" s="460" customFormat="1" x14ac:dyDescent="0.2">
      <c r="A38" s="455"/>
      <c r="B38" s="456"/>
      <c r="C38" s="456" t="s">
        <v>54</v>
      </c>
      <c r="D38" s="456" t="s">
        <v>83</v>
      </c>
      <c r="E38" s="456"/>
      <c r="F38" s="456"/>
      <c r="G38" s="616" t="s">
        <v>1459</v>
      </c>
      <c r="H38" s="449"/>
      <c r="I38" s="451"/>
      <c r="J38" s="451"/>
      <c r="K38" s="451"/>
      <c r="L38" s="451"/>
      <c r="M38" s="451"/>
      <c r="N38" s="451"/>
      <c r="O38" s="451"/>
      <c r="P38" s="451"/>
      <c r="Q38" s="451"/>
      <c r="R38" s="451"/>
      <c r="S38" s="451"/>
      <c r="T38" s="451"/>
      <c r="U38" s="451"/>
      <c r="V38" s="451"/>
      <c r="W38" s="451"/>
      <c r="X38" s="451"/>
      <c r="Y38" s="451"/>
      <c r="Z38" s="451"/>
      <c r="AA38" s="451"/>
      <c r="AB38" s="451"/>
      <c r="AC38" s="451"/>
      <c r="AD38" s="451"/>
      <c r="AE38" s="451"/>
      <c r="AF38" s="451"/>
      <c r="AG38" s="451"/>
      <c r="AH38" s="451"/>
      <c r="AI38" s="451"/>
      <c r="AJ38" s="451"/>
      <c r="AK38" s="451"/>
      <c r="AL38" s="451"/>
      <c r="AM38" s="451"/>
      <c r="AN38" s="451"/>
      <c r="AO38" s="451"/>
      <c r="AP38" s="451"/>
      <c r="AQ38" s="451"/>
      <c r="AR38" s="451"/>
      <c r="AS38" s="451"/>
      <c r="AT38" s="451"/>
      <c r="AU38" s="451"/>
      <c r="AV38" s="451"/>
      <c r="AW38" s="451"/>
      <c r="AX38" s="451"/>
      <c r="AY38" s="458"/>
    </row>
    <row r="39" spans="1:59" s="460" customFormat="1" x14ac:dyDescent="0.2">
      <c r="A39" s="455"/>
      <c r="B39" s="456"/>
      <c r="C39" s="456" t="s">
        <v>55</v>
      </c>
      <c r="D39" s="456" t="s">
        <v>1458</v>
      </c>
      <c r="E39" s="456"/>
      <c r="F39" s="456"/>
      <c r="G39" s="616" t="s">
        <v>1460</v>
      </c>
      <c r="H39" s="449"/>
      <c r="I39" s="451"/>
      <c r="J39" s="451"/>
      <c r="K39" s="451"/>
      <c r="L39" s="451"/>
      <c r="M39" s="451"/>
      <c r="N39" s="451"/>
      <c r="O39" s="451"/>
      <c r="P39" s="451"/>
      <c r="Q39" s="451"/>
      <c r="R39" s="451"/>
      <c r="S39" s="451"/>
      <c r="T39" s="451"/>
      <c r="U39" s="451"/>
      <c r="V39" s="451"/>
      <c r="W39" s="451"/>
      <c r="X39" s="451"/>
      <c r="Y39" s="451"/>
      <c r="Z39" s="451"/>
      <c r="AA39" s="451"/>
      <c r="AB39" s="451"/>
      <c r="AC39" s="451"/>
      <c r="AD39" s="451"/>
      <c r="AE39" s="451"/>
      <c r="AF39" s="451"/>
      <c r="AG39" s="451"/>
      <c r="AH39" s="451"/>
      <c r="AI39" s="451"/>
      <c r="AJ39" s="451"/>
      <c r="AK39" s="451"/>
      <c r="AL39" s="451"/>
      <c r="AM39" s="451"/>
      <c r="AN39" s="451"/>
      <c r="AO39" s="451"/>
      <c r="AP39" s="451"/>
      <c r="AQ39" s="451"/>
      <c r="AR39" s="451"/>
      <c r="AS39" s="451"/>
      <c r="AT39" s="451"/>
      <c r="AU39" s="451"/>
      <c r="AV39" s="451"/>
      <c r="AW39" s="451"/>
      <c r="AX39" s="451"/>
      <c r="AY39" s="458"/>
    </row>
    <row r="40" spans="1:59" s="460" customFormat="1" x14ac:dyDescent="0.2">
      <c r="A40" s="455"/>
      <c r="B40" s="467" t="s">
        <v>71</v>
      </c>
      <c r="C40" s="467" t="s">
        <v>1468</v>
      </c>
      <c r="D40" s="467"/>
      <c r="E40" s="467"/>
      <c r="F40" s="604"/>
      <c r="G40" s="603" t="s">
        <v>1435</v>
      </c>
      <c r="H40" s="449"/>
      <c r="I40" s="451"/>
      <c r="J40" s="451"/>
      <c r="K40" s="451"/>
      <c r="L40" s="451"/>
      <c r="M40" s="451"/>
      <c r="N40" s="451"/>
      <c r="O40" s="451"/>
      <c r="P40" s="451"/>
      <c r="Q40" s="451"/>
      <c r="R40" s="451"/>
      <c r="S40" s="451"/>
      <c r="T40" s="451"/>
      <c r="U40" s="451"/>
      <c r="V40" s="451"/>
      <c r="W40" s="451"/>
      <c r="X40" s="451"/>
      <c r="Y40" s="451"/>
      <c r="Z40" s="451"/>
      <c r="AA40" s="451"/>
      <c r="AB40" s="451"/>
      <c r="AC40" s="451"/>
      <c r="AD40" s="451"/>
      <c r="AE40" s="451"/>
      <c r="AF40" s="451"/>
      <c r="AG40" s="451"/>
      <c r="AH40" s="451"/>
      <c r="AI40" s="451"/>
      <c r="AJ40" s="451"/>
      <c r="AK40" s="451"/>
      <c r="AL40" s="451"/>
      <c r="AM40" s="451"/>
      <c r="AN40" s="451"/>
      <c r="AO40" s="451"/>
      <c r="AP40" s="451"/>
      <c r="AQ40" s="451"/>
      <c r="AR40" s="451"/>
      <c r="AS40" s="451"/>
      <c r="AT40" s="451"/>
      <c r="AU40" s="451"/>
      <c r="AV40" s="451"/>
      <c r="AW40" s="451"/>
      <c r="AX40" s="451"/>
      <c r="AY40" s="458"/>
    </row>
    <row r="41" spans="1:59" s="460" customFormat="1" x14ac:dyDescent="0.2">
      <c r="A41" s="455"/>
      <c r="B41" s="456" t="s">
        <v>1433</v>
      </c>
      <c r="C41" s="718" t="s">
        <v>52</v>
      </c>
      <c r="D41" s="718"/>
      <c r="E41" s="718"/>
      <c r="F41" s="719"/>
      <c r="G41" s="448" t="s">
        <v>345</v>
      </c>
      <c r="H41" s="449"/>
      <c r="I41" s="451"/>
      <c r="J41" s="451"/>
      <c r="K41" s="451"/>
      <c r="L41" s="451"/>
      <c r="M41" s="451"/>
      <c r="N41" s="451"/>
      <c r="O41" s="451"/>
      <c r="P41" s="451"/>
      <c r="Q41" s="451"/>
      <c r="R41" s="451"/>
      <c r="S41" s="451"/>
      <c r="T41" s="451"/>
      <c r="U41" s="451"/>
      <c r="V41" s="451"/>
      <c r="W41" s="451"/>
      <c r="X41" s="451"/>
      <c r="Y41" s="451"/>
      <c r="Z41" s="451"/>
      <c r="AA41" s="451"/>
      <c r="AB41" s="451"/>
      <c r="AC41" s="451"/>
      <c r="AD41" s="451"/>
      <c r="AE41" s="451"/>
      <c r="AF41" s="451"/>
      <c r="AG41" s="451"/>
      <c r="AH41" s="451"/>
      <c r="AI41" s="451"/>
      <c r="AJ41" s="451"/>
      <c r="AK41" s="451"/>
      <c r="AL41" s="451"/>
      <c r="AM41" s="451"/>
      <c r="AN41" s="451"/>
      <c r="AO41" s="451"/>
      <c r="AP41" s="451"/>
      <c r="AQ41" s="451"/>
      <c r="AR41" s="451"/>
      <c r="AS41" s="451"/>
      <c r="AT41" s="451"/>
      <c r="AU41" s="451"/>
      <c r="AV41" s="451"/>
      <c r="AW41" s="451"/>
      <c r="AX41" s="451"/>
      <c r="AY41" s="458"/>
    </row>
    <row r="42" spans="1:59" s="460" customFormat="1" x14ac:dyDescent="0.2">
      <c r="A42" s="725" t="s">
        <v>86</v>
      </c>
      <c r="B42" s="718"/>
      <c r="C42" s="718"/>
      <c r="D42" s="718"/>
      <c r="E42" s="718"/>
      <c r="F42" s="719"/>
      <c r="G42" s="448" t="s">
        <v>347</v>
      </c>
      <c r="H42" s="449"/>
      <c r="I42" s="451"/>
      <c r="J42" s="451"/>
      <c r="K42" s="451"/>
      <c r="L42" s="451"/>
      <c r="M42" s="451"/>
      <c r="N42" s="451"/>
      <c r="O42" s="451"/>
      <c r="P42" s="451"/>
      <c r="Q42" s="451"/>
      <c r="R42" s="451"/>
      <c r="S42" s="451"/>
      <c r="T42" s="451"/>
      <c r="U42" s="451"/>
      <c r="V42" s="451"/>
      <c r="W42" s="451"/>
      <c r="X42" s="451"/>
      <c r="Y42" s="451"/>
      <c r="Z42" s="451"/>
      <c r="AA42" s="451"/>
      <c r="AB42" s="451"/>
      <c r="AC42" s="451"/>
      <c r="AD42" s="451"/>
      <c r="AE42" s="451"/>
      <c r="AF42" s="451"/>
      <c r="AG42" s="451"/>
      <c r="AH42" s="451"/>
      <c r="AI42" s="451"/>
      <c r="AJ42" s="451"/>
      <c r="AK42" s="451"/>
      <c r="AL42" s="451"/>
      <c r="AM42" s="451"/>
      <c r="AN42" s="451"/>
      <c r="AO42" s="451"/>
      <c r="AP42" s="451"/>
      <c r="AQ42" s="451"/>
      <c r="AR42" s="451"/>
      <c r="AS42" s="451"/>
      <c r="AT42" s="451"/>
      <c r="AU42" s="451"/>
      <c r="AV42" s="451"/>
      <c r="AW42" s="451"/>
      <c r="AX42" s="451"/>
      <c r="AY42" s="450">
        <f>SUM(AY43:AY46)</f>
        <v>0</v>
      </c>
      <c r="AZ42" s="491"/>
    </row>
    <row r="43" spans="1:59" s="460" customFormat="1" x14ac:dyDescent="0.2">
      <c r="A43" s="466" t="s">
        <v>54</v>
      </c>
      <c r="B43" s="715" t="s">
        <v>87</v>
      </c>
      <c r="C43" s="718"/>
      <c r="D43" s="718"/>
      <c r="E43" s="718"/>
      <c r="F43" s="719"/>
      <c r="G43" s="448" t="s">
        <v>348</v>
      </c>
      <c r="H43" s="449"/>
      <c r="I43" s="451"/>
      <c r="J43" s="451"/>
      <c r="K43" s="451"/>
      <c r="L43" s="451"/>
      <c r="M43" s="451"/>
      <c r="N43" s="451"/>
      <c r="O43" s="451"/>
      <c r="P43" s="451"/>
      <c r="Q43" s="451"/>
      <c r="R43" s="451"/>
      <c r="S43" s="451"/>
      <c r="T43" s="451"/>
      <c r="U43" s="451"/>
      <c r="V43" s="451"/>
      <c r="W43" s="451"/>
      <c r="X43" s="451"/>
      <c r="Y43" s="451"/>
      <c r="Z43" s="451"/>
      <c r="AA43" s="451"/>
      <c r="AB43" s="451"/>
      <c r="AC43" s="451"/>
      <c r="AD43" s="451"/>
      <c r="AE43" s="451"/>
      <c r="AF43" s="451"/>
      <c r="AG43" s="451"/>
      <c r="AH43" s="451"/>
      <c r="AI43" s="451"/>
      <c r="AJ43" s="451"/>
      <c r="AK43" s="451"/>
      <c r="AL43" s="451"/>
      <c r="AM43" s="451"/>
      <c r="AN43" s="451"/>
      <c r="AO43" s="451"/>
      <c r="AP43" s="451"/>
      <c r="AQ43" s="451"/>
      <c r="AR43" s="451"/>
      <c r="AS43" s="451"/>
      <c r="AT43" s="451"/>
      <c r="AU43" s="451"/>
      <c r="AV43" s="451"/>
      <c r="AW43" s="451"/>
      <c r="AX43" s="451"/>
      <c r="AY43" s="458"/>
    </row>
    <row r="44" spans="1:59" s="460" customFormat="1" x14ac:dyDescent="0.2">
      <c r="A44" s="466" t="s">
        <v>55</v>
      </c>
      <c r="B44" s="715" t="s">
        <v>88</v>
      </c>
      <c r="C44" s="718"/>
      <c r="D44" s="718"/>
      <c r="E44" s="718"/>
      <c r="F44" s="719"/>
      <c r="G44" s="448" t="s">
        <v>349</v>
      </c>
      <c r="H44" s="449"/>
      <c r="I44" s="451"/>
      <c r="J44" s="451"/>
      <c r="K44" s="451"/>
      <c r="L44" s="451"/>
      <c r="M44" s="451"/>
      <c r="N44" s="451"/>
      <c r="O44" s="451"/>
      <c r="P44" s="451"/>
      <c r="Q44" s="451"/>
      <c r="R44" s="451"/>
      <c r="S44" s="451"/>
      <c r="T44" s="451"/>
      <c r="U44" s="451"/>
      <c r="V44" s="451"/>
      <c r="W44" s="451"/>
      <c r="X44" s="451"/>
      <c r="Y44" s="451"/>
      <c r="Z44" s="451"/>
      <c r="AA44" s="451"/>
      <c r="AB44" s="451"/>
      <c r="AC44" s="451"/>
      <c r="AD44" s="451"/>
      <c r="AE44" s="451"/>
      <c r="AF44" s="451"/>
      <c r="AG44" s="451"/>
      <c r="AH44" s="451"/>
      <c r="AI44" s="451"/>
      <c r="AJ44" s="451"/>
      <c r="AK44" s="451"/>
      <c r="AL44" s="451"/>
      <c r="AM44" s="451"/>
      <c r="AN44" s="451"/>
      <c r="AO44" s="451"/>
      <c r="AP44" s="451"/>
      <c r="AQ44" s="451"/>
      <c r="AR44" s="451"/>
      <c r="AS44" s="451"/>
      <c r="AT44" s="451"/>
      <c r="AU44" s="451"/>
      <c r="AV44" s="451"/>
      <c r="AW44" s="451"/>
      <c r="AX44" s="451"/>
      <c r="AY44" s="458"/>
      <c r="AZ44" s="491"/>
      <c r="BA44" s="491"/>
      <c r="BB44" s="491"/>
      <c r="BC44" s="491"/>
      <c r="BD44" s="491"/>
      <c r="BE44" s="491"/>
      <c r="BF44" s="491"/>
      <c r="BG44" s="491"/>
    </row>
    <row r="45" spans="1:59" s="460" customFormat="1" x14ac:dyDescent="0.2">
      <c r="A45" s="466" t="s">
        <v>65</v>
      </c>
      <c r="B45" s="718" t="s">
        <v>89</v>
      </c>
      <c r="C45" s="718"/>
      <c r="D45" s="718"/>
      <c r="E45" s="718"/>
      <c r="F45" s="719"/>
      <c r="G45" s="448" t="s">
        <v>350</v>
      </c>
      <c r="H45" s="449"/>
      <c r="I45" s="451"/>
      <c r="J45" s="451"/>
      <c r="K45" s="451"/>
      <c r="L45" s="451"/>
      <c r="M45" s="451"/>
      <c r="N45" s="451"/>
      <c r="O45" s="451"/>
      <c r="P45" s="451"/>
      <c r="Q45" s="451"/>
      <c r="R45" s="451"/>
      <c r="S45" s="451"/>
      <c r="T45" s="451"/>
      <c r="U45" s="451"/>
      <c r="V45" s="451"/>
      <c r="W45" s="451"/>
      <c r="X45" s="451"/>
      <c r="Y45" s="451"/>
      <c r="Z45" s="451"/>
      <c r="AA45" s="451"/>
      <c r="AB45" s="451"/>
      <c r="AC45" s="451"/>
      <c r="AD45" s="451"/>
      <c r="AE45" s="451"/>
      <c r="AF45" s="451"/>
      <c r="AG45" s="451"/>
      <c r="AH45" s="451"/>
      <c r="AI45" s="451"/>
      <c r="AJ45" s="451"/>
      <c r="AK45" s="451"/>
      <c r="AL45" s="451"/>
      <c r="AM45" s="451"/>
      <c r="AN45" s="451"/>
      <c r="AO45" s="451"/>
      <c r="AP45" s="451"/>
      <c r="AQ45" s="451"/>
      <c r="AR45" s="451"/>
      <c r="AS45" s="451"/>
      <c r="AT45" s="451"/>
      <c r="AU45" s="451"/>
      <c r="AV45" s="451"/>
      <c r="AW45" s="451"/>
      <c r="AX45" s="451"/>
      <c r="AY45" s="458"/>
      <c r="AZ45" s="491"/>
      <c r="BA45" s="491"/>
      <c r="BB45" s="491"/>
      <c r="BC45" s="491"/>
      <c r="BD45" s="491"/>
      <c r="BE45" s="491"/>
      <c r="BF45" s="491"/>
      <c r="BG45" s="491"/>
    </row>
    <row r="46" spans="1:59" s="460" customFormat="1" x14ac:dyDescent="0.2">
      <c r="A46" s="466" t="s">
        <v>90</v>
      </c>
      <c r="B46" s="718" t="s">
        <v>91</v>
      </c>
      <c r="C46" s="718"/>
      <c r="D46" s="718"/>
      <c r="E46" s="718"/>
      <c r="F46" s="719"/>
      <c r="G46" s="448" t="s">
        <v>351</v>
      </c>
      <c r="H46" s="449"/>
      <c r="I46" s="451"/>
      <c r="J46" s="451"/>
      <c r="K46" s="451"/>
      <c r="L46" s="451"/>
      <c r="M46" s="451"/>
      <c r="N46" s="451"/>
      <c r="O46" s="451"/>
      <c r="P46" s="451"/>
      <c r="Q46" s="451"/>
      <c r="R46" s="451"/>
      <c r="S46" s="451"/>
      <c r="T46" s="451"/>
      <c r="U46" s="451"/>
      <c r="V46" s="451"/>
      <c r="W46" s="451"/>
      <c r="X46" s="451"/>
      <c r="Y46" s="451"/>
      <c r="Z46" s="451"/>
      <c r="AA46" s="451"/>
      <c r="AB46" s="451"/>
      <c r="AC46" s="451"/>
      <c r="AD46" s="451"/>
      <c r="AE46" s="451"/>
      <c r="AF46" s="451"/>
      <c r="AG46" s="451"/>
      <c r="AH46" s="451"/>
      <c r="AI46" s="451"/>
      <c r="AJ46" s="451"/>
      <c r="AK46" s="451"/>
      <c r="AL46" s="451"/>
      <c r="AM46" s="451"/>
      <c r="AN46" s="451"/>
      <c r="AO46" s="451"/>
      <c r="AP46" s="451"/>
      <c r="AQ46" s="451"/>
      <c r="AR46" s="451"/>
      <c r="AS46" s="451"/>
      <c r="AT46" s="451"/>
      <c r="AU46" s="451"/>
      <c r="AV46" s="451"/>
      <c r="AW46" s="451"/>
      <c r="AX46" s="451"/>
      <c r="AY46" s="458"/>
      <c r="AZ46" s="491"/>
      <c r="BA46" s="491"/>
      <c r="BB46" s="491"/>
      <c r="BC46" s="491"/>
      <c r="BD46" s="491"/>
      <c r="BE46" s="491"/>
      <c r="BF46" s="491"/>
      <c r="BG46" s="491"/>
    </row>
    <row r="47" spans="1:59" s="460" customFormat="1" x14ac:dyDescent="0.2">
      <c r="A47" s="468" t="s">
        <v>140</v>
      </c>
      <c r="B47" s="456"/>
      <c r="C47" s="469"/>
      <c r="D47" s="469"/>
      <c r="E47" s="469"/>
      <c r="F47" s="470"/>
      <c r="G47" s="448" t="s">
        <v>352</v>
      </c>
      <c r="H47" s="449"/>
      <c r="I47" s="450">
        <f t="shared" ref="I47:AY47" si="13">I42+I10</f>
        <v>0</v>
      </c>
      <c r="J47" s="450">
        <f t="shared" si="13"/>
        <v>0</v>
      </c>
      <c r="K47" s="450">
        <f t="shared" si="13"/>
        <v>0</v>
      </c>
      <c r="L47" s="450">
        <f t="shared" si="13"/>
        <v>0</v>
      </c>
      <c r="M47" s="450">
        <f t="shared" si="13"/>
        <v>0</v>
      </c>
      <c r="N47" s="450">
        <f t="shared" si="13"/>
        <v>0</v>
      </c>
      <c r="O47" s="450">
        <f t="shared" si="13"/>
        <v>0</v>
      </c>
      <c r="P47" s="450">
        <f t="shared" si="13"/>
        <v>0</v>
      </c>
      <c r="Q47" s="450">
        <f t="shared" si="13"/>
        <v>0</v>
      </c>
      <c r="R47" s="450">
        <f t="shared" si="13"/>
        <v>0</v>
      </c>
      <c r="S47" s="450">
        <f t="shared" si="13"/>
        <v>0</v>
      </c>
      <c r="T47" s="450">
        <f t="shared" si="13"/>
        <v>0</v>
      </c>
      <c r="U47" s="450">
        <f t="shared" si="13"/>
        <v>0</v>
      </c>
      <c r="V47" s="450">
        <f t="shared" si="13"/>
        <v>0</v>
      </c>
      <c r="W47" s="450">
        <f t="shared" si="13"/>
        <v>0</v>
      </c>
      <c r="X47" s="450">
        <f t="shared" si="13"/>
        <v>0</v>
      </c>
      <c r="Y47" s="450">
        <f t="shared" si="13"/>
        <v>0</v>
      </c>
      <c r="Z47" s="450">
        <f t="shared" si="13"/>
        <v>0</v>
      </c>
      <c r="AA47" s="450">
        <f t="shared" si="13"/>
        <v>0</v>
      </c>
      <c r="AB47" s="450">
        <f t="shared" si="13"/>
        <v>0</v>
      </c>
      <c r="AC47" s="450">
        <f t="shared" si="13"/>
        <v>0</v>
      </c>
      <c r="AD47" s="450">
        <f t="shared" si="13"/>
        <v>0</v>
      </c>
      <c r="AE47" s="450">
        <f t="shared" si="13"/>
        <v>0</v>
      </c>
      <c r="AF47" s="450">
        <f t="shared" si="13"/>
        <v>0</v>
      </c>
      <c r="AG47" s="450">
        <f t="shared" si="13"/>
        <v>0</v>
      </c>
      <c r="AH47" s="450">
        <f t="shared" si="13"/>
        <v>0</v>
      </c>
      <c r="AI47" s="450">
        <f t="shared" si="13"/>
        <v>0</v>
      </c>
      <c r="AJ47" s="450">
        <f t="shared" si="13"/>
        <v>0</v>
      </c>
      <c r="AK47" s="450">
        <f t="shared" si="13"/>
        <v>0</v>
      </c>
      <c r="AL47" s="450">
        <f t="shared" si="13"/>
        <v>0</v>
      </c>
      <c r="AM47" s="450">
        <f t="shared" si="13"/>
        <v>0</v>
      </c>
      <c r="AN47" s="450">
        <f t="shared" si="13"/>
        <v>0</v>
      </c>
      <c r="AO47" s="450">
        <f t="shared" si="13"/>
        <v>0</v>
      </c>
      <c r="AP47" s="450">
        <f t="shared" si="13"/>
        <v>0</v>
      </c>
      <c r="AQ47" s="450">
        <f t="shared" si="13"/>
        <v>0</v>
      </c>
      <c r="AR47" s="450">
        <f t="shared" si="13"/>
        <v>0</v>
      </c>
      <c r="AS47" s="450">
        <f t="shared" si="13"/>
        <v>0</v>
      </c>
      <c r="AT47" s="450">
        <f t="shared" si="13"/>
        <v>0</v>
      </c>
      <c r="AU47" s="450">
        <f t="shared" si="13"/>
        <v>0</v>
      </c>
      <c r="AV47" s="450">
        <f t="shared" si="13"/>
        <v>0</v>
      </c>
      <c r="AW47" s="451"/>
      <c r="AX47" s="451"/>
      <c r="AY47" s="450">
        <f t="shared" si="13"/>
        <v>0</v>
      </c>
    </row>
    <row r="48" spans="1:59" s="460" customFormat="1" x14ac:dyDescent="0.2">
      <c r="A48" s="720" t="s">
        <v>245</v>
      </c>
      <c r="B48" s="718"/>
      <c r="C48" s="718"/>
      <c r="D48" s="718"/>
      <c r="E48" s="718"/>
      <c r="F48" s="719"/>
      <c r="G48" s="448"/>
      <c r="H48" s="449"/>
      <c r="I48" s="451"/>
      <c r="J48" s="451"/>
      <c r="K48" s="451"/>
      <c r="L48" s="451"/>
      <c r="M48" s="451"/>
      <c r="N48" s="451"/>
      <c r="O48" s="451"/>
      <c r="P48" s="451"/>
      <c r="Q48" s="451"/>
      <c r="R48" s="451"/>
      <c r="S48" s="451"/>
      <c r="T48" s="451"/>
      <c r="U48" s="451"/>
      <c r="V48" s="451"/>
      <c r="W48" s="451"/>
      <c r="X48" s="451"/>
      <c r="Y48" s="451"/>
      <c r="Z48" s="451"/>
      <c r="AA48" s="451"/>
      <c r="AB48" s="451"/>
      <c r="AC48" s="451"/>
      <c r="AD48" s="451"/>
      <c r="AE48" s="451"/>
      <c r="AF48" s="451"/>
      <c r="AG48" s="451"/>
      <c r="AH48" s="451"/>
      <c r="AI48" s="451"/>
      <c r="AJ48" s="451"/>
      <c r="AK48" s="451"/>
      <c r="AL48" s="451"/>
      <c r="AM48" s="451"/>
      <c r="AN48" s="451"/>
      <c r="AO48" s="451"/>
      <c r="AP48" s="451"/>
      <c r="AQ48" s="451"/>
      <c r="AR48" s="451"/>
      <c r="AS48" s="451"/>
      <c r="AT48" s="451"/>
      <c r="AU48" s="451"/>
      <c r="AV48" s="451"/>
      <c r="AW48" s="451"/>
      <c r="AX48" s="451"/>
      <c r="AY48" s="451"/>
    </row>
    <row r="49" spans="1:51" s="460" customFormat="1" x14ac:dyDescent="0.2">
      <c r="A49" s="471" t="s">
        <v>54</v>
      </c>
      <c r="B49" s="472" t="s">
        <v>101</v>
      </c>
      <c r="C49" s="473"/>
      <c r="D49" s="473"/>
      <c r="E49" s="473"/>
      <c r="F49" s="474"/>
      <c r="G49" s="448" t="s">
        <v>716</v>
      </c>
      <c r="H49" s="449"/>
      <c r="I49" s="458"/>
      <c r="J49" s="458"/>
      <c r="K49" s="458"/>
      <c r="L49" s="458"/>
      <c r="M49" s="458"/>
      <c r="N49" s="458"/>
      <c r="O49" s="458"/>
      <c r="P49" s="458"/>
      <c r="Q49" s="458"/>
      <c r="R49" s="458"/>
      <c r="S49" s="458"/>
      <c r="T49" s="458"/>
      <c r="U49" s="458"/>
      <c r="V49" s="458"/>
      <c r="W49" s="458"/>
      <c r="X49" s="458"/>
      <c r="Y49" s="458"/>
      <c r="Z49" s="458"/>
      <c r="AA49" s="458"/>
      <c r="AB49" s="458"/>
      <c r="AC49" s="458"/>
      <c r="AD49" s="458"/>
      <c r="AE49" s="458"/>
      <c r="AF49" s="458"/>
      <c r="AG49" s="458"/>
      <c r="AH49" s="458"/>
      <c r="AI49" s="458"/>
      <c r="AJ49" s="458"/>
      <c r="AK49" s="458"/>
      <c r="AL49" s="458"/>
      <c r="AM49" s="458"/>
      <c r="AN49" s="458"/>
      <c r="AO49" s="458"/>
      <c r="AP49" s="458"/>
      <c r="AQ49" s="458"/>
      <c r="AR49" s="458"/>
      <c r="AS49" s="458"/>
      <c r="AT49" s="458"/>
      <c r="AU49" s="458"/>
      <c r="AV49" s="458"/>
      <c r="AW49" s="451"/>
      <c r="AX49" s="451"/>
      <c r="AY49" s="450">
        <f t="shared" ref="AY49:AY54" si="14">J49+L49+N49+P49+R49+T49+V49+X49+Z49+AB49+AD49+AF49+AH49+AJ49+AL49+AN49+AP49+AR49+AT49+AV49+AX49</f>
        <v>0</v>
      </c>
    </row>
    <row r="50" spans="1:51" s="460" customFormat="1" x14ac:dyDescent="0.2">
      <c r="A50" s="471" t="s">
        <v>55</v>
      </c>
      <c r="B50" s="467" t="s">
        <v>1475</v>
      </c>
      <c r="C50" s="625"/>
      <c r="D50" s="467"/>
      <c r="E50" s="625"/>
      <c r="F50" s="626"/>
      <c r="G50" s="448" t="s">
        <v>717</v>
      </c>
      <c r="H50" s="449"/>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8"/>
      <c r="AI50" s="458"/>
      <c r="AJ50" s="458"/>
      <c r="AK50" s="458"/>
      <c r="AL50" s="458"/>
      <c r="AM50" s="458"/>
      <c r="AN50" s="458"/>
      <c r="AO50" s="458"/>
      <c r="AP50" s="458"/>
      <c r="AQ50" s="458"/>
      <c r="AR50" s="458"/>
      <c r="AS50" s="458"/>
      <c r="AT50" s="458"/>
      <c r="AU50" s="458"/>
      <c r="AV50" s="458"/>
      <c r="AW50" s="451"/>
      <c r="AX50" s="451"/>
      <c r="AY50" s="450">
        <f t="shared" si="14"/>
        <v>0</v>
      </c>
    </row>
    <row r="51" spans="1:51" s="460" customFormat="1" x14ac:dyDescent="0.2">
      <c r="A51" s="471" t="s">
        <v>65</v>
      </c>
      <c r="B51" s="604" t="s">
        <v>1472</v>
      </c>
      <c r="C51" s="625"/>
      <c r="D51" s="467"/>
      <c r="E51" s="625"/>
      <c r="F51" s="626"/>
      <c r="G51" s="448" t="s">
        <v>718</v>
      </c>
      <c r="H51" s="449"/>
      <c r="I51" s="458"/>
      <c r="J51" s="458"/>
      <c r="K51" s="458"/>
      <c r="L51" s="458"/>
      <c r="M51" s="458"/>
      <c r="N51" s="458"/>
      <c r="O51" s="458"/>
      <c r="P51" s="458"/>
      <c r="Q51" s="458"/>
      <c r="R51" s="458"/>
      <c r="S51" s="458"/>
      <c r="T51" s="458"/>
      <c r="U51" s="458"/>
      <c r="V51" s="458"/>
      <c r="W51" s="458"/>
      <c r="X51" s="458"/>
      <c r="Y51" s="458"/>
      <c r="Z51" s="458"/>
      <c r="AA51" s="458"/>
      <c r="AB51" s="458"/>
      <c r="AC51" s="458"/>
      <c r="AD51" s="458"/>
      <c r="AE51" s="458"/>
      <c r="AF51" s="458"/>
      <c r="AG51" s="458"/>
      <c r="AH51" s="458"/>
      <c r="AI51" s="458"/>
      <c r="AJ51" s="458"/>
      <c r="AK51" s="458"/>
      <c r="AL51" s="458"/>
      <c r="AM51" s="458"/>
      <c r="AN51" s="458"/>
      <c r="AO51" s="458"/>
      <c r="AP51" s="458"/>
      <c r="AQ51" s="458"/>
      <c r="AR51" s="458"/>
      <c r="AS51" s="458"/>
      <c r="AT51" s="458"/>
      <c r="AU51" s="458"/>
      <c r="AV51" s="458"/>
      <c r="AW51" s="451"/>
      <c r="AX51" s="451"/>
      <c r="AY51" s="450">
        <f t="shared" si="14"/>
        <v>0</v>
      </c>
    </row>
    <row r="52" spans="1:51" s="460" customFormat="1" x14ac:dyDescent="0.2">
      <c r="A52" s="471" t="s">
        <v>90</v>
      </c>
      <c r="B52" s="721" t="s">
        <v>1473</v>
      </c>
      <c r="C52" s="721"/>
      <c r="D52" s="721"/>
      <c r="E52" s="721"/>
      <c r="F52" s="722"/>
      <c r="G52" s="448" t="s">
        <v>719</v>
      </c>
      <c r="H52" s="449"/>
      <c r="I52" s="458"/>
      <c r="J52" s="458"/>
      <c r="K52" s="458"/>
      <c r="L52" s="458"/>
      <c r="M52" s="458"/>
      <c r="N52" s="458"/>
      <c r="O52" s="458"/>
      <c r="P52" s="458"/>
      <c r="Q52" s="458"/>
      <c r="R52" s="458"/>
      <c r="S52" s="458"/>
      <c r="T52" s="458"/>
      <c r="U52" s="458"/>
      <c r="V52" s="458"/>
      <c r="W52" s="458"/>
      <c r="X52" s="458"/>
      <c r="Y52" s="458"/>
      <c r="Z52" s="458"/>
      <c r="AA52" s="458"/>
      <c r="AB52" s="458"/>
      <c r="AC52" s="458"/>
      <c r="AD52" s="458"/>
      <c r="AE52" s="458"/>
      <c r="AF52" s="458"/>
      <c r="AG52" s="458"/>
      <c r="AH52" s="458"/>
      <c r="AI52" s="458"/>
      <c r="AJ52" s="458"/>
      <c r="AK52" s="458"/>
      <c r="AL52" s="458"/>
      <c r="AM52" s="458"/>
      <c r="AN52" s="458"/>
      <c r="AO52" s="458"/>
      <c r="AP52" s="458"/>
      <c r="AQ52" s="458"/>
      <c r="AR52" s="458"/>
      <c r="AS52" s="458"/>
      <c r="AT52" s="458"/>
      <c r="AU52" s="458"/>
      <c r="AV52" s="458"/>
      <c r="AW52" s="451"/>
      <c r="AX52" s="451"/>
      <c r="AY52" s="450">
        <f t="shared" si="14"/>
        <v>0</v>
      </c>
    </row>
    <row r="53" spans="1:51" ht="23.25" customHeight="1" x14ac:dyDescent="0.2">
      <c r="A53" s="471" t="s">
        <v>257</v>
      </c>
      <c r="B53" s="714" t="s">
        <v>1449</v>
      </c>
      <c r="C53" s="714"/>
      <c r="D53" s="714"/>
      <c r="E53" s="714"/>
      <c r="F53" s="714"/>
      <c r="G53" s="475" t="s">
        <v>1338</v>
      </c>
      <c r="H53" s="476"/>
      <c r="I53" s="458"/>
      <c r="J53" s="458"/>
      <c r="K53" s="458"/>
      <c r="L53" s="458"/>
      <c r="M53" s="458"/>
      <c r="N53" s="458"/>
      <c r="O53" s="458"/>
      <c r="P53" s="458"/>
      <c r="Q53" s="458"/>
      <c r="R53" s="458"/>
      <c r="S53" s="458"/>
      <c r="T53" s="458"/>
      <c r="U53" s="458"/>
      <c r="V53" s="458"/>
      <c r="W53" s="458"/>
      <c r="X53" s="458"/>
      <c r="Y53" s="458"/>
      <c r="Z53" s="458"/>
      <c r="AA53" s="458"/>
      <c r="AB53" s="458"/>
      <c r="AC53" s="458"/>
      <c r="AD53" s="458"/>
      <c r="AE53" s="458"/>
      <c r="AF53" s="458"/>
      <c r="AG53" s="458"/>
      <c r="AH53" s="458"/>
      <c r="AI53" s="458"/>
      <c r="AJ53" s="458"/>
      <c r="AK53" s="458"/>
      <c r="AL53" s="458"/>
      <c r="AM53" s="458"/>
      <c r="AN53" s="458"/>
      <c r="AO53" s="458"/>
      <c r="AP53" s="458"/>
      <c r="AQ53" s="458"/>
      <c r="AR53" s="458"/>
      <c r="AS53" s="458"/>
      <c r="AT53" s="458"/>
      <c r="AU53" s="458"/>
      <c r="AV53" s="458"/>
      <c r="AW53" s="451"/>
      <c r="AX53" s="451"/>
      <c r="AY53" s="450">
        <f t="shared" si="14"/>
        <v>0</v>
      </c>
    </row>
    <row r="54" spans="1:51" ht="24.75" customHeight="1" x14ac:dyDescent="0.2">
      <c r="A54" s="471" t="s">
        <v>74</v>
      </c>
      <c r="B54" s="714" t="s">
        <v>1450</v>
      </c>
      <c r="C54" s="714"/>
      <c r="D54" s="714"/>
      <c r="E54" s="714"/>
      <c r="F54" s="714"/>
      <c r="G54" s="475" t="s">
        <v>1339</v>
      </c>
      <c r="H54" s="476"/>
      <c r="I54" s="458"/>
      <c r="J54" s="458"/>
      <c r="K54" s="458"/>
      <c r="L54" s="458"/>
      <c r="M54" s="458"/>
      <c r="N54" s="458"/>
      <c r="O54" s="458"/>
      <c r="P54" s="458"/>
      <c r="Q54" s="458"/>
      <c r="R54" s="458"/>
      <c r="S54" s="458"/>
      <c r="T54" s="458"/>
      <c r="U54" s="458"/>
      <c r="V54" s="458"/>
      <c r="W54" s="458"/>
      <c r="X54" s="458"/>
      <c r="Y54" s="458"/>
      <c r="Z54" s="458"/>
      <c r="AA54" s="458"/>
      <c r="AB54" s="458"/>
      <c r="AC54" s="458"/>
      <c r="AD54" s="458"/>
      <c r="AE54" s="458"/>
      <c r="AF54" s="458"/>
      <c r="AG54" s="458"/>
      <c r="AH54" s="458"/>
      <c r="AI54" s="458"/>
      <c r="AJ54" s="458"/>
      <c r="AK54" s="458"/>
      <c r="AL54" s="458"/>
      <c r="AM54" s="458"/>
      <c r="AN54" s="458"/>
      <c r="AO54" s="458"/>
      <c r="AP54" s="458"/>
      <c r="AQ54" s="458"/>
      <c r="AR54" s="458"/>
      <c r="AS54" s="458"/>
      <c r="AT54" s="458"/>
      <c r="AU54" s="458"/>
      <c r="AV54" s="458"/>
      <c r="AW54" s="451"/>
      <c r="AX54" s="451"/>
      <c r="AY54" s="450">
        <f t="shared" si="14"/>
        <v>0</v>
      </c>
    </row>
    <row r="55" spans="1:51" ht="12.75" x14ac:dyDescent="0.25">
      <c r="G55" s="478" t="s">
        <v>108</v>
      </c>
    </row>
    <row r="123" spans="7:51" x14ac:dyDescent="0.2">
      <c r="G123" s="488"/>
      <c r="I123" s="493" t="s">
        <v>212</v>
      </c>
      <c r="J123" s="493" t="s">
        <v>212</v>
      </c>
      <c r="K123" s="488"/>
      <c r="L123" s="488"/>
      <c r="M123" s="488"/>
      <c r="N123" s="488"/>
      <c r="O123" s="488"/>
      <c r="P123" s="488"/>
      <c r="Q123" s="488"/>
      <c r="R123" s="488"/>
      <c r="S123" s="488"/>
      <c r="T123" s="488"/>
      <c r="U123" s="488"/>
      <c r="V123" s="488"/>
      <c r="W123" s="488"/>
      <c r="X123" s="488"/>
      <c r="Y123" s="488"/>
      <c r="Z123" s="488"/>
      <c r="AA123" s="488"/>
      <c r="AB123" s="488"/>
      <c r="AC123" s="488"/>
      <c r="AD123" s="488"/>
      <c r="AE123" s="488"/>
      <c r="AF123" s="488"/>
      <c r="AG123" s="488"/>
      <c r="AH123" s="488"/>
      <c r="AI123" s="488"/>
      <c r="AJ123" s="488"/>
      <c r="AK123" s="488"/>
      <c r="AL123" s="488"/>
      <c r="AM123" s="488"/>
      <c r="AN123" s="488"/>
      <c r="AO123" s="488"/>
      <c r="AP123" s="488"/>
      <c r="AQ123" s="488"/>
      <c r="AR123" s="488"/>
      <c r="AS123" s="488"/>
      <c r="AT123" s="488"/>
      <c r="AU123" s="488"/>
      <c r="AV123" s="488"/>
      <c r="AW123" s="488"/>
      <c r="AX123" s="488"/>
      <c r="AY123" s="489"/>
    </row>
    <row r="124" spans="7:51" x14ac:dyDescent="0.2">
      <c r="G124" s="488"/>
      <c r="I124" s="493"/>
      <c r="J124" s="493"/>
      <c r="K124" s="488"/>
      <c r="L124" s="488"/>
      <c r="M124" s="488"/>
      <c r="N124" s="488"/>
      <c r="O124" s="488"/>
      <c r="P124" s="488"/>
      <c r="Q124" s="488"/>
      <c r="R124" s="488"/>
      <c r="S124" s="488"/>
      <c r="T124" s="488"/>
      <c r="U124" s="488"/>
      <c r="V124" s="488"/>
      <c r="W124" s="488"/>
      <c r="X124" s="488"/>
      <c r="Y124" s="488"/>
      <c r="Z124" s="488"/>
      <c r="AA124" s="488"/>
      <c r="AB124" s="488"/>
      <c r="AC124" s="488"/>
      <c r="AD124" s="488"/>
      <c r="AE124" s="488"/>
      <c r="AF124" s="488"/>
      <c r="AG124" s="488"/>
      <c r="AH124" s="488"/>
      <c r="AI124" s="488"/>
      <c r="AJ124" s="488"/>
      <c r="AK124" s="488"/>
      <c r="AL124" s="488"/>
      <c r="AM124" s="488"/>
      <c r="AN124" s="488"/>
      <c r="AO124" s="488"/>
      <c r="AP124" s="488"/>
      <c r="AQ124" s="488"/>
      <c r="AR124" s="488"/>
      <c r="AS124" s="488"/>
      <c r="AT124" s="488"/>
      <c r="AU124" s="488"/>
      <c r="AV124" s="488"/>
      <c r="AW124" s="488"/>
      <c r="AX124" s="488"/>
      <c r="AY124" s="489"/>
    </row>
    <row r="125" spans="7:51" x14ac:dyDescent="0.2">
      <c r="G125" s="488"/>
      <c r="I125" s="493"/>
      <c r="J125" s="493"/>
      <c r="K125" s="488"/>
      <c r="L125" s="488"/>
      <c r="M125" s="488"/>
      <c r="N125" s="488"/>
      <c r="O125" s="488"/>
      <c r="P125" s="488"/>
      <c r="Q125" s="488"/>
      <c r="R125" s="488"/>
      <c r="S125" s="488"/>
      <c r="T125" s="488"/>
      <c r="U125" s="488"/>
      <c r="V125" s="488"/>
      <c r="W125" s="488"/>
      <c r="X125" s="488"/>
      <c r="Y125" s="488"/>
      <c r="Z125" s="488"/>
      <c r="AA125" s="488"/>
      <c r="AB125" s="488"/>
      <c r="AC125" s="488"/>
      <c r="AD125" s="488"/>
      <c r="AE125" s="488"/>
      <c r="AF125" s="488"/>
      <c r="AG125" s="488"/>
      <c r="AH125" s="488"/>
      <c r="AI125" s="488"/>
      <c r="AJ125" s="488"/>
      <c r="AK125" s="488"/>
      <c r="AL125" s="488"/>
      <c r="AM125" s="488"/>
      <c r="AN125" s="488"/>
      <c r="AO125" s="488"/>
      <c r="AP125" s="488"/>
      <c r="AQ125" s="488"/>
      <c r="AR125" s="488"/>
      <c r="AS125" s="488"/>
      <c r="AT125" s="488"/>
      <c r="AU125" s="488"/>
      <c r="AV125" s="488"/>
      <c r="AW125" s="488"/>
      <c r="AX125" s="488"/>
      <c r="AY125" s="489"/>
    </row>
    <row r="126" spans="7:51" x14ac:dyDescent="0.2">
      <c r="G126" s="488"/>
      <c r="I126" s="493" t="s">
        <v>212</v>
      </c>
      <c r="J126" s="493" t="s">
        <v>212</v>
      </c>
      <c r="K126" s="488"/>
      <c r="L126" s="488"/>
      <c r="M126" s="488"/>
      <c r="N126" s="488"/>
      <c r="O126" s="488"/>
      <c r="P126" s="488"/>
      <c r="Q126" s="488"/>
      <c r="R126" s="488"/>
      <c r="S126" s="488"/>
      <c r="T126" s="488"/>
      <c r="U126" s="488"/>
      <c r="V126" s="488"/>
      <c r="W126" s="488"/>
      <c r="X126" s="488"/>
      <c r="Y126" s="488"/>
      <c r="Z126" s="488"/>
      <c r="AA126" s="488"/>
      <c r="AB126" s="488"/>
      <c r="AC126" s="488"/>
      <c r="AD126" s="488"/>
      <c r="AE126" s="488"/>
      <c r="AF126" s="488"/>
      <c r="AG126" s="488"/>
      <c r="AH126" s="488"/>
      <c r="AI126" s="488"/>
      <c r="AJ126" s="488"/>
      <c r="AK126" s="488"/>
      <c r="AL126" s="488"/>
      <c r="AM126" s="488"/>
      <c r="AN126" s="488"/>
      <c r="AO126" s="488"/>
      <c r="AP126" s="488"/>
      <c r="AQ126" s="488"/>
      <c r="AR126" s="488"/>
      <c r="AS126" s="488"/>
      <c r="AT126" s="488"/>
      <c r="AU126" s="488"/>
      <c r="AV126" s="488"/>
      <c r="AW126" s="488"/>
      <c r="AX126" s="488"/>
      <c r="AY126" s="489"/>
    </row>
  </sheetData>
  <sheetProtection password="F6FA" sheet="1" objects="1" scenarios="1" selectLockedCells="1"/>
  <mergeCells count="58">
    <mergeCell ref="A5:E7"/>
    <mergeCell ref="F5:F7"/>
    <mergeCell ref="G5:G9"/>
    <mergeCell ref="I5:J8"/>
    <mergeCell ref="K5:L8"/>
    <mergeCell ref="M5:N8"/>
    <mergeCell ref="O5:P8"/>
    <mergeCell ref="Q5:R8"/>
    <mergeCell ref="S5:T8"/>
    <mergeCell ref="U5:V8"/>
    <mergeCell ref="W5:X8"/>
    <mergeCell ref="Y5:Z8"/>
    <mergeCell ref="AU5:AV8"/>
    <mergeCell ref="AW5:AX8"/>
    <mergeCell ref="AA5:AB8"/>
    <mergeCell ref="AC5:AD8"/>
    <mergeCell ref="AE5:AF8"/>
    <mergeCell ref="AG5:AH8"/>
    <mergeCell ref="AI5:AJ8"/>
    <mergeCell ref="AK5:AL8"/>
    <mergeCell ref="AY5:AY9"/>
    <mergeCell ref="A8:E9"/>
    <mergeCell ref="F8:F9"/>
    <mergeCell ref="A10:F10"/>
    <mergeCell ref="B12:F12"/>
    <mergeCell ref="C13:F13"/>
    <mergeCell ref="AM5:AN8"/>
    <mergeCell ref="AO5:AP8"/>
    <mergeCell ref="AQ5:AR8"/>
    <mergeCell ref="AS5:AT8"/>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dataValidations count="3">
    <dataValidation type="decimal" operator="greaterThanOrEqual" allowBlank="1" showInputMessage="1" showErrorMessage="1" sqref="I18:AB18 AO23:AT24 I26:AJ27 I31:AB31 I33:N33 I49:AV54 AM33:AV33 AM31:AT31 AE31:AJ31 AE33:AJ33 AE32:AF32 Q33:AB33 AM26:AT27 AE23:AJ24 AK13:AP14 M20:V21 Y20:AL21 AE18:AT18 I20:J21 I23:AB24 AC17:AD17 AC30:AD30 AK16:AL16 AE28:AF28">
      <formula1>0</formula1>
    </dataValidation>
    <dataValidation type="decimal" allowBlank="1" showInputMessage="1" showErrorMessage="1" error="Invalid data is entered!" sqref="AM25:AP25 I25:AJ25 I29:AJ29 AM29:AP29 AE22:AJ22 Y19:AL19 AO22:AT22 M19:V19 I19:J19 I12:AP12 I22:AB22 I15:AP15">
      <formula1>0</formula1>
      <formula2>99999999999999900</formula2>
    </dataValidation>
    <dataValidation type="decimal" allowBlank="1" showErrorMessage="1" errorTitle="Error" error="Entry Must be Decimal" sqref="AY43:AY46 AY36 AY38:AY41">
      <formula1>-99999999999999900000</formula1>
      <formula2>99999999999999900000</formula2>
    </dataValidation>
  </dataValidations>
  <printOptions horizontalCentered="1"/>
  <pageMargins left="0.25" right="0.25" top="1" bottom="0.5" header="0.6" footer="0.56999999999999995"/>
  <pageSetup paperSize="9" orientation="landscape" horizontalDpi="360" verticalDpi="360" r:id="rId1"/>
  <headerFooter alignWithMargins="0">
    <oddHeader>&amp;R&amp;"Arial,Bold"&amp;9&amp;USchedule 11d2&amp;8&amp;U
&amp;P of &amp;N&amp;C&amp;"Arial,Bold"&amp;8 NEW RURAL BANK OF SAN LEONARDO, INC  [ 04-040656 ]
 As of: September 30, 2017</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G126"/>
  <sheetViews>
    <sheetView zoomScale="85" zoomScaleNormal="85" zoomScaleSheetLayoutView="80" workbookViewId="0">
      <pane xSplit="6" ySplit="9" topLeftCell="AK10" activePane="bottomRight" state="frozen"/>
      <selection pane="topRight" activeCell="G1" sqref="G1"/>
      <selection pane="bottomLeft" activeCell="A10" sqref="A10"/>
      <selection pane="bottomRight" activeCell="AK13" sqref="AK13"/>
    </sheetView>
  </sheetViews>
  <sheetFormatPr defaultRowHeight="12.75" x14ac:dyDescent="0.2"/>
  <cols>
    <col min="1" max="1" width="2.42578125" style="442" customWidth="1"/>
    <col min="2" max="2" width="2.28515625" style="442" customWidth="1"/>
    <col min="3" max="3" width="3.5703125" style="442" customWidth="1"/>
    <col min="4" max="4" width="2.7109375" style="442" customWidth="1"/>
    <col min="5" max="5" width="12" style="442" customWidth="1"/>
    <col min="6" max="6" width="24.42578125" style="442" customWidth="1"/>
    <col min="7" max="7" width="17.140625" style="480" customWidth="1"/>
    <col min="8" max="8" width="20.5703125" style="442" hidden="1" customWidth="1"/>
    <col min="9" max="51" width="25.7109375" style="479" customWidth="1"/>
    <col min="52" max="16384" width="9.140625" style="442"/>
  </cols>
  <sheetData>
    <row r="2" spans="1:51" s="439" customFormat="1" x14ac:dyDescent="0.2">
      <c r="A2" s="437" t="s">
        <v>709</v>
      </c>
      <c r="B2" s="437"/>
      <c r="C2" s="437"/>
      <c r="D2" s="437"/>
      <c r="E2" s="437"/>
      <c r="F2" s="437"/>
      <c r="G2" s="437"/>
      <c r="H2" s="437"/>
      <c r="I2" s="437"/>
      <c r="J2" s="437"/>
      <c r="K2" s="437"/>
      <c r="L2" s="437"/>
      <c r="M2" s="437"/>
      <c r="N2" s="437"/>
      <c r="O2" s="437"/>
      <c r="P2" s="437"/>
      <c r="Q2" s="437"/>
      <c r="R2" s="437"/>
      <c r="S2" s="437"/>
      <c r="T2" s="437"/>
      <c r="U2" s="437"/>
      <c r="V2" s="437"/>
      <c r="W2" s="437"/>
      <c r="X2" s="437"/>
      <c r="Y2" s="437"/>
      <c r="Z2" s="437"/>
      <c r="AA2" s="437"/>
      <c r="AB2" s="437"/>
      <c r="AC2" s="437"/>
      <c r="AD2" s="437"/>
      <c r="AE2" s="437"/>
      <c r="AF2" s="437"/>
      <c r="AG2" s="437"/>
      <c r="AH2" s="437"/>
      <c r="AI2" s="437"/>
      <c r="AJ2" s="437"/>
      <c r="AK2" s="437"/>
      <c r="AL2" s="437"/>
      <c r="AM2" s="437"/>
      <c r="AN2" s="437"/>
      <c r="AO2" s="437"/>
      <c r="AP2" s="437"/>
      <c r="AQ2" s="437"/>
      <c r="AR2" s="437"/>
      <c r="AS2" s="437"/>
      <c r="AT2" s="437"/>
      <c r="AU2" s="437"/>
      <c r="AV2" s="437"/>
      <c r="AW2" s="437"/>
      <c r="AX2" s="437"/>
      <c r="AY2" s="482"/>
    </row>
    <row r="3" spans="1:51" s="439" customFormat="1" x14ac:dyDescent="0.2">
      <c r="A3" s="437" t="s">
        <v>53</v>
      </c>
      <c r="B3" s="437"/>
      <c r="C3" s="437"/>
      <c r="D3" s="437"/>
      <c r="E3" s="437"/>
      <c r="F3" s="437"/>
      <c r="G3" s="437"/>
      <c r="H3" s="437"/>
      <c r="I3" s="437"/>
      <c r="J3" s="437"/>
      <c r="K3" s="437"/>
      <c r="L3" s="437"/>
      <c r="M3" s="437"/>
      <c r="N3" s="437"/>
      <c r="O3" s="437"/>
      <c r="P3" s="437"/>
      <c r="Q3" s="437"/>
      <c r="R3" s="437"/>
      <c r="S3" s="437"/>
      <c r="T3" s="437"/>
      <c r="U3" s="437"/>
      <c r="V3" s="437"/>
      <c r="W3" s="437"/>
      <c r="X3" s="437"/>
      <c r="Y3" s="437"/>
      <c r="Z3" s="437"/>
      <c r="AA3" s="437"/>
      <c r="AB3" s="437"/>
      <c r="AC3" s="437"/>
      <c r="AD3" s="437"/>
      <c r="AE3" s="437"/>
      <c r="AF3" s="437"/>
      <c r="AG3" s="437"/>
      <c r="AH3" s="437"/>
      <c r="AI3" s="437"/>
      <c r="AJ3" s="437"/>
      <c r="AK3" s="437"/>
      <c r="AL3" s="437"/>
      <c r="AM3" s="437"/>
      <c r="AN3" s="437"/>
      <c r="AO3" s="437"/>
      <c r="AP3" s="437"/>
      <c r="AQ3" s="437"/>
      <c r="AR3" s="437"/>
      <c r="AS3" s="437"/>
      <c r="AT3" s="437"/>
      <c r="AU3" s="437"/>
      <c r="AV3" s="437"/>
      <c r="AW3" s="437"/>
      <c r="AX3" s="437"/>
      <c r="AY3" s="482"/>
    </row>
    <row r="4" spans="1:51" ht="12.75" customHeight="1" x14ac:dyDescent="0.2">
      <c r="A4" s="440"/>
      <c r="B4" s="440"/>
      <c r="C4" s="440"/>
      <c r="D4" s="440"/>
      <c r="E4" s="440"/>
      <c r="F4" s="440"/>
      <c r="G4" s="440"/>
      <c r="H4" s="440"/>
      <c r="I4" s="441"/>
      <c r="J4" s="441"/>
      <c r="K4" s="441"/>
      <c r="L4" s="441"/>
      <c r="M4" s="441"/>
      <c r="N4" s="441"/>
      <c r="O4" s="441"/>
      <c r="P4" s="441"/>
      <c r="Q4" s="441"/>
      <c r="R4" s="441"/>
      <c r="S4" s="441"/>
      <c r="T4" s="441"/>
      <c r="U4" s="441"/>
      <c r="V4" s="441"/>
      <c r="W4" s="441"/>
      <c r="X4" s="441"/>
      <c r="Y4" s="441"/>
      <c r="Z4" s="441"/>
      <c r="AA4" s="441"/>
      <c r="AB4" s="441"/>
      <c r="AC4" s="441"/>
      <c r="AD4" s="441"/>
      <c r="AE4" s="441"/>
      <c r="AF4" s="441"/>
      <c r="AG4" s="441"/>
      <c r="AH4" s="441"/>
      <c r="AI4" s="441"/>
      <c r="AJ4" s="441"/>
      <c r="AK4" s="441"/>
      <c r="AL4" s="441"/>
      <c r="AM4" s="441"/>
      <c r="AN4" s="441"/>
      <c r="AO4" s="441"/>
      <c r="AP4" s="441"/>
      <c r="AQ4" s="441"/>
      <c r="AR4" s="441"/>
      <c r="AS4" s="441"/>
      <c r="AT4" s="441"/>
      <c r="AU4" s="441"/>
      <c r="AV4" s="441"/>
      <c r="AW4" s="441"/>
      <c r="AX4" s="441"/>
      <c r="AY4" s="441"/>
    </row>
    <row r="5" spans="1:51" s="444" customFormat="1" ht="12.75" customHeight="1" x14ac:dyDescent="0.2">
      <c r="A5" s="739"/>
      <c r="B5" s="740"/>
      <c r="C5" s="740"/>
      <c r="D5" s="740"/>
      <c r="E5" s="740"/>
      <c r="F5" s="743" t="s">
        <v>710</v>
      </c>
      <c r="G5" s="745" t="s">
        <v>46</v>
      </c>
      <c r="H5" s="443"/>
      <c r="I5" s="749" t="s">
        <v>1320</v>
      </c>
      <c r="J5" s="749"/>
      <c r="K5" s="749" t="s">
        <v>380</v>
      </c>
      <c r="L5" s="749"/>
      <c r="M5" s="749" t="s">
        <v>381</v>
      </c>
      <c r="N5" s="749"/>
      <c r="O5" s="749" t="s">
        <v>1321</v>
      </c>
      <c r="P5" s="749"/>
      <c r="Q5" s="749" t="s">
        <v>1322</v>
      </c>
      <c r="R5" s="749"/>
      <c r="S5" s="749" t="s">
        <v>382</v>
      </c>
      <c r="T5" s="749"/>
      <c r="U5" s="749" t="s">
        <v>1340</v>
      </c>
      <c r="V5" s="749"/>
      <c r="W5" s="749" t="s">
        <v>1324</v>
      </c>
      <c r="X5" s="749"/>
      <c r="Y5" s="746" t="s">
        <v>1325</v>
      </c>
      <c r="Z5" s="755"/>
      <c r="AA5" s="746" t="s">
        <v>1326</v>
      </c>
      <c r="AB5" s="755"/>
      <c r="AC5" s="746" t="s">
        <v>1327</v>
      </c>
      <c r="AD5" s="755"/>
      <c r="AE5" s="746" t="s">
        <v>1328</v>
      </c>
      <c r="AF5" s="755"/>
      <c r="AG5" s="746" t="s">
        <v>1329</v>
      </c>
      <c r="AH5" s="755"/>
      <c r="AI5" s="746" t="s">
        <v>1341</v>
      </c>
      <c r="AJ5" s="755"/>
      <c r="AK5" s="746" t="s">
        <v>1331</v>
      </c>
      <c r="AL5" s="755"/>
      <c r="AM5" s="746" t="s">
        <v>383</v>
      </c>
      <c r="AN5" s="755"/>
      <c r="AO5" s="746" t="s">
        <v>1332</v>
      </c>
      <c r="AP5" s="755"/>
      <c r="AQ5" s="746" t="s">
        <v>1333</v>
      </c>
      <c r="AR5" s="755"/>
      <c r="AS5" s="746" t="s">
        <v>1334</v>
      </c>
      <c r="AT5" s="755"/>
      <c r="AU5" s="746" t="s">
        <v>1342</v>
      </c>
      <c r="AV5" s="755"/>
      <c r="AW5" s="749" t="s">
        <v>1336</v>
      </c>
      <c r="AX5" s="749"/>
      <c r="AY5" s="749" t="s">
        <v>144</v>
      </c>
    </row>
    <row r="6" spans="1:51" s="444" customFormat="1" x14ac:dyDescent="0.2">
      <c r="A6" s="741"/>
      <c r="B6" s="742"/>
      <c r="C6" s="742"/>
      <c r="D6" s="742"/>
      <c r="E6" s="742"/>
      <c r="F6" s="744"/>
      <c r="G6" s="745"/>
      <c r="H6" s="443"/>
      <c r="I6" s="749"/>
      <c r="J6" s="749"/>
      <c r="K6" s="749"/>
      <c r="L6" s="749"/>
      <c r="M6" s="749"/>
      <c r="N6" s="749"/>
      <c r="O6" s="749"/>
      <c r="P6" s="749"/>
      <c r="Q6" s="749"/>
      <c r="R6" s="749"/>
      <c r="S6" s="749"/>
      <c r="T6" s="749"/>
      <c r="U6" s="749"/>
      <c r="V6" s="749"/>
      <c r="W6" s="749"/>
      <c r="X6" s="749"/>
      <c r="Y6" s="756"/>
      <c r="Z6" s="757"/>
      <c r="AA6" s="756"/>
      <c r="AB6" s="757"/>
      <c r="AC6" s="756"/>
      <c r="AD6" s="757"/>
      <c r="AE6" s="756"/>
      <c r="AF6" s="757"/>
      <c r="AG6" s="756"/>
      <c r="AH6" s="757"/>
      <c r="AI6" s="756"/>
      <c r="AJ6" s="757"/>
      <c r="AK6" s="756"/>
      <c r="AL6" s="757"/>
      <c r="AM6" s="756"/>
      <c r="AN6" s="757"/>
      <c r="AO6" s="756"/>
      <c r="AP6" s="757"/>
      <c r="AQ6" s="756"/>
      <c r="AR6" s="757"/>
      <c r="AS6" s="756"/>
      <c r="AT6" s="757"/>
      <c r="AU6" s="756"/>
      <c r="AV6" s="757"/>
      <c r="AW6" s="749"/>
      <c r="AX6" s="749"/>
      <c r="AY6" s="750"/>
    </row>
    <row r="7" spans="1:51" s="444" customFormat="1" ht="27.75" customHeight="1" x14ac:dyDescent="0.2">
      <c r="A7" s="741"/>
      <c r="B7" s="742"/>
      <c r="C7" s="742"/>
      <c r="D7" s="742"/>
      <c r="E7" s="742"/>
      <c r="F7" s="744"/>
      <c r="G7" s="745"/>
      <c r="H7" s="443"/>
      <c r="I7" s="749"/>
      <c r="J7" s="749"/>
      <c r="K7" s="749"/>
      <c r="L7" s="749"/>
      <c r="M7" s="749"/>
      <c r="N7" s="749"/>
      <c r="O7" s="749"/>
      <c r="P7" s="749"/>
      <c r="Q7" s="749"/>
      <c r="R7" s="749"/>
      <c r="S7" s="749"/>
      <c r="T7" s="749"/>
      <c r="U7" s="749"/>
      <c r="V7" s="749"/>
      <c r="W7" s="749"/>
      <c r="X7" s="749"/>
      <c r="Y7" s="756"/>
      <c r="Z7" s="757"/>
      <c r="AA7" s="756"/>
      <c r="AB7" s="757"/>
      <c r="AC7" s="756"/>
      <c r="AD7" s="757"/>
      <c r="AE7" s="756"/>
      <c r="AF7" s="757"/>
      <c r="AG7" s="756"/>
      <c r="AH7" s="757"/>
      <c r="AI7" s="756"/>
      <c r="AJ7" s="757"/>
      <c r="AK7" s="756"/>
      <c r="AL7" s="757"/>
      <c r="AM7" s="756"/>
      <c r="AN7" s="757"/>
      <c r="AO7" s="756"/>
      <c r="AP7" s="757"/>
      <c r="AQ7" s="756"/>
      <c r="AR7" s="757"/>
      <c r="AS7" s="756"/>
      <c r="AT7" s="757"/>
      <c r="AU7" s="756"/>
      <c r="AV7" s="757"/>
      <c r="AW7" s="749"/>
      <c r="AX7" s="749"/>
      <c r="AY7" s="750"/>
    </row>
    <row r="8" spans="1:51" s="444" customFormat="1" ht="19.5" customHeight="1" x14ac:dyDescent="0.2">
      <c r="A8" s="751" t="s">
        <v>711</v>
      </c>
      <c r="B8" s="752"/>
      <c r="C8" s="752"/>
      <c r="D8" s="752"/>
      <c r="E8" s="752"/>
      <c r="F8" s="733"/>
      <c r="G8" s="745"/>
      <c r="H8" s="443"/>
      <c r="I8" s="749"/>
      <c r="J8" s="749"/>
      <c r="K8" s="749"/>
      <c r="L8" s="749"/>
      <c r="M8" s="749"/>
      <c r="N8" s="749"/>
      <c r="O8" s="749"/>
      <c r="P8" s="749"/>
      <c r="Q8" s="749"/>
      <c r="R8" s="749"/>
      <c r="S8" s="749"/>
      <c r="T8" s="749"/>
      <c r="U8" s="749"/>
      <c r="V8" s="749"/>
      <c r="W8" s="749"/>
      <c r="X8" s="749"/>
      <c r="Y8" s="758"/>
      <c r="Z8" s="759"/>
      <c r="AA8" s="758"/>
      <c r="AB8" s="759"/>
      <c r="AC8" s="758"/>
      <c r="AD8" s="759"/>
      <c r="AE8" s="758"/>
      <c r="AF8" s="759"/>
      <c r="AG8" s="758"/>
      <c r="AH8" s="759"/>
      <c r="AI8" s="758"/>
      <c r="AJ8" s="759"/>
      <c r="AK8" s="758"/>
      <c r="AL8" s="759"/>
      <c r="AM8" s="758"/>
      <c r="AN8" s="759"/>
      <c r="AO8" s="758"/>
      <c r="AP8" s="759"/>
      <c r="AQ8" s="758"/>
      <c r="AR8" s="759"/>
      <c r="AS8" s="758"/>
      <c r="AT8" s="759"/>
      <c r="AU8" s="758"/>
      <c r="AV8" s="759"/>
      <c r="AW8" s="749"/>
      <c r="AX8" s="749"/>
      <c r="AY8" s="750"/>
    </row>
    <row r="9" spans="1:51" s="446" customFormat="1" ht="22.5" x14ac:dyDescent="0.2">
      <c r="A9" s="753"/>
      <c r="B9" s="754"/>
      <c r="C9" s="754"/>
      <c r="D9" s="754"/>
      <c r="E9" s="754"/>
      <c r="F9" s="734"/>
      <c r="G9" s="745"/>
      <c r="H9" s="445"/>
      <c r="I9" s="490" t="s">
        <v>1343</v>
      </c>
      <c r="J9" s="490" t="s">
        <v>1344</v>
      </c>
      <c r="K9" s="490" t="s">
        <v>1343</v>
      </c>
      <c r="L9" s="490" t="s">
        <v>1344</v>
      </c>
      <c r="M9" s="490" t="s">
        <v>1343</v>
      </c>
      <c r="N9" s="490" t="s">
        <v>1344</v>
      </c>
      <c r="O9" s="490" t="s">
        <v>1343</v>
      </c>
      <c r="P9" s="490" t="s">
        <v>1344</v>
      </c>
      <c r="Q9" s="490" t="s">
        <v>1343</v>
      </c>
      <c r="R9" s="490" t="s">
        <v>1344</v>
      </c>
      <c r="S9" s="490" t="s">
        <v>1343</v>
      </c>
      <c r="T9" s="490" t="s">
        <v>1344</v>
      </c>
      <c r="U9" s="490" t="s">
        <v>1343</v>
      </c>
      <c r="V9" s="490" t="s">
        <v>1344</v>
      </c>
      <c r="W9" s="490" t="s">
        <v>1343</v>
      </c>
      <c r="X9" s="490" t="s">
        <v>1344</v>
      </c>
      <c r="Y9" s="490" t="s">
        <v>1343</v>
      </c>
      <c r="Z9" s="490" t="s">
        <v>1344</v>
      </c>
      <c r="AA9" s="490" t="s">
        <v>1343</v>
      </c>
      <c r="AB9" s="490" t="s">
        <v>1344</v>
      </c>
      <c r="AC9" s="490" t="s">
        <v>1343</v>
      </c>
      <c r="AD9" s="490" t="s">
        <v>1344</v>
      </c>
      <c r="AE9" s="490" t="s">
        <v>1343</v>
      </c>
      <c r="AF9" s="490" t="s">
        <v>1344</v>
      </c>
      <c r="AG9" s="490" t="s">
        <v>1343</v>
      </c>
      <c r="AH9" s="490" t="s">
        <v>1344</v>
      </c>
      <c r="AI9" s="490" t="s">
        <v>1343</v>
      </c>
      <c r="AJ9" s="490" t="s">
        <v>1344</v>
      </c>
      <c r="AK9" s="490" t="s">
        <v>1343</v>
      </c>
      <c r="AL9" s="490" t="s">
        <v>1344</v>
      </c>
      <c r="AM9" s="490" t="s">
        <v>1343</v>
      </c>
      <c r="AN9" s="490" t="s">
        <v>1344</v>
      </c>
      <c r="AO9" s="490" t="s">
        <v>1343</v>
      </c>
      <c r="AP9" s="490" t="s">
        <v>1344</v>
      </c>
      <c r="AQ9" s="490" t="s">
        <v>1343</v>
      </c>
      <c r="AR9" s="490" t="s">
        <v>1344</v>
      </c>
      <c r="AS9" s="490" t="s">
        <v>1343</v>
      </c>
      <c r="AT9" s="490" t="s">
        <v>1344</v>
      </c>
      <c r="AU9" s="490" t="s">
        <v>1343</v>
      </c>
      <c r="AV9" s="490" t="s">
        <v>1344</v>
      </c>
      <c r="AW9" s="490" t="s">
        <v>1343</v>
      </c>
      <c r="AX9" s="490" t="s">
        <v>51</v>
      </c>
      <c r="AY9" s="750"/>
    </row>
    <row r="10" spans="1:51" s="452" customFormat="1" x14ac:dyDescent="0.2">
      <c r="A10" s="725" t="s">
        <v>57</v>
      </c>
      <c r="B10" s="718"/>
      <c r="C10" s="718"/>
      <c r="D10" s="718"/>
      <c r="E10" s="718"/>
      <c r="F10" s="719"/>
      <c r="G10" s="448" t="s">
        <v>323</v>
      </c>
      <c r="H10" s="449"/>
      <c r="I10" s="450">
        <f t="shared" ref="I10:AV10" si="0">I11+I34</f>
        <v>0</v>
      </c>
      <c r="J10" s="450">
        <f t="shared" si="0"/>
        <v>0</v>
      </c>
      <c r="K10" s="450">
        <f t="shared" si="0"/>
        <v>0</v>
      </c>
      <c r="L10" s="450">
        <f t="shared" si="0"/>
        <v>0</v>
      </c>
      <c r="M10" s="450">
        <f t="shared" si="0"/>
        <v>0</v>
      </c>
      <c r="N10" s="450">
        <f t="shared" si="0"/>
        <v>0</v>
      </c>
      <c r="O10" s="450">
        <f t="shared" si="0"/>
        <v>0</v>
      </c>
      <c r="P10" s="450">
        <f t="shared" si="0"/>
        <v>0</v>
      </c>
      <c r="Q10" s="450">
        <f t="shared" si="0"/>
        <v>0</v>
      </c>
      <c r="R10" s="450">
        <f t="shared" si="0"/>
        <v>0</v>
      </c>
      <c r="S10" s="450">
        <f t="shared" si="0"/>
        <v>0</v>
      </c>
      <c r="T10" s="450">
        <f t="shared" si="0"/>
        <v>0</v>
      </c>
      <c r="U10" s="450">
        <f t="shared" si="0"/>
        <v>0</v>
      </c>
      <c r="V10" s="450">
        <f t="shared" si="0"/>
        <v>0</v>
      </c>
      <c r="W10" s="450">
        <f t="shared" si="0"/>
        <v>0</v>
      </c>
      <c r="X10" s="450">
        <f t="shared" si="0"/>
        <v>0</v>
      </c>
      <c r="Y10" s="450">
        <f t="shared" si="0"/>
        <v>0</v>
      </c>
      <c r="Z10" s="450">
        <f t="shared" si="0"/>
        <v>0</v>
      </c>
      <c r="AA10" s="450">
        <f t="shared" si="0"/>
        <v>0</v>
      </c>
      <c r="AB10" s="450">
        <f t="shared" si="0"/>
        <v>0</v>
      </c>
      <c r="AC10" s="450">
        <f t="shared" si="0"/>
        <v>0</v>
      </c>
      <c r="AD10" s="450">
        <f t="shared" si="0"/>
        <v>0</v>
      </c>
      <c r="AE10" s="450">
        <f t="shared" si="0"/>
        <v>0</v>
      </c>
      <c r="AF10" s="450">
        <f t="shared" si="0"/>
        <v>0</v>
      </c>
      <c r="AG10" s="450">
        <f t="shared" si="0"/>
        <v>0</v>
      </c>
      <c r="AH10" s="450">
        <f t="shared" si="0"/>
        <v>0</v>
      </c>
      <c r="AI10" s="450">
        <f t="shared" si="0"/>
        <v>0</v>
      </c>
      <c r="AJ10" s="450">
        <f t="shared" si="0"/>
        <v>0</v>
      </c>
      <c r="AK10" s="450">
        <f t="shared" si="0"/>
        <v>0</v>
      </c>
      <c r="AL10" s="450">
        <f t="shared" si="0"/>
        <v>0</v>
      </c>
      <c r="AM10" s="450">
        <f t="shared" si="0"/>
        <v>0</v>
      </c>
      <c r="AN10" s="450">
        <f t="shared" si="0"/>
        <v>0</v>
      </c>
      <c r="AO10" s="450">
        <f t="shared" si="0"/>
        <v>0</v>
      </c>
      <c r="AP10" s="450">
        <f t="shared" si="0"/>
        <v>0</v>
      </c>
      <c r="AQ10" s="450">
        <f t="shared" si="0"/>
        <v>0</v>
      </c>
      <c r="AR10" s="450">
        <f t="shared" si="0"/>
        <v>0</v>
      </c>
      <c r="AS10" s="450">
        <f t="shared" si="0"/>
        <v>0</v>
      </c>
      <c r="AT10" s="450">
        <f t="shared" si="0"/>
        <v>0</v>
      </c>
      <c r="AU10" s="450">
        <f t="shared" si="0"/>
        <v>0</v>
      </c>
      <c r="AV10" s="450">
        <f t="shared" si="0"/>
        <v>0</v>
      </c>
      <c r="AW10" s="495"/>
      <c r="AX10" s="495"/>
      <c r="AY10" s="450">
        <f>AY11+AY34</f>
        <v>0</v>
      </c>
    </row>
    <row r="11" spans="1:51" s="452" customFormat="1" x14ac:dyDescent="0.2">
      <c r="A11" s="453" t="s">
        <v>712</v>
      </c>
      <c r="B11" s="454"/>
      <c r="C11" s="454"/>
      <c r="D11" s="454"/>
      <c r="E11" s="454"/>
      <c r="F11" s="454"/>
      <c r="G11" s="448" t="s">
        <v>713</v>
      </c>
      <c r="H11" s="449"/>
      <c r="I11" s="450">
        <f t="shared" ref="I11:AV11" si="1">I12+I19+I22+I25+I28+I29+I32+I33</f>
        <v>0</v>
      </c>
      <c r="J11" s="450">
        <f t="shared" si="1"/>
        <v>0</v>
      </c>
      <c r="K11" s="450">
        <f t="shared" si="1"/>
        <v>0</v>
      </c>
      <c r="L11" s="450">
        <f t="shared" si="1"/>
        <v>0</v>
      </c>
      <c r="M11" s="450">
        <f t="shared" si="1"/>
        <v>0</v>
      </c>
      <c r="N11" s="450">
        <f t="shared" si="1"/>
        <v>0</v>
      </c>
      <c r="O11" s="450">
        <f t="shared" si="1"/>
        <v>0</v>
      </c>
      <c r="P11" s="450">
        <f t="shared" si="1"/>
        <v>0</v>
      </c>
      <c r="Q11" s="450">
        <f t="shared" si="1"/>
        <v>0</v>
      </c>
      <c r="R11" s="450">
        <f t="shared" si="1"/>
        <v>0</v>
      </c>
      <c r="S11" s="450">
        <f t="shared" si="1"/>
        <v>0</v>
      </c>
      <c r="T11" s="450">
        <f t="shared" si="1"/>
        <v>0</v>
      </c>
      <c r="U11" s="450">
        <f t="shared" si="1"/>
        <v>0</v>
      </c>
      <c r="V11" s="450">
        <f t="shared" si="1"/>
        <v>0</v>
      </c>
      <c r="W11" s="450">
        <f t="shared" si="1"/>
        <v>0</v>
      </c>
      <c r="X11" s="450">
        <f t="shared" si="1"/>
        <v>0</v>
      </c>
      <c r="Y11" s="450">
        <f t="shared" si="1"/>
        <v>0</v>
      </c>
      <c r="Z11" s="450">
        <f t="shared" si="1"/>
        <v>0</v>
      </c>
      <c r="AA11" s="450">
        <f t="shared" si="1"/>
        <v>0</v>
      </c>
      <c r="AB11" s="450">
        <f t="shared" si="1"/>
        <v>0</v>
      </c>
      <c r="AC11" s="450">
        <f t="shared" si="1"/>
        <v>0</v>
      </c>
      <c r="AD11" s="450">
        <f t="shared" si="1"/>
        <v>0</v>
      </c>
      <c r="AE11" s="450">
        <f t="shared" si="1"/>
        <v>0</v>
      </c>
      <c r="AF11" s="450">
        <f t="shared" si="1"/>
        <v>0</v>
      </c>
      <c r="AG11" s="450">
        <f t="shared" si="1"/>
        <v>0</v>
      </c>
      <c r="AH11" s="450">
        <f t="shared" si="1"/>
        <v>0</v>
      </c>
      <c r="AI11" s="450">
        <f t="shared" si="1"/>
        <v>0</v>
      </c>
      <c r="AJ11" s="450">
        <f t="shared" si="1"/>
        <v>0</v>
      </c>
      <c r="AK11" s="450">
        <f t="shared" si="1"/>
        <v>0</v>
      </c>
      <c r="AL11" s="450">
        <f t="shared" si="1"/>
        <v>0</v>
      </c>
      <c r="AM11" s="450">
        <f t="shared" si="1"/>
        <v>0</v>
      </c>
      <c r="AN11" s="450">
        <f t="shared" si="1"/>
        <v>0</v>
      </c>
      <c r="AO11" s="450">
        <f t="shared" si="1"/>
        <v>0</v>
      </c>
      <c r="AP11" s="450">
        <f t="shared" si="1"/>
        <v>0</v>
      </c>
      <c r="AQ11" s="450">
        <f t="shared" si="1"/>
        <v>0</v>
      </c>
      <c r="AR11" s="450">
        <f t="shared" si="1"/>
        <v>0</v>
      </c>
      <c r="AS11" s="450">
        <f t="shared" si="1"/>
        <v>0</v>
      </c>
      <c r="AT11" s="450">
        <f t="shared" si="1"/>
        <v>0</v>
      </c>
      <c r="AU11" s="450">
        <f t="shared" si="1"/>
        <v>0</v>
      </c>
      <c r="AV11" s="450">
        <f t="shared" si="1"/>
        <v>0</v>
      </c>
      <c r="AW11" s="495"/>
      <c r="AX11" s="495"/>
      <c r="AY11" s="450">
        <f>AY12+AY19+AY22+AY25+AY28+AY29+AY32+AY33</f>
        <v>0</v>
      </c>
    </row>
    <row r="12" spans="1:51" s="452" customFormat="1" x14ac:dyDescent="0.2">
      <c r="A12" s="455" t="s">
        <v>54</v>
      </c>
      <c r="B12" s="718" t="s">
        <v>540</v>
      </c>
      <c r="C12" s="718"/>
      <c r="D12" s="718"/>
      <c r="E12" s="718"/>
      <c r="F12" s="719"/>
      <c r="G12" s="448" t="s">
        <v>324</v>
      </c>
      <c r="H12" s="449"/>
      <c r="I12" s="450">
        <f t="shared" ref="I12:AV12" si="2">SUM(I13:I15)</f>
        <v>0</v>
      </c>
      <c r="J12" s="450">
        <f t="shared" si="2"/>
        <v>0</v>
      </c>
      <c r="K12" s="450">
        <f t="shared" si="2"/>
        <v>0</v>
      </c>
      <c r="L12" s="450">
        <f t="shared" si="2"/>
        <v>0</v>
      </c>
      <c r="M12" s="450">
        <f t="shared" si="2"/>
        <v>0</v>
      </c>
      <c r="N12" s="450">
        <f t="shared" si="2"/>
        <v>0</v>
      </c>
      <c r="O12" s="450">
        <f t="shared" si="2"/>
        <v>0</v>
      </c>
      <c r="P12" s="450">
        <f t="shared" si="2"/>
        <v>0</v>
      </c>
      <c r="Q12" s="450">
        <f t="shared" si="2"/>
        <v>0</v>
      </c>
      <c r="R12" s="450">
        <f t="shared" si="2"/>
        <v>0</v>
      </c>
      <c r="S12" s="450">
        <f t="shared" si="2"/>
        <v>0</v>
      </c>
      <c r="T12" s="450">
        <f t="shared" si="2"/>
        <v>0</v>
      </c>
      <c r="U12" s="450">
        <f t="shared" si="2"/>
        <v>0</v>
      </c>
      <c r="V12" s="450">
        <f t="shared" si="2"/>
        <v>0</v>
      </c>
      <c r="W12" s="450">
        <f t="shared" si="2"/>
        <v>0</v>
      </c>
      <c r="X12" s="450">
        <f t="shared" si="2"/>
        <v>0</v>
      </c>
      <c r="Y12" s="450">
        <f t="shared" si="2"/>
        <v>0</v>
      </c>
      <c r="Z12" s="450">
        <f t="shared" si="2"/>
        <v>0</v>
      </c>
      <c r="AA12" s="450">
        <f t="shared" si="2"/>
        <v>0</v>
      </c>
      <c r="AB12" s="450">
        <f t="shared" si="2"/>
        <v>0</v>
      </c>
      <c r="AC12" s="450">
        <f t="shared" si="2"/>
        <v>0</v>
      </c>
      <c r="AD12" s="450">
        <f t="shared" si="2"/>
        <v>0</v>
      </c>
      <c r="AE12" s="450">
        <f t="shared" si="2"/>
        <v>0</v>
      </c>
      <c r="AF12" s="450">
        <f t="shared" si="2"/>
        <v>0</v>
      </c>
      <c r="AG12" s="450">
        <f t="shared" si="2"/>
        <v>0</v>
      </c>
      <c r="AH12" s="450">
        <f t="shared" si="2"/>
        <v>0</v>
      </c>
      <c r="AI12" s="450">
        <f t="shared" si="2"/>
        <v>0</v>
      </c>
      <c r="AJ12" s="450">
        <f t="shared" si="2"/>
        <v>0</v>
      </c>
      <c r="AK12" s="450">
        <f t="shared" si="2"/>
        <v>0</v>
      </c>
      <c r="AL12" s="450">
        <f t="shared" si="2"/>
        <v>0</v>
      </c>
      <c r="AM12" s="450">
        <f t="shared" si="2"/>
        <v>0</v>
      </c>
      <c r="AN12" s="450">
        <f t="shared" si="2"/>
        <v>0</v>
      </c>
      <c r="AO12" s="450">
        <f t="shared" si="2"/>
        <v>0</v>
      </c>
      <c r="AP12" s="450">
        <f t="shared" si="2"/>
        <v>0</v>
      </c>
      <c r="AQ12" s="450">
        <f t="shared" si="2"/>
        <v>0</v>
      </c>
      <c r="AR12" s="450">
        <f t="shared" si="2"/>
        <v>0</v>
      </c>
      <c r="AS12" s="450">
        <f t="shared" si="2"/>
        <v>0</v>
      </c>
      <c r="AT12" s="450">
        <f t="shared" si="2"/>
        <v>0</v>
      </c>
      <c r="AU12" s="450">
        <f t="shared" si="2"/>
        <v>0</v>
      </c>
      <c r="AV12" s="450">
        <f t="shared" si="2"/>
        <v>0</v>
      </c>
      <c r="AW12" s="495"/>
      <c r="AX12" s="495"/>
      <c r="AY12" s="450">
        <f>SUM(AY13:AY15)</f>
        <v>0</v>
      </c>
    </row>
    <row r="13" spans="1:51" s="452" customFormat="1" x14ac:dyDescent="0.2">
      <c r="A13" s="455"/>
      <c r="B13" s="456" t="s">
        <v>59</v>
      </c>
      <c r="C13" s="718" t="s">
        <v>60</v>
      </c>
      <c r="D13" s="718"/>
      <c r="E13" s="718"/>
      <c r="F13" s="719"/>
      <c r="G13" s="448" t="s">
        <v>325</v>
      </c>
      <c r="H13" s="449"/>
      <c r="I13" s="495"/>
      <c r="J13" s="495"/>
      <c r="K13" s="495"/>
      <c r="L13" s="495"/>
      <c r="M13" s="495"/>
      <c r="N13" s="495"/>
      <c r="O13" s="495"/>
      <c r="P13" s="495"/>
      <c r="Q13" s="495"/>
      <c r="R13" s="495"/>
      <c r="S13" s="495"/>
      <c r="T13" s="495"/>
      <c r="U13" s="495"/>
      <c r="V13" s="495"/>
      <c r="W13" s="495"/>
      <c r="X13" s="495"/>
      <c r="Y13" s="495"/>
      <c r="Z13" s="495"/>
      <c r="AA13" s="495"/>
      <c r="AB13" s="495"/>
      <c r="AC13" s="495"/>
      <c r="AD13" s="495"/>
      <c r="AE13" s="495"/>
      <c r="AF13" s="495"/>
      <c r="AG13" s="495"/>
      <c r="AH13" s="495"/>
      <c r="AI13" s="495"/>
      <c r="AJ13" s="495"/>
      <c r="AK13" s="458"/>
      <c r="AL13" s="458"/>
      <c r="AM13" s="458"/>
      <c r="AN13" s="458"/>
      <c r="AO13" s="458"/>
      <c r="AP13" s="458"/>
      <c r="AQ13" s="495"/>
      <c r="AR13" s="495"/>
      <c r="AS13" s="495"/>
      <c r="AT13" s="495"/>
      <c r="AU13" s="495"/>
      <c r="AV13" s="495"/>
      <c r="AW13" s="495"/>
      <c r="AX13" s="495"/>
      <c r="AY13" s="450">
        <f>J13+L13+N13+P13+R13+T13+V13+X13+Z13+AB13+AD13+AF13+AH13+AJ13+AL13+AN13+AP13+AR13+AT13+AV13+AX13</f>
        <v>0</v>
      </c>
    </row>
    <row r="14" spans="1:51" s="452" customFormat="1" x14ac:dyDescent="0.2">
      <c r="A14" s="455"/>
      <c r="B14" s="456" t="s">
        <v>61</v>
      </c>
      <c r="C14" s="718" t="s">
        <v>72</v>
      </c>
      <c r="D14" s="718"/>
      <c r="E14" s="718"/>
      <c r="F14" s="719"/>
      <c r="G14" s="448" t="s">
        <v>541</v>
      </c>
      <c r="H14" s="449"/>
      <c r="I14" s="495"/>
      <c r="J14" s="495"/>
      <c r="K14" s="495"/>
      <c r="L14" s="495"/>
      <c r="M14" s="495"/>
      <c r="N14" s="495"/>
      <c r="O14" s="495"/>
      <c r="P14" s="495"/>
      <c r="Q14" s="495"/>
      <c r="R14" s="495"/>
      <c r="S14" s="495"/>
      <c r="T14" s="495"/>
      <c r="U14" s="495"/>
      <c r="V14" s="495"/>
      <c r="W14" s="495"/>
      <c r="X14" s="495"/>
      <c r="Y14" s="495"/>
      <c r="Z14" s="495"/>
      <c r="AA14" s="495"/>
      <c r="AB14" s="495"/>
      <c r="AC14" s="495"/>
      <c r="AD14" s="495"/>
      <c r="AE14" s="495"/>
      <c r="AF14" s="495"/>
      <c r="AG14" s="495"/>
      <c r="AH14" s="495"/>
      <c r="AI14" s="495"/>
      <c r="AJ14" s="495"/>
      <c r="AK14" s="458"/>
      <c r="AL14" s="458"/>
      <c r="AM14" s="458"/>
      <c r="AN14" s="458"/>
      <c r="AO14" s="458"/>
      <c r="AP14" s="458"/>
      <c r="AQ14" s="495"/>
      <c r="AR14" s="495"/>
      <c r="AS14" s="495"/>
      <c r="AT14" s="495"/>
      <c r="AU14" s="495"/>
      <c r="AV14" s="495"/>
      <c r="AW14" s="495"/>
      <c r="AX14" s="495"/>
      <c r="AY14" s="450">
        <f>J14+L14+N14+P14+R14+T14+V14+X14+Z14+AB14+AD14+AF14+AH14+AJ14+AL14+AN14+AP14+AR14+AT14+AV14+AX14</f>
        <v>0</v>
      </c>
    </row>
    <row r="15" spans="1:51" s="452" customFormat="1" x14ac:dyDescent="0.2">
      <c r="A15" s="455"/>
      <c r="B15" s="456" t="s">
        <v>71</v>
      </c>
      <c r="C15" s="718" t="s">
        <v>62</v>
      </c>
      <c r="D15" s="718"/>
      <c r="E15" s="718"/>
      <c r="F15" s="719"/>
      <c r="G15" s="448" t="s">
        <v>326</v>
      </c>
      <c r="H15" s="449"/>
      <c r="I15" s="450">
        <f t="shared" ref="I15:AT15" si="3">SUM(I16:I18)</f>
        <v>0</v>
      </c>
      <c r="J15" s="450">
        <f t="shared" si="3"/>
        <v>0</v>
      </c>
      <c r="K15" s="450">
        <f t="shared" si="3"/>
        <v>0</v>
      </c>
      <c r="L15" s="450">
        <f t="shared" si="3"/>
        <v>0</v>
      </c>
      <c r="M15" s="450">
        <f t="shared" si="3"/>
        <v>0</v>
      </c>
      <c r="N15" s="450">
        <f t="shared" si="3"/>
        <v>0</v>
      </c>
      <c r="O15" s="450">
        <f t="shared" si="3"/>
        <v>0</v>
      </c>
      <c r="P15" s="450">
        <f t="shared" si="3"/>
        <v>0</v>
      </c>
      <c r="Q15" s="450">
        <f t="shared" si="3"/>
        <v>0</v>
      </c>
      <c r="R15" s="450">
        <f t="shared" si="3"/>
        <v>0</v>
      </c>
      <c r="S15" s="450">
        <f t="shared" si="3"/>
        <v>0</v>
      </c>
      <c r="T15" s="450">
        <f t="shared" si="3"/>
        <v>0</v>
      </c>
      <c r="U15" s="450">
        <f t="shared" si="3"/>
        <v>0</v>
      </c>
      <c r="V15" s="450">
        <f t="shared" si="3"/>
        <v>0</v>
      </c>
      <c r="W15" s="450">
        <f t="shared" si="3"/>
        <v>0</v>
      </c>
      <c r="X15" s="450">
        <f t="shared" si="3"/>
        <v>0</v>
      </c>
      <c r="Y15" s="450">
        <f t="shared" si="3"/>
        <v>0</v>
      </c>
      <c r="Z15" s="450">
        <f t="shared" si="3"/>
        <v>0</v>
      </c>
      <c r="AA15" s="450">
        <f t="shared" si="3"/>
        <v>0</v>
      </c>
      <c r="AB15" s="450">
        <f t="shared" si="3"/>
        <v>0</v>
      </c>
      <c r="AC15" s="450">
        <f t="shared" si="3"/>
        <v>0</v>
      </c>
      <c r="AD15" s="450">
        <f t="shared" si="3"/>
        <v>0</v>
      </c>
      <c r="AE15" s="450">
        <f t="shared" si="3"/>
        <v>0</v>
      </c>
      <c r="AF15" s="450">
        <f t="shared" si="3"/>
        <v>0</v>
      </c>
      <c r="AG15" s="450">
        <f t="shared" si="3"/>
        <v>0</v>
      </c>
      <c r="AH15" s="450">
        <f t="shared" si="3"/>
        <v>0</v>
      </c>
      <c r="AI15" s="450">
        <f t="shared" si="3"/>
        <v>0</v>
      </c>
      <c r="AJ15" s="450">
        <f t="shared" si="3"/>
        <v>0</v>
      </c>
      <c r="AK15" s="450">
        <f t="shared" si="3"/>
        <v>0</v>
      </c>
      <c r="AL15" s="450">
        <f t="shared" si="3"/>
        <v>0</v>
      </c>
      <c r="AM15" s="450">
        <f t="shared" si="3"/>
        <v>0</v>
      </c>
      <c r="AN15" s="450">
        <f t="shared" si="3"/>
        <v>0</v>
      </c>
      <c r="AO15" s="450">
        <f t="shared" si="3"/>
        <v>0</v>
      </c>
      <c r="AP15" s="450">
        <f t="shared" si="3"/>
        <v>0</v>
      </c>
      <c r="AQ15" s="450">
        <f t="shared" si="3"/>
        <v>0</v>
      </c>
      <c r="AR15" s="450">
        <f t="shared" si="3"/>
        <v>0</v>
      </c>
      <c r="AS15" s="450">
        <f t="shared" si="3"/>
        <v>0</v>
      </c>
      <c r="AT15" s="450">
        <f t="shared" si="3"/>
        <v>0</v>
      </c>
      <c r="AU15" s="495"/>
      <c r="AV15" s="495"/>
      <c r="AW15" s="495"/>
      <c r="AX15" s="495"/>
      <c r="AY15" s="450">
        <f>SUM(AY16:AY18)</f>
        <v>0</v>
      </c>
    </row>
    <row r="16" spans="1:51" s="452" customFormat="1" x14ac:dyDescent="0.2">
      <c r="A16" s="455"/>
      <c r="B16" s="456"/>
      <c r="C16" s="459" t="s">
        <v>54</v>
      </c>
      <c r="D16" s="718" t="s">
        <v>63</v>
      </c>
      <c r="E16" s="718"/>
      <c r="F16" s="719"/>
      <c r="G16" s="448" t="s">
        <v>327</v>
      </c>
      <c r="H16" s="449"/>
      <c r="I16" s="495"/>
      <c r="J16" s="495"/>
      <c r="K16" s="495"/>
      <c r="L16" s="495"/>
      <c r="M16" s="495"/>
      <c r="N16" s="495"/>
      <c r="O16" s="495"/>
      <c r="P16" s="495"/>
      <c r="Q16" s="495"/>
      <c r="R16" s="495"/>
      <c r="S16" s="495"/>
      <c r="T16" s="495"/>
      <c r="U16" s="495"/>
      <c r="V16" s="495"/>
      <c r="W16" s="495"/>
      <c r="X16" s="495"/>
      <c r="Y16" s="495"/>
      <c r="Z16" s="495"/>
      <c r="AA16" s="495"/>
      <c r="AB16" s="495"/>
      <c r="AC16" s="495"/>
      <c r="AD16" s="495"/>
      <c r="AE16" s="495"/>
      <c r="AF16" s="495"/>
      <c r="AG16" s="495"/>
      <c r="AH16" s="495"/>
      <c r="AI16" s="495"/>
      <c r="AJ16" s="495"/>
      <c r="AK16" s="458"/>
      <c r="AL16" s="458"/>
      <c r="AM16" s="495"/>
      <c r="AN16" s="495"/>
      <c r="AO16" s="495"/>
      <c r="AP16" s="495"/>
      <c r="AQ16" s="495"/>
      <c r="AR16" s="495"/>
      <c r="AS16" s="495"/>
      <c r="AT16" s="495"/>
      <c r="AU16" s="495"/>
      <c r="AV16" s="495"/>
      <c r="AW16" s="495"/>
      <c r="AX16" s="495"/>
      <c r="AY16" s="450">
        <f>J16+L16+N16+P16+R16+T16+V16+X16+Z16+AB16+AD16+AF16+AH16+AJ16+AL16+AN16+AP16+AR16+AT16+AV16+AX16</f>
        <v>0</v>
      </c>
    </row>
    <row r="17" spans="1:51" s="452" customFormat="1" x14ac:dyDescent="0.2">
      <c r="A17" s="455"/>
      <c r="B17" s="456"/>
      <c r="C17" s="459" t="s">
        <v>55</v>
      </c>
      <c r="D17" s="718" t="s">
        <v>64</v>
      </c>
      <c r="E17" s="718"/>
      <c r="F17" s="719"/>
      <c r="G17" s="448" t="s">
        <v>328</v>
      </c>
      <c r="H17" s="449"/>
      <c r="I17" s="495"/>
      <c r="J17" s="495"/>
      <c r="K17" s="495"/>
      <c r="L17" s="495"/>
      <c r="M17" s="495"/>
      <c r="N17" s="495"/>
      <c r="O17" s="495"/>
      <c r="P17" s="495"/>
      <c r="Q17" s="495"/>
      <c r="R17" s="495"/>
      <c r="S17" s="495"/>
      <c r="T17" s="495"/>
      <c r="U17" s="495"/>
      <c r="V17" s="495"/>
      <c r="W17" s="495"/>
      <c r="X17" s="495"/>
      <c r="Y17" s="495"/>
      <c r="Z17" s="495"/>
      <c r="AA17" s="495"/>
      <c r="AB17" s="495"/>
      <c r="AC17" s="458"/>
      <c r="AD17" s="458"/>
      <c r="AE17" s="495"/>
      <c r="AF17" s="495"/>
      <c r="AG17" s="495"/>
      <c r="AH17" s="495"/>
      <c r="AI17" s="495"/>
      <c r="AJ17" s="495"/>
      <c r="AK17" s="495"/>
      <c r="AL17" s="495"/>
      <c r="AM17" s="495"/>
      <c r="AN17" s="495"/>
      <c r="AO17" s="495"/>
      <c r="AP17" s="495"/>
      <c r="AQ17" s="495"/>
      <c r="AR17" s="495"/>
      <c r="AS17" s="495"/>
      <c r="AT17" s="495"/>
      <c r="AU17" s="495"/>
      <c r="AV17" s="495"/>
      <c r="AW17" s="495"/>
      <c r="AX17" s="495"/>
      <c r="AY17" s="450">
        <f>J17+L17+N17+P17+R17+T17+V17+X17+Z17+AB17+AD17+AF17+AH17+AJ17+AL17+AN17+AP17+AR17+AT17+AV17+AX17</f>
        <v>0</v>
      </c>
    </row>
    <row r="18" spans="1:51" s="452" customFormat="1" x14ac:dyDescent="0.2">
      <c r="A18" s="455"/>
      <c r="B18" s="456"/>
      <c r="C18" s="459" t="s">
        <v>65</v>
      </c>
      <c r="D18" s="718" t="s">
        <v>66</v>
      </c>
      <c r="E18" s="718"/>
      <c r="F18" s="719"/>
      <c r="G18" s="448" t="s">
        <v>329</v>
      </c>
      <c r="H18" s="449"/>
      <c r="I18" s="458"/>
      <c r="J18" s="458"/>
      <c r="K18" s="458"/>
      <c r="L18" s="458"/>
      <c r="M18" s="458"/>
      <c r="N18" s="458"/>
      <c r="O18" s="458"/>
      <c r="P18" s="458"/>
      <c r="Q18" s="458"/>
      <c r="R18" s="458"/>
      <c r="S18" s="458"/>
      <c r="T18" s="458"/>
      <c r="U18" s="458"/>
      <c r="V18" s="458"/>
      <c r="W18" s="458"/>
      <c r="X18" s="458"/>
      <c r="Y18" s="458"/>
      <c r="Z18" s="458"/>
      <c r="AA18" s="458"/>
      <c r="AB18" s="458"/>
      <c r="AC18" s="495"/>
      <c r="AD18" s="495"/>
      <c r="AE18" s="458"/>
      <c r="AF18" s="458"/>
      <c r="AG18" s="458"/>
      <c r="AH18" s="458"/>
      <c r="AI18" s="458"/>
      <c r="AJ18" s="458"/>
      <c r="AK18" s="458"/>
      <c r="AL18" s="458"/>
      <c r="AM18" s="458"/>
      <c r="AN18" s="458"/>
      <c r="AO18" s="458"/>
      <c r="AP18" s="458"/>
      <c r="AQ18" s="458"/>
      <c r="AR18" s="458"/>
      <c r="AS18" s="458"/>
      <c r="AT18" s="458"/>
      <c r="AU18" s="495"/>
      <c r="AV18" s="495"/>
      <c r="AW18" s="495"/>
      <c r="AX18" s="495"/>
      <c r="AY18" s="450">
        <f>J18+L18+N18+P18+R18+T18+V18+X18+Z18+AB18+AD18+AF18+AH18+AJ18+AL18+AN18+AP18+AR18+AT18+AV18+AX18</f>
        <v>0</v>
      </c>
    </row>
    <row r="19" spans="1:51" s="460" customFormat="1" ht="11.25" x14ac:dyDescent="0.2">
      <c r="A19" s="455" t="s">
        <v>55</v>
      </c>
      <c r="B19" s="456" t="s">
        <v>67</v>
      </c>
      <c r="C19" s="456"/>
      <c r="D19" s="456"/>
      <c r="E19" s="456"/>
      <c r="F19" s="457"/>
      <c r="G19" s="448" t="s">
        <v>330</v>
      </c>
      <c r="H19" s="449"/>
      <c r="I19" s="450">
        <f>SUM(I20:I21)</f>
        <v>0</v>
      </c>
      <c r="J19" s="450">
        <f>SUM(J20:J21)</f>
        <v>0</v>
      </c>
      <c r="K19" s="495"/>
      <c r="L19" s="495"/>
      <c r="M19" s="450">
        <f t="shared" ref="M19:V19" si="4">SUM(M20:M21)</f>
        <v>0</v>
      </c>
      <c r="N19" s="450">
        <f t="shared" si="4"/>
        <v>0</v>
      </c>
      <c r="O19" s="450">
        <f t="shared" si="4"/>
        <v>0</v>
      </c>
      <c r="P19" s="450">
        <f t="shared" si="4"/>
        <v>0</v>
      </c>
      <c r="Q19" s="450">
        <f t="shared" si="4"/>
        <v>0</v>
      </c>
      <c r="R19" s="450">
        <f t="shared" si="4"/>
        <v>0</v>
      </c>
      <c r="S19" s="450">
        <f t="shared" si="4"/>
        <v>0</v>
      </c>
      <c r="T19" s="450">
        <f t="shared" si="4"/>
        <v>0</v>
      </c>
      <c r="U19" s="450">
        <f t="shared" si="4"/>
        <v>0</v>
      </c>
      <c r="V19" s="450">
        <f t="shared" si="4"/>
        <v>0</v>
      </c>
      <c r="W19" s="495"/>
      <c r="X19" s="495"/>
      <c r="Y19" s="450">
        <f t="shared" ref="Y19:AL19" si="5">SUM(Y20:Y21)</f>
        <v>0</v>
      </c>
      <c r="Z19" s="450">
        <f t="shared" si="5"/>
        <v>0</v>
      </c>
      <c r="AA19" s="450">
        <f t="shared" si="5"/>
        <v>0</v>
      </c>
      <c r="AB19" s="450">
        <f t="shared" si="5"/>
        <v>0</v>
      </c>
      <c r="AC19" s="450">
        <f t="shared" si="5"/>
        <v>0</v>
      </c>
      <c r="AD19" s="450">
        <f t="shared" si="5"/>
        <v>0</v>
      </c>
      <c r="AE19" s="450">
        <f t="shared" si="5"/>
        <v>0</v>
      </c>
      <c r="AF19" s="450">
        <f t="shared" si="5"/>
        <v>0</v>
      </c>
      <c r="AG19" s="450">
        <f t="shared" si="5"/>
        <v>0</v>
      </c>
      <c r="AH19" s="450">
        <f t="shared" si="5"/>
        <v>0</v>
      </c>
      <c r="AI19" s="450">
        <f t="shared" si="5"/>
        <v>0</v>
      </c>
      <c r="AJ19" s="450">
        <f t="shared" si="5"/>
        <v>0</v>
      </c>
      <c r="AK19" s="450">
        <f t="shared" si="5"/>
        <v>0</v>
      </c>
      <c r="AL19" s="450">
        <f t="shared" si="5"/>
        <v>0</v>
      </c>
      <c r="AM19" s="495"/>
      <c r="AN19" s="495"/>
      <c r="AO19" s="495"/>
      <c r="AP19" s="495"/>
      <c r="AQ19" s="495"/>
      <c r="AR19" s="495"/>
      <c r="AS19" s="495"/>
      <c r="AT19" s="495"/>
      <c r="AU19" s="495"/>
      <c r="AV19" s="495"/>
      <c r="AW19" s="495"/>
      <c r="AX19" s="495"/>
      <c r="AY19" s="450">
        <f>SUM(AY20:AY21)</f>
        <v>0</v>
      </c>
    </row>
    <row r="20" spans="1:51" s="460" customFormat="1" ht="11.25" x14ac:dyDescent="0.2">
      <c r="A20" s="455"/>
      <c r="B20" s="456" t="s">
        <v>59</v>
      </c>
      <c r="C20" s="718" t="s">
        <v>68</v>
      </c>
      <c r="D20" s="718"/>
      <c r="E20" s="718"/>
      <c r="F20" s="719"/>
      <c r="G20" s="448" t="s">
        <v>331</v>
      </c>
      <c r="H20" s="449"/>
      <c r="I20" s="458"/>
      <c r="J20" s="458"/>
      <c r="K20" s="495"/>
      <c r="L20" s="495"/>
      <c r="M20" s="458"/>
      <c r="N20" s="458"/>
      <c r="O20" s="458"/>
      <c r="P20" s="458"/>
      <c r="Q20" s="458"/>
      <c r="R20" s="458"/>
      <c r="S20" s="458"/>
      <c r="T20" s="458"/>
      <c r="U20" s="458"/>
      <c r="V20" s="458"/>
      <c r="W20" s="495"/>
      <c r="X20" s="495"/>
      <c r="Y20" s="458"/>
      <c r="Z20" s="458"/>
      <c r="AA20" s="458"/>
      <c r="AB20" s="458"/>
      <c r="AC20" s="458"/>
      <c r="AD20" s="458"/>
      <c r="AE20" s="458"/>
      <c r="AF20" s="458"/>
      <c r="AG20" s="458"/>
      <c r="AH20" s="458"/>
      <c r="AI20" s="458"/>
      <c r="AJ20" s="458"/>
      <c r="AK20" s="458"/>
      <c r="AL20" s="458"/>
      <c r="AM20" s="495"/>
      <c r="AN20" s="495"/>
      <c r="AO20" s="495"/>
      <c r="AP20" s="495"/>
      <c r="AQ20" s="495"/>
      <c r="AR20" s="495"/>
      <c r="AS20" s="495"/>
      <c r="AT20" s="495"/>
      <c r="AU20" s="495"/>
      <c r="AV20" s="495"/>
      <c r="AW20" s="495"/>
      <c r="AX20" s="495"/>
      <c r="AY20" s="450">
        <f>J20+L20+N20+P20+R20+T20+V20+X20+Z20+AB20+AD20+AF20+AH20+AJ20+AL20+AN20+AP20+AR20+AT20+AV20+AX20</f>
        <v>0</v>
      </c>
    </row>
    <row r="21" spans="1:51" s="460" customFormat="1" ht="11.25" x14ac:dyDescent="0.2">
      <c r="A21" s="455"/>
      <c r="B21" s="456" t="s">
        <v>69</v>
      </c>
      <c r="C21" s="456" t="s">
        <v>70</v>
      </c>
      <c r="D21" s="456"/>
      <c r="E21" s="456"/>
      <c r="F21" s="457"/>
      <c r="G21" s="448" t="s">
        <v>332</v>
      </c>
      <c r="H21" s="449"/>
      <c r="I21" s="458"/>
      <c r="J21" s="458"/>
      <c r="K21" s="495"/>
      <c r="L21" s="495"/>
      <c r="M21" s="458"/>
      <c r="N21" s="458"/>
      <c r="O21" s="458"/>
      <c r="P21" s="458"/>
      <c r="Q21" s="458"/>
      <c r="R21" s="458"/>
      <c r="S21" s="458"/>
      <c r="T21" s="458"/>
      <c r="U21" s="458"/>
      <c r="V21" s="458"/>
      <c r="W21" s="495"/>
      <c r="X21" s="495"/>
      <c r="Y21" s="458"/>
      <c r="Z21" s="458"/>
      <c r="AA21" s="458"/>
      <c r="AB21" s="458"/>
      <c r="AC21" s="458"/>
      <c r="AD21" s="458"/>
      <c r="AE21" s="458"/>
      <c r="AF21" s="458"/>
      <c r="AG21" s="458"/>
      <c r="AH21" s="458"/>
      <c r="AI21" s="458"/>
      <c r="AJ21" s="458"/>
      <c r="AK21" s="458"/>
      <c r="AL21" s="458"/>
      <c r="AM21" s="495"/>
      <c r="AN21" s="495"/>
      <c r="AO21" s="495"/>
      <c r="AP21" s="495"/>
      <c r="AQ21" s="495"/>
      <c r="AR21" s="495"/>
      <c r="AS21" s="495"/>
      <c r="AT21" s="495"/>
      <c r="AU21" s="495"/>
      <c r="AV21" s="495"/>
      <c r="AW21" s="495"/>
      <c r="AX21" s="495"/>
      <c r="AY21" s="450">
        <f>J21+L21+N21+P21+R21+T21+V21+X21+Z21+AB21+AD21+AF21+AH21+AJ21+AL21+AN21+AP21+AR21+AT21+AV21+AX21</f>
        <v>0</v>
      </c>
    </row>
    <row r="22" spans="1:51" s="460" customFormat="1" ht="11.25" x14ac:dyDescent="0.2">
      <c r="A22" s="461" t="s">
        <v>65</v>
      </c>
      <c r="B22" s="659" t="s">
        <v>1443</v>
      </c>
      <c r="C22" s="659"/>
      <c r="D22" s="659"/>
      <c r="E22" s="659"/>
      <c r="F22" s="660"/>
      <c r="G22" s="603" t="s">
        <v>333</v>
      </c>
      <c r="H22" s="449"/>
      <c r="I22" s="450">
        <f>SUM(I23:I24)</f>
        <v>0</v>
      </c>
      <c r="J22" s="450">
        <f t="shared" ref="J22:AB22" si="6">SUM(J23:J24)</f>
        <v>0</v>
      </c>
      <c r="K22" s="450">
        <f t="shared" si="6"/>
        <v>0</v>
      </c>
      <c r="L22" s="450">
        <f t="shared" si="6"/>
        <v>0</v>
      </c>
      <c r="M22" s="450">
        <f t="shared" si="6"/>
        <v>0</v>
      </c>
      <c r="N22" s="450">
        <f t="shared" si="6"/>
        <v>0</v>
      </c>
      <c r="O22" s="450">
        <f t="shared" si="6"/>
        <v>0</v>
      </c>
      <c r="P22" s="450">
        <f t="shared" si="6"/>
        <v>0</v>
      </c>
      <c r="Q22" s="450">
        <f t="shared" si="6"/>
        <v>0</v>
      </c>
      <c r="R22" s="450">
        <f t="shared" si="6"/>
        <v>0</v>
      </c>
      <c r="S22" s="450">
        <f t="shared" si="6"/>
        <v>0</v>
      </c>
      <c r="T22" s="450">
        <f t="shared" si="6"/>
        <v>0</v>
      </c>
      <c r="U22" s="450">
        <f t="shared" si="6"/>
        <v>0</v>
      </c>
      <c r="V22" s="450">
        <f t="shared" si="6"/>
        <v>0</v>
      </c>
      <c r="W22" s="450">
        <f t="shared" si="6"/>
        <v>0</v>
      </c>
      <c r="X22" s="450">
        <f t="shared" si="6"/>
        <v>0</v>
      </c>
      <c r="Y22" s="450">
        <f t="shared" si="6"/>
        <v>0</v>
      </c>
      <c r="Z22" s="450">
        <f t="shared" si="6"/>
        <v>0</v>
      </c>
      <c r="AA22" s="450">
        <f t="shared" si="6"/>
        <v>0</v>
      </c>
      <c r="AB22" s="450">
        <f t="shared" si="6"/>
        <v>0</v>
      </c>
      <c r="AC22" s="495"/>
      <c r="AD22" s="495"/>
      <c r="AE22" s="450">
        <f t="shared" ref="AE22:AJ22" si="7">SUM(AE23:AE24)</f>
        <v>0</v>
      </c>
      <c r="AF22" s="450">
        <f t="shared" si="7"/>
        <v>0</v>
      </c>
      <c r="AG22" s="450">
        <f t="shared" si="7"/>
        <v>0</v>
      </c>
      <c r="AH22" s="450">
        <f t="shared" si="7"/>
        <v>0</v>
      </c>
      <c r="AI22" s="450">
        <f t="shared" si="7"/>
        <v>0</v>
      </c>
      <c r="AJ22" s="450">
        <f t="shared" si="7"/>
        <v>0</v>
      </c>
      <c r="AK22" s="495"/>
      <c r="AL22" s="495"/>
      <c r="AM22" s="495"/>
      <c r="AN22" s="495"/>
      <c r="AO22" s="450">
        <f t="shared" ref="AO22:AT22" si="8">SUM(AO23:AO24)</f>
        <v>0</v>
      </c>
      <c r="AP22" s="450">
        <f t="shared" si="8"/>
        <v>0</v>
      </c>
      <c r="AQ22" s="450">
        <f t="shared" si="8"/>
        <v>0</v>
      </c>
      <c r="AR22" s="450">
        <f t="shared" si="8"/>
        <v>0</v>
      </c>
      <c r="AS22" s="450">
        <f t="shared" si="8"/>
        <v>0</v>
      </c>
      <c r="AT22" s="450">
        <f t="shared" si="8"/>
        <v>0</v>
      </c>
      <c r="AU22" s="495"/>
      <c r="AV22" s="495"/>
      <c r="AW22" s="495"/>
      <c r="AX22" s="495"/>
      <c r="AY22" s="450">
        <f>J22+L22+N22+P22+R22+T22+V22+X22+Z22+AB22+AD22+AF22+AH22+AJ22+AL22+AN22+AP22+AR22+AT22+AV22+AX22</f>
        <v>0</v>
      </c>
    </row>
    <row r="23" spans="1:51" s="460" customFormat="1" ht="11.25" x14ac:dyDescent="0.2">
      <c r="A23" s="461"/>
      <c r="B23" s="569" t="s">
        <v>59</v>
      </c>
      <c r="C23" s="659" t="s">
        <v>543</v>
      </c>
      <c r="D23" s="659"/>
      <c r="E23" s="659"/>
      <c r="F23" s="660"/>
      <c r="G23" s="603" t="s">
        <v>1431</v>
      </c>
      <c r="H23" s="449"/>
      <c r="I23" s="458"/>
      <c r="J23" s="458"/>
      <c r="K23" s="458"/>
      <c r="L23" s="458"/>
      <c r="M23" s="458"/>
      <c r="N23" s="458"/>
      <c r="O23" s="458"/>
      <c r="P23" s="458"/>
      <c r="Q23" s="458"/>
      <c r="R23" s="458"/>
      <c r="S23" s="458"/>
      <c r="T23" s="458"/>
      <c r="U23" s="458"/>
      <c r="V23" s="458"/>
      <c r="W23" s="458"/>
      <c r="X23" s="458"/>
      <c r="Y23" s="458"/>
      <c r="Z23" s="458"/>
      <c r="AA23" s="458"/>
      <c r="AB23" s="458"/>
      <c r="AC23" s="495"/>
      <c r="AD23" s="495"/>
      <c r="AE23" s="458"/>
      <c r="AF23" s="458"/>
      <c r="AG23" s="458"/>
      <c r="AH23" s="458"/>
      <c r="AI23" s="458"/>
      <c r="AJ23" s="458"/>
      <c r="AK23" s="495"/>
      <c r="AL23" s="495"/>
      <c r="AM23" s="495"/>
      <c r="AN23" s="495"/>
      <c r="AO23" s="458"/>
      <c r="AP23" s="458"/>
      <c r="AQ23" s="458"/>
      <c r="AR23" s="458"/>
      <c r="AS23" s="458"/>
      <c r="AT23" s="458"/>
      <c r="AU23" s="495"/>
      <c r="AV23" s="495"/>
      <c r="AW23" s="495"/>
      <c r="AX23" s="495"/>
      <c r="AY23" s="450">
        <f>J23+L23+N23+P23+R23+T23+V23+X23+Z23+AB23+AD23+AF23+AH23+AJ23+AL23+AN23+AP23+AR23+AT23+AV23+AX23</f>
        <v>0</v>
      </c>
    </row>
    <row r="24" spans="1:51" s="460" customFormat="1" ht="11.25" x14ac:dyDescent="0.2">
      <c r="A24" s="461"/>
      <c r="B24" s="569" t="s">
        <v>61</v>
      </c>
      <c r="C24" s="659" t="s">
        <v>1430</v>
      </c>
      <c r="D24" s="659"/>
      <c r="E24" s="659"/>
      <c r="F24" s="660"/>
      <c r="G24" s="603" t="s">
        <v>1432</v>
      </c>
      <c r="H24" s="449"/>
      <c r="I24" s="458"/>
      <c r="J24" s="458"/>
      <c r="K24" s="458"/>
      <c r="L24" s="458"/>
      <c r="M24" s="458"/>
      <c r="N24" s="458"/>
      <c r="O24" s="458"/>
      <c r="P24" s="458"/>
      <c r="Q24" s="458"/>
      <c r="R24" s="458"/>
      <c r="S24" s="458"/>
      <c r="T24" s="458"/>
      <c r="U24" s="458"/>
      <c r="V24" s="458"/>
      <c r="W24" s="458"/>
      <c r="X24" s="458"/>
      <c r="Y24" s="458"/>
      <c r="Z24" s="458"/>
      <c r="AA24" s="458"/>
      <c r="AB24" s="458"/>
      <c r="AC24" s="495"/>
      <c r="AD24" s="495"/>
      <c r="AE24" s="458"/>
      <c r="AF24" s="458"/>
      <c r="AG24" s="458"/>
      <c r="AH24" s="458"/>
      <c r="AI24" s="458"/>
      <c r="AJ24" s="458"/>
      <c r="AK24" s="495"/>
      <c r="AL24" s="495"/>
      <c r="AM24" s="495"/>
      <c r="AN24" s="495"/>
      <c r="AO24" s="458"/>
      <c r="AP24" s="458"/>
      <c r="AQ24" s="458"/>
      <c r="AR24" s="458"/>
      <c r="AS24" s="458"/>
      <c r="AT24" s="458"/>
      <c r="AU24" s="495"/>
      <c r="AV24" s="495"/>
      <c r="AW24" s="495"/>
      <c r="AX24" s="495"/>
      <c r="AY24" s="450">
        <f>J24+L24+N24+P24+R24+T24+V24+X24+Z24+AB24+AD24+AF24+AH24+AJ24+AL24+AN24+AP24+AR24+AT24+AV24+AX24</f>
        <v>0</v>
      </c>
    </row>
    <row r="25" spans="1:51" s="460" customFormat="1" ht="11.25" x14ac:dyDescent="0.2">
      <c r="A25" s="461" t="s">
        <v>90</v>
      </c>
      <c r="B25" s="456" t="s">
        <v>73</v>
      </c>
      <c r="C25" s="456"/>
      <c r="D25" s="456"/>
      <c r="E25" s="456"/>
      <c r="F25" s="457"/>
      <c r="G25" s="448" t="s">
        <v>334</v>
      </c>
      <c r="H25" s="449"/>
      <c r="I25" s="450">
        <f t="shared" ref="I25:AJ25" si="9">SUM(I26:I27)</f>
        <v>0</v>
      </c>
      <c r="J25" s="450">
        <f t="shared" si="9"/>
        <v>0</v>
      </c>
      <c r="K25" s="450">
        <f t="shared" si="9"/>
        <v>0</v>
      </c>
      <c r="L25" s="450">
        <f t="shared" si="9"/>
        <v>0</v>
      </c>
      <c r="M25" s="450">
        <f t="shared" si="9"/>
        <v>0</v>
      </c>
      <c r="N25" s="450">
        <f t="shared" si="9"/>
        <v>0</v>
      </c>
      <c r="O25" s="450">
        <f t="shared" si="9"/>
        <v>0</v>
      </c>
      <c r="P25" s="450">
        <f t="shared" si="9"/>
        <v>0</v>
      </c>
      <c r="Q25" s="450">
        <f t="shared" si="9"/>
        <v>0</v>
      </c>
      <c r="R25" s="450">
        <f t="shared" si="9"/>
        <v>0</v>
      </c>
      <c r="S25" s="450">
        <f t="shared" si="9"/>
        <v>0</v>
      </c>
      <c r="T25" s="450">
        <f t="shared" si="9"/>
        <v>0</v>
      </c>
      <c r="U25" s="450">
        <f t="shared" si="9"/>
        <v>0</v>
      </c>
      <c r="V25" s="450">
        <f t="shared" si="9"/>
        <v>0</v>
      </c>
      <c r="W25" s="450">
        <f t="shared" si="9"/>
        <v>0</v>
      </c>
      <c r="X25" s="450">
        <f t="shared" si="9"/>
        <v>0</v>
      </c>
      <c r="Y25" s="450">
        <f t="shared" si="9"/>
        <v>0</v>
      </c>
      <c r="Z25" s="450">
        <f t="shared" si="9"/>
        <v>0</v>
      </c>
      <c r="AA25" s="450">
        <f t="shared" si="9"/>
        <v>0</v>
      </c>
      <c r="AB25" s="450">
        <f t="shared" si="9"/>
        <v>0</v>
      </c>
      <c r="AC25" s="450">
        <f t="shared" si="9"/>
        <v>0</v>
      </c>
      <c r="AD25" s="450">
        <f t="shared" si="9"/>
        <v>0</v>
      </c>
      <c r="AE25" s="450">
        <f t="shared" si="9"/>
        <v>0</v>
      </c>
      <c r="AF25" s="450">
        <f t="shared" si="9"/>
        <v>0</v>
      </c>
      <c r="AG25" s="450">
        <f t="shared" si="9"/>
        <v>0</v>
      </c>
      <c r="AH25" s="450">
        <f t="shared" si="9"/>
        <v>0</v>
      </c>
      <c r="AI25" s="450">
        <f t="shared" si="9"/>
        <v>0</v>
      </c>
      <c r="AJ25" s="450">
        <f t="shared" si="9"/>
        <v>0</v>
      </c>
      <c r="AK25" s="495"/>
      <c r="AL25" s="495"/>
      <c r="AM25" s="450">
        <f t="shared" ref="AM25:AT25" si="10">SUM(AM26:AM27)</f>
        <v>0</v>
      </c>
      <c r="AN25" s="450">
        <f t="shared" si="10"/>
        <v>0</v>
      </c>
      <c r="AO25" s="450">
        <f t="shared" si="10"/>
        <v>0</v>
      </c>
      <c r="AP25" s="450">
        <f t="shared" si="10"/>
        <v>0</v>
      </c>
      <c r="AQ25" s="450">
        <f t="shared" si="10"/>
        <v>0</v>
      </c>
      <c r="AR25" s="450">
        <f t="shared" si="10"/>
        <v>0</v>
      </c>
      <c r="AS25" s="450">
        <f t="shared" si="10"/>
        <v>0</v>
      </c>
      <c r="AT25" s="450">
        <f t="shared" si="10"/>
        <v>0</v>
      </c>
      <c r="AU25" s="495"/>
      <c r="AV25" s="495"/>
      <c r="AW25" s="495"/>
      <c r="AX25" s="495"/>
      <c r="AY25" s="450">
        <f>SUM(AY26:AY27)</f>
        <v>0</v>
      </c>
    </row>
    <row r="26" spans="1:51" s="460" customFormat="1" ht="11.25" x14ac:dyDescent="0.2">
      <c r="A26" s="455"/>
      <c r="B26" s="456" t="s">
        <v>59</v>
      </c>
      <c r="C26" s="718" t="s">
        <v>1451</v>
      </c>
      <c r="D26" s="718"/>
      <c r="E26" s="718"/>
      <c r="F26" s="719"/>
      <c r="G26" s="448" t="s">
        <v>335</v>
      </c>
      <c r="H26" s="449"/>
      <c r="I26" s="458"/>
      <c r="J26" s="458"/>
      <c r="K26" s="458"/>
      <c r="L26" s="458"/>
      <c r="M26" s="458"/>
      <c r="N26" s="458"/>
      <c r="O26" s="458"/>
      <c r="P26" s="458"/>
      <c r="Q26" s="458"/>
      <c r="R26" s="458"/>
      <c r="S26" s="458"/>
      <c r="T26" s="458"/>
      <c r="U26" s="458"/>
      <c r="V26" s="458"/>
      <c r="W26" s="458"/>
      <c r="X26" s="458"/>
      <c r="Y26" s="458"/>
      <c r="Z26" s="458"/>
      <c r="AA26" s="458"/>
      <c r="AB26" s="458"/>
      <c r="AC26" s="458"/>
      <c r="AD26" s="458"/>
      <c r="AE26" s="458"/>
      <c r="AF26" s="458"/>
      <c r="AG26" s="458"/>
      <c r="AH26" s="458"/>
      <c r="AI26" s="458"/>
      <c r="AJ26" s="458"/>
      <c r="AK26" s="495"/>
      <c r="AL26" s="495"/>
      <c r="AM26" s="458"/>
      <c r="AN26" s="458"/>
      <c r="AO26" s="458"/>
      <c r="AP26" s="458"/>
      <c r="AQ26" s="458"/>
      <c r="AR26" s="458"/>
      <c r="AS26" s="458"/>
      <c r="AT26" s="458"/>
      <c r="AU26" s="495"/>
      <c r="AV26" s="495"/>
      <c r="AW26" s="495"/>
      <c r="AX26" s="495"/>
      <c r="AY26" s="450">
        <f>J26+L26+N26+P26+R26+T26+V26+X26+Z26+AB26+AD26+AF26+AH26+AJ26+AL26+AN26+AP26+AR26+AT26+AV26+AX26</f>
        <v>0</v>
      </c>
    </row>
    <row r="27" spans="1:51" s="460" customFormat="1" ht="11.25" x14ac:dyDescent="0.2">
      <c r="A27" s="455"/>
      <c r="B27" s="456" t="s">
        <v>69</v>
      </c>
      <c r="C27" s="718" t="s">
        <v>1452</v>
      </c>
      <c r="D27" s="718"/>
      <c r="E27" s="718"/>
      <c r="F27" s="719"/>
      <c r="G27" s="448" t="s">
        <v>336</v>
      </c>
      <c r="H27" s="449"/>
      <c r="I27" s="458"/>
      <c r="J27" s="458"/>
      <c r="K27" s="458"/>
      <c r="L27" s="458"/>
      <c r="M27" s="458"/>
      <c r="N27" s="458"/>
      <c r="O27" s="458"/>
      <c r="P27" s="458"/>
      <c r="Q27" s="458"/>
      <c r="R27" s="458"/>
      <c r="S27" s="458"/>
      <c r="T27" s="458"/>
      <c r="U27" s="458"/>
      <c r="V27" s="458"/>
      <c r="W27" s="458"/>
      <c r="X27" s="458"/>
      <c r="Y27" s="458"/>
      <c r="Z27" s="458"/>
      <c r="AA27" s="458"/>
      <c r="AB27" s="458"/>
      <c r="AC27" s="458"/>
      <c r="AD27" s="458"/>
      <c r="AE27" s="458"/>
      <c r="AF27" s="458"/>
      <c r="AG27" s="458"/>
      <c r="AH27" s="458"/>
      <c r="AI27" s="458"/>
      <c r="AJ27" s="458"/>
      <c r="AK27" s="495"/>
      <c r="AL27" s="495"/>
      <c r="AM27" s="458"/>
      <c r="AN27" s="458"/>
      <c r="AO27" s="458"/>
      <c r="AP27" s="458"/>
      <c r="AQ27" s="458"/>
      <c r="AR27" s="458"/>
      <c r="AS27" s="458"/>
      <c r="AT27" s="458"/>
      <c r="AU27" s="495"/>
      <c r="AV27" s="495"/>
      <c r="AW27" s="495"/>
      <c r="AX27" s="495"/>
      <c r="AY27" s="450">
        <f>J27+L27+N27+P27+R27+T27+V27+X27+Z27+AB27+AD27+AF27+AH27+AJ27+AL27+AN27+AP27+AR27+AT27+AV27+AX27</f>
        <v>0</v>
      </c>
    </row>
    <row r="28" spans="1:51" s="460" customFormat="1" ht="11.25" customHeight="1" x14ac:dyDescent="0.2">
      <c r="A28" s="462" t="s">
        <v>257</v>
      </c>
      <c r="B28" s="723" t="s">
        <v>983</v>
      </c>
      <c r="C28" s="723"/>
      <c r="D28" s="723"/>
      <c r="E28" s="723"/>
      <c r="F28" s="724"/>
      <c r="G28" s="448" t="s">
        <v>337</v>
      </c>
      <c r="H28" s="449"/>
      <c r="I28" s="496"/>
      <c r="J28" s="496"/>
      <c r="K28" s="496"/>
      <c r="L28" s="496"/>
      <c r="M28" s="496"/>
      <c r="N28" s="496"/>
      <c r="O28" s="496"/>
      <c r="P28" s="496"/>
      <c r="Q28" s="496"/>
      <c r="R28" s="496"/>
      <c r="S28" s="496"/>
      <c r="T28" s="496"/>
      <c r="U28" s="496"/>
      <c r="V28" s="496"/>
      <c r="W28" s="496"/>
      <c r="X28" s="496"/>
      <c r="Y28" s="496"/>
      <c r="Z28" s="496"/>
      <c r="AA28" s="497"/>
      <c r="AB28" s="497"/>
      <c r="AC28" s="496"/>
      <c r="AD28" s="496"/>
      <c r="AE28" s="458"/>
      <c r="AF28" s="458"/>
      <c r="AG28" s="495"/>
      <c r="AH28" s="495"/>
      <c r="AI28" s="495"/>
      <c r="AJ28" s="495"/>
      <c r="AK28" s="495"/>
      <c r="AL28" s="495"/>
      <c r="AM28" s="495"/>
      <c r="AN28" s="495"/>
      <c r="AO28" s="495"/>
      <c r="AP28" s="495"/>
      <c r="AQ28" s="495"/>
      <c r="AR28" s="495"/>
      <c r="AS28" s="495"/>
      <c r="AT28" s="495"/>
      <c r="AU28" s="495"/>
      <c r="AV28" s="495"/>
      <c r="AW28" s="495"/>
      <c r="AX28" s="495"/>
      <c r="AY28" s="450">
        <f>J28+L28+N28+P28+R28+T28+V28+X28+Z28+AB28+AD28+AF28+AH28+AJ28+AL28+AN28+AP28+AR28+AT28+AV28+AX28</f>
        <v>0</v>
      </c>
    </row>
    <row r="29" spans="1:51" s="460" customFormat="1" ht="11.25" x14ac:dyDescent="0.2">
      <c r="A29" s="461" t="s">
        <v>74</v>
      </c>
      <c r="B29" s="718" t="s">
        <v>77</v>
      </c>
      <c r="C29" s="718"/>
      <c r="D29" s="718"/>
      <c r="E29" s="718"/>
      <c r="F29" s="719"/>
      <c r="G29" s="448" t="s">
        <v>338</v>
      </c>
      <c r="H29" s="449"/>
      <c r="I29" s="450">
        <f t="shared" ref="I29:AJ29" si="11">SUM(I30:I31)</f>
        <v>0</v>
      </c>
      <c r="J29" s="450">
        <f t="shared" si="11"/>
        <v>0</v>
      </c>
      <c r="K29" s="450">
        <f t="shared" si="11"/>
        <v>0</v>
      </c>
      <c r="L29" s="450">
        <f t="shared" si="11"/>
        <v>0</v>
      </c>
      <c r="M29" s="450">
        <f t="shared" si="11"/>
        <v>0</v>
      </c>
      <c r="N29" s="450">
        <f t="shared" si="11"/>
        <v>0</v>
      </c>
      <c r="O29" s="450">
        <f t="shared" si="11"/>
        <v>0</v>
      </c>
      <c r="P29" s="450">
        <f t="shared" si="11"/>
        <v>0</v>
      </c>
      <c r="Q29" s="450">
        <f t="shared" si="11"/>
        <v>0</v>
      </c>
      <c r="R29" s="450">
        <f t="shared" si="11"/>
        <v>0</v>
      </c>
      <c r="S29" s="450">
        <f t="shared" si="11"/>
        <v>0</v>
      </c>
      <c r="T29" s="450">
        <f t="shared" si="11"/>
        <v>0</v>
      </c>
      <c r="U29" s="450">
        <f t="shared" si="11"/>
        <v>0</v>
      </c>
      <c r="V29" s="450">
        <f t="shared" si="11"/>
        <v>0</v>
      </c>
      <c r="W29" s="450">
        <f t="shared" si="11"/>
        <v>0</v>
      </c>
      <c r="X29" s="450">
        <f t="shared" si="11"/>
        <v>0</v>
      </c>
      <c r="Y29" s="450">
        <f t="shared" si="11"/>
        <v>0</v>
      </c>
      <c r="Z29" s="450">
        <f t="shared" si="11"/>
        <v>0</v>
      </c>
      <c r="AA29" s="450">
        <f t="shared" si="11"/>
        <v>0</v>
      </c>
      <c r="AB29" s="450">
        <f t="shared" si="11"/>
        <v>0</v>
      </c>
      <c r="AC29" s="450">
        <f t="shared" si="11"/>
        <v>0</v>
      </c>
      <c r="AD29" s="450">
        <f t="shared" si="11"/>
        <v>0</v>
      </c>
      <c r="AE29" s="450">
        <f t="shared" si="11"/>
        <v>0</v>
      </c>
      <c r="AF29" s="450">
        <f t="shared" si="11"/>
        <v>0</v>
      </c>
      <c r="AG29" s="450">
        <f t="shared" si="11"/>
        <v>0</v>
      </c>
      <c r="AH29" s="450">
        <f t="shared" si="11"/>
        <v>0</v>
      </c>
      <c r="AI29" s="450">
        <f t="shared" si="11"/>
        <v>0</v>
      </c>
      <c r="AJ29" s="450">
        <f t="shared" si="11"/>
        <v>0</v>
      </c>
      <c r="AK29" s="495"/>
      <c r="AL29" s="495"/>
      <c r="AM29" s="450">
        <f t="shared" ref="AM29:AT29" si="12">SUM(AM30:AM31)</f>
        <v>0</v>
      </c>
      <c r="AN29" s="450">
        <f t="shared" si="12"/>
        <v>0</v>
      </c>
      <c r="AO29" s="450">
        <f t="shared" si="12"/>
        <v>0</v>
      </c>
      <c r="AP29" s="450">
        <f t="shared" si="12"/>
        <v>0</v>
      </c>
      <c r="AQ29" s="450">
        <f t="shared" si="12"/>
        <v>0</v>
      </c>
      <c r="AR29" s="450">
        <f t="shared" si="12"/>
        <v>0</v>
      </c>
      <c r="AS29" s="450">
        <f t="shared" si="12"/>
        <v>0</v>
      </c>
      <c r="AT29" s="450">
        <f t="shared" si="12"/>
        <v>0</v>
      </c>
      <c r="AU29" s="495"/>
      <c r="AV29" s="495"/>
      <c r="AW29" s="495"/>
      <c r="AX29" s="495"/>
      <c r="AY29" s="450">
        <f>SUM(AY30:AY31)</f>
        <v>0</v>
      </c>
    </row>
    <row r="30" spans="1:51" s="460" customFormat="1" ht="11.25" x14ac:dyDescent="0.2">
      <c r="A30" s="455"/>
      <c r="B30" s="456" t="s">
        <v>59</v>
      </c>
      <c r="C30" s="718" t="s">
        <v>78</v>
      </c>
      <c r="D30" s="718"/>
      <c r="E30" s="718"/>
      <c r="F30" s="719"/>
      <c r="G30" s="448" t="s">
        <v>339</v>
      </c>
      <c r="H30" s="449"/>
      <c r="I30" s="496"/>
      <c r="J30" s="496"/>
      <c r="K30" s="496"/>
      <c r="L30" s="496"/>
      <c r="M30" s="496"/>
      <c r="N30" s="496"/>
      <c r="O30" s="496"/>
      <c r="P30" s="496"/>
      <c r="Q30" s="496"/>
      <c r="R30" s="496"/>
      <c r="S30" s="496"/>
      <c r="T30" s="496"/>
      <c r="U30" s="496"/>
      <c r="V30" s="496"/>
      <c r="W30" s="496"/>
      <c r="X30" s="496"/>
      <c r="Y30" s="496"/>
      <c r="Z30" s="496"/>
      <c r="AA30" s="497"/>
      <c r="AB30" s="497"/>
      <c r="AC30" s="458"/>
      <c r="AD30" s="458"/>
      <c r="AE30" s="495"/>
      <c r="AF30" s="495"/>
      <c r="AG30" s="495"/>
      <c r="AH30" s="495"/>
      <c r="AI30" s="495"/>
      <c r="AJ30" s="495"/>
      <c r="AK30" s="495"/>
      <c r="AL30" s="495"/>
      <c r="AM30" s="495"/>
      <c r="AN30" s="495"/>
      <c r="AO30" s="495"/>
      <c r="AP30" s="495"/>
      <c r="AQ30" s="495"/>
      <c r="AR30" s="495"/>
      <c r="AS30" s="495"/>
      <c r="AT30" s="495"/>
      <c r="AU30" s="495"/>
      <c r="AV30" s="495"/>
      <c r="AW30" s="495"/>
      <c r="AX30" s="495"/>
      <c r="AY30" s="450">
        <f>J30+L30+N30+P30+R30+T30+V30+X30+Z30+AB30+AD30+AF30+AH30+AJ30+AL30+AN30+AP30+AR30+AT30+AV30+AX30</f>
        <v>0</v>
      </c>
    </row>
    <row r="31" spans="1:51" s="460" customFormat="1" ht="11.25" x14ac:dyDescent="0.2">
      <c r="A31" s="455"/>
      <c r="B31" s="456" t="s">
        <v>61</v>
      </c>
      <c r="C31" s="718" t="s">
        <v>66</v>
      </c>
      <c r="D31" s="718"/>
      <c r="E31" s="718"/>
      <c r="F31" s="719"/>
      <c r="G31" s="448" t="s">
        <v>340</v>
      </c>
      <c r="H31" s="449"/>
      <c r="I31" s="458"/>
      <c r="J31" s="458"/>
      <c r="K31" s="458"/>
      <c r="L31" s="458"/>
      <c r="M31" s="458"/>
      <c r="N31" s="458"/>
      <c r="O31" s="458"/>
      <c r="P31" s="458"/>
      <c r="Q31" s="458"/>
      <c r="R31" s="458"/>
      <c r="S31" s="458"/>
      <c r="T31" s="458"/>
      <c r="U31" s="458"/>
      <c r="V31" s="458"/>
      <c r="W31" s="458"/>
      <c r="X31" s="458"/>
      <c r="Y31" s="458"/>
      <c r="Z31" s="458"/>
      <c r="AA31" s="458"/>
      <c r="AB31" s="458"/>
      <c r="AC31" s="495"/>
      <c r="AD31" s="495"/>
      <c r="AE31" s="458"/>
      <c r="AF31" s="458"/>
      <c r="AG31" s="458"/>
      <c r="AH31" s="458"/>
      <c r="AI31" s="458"/>
      <c r="AJ31" s="458"/>
      <c r="AK31" s="495"/>
      <c r="AL31" s="495"/>
      <c r="AM31" s="458"/>
      <c r="AN31" s="458"/>
      <c r="AO31" s="458"/>
      <c r="AP31" s="458"/>
      <c r="AQ31" s="458"/>
      <c r="AR31" s="458"/>
      <c r="AS31" s="458"/>
      <c r="AT31" s="458"/>
      <c r="AU31" s="495"/>
      <c r="AV31" s="495"/>
      <c r="AW31" s="495"/>
      <c r="AX31" s="495"/>
      <c r="AY31" s="450">
        <f>J31+L31+N31+P31+R31+T31+V31+X31+Z31+AB31+AD31+AF31+AH31+AJ31+AL31+AN31+AP31+AR31+AT31+AV31+AX31</f>
        <v>0</v>
      </c>
    </row>
    <row r="32" spans="1:51" s="460" customFormat="1" ht="11.25" customHeight="1" x14ac:dyDescent="0.2">
      <c r="A32" s="461" t="s">
        <v>76</v>
      </c>
      <c r="B32" s="723" t="s">
        <v>1337</v>
      </c>
      <c r="C32" s="723"/>
      <c r="D32" s="723"/>
      <c r="E32" s="723"/>
      <c r="F32" s="724"/>
      <c r="G32" s="463" t="s">
        <v>341</v>
      </c>
      <c r="H32" s="464"/>
      <c r="I32" s="495"/>
      <c r="J32" s="495"/>
      <c r="K32" s="495"/>
      <c r="L32" s="495"/>
      <c r="M32" s="495"/>
      <c r="N32" s="495"/>
      <c r="O32" s="495"/>
      <c r="P32" s="495"/>
      <c r="Q32" s="495"/>
      <c r="R32" s="495"/>
      <c r="S32" s="495"/>
      <c r="T32" s="495"/>
      <c r="U32" s="495"/>
      <c r="V32" s="495"/>
      <c r="W32" s="495"/>
      <c r="X32" s="495"/>
      <c r="Y32" s="495"/>
      <c r="Z32" s="495"/>
      <c r="AA32" s="495"/>
      <c r="AB32" s="495"/>
      <c r="AC32" s="495"/>
      <c r="AD32" s="495"/>
      <c r="AE32" s="458"/>
      <c r="AF32" s="458"/>
      <c r="AG32" s="495"/>
      <c r="AH32" s="495"/>
      <c r="AI32" s="495"/>
      <c r="AJ32" s="495"/>
      <c r="AK32" s="495"/>
      <c r="AL32" s="495"/>
      <c r="AM32" s="496"/>
      <c r="AN32" s="496"/>
      <c r="AO32" s="496"/>
      <c r="AP32" s="496"/>
      <c r="AQ32" s="496"/>
      <c r="AR32" s="496"/>
      <c r="AS32" s="496"/>
      <c r="AT32" s="496"/>
      <c r="AU32" s="495"/>
      <c r="AV32" s="495"/>
      <c r="AW32" s="495"/>
      <c r="AX32" s="495"/>
      <c r="AY32" s="450">
        <f>J32+L32+N32+P32+R32+T32+V32+X32+Z32+AB32+AD32+AF32+AH32+AJ32+AL32+AN32+AP32+AR32+AT32+AV32+AX32</f>
        <v>0</v>
      </c>
    </row>
    <row r="33" spans="1:59" s="460" customFormat="1" ht="11.25" x14ac:dyDescent="0.2">
      <c r="A33" s="462" t="s">
        <v>79</v>
      </c>
      <c r="B33" s="456" t="s">
        <v>85</v>
      </c>
      <c r="C33" s="456"/>
      <c r="D33" s="456"/>
      <c r="E33" s="456"/>
      <c r="F33" s="457"/>
      <c r="G33" s="448" t="s">
        <v>346</v>
      </c>
      <c r="H33" s="449"/>
      <c r="I33" s="458"/>
      <c r="J33" s="458"/>
      <c r="K33" s="458"/>
      <c r="L33" s="458"/>
      <c r="M33" s="458"/>
      <c r="N33" s="458"/>
      <c r="O33" s="496"/>
      <c r="P33" s="496"/>
      <c r="Q33" s="458"/>
      <c r="R33" s="458"/>
      <c r="S33" s="458"/>
      <c r="T33" s="458"/>
      <c r="U33" s="458"/>
      <c r="V33" s="458"/>
      <c r="W33" s="458"/>
      <c r="X33" s="458"/>
      <c r="Y33" s="458"/>
      <c r="Z33" s="458"/>
      <c r="AA33" s="458"/>
      <c r="AB33" s="458"/>
      <c r="AC33" s="495"/>
      <c r="AD33" s="495"/>
      <c r="AE33" s="458"/>
      <c r="AF33" s="458"/>
      <c r="AG33" s="458"/>
      <c r="AH33" s="458"/>
      <c r="AI33" s="458"/>
      <c r="AJ33" s="458"/>
      <c r="AK33" s="495"/>
      <c r="AL33" s="495"/>
      <c r="AM33" s="458"/>
      <c r="AN33" s="458"/>
      <c r="AO33" s="458"/>
      <c r="AP33" s="458"/>
      <c r="AQ33" s="458"/>
      <c r="AR33" s="458"/>
      <c r="AS33" s="458"/>
      <c r="AT33" s="458"/>
      <c r="AU33" s="458"/>
      <c r="AV33" s="458"/>
      <c r="AW33" s="495"/>
      <c r="AX33" s="495"/>
      <c r="AY33" s="450">
        <f>J33+L33+N33+P33+R33+T33+V33+X33+Z33+AB33+AD33+AF33+AH33+AJ33+AL33+AN33+AP33+AR33+AT33+AV33+AX33</f>
        <v>0</v>
      </c>
    </row>
    <row r="34" spans="1:59" s="460" customFormat="1" ht="11.25" x14ac:dyDescent="0.2">
      <c r="A34" s="447" t="s">
        <v>714</v>
      </c>
      <c r="B34" s="456"/>
      <c r="C34" s="456"/>
      <c r="D34" s="456"/>
      <c r="E34" s="456"/>
      <c r="F34" s="457"/>
      <c r="G34" s="448" t="s">
        <v>715</v>
      </c>
      <c r="H34" s="449"/>
      <c r="I34" s="495"/>
      <c r="J34" s="495"/>
      <c r="K34" s="495"/>
      <c r="L34" s="495"/>
      <c r="M34" s="495"/>
      <c r="N34" s="495"/>
      <c r="O34" s="495"/>
      <c r="P34" s="495"/>
      <c r="Q34" s="495"/>
      <c r="R34" s="495"/>
      <c r="S34" s="495"/>
      <c r="T34" s="495"/>
      <c r="U34" s="495"/>
      <c r="V34" s="495"/>
      <c r="W34" s="495"/>
      <c r="X34" s="495"/>
      <c r="Y34" s="495"/>
      <c r="Z34" s="495"/>
      <c r="AA34" s="495"/>
      <c r="AB34" s="495"/>
      <c r="AC34" s="495"/>
      <c r="AD34" s="495"/>
      <c r="AE34" s="495"/>
      <c r="AF34" s="495"/>
      <c r="AG34" s="495"/>
      <c r="AH34" s="495"/>
      <c r="AI34" s="495"/>
      <c r="AJ34" s="495"/>
      <c r="AK34" s="495"/>
      <c r="AL34" s="495"/>
      <c r="AM34" s="495"/>
      <c r="AN34" s="495"/>
      <c r="AO34" s="495"/>
      <c r="AP34" s="495"/>
      <c r="AQ34" s="495"/>
      <c r="AR34" s="495"/>
      <c r="AS34" s="495"/>
      <c r="AT34" s="495"/>
      <c r="AU34" s="495"/>
      <c r="AV34" s="495"/>
      <c r="AW34" s="495"/>
      <c r="AX34" s="495"/>
      <c r="AY34" s="450">
        <f>AY35</f>
        <v>0</v>
      </c>
    </row>
    <row r="35" spans="1:59" s="460" customFormat="1" ht="11.25" x14ac:dyDescent="0.2">
      <c r="A35" s="462" t="s">
        <v>81</v>
      </c>
      <c r="B35" s="456" t="s">
        <v>1467</v>
      </c>
      <c r="C35" s="456"/>
      <c r="D35" s="456"/>
      <c r="E35" s="456"/>
      <c r="F35" s="457"/>
      <c r="G35" s="448" t="s">
        <v>342</v>
      </c>
      <c r="H35" s="449"/>
      <c r="I35" s="495"/>
      <c r="J35" s="495"/>
      <c r="K35" s="495"/>
      <c r="L35" s="495"/>
      <c r="M35" s="495"/>
      <c r="N35" s="495"/>
      <c r="O35" s="495"/>
      <c r="P35" s="495"/>
      <c r="Q35" s="495"/>
      <c r="R35" s="495"/>
      <c r="S35" s="495"/>
      <c r="T35" s="495"/>
      <c r="U35" s="495"/>
      <c r="V35" s="495"/>
      <c r="W35" s="495"/>
      <c r="X35" s="495"/>
      <c r="Y35" s="495"/>
      <c r="Z35" s="495"/>
      <c r="AA35" s="495"/>
      <c r="AB35" s="495"/>
      <c r="AC35" s="495"/>
      <c r="AD35" s="495"/>
      <c r="AE35" s="495"/>
      <c r="AF35" s="495"/>
      <c r="AG35" s="495"/>
      <c r="AH35" s="495"/>
      <c r="AI35" s="495"/>
      <c r="AJ35" s="495"/>
      <c r="AK35" s="495"/>
      <c r="AL35" s="495"/>
      <c r="AM35" s="495"/>
      <c r="AN35" s="495"/>
      <c r="AO35" s="495"/>
      <c r="AP35" s="495"/>
      <c r="AQ35" s="495"/>
      <c r="AR35" s="495"/>
      <c r="AS35" s="495"/>
      <c r="AT35" s="495"/>
      <c r="AU35" s="495"/>
      <c r="AV35" s="495"/>
      <c r="AW35" s="495"/>
      <c r="AX35" s="495"/>
      <c r="AY35" s="450">
        <f>AY36+AY37+AY40+AY41</f>
        <v>0</v>
      </c>
    </row>
    <row r="36" spans="1:59" s="452" customFormat="1" x14ac:dyDescent="0.2">
      <c r="A36" s="455"/>
      <c r="B36" s="456" t="s">
        <v>59</v>
      </c>
      <c r="C36" s="718" t="s">
        <v>82</v>
      </c>
      <c r="D36" s="718"/>
      <c r="E36" s="718"/>
      <c r="F36" s="719"/>
      <c r="G36" s="448" t="s">
        <v>343</v>
      </c>
      <c r="H36" s="449"/>
      <c r="I36" s="495"/>
      <c r="J36" s="495"/>
      <c r="K36" s="495"/>
      <c r="L36" s="495"/>
      <c r="M36" s="495"/>
      <c r="N36" s="495"/>
      <c r="O36" s="495"/>
      <c r="P36" s="495"/>
      <c r="Q36" s="495"/>
      <c r="R36" s="495"/>
      <c r="S36" s="495"/>
      <c r="T36" s="495"/>
      <c r="U36" s="495"/>
      <c r="V36" s="495"/>
      <c r="W36" s="495"/>
      <c r="X36" s="495"/>
      <c r="Y36" s="495"/>
      <c r="Z36" s="495"/>
      <c r="AA36" s="495"/>
      <c r="AB36" s="495"/>
      <c r="AC36" s="495"/>
      <c r="AD36" s="495"/>
      <c r="AE36" s="495"/>
      <c r="AF36" s="495"/>
      <c r="AG36" s="495"/>
      <c r="AH36" s="495"/>
      <c r="AI36" s="495"/>
      <c r="AJ36" s="495"/>
      <c r="AK36" s="495"/>
      <c r="AL36" s="495"/>
      <c r="AM36" s="495"/>
      <c r="AN36" s="495"/>
      <c r="AO36" s="495"/>
      <c r="AP36" s="495"/>
      <c r="AQ36" s="495"/>
      <c r="AR36" s="495"/>
      <c r="AS36" s="495"/>
      <c r="AT36" s="495"/>
      <c r="AU36" s="495"/>
      <c r="AV36" s="495"/>
      <c r="AW36" s="495"/>
      <c r="AX36" s="495"/>
      <c r="AY36" s="458"/>
    </row>
    <row r="37" spans="1:59" s="452" customFormat="1" x14ac:dyDescent="0.2">
      <c r="A37" s="455"/>
      <c r="B37" s="456" t="s">
        <v>61</v>
      </c>
      <c r="C37" s="662" t="s">
        <v>1457</v>
      </c>
      <c r="D37" s="662"/>
      <c r="E37" s="662"/>
      <c r="F37" s="663"/>
      <c r="G37" s="448" t="s">
        <v>344</v>
      </c>
      <c r="H37" s="449"/>
      <c r="I37" s="495"/>
      <c r="J37" s="495"/>
      <c r="K37" s="495"/>
      <c r="L37" s="495"/>
      <c r="M37" s="495"/>
      <c r="N37" s="495"/>
      <c r="O37" s="495"/>
      <c r="P37" s="495"/>
      <c r="Q37" s="495"/>
      <c r="R37" s="495"/>
      <c r="S37" s="495"/>
      <c r="T37" s="495"/>
      <c r="U37" s="495"/>
      <c r="V37" s="495"/>
      <c r="W37" s="495"/>
      <c r="X37" s="495"/>
      <c r="Y37" s="495"/>
      <c r="Z37" s="495"/>
      <c r="AA37" s="495"/>
      <c r="AB37" s="495"/>
      <c r="AC37" s="495"/>
      <c r="AD37" s="495"/>
      <c r="AE37" s="495"/>
      <c r="AF37" s="495"/>
      <c r="AG37" s="495"/>
      <c r="AH37" s="495"/>
      <c r="AI37" s="495"/>
      <c r="AJ37" s="495"/>
      <c r="AK37" s="495"/>
      <c r="AL37" s="495"/>
      <c r="AM37" s="495"/>
      <c r="AN37" s="495"/>
      <c r="AO37" s="495"/>
      <c r="AP37" s="495"/>
      <c r="AQ37" s="495"/>
      <c r="AR37" s="495"/>
      <c r="AS37" s="495"/>
      <c r="AT37" s="495"/>
      <c r="AU37" s="495"/>
      <c r="AV37" s="495"/>
      <c r="AW37" s="495"/>
      <c r="AX37" s="495"/>
      <c r="AY37" s="450">
        <f>AY38+AY39</f>
        <v>0</v>
      </c>
    </row>
    <row r="38" spans="1:59" s="452" customFormat="1" x14ac:dyDescent="0.2">
      <c r="A38" s="455"/>
      <c r="B38" s="456"/>
      <c r="C38" s="456" t="s">
        <v>54</v>
      </c>
      <c r="D38" s="456" t="s">
        <v>83</v>
      </c>
      <c r="E38" s="456"/>
      <c r="F38" s="456"/>
      <c r="G38" s="616" t="s">
        <v>1459</v>
      </c>
      <c r="H38" s="449"/>
      <c r="I38" s="495"/>
      <c r="J38" s="495"/>
      <c r="K38" s="495"/>
      <c r="L38" s="495"/>
      <c r="M38" s="495"/>
      <c r="N38" s="495"/>
      <c r="O38" s="495"/>
      <c r="P38" s="495"/>
      <c r="Q38" s="495"/>
      <c r="R38" s="495"/>
      <c r="S38" s="495"/>
      <c r="T38" s="495"/>
      <c r="U38" s="495"/>
      <c r="V38" s="495"/>
      <c r="W38" s="495"/>
      <c r="X38" s="495"/>
      <c r="Y38" s="495"/>
      <c r="Z38" s="495"/>
      <c r="AA38" s="495"/>
      <c r="AB38" s="495"/>
      <c r="AC38" s="495"/>
      <c r="AD38" s="495"/>
      <c r="AE38" s="495"/>
      <c r="AF38" s="495"/>
      <c r="AG38" s="495"/>
      <c r="AH38" s="495"/>
      <c r="AI38" s="495"/>
      <c r="AJ38" s="495"/>
      <c r="AK38" s="495"/>
      <c r="AL38" s="495"/>
      <c r="AM38" s="495"/>
      <c r="AN38" s="495"/>
      <c r="AO38" s="495"/>
      <c r="AP38" s="495"/>
      <c r="AQ38" s="495"/>
      <c r="AR38" s="495"/>
      <c r="AS38" s="495"/>
      <c r="AT38" s="495"/>
      <c r="AU38" s="495"/>
      <c r="AV38" s="495"/>
      <c r="AW38" s="495"/>
      <c r="AX38" s="495"/>
      <c r="AY38" s="458"/>
    </row>
    <row r="39" spans="1:59" s="452" customFormat="1" x14ac:dyDescent="0.2">
      <c r="A39" s="455"/>
      <c r="B39" s="456"/>
      <c r="C39" s="456" t="s">
        <v>55</v>
      </c>
      <c r="D39" s="456" t="s">
        <v>1458</v>
      </c>
      <c r="E39" s="456"/>
      <c r="F39" s="456"/>
      <c r="G39" s="616" t="s">
        <v>1460</v>
      </c>
      <c r="H39" s="449"/>
      <c r="I39" s="495"/>
      <c r="J39" s="495"/>
      <c r="K39" s="495"/>
      <c r="L39" s="495"/>
      <c r="M39" s="495"/>
      <c r="N39" s="495"/>
      <c r="O39" s="495"/>
      <c r="P39" s="495"/>
      <c r="Q39" s="495"/>
      <c r="R39" s="495"/>
      <c r="S39" s="495"/>
      <c r="T39" s="495"/>
      <c r="U39" s="495"/>
      <c r="V39" s="495"/>
      <c r="W39" s="495"/>
      <c r="X39" s="495"/>
      <c r="Y39" s="495"/>
      <c r="Z39" s="495"/>
      <c r="AA39" s="495"/>
      <c r="AB39" s="495"/>
      <c r="AC39" s="495"/>
      <c r="AD39" s="495"/>
      <c r="AE39" s="495"/>
      <c r="AF39" s="495"/>
      <c r="AG39" s="495"/>
      <c r="AH39" s="495"/>
      <c r="AI39" s="495"/>
      <c r="AJ39" s="495"/>
      <c r="AK39" s="495"/>
      <c r="AL39" s="495"/>
      <c r="AM39" s="495"/>
      <c r="AN39" s="495"/>
      <c r="AO39" s="495"/>
      <c r="AP39" s="495"/>
      <c r="AQ39" s="495"/>
      <c r="AR39" s="495"/>
      <c r="AS39" s="495"/>
      <c r="AT39" s="495"/>
      <c r="AU39" s="495"/>
      <c r="AV39" s="495"/>
      <c r="AW39" s="495"/>
      <c r="AX39" s="495"/>
      <c r="AY39" s="458"/>
    </row>
    <row r="40" spans="1:59" s="452" customFormat="1" x14ac:dyDescent="0.2">
      <c r="A40" s="455"/>
      <c r="B40" s="467" t="s">
        <v>71</v>
      </c>
      <c r="C40" s="467" t="s">
        <v>1468</v>
      </c>
      <c r="D40" s="467"/>
      <c r="E40" s="467"/>
      <c r="F40" s="604"/>
      <c r="G40" s="603" t="s">
        <v>1435</v>
      </c>
      <c r="H40" s="449"/>
      <c r="I40" s="495"/>
      <c r="J40" s="495"/>
      <c r="K40" s="495"/>
      <c r="L40" s="495"/>
      <c r="M40" s="495"/>
      <c r="N40" s="495"/>
      <c r="O40" s="495"/>
      <c r="P40" s="495"/>
      <c r="Q40" s="495"/>
      <c r="R40" s="495"/>
      <c r="S40" s="495"/>
      <c r="T40" s="495"/>
      <c r="U40" s="495"/>
      <c r="V40" s="495"/>
      <c r="W40" s="495"/>
      <c r="X40" s="495"/>
      <c r="Y40" s="495"/>
      <c r="Z40" s="495"/>
      <c r="AA40" s="495"/>
      <c r="AB40" s="495"/>
      <c r="AC40" s="495"/>
      <c r="AD40" s="495"/>
      <c r="AE40" s="495"/>
      <c r="AF40" s="495"/>
      <c r="AG40" s="495"/>
      <c r="AH40" s="495"/>
      <c r="AI40" s="495"/>
      <c r="AJ40" s="495"/>
      <c r="AK40" s="495"/>
      <c r="AL40" s="495"/>
      <c r="AM40" s="495"/>
      <c r="AN40" s="495"/>
      <c r="AO40" s="495"/>
      <c r="AP40" s="495"/>
      <c r="AQ40" s="495"/>
      <c r="AR40" s="495"/>
      <c r="AS40" s="495"/>
      <c r="AT40" s="495"/>
      <c r="AU40" s="495"/>
      <c r="AV40" s="495"/>
      <c r="AW40" s="495"/>
      <c r="AX40" s="495"/>
      <c r="AY40" s="458"/>
    </row>
    <row r="41" spans="1:59" s="452" customFormat="1" x14ac:dyDescent="0.2">
      <c r="A41" s="455"/>
      <c r="B41" s="456" t="s">
        <v>1433</v>
      </c>
      <c r="C41" s="718" t="s">
        <v>52</v>
      </c>
      <c r="D41" s="718"/>
      <c r="E41" s="718"/>
      <c r="F41" s="719"/>
      <c r="G41" s="448" t="s">
        <v>345</v>
      </c>
      <c r="H41" s="449"/>
      <c r="I41" s="495"/>
      <c r="J41" s="495"/>
      <c r="K41" s="495"/>
      <c r="L41" s="495"/>
      <c r="M41" s="495"/>
      <c r="N41" s="495"/>
      <c r="O41" s="495"/>
      <c r="P41" s="495"/>
      <c r="Q41" s="495"/>
      <c r="R41" s="495"/>
      <c r="S41" s="495"/>
      <c r="T41" s="495"/>
      <c r="U41" s="495"/>
      <c r="V41" s="495"/>
      <c r="W41" s="495"/>
      <c r="X41" s="495"/>
      <c r="Y41" s="495"/>
      <c r="Z41" s="495"/>
      <c r="AA41" s="495"/>
      <c r="AB41" s="495"/>
      <c r="AC41" s="495"/>
      <c r="AD41" s="495"/>
      <c r="AE41" s="495"/>
      <c r="AF41" s="495"/>
      <c r="AG41" s="495"/>
      <c r="AH41" s="495"/>
      <c r="AI41" s="495"/>
      <c r="AJ41" s="495"/>
      <c r="AK41" s="495"/>
      <c r="AL41" s="495"/>
      <c r="AM41" s="495"/>
      <c r="AN41" s="495"/>
      <c r="AO41" s="495"/>
      <c r="AP41" s="495"/>
      <c r="AQ41" s="495"/>
      <c r="AR41" s="495"/>
      <c r="AS41" s="495"/>
      <c r="AT41" s="495"/>
      <c r="AU41" s="495"/>
      <c r="AV41" s="495"/>
      <c r="AW41" s="495"/>
      <c r="AX41" s="495"/>
      <c r="AY41" s="458"/>
    </row>
    <row r="42" spans="1:59" s="452" customFormat="1" x14ac:dyDescent="0.2">
      <c r="A42" s="725" t="s">
        <v>86</v>
      </c>
      <c r="B42" s="718"/>
      <c r="C42" s="718"/>
      <c r="D42" s="718"/>
      <c r="E42" s="718"/>
      <c r="F42" s="719"/>
      <c r="G42" s="448" t="s">
        <v>347</v>
      </c>
      <c r="H42" s="449"/>
      <c r="I42" s="495"/>
      <c r="J42" s="495"/>
      <c r="K42" s="495"/>
      <c r="L42" s="495"/>
      <c r="M42" s="495"/>
      <c r="N42" s="495"/>
      <c r="O42" s="495"/>
      <c r="P42" s="495"/>
      <c r="Q42" s="495"/>
      <c r="R42" s="495"/>
      <c r="S42" s="495"/>
      <c r="T42" s="495"/>
      <c r="U42" s="495"/>
      <c r="V42" s="495"/>
      <c r="W42" s="495"/>
      <c r="X42" s="495"/>
      <c r="Y42" s="495"/>
      <c r="Z42" s="495"/>
      <c r="AA42" s="495"/>
      <c r="AB42" s="495"/>
      <c r="AC42" s="495"/>
      <c r="AD42" s="495"/>
      <c r="AE42" s="495"/>
      <c r="AF42" s="495"/>
      <c r="AG42" s="495"/>
      <c r="AH42" s="495"/>
      <c r="AI42" s="495"/>
      <c r="AJ42" s="495"/>
      <c r="AK42" s="495"/>
      <c r="AL42" s="495"/>
      <c r="AM42" s="495"/>
      <c r="AN42" s="495"/>
      <c r="AO42" s="495"/>
      <c r="AP42" s="495"/>
      <c r="AQ42" s="495"/>
      <c r="AR42" s="495"/>
      <c r="AS42" s="495"/>
      <c r="AT42" s="495"/>
      <c r="AU42" s="495"/>
      <c r="AV42" s="495"/>
      <c r="AW42" s="495"/>
      <c r="AX42" s="495"/>
      <c r="AY42" s="450">
        <f>SUM(AY43:AY46)</f>
        <v>0</v>
      </c>
      <c r="AZ42" s="465"/>
    </row>
    <row r="43" spans="1:59" s="452" customFormat="1" x14ac:dyDescent="0.2">
      <c r="A43" s="466" t="s">
        <v>54</v>
      </c>
      <c r="B43" s="715" t="s">
        <v>87</v>
      </c>
      <c r="C43" s="718"/>
      <c r="D43" s="718"/>
      <c r="E43" s="718"/>
      <c r="F43" s="719"/>
      <c r="G43" s="448" t="s">
        <v>348</v>
      </c>
      <c r="H43" s="449"/>
      <c r="I43" s="495"/>
      <c r="J43" s="495"/>
      <c r="K43" s="495"/>
      <c r="L43" s="495"/>
      <c r="M43" s="495"/>
      <c r="N43" s="495"/>
      <c r="O43" s="495"/>
      <c r="P43" s="495"/>
      <c r="Q43" s="495"/>
      <c r="R43" s="495"/>
      <c r="S43" s="495"/>
      <c r="T43" s="495"/>
      <c r="U43" s="495"/>
      <c r="V43" s="495"/>
      <c r="W43" s="495"/>
      <c r="X43" s="495"/>
      <c r="Y43" s="495"/>
      <c r="Z43" s="495"/>
      <c r="AA43" s="495"/>
      <c r="AB43" s="495"/>
      <c r="AC43" s="495"/>
      <c r="AD43" s="495"/>
      <c r="AE43" s="495"/>
      <c r="AF43" s="495"/>
      <c r="AG43" s="495"/>
      <c r="AH43" s="495"/>
      <c r="AI43" s="495"/>
      <c r="AJ43" s="495"/>
      <c r="AK43" s="495"/>
      <c r="AL43" s="495"/>
      <c r="AM43" s="495"/>
      <c r="AN43" s="495"/>
      <c r="AO43" s="495"/>
      <c r="AP43" s="495"/>
      <c r="AQ43" s="495"/>
      <c r="AR43" s="495"/>
      <c r="AS43" s="495"/>
      <c r="AT43" s="495"/>
      <c r="AU43" s="495"/>
      <c r="AV43" s="495"/>
      <c r="AW43" s="495"/>
      <c r="AX43" s="495"/>
      <c r="AY43" s="458"/>
    </row>
    <row r="44" spans="1:59" s="452" customFormat="1" x14ac:dyDescent="0.2">
      <c r="A44" s="466" t="s">
        <v>55</v>
      </c>
      <c r="B44" s="715" t="s">
        <v>88</v>
      </c>
      <c r="C44" s="718"/>
      <c r="D44" s="718"/>
      <c r="E44" s="718"/>
      <c r="F44" s="719"/>
      <c r="G44" s="448" t="s">
        <v>349</v>
      </c>
      <c r="H44" s="449"/>
      <c r="I44" s="495"/>
      <c r="J44" s="495"/>
      <c r="K44" s="495"/>
      <c r="L44" s="495"/>
      <c r="M44" s="495"/>
      <c r="N44" s="495"/>
      <c r="O44" s="495"/>
      <c r="P44" s="495"/>
      <c r="Q44" s="495"/>
      <c r="R44" s="495"/>
      <c r="S44" s="495"/>
      <c r="T44" s="495"/>
      <c r="U44" s="495"/>
      <c r="V44" s="495"/>
      <c r="W44" s="495"/>
      <c r="X44" s="495"/>
      <c r="Y44" s="495"/>
      <c r="Z44" s="495"/>
      <c r="AA44" s="495"/>
      <c r="AB44" s="495"/>
      <c r="AC44" s="495"/>
      <c r="AD44" s="495"/>
      <c r="AE44" s="495"/>
      <c r="AF44" s="495"/>
      <c r="AG44" s="495"/>
      <c r="AH44" s="495"/>
      <c r="AI44" s="495"/>
      <c r="AJ44" s="495"/>
      <c r="AK44" s="495"/>
      <c r="AL44" s="495"/>
      <c r="AM44" s="495"/>
      <c r="AN44" s="495"/>
      <c r="AO44" s="495"/>
      <c r="AP44" s="495"/>
      <c r="AQ44" s="495"/>
      <c r="AR44" s="495"/>
      <c r="AS44" s="495"/>
      <c r="AT44" s="495"/>
      <c r="AU44" s="495"/>
      <c r="AV44" s="495"/>
      <c r="AW44" s="495"/>
      <c r="AX44" s="495"/>
      <c r="AY44" s="458"/>
      <c r="AZ44" s="465"/>
      <c r="BA44" s="465"/>
      <c r="BB44" s="465"/>
      <c r="BC44" s="465"/>
      <c r="BD44" s="465"/>
      <c r="BE44" s="465"/>
      <c r="BF44" s="465"/>
      <c r="BG44" s="465"/>
    </row>
    <row r="45" spans="1:59" s="452" customFormat="1" x14ac:dyDescent="0.2">
      <c r="A45" s="466" t="s">
        <v>65</v>
      </c>
      <c r="B45" s="718" t="s">
        <v>89</v>
      </c>
      <c r="C45" s="718"/>
      <c r="D45" s="718"/>
      <c r="E45" s="718"/>
      <c r="F45" s="719"/>
      <c r="G45" s="448" t="s">
        <v>350</v>
      </c>
      <c r="H45" s="449"/>
      <c r="I45" s="495"/>
      <c r="J45" s="495"/>
      <c r="K45" s="495"/>
      <c r="L45" s="495"/>
      <c r="M45" s="495"/>
      <c r="N45" s="495"/>
      <c r="O45" s="495"/>
      <c r="P45" s="495"/>
      <c r="Q45" s="495"/>
      <c r="R45" s="495"/>
      <c r="S45" s="495"/>
      <c r="T45" s="495"/>
      <c r="U45" s="495"/>
      <c r="V45" s="495"/>
      <c r="W45" s="495"/>
      <c r="X45" s="495"/>
      <c r="Y45" s="495"/>
      <c r="Z45" s="495"/>
      <c r="AA45" s="495"/>
      <c r="AB45" s="495"/>
      <c r="AC45" s="495"/>
      <c r="AD45" s="495"/>
      <c r="AE45" s="495"/>
      <c r="AF45" s="495"/>
      <c r="AG45" s="495"/>
      <c r="AH45" s="495"/>
      <c r="AI45" s="495"/>
      <c r="AJ45" s="495"/>
      <c r="AK45" s="495"/>
      <c r="AL45" s="495"/>
      <c r="AM45" s="495"/>
      <c r="AN45" s="495"/>
      <c r="AO45" s="495"/>
      <c r="AP45" s="495"/>
      <c r="AQ45" s="495"/>
      <c r="AR45" s="495"/>
      <c r="AS45" s="495"/>
      <c r="AT45" s="495"/>
      <c r="AU45" s="495"/>
      <c r="AV45" s="495"/>
      <c r="AW45" s="495"/>
      <c r="AX45" s="495"/>
      <c r="AY45" s="458"/>
      <c r="AZ45" s="465"/>
      <c r="BA45" s="465"/>
      <c r="BB45" s="465"/>
      <c r="BC45" s="465"/>
      <c r="BD45" s="465"/>
      <c r="BE45" s="465"/>
      <c r="BF45" s="465"/>
      <c r="BG45" s="465"/>
    </row>
    <row r="46" spans="1:59" s="452" customFormat="1" x14ac:dyDescent="0.2">
      <c r="A46" s="466" t="s">
        <v>90</v>
      </c>
      <c r="B46" s="718" t="s">
        <v>91</v>
      </c>
      <c r="C46" s="718"/>
      <c r="D46" s="718"/>
      <c r="E46" s="718"/>
      <c r="F46" s="719"/>
      <c r="G46" s="448" t="s">
        <v>351</v>
      </c>
      <c r="H46" s="449"/>
      <c r="I46" s="495"/>
      <c r="J46" s="495"/>
      <c r="K46" s="495"/>
      <c r="L46" s="495"/>
      <c r="M46" s="495"/>
      <c r="N46" s="495"/>
      <c r="O46" s="495"/>
      <c r="P46" s="495"/>
      <c r="Q46" s="495"/>
      <c r="R46" s="495"/>
      <c r="S46" s="495"/>
      <c r="T46" s="495"/>
      <c r="U46" s="495"/>
      <c r="V46" s="495"/>
      <c r="W46" s="495"/>
      <c r="X46" s="495"/>
      <c r="Y46" s="495"/>
      <c r="Z46" s="495"/>
      <c r="AA46" s="495"/>
      <c r="AB46" s="495"/>
      <c r="AC46" s="495"/>
      <c r="AD46" s="495"/>
      <c r="AE46" s="495"/>
      <c r="AF46" s="495"/>
      <c r="AG46" s="495"/>
      <c r="AH46" s="495"/>
      <c r="AI46" s="495"/>
      <c r="AJ46" s="495"/>
      <c r="AK46" s="495"/>
      <c r="AL46" s="495"/>
      <c r="AM46" s="495"/>
      <c r="AN46" s="495"/>
      <c r="AO46" s="495"/>
      <c r="AP46" s="495"/>
      <c r="AQ46" s="495"/>
      <c r="AR46" s="495"/>
      <c r="AS46" s="495"/>
      <c r="AT46" s="495"/>
      <c r="AU46" s="495"/>
      <c r="AV46" s="495"/>
      <c r="AW46" s="495"/>
      <c r="AX46" s="495"/>
      <c r="AY46" s="458"/>
      <c r="AZ46" s="465"/>
      <c r="BA46" s="465"/>
      <c r="BB46" s="465"/>
      <c r="BC46" s="465"/>
      <c r="BD46" s="465"/>
      <c r="BE46" s="465"/>
      <c r="BF46" s="465"/>
      <c r="BG46" s="465"/>
    </row>
    <row r="47" spans="1:59" s="452" customFormat="1" x14ac:dyDescent="0.2">
      <c r="A47" s="468" t="s">
        <v>140</v>
      </c>
      <c r="B47" s="456"/>
      <c r="C47" s="469"/>
      <c r="D47" s="469"/>
      <c r="E47" s="469"/>
      <c r="F47" s="470"/>
      <c r="G47" s="448" t="s">
        <v>352</v>
      </c>
      <c r="H47" s="449"/>
      <c r="I47" s="450">
        <f t="shared" ref="I47:AV47" si="13">I42+I10</f>
        <v>0</v>
      </c>
      <c r="J47" s="450">
        <f t="shared" si="13"/>
        <v>0</v>
      </c>
      <c r="K47" s="450">
        <f t="shared" si="13"/>
        <v>0</v>
      </c>
      <c r="L47" s="450">
        <f t="shared" si="13"/>
        <v>0</v>
      </c>
      <c r="M47" s="450">
        <f t="shared" si="13"/>
        <v>0</v>
      </c>
      <c r="N47" s="450">
        <f t="shared" si="13"/>
        <v>0</v>
      </c>
      <c r="O47" s="450">
        <f t="shared" si="13"/>
        <v>0</v>
      </c>
      <c r="P47" s="450">
        <f t="shared" si="13"/>
        <v>0</v>
      </c>
      <c r="Q47" s="450">
        <f t="shared" si="13"/>
        <v>0</v>
      </c>
      <c r="R47" s="450">
        <f t="shared" si="13"/>
        <v>0</v>
      </c>
      <c r="S47" s="450">
        <f t="shared" si="13"/>
        <v>0</v>
      </c>
      <c r="T47" s="450">
        <f t="shared" si="13"/>
        <v>0</v>
      </c>
      <c r="U47" s="450">
        <f t="shared" si="13"/>
        <v>0</v>
      </c>
      <c r="V47" s="450">
        <f t="shared" si="13"/>
        <v>0</v>
      </c>
      <c r="W47" s="450">
        <f t="shared" si="13"/>
        <v>0</v>
      </c>
      <c r="X47" s="450">
        <f t="shared" si="13"/>
        <v>0</v>
      </c>
      <c r="Y47" s="450">
        <f t="shared" si="13"/>
        <v>0</v>
      </c>
      <c r="Z47" s="450">
        <f t="shared" si="13"/>
        <v>0</v>
      </c>
      <c r="AA47" s="450">
        <f t="shared" si="13"/>
        <v>0</v>
      </c>
      <c r="AB47" s="450">
        <f t="shared" si="13"/>
        <v>0</v>
      </c>
      <c r="AC47" s="450">
        <f t="shared" si="13"/>
        <v>0</v>
      </c>
      <c r="AD47" s="450">
        <f t="shared" si="13"/>
        <v>0</v>
      </c>
      <c r="AE47" s="450">
        <f t="shared" si="13"/>
        <v>0</v>
      </c>
      <c r="AF47" s="450">
        <f t="shared" si="13"/>
        <v>0</v>
      </c>
      <c r="AG47" s="450">
        <f t="shared" si="13"/>
        <v>0</v>
      </c>
      <c r="AH47" s="450">
        <f t="shared" si="13"/>
        <v>0</v>
      </c>
      <c r="AI47" s="450">
        <f t="shared" si="13"/>
        <v>0</v>
      </c>
      <c r="AJ47" s="450">
        <f t="shared" si="13"/>
        <v>0</v>
      </c>
      <c r="AK47" s="450">
        <f t="shared" si="13"/>
        <v>0</v>
      </c>
      <c r="AL47" s="450">
        <f t="shared" si="13"/>
        <v>0</v>
      </c>
      <c r="AM47" s="450">
        <f t="shared" si="13"/>
        <v>0</v>
      </c>
      <c r="AN47" s="450">
        <f t="shared" si="13"/>
        <v>0</v>
      </c>
      <c r="AO47" s="450">
        <f t="shared" si="13"/>
        <v>0</v>
      </c>
      <c r="AP47" s="450">
        <f t="shared" si="13"/>
        <v>0</v>
      </c>
      <c r="AQ47" s="450">
        <f t="shared" si="13"/>
        <v>0</v>
      </c>
      <c r="AR47" s="450">
        <f t="shared" si="13"/>
        <v>0</v>
      </c>
      <c r="AS47" s="450">
        <f t="shared" si="13"/>
        <v>0</v>
      </c>
      <c r="AT47" s="450">
        <f t="shared" si="13"/>
        <v>0</v>
      </c>
      <c r="AU47" s="450">
        <f t="shared" si="13"/>
        <v>0</v>
      </c>
      <c r="AV47" s="450">
        <f t="shared" si="13"/>
        <v>0</v>
      </c>
      <c r="AW47" s="495"/>
      <c r="AX47" s="495"/>
      <c r="AY47" s="450">
        <f>AY42+AY10</f>
        <v>0</v>
      </c>
    </row>
    <row r="48" spans="1:59" s="452" customFormat="1" x14ac:dyDescent="0.2">
      <c r="A48" s="720" t="s">
        <v>245</v>
      </c>
      <c r="B48" s="718"/>
      <c r="C48" s="718"/>
      <c r="D48" s="718"/>
      <c r="E48" s="718"/>
      <c r="F48" s="719"/>
      <c r="G48" s="448"/>
      <c r="H48" s="449"/>
      <c r="I48" s="495"/>
      <c r="J48" s="495"/>
      <c r="K48" s="495"/>
      <c r="L48" s="495"/>
      <c r="M48" s="495"/>
      <c r="N48" s="495"/>
      <c r="O48" s="495"/>
      <c r="P48" s="495"/>
      <c r="Q48" s="495"/>
      <c r="R48" s="495"/>
      <c r="S48" s="495"/>
      <c r="T48" s="495"/>
      <c r="U48" s="495"/>
      <c r="V48" s="495"/>
      <c r="W48" s="495"/>
      <c r="X48" s="495"/>
      <c r="Y48" s="495"/>
      <c r="Z48" s="495"/>
      <c r="AA48" s="495"/>
      <c r="AB48" s="495"/>
      <c r="AC48" s="495"/>
      <c r="AD48" s="495"/>
      <c r="AE48" s="495"/>
      <c r="AF48" s="495"/>
      <c r="AG48" s="495"/>
      <c r="AH48" s="495"/>
      <c r="AI48" s="495"/>
      <c r="AJ48" s="495"/>
      <c r="AK48" s="495"/>
      <c r="AL48" s="495"/>
      <c r="AM48" s="495"/>
      <c r="AN48" s="495"/>
      <c r="AO48" s="495"/>
      <c r="AP48" s="495"/>
      <c r="AQ48" s="495"/>
      <c r="AR48" s="495"/>
      <c r="AS48" s="495"/>
      <c r="AT48" s="495"/>
      <c r="AU48" s="495"/>
      <c r="AV48" s="495"/>
      <c r="AW48" s="495"/>
      <c r="AX48" s="495"/>
      <c r="AY48" s="495"/>
    </row>
    <row r="49" spans="1:51" s="452" customFormat="1" x14ac:dyDescent="0.2">
      <c r="A49" s="471" t="s">
        <v>54</v>
      </c>
      <c r="B49" s="472" t="s">
        <v>101</v>
      </c>
      <c r="C49" s="473"/>
      <c r="D49" s="473"/>
      <c r="E49" s="473"/>
      <c r="F49" s="474"/>
      <c r="G49" s="448" t="s">
        <v>716</v>
      </c>
      <c r="H49" s="449"/>
      <c r="I49" s="458"/>
      <c r="J49" s="458"/>
      <c r="K49" s="458"/>
      <c r="L49" s="458"/>
      <c r="M49" s="458"/>
      <c r="N49" s="458"/>
      <c r="O49" s="458"/>
      <c r="P49" s="458"/>
      <c r="Q49" s="458"/>
      <c r="R49" s="458"/>
      <c r="S49" s="458"/>
      <c r="T49" s="458"/>
      <c r="U49" s="458"/>
      <c r="V49" s="458"/>
      <c r="W49" s="458"/>
      <c r="X49" s="458"/>
      <c r="Y49" s="458"/>
      <c r="Z49" s="458"/>
      <c r="AA49" s="458"/>
      <c r="AB49" s="458"/>
      <c r="AC49" s="458"/>
      <c r="AD49" s="458"/>
      <c r="AE49" s="458"/>
      <c r="AF49" s="458"/>
      <c r="AG49" s="458"/>
      <c r="AH49" s="458"/>
      <c r="AI49" s="458"/>
      <c r="AJ49" s="458"/>
      <c r="AK49" s="458"/>
      <c r="AL49" s="458"/>
      <c r="AM49" s="458"/>
      <c r="AN49" s="458"/>
      <c r="AO49" s="458"/>
      <c r="AP49" s="458"/>
      <c r="AQ49" s="458"/>
      <c r="AR49" s="458"/>
      <c r="AS49" s="458"/>
      <c r="AT49" s="458"/>
      <c r="AU49" s="458"/>
      <c r="AV49" s="458"/>
      <c r="AW49" s="495"/>
      <c r="AX49" s="495"/>
      <c r="AY49" s="450">
        <f t="shared" ref="AY49:AY54" si="14">J49+L49+N49+P49+R49+T49+V49+X49+Z49+AB49+AD49+AF49+AH49+AJ49+AL49+AN49+AP49+AR49+AT49+AV49+AX49</f>
        <v>0</v>
      </c>
    </row>
    <row r="50" spans="1:51" s="452" customFormat="1" x14ac:dyDescent="0.2">
      <c r="A50" s="471" t="s">
        <v>55</v>
      </c>
      <c r="B50" s="467" t="s">
        <v>1475</v>
      </c>
      <c r="C50" s="625"/>
      <c r="D50" s="467"/>
      <c r="E50" s="625"/>
      <c r="F50" s="626"/>
      <c r="G50" s="448" t="s">
        <v>717</v>
      </c>
      <c r="H50" s="449"/>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8"/>
      <c r="AI50" s="458"/>
      <c r="AJ50" s="458"/>
      <c r="AK50" s="458"/>
      <c r="AL50" s="458"/>
      <c r="AM50" s="458"/>
      <c r="AN50" s="458"/>
      <c r="AO50" s="458"/>
      <c r="AP50" s="458"/>
      <c r="AQ50" s="458"/>
      <c r="AR50" s="458"/>
      <c r="AS50" s="458"/>
      <c r="AT50" s="458"/>
      <c r="AU50" s="458"/>
      <c r="AV50" s="458"/>
      <c r="AW50" s="495"/>
      <c r="AX50" s="495"/>
      <c r="AY50" s="450">
        <f t="shared" si="14"/>
        <v>0</v>
      </c>
    </row>
    <row r="51" spans="1:51" s="452" customFormat="1" x14ac:dyDescent="0.2">
      <c r="A51" s="471" t="s">
        <v>65</v>
      </c>
      <c r="B51" s="604" t="s">
        <v>1472</v>
      </c>
      <c r="C51" s="625"/>
      <c r="D51" s="467"/>
      <c r="E51" s="625"/>
      <c r="F51" s="626"/>
      <c r="G51" s="448" t="s">
        <v>718</v>
      </c>
      <c r="H51" s="449"/>
      <c r="I51" s="458"/>
      <c r="J51" s="458"/>
      <c r="K51" s="458"/>
      <c r="L51" s="458"/>
      <c r="M51" s="458"/>
      <c r="N51" s="458"/>
      <c r="O51" s="458"/>
      <c r="P51" s="458"/>
      <c r="Q51" s="458"/>
      <c r="R51" s="458"/>
      <c r="S51" s="458"/>
      <c r="T51" s="458"/>
      <c r="U51" s="458"/>
      <c r="V51" s="458"/>
      <c r="W51" s="458"/>
      <c r="X51" s="458"/>
      <c r="Y51" s="458"/>
      <c r="Z51" s="458"/>
      <c r="AA51" s="458"/>
      <c r="AB51" s="458"/>
      <c r="AC51" s="458"/>
      <c r="AD51" s="458"/>
      <c r="AE51" s="458"/>
      <c r="AF51" s="458"/>
      <c r="AG51" s="458"/>
      <c r="AH51" s="458"/>
      <c r="AI51" s="458"/>
      <c r="AJ51" s="458"/>
      <c r="AK51" s="458"/>
      <c r="AL51" s="458"/>
      <c r="AM51" s="458"/>
      <c r="AN51" s="458"/>
      <c r="AO51" s="458"/>
      <c r="AP51" s="458"/>
      <c r="AQ51" s="458"/>
      <c r="AR51" s="458"/>
      <c r="AS51" s="458"/>
      <c r="AT51" s="458"/>
      <c r="AU51" s="458"/>
      <c r="AV51" s="458"/>
      <c r="AW51" s="495"/>
      <c r="AX51" s="495"/>
      <c r="AY51" s="450">
        <f t="shared" si="14"/>
        <v>0</v>
      </c>
    </row>
    <row r="52" spans="1:51" s="452" customFormat="1" x14ac:dyDescent="0.2">
      <c r="A52" s="471" t="s">
        <v>90</v>
      </c>
      <c r="B52" s="721" t="s">
        <v>1473</v>
      </c>
      <c r="C52" s="721"/>
      <c r="D52" s="721"/>
      <c r="E52" s="721"/>
      <c r="F52" s="722"/>
      <c r="G52" s="448" t="s">
        <v>719</v>
      </c>
      <c r="H52" s="449"/>
      <c r="I52" s="458"/>
      <c r="J52" s="458"/>
      <c r="K52" s="458"/>
      <c r="L52" s="458"/>
      <c r="M52" s="458"/>
      <c r="N52" s="458"/>
      <c r="O52" s="458"/>
      <c r="P52" s="458"/>
      <c r="Q52" s="458"/>
      <c r="R52" s="458"/>
      <c r="S52" s="458"/>
      <c r="T52" s="458"/>
      <c r="U52" s="458"/>
      <c r="V52" s="458"/>
      <c r="W52" s="458"/>
      <c r="X52" s="458"/>
      <c r="Y52" s="458"/>
      <c r="Z52" s="458"/>
      <c r="AA52" s="458"/>
      <c r="AB52" s="458"/>
      <c r="AC52" s="458"/>
      <c r="AD52" s="458"/>
      <c r="AE52" s="458"/>
      <c r="AF52" s="458"/>
      <c r="AG52" s="458"/>
      <c r="AH52" s="458"/>
      <c r="AI52" s="458"/>
      <c r="AJ52" s="458"/>
      <c r="AK52" s="458"/>
      <c r="AL52" s="458"/>
      <c r="AM52" s="458"/>
      <c r="AN52" s="458"/>
      <c r="AO52" s="458"/>
      <c r="AP52" s="458"/>
      <c r="AQ52" s="458"/>
      <c r="AR52" s="458"/>
      <c r="AS52" s="458"/>
      <c r="AT52" s="458"/>
      <c r="AU52" s="458"/>
      <c r="AV52" s="458"/>
      <c r="AW52" s="495"/>
      <c r="AX52" s="495"/>
      <c r="AY52" s="450">
        <f t="shared" si="14"/>
        <v>0</v>
      </c>
    </row>
    <row r="53" spans="1:51" ht="25.5" customHeight="1" x14ac:dyDescent="0.2">
      <c r="A53" s="471" t="s">
        <v>257</v>
      </c>
      <c r="B53" s="714" t="s">
        <v>1449</v>
      </c>
      <c r="C53" s="714"/>
      <c r="D53" s="714"/>
      <c r="E53" s="714"/>
      <c r="F53" s="714"/>
      <c r="G53" s="475" t="s">
        <v>1338</v>
      </c>
      <c r="H53" s="476"/>
      <c r="I53" s="458"/>
      <c r="J53" s="458"/>
      <c r="K53" s="458"/>
      <c r="L53" s="458"/>
      <c r="M53" s="458"/>
      <c r="N53" s="458"/>
      <c r="O53" s="458"/>
      <c r="P53" s="458"/>
      <c r="Q53" s="458"/>
      <c r="R53" s="458"/>
      <c r="S53" s="458"/>
      <c r="T53" s="458"/>
      <c r="U53" s="458"/>
      <c r="V53" s="458"/>
      <c r="W53" s="458"/>
      <c r="X53" s="458"/>
      <c r="Y53" s="458"/>
      <c r="Z53" s="458"/>
      <c r="AA53" s="458"/>
      <c r="AB53" s="458"/>
      <c r="AC53" s="458"/>
      <c r="AD53" s="458"/>
      <c r="AE53" s="458"/>
      <c r="AF53" s="458"/>
      <c r="AG53" s="458"/>
      <c r="AH53" s="458"/>
      <c r="AI53" s="458"/>
      <c r="AJ53" s="458"/>
      <c r="AK53" s="458"/>
      <c r="AL53" s="458"/>
      <c r="AM53" s="458"/>
      <c r="AN53" s="458"/>
      <c r="AO53" s="458"/>
      <c r="AP53" s="458"/>
      <c r="AQ53" s="458"/>
      <c r="AR53" s="458"/>
      <c r="AS53" s="458"/>
      <c r="AT53" s="458"/>
      <c r="AU53" s="458"/>
      <c r="AV53" s="458"/>
      <c r="AW53" s="495"/>
      <c r="AX53" s="495"/>
      <c r="AY53" s="450">
        <f t="shared" si="14"/>
        <v>0</v>
      </c>
    </row>
    <row r="54" spans="1:51" ht="26.25" customHeight="1" x14ac:dyDescent="0.2">
      <c r="A54" s="471" t="s">
        <v>74</v>
      </c>
      <c r="B54" s="714" t="s">
        <v>1450</v>
      </c>
      <c r="C54" s="714"/>
      <c r="D54" s="714"/>
      <c r="E54" s="714"/>
      <c r="F54" s="714"/>
      <c r="G54" s="475" t="s">
        <v>1339</v>
      </c>
      <c r="H54" s="476"/>
      <c r="I54" s="458"/>
      <c r="J54" s="458"/>
      <c r="K54" s="458"/>
      <c r="L54" s="458"/>
      <c r="M54" s="458"/>
      <c r="N54" s="458"/>
      <c r="O54" s="458"/>
      <c r="P54" s="458"/>
      <c r="Q54" s="458"/>
      <c r="R54" s="458"/>
      <c r="S54" s="458"/>
      <c r="T54" s="458"/>
      <c r="U54" s="458"/>
      <c r="V54" s="458"/>
      <c r="W54" s="458"/>
      <c r="X54" s="458"/>
      <c r="Y54" s="458"/>
      <c r="Z54" s="458"/>
      <c r="AA54" s="458"/>
      <c r="AB54" s="458"/>
      <c r="AC54" s="458"/>
      <c r="AD54" s="458"/>
      <c r="AE54" s="458"/>
      <c r="AF54" s="458"/>
      <c r="AG54" s="458"/>
      <c r="AH54" s="458"/>
      <c r="AI54" s="458"/>
      <c r="AJ54" s="458"/>
      <c r="AK54" s="458"/>
      <c r="AL54" s="458"/>
      <c r="AM54" s="458"/>
      <c r="AN54" s="458"/>
      <c r="AO54" s="458"/>
      <c r="AP54" s="458"/>
      <c r="AQ54" s="458"/>
      <c r="AR54" s="458"/>
      <c r="AS54" s="458"/>
      <c r="AT54" s="458"/>
      <c r="AU54" s="458"/>
      <c r="AV54" s="458"/>
      <c r="AW54" s="495"/>
      <c r="AX54" s="495"/>
      <c r="AY54" s="450">
        <f t="shared" si="14"/>
        <v>0</v>
      </c>
    </row>
    <row r="55" spans="1:51" ht="13.5" x14ac:dyDescent="0.25">
      <c r="G55" s="478" t="s">
        <v>108</v>
      </c>
    </row>
    <row r="123" spans="7:51" x14ac:dyDescent="0.2">
      <c r="G123" s="442"/>
      <c r="I123" s="481" t="s">
        <v>212</v>
      </c>
      <c r="J123" s="481" t="s">
        <v>212</v>
      </c>
      <c r="K123" s="442"/>
      <c r="L123" s="442"/>
      <c r="M123" s="442"/>
      <c r="N123" s="442"/>
      <c r="O123" s="442"/>
      <c r="P123" s="442"/>
      <c r="Q123" s="442"/>
      <c r="R123" s="442"/>
      <c r="S123" s="442"/>
      <c r="T123" s="442"/>
      <c r="U123" s="442"/>
      <c r="V123" s="442"/>
      <c r="W123" s="442"/>
      <c r="X123" s="442"/>
      <c r="Y123" s="442"/>
      <c r="Z123" s="442"/>
      <c r="AA123" s="442"/>
      <c r="AB123" s="442"/>
      <c r="AC123" s="442"/>
      <c r="AD123" s="442"/>
      <c r="AE123" s="442"/>
      <c r="AF123" s="442"/>
      <c r="AG123" s="442"/>
      <c r="AH123" s="442"/>
      <c r="AI123" s="442"/>
      <c r="AJ123" s="442"/>
      <c r="AK123" s="442"/>
      <c r="AL123" s="442"/>
      <c r="AM123" s="442"/>
      <c r="AN123" s="442"/>
      <c r="AO123" s="442"/>
      <c r="AP123" s="442"/>
      <c r="AQ123" s="442"/>
      <c r="AR123" s="442"/>
      <c r="AS123" s="442"/>
      <c r="AT123" s="442"/>
      <c r="AU123" s="442"/>
      <c r="AV123" s="442"/>
      <c r="AW123" s="442"/>
      <c r="AX123" s="442"/>
      <c r="AY123" s="444"/>
    </row>
    <row r="124" spans="7:51" x14ac:dyDescent="0.2">
      <c r="G124" s="442"/>
      <c r="I124" s="481"/>
      <c r="J124" s="481"/>
      <c r="K124" s="442"/>
      <c r="L124" s="442"/>
      <c r="M124" s="442"/>
      <c r="N124" s="442"/>
      <c r="O124" s="442"/>
      <c r="P124" s="442"/>
      <c r="Q124" s="442"/>
      <c r="R124" s="442"/>
      <c r="S124" s="442"/>
      <c r="T124" s="442"/>
      <c r="U124" s="442"/>
      <c r="V124" s="442"/>
      <c r="W124" s="442"/>
      <c r="X124" s="442"/>
      <c r="Y124" s="442"/>
      <c r="Z124" s="442"/>
      <c r="AA124" s="442"/>
      <c r="AB124" s="442"/>
      <c r="AC124" s="442"/>
      <c r="AD124" s="442"/>
      <c r="AE124" s="442"/>
      <c r="AF124" s="442"/>
      <c r="AG124" s="442"/>
      <c r="AH124" s="442"/>
      <c r="AI124" s="442"/>
      <c r="AJ124" s="442"/>
      <c r="AK124" s="442"/>
      <c r="AL124" s="442"/>
      <c r="AM124" s="442"/>
      <c r="AN124" s="442"/>
      <c r="AO124" s="442"/>
      <c r="AP124" s="442"/>
      <c r="AQ124" s="442"/>
      <c r="AR124" s="442"/>
      <c r="AS124" s="442"/>
      <c r="AT124" s="442"/>
      <c r="AU124" s="442"/>
      <c r="AV124" s="442"/>
      <c r="AW124" s="442"/>
      <c r="AX124" s="442"/>
      <c r="AY124" s="444"/>
    </row>
    <row r="125" spans="7:51" x14ac:dyDescent="0.2">
      <c r="G125" s="442"/>
      <c r="I125" s="481"/>
      <c r="J125" s="481"/>
      <c r="K125" s="442"/>
      <c r="L125" s="442"/>
      <c r="M125" s="442"/>
      <c r="N125" s="442"/>
      <c r="O125" s="442"/>
      <c r="P125" s="442"/>
      <c r="Q125" s="442"/>
      <c r="R125" s="442"/>
      <c r="S125" s="442"/>
      <c r="T125" s="442"/>
      <c r="U125" s="442"/>
      <c r="V125" s="442"/>
      <c r="W125" s="442"/>
      <c r="X125" s="442"/>
      <c r="Y125" s="442"/>
      <c r="Z125" s="442"/>
      <c r="AA125" s="442"/>
      <c r="AB125" s="442"/>
      <c r="AC125" s="442"/>
      <c r="AD125" s="442"/>
      <c r="AE125" s="442"/>
      <c r="AF125" s="442"/>
      <c r="AG125" s="442"/>
      <c r="AH125" s="442"/>
      <c r="AI125" s="442"/>
      <c r="AJ125" s="442"/>
      <c r="AK125" s="442"/>
      <c r="AL125" s="442"/>
      <c r="AM125" s="442"/>
      <c r="AN125" s="442"/>
      <c r="AO125" s="442"/>
      <c r="AP125" s="442"/>
      <c r="AQ125" s="442"/>
      <c r="AR125" s="442"/>
      <c r="AS125" s="442"/>
      <c r="AT125" s="442"/>
      <c r="AU125" s="442"/>
      <c r="AV125" s="442"/>
      <c r="AW125" s="442"/>
      <c r="AX125" s="442"/>
      <c r="AY125" s="444"/>
    </row>
    <row r="126" spans="7:51" x14ac:dyDescent="0.2">
      <c r="G126" s="442"/>
      <c r="I126" s="481" t="s">
        <v>212</v>
      </c>
      <c r="J126" s="481" t="s">
        <v>212</v>
      </c>
      <c r="K126" s="442"/>
      <c r="L126" s="442"/>
      <c r="M126" s="442"/>
      <c r="N126" s="442"/>
      <c r="O126" s="442"/>
      <c r="P126" s="442"/>
      <c r="Q126" s="442"/>
      <c r="R126" s="442"/>
      <c r="S126" s="442"/>
      <c r="T126" s="442"/>
      <c r="U126" s="442"/>
      <c r="V126" s="442"/>
      <c r="W126" s="442"/>
      <c r="X126" s="442"/>
      <c r="Y126" s="442"/>
      <c r="Z126" s="442"/>
      <c r="AA126" s="442"/>
      <c r="AB126" s="442"/>
      <c r="AC126" s="442"/>
      <c r="AD126" s="442"/>
      <c r="AE126" s="442"/>
      <c r="AF126" s="442"/>
      <c r="AG126" s="442"/>
      <c r="AH126" s="442"/>
      <c r="AI126" s="442"/>
      <c r="AJ126" s="442"/>
      <c r="AK126" s="442"/>
      <c r="AL126" s="442"/>
      <c r="AM126" s="442"/>
      <c r="AN126" s="442"/>
      <c r="AO126" s="442"/>
      <c r="AP126" s="442"/>
      <c r="AQ126" s="442"/>
      <c r="AR126" s="442"/>
      <c r="AS126" s="442"/>
      <c r="AT126" s="442"/>
      <c r="AU126" s="442"/>
      <c r="AV126" s="442"/>
      <c r="AW126" s="442"/>
      <c r="AX126" s="442"/>
      <c r="AY126" s="444"/>
    </row>
  </sheetData>
  <sheetProtection password="F2FA" sheet="1" objects="1" scenarios="1" selectLockedCells="1"/>
  <mergeCells count="58">
    <mergeCell ref="A5:E7"/>
    <mergeCell ref="F5:F7"/>
    <mergeCell ref="G5:G9"/>
    <mergeCell ref="I5:J8"/>
    <mergeCell ref="K5:L8"/>
    <mergeCell ref="M5:N8"/>
    <mergeCell ref="A8:E9"/>
    <mergeCell ref="F8:F9"/>
    <mergeCell ref="O5:P8"/>
    <mergeCell ref="Q5:R8"/>
    <mergeCell ref="AK5:AL8"/>
    <mergeCell ref="AM5:AN8"/>
    <mergeCell ref="AO5:AP8"/>
    <mergeCell ref="S5:T8"/>
    <mergeCell ref="U5:V8"/>
    <mergeCell ref="W5:X8"/>
    <mergeCell ref="Y5:Z8"/>
    <mergeCell ref="AA5:AB8"/>
    <mergeCell ref="AC5:AD8"/>
    <mergeCell ref="AQ5:AR8"/>
    <mergeCell ref="AS5:AT8"/>
    <mergeCell ref="AU5:AV8"/>
    <mergeCell ref="AW5:AX8"/>
    <mergeCell ref="AY5:AY9"/>
    <mergeCell ref="AE5:AF8"/>
    <mergeCell ref="AG5:AH8"/>
    <mergeCell ref="AI5:AJ8"/>
    <mergeCell ref="A10:F10"/>
    <mergeCell ref="B12:F12"/>
    <mergeCell ref="C13:F13"/>
    <mergeCell ref="C14:F14"/>
    <mergeCell ref="C15:F15"/>
    <mergeCell ref="D16:F16"/>
    <mergeCell ref="D17:F17"/>
    <mergeCell ref="D18:F18"/>
    <mergeCell ref="C20:F20"/>
    <mergeCell ref="B22:F22"/>
    <mergeCell ref="C26:F26"/>
    <mergeCell ref="C27:F27"/>
    <mergeCell ref="C23:F23"/>
    <mergeCell ref="C24:F24"/>
    <mergeCell ref="B45:F45"/>
    <mergeCell ref="B28:F28"/>
    <mergeCell ref="B29:F29"/>
    <mergeCell ref="C30:F30"/>
    <mergeCell ref="C31:F31"/>
    <mergeCell ref="B32:F32"/>
    <mergeCell ref="C36:F36"/>
    <mergeCell ref="B46:F46"/>
    <mergeCell ref="A48:F48"/>
    <mergeCell ref="B53:F53"/>
    <mergeCell ref="B54:F54"/>
    <mergeCell ref="C37:F37"/>
    <mergeCell ref="C41:F41"/>
    <mergeCell ref="A42:F42"/>
    <mergeCell ref="B43:F43"/>
    <mergeCell ref="B44:F44"/>
    <mergeCell ref="B52:F52"/>
  </mergeCells>
  <dataValidations count="3">
    <dataValidation type="decimal" operator="greaterThanOrEqual" allowBlank="1" showInputMessage="1" showErrorMessage="1" sqref="I18:AB18 I20:J21 I49:AV54 I31:AB31 I33:N33 AM26:AT27 Q33:AB33 M20:V21 I26:AJ27 I23:AB24 AE23:AJ24 AE28:AF28 AC30:AD30 AE31:AF33 AG31:AJ31 AG33:AJ33 Y20:AL21 AK16:AL16 AE18:AT18 AO23:AT24 AM31:AT31 AM33:AV33 AC17:AD17 AK13:AP14">
      <formula1>0</formula1>
    </dataValidation>
    <dataValidation type="decimal" allowBlank="1" showInputMessage="1" showErrorMessage="1" error="Invalid data is entered!" sqref="Q34:AB46 AL28:AT28 AE22:AJ22 AL30:AT30 AK12:AP12 AW10:AX12 AM16:AT17 AC18:AD18 AW49:AX54 AQ13:AT14 AK22:AL27 AL29:AP29 AL34:AV46 I48:AY48 AW33:AX47 I19:J19 K19:L21 M19:V19 I34:N46 I32:N32 O32:P46 I25:AJ25 W19:X21 AC12:AD16 I29:AB30 Q32:AB32 I12:AB17 AE12:AJ17 AE34:AJ46 AC31:AD46 AC29:AD29 AE29:AF30 AK28:AK46 AG28:AJ30 AG32:AJ32 AM32:AP32 AK15:AP15 AL31:AL33 AU13:AX32 Y19:AL19 AC22:AD24 I22:AB22 AK17:AL17 AM19:AN25 AO19:AT22 AO25:AP25">
      <formula1>0</formula1>
      <formula2>99999999999999900</formula2>
    </dataValidation>
    <dataValidation type="decimal" allowBlank="1" showErrorMessage="1" errorTitle="Error" error="Entry Must be Decimal" sqref="AY43:AY46 AY36 AY38:AY41">
      <formula1>-99999999999999900000</formula1>
      <formula2>99999999999999900000</formula2>
    </dataValidation>
  </dataValidations>
  <printOptions horizontalCentered="1"/>
  <pageMargins left="0.25" right="0.25" top="1" bottom="0.5" header="0.6" footer="0.36"/>
  <pageSetup paperSize="9" orientation="landscape" horizontalDpi="360" verticalDpi="360" r:id="rId1"/>
  <headerFooter alignWithMargins="0">
    <oddHeader>&amp;R&amp;"Arial,Bold"&amp;9&amp;USchedule 11d3&amp;8&amp;U
&amp;P of &amp;N&amp;C&amp;"Arial,Bold"&amp;8 NEW RURAL BANK OF SAN LEONARDO, INC  [ 04-040656 ]
 As of: September 30, 2017</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2:BG126"/>
  <sheetViews>
    <sheetView zoomScaleNormal="100" workbookViewId="0">
      <pane xSplit="6" ySplit="9" topLeftCell="AK13" activePane="bottomRight" state="frozen"/>
      <selection pane="topRight" activeCell="G1" sqref="G1"/>
      <selection pane="bottomLeft" activeCell="A10" sqref="A10"/>
      <selection pane="bottomRight" activeCell="AK13" sqref="AK13"/>
    </sheetView>
  </sheetViews>
  <sheetFormatPr defaultRowHeight="12.75" x14ac:dyDescent="0.2"/>
  <cols>
    <col min="1" max="1" width="2.42578125" customWidth="1"/>
    <col min="2" max="2" width="2.28515625" customWidth="1"/>
    <col min="3" max="4" width="2.7109375" customWidth="1"/>
    <col min="5" max="5" width="12" customWidth="1"/>
    <col min="6" max="6" width="21.140625" customWidth="1"/>
    <col min="7" max="7" width="17.85546875" style="582" bestFit="1" customWidth="1"/>
    <col min="8" max="8" width="19.28515625" hidden="1" customWidth="1"/>
    <col min="9" max="51" width="25.7109375" style="580" customWidth="1"/>
  </cols>
  <sheetData>
    <row r="2" spans="1:51" s="245" customFormat="1" ht="13.5" x14ac:dyDescent="0.25">
      <c r="A2" s="546" t="s">
        <v>1345</v>
      </c>
      <c r="B2" s="546"/>
      <c r="C2" s="546"/>
      <c r="D2" s="546"/>
      <c r="E2" s="546"/>
      <c r="F2" s="546"/>
      <c r="G2" s="546"/>
      <c r="H2" s="546"/>
      <c r="I2" s="546"/>
      <c r="J2" s="546"/>
      <c r="K2" s="546"/>
      <c r="L2" s="546"/>
      <c r="M2" s="546"/>
      <c r="N2" s="546"/>
      <c r="O2" s="546"/>
      <c r="P2" s="546"/>
      <c r="Q2" s="546"/>
      <c r="R2" s="546"/>
      <c r="S2" s="546"/>
      <c r="T2" s="546"/>
      <c r="U2" s="546"/>
      <c r="V2" s="546"/>
      <c r="W2" s="546"/>
      <c r="X2" s="546"/>
      <c r="Y2" s="546"/>
      <c r="Z2" s="546"/>
      <c r="AA2" s="546"/>
      <c r="AB2" s="546"/>
      <c r="AC2" s="546"/>
      <c r="AD2" s="546"/>
      <c r="AE2" s="546"/>
      <c r="AF2" s="546"/>
      <c r="AG2" s="546"/>
      <c r="AH2" s="546"/>
      <c r="AI2" s="546"/>
      <c r="AJ2" s="546"/>
      <c r="AK2" s="546"/>
      <c r="AL2" s="546"/>
      <c r="AM2" s="546"/>
      <c r="AN2" s="546"/>
      <c r="AO2" s="546"/>
      <c r="AP2" s="546"/>
      <c r="AQ2" s="546"/>
      <c r="AR2" s="546"/>
      <c r="AS2" s="546"/>
      <c r="AT2" s="546"/>
      <c r="AU2" s="546"/>
      <c r="AV2" s="546"/>
      <c r="AW2" s="546"/>
      <c r="AX2" s="546"/>
      <c r="AY2" s="414"/>
    </row>
    <row r="3" spans="1:51" s="245" customFormat="1" x14ac:dyDescent="0.2">
      <c r="A3" s="546" t="s">
        <v>139</v>
      </c>
      <c r="B3" s="546"/>
      <c r="C3" s="546"/>
      <c r="D3" s="546"/>
      <c r="E3" s="546"/>
      <c r="F3" s="546"/>
      <c r="G3" s="546"/>
      <c r="H3" s="546"/>
      <c r="I3" s="546"/>
      <c r="J3" s="546"/>
      <c r="K3" s="546"/>
      <c r="L3" s="546"/>
      <c r="M3" s="546"/>
      <c r="N3" s="546"/>
      <c r="O3" s="546"/>
      <c r="P3" s="546"/>
      <c r="Q3" s="546"/>
      <c r="R3" s="546"/>
      <c r="S3" s="546"/>
      <c r="T3" s="546"/>
      <c r="U3" s="546"/>
      <c r="V3" s="546"/>
      <c r="W3" s="546"/>
      <c r="X3" s="546"/>
      <c r="Y3" s="546"/>
      <c r="Z3" s="546"/>
      <c r="AA3" s="546"/>
      <c r="AB3" s="546"/>
      <c r="AC3" s="546"/>
      <c r="AD3" s="546"/>
      <c r="AE3" s="546"/>
      <c r="AF3" s="546"/>
      <c r="AG3" s="546"/>
      <c r="AH3" s="546"/>
      <c r="AI3" s="546"/>
      <c r="AJ3" s="546"/>
      <c r="AK3" s="546"/>
      <c r="AL3" s="546"/>
      <c r="AM3" s="546"/>
      <c r="AN3" s="546"/>
      <c r="AO3" s="546"/>
      <c r="AP3" s="546"/>
      <c r="AQ3" s="546"/>
      <c r="AR3" s="546"/>
      <c r="AS3" s="546"/>
      <c r="AT3" s="546"/>
      <c r="AU3" s="546"/>
      <c r="AV3" s="546"/>
      <c r="AW3" s="546"/>
      <c r="AX3" s="546"/>
      <c r="AY3" s="414"/>
    </row>
    <row r="4" spans="1:51" ht="12.75" customHeight="1" x14ac:dyDescent="0.2">
      <c r="A4" s="6"/>
      <c r="B4" s="6"/>
      <c r="C4" s="6"/>
      <c r="D4" s="6"/>
      <c r="E4" s="6"/>
      <c r="F4" s="6"/>
      <c r="G4" s="6"/>
      <c r="H4" s="6"/>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row>
    <row r="5" spans="1:51" s="548" customFormat="1" x14ac:dyDescent="0.2">
      <c r="A5" s="760"/>
      <c r="B5" s="761"/>
      <c r="C5" s="761"/>
      <c r="D5" s="761"/>
      <c r="E5" s="761"/>
      <c r="F5" s="764" t="s">
        <v>710</v>
      </c>
      <c r="G5" s="766" t="s">
        <v>46</v>
      </c>
      <c r="H5" s="547"/>
      <c r="I5" s="767" t="s">
        <v>1320</v>
      </c>
      <c r="J5" s="767"/>
      <c r="K5" s="767" t="s">
        <v>380</v>
      </c>
      <c r="L5" s="767"/>
      <c r="M5" s="767" t="s">
        <v>381</v>
      </c>
      <c r="N5" s="767"/>
      <c r="O5" s="767" t="s">
        <v>1321</v>
      </c>
      <c r="P5" s="767"/>
      <c r="Q5" s="767" t="s">
        <v>1322</v>
      </c>
      <c r="R5" s="767"/>
      <c r="S5" s="767" t="s">
        <v>382</v>
      </c>
      <c r="T5" s="767"/>
      <c r="U5" s="767" t="s">
        <v>1340</v>
      </c>
      <c r="V5" s="767"/>
      <c r="W5" s="767" t="s">
        <v>1324</v>
      </c>
      <c r="X5" s="767"/>
      <c r="Y5" s="768" t="s">
        <v>1325</v>
      </c>
      <c r="Z5" s="769"/>
      <c r="AA5" s="768" t="s">
        <v>1326</v>
      </c>
      <c r="AB5" s="769"/>
      <c r="AC5" s="767" t="s">
        <v>1327</v>
      </c>
      <c r="AD5" s="767"/>
      <c r="AE5" s="767" t="s">
        <v>1328</v>
      </c>
      <c r="AF5" s="767"/>
      <c r="AG5" s="767" t="s">
        <v>1329</v>
      </c>
      <c r="AH5" s="767"/>
      <c r="AI5" s="767" t="s">
        <v>1341</v>
      </c>
      <c r="AJ5" s="767"/>
      <c r="AK5" s="767" t="s">
        <v>1331</v>
      </c>
      <c r="AL5" s="767"/>
      <c r="AM5" s="767" t="s">
        <v>383</v>
      </c>
      <c r="AN5" s="767"/>
      <c r="AO5" s="767" t="s">
        <v>1332</v>
      </c>
      <c r="AP5" s="767"/>
      <c r="AQ5" s="767" t="s">
        <v>1333</v>
      </c>
      <c r="AR5" s="767"/>
      <c r="AS5" s="767" t="s">
        <v>1334</v>
      </c>
      <c r="AT5" s="767"/>
      <c r="AU5" s="767" t="s">
        <v>1342</v>
      </c>
      <c r="AV5" s="767"/>
      <c r="AW5" s="767" t="s">
        <v>1336</v>
      </c>
      <c r="AX5" s="767"/>
      <c r="AY5" s="767" t="s">
        <v>144</v>
      </c>
    </row>
    <row r="6" spans="1:51" s="548" customFormat="1" x14ac:dyDescent="0.2">
      <c r="A6" s="762"/>
      <c r="B6" s="763"/>
      <c r="C6" s="763"/>
      <c r="D6" s="763"/>
      <c r="E6" s="763"/>
      <c r="F6" s="765"/>
      <c r="G6" s="766"/>
      <c r="H6" s="547"/>
      <c r="I6" s="767"/>
      <c r="J6" s="767"/>
      <c r="K6" s="767"/>
      <c r="L6" s="767"/>
      <c r="M6" s="767"/>
      <c r="N6" s="767"/>
      <c r="O6" s="767"/>
      <c r="P6" s="767"/>
      <c r="Q6" s="767"/>
      <c r="R6" s="767"/>
      <c r="S6" s="767"/>
      <c r="T6" s="767"/>
      <c r="U6" s="767"/>
      <c r="V6" s="767"/>
      <c r="W6" s="767"/>
      <c r="X6" s="767"/>
      <c r="Y6" s="770"/>
      <c r="Z6" s="771"/>
      <c r="AA6" s="770"/>
      <c r="AB6" s="771"/>
      <c r="AC6" s="767"/>
      <c r="AD6" s="767"/>
      <c r="AE6" s="767"/>
      <c r="AF6" s="767"/>
      <c r="AG6" s="767"/>
      <c r="AH6" s="767"/>
      <c r="AI6" s="767"/>
      <c r="AJ6" s="767"/>
      <c r="AK6" s="767"/>
      <c r="AL6" s="767"/>
      <c r="AM6" s="767"/>
      <c r="AN6" s="767"/>
      <c r="AO6" s="767"/>
      <c r="AP6" s="767"/>
      <c r="AQ6" s="767"/>
      <c r="AR6" s="767"/>
      <c r="AS6" s="767"/>
      <c r="AT6" s="767"/>
      <c r="AU6" s="767"/>
      <c r="AV6" s="767"/>
      <c r="AW6" s="767"/>
      <c r="AX6" s="767"/>
      <c r="AY6" s="774"/>
    </row>
    <row r="7" spans="1:51" s="548" customFormat="1" ht="17.25" customHeight="1" x14ac:dyDescent="0.2">
      <c r="A7" s="762"/>
      <c r="B7" s="763"/>
      <c r="C7" s="763"/>
      <c r="D7" s="763"/>
      <c r="E7" s="763"/>
      <c r="F7" s="765"/>
      <c r="G7" s="766"/>
      <c r="H7" s="547"/>
      <c r="I7" s="767"/>
      <c r="J7" s="767"/>
      <c r="K7" s="767"/>
      <c r="L7" s="767"/>
      <c r="M7" s="767"/>
      <c r="N7" s="767"/>
      <c r="O7" s="767"/>
      <c r="P7" s="767"/>
      <c r="Q7" s="767"/>
      <c r="R7" s="767"/>
      <c r="S7" s="767"/>
      <c r="T7" s="767"/>
      <c r="U7" s="767"/>
      <c r="V7" s="767"/>
      <c r="W7" s="767"/>
      <c r="X7" s="767"/>
      <c r="Y7" s="770"/>
      <c r="Z7" s="771"/>
      <c r="AA7" s="770"/>
      <c r="AB7" s="771"/>
      <c r="AC7" s="767"/>
      <c r="AD7" s="767"/>
      <c r="AE7" s="767"/>
      <c r="AF7" s="767"/>
      <c r="AG7" s="767"/>
      <c r="AH7" s="767"/>
      <c r="AI7" s="767"/>
      <c r="AJ7" s="767"/>
      <c r="AK7" s="767"/>
      <c r="AL7" s="767"/>
      <c r="AM7" s="767"/>
      <c r="AN7" s="767"/>
      <c r="AO7" s="767"/>
      <c r="AP7" s="767"/>
      <c r="AQ7" s="767"/>
      <c r="AR7" s="767"/>
      <c r="AS7" s="767"/>
      <c r="AT7" s="767"/>
      <c r="AU7" s="767"/>
      <c r="AV7" s="767"/>
      <c r="AW7" s="767"/>
      <c r="AX7" s="767"/>
      <c r="AY7" s="774"/>
    </row>
    <row r="8" spans="1:51" s="548" customFormat="1" ht="20.25" customHeight="1" x14ac:dyDescent="0.2">
      <c r="A8" s="775" t="s">
        <v>711</v>
      </c>
      <c r="B8" s="776"/>
      <c r="C8" s="776"/>
      <c r="D8" s="776"/>
      <c r="E8" s="776"/>
      <c r="F8" s="779"/>
      <c r="G8" s="766"/>
      <c r="H8" s="547"/>
      <c r="I8" s="767"/>
      <c r="J8" s="767"/>
      <c r="K8" s="767"/>
      <c r="L8" s="767"/>
      <c r="M8" s="767"/>
      <c r="N8" s="767"/>
      <c r="O8" s="767"/>
      <c r="P8" s="767"/>
      <c r="Q8" s="767"/>
      <c r="R8" s="767"/>
      <c r="S8" s="767"/>
      <c r="T8" s="767"/>
      <c r="U8" s="767"/>
      <c r="V8" s="767"/>
      <c r="W8" s="767"/>
      <c r="X8" s="767"/>
      <c r="Y8" s="772"/>
      <c r="Z8" s="773"/>
      <c r="AA8" s="772"/>
      <c r="AB8" s="773"/>
      <c r="AC8" s="767"/>
      <c r="AD8" s="767"/>
      <c r="AE8" s="767"/>
      <c r="AF8" s="767"/>
      <c r="AG8" s="767"/>
      <c r="AH8" s="767"/>
      <c r="AI8" s="767"/>
      <c r="AJ8" s="767"/>
      <c r="AK8" s="767"/>
      <c r="AL8" s="767"/>
      <c r="AM8" s="767"/>
      <c r="AN8" s="767"/>
      <c r="AO8" s="767"/>
      <c r="AP8" s="767"/>
      <c r="AQ8" s="767"/>
      <c r="AR8" s="767"/>
      <c r="AS8" s="767"/>
      <c r="AT8" s="767"/>
      <c r="AU8" s="767"/>
      <c r="AV8" s="767"/>
      <c r="AW8" s="767"/>
      <c r="AX8" s="767"/>
      <c r="AY8" s="774"/>
    </row>
    <row r="9" spans="1:51" s="550" customFormat="1" ht="22.5" x14ac:dyDescent="0.2">
      <c r="A9" s="777"/>
      <c r="B9" s="778"/>
      <c r="C9" s="778"/>
      <c r="D9" s="778"/>
      <c r="E9" s="778"/>
      <c r="F9" s="780"/>
      <c r="G9" s="766"/>
      <c r="H9" s="549"/>
      <c r="I9" s="252" t="s">
        <v>1343</v>
      </c>
      <c r="J9" s="252" t="s">
        <v>1344</v>
      </c>
      <c r="K9" s="252" t="s">
        <v>1343</v>
      </c>
      <c r="L9" s="252" t="s">
        <v>1344</v>
      </c>
      <c r="M9" s="252" t="s">
        <v>1343</v>
      </c>
      <c r="N9" s="252" t="s">
        <v>1344</v>
      </c>
      <c r="O9" s="252" t="s">
        <v>1343</v>
      </c>
      <c r="P9" s="252" t="s">
        <v>1344</v>
      </c>
      <c r="Q9" s="252" t="s">
        <v>1343</v>
      </c>
      <c r="R9" s="252" t="s">
        <v>1344</v>
      </c>
      <c r="S9" s="252" t="s">
        <v>1343</v>
      </c>
      <c r="T9" s="252" t="s">
        <v>1344</v>
      </c>
      <c r="U9" s="252" t="s">
        <v>1343</v>
      </c>
      <c r="V9" s="252" t="s">
        <v>1344</v>
      </c>
      <c r="W9" s="252" t="s">
        <v>1343</v>
      </c>
      <c r="X9" s="252" t="s">
        <v>1344</v>
      </c>
      <c r="Y9" s="252" t="s">
        <v>1343</v>
      </c>
      <c r="Z9" s="252" t="s">
        <v>1344</v>
      </c>
      <c r="AA9" s="252" t="s">
        <v>1343</v>
      </c>
      <c r="AB9" s="252" t="s">
        <v>1344</v>
      </c>
      <c r="AC9" s="252" t="s">
        <v>1343</v>
      </c>
      <c r="AD9" s="252" t="s">
        <v>1344</v>
      </c>
      <c r="AE9" s="252" t="s">
        <v>1343</v>
      </c>
      <c r="AF9" s="252" t="s">
        <v>1344</v>
      </c>
      <c r="AG9" s="252" t="s">
        <v>1343</v>
      </c>
      <c r="AH9" s="252" t="s">
        <v>1344</v>
      </c>
      <c r="AI9" s="252" t="s">
        <v>1343</v>
      </c>
      <c r="AJ9" s="252" t="s">
        <v>1344</v>
      </c>
      <c r="AK9" s="252" t="s">
        <v>1343</v>
      </c>
      <c r="AL9" s="252" t="s">
        <v>1344</v>
      </c>
      <c r="AM9" s="252" t="s">
        <v>1343</v>
      </c>
      <c r="AN9" s="252" t="s">
        <v>1344</v>
      </c>
      <c r="AO9" s="252" t="s">
        <v>1343</v>
      </c>
      <c r="AP9" s="252" t="s">
        <v>1344</v>
      </c>
      <c r="AQ9" s="252" t="s">
        <v>1343</v>
      </c>
      <c r="AR9" s="252" t="s">
        <v>1344</v>
      </c>
      <c r="AS9" s="252" t="s">
        <v>1343</v>
      </c>
      <c r="AT9" s="252" t="s">
        <v>1344</v>
      </c>
      <c r="AU9" s="252" t="s">
        <v>1343</v>
      </c>
      <c r="AV9" s="252" t="s">
        <v>1344</v>
      </c>
      <c r="AW9" s="252" t="s">
        <v>1343</v>
      </c>
      <c r="AX9" s="252" t="s">
        <v>51</v>
      </c>
      <c r="AY9" s="774"/>
    </row>
    <row r="10" spans="1:51" s="554" customFormat="1" x14ac:dyDescent="0.2">
      <c r="A10" s="781" t="s">
        <v>57</v>
      </c>
      <c r="B10" s="782"/>
      <c r="C10" s="782"/>
      <c r="D10" s="782"/>
      <c r="E10" s="782"/>
      <c r="F10" s="783"/>
      <c r="G10" s="552" t="s">
        <v>323</v>
      </c>
      <c r="H10" s="291"/>
      <c r="I10" s="41">
        <f t="shared" ref="I10:AY10" si="0">I11+I34</f>
        <v>0</v>
      </c>
      <c r="J10" s="41">
        <f t="shared" si="0"/>
        <v>0</v>
      </c>
      <c r="K10" s="41">
        <f t="shared" si="0"/>
        <v>0</v>
      </c>
      <c r="L10" s="41">
        <f t="shared" si="0"/>
        <v>0</v>
      </c>
      <c r="M10" s="41">
        <f t="shared" si="0"/>
        <v>0</v>
      </c>
      <c r="N10" s="41">
        <f t="shared" si="0"/>
        <v>0</v>
      </c>
      <c r="O10" s="41">
        <f t="shared" si="0"/>
        <v>0</v>
      </c>
      <c r="P10" s="41">
        <f t="shared" si="0"/>
        <v>0</v>
      </c>
      <c r="Q10" s="41">
        <f t="shared" si="0"/>
        <v>0</v>
      </c>
      <c r="R10" s="41">
        <f t="shared" si="0"/>
        <v>0</v>
      </c>
      <c r="S10" s="41">
        <f t="shared" si="0"/>
        <v>0</v>
      </c>
      <c r="T10" s="41">
        <f t="shared" si="0"/>
        <v>0</v>
      </c>
      <c r="U10" s="41">
        <f t="shared" si="0"/>
        <v>0</v>
      </c>
      <c r="V10" s="41">
        <f t="shared" si="0"/>
        <v>0</v>
      </c>
      <c r="W10" s="41">
        <f t="shared" si="0"/>
        <v>0</v>
      </c>
      <c r="X10" s="41">
        <f t="shared" si="0"/>
        <v>0</v>
      </c>
      <c r="Y10" s="41">
        <f t="shared" si="0"/>
        <v>0</v>
      </c>
      <c r="Z10" s="41">
        <f t="shared" si="0"/>
        <v>0</v>
      </c>
      <c r="AA10" s="41">
        <f t="shared" si="0"/>
        <v>0</v>
      </c>
      <c r="AB10" s="41">
        <f t="shared" si="0"/>
        <v>0</v>
      </c>
      <c r="AC10" s="41">
        <f t="shared" si="0"/>
        <v>0</v>
      </c>
      <c r="AD10" s="41">
        <f t="shared" si="0"/>
        <v>0</v>
      </c>
      <c r="AE10" s="41">
        <f t="shared" si="0"/>
        <v>0</v>
      </c>
      <c r="AF10" s="41">
        <f t="shared" si="0"/>
        <v>0</v>
      </c>
      <c r="AG10" s="41">
        <f t="shared" si="0"/>
        <v>0</v>
      </c>
      <c r="AH10" s="41">
        <f t="shared" si="0"/>
        <v>0</v>
      </c>
      <c r="AI10" s="41">
        <f t="shared" si="0"/>
        <v>0</v>
      </c>
      <c r="AJ10" s="41">
        <f t="shared" si="0"/>
        <v>0</v>
      </c>
      <c r="AK10" s="41">
        <f t="shared" si="0"/>
        <v>0</v>
      </c>
      <c r="AL10" s="41">
        <f t="shared" si="0"/>
        <v>0</v>
      </c>
      <c r="AM10" s="41">
        <f t="shared" si="0"/>
        <v>0</v>
      </c>
      <c r="AN10" s="41">
        <f t="shared" si="0"/>
        <v>0</v>
      </c>
      <c r="AO10" s="41">
        <f t="shared" si="0"/>
        <v>0</v>
      </c>
      <c r="AP10" s="41">
        <f t="shared" si="0"/>
        <v>0</v>
      </c>
      <c r="AQ10" s="41">
        <f t="shared" si="0"/>
        <v>0</v>
      </c>
      <c r="AR10" s="41">
        <f t="shared" si="0"/>
        <v>0</v>
      </c>
      <c r="AS10" s="41">
        <f t="shared" si="0"/>
        <v>0</v>
      </c>
      <c r="AT10" s="41">
        <f t="shared" si="0"/>
        <v>0</v>
      </c>
      <c r="AU10" s="41">
        <f t="shared" si="0"/>
        <v>0</v>
      </c>
      <c r="AV10" s="41">
        <f t="shared" si="0"/>
        <v>0</v>
      </c>
      <c r="AW10" s="553"/>
      <c r="AX10" s="553"/>
      <c r="AY10" s="41">
        <f t="shared" si="0"/>
        <v>0</v>
      </c>
    </row>
    <row r="11" spans="1:51" s="554" customFormat="1" x14ac:dyDescent="0.2">
      <c r="A11" s="555" t="s">
        <v>712</v>
      </c>
      <c r="B11" s="556"/>
      <c r="C11" s="556"/>
      <c r="D11" s="556"/>
      <c r="E11" s="556"/>
      <c r="F11" s="556"/>
      <c r="G11" s="552" t="s">
        <v>713</v>
      </c>
      <c r="H11" s="291"/>
      <c r="I11" s="41">
        <f t="shared" ref="I11:AY11" si="1">I12+I19+I22+I25+I28+I29+I32+I33</f>
        <v>0</v>
      </c>
      <c r="J11" s="41">
        <f t="shared" si="1"/>
        <v>0</v>
      </c>
      <c r="K11" s="41">
        <f t="shared" si="1"/>
        <v>0</v>
      </c>
      <c r="L11" s="41">
        <f t="shared" si="1"/>
        <v>0</v>
      </c>
      <c r="M11" s="41">
        <f t="shared" si="1"/>
        <v>0</v>
      </c>
      <c r="N11" s="41">
        <f t="shared" si="1"/>
        <v>0</v>
      </c>
      <c r="O11" s="41">
        <f t="shared" si="1"/>
        <v>0</v>
      </c>
      <c r="P11" s="41">
        <f t="shared" si="1"/>
        <v>0</v>
      </c>
      <c r="Q11" s="41">
        <f t="shared" si="1"/>
        <v>0</v>
      </c>
      <c r="R11" s="41">
        <f t="shared" si="1"/>
        <v>0</v>
      </c>
      <c r="S11" s="41">
        <f t="shared" si="1"/>
        <v>0</v>
      </c>
      <c r="T11" s="41">
        <f t="shared" si="1"/>
        <v>0</v>
      </c>
      <c r="U11" s="41">
        <f t="shared" si="1"/>
        <v>0</v>
      </c>
      <c r="V11" s="41">
        <f t="shared" si="1"/>
        <v>0</v>
      </c>
      <c r="W11" s="41">
        <f t="shared" si="1"/>
        <v>0</v>
      </c>
      <c r="X11" s="41">
        <f t="shared" si="1"/>
        <v>0</v>
      </c>
      <c r="Y11" s="41">
        <f t="shared" si="1"/>
        <v>0</v>
      </c>
      <c r="Z11" s="41">
        <f t="shared" si="1"/>
        <v>0</v>
      </c>
      <c r="AA11" s="41">
        <f t="shared" si="1"/>
        <v>0</v>
      </c>
      <c r="AB11" s="41">
        <f t="shared" si="1"/>
        <v>0</v>
      </c>
      <c r="AC11" s="41">
        <f t="shared" si="1"/>
        <v>0</v>
      </c>
      <c r="AD11" s="41">
        <f t="shared" si="1"/>
        <v>0</v>
      </c>
      <c r="AE11" s="41">
        <f t="shared" si="1"/>
        <v>0</v>
      </c>
      <c r="AF11" s="41">
        <f t="shared" si="1"/>
        <v>0</v>
      </c>
      <c r="AG11" s="41">
        <f t="shared" si="1"/>
        <v>0</v>
      </c>
      <c r="AH11" s="41">
        <f t="shared" si="1"/>
        <v>0</v>
      </c>
      <c r="AI11" s="41">
        <f t="shared" si="1"/>
        <v>0</v>
      </c>
      <c r="AJ11" s="41">
        <f t="shared" si="1"/>
        <v>0</v>
      </c>
      <c r="AK11" s="41">
        <f t="shared" si="1"/>
        <v>0</v>
      </c>
      <c r="AL11" s="41">
        <f t="shared" si="1"/>
        <v>0</v>
      </c>
      <c r="AM11" s="41">
        <f t="shared" si="1"/>
        <v>0</v>
      </c>
      <c r="AN11" s="41">
        <f t="shared" si="1"/>
        <v>0</v>
      </c>
      <c r="AO11" s="41">
        <f t="shared" si="1"/>
        <v>0</v>
      </c>
      <c r="AP11" s="41">
        <f t="shared" si="1"/>
        <v>0</v>
      </c>
      <c r="AQ11" s="41">
        <f t="shared" si="1"/>
        <v>0</v>
      </c>
      <c r="AR11" s="41">
        <f t="shared" si="1"/>
        <v>0</v>
      </c>
      <c r="AS11" s="41">
        <f t="shared" si="1"/>
        <v>0</v>
      </c>
      <c r="AT11" s="41">
        <f t="shared" si="1"/>
        <v>0</v>
      </c>
      <c r="AU11" s="41">
        <f t="shared" si="1"/>
        <v>0</v>
      </c>
      <c r="AV11" s="41">
        <f t="shared" si="1"/>
        <v>0</v>
      </c>
      <c r="AW11" s="553"/>
      <c r="AX11" s="553"/>
      <c r="AY11" s="41">
        <f t="shared" si="1"/>
        <v>0</v>
      </c>
    </row>
    <row r="12" spans="1:51" s="554" customFormat="1" x14ac:dyDescent="0.2">
      <c r="A12" s="557" t="s">
        <v>54</v>
      </c>
      <c r="B12" s="662" t="s">
        <v>540</v>
      </c>
      <c r="C12" s="662"/>
      <c r="D12" s="662"/>
      <c r="E12" s="662"/>
      <c r="F12" s="663"/>
      <c r="G12" s="552" t="s">
        <v>324</v>
      </c>
      <c r="H12" s="291"/>
      <c r="I12" s="41">
        <f t="shared" ref="I12:AY12" si="2">SUM(I13:I15)</f>
        <v>0</v>
      </c>
      <c r="J12" s="41">
        <f t="shared" si="2"/>
        <v>0</v>
      </c>
      <c r="K12" s="41">
        <f t="shared" si="2"/>
        <v>0</v>
      </c>
      <c r="L12" s="41">
        <f t="shared" si="2"/>
        <v>0</v>
      </c>
      <c r="M12" s="41">
        <f t="shared" si="2"/>
        <v>0</v>
      </c>
      <c r="N12" s="41">
        <f t="shared" si="2"/>
        <v>0</v>
      </c>
      <c r="O12" s="41">
        <f t="shared" si="2"/>
        <v>0</v>
      </c>
      <c r="P12" s="41">
        <f t="shared" si="2"/>
        <v>0</v>
      </c>
      <c r="Q12" s="41">
        <f t="shared" si="2"/>
        <v>0</v>
      </c>
      <c r="R12" s="41">
        <f t="shared" si="2"/>
        <v>0</v>
      </c>
      <c r="S12" s="41">
        <f t="shared" si="2"/>
        <v>0</v>
      </c>
      <c r="T12" s="41">
        <f t="shared" si="2"/>
        <v>0</v>
      </c>
      <c r="U12" s="41">
        <f t="shared" si="2"/>
        <v>0</v>
      </c>
      <c r="V12" s="41">
        <f t="shared" si="2"/>
        <v>0</v>
      </c>
      <c r="W12" s="41">
        <f t="shared" si="2"/>
        <v>0</v>
      </c>
      <c r="X12" s="41">
        <f t="shared" si="2"/>
        <v>0</v>
      </c>
      <c r="Y12" s="41">
        <f t="shared" si="2"/>
        <v>0</v>
      </c>
      <c r="Z12" s="41">
        <f t="shared" si="2"/>
        <v>0</v>
      </c>
      <c r="AA12" s="41">
        <f t="shared" si="2"/>
        <v>0</v>
      </c>
      <c r="AB12" s="41">
        <f t="shared" si="2"/>
        <v>0</v>
      </c>
      <c r="AC12" s="41">
        <f t="shared" si="2"/>
        <v>0</v>
      </c>
      <c r="AD12" s="41">
        <f t="shared" si="2"/>
        <v>0</v>
      </c>
      <c r="AE12" s="41">
        <f t="shared" si="2"/>
        <v>0</v>
      </c>
      <c r="AF12" s="41">
        <f t="shared" si="2"/>
        <v>0</v>
      </c>
      <c r="AG12" s="41">
        <f t="shared" si="2"/>
        <v>0</v>
      </c>
      <c r="AH12" s="41">
        <f t="shared" si="2"/>
        <v>0</v>
      </c>
      <c r="AI12" s="41">
        <f t="shared" si="2"/>
        <v>0</v>
      </c>
      <c r="AJ12" s="41">
        <f t="shared" si="2"/>
        <v>0</v>
      </c>
      <c r="AK12" s="41">
        <f t="shared" si="2"/>
        <v>0</v>
      </c>
      <c r="AL12" s="41">
        <f t="shared" si="2"/>
        <v>0</v>
      </c>
      <c r="AM12" s="41">
        <f t="shared" si="2"/>
        <v>0</v>
      </c>
      <c r="AN12" s="41">
        <f t="shared" si="2"/>
        <v>0</v>
      </c>
      <c r="AO12" s="41">
        <f t="shared" si="2"/>
        <v>0</v>
      </c>
      <c r="AP12" s="41">
        <f t="shared" si="2"/>
        <v>0</v>
      </c>
      <c r="AQ12" s="41">
        <f t="shared" si="2"/>
        <v>0</v>
      </c>
      <c r="AR12" s="41">
        <f t="shared" si="2"/>
        <v>0</v>
      </c>
      <c r="AS12" s="41">
        <f t="shared" si="2"/>
        <v>0</v>
      </c>
      <c r="AT12" s="41">
        <f t="shared" si="2"/>
        <v>0</v>
      </c>
      <c r="AU12" s="41">
        <f t="shared" si="2"/>
        <v>0</v>
      </c>
      <c r="AV12" s="41">
        <f t="shared" si="2"/>
        <v>0</v>
      </c>
      <c r="AW12" s="553"/>
      <c r="AX12" s="553"/>
      <c r="AY12" s="41">
        <f t="shared" si="2"/>
        <v>0</v>
      </c>
    </row>
    <row r="13" spans="1:51" s="554" customFormat="1" x14ac:dyDescent="0.2">
      <c r="A13" s="557"/>
      <c r="B13" s="558" t="s">
        <v>59</v>
      </c>
      <c r="C13" s="662" t="s">
        <v>60</v>
      </c>
      <c r="D13" s="662"/>
      <c r="E13" s="662"/>
      <c r="F13" s="663"/>
      <c r="G13" s="552" t="s">
        <v>325</v>
      </c>
      <c r="H13" s="291"/>
      <c r="I13" s="553"/>
      <c r="J13" s="553"/>
      <c r="K13" s="553"/>
      <c r="L13" s="553"/>
      <c r="M13" s="553"/>
      <c r="N13" s="553"/>
      <c r="O13" s="553"/>
      <c r="P13" s="553"/>
      <c r="Q13" s="553"/>
      <c r="R13" s="553"/>
      <c r="S13" s="553"/>
      <c r="T13" s="553"/>
      <c r="U13" s="553"/>
      <c r="V13" s="553"/>
      <c r="W13" s="553"/>
      <c r="X13" s="553"/>
      <c r="Y13" s="553"/>
      <c r="Z13" s="553"/>
      <c r="AA13" s="553"/>
      <c r="AB13" s="553"/>
      <c r="AC13" s="553"/>
      <c r="AD13" s="553"/>
      <c r="AE13" s="553"/>
      <c r="AF13" s="553"/>
      <c r="AG13" s="553"/>
      <c r="AH13" s="553"/>
      <c r="AI13" s="553"/>
      <c r="AJ13" s="553"/>
      <c r="AK13" s="254"/>
      <c r="AL13" s="254"/>
      <c r="AM13" s="254"/>
      <c r="AN13" s="254"/>
      <c r="AO13" s="254"/>
      <c r="AP13" s="254"/>
      <c r="AQ13" s="560"/>
      <c r="AR13" s="560"/>
      <c r="AS13" s="560"/>
      <c r="AT13" s="560"/>
      <c r="AU13" s="553"/>
      <c r="AV13" s="553"/>
      <c r="AW13" s="553"/>
      <c r="AX13" s="553"/>
      <c r="AY13" s="41">
        <f>J13+L13+N13+P13+R13+T13+V13+X13+Z13+AB13+AD13+AF13+AH13+AJ13+AL13+AN13+AP13+AR13+AT13+AV13+AX13</f>
        <v>0</v>
      </c>
    </row>
    <row r="14" spans="1:51" s="554" customFormat="1" x14ac:dyDescent="0.2">
      <c r="A14" s="557"/>
      <c r="B14" s="558" t="s">
        <v>61</v>
      </c>
      <c r="C14" s="662" t="s">
        <v>72</v>
      </c>
      <c r="D14" s="662"/>
      <c r="E14" s="662"/>
      <c r="F14" s="663"/>
      <c r="G14" s="552" t="s">
        <v>541</v>
      </c>
      <c r="H14" s="291"/>
      <c r="I14" s="553"/>
      <c r="J14" s="553"/>
      <c r="K14" s="553"/>
      <c r="L14" s="553"/>
      <c r="M14" s="553"/>
      <c r="N14" s="553"/>
      <c r="O14" s="553"/>
      <c r="P14" s="553"/>
      <c r="Q14" s="553"/>
      <c r="R14" s="553"/>
      <c r="S14" s="553"/>
      <c r="T14" s="553"/>
      <c r="U14" s="553"/>
      <c r="V14" s="553"/>
      <c r="W14" s="553"/>
      <c r="X14" s="553"/>
      <c r="Y14" s="553"/>
      <c r="Z14" s="553"/>
      <c r="AA14" s="553"/>
      <c r="AB14" s="553"/>
      <c r="AC14" s="553"/>
      <c r="AD14" s="553"/>
      <c r="AE14" s="553"/>
      <c r="AF14" s="553"/>
      <c r="AG14" s="553"/>
      <c r="AH14" s="553"/>
      <c r="AI14" s="553"/>
      <c r="AJ14" s="553"/>
      <c r="AK14" s="254"/>
      <c r="AL14" s="254"/>
      <c r="AM14" s="254"/>
      <c r="AN14" s="254"/>
      <c r="AO14" s="254"/>
      <c r="AP14" s="254"/>
      <c r="AQ14" s="560"/>
      <c r="AR14" s="560"/>
      <c r="AS14" s="560"/>
      <c r="AT14" s="560"/>
      <c r="AU14" s="553"/>
      <c r="AV14" s="553"/>
      <c r="AW14" s="553"/>
      <c r="AX14" s="553"/>
      <c r="AY14" s="41">
        <f>J14+L14+N14+P14+R14+T14+V14+X14+Z14+AB14+AD14+AF14+AH14+AJ14+AL14+AN14+AP14+AR14+AT14+AV14+AX14</f>
        <v>0</v>
      </c>
    </row>
    <row r="15" spans="1:51" s="554" customFormat="1" x14ac:dyDescent="0.2">
      <c r="A15" s="557"/>
      <c r="B15" s="558" t="s">
        <v>71</v>
      </c>
      <c r="C15" s="662" t="s">
        <v>62</v>
      </c>
      <c r="D15" s="662"/>
      <c r="E15" s="662"/>
      <c r="F15" s="663"/>
      <c r="G15" s="552" t="s">
        <v>326</v>
      </c>
      <c r="H15" s="291"/>
      <c r="I15" s="41">
        <f t="shared" ref="I15:AY15" si="3">SUM(I16:I18)</f>
        <v>0</v>
      </c>
      <c r="J15" s="41">
        <f t="shared" si="3"/>
        <v>0</v>
      </c>
      <c r="K15" s="41">
        <f t="shared" si="3"/>
        <v>0</v>
      </c>
      <c r="L15" s="41">
        <f t="shared" si="3"/>
        <v>0</v>
      </c>
      <c r="M15" s="41">
        <f t="shared" si="3"/>
        <v>0</v>
      </c>
      <c r="N15" s="41">
        <f t="shared" si="3"/>
        <v>0</v>
      </c>
      <c r="O15" s="41">
        <f t="shared" si="3"/>
        <v>0</v>
      </c>
      <c r="P15" s="41">
        <f t="shared" si="3"/>
        <v>0</v>
      </c>
      <c r="Q15" s="41">
        <f t="shared" si="3"/>
        <v>0</v>
      </c>
      <c r="R15" s="41">
        <f t="shared" si="3"/>
        <v>0</v>
      </c>
      <c r="S15" s="41">
        <f t="shared" si="3"/>
        <v>0</v>
      </c>
      <c r="T15" s="41">
        <f t="shared" si="3"/>
        <v>0</v>
      </c>
      <c r="U15" s="41">
        <f t="shared" si="3"/>
        <v>0</v>
      </c>
      <c r="V15" s="41">
        <f t="shared" si="3"/>
        <v>0</v>
      </c>
      <c r="W15" s="41">
        <f t="shared" si="3"/>
        <v>0</v>
      </c>
      <c r="X15" s="41">
        <f t="shared" si="3"/>
        <v>0</v>
      </c>
      <c r="Y15" s="41">
        <f t="shared" si="3"/>
        <v>0</v>
      </c>
      <c r="Z15" s="41">
        <f t="shared" si="3"/>
        <v>0</v>
      </c>
      <c r="AA15" s="41">
        <f t="shared" si="3"/>
        <v>0</v>
      </c>
      <c r="AB15" s="41">
        <f t="shared" si="3"/>
        <v>0</v>
      </c>
      <c r="AC15" s="41">
        <f t="shared" si="3"/>
        <v>0</v>
      </c>
      <c r="AD15" s="41">
        <f t="shared" si="3"/>
        <v>0</v>
      </c>
      <c r="AE15" s="41">
        <f t="shared" si="3"/>
        <v>0</v>
      </c>
      <c r="AF15" s="41">
        <f t="shared" si="3"/>
        <v>0</v>
      </c>
      <c r="AG15" s="41">
        <f t="shared" si="3"/>
        <v>0</v>
      </c>
      <c r="AH15" s="41">
        <f t="shared" si="3"/>
        <v>0</v>
      </c>
      <c r="AI15" s="41">
        <f t="shared" si="3"/>
        <v>0</v>
      </c>
      <c r="AJ15" s="41">
        <f t="shared" si="3"/>
        <v>0</v>
      </c>
      <c r="AK15" s="41">
        <f t="shared" si="3"/>
        <v>0</v>
      </c>
      <c r="AL15" s="41">
        <f t="shared" si="3"/>
        <v>0</v>
      </c>
      <c r="AM15" s="41">
        <f t="shared" si="3"/>
        <v>0</v>
      </c>
      <c r="AN15" s="41">
        <f t="shared" si="3"/>
        <v>0</v>
      </c>
      <c r="AO15" s="41">
        <f t="shared" si="3"/>
        <v>0</v>
      </c>
      <c r="AP15" s="41">
        <f t="shared" si="3"/>
        <v>0</v>
      </c>
      <c r="AQ15" s="41">
        <f t="shared" si="3"/>
        <v>0</v>
      </c>
      <c r="AR15" s="41">
        <f t="shared" si="3"/>
        <v>0</v>
      </c>
      <c r="AS15" s="41">
        <f t="shared" si="3"/>
        <v>0</v>
      </c>
      <c r="AT15" s="41">
        <f t="shared" si="3"/>
        <v>0</v>
      </c>
      <c r="AU15" s="553"/>
      <c r="AV15" s="553"/>
      <c r="AW15" s="553"/>
      <c r="AX15" s="553"/>
      <c r="AY15" s="41">
        <f t="shared" si="3"/>
        <v>0</v>
      </c>
    </row>
    <row r="16" spans="1:51" s="554" customFormat="1" x14ac:dyDescent="0.2">
      <c r="A16" s="557"/>
      <c r="B16" s="558"/>
      <c r="C16" s="561" t="s">
        <v>54</v>
      </c>
      <c r="D16" s="662" t="s">
        <v>63</v>
      </c>
      <c r="E16" s="782"/>
      <c r="F16" s="783"/>
      <c r="G16" s="552" t="s">
        <v>327</v>
      </c>
      <c r="H16" s="291"/>
      <c r="I16" s="553"/>
      <c r="J16" s="553"/>
      <c r="K16" s="553"/>
      <c r="L16" s="553"/>
      <c r="M16" s="553"/>
      <c r="N16" s="553"/>
      <c r="O16" s="553"/>
      <c r="P16" s="553"/>
      <c r="Q16" s="553"/>
      <c r="R16" s="553"/>
      <c r="S16" s="553"/>
      <c r="T16" s="553"/>
      <c r="U16" s="553"/>
      <c r="V16" s="553"/>
      <c r="W16" s="553"/>
      <c r="X16" s="553"/>
      <c r="Y16" s="553"/>
      <c r="Z16" s="553"/>
      <c r="AA16" s="553"/>
      <c r="AB16" s="553"/>
      <c r="AC16" s="553"/>
      <c r="AD16" s="553"/>
      <c r="AE16" s="553"/>
      <c r="AF16" s="553"/>
      <c r="AG16" s="553"/>
      <c r="AH16" s="553"/>
      <c r="AI16" s="553"/>
      <c r="AJ16" s="553"/>
      <c r="AK16" s="254"/>
      <c r="AL16" s="254"/>
      <c r="AM16" s="553"/>
      <c r="AN16" s="553"/>
      <c r="AO16" s="553"/>
      <c r="AP16" s="553"/>
      <c r="AQ16" s="553"/>
      <c r="AR16" s="553"/>
      <c r="AS16" s="553"/>
      <c r="AT16" s="553"/>
      <c r="AU16" s="553"/>
      <c r="AV16" s="553"/>
      <c r="AW16" s="553"/>
      <c r="AX16" s="553"/>
      <c r="AY16" s="41">
        <f>J16+L16+N16+P16+R16+T16+V16+X16+Z16+AB16+AD16+AF16+AH16+AJ16+AL16+AN16+AP16+AR16+AT16+AV16+AX16</f>
        <v>0</v>
      </c>
    </row>
    <row r="17" spans="1:51" s="554" customFormat="1" x14ac:dyDescent="0.2">
      <c r="A17" s="557"/>
      <c r="B17" s="558"/>
      <c r="C17" s="561" t="s">
        <v>55</v>
      </c>
      <c r="D17" s="662" t="s">
        <v>64</v>
      </c>
      <c r="E17" s="782"/>
      <c r="F17" s="783"/>
      <c r="G17" s="552" t="s">
        <v>328</v>
      </c>
      <c r="H17" s="291"/>
      <c r="I17" s="553"/>
      <c r="J17" s="553"/>
      <c r="K17" s="553"/>
      <c r="L17" s="553"/>
      <c r="M17" s="553"/>
      <c r="N17" s="553"/>
      <c r="O17" s="553"/>
      <c r="P17" s="553"/>
      <c r="Q17" s="553"/>
      <c r="R17" s="553"/>
      <c r="S17" s="553"/>
      <c r="T17" s="553"/>
      <c r="U17" s="553"/>
      <c r="V17" s="553"/>
      <c r="W17" s="553"/>
      <c r="X17" s="553"/>
      <c r="Y17" s="553"/>
      <c r="Z17" s="553"/>
      <c r="AA17" s="553"/>
      <c r="AB17" s="553"/>
      <c r="AC17" s="254"/>
      <c r="AD17" s="254"/>
      <c r="AE17" s="553"/>
      <c r="AF17" s="553"/>
      <c r="AG17" s="553"/>
      <c r="AH17" s="553"/>
      <c r="AI17" s="553"/>
      <c r="AJ17" s="553"/>
      <c r="AK17" s="553"/>
      <c r="AL17" s="553"/>
      <c r="AM17" s="553"/>
      <c r="AN17" s="553"/>
      <c r="AO17" s="553"/>
      <c r="AP17" s="553"/>
      <c r="AQ17" s="553"/>
      <c r="AR17" s="553"/>
      <c r="AS17" s="553"/>
      <c r="AT17" s="553"/>
      <c r="AU17" s="553"/>
      <c r="AV17" s="553"/>
      <c r="AW17" s="553"/>
      <c r="AX17" s="553"/>
      <c r="AY17" s="41">
        <f>J17+L17+N17+P17+R17+T17+V17+X17+Z17+AB17+AD17+AF17+AH17+AJ17+AL17+AN17+AP17+AR17+AT17+AV17+AX17</f>
        <v>0</v>
      </c>
    </row>
    <row r="18" spans="1:51" s="554" customFormat="1" x14ac:dyDescent="0.2">
      <c r="A18" s="557"/>
      <c r="B18" s="558"/>
      <c r="C18" s="561" t="s">
        <v>65</v>
      </c>
      <c r="D18" s="662" t="s">
        <v>66</v>
      </c>
      <c r="E18" s="782"/>
      <c r="F18" s="783"/>
      <c r="G18" s="552" t="s">
        <v>329</v>
      </c>
      <c r="H18" s="291"/>
      <c r="I18" s="254"/>
      <c r="J18" s="254"/>
      <c r="K18" s="254"/>
      <c r="L18" s="254"/>
      <c r="M18" s="254"/>
      <c r="N18" s="254"/>
      <c r="O18" s="254"/>
      <c r="P18" s="254"/>
      <c r="Q18" s="254"/>
      <c r="R18" s="254"/>
      <c r="S18" s="254"/>
      <c r="T18" s="254"/>
      <c r="U18" s="254"/>
      <c r="V18" s="254"/>
      <c r="W18" s="254"/>
      <c r="X18" s="254"/>
      <c r="Y18" s="254"/>
      <c r="Z18" s="254"/>
      <c r="AA18" s="254"/>
      <c r="AB18" s="254"/>
      <c r="AC18" s="553"/>
      <c r="AD18" s="553"/>
      <c r="AE18" s="254"/>
      <c r="AF18" s="254"/>
      <c r="AG18" s="254"/>
      <c r="AH18" s="254"/>
      <c r="AI18" s="254"/>
      <c r="AJ18" s="254"/>
      <c r="AK18" s="254"/>
      <c r="AL18" s="254"/>
      <c r="AM18" s="254"/>
      <c r="AN18" s="254"/>
      <c r="AO18" s="254"/>
      <c r="AP18" s="254"/>
      <c r="AQ18" s="254"/>
      <c r="AR18" s="254"/>
      <c r="AS18" s="254"/>
      <c r="AT18" s="254"/>
      <c r="AU18" s="553"/>
      <c r="AV18" s="553"/>
      <c r="AW18" s="553"/>
      <c r="AX18" s="553"/>
      <c r="AY18" s="41">
        <f>J18+L18+N18+P18+R18+T18+V18+X18+Z18+AB18+AD18+AF18+AH18+AJ18+AL18+AN18+AP18+AR18+AT18+AV18+AX18</f>
        <v>0</v>
      </c>
    </row>
    <row r="19" spans="1:51" s="562" customFormat="1" ht="11.25" x14ac:dyDescent="0.2">
      <c r="A19" s="557" t="s">
        <v>55</v>
      </c>
      <c r="B19" s="558" t="s">
        <v>67</v>
      </c>
      <c r="C19" s="558"/>
      <c r="D19" s="558"/>
      <c r="E19" s="558"/>
      <c r="F19" s="559"/>
      <c r="G19" s="552" t="s">
        <v>330</v>
      </c>
      <c r="H19" s="291"/>
      <c r="I19" s="41">
        <f t="shared" ref="I19:AY19" si="4">SUM(I20:I21)</f>
        <v>0</v>
      </c>
      <c r="J19" s="41">
        <f t="shared" si="4"/>
        <v>0</v>
      </c>
      <c r="K19" s="560"/>
      <c r="L19" s="560"/>
      <c r="M19" s="41">
        <f t="shared" si="4"/>
        <v>0</v>
      </c>
      <c r="N19" s="41">
        <f t="shared" si="4"/>
        <v>0</v>
      </c>
      <c r="O19" s="41">
        <f t="shared" si="4"/>
        <v>0</v>
      </c>
      <c r="P19" s="41">
        <f t="shared" si="4"/>
        <v>0</v>
      </c>
      <c r="Q19" s="41">
        <f t="shared" si="4"/>
        <v>0</v>
      </c>
      <c r="R19" s="41">
        <f t="shared" si="4"/>
        <v>0</v>
      </c>
      <c r="S19" s="41">
        <f t="shared" si="4"/>
        <v>0</v>
      </c>
      <c r="T19" s="41">
        <f t="shared" si="4"/>
        <v>0</v>
      </c>
      <c r="U19" s="41">
        <f t="shared" si="4"/>
        <v>0</v>
      </c>
      <c r="V19" s="41">
        <f t="shared" si="4"/>
        <v>0</v>
      </c>
      <c r="W19" s="560"/>
      <c r="X19" s="560"/>
      <c r="Y19" s="41">
        <f t="shared" si="4"/>
        <v>0</v>
      </c>
      <c r="Z19" s="41">
        <f t="shared" si="4"/>
        <v>0</v>
      </c>
      <c r="AA19" s="41">
        <f t="shared" si="4"/>
        <v>0</v>
      </c>
      <c r="AB19" s="41">
        <f t="shared" si="4"/>
        <v>0</v>
      </c>
      <c r="AC19" s="41">
        <f t="shared" si="4"/>
        <v>0</v>
      </c>
      <c r="AD19" s="41">
        <f t="shared" si="4"/>
        <v>0</v>
      </c>
      <c r="AE19" s="41">
        <f t="shared" si="4"/>
        <v>0</v>
      </c>
      <c r="AF19" s="41">
        <f t="shared" si="4"/>
        <v>0</v>
      </c>
      <c r="AG19" s="41">
        <f t="shared" si="4"/>
        <v>0</v>
      </c>
      <c r="AH19" s="41">
        <f t="shared" si="4"/>
        <v>0</v>
      </c>
      <c r="AI19" s="41">
        <f t="shared" si="4"/>
        <v>0</v>
      </c>
      <c r="AJ19" s="41">
        <f t="shared" si="4"/>
        <v>0</v>
      </c>
      <c r="AK19" s="41">
        <f t="shared" si="4"/>
        <v>0</v>
      </c>
      <c r="AL19" s="41">
        <f t="shared" si="4"/>
        <v>0</v>
      </c>
      <c r="AM19" s="553"/>
      <c r="AN19" s="553"/>
      <c r="AO19" s="553"/>
      <c r="AP19" s="553"/>
      <c r="AQ19" s="553"/>
      <c r="AR19" s="553"/>
      <c r="AS19" s="553"/>
      <c r="AT19" s="553"/>
      <c r="AU19" s="553"/>
      <c r="AV19" s="553"/>
      <c r="AW19" s="553"/>
      <c r="AX19" s="553"/>
      <c r="AY19" s="41">
        <f t="shared" si="4"/>
        <v>0</v>
      </c>
    </row>
    <row r="20" spans="1:51" s="562" customFormat="1" ht="11.25" x14ac:dyDescent="0.2">
      <c r="A20" s="557"/>
      <c r="B20" s="558" t="s">
        <v>59</v>
      </c>
      <c r="C20" s="662" t="s">
        <v>68</v>
      </c>
      <c r="D20" s="662"/>
      <c r="E20" s="662"/>
      <c r="F20" s="663"/>
      <c r="G20" s="552" t="s">
        <v>331</v>
      </c>
      <c r="H20" s="291"/>
      <c r="I20" s="254"/>
      <c r="J20" s="254"/>
      <c r="K20" s="560"/>
      <c r="L20" s="560"/>
      <c r="M20" s="254"/>
      <c r="N20" s="254"/>
      <c r="O20" s="254"/>
      <c r="P20" s="254"/>
      <c r="Q20" s="254"/>
      <c r="R20" s="254"/>
      <c r="S20" s="254"/>
      <c r="T20" s="254"/>
      <c r="U20" s="254"/>
      <c r="V20" s="254"/>
      <c r="W20" s="560"/>
      <c r="X20" s="560"/>
      <c r="Y20" s="254"/>
      <c r="Z20" s="254"/>
      <c r="AA20" s="254"/>
      <c r="AB20" s="254"/>
      <c r="AC20" s="254"/>
      <c r="AD20" s="254"/>
      <c r="AE20" s="254"/>
      <c r="AF20" s="254"/>
      <c r="AG20" s="254"/>
      <c r="AH20" s="254"/>
      <c r="AI20" s="254"/>
      <c r="AJ20" s="254"/>
      <c r="AK20" s="254"/>
      <c r="AL20" s="254"/>
      <c r="AM20" s="553"/>
      <c r="AN20" s="553"/>
      <c r="AO20" s="553"/>
      <c r="AP20" s="553"/>
      <c r="AQ20" s="553"/>
      <c r="AR20" s="553"/>
      <c r="AS20" s="553"/>
      <c r="AT20" s="553"/>
      <c r="AU20" s="553"/>
      <c r="AV20" s="553"/>
      <c r="AW20" s="553"/>
      <c r="AX20" s="553"/>
      <c r="AY20" s="41">
        <f>J20+L20+N20+P20+R20+T20+V20+X20+Z20+AB20+AD20+AF20+AH20+AJ20+AL20+AN20+AP20+AR20+AT20+AV20+AX20</f>
        <v>0</v>
      </c>
    </row>
    <row r="21" spans="1:51" s="562" customFormat="1" ht="11.25" x14ac:dyDescent="0.2">
      <c r="A21" s="557"/>
      <c r="B21" s="558" t="s">
        <v>69</v>
      </c>
      <c r="C21" s="558" t="s">
        <v>70</v>
      </c>
      <c r="D21" s="558"/>
      <c r="E21" s="558"/>
      <c r="F21" s="559"/>
      <c r="G21" s="552" t="s">
        <v>332</v>
      </c>
      <c r="H21" s="291"/>
      <c r="I21" s="254"/>
      <c r="J21" s="254"/>
      <c r="K21" s="560"/>
      <c r="L21" s="560"/>
      <c r="M21" s="254"/>
      <c r="N21" s="254"/>
      <c r="O21" s="254"/>
      <c r="P21" s="254"/>
      <c r="Q21" s="254"/>
      <c r="R21" s="254"/>
      <c r="S21" s="254"/>
      <c r="T21" s="254"/>
      <c r="U21" s="254"/>
      <c r="V21" s="254"/>
      <c r="W21" s="560"/>
      <c r="X21" s="560"/>
      <c r="Y21" s="254"/>
      <c r="Z21" s="254"/>
      <c r="AA21" s="254"/>
      <c r="AB21" s="254"/>
      <c r="AC21" s="254"/>
      <c r="AD21" s="254"/>
      <c r="AE21" s="254"/>
      <c r="AF21" s="254"/>
      <c r="AG21" s="254"/>
      <c r="AH21" s="254"/>
      <c r="AI21" s="254"/>
      <c r="AJ21" s="254"/>
      <c r="AK21" s="254"/>
      <c r="AL21" s="254"/>
      <c r="AM21" s="553"/>
      <c r="AN21" s="553"/>
      <c r="AO21" s="553"/>
      <c r="AP21" s="553"/>
      <c r="AQ21" s="553"/>
      <c r="AR21" s="553"/>
      <c r="AS21" s="553"/>
      <c r="AT21" s="553"/>
      <c r="AU21" s="553"/>
      <c r="AV21" s="553"/>
      <c r="AW21" s="553"/>
      <c r="AX21" s="553"/>
      <c r="AY21" s="41">
        <f>J21+L21+N21+P21+R21+T21+V21+X21+Z21+AB21+AD21+AF21+AH21+AJ21+AL21+AN21+AP21+AR21+AT21+AV21+AX21</f>
        <v>0</v>
      </c>
    </row>
    <row r="22" spans="1:51" s="562" customFormat="1" ht="11.25" x14ac:dyDescent="0.2">
      <c r="A22" s="563" t="s">
        <v>65</v>
      </c>
      <c r="B22" s="659" t="s">
        <v>1443</v>
      </c>
      <c r="C22" s="659"/>
      <c r="D22" s="659"/>
      <c r="E22" s="659"/>
      <c r="F22" s="660"/>
      <c r="G22" s="603" t="s">
        <v>333</v>
      </c>
      <c r="H22" s="291"/>
      <c r="I22" s="450">
        <f t="shared" ref="I22:AB22" si="5">SUM(I23:I24)</f>
        <v>0</v>
      </c>
      <c r="J22" s="450">
        <f t="shared" si="5"/>
        <v>0</v>
      </c>
      <c r="K22" s="450">
        <f t="shared" si="5"/>
        <v>0</v>
      </c>
      <c r="L22" s="450">
        <f t="shared" si="5"/>
        <v>0</v>
      </c>
      <c r="M22" s="450">
        <f t="shared" si="5"/>
        <v>0</v>
      </c>
      <c r="N22" s="450">
        <f t="shared" si="5"/>
        <v>0</v>
      </c>
      <c r="O22" s="450">
        <f t="shared" si="5"/>
        <v>0</v>
      </c>
      <c r="P22" s="450">
        <f t="shared" si="5"/>
        <v>0</v>
      </c>
      <c r="Q22" s="450">
        <f t="shared" si="5"/>
        <v>0</v>
      </c>
      <c r="R22" s="450">
        <f t="shared" si="5"/>
        <v>0</v>
      </c>
      <c r="S22" s="450">
        <f t="shared" si="5"/>
        <v>0</v>
      </c>
      <c r="T22" s="450">
        <f t="shared" si="5"/>
        <v>0</v>
      </c>
      <c r="U22" s="450">
        <f t="shared" si="5"/>
        <v>0</v>
      </c>
      <c r="V22" s="450">
        <f t="shared" si="5"/>
        <v>0</v>
      </c>
      <c r="W22" s="450">
        <f t="shared" si="5"/>
        <v>0</v>
      </c>
      <c r="X22" s="450">
        <f t="shared" si="5"/>
        <v>0</v>
      </c>
      <c r="Y22" s="450">
        <f t="shared" si="5"/>
        <v>0</v>
      </c>
      <c r="Z22" s="450">
        <f t="shared" si="5"/>
        <v>0</v>
      </c>
      <c r="AA22" s="450">
        <f t="shared" si="5"/>
        <v>0</v>
      </c>
      <c r="AB22" s="450">
        <f t="shared" si="5"/>
        <v>0</v>
      </c>
      <c r="AC22" s="484"/>
      <c r="AD22" s="484"/>
      <c r="AE22" s="450">
        <f t="shared" ref="AE22:AJ22" si="6">SUM(AE23:AE24)</f>
        <v>0</v>
      </c>
      <c r="AF22" s="450">
        <f t="shared" si="6"/>
        <v>0</v>
      </c>
      <c r="AG22" s="450">
        <f t="shared" si="6"/>
        <v>0</v>
      </c>
      <c r="AH22" s="450">
        <f t="shared" si="6"/>
        <v>0</v>
      </c>
      <c r="AI22" s="450">
        <f t="shared" si="6"/>
        <v>0</v>
      </c>
      <c r="AJ22" s="450">
        <f t="shared" si="6"/>
        <v>0</v>
      </c>
      <c r="AK22" s="451"/>
      <c r="AL22" s="451"/>
      <c r="AM22" s="451"/>
      <c r="AN22" s="451"/>
      <c r="AO22" s="450">
        <f t="shared" ref="AO22:AT22" si="7">SUM(AO23:AO24)</f>
        <v>0</v>
      </c>
      <c r="AP22" s="450">
        <f t="shared" si="7"/>
        <v>0</v>
      </c>
      <c r="AQ22" s="450">
        <f t="shared" si="7"/>
        <v>0</v>
      </c>
      <c r="AR22" s="450">
        <f t="shared" si="7"/>
        <v>0</v>
      </c>
      <c r="AS22" s="450">
        <f t="shared" si="7"/>
        <v>0</v>
      </c>
      <c r="AT22" s="450">
        <f t="shared" si="7"/>
        <v>0</v>
      </c>
      <c r="AU22" s="451"/>
      <c r="AV22" s="451"/>
      <c r="AW22" s="451"/>
      <c r="AX22" s="451"/>
      <c r="AY22" s="450">
        <f>J22+L22+N22+P22+R22+T22+V22+X22+Z22+AB22+AD22+AF22+AH22+AJ22+AL22+AN22+AP22+AR22+AT22+AV22+AX22</f>
        <v>0</v>
      </c>
    </row>
    <row r="23" spans="1:51" s="562" customFormat="1" ht="11.25" x14ac:dyDescent="0.2">
      <c r="A23" s="563"/>
      <c r="B23" s="569" t="s">
        <v>59</v>
      </c>
      <c r="C23" s="659" t="s">
        <v>543</v>
      </c>
      <c r="D23" s="659"/>
      <c r="E23" s="659"/>
      <c r="F23" s="660"/>
      <c r="G23" s="603" t="s">
        <v>1431</v>
      </c>
      <c r="H23" s="291"/>
      <c r="I23" s="254"/>
      <c r="J23" s="254"/>
      <c r="K23" s="254"/>
      <c r="L23" s="254"/>
      <c r="M23" s="254"/>
      <c r="N23" s="254"/>
      <c r="O23" s="254"/>
      <c r="P23" s="254"/>
      <c r="Q23" s="254"/>
      <c r="R23" s="254"/>
      <c r="S23" s="254"/>
      <c r="T23" s="254"/>
      <c r="U23" s="254"/>
      <c r="V23" s="254"/>
      <c r="W23" s="254"/>
      <c r="X23" s="254"/>
      <c r="Y23" s="254"/>
      <c r="Z23" s="254"/>
      <c r="AA23" s="254"/>
      <c r="AB23" s="254"/>
      <c r="AC23" s="560"/>
      <c r="AD23" s="560"/>
      <c r="AE23" s="254"/>
      <c r="AF23" s="254"/>
      <c r="AG23" s="254"/>
      <c r="AH23" s="254"/>
      <c r="AI23" s="254"/>
      <c r="AJ23" s="254"/>
      <c r="AK23" s="553"/>
      <c r="AL23" s="553"/>
      <c r="AM23" s="553"/>
      <c r="AN23" s="553"/>
      <c r="AO23" s="254"/>
      <c r="AP23" s="254"/>
      <c r="AQ23" s="254"/>
      <c r="AR23" s="254"/>
      <c r="AS23" s="254"/>
      <c r="AT23" s="254"/>
      <c r="AU23" s="553"/>
      <c r="AV23" s="553"/>
      <c r="AW23" s="553"/>
      <c r="AX23" s="553"/>
      <c r="AY23" s="450">
        <f>J23+L23+N23+P23+R23+T23+V23+X23+Z23+AB23+AD23+AF23+AH23+AJ23+AL23+AN23+AP23+AR23+AT23+AV23+AX23</f>
        <v>0</v>
      </c>
    </row>
    <row r="24" spans="1:51" s="562" customFormat="1" ht="11.25" x14ac:dyDescent="0.2">
      <c r="A24" s="563"/>
      <c r="B24" s="569" t="s">
        <v>61</v>
      </c>
      <c r="C24" s="659" t="s">
        <v>1430</v>
      </c>
      <c r="D24" s="659"/>
      <c r="E24" s="659"/>
      <c r="F24" s="660"/>
      <c r="G24" s="603" t="s">
        <v>1432</v>
      </c>
      <c r="H24" s="291"/>
      <c r="I24" s="254"/>
      <c r="J24" s="254"/>
      <c r="K24" s="254"/>
      <c r="L24" s="254"/>
      <c r="M24" s="254"/>
      <c r="N24" s="254"/>
      <c r="O24" s="254"/>
      <c r="P24" s="254"/>
      <c r="Q24" s="254"/>
      <c r="R24" s="254"/>
      <c r="S24" s="254"/>
      <c r="T24" s="254"/>
      <c r="U24" s="254"/>
      <c r="V24" s="254"/>
      <c r="W24" s="254"/>
      <c r="X24" s="254"/>
      <c r="Y24" s="254"/>
      <c r="Z24" s="254"/>
      <c r="AA24" s="254"/>
      <c r="AB24" s="254"/>
      <c r="AC24" s="560"/>
      <c r="AD24" s="560"/>
      <c r="AE24" s="254"/>
      <c r="AF24" s="254"/>
      <c r="AG24" s="254"/>
      <c r="AH24" s="254"/>
      <c r="AI24" s="254"/>
      <c r="AJ24" s="254"/>
      <c r="AK24" s="553"/>
      <c r="AL24" s="553"/>
      <c r="AM24" s="553"/>
      <c r="AN24" s="553"/>
      <c r="AO24" s="254"/>
      <c r="AP24" s="254"/>
      <c r="AQ24" s="254"/>
      <c r="AR24" s="254"/>
      <c r="AS24" s="254"/>
      <c r="AT24" s="254"/>
      <c r="AU24" s="553"/>
      <c r="AV24" s="553"/>
      <c r="AW24" s="553"/>
      <c r="AX24" s="553"/>
      <c r="AY24" s="450">
        <f>J24+L24+N24+P24+R24+T24+V24+X24+Z24+AB24+AD24+AF24+AH24+AJ24+AL24+AN24+AP24+AR24+AT24+AV24+AX24</f>
        <v>0</v>
      </c>
    </row>
    <row r="25" spans="1:51" s="562" customFormat="1" ht="11.25" x14ac:dyDescent="0.2">
      <c r="A25" s="563" t="s">
        <v>90</v>
      </c>
      <c r="B25" s="558" t="s">
        <v>73</v>
      </c>
      <c r="C25" s="558"/>
      <c r="D25" s="558"/>
      <c r="E25" s="558"/>
      <c r="F25" s="559"/>
      <c r="G25" s="552" t="s">
        <v>334</v>
      </c>
      <c r="H25" s="291"/>
      <c r="I25" s="41">
        <f t="shared" ref="I25:AY25" si="8">SUM(I26:I27)</f>
        <v>0</v>
      </c>
      <c r="J25" s="41">
        <f t="shared" si="8"/>
        <v>0</v>
      </c>
      <c r="K25" s="41">
        <f t="shared" si="8"/>
        <v>0</v>
      </c>
      <c r="L25" s="41">
        <f t="shared" si="8"/>
        <v>0</v>
      </c>
      <c r="M25" s="41">
        <f t="shared" si="8"/>
        <v>0</v>
      </c>
      <c r="N25" s="41">
        <f t="shared" si="8"/>
        <v>0</v>
      </c>
      <c r="O25" s="41">
        <f t="shared" si="8"/>
        <v>0</v>
      </c>
      <c r="P25" s="41">
        <f t="shared" si="8"/>
        <v>0</v>
      </c>
      <c r="Q25" s="41">
        <f t="shared" si="8"/>
        <v>0</v>
      </c>
      <c r="R25" s="41">
        <f t="shared" si="8"/>
        <v>0</v>
      </c>
      <c r="S25" s="41">
        <f t="shared" si="8"/>
        <v>0</v>
      </c>
      <c r="T25" s="41">
        <f t="shared" si="8"/>
        <v>0</v>
      </c>
      <c r="U25" s="41">
        <f t="shared" si="8"/>
        <v>0</v>
      </c>
      <c r="V25" s="41">
        <f t="shared" si="8"/>
        <v>0</v>
      </c>
      <c r="W25" s="41">
        <f t="shared" si="8"/>
        <v>0</v>
      </c>
      <c r="X25" s="41">
        <f t="shared" si="8"/>
        <v>0</v>
      </c>
      <c r="Y25" s="41">
        <f t="shared" si="8"/>
        <v>0</v>
      </c>
      <c r="Z25" s="41">
        <f t="shared" si="8"/>
        <v>0</v>
      </c>
      <c r="AA25" s="41">
        <f t="shared" si="8"/>
        <v>0</v>
      </c>
      <c r="AB25" s="41">
        <f t="shared" si="8"/>
        <v>0</v>
      </c>
      <c r="AC25" s="41">
        <f t="shared" si="8"/>
        <v>0</v>
      </c>
      <c r="AD25" s="41">
        <f t="shared" si="8"/>
        <v>0</v>
      </c>
      <c r="AE25" s="41">
        <f t="shared" si="8"/>
        <v>0</v>
      </c>
      <c r="AF25" s="41">
        <f t="shared" si="8"/>
        <v>0</v>
      </c>
      <c r="AG25" s="41">
        <f t="shared" si="8"/>
        <v>0</v>
      </c>
      <c r="AH25" s="41">
        <f t="shared" si="8"/>
        <v>0</v>
      </c>
      <c r="AI25" s="41">
        <f t="shared" si="8"/>
        <v>0</v>
      </c>
      <c r="AJ25" s="41">
        <f t="shared" si="8"/>
        <v>0</v>
      </c>
      <c r="AK25" s="553"/>
      <c r="AL25" s="553"/>
      <c r="AM25" s="41">
        <f t="shared" si="8"/>
        <v>0</v>
      </c>
      <c r="AN25" s="41">
        <f t="shared" si="8"/>
        <v>0</v>
      </c>
      <c r="AO25" s="41">
        <f t="shared" si="8"/>
        <v>0</v>
      </c>
      <c r="AP25" s="41">
        <f t="shared" si="8"/>
        <v>0</v>
      </c>
      <c r="AQ25" s="41">
        <f t="shared" si="8"/>
        <v>0</v>
      </c>
      <c r="AR25" s="41">
        <f t="shared" si="8"/>
        <v>0</v>
      </c>
      <c r="AS25" s="41">
        <f t="shared" si="8"/>
        <v>0</v>
      </c>
      <c r="AT25" s="41">
        <f t="shared" si="8"/>
        <v>0</v>
      </c>
      <c r="AU25" s="553"/>
      <c r="AV25" s="553"/>
      <c r="AW25" s="553"/>
      <c r="AX25" s="553"/>
      <c r="AY25" s="41">
        <f t="shared" si="8"/>
        <v>0</v>
      </c>
    </row>
    <row r="26" spans="1:51" s="562" customFormat="1" ht="11.25" x14ac:dyDescent="0.2">
      <c r="A26" s="557"/>
      <c r="B26" s="558" t="s">
        <v>59</v>
      </c>
      <c r="C26" s="662" t="s">
        <v>1451</v>
      </c>
      <c r="D26" s="662"/>
      <c r="E26" s="662"/>
      <c r="F26" s="663"/>
      <c r="G26" s="552" t="s">
        <v>335</v>
      </c>
      <c r="H26" s="291"/>
      <c r="I26" s="254"/>
      <c r="J26" s="254"/>
      <c r="K26" s="254"/>
      <c r="L26" s="254"/>
      <c r="M26" s="254"/>
      <c r="N26" s="254"/>
      <c r="O26" s="254"/>
      <c r="P26" s="254"/>
      <c r="Q26" s="254"/>
      <c r="R26" s="254"/>
      <c r="S26" s="254"/>
      <c r="T26" s="254"/>
      <c r="U26" s="254"/>
      <c r="V26" s="254"/>
      <c r="W26" s="254"/>
      <c r="X26" s="254"/>
      <c r="Y26" s="254"/>
      <c r="Z26" s="254"/>
      <c r="AA26" s="254"/>
      <c r="AB26" s="254"/>
      <c r="AC26" s="254"/>
      <c r="AD26" s="254"/>
      <c r="AE26" s="254"/>
      <c r="AF26" s="254"/>
      <c r="AG26" s="254"/>
      <c r="AH26" s="254"/>
      <c r="AI26" s="254"/>
      <c r="AJ26" s="254"/>
      <c r="AK26" s="553"/>
      <c r="AL26" s="553"/>
      <c r="AM26" s="254"/>
      <c r="AN26" s="254"/>
      <c r="AO26" s="254"/>
      <c r="AP26" s="254"/>
      <c r="AQ26" s="254"/>
      <c r="AR26" s="254"/>
      <c r="AS26" s="254"/>
      <c r="AT26" s="254"/>
      <c r="AU26" s="553"/>
      <c r="AV26" s="553"/>
      <c r="AW26" s="553"/>
      <c r="AX26" s="553"/>
      <c r="AY26" s="41">
        <f>J26+L26+N26+P26+R26+T26+V26+X26+Z26+AB26+AD26+AF26+AH26+AJ26+AL26+AN26+AP26+AR26+AT26+AV26+AX26</f>
        <v>0</v>
      </c>
    </row>
    <row r="27" spans="1:51" s="562" customFormat="1" ht="11.25" x14ac:dyDescent="0.2">
      <c r="A27" s="557"/>
      <c r="B27" s="558" t="s">
        <v>69</v>
      </c>
      <c r="C27" s="662" t="s">
        <v>1452</v>
      </c>
      <c r="D27" s="662"/>
      <c r="E27" s="662"/>
      <c r="F27" s="663"/>
      <c r="G27" s="552" t="s">
        <v>336</v>
      </c>
      <c r="H27" s="291"/>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4"/>
      <c r="AH27" s="254"/>
      <c r="AI27" s="254"/>
      <c r="AJ27" s="254"/>
      <c r="AK27" s="553"/>
      <c r="AL27" s="553"/>
      <c r="AM27" s="254"/>
      <c r="AN27" s="254"/>
      <c r="AO27" s="254"/>
      <c r="AP27" s="254"/>
      <c r="AQ27" s="254"/>
      <c r="AR27" s="254"/>
      <c r="AS27" s="254"/>
      <c r="AT27" s="254"/>
      <c r="AU27" s="553"/>
      <c r="AV27" s="553"/>
      <c r="AW27" s="553"/>
      <c r="AX27" s="553"/>
      <c r="AY27" s="41">
        <f>J27+L27+N27+P27+R27+T27+V27+X27+Z27+AB27+AD27+AF27+AH27+AJ27+AL27+AN27+AP27+AR27+AT27+AV27+AX27</f>
        <v>0</v>
      </c>
    </row>
    <row r="28" spans="1:51" s="562" customFormat="1" ht="11.25" x14ac:dyDescent="0.2">
      <c r="A28" s="564" t="s">
        <v>257</v>
      </c>
      <c r="B28" s="784" t="s">
        <v>983</v>
      </c>
      <c r="C28" s="784"/>
      <c r="D28" s="784"/>
      <c r="E28" s="784"/>
      <c r="F28" s="682"/>
      <c r="G28" s="552" t="s">
        <v>337</v>
      </c>
      <c r="H28" s="291"/>
      <c r="I28" s="553"/>
      <c r="J28" s="553"/>
      <c r="K28" s="553"/>
      <c r="L28" s="553"/>
      <c r="M28" s="553"/>
      <c r="N28" s="553"/>
      <c r="O28" s="553"/>
      <c r="P28" s="553"/>
      <c r="Q28" s="553"/>
      <c r="R28" s="553"/>
      <c r="S28" s="553"/>
      <c r="T28" s="553"/>
      <c r="U28" s="553"/>
      <c r="V28" s="553"/>
      <c r="W28" s="553"/>
      <c r="X28" s="553"/>
      <c r="Y28" s="553"/>
      <c r="Z28" s="553"/>
      <c r="AA28" s="553"/>
      <c r="AB28" s="553"/>
      <c r="AC28" s="553"/>
      <c r="AD28" s="553"/>
      <c r="AE28" s="254"/>
      <c r="AF28" s="254"/>
      <c r="AG28" s="553"/>
      <c r="AH28" s="553"/>
      <c r="AI28" s="553"/>
      <c r="AJ28" s="553"/>
      <c r="AK28" s="553"/>
      <c r="AL28" s="553"/>
      <c r="AM28" s="553"/>
      <c r="AN28" s="553"/>
      <c r="AO28" s="553"/>
      <c r="AP28" s="553"/>
      <c r="AQ28" s="553"/>
      <c r="AR28" s="553"/>
      <c r="AS28" s="553"/>
      <c r="AT28" s="553"/>
      <c r="AU28" s="553"/>
      <c r="AV28" s="553"/>
      <c r="AW28" s="553"/>
      <c r="AX28" s="553"/>
      <c r="AY28" s="41">
        <f>J28+L28+N28+P28+R28+T28+V28+X28+Z28+AB28+AD28+AF28+AH28+AJ28+AL28+AN28+AP28+AR28+AT28+AV28+AX28</f>
        <v>0</v>
      </c>
    </row>
    <row r="29" spans="1:51" s="562" customFormat="1" ht="11.25" x14ac:dyDescent="0.2">
      <c r="A29" s="563" t="s">
        <v>74</v>
      </c>
      <c r="B29" s="662" t="s">
        <v>77</v>
      </c>
      <c r="C29" s="662"/>
      <c r="D29" s="662"/>
      <c r="E29" s="662"/>
      <c r="F29" s="663"/>
      <c r="G29" s="552" t="s">
        <v>338</v>
      </c>
      <c r="H29" s="291"/>
      <c r="I29" s="41">
        <f t="shared" ref="I29:AY29" si="9">SUM(I30:I31)</f>
        <v>0</v>
      </c>
      <c r="J29" s="41">
        <f t="shared" si="9"/>
        <v>0</v>
      </c>
      <c r="K29" s="41">
        <f t="shared" si="9"/>
        <v>0</v>
      </c>
      <c r="L29" s="41">
        <f t="shared" si="9"/>
        <v>0</v>
      </c>
      <c r="M29" s="41">
        <f t="shared" si="9"/>
        <v>0</v>
      </c>
      <c r="N29" s="41">
        <f t="shared" si="9"/>
        <v>0</v>
      </c>
      <c r="O29" s="41">
        <f t="shared" si="9"/>
        <v>0</v>
      </c>
      <c r="P29" s="41">
        <f t="shared" si="9"/>
        <v>0</v>
      </c>
      <c r="Q29" s="41">
        <f t="shared" si="9"/>
        <v>0</v>
      </c>
      <c r="R29" s="41">
        <f t="shared" si="9"/>
        <v>0</v>
      </c>
      <c r="S29" s="41">
        <f t="shared" si="9"/>
        <v>0</v>
      </c>
      <c r="T29" s="41">
        <f t="shared" si="9"/>
        <v>0</v>
      </c>
      <c r="U29" s="41">
        <f t="shared" si="9"/>
        <v>0</v>
      </c>
      <c r="V29" s="41">
        <f t="shared" si="9"/>
        <v>0</v>
      </c>
      <c r="W29" s="41">
        <f t="shared" si="9"/>
        <v>0</v>
      </c>
      <c r="X29" s="41">
        <f t="shared" si="9"/>
        <v>0</v>
      </c>
      <c r="Y29" s="41">
        <f t="shared" si="9"/>
        <v>0</v>
      </c>
      <c r="Z29" s="41">
        <f t="shared" si="9"/>
        <v>0</v>
      </c>
      <c r="AA29" s="41">
        <f t="shared" si="9"/>
        <v>0</v>
      </c>
      <c r="AB29" s="41">
        <f t="shared" si="9"/>
        <v>0</v>
      </c>
      <c r="AC29" s="41">
        <f t="shared" si="9"/>
        <v>0</v>
      </c>
      <c r="AD29" s="41">
        <f t="shared" si="9"/>
        <v>0</v>
      </c>
      <c r="AE29" s="41">
        <f t="shared" si="9"/>
        <v>0</v>
      </c>
      <c r="AF29" s="41">
        <f t="shared" si="9"/>
        <v>0</v>
      </c>
      <c r="AG29" s="41">
        <f t="shared" si="9"/>
        <v>0</v>
      </c>
      <c r="AH29" s="41">
        <f t="shared" si="9"/>
        <v>0</v>
      </c>
      <c r="AI29" s="41">
        <f t="shared" si="9"/>
        <v>0</v>
      </c>
      <c r="AJ29" s="41">
        <f t="shared" si="9"/>
        <v>0</v>
      </c>
      <c r="AK29" s="553"/>
      <c r="AL29" s="553"/>
      <c r="AM29" s="41">
        <f t="shared" si="9"/>
        <v>0</v>
      </c>
      <c r="AN29" s="41">
        <f t="shared" si="9"/>
        <v>0</v>
      </c>
      <c r="AO29" s="41">
        <f t="shared" si="9"/>
        <v>0</v>
      </c>
      <c r="AP29" s="41">
        <f t="shared" si="9"/>
        <v>0</v>
      </c>
      <c r="AQ29" s="41">
        <f t="shared" si="9"/>
        <v>0</v>
      </c>
      <c r="AR29" s="41">
        <f t="shared" si="9"/>
        <v>0</v>
      </c>
      <c r="AS29" s="41">
        <f t="shared" si="9"/>
        <v>0</v>
      </c>
      <c r="AT29" s="41">
        <f t="shared" si="9"/>
        <v>0</v>
      </c>
      <c r="AU29" s="553"/>
      <c r="AV29" s="553"/>
      <c r="AW29" s="553"/>
      <c r="AX29" s="553"/>
      <c r="AY29" s="41">
        <f t="shared" si="9"/>
        <v>0</v>
      </c>
    </row>
    <row r="30" spans="1:51" s="562" customFormat="1" ht="11.25" x14ac:dyDescent="0.2">
      <c r="A30" s="557"/>
      <c r="B30" s="558" t="s">
        <v>59</v>
      </c>
      <c r="C30" s="662" t="s">
        <v>78</v>
      </c>
      <c r="D30" s="662"/>
      <c r="E30" s="662"/>
      <c r="F30" s="663"/>
      <c r="G30" s="552" t="s">
        <v>339</v>
      </c>
      <c r="H30" s="291"/>
      <c r="I30" s="553"/>
      <c r="J30" s="553"/>
      <c r="K30" s="553"/>
      <c r="L30" s="553"/>
      <c r="M30" s="553"/>
      <c r="N30" s="553"/>
      <c r="O30" s="553"/>
      <c r="P30" s="553"/>
      <c r="Q30" s="553"/>
      <c r="R30" s="553"/>
      <c r="S30" s="553"/>
      <c r="T30" s="553"/>
      <c r="U30" s="553"/>
      <c r="V30" s="553"/>
      <c r="W30" s="553"/>
      <c r="X30" s="553"/>
      <c r="Y30" s="553"/>
      <c r="Z30" s="553"/>
      <c r="AA30" s="553"/>
      <c r="AB30" s="553"/>
      <c r="AC30" s="254"/>
      <c r="AD30" s="254"/>
      <c r="AE30" s="560"/>
      <c r="AF30" s="560"/>
      <c r="AG30" s="560"/>
      <c r="AH30" s="560"/>
      <c r="AI30" s="560"/>
      <c r="AJ30" s="560"/>
      <c r="AK30" s="553"/>
      <c r="AL30" s="553"/>
      <c r="AM30" s="560"/>
      <c r="AN30" s="560"/>
      <c r="AO30" s="560"/>
      <c r="AP30" s="560"/>
      <c r="AQ30" s="560"/>
      <c r="AR30" s="560"/>
      <c r="AS30" s="560"/>
      <c r="AT30" s="560"/>
      <c r="AU30" s="553"/>
      <c r="AV30" s="553"/>
      <c r="AW30" s="553"/>
      <c r="AX30" s="553"/>
      <c r="AY30" s="41">
        <f>J30+L30+N30+P30+R30+T30+V30+X30+Z30+AB30+AD30+AF30+AH30+AJ30+AL30+AN30+AP30+AR30+AT30+AV30+AX30</f>
        <v>0</v>
      </c>
    </row>
    <row r="31" spans="1:51" s="562" customFormat="1" ht="21.75" customHeight="1" x14ac:dyDescent="0.2">
      <c r="A31" s="557"/>
      <c r="B31" s="558" t="s">
        <v>61</v>
      </c>
      <c r="C31" s="662" t="s">
        <v>66</v>
      </c>
      <c r="D31" s="662"/>
      <c r="E31" s="662"/>
      <c r="F31" s="663"/>
      <c r="G31" s="552" t="s">
        <v>340</v>
      </c>
      <c r="H31" s="291"/>
      <c r="I31" s="254"/>
      <c r="J31" s="254"/>
      <c r="K31" s="254"/>
      <c r="L31" s="254"/>
      <c r="M31" s="254"/>
      <c r="N31" s="254"/>
      <c r="O31" s="254"/>
      <c r="P31" s="254"/>
      <c r="Q31" s="254"/>
      <c r="R31" s="254"/>
      <c r="S31" s="254"/>
      <c r="T31" s="254"/>
      <c r="U31" s="254"/>
      <c r="V31" s="254"/>
      <c r="W31" s="254"/>
      <c r="X31" s="254"/>
      <c r="Y31" s="254"/>
      <c r="Z31" s="254"/>
      <c r="AA31" s="254"/>
      <c r="AB31" s="254"/>
      <c r="AC31" s="553"/>
      <c r="AD31" s="553"/>
      <c r="AE31" s="254"/>
      <c r="AF31" s="254"/>
      <c r="AG31" s="254"/>
      <c r="AH31" s="254"/>
      <c r="AI31" s="254"/>
      <c r="AJ31" s="254"/>
      <c r="AK31" s="553"/>
      <c r="AL31" s="553"/>
      <c r="AM31" s="254"/>
      <c r="AN31" s="254"/>
      <c r="AO31" s="254"/>
      <c r="AP31" s="254"/>
      <c r="AQ31" s="254"/>
      <c r="AR31" s="254"/>
      <c r="AS31" s="254"/>
      <c r="AT31" s="254"/>
      <c r="AU31" s="553"/>
      <c r="AV31" s="553"/>
      <c r="AW31" s="553"/>
      <c r="AX31" s="553"/>
      <c r="AY31" s="41">
        <f>J31+L31+N31+P31+R31+T31+V31+X31+Z31+AB31+AD31+AF31+AH31+AJ31+AL31+AN31+AP31+AR31+AT31+AV31+AX31</f>
        <v>0</v>
      </c>
    </row>
    <row r="32" spans="1:51" s="562" customFormat="1" ht="11.25" x14ac:dyDescent="0.2">
      <c r="A32" s="563" t="s">
        <v>76</v>
      </c>
      <c r="B32" s="784" t="s">
        <v>1337</v>
      </c>
      <c r="C32" s="784"/>
      <c r="D32" s="784"/>
      <c r="E32" s="784"/>
      <c r="F32" s="682"/>
      <c r="G32" s="565" t="s">
        <v>341</v>
      </c>
      <c r="H32" s="566"/>
      <c r="I32" s="553"/>
      <c r="J32" s="553"/>
      <c r="K32" s="553"/>
      <c r="L32" s="553"/>
      <c r="M32" s="553"/>
      <c r="N32" s="553"/>
      <c r="O32" s="553"/>
      <c r="P32" s="553"/>
      <c r="Q32" s="553"/>
      <c r="R32" s="553"/>
      <c r="S32" s="553"/>
      <c r="T32" s="553"/>
      <c r="U32" s="553"/>
      <c r="V32" s="553"/>
      <c r="W32" s="553"/>
      <c r="X32" s="553"/>
      <c r="Y32" s="553"/>
      <c r="Z32" s="553"/>
      <c r="AA32" s="553"/>
      <c r="AB32" s="553"/>
      <c r="AC32" s="553"/>
      <c r="AD32" s="553"/>
      <c r="AE32" s="254"/>
      <c r="AF32" s="254"/>
      <c r="AG32" s="560"/>
      <c r="AH32" s="560"/>
      <c r="AI32" s="560"/>
      <c r="AJ32" s="560"/>
      <c r="AK32" s="553"/>
      <c r="AL32" s="553"/>
      <c r="AM32" s="560"/>
      <c r="AN32" s="560"/>
      <c r="AO32" s="560"/>
      <c r="AP32" s="560"/>
      <c r="AQ32" s="560"/>
      <c r="AR32" s="560"/>
      <c r="AS32" s="560"/>
      <c r="AT32" s="560"/>
      <c r="AU32" s="553"/>
      <c r="AV32" s="553"/>
      <c r="AW32" s="553"/>
      <c r="AX32" s="553"/>
      <c r="AY32" s="41">
        <f>J32+L32+N32+P32+R32+T32+V32+X32+Z32+AB32+AD32+AF32+AH32+AJ32+AL32+AN32+AP32+AR32+AT32+AV32+AX32</f>
        <v>0</v>
      </c>
    </row>
    <row r="33" spans="1:59" s="562" customFormat="1" ht="11.25" x14ac:dyDescent="0.2">
      <c r="A33" s="564" t="s">
        <v>79</v>
      </c>
      <c r="B33" s="558" t="s">
        <v>85</v>
      </c>
      <c r="C33" s="558"/>
      <c r="D33" s="558"/>
      <c r="E33" s="558"/>
      <c r="F33" s="559"/>
      <c r="G33" s="552" t="s">
        <v>346</v>
      </c>
      <c r="H33" s="291"/>
      <c r="I33" s="254"/>
      <c r="J33" s="254"/>
      <c r="K33" s="254"/>
      <c r="L33" s="254"/>
      <c r="M33" s="254"/>
      <c r="N33" s="254"/>
      <c r="O33" s="553"/>
      <c r="P33" s="553"/>
      <c r="Q33" s="254"/>
      <c r="R33" s="254"/>
      <c r="S33" s="254"/>
      <c r="T33" s="254"/>
      <c r="U33" s="254"/>
      <c r="V33" s="254"/>
      <c r="W33" s="254"/>
      <c r="X33" s="254"/>
      <c r="Y33" s="254"/>
      <c r="Z33" s="254"/>
      <c r="AA33" s="254"/>
      <c r="AB33" s="254"/>
      <c r="AC33" s="553"/>
      <c r="AD33" s="553"/>
      <c r="AE33" s="254"/>
      <c r="AF33" s="254"/>
      <c r="AG33" s="254"/>
      <c r="AH33" s="254"/>
      <c r="AI33" s="254"/>
      <c r="AJ33" s="254"/>
      <c r="AK33" s="553"/>
      <c r="AL33" s="553"/>
      <c r="AM33" s="254"/>
      <c r="AN33" s="254"/>
      <c r="AO33" s="254"/>
      <c r="AP33" s="254"/>
      <c r="AQ33" s="254"/>
      <c r="AR33" s="254"/>
      <c r="AS33" s="254"/>
      <c r="AT33" s="254"/>
      <c r="AU33" s="254"/>
      <c r="AV33" s="254"/>
      <c r="AW33" s="553"/>
      <c r="AX33" s="553"/>
      <c r="AY33" s="41">
        <f>J33+L33+N33+P33+R33+T33+V33+X33+Z33+AB33+AD33+AF33+AH33+AJ33+AL33+AN33+AP33+AR33+AT33+AV33+AX33</f>
        <v>0</v>
      </c>
    </row>
    <row r="34" spans="1:59" s="562" customFormat="1" ht="11.25" x14ac:dyDescent="0.2">
      <c r="A34" s="551" t="s">
        <v>714</v>
      </c>
      <c r="B34" s="558"/>
      <c r="C34" s="558"/>
      <c r="D34" s="558"/>
      <c r="E34" s="558"/>
      <c r="F34" s="559"/>
      <c r="G34" s="552" t="s">
        <v>715</v>
      </c>
      <c r="H34" s="291"/>
      <c r="I34" s="553"/>
      <c r="J34" s="553"/>
      <c r="K34" s="553"/>
      <c r="L34" s="553"/>
      <c r="M34" s="553"/>
      <c r="N34" s="553"/>
      <c r="O34" s="553"/>
      <c r="P34" s="553"/>
      <c r="Q34" s="553"/>
      <c r="R34" s="553"/>
      <c r="S34" s="553"/>
      <c r="T34" s="553"/>
      <c r="U34" s="553"/>
      <c r="V34" s="553"/>
      <c r="W34" s="553"/>
      <c r="X34" s="553"/>
      <c r="Y34" s="553"/>
      <c r="Z34" s="553"/>
      <c r="AA34" s="553"/>
      <c r="AB34" s="553"/>
      <c r="AC34" s="553"/>
      <c r="AD34" s="553"/>
      <c r="AE34" s="553"/>
      <c r="AF34" s="553"/>
      <c r="AG34" s="553"/>
      <c r="AH34" s="553"/>
      <c r="AI34" s="553"/>
      <c r="AJ34" s="553"/>
      <c r="AK34" s="553"/>
      <c r="AL34" s="553"/>
      <c r="AM34" s="553"/>
      <c r="AN34" s="553"/>
      <c r="AO34" s="553"/>
      <c r="AP34" s="553"/>
      <c r="AQ34" s="553"/>
      <c r="AR34" s="553"/>
      <c r="AS34" s="553"/>
      <c r="AT34" s="553"/>
      <c r="AU34" s="553"/>
      <c r="AV34" s="553"/>
      <c r="AW34" s="553"/>
      <c r="AX34" s="553"/>
      <c r="AY34" s="41">
        <f>AY35</f>
        <v>0</v>
      </c>
    </row>
    <row r="35" spans="1:59" s="562" customFormat="1" ht="11.25" x14ac:dyDescent="0.2">
      <c r="A35" s="564" t="s">
        <v>81</v>
      </c>
      <c r="B35" s="558" t="s">
        <v>1467</v>
      </c>
      <c r="C35" s="558"/>
      <c r="D35" s="558"/>
      <c r="E35" s="558"/>
      <c r="F35" s="559"/>
      <c r="G35" s="552" t="s">
        <v>342</v>
      </c>
      <c r="H35" s="291"/>
      <c r="I35" s="553"/>
      <c r="J35" s="553"/>
      <c r="K35" s="553"/>
      <c r="L35" s="553"/>
      <c r="M35" s="553"/>
      <c r="N35" s="553"/>
      <c r="O35" s="553"/>
      <c r="P35" s="553"/>
      <c r="Q35" s="553"/>
      <c r="R35" s="553"/>
      <c r="S35" s="553"/>
      <c r="T35" s="553"/>
      <c r="U35" s="553"/>
      <c r="V35" s="553"/>
      <c r="W35" s="553"/>
      <c r="X35" s="553"/>
      <c r="Y35" s="553"/>
      <c r="Z35" s="553"/>
      <c r="AA35" s="553"/>
      <c r="AB35" s="553"/>
      <c r="AC35" s="553"/>
      <c r="AD35" s="553"/>
      <c r="AE35" s="553"/>
      <c r="AF35" s="553"/>
      <c r="AG35" s="553"/>
      <c r="AH35" s="553"/>
      <c r="AI35" s="553"/>
      <c r="AJ35" s="553"/>
      <c r="AK35" s="553"/>
      <c r="AL35" s="553"/>
      <c r="AM35" s="553"/>
      <c r="AN35" s="553"/>
      <c r="AO35" s="553"/>
      <c r="AP35" s="553"/>
      <c r="AQ35" s="553"/>
      <c r="AR35" s="553"/>
      <c r="AS35" s="553"/>
      <c r="AT35" s="553"/>
      <c r="AU35" s="553"/>
      <c r="AV35" s="553"/>
      <c r="AW35" s="553"/>
      <c r="AX35" s="553"/>
      <c r="AY35" s="41">
        <f>AY36+AY37+AY40+AY41</f>
        <v>0</v>
      </c>
    </row>
    <row r="36" spans="1:59" s="554" customFormat="1" x14ac:dyDescent="0.2">
      <c r="A36" s="557"/>
      <c r="B36" s="558" t="s">
        <v>59</v>
      </c>
      <c r="C36" s="662" t="s">
        <v>82</v>
      </c>
      <c r="D36" s="662"/>
      <c r="E36" s="662"/>
      <c r="F36" s="663"/>
      <c r="G36" s="552" t="s">
        <v>343</v>
      </c>
      <c r="H36" s="291"/>
      <c r="I36" s="553"/>
      <c r="J36" s="553"/>
      <c r="K36" s="553"/>
      <c r="L36" s="553"/>
      <c r="M36" s="553"/>
      <c r="N36" s="553"/>
      <c r="O36" s="553"/>
      <c r="P36" s="553"/>
      <c r="Q36" s="553"/>
      <c r="R36" s="553"/>
      <c r="S36" s="553"/>
      <c r="T36" s="553"/>
      <c r="U36" s="553"/>
      <c r="V36" s="553"/>
      <c r="W36" s="553"/>
      <c r="X36" s="553"/>
      <c r="Y36" s="553"/>
      <c r="Z36" s="553"/>
      <c r="AA36" s="553"/>
      <c r="AB36" s="553"/>
      <c r="AC36" s="553"/>
      <c r="AD36" s="553"/>
      <c r="AE36" s="553"/>
      <c r="AF36" s="553"/>
      <c r="AG36" s="553"/>
      <c r="AH36" s="553"/>
      <c r="AI36" s="553"/>
      <c r="AJ36" s="553"/>
      <c r="AK36" s="553"/>
      <c r="AL36" s="553"/>
      <c r="AM36" s="553"/>
      <c r="AN36" s="553"/>
      <c r="AO36" s="553"/>
      <c r="AP36" s="553"/>
      <c r="AQ36" s="553"/>
      <c r="AR36" s="553"/>
      <c r="AS36" s="553"/>
      <c r="AT36" s="553"/>
      <c r="AU36" s="553"/>
      <c r="AV36" s="553"/>
      <c r="AW36" s="553"/>
      <c r="AX36" s="553"/>
      <c r="AY36" s="254"/>
    </row>
    <row r="37" spans="1:59" s="554" customFormat="1" x14ac:dyDescent="0.2">
      <c r="A37" s="557"/>
      <c r="B37" s="558" t="s">
        <v>61</v>
      </c>
      <c r="C37" s="662" t="s">
        <v>1457</v>
      </c>
      <c r="D37" s="662"/>
      <c r="E37" s="662"/>
      <c r="F37" s="663"/>
      <c r="G37" s="552" t="s">
        <v>344</v>
      </c>
      <c r="H37" s="291"/>
      <c r="I37" s="553"/>
      <c r="J37" s="553"/>
      <c r="K37" s="553"/>
      <c r="L37" s="553"/>
      <c r="M37" s="553"/>
      <c r="N37" s="553"/>
      <c r="O37" s="553"/>
      <c r="P37" s="553"/>
      <c r="Q37" s="553"/>
      <c r="R37" s="553"/>
      <c r="S37" s="553"/>
      <c r="T37" s="553"/>
      <c r="U37" s="553"/>
      <c r="V37" s="553"/>
      <c r="W37" s="553"/>
      <c r="X37" s="553"/>
      <c r="Y37" s="553"/>
      <c r="Z37" s="553"/>
      <c r="AA37" s="553"/>
      <c r="AB37" s="553"/>
      <c r="AC37" s="553"/>
      <c r="AD37" s="553"/>
      <c r="AE37" s="553"/>
      <c r="AF37" s="553"/>
      <c r="AG37" s="553"/>
      <c r="AH37" s="553"/>
      <c r="AI37" s="553"/>
      <c r="AJ37" s="553"/>
      <c r="AK37" s="553"/>
      <c r="AL37" s="553"/>
      <c r="AM37" s="553"/>
      <c r="AN37" s="553"/>
      <c r="AO37" s="553"/>
      <c r="AP37" s="553"/>
      <c r="AQ37" s="553"/>
      <c r="AR37" s="553"/>
      <c r="AS37" s="553"/>
      <c r="AT37" s="553"/>
      <c r="AU37" s="553"/>
      <c r="AV37" s="553"/>
      <c r="AW37" s="553"/>
      <c r="AX37" s="553"/>
      <c r="AY37" s="450">
        <f>AY38+AY39</f>
        <v>0</v>
      </c>
    </row>
    <row r="38" spans="1:59" s="554" customFormat="1" x14ac:dyDescent="0.2">
      <c r="A38" s="455"/>
      <c r="B38" s="456"/>
      <c r="C38" s="558" t="s">
        <v>54</v>
      </c>
      <c r="D38" s="558" t="s">
        <v>83</v>
      </c>
      <c r="E38" s="558"/>
      <c r="F38" s="558"/>
      <c r="G38" s="615" t="s">
        <v>1459</v>
      </c>
      <c r="H38" s="291"/>
      <c r="I38" s="553"/>
      <c r="J38" s="553"/>
      <c r="K38" s="553"/>
      <c r="L38" s="553"/>
      <c r="M38" s="553"/>
      <c r="N38" s="553"/>
      <c r="O38" s="553"/>
      <c r="P38" s="553"/>
      <c r="Q38" s="553"/>
      <c r="R38" s="553"/>
      <c r="S38" s="553"/>
      <c r="T38" s="553"/>
      <c r="U38" s="553"/>
      <c r="V38" s="553"/>
      <c r="W38" s="553"/>
      <c r="X38" s="553"/>
      <c r="Y38" s="553"/>
      <c r="Z38" s="553"/>
      <c r="AA38" s="553"/>
      <c r="AB38" s="553"/>
      <c r="AC38" s="553"/>
      <c r="AD38" s="553"/>
      <c r="AE38" s="553"/>
      <c r="AF38" s="553"/>
      <c r="AG38" s="553"/>
      <c r="AH38" s="553"/>
      <c r="AI38" s="553"/>
      <c r="AJ38" s="553"/>
      <c r="AK38" s="553"/>
      <c r="AL38" s="553"/>
      <c r="AM38" s="553"/>
      <c r="AN38" s="553"/>
      <c r="AO38" s="553"/>
      <c r="AP38" s="553"/>
      <c r="AQ38" s="553"/>
      <c r="AR38" s="553"/>
      <c r="AS38" s="553"/>
      <c r="AT38" s="553"/>
      <c r="AU38" s="553"/>
      <c r="AV38" s="553"/>
      <c r="AW38" s="553"/>
      <c r="AX38" s="553"/>
      <c r="AY38" s="254"/>
    </row>
    <row r="39" spans="1:59" s="554" customFormat="1" x14ac:dyDescent="0.2">
      <c r="A39" s="455"/>
      <c r="B39" s="456"/>
      <c r="C39" s="558" t="s">
        <v>55</v>
      </c>
      <c r="D39" s="558" t="s">
        <v>1458</v>
      </c>
      <c r="E39" s="558"/>
      <c r="F39" s="558"/>
      <c r="G39" s="615" t="s">
        <v>1460</v>
      </c>
      <c r="H39" s="291"/>
      <c r="I39" s="553"/>
      <c r="J39" s="553"/>
      <c r="K39" s="553"/>
      <c r="L39" s="553"/>
      <c r="M39" s="553"/>
      <c r="N39" s="553"/>
      <c r="O39" s="553"/>
      <c r="P39" s="553"/>
      <c r="Q39" s="553"/>
      <c r="R39" s="553"/>
      <c r="S39" s="553"/>
      <c r="T39" s="553"/>
      <c r="U39" s="553"/>
      <c r="V39" s="553"/>
      <c r="W39" s="553"/>
      <c r="X39" s="553"/>
      <c r="Y39" s="553"/>
      <c r="Z39" s="553"/>
      <c r="AA39" s="553"/>
      <c r="AB39" s="553"/>
      <c r="AC39" s="553"/>
      <c r="AD39" s="553"/>
      <c r="AE39" s="553"/>
      <c r="AF39" s="553"/>
      <c r="AG39" s="553"/>
      <c r="AH39" s="553"/>
      <c r="AI39" s="553"/>
      <c r="AJ39" s="553"/>
      <c r="AK39" s="553"/>
      <c r="AL39" s="553"/>
      <c r="AM39" s="553"/>
      <c r="AN39" s="553"/>
      <c r="AO39" s="553"/>
      <c r="AP39" s="553"/>
      <c r="AQ39" s="553"/>
      <c r="AR39" s="553"/>
      <c r="AS39" s="553"/>
      <c r="AT39" s="553"/>
      <c r="AU39" s="553"/>
      <c r="AV39" s="553"/>
      <c r="AW39" s="553"/>
      <c r="AX39" s="553"/>
      <c r="AY39" s="254"/>
    </row>
    <row r="40" spans="1:59" s="554" customFormat="1" x14ac:dyDescent="0.2">
      <c r="A40" s="557"/>
      <c r="B40" s="467" t="s">
        <v>71</v>
      </c>
      <c r="C40" s="467" t="s">
        <v>1468</v>
      </c>
      <c r="D40" s="467"/>
      <c r="E40" s="467"/>
      <c r="F40" s="604"/>
      <c r="G40" s="603" t="s">
        <v>1435</v>
      </c>
      <c r="H40" s="291"/>
      <c r="I40" s="553"/>
      <c r="J40" s="553"/>
      <c r="K40" s="553"/>
      <c r="L40" s="553"/>
      <c r="M40" s="553"/>
      <c r="N40" s="553"/>
      <c r="O40" s="553"/>
      <c r="P40" s="553"/>
      <c r="Q40" s="553"/>
      <c r="R40" s="553"/>
      <c r="S40" s="553"/>
      <c r="T40" s="553"/>
      <c r="U40" s="553"/>
      <c r="V40" s="553"/>
      <c r="W40" s="553"/>
      <c r="X40" s="553"/>
      <c r="Y40" s="553"/>
      <c r="Z40" s="553"/>
      <c r="AA40" s="553"/>
      <c r="AB40" s="553"/>
      <c r="AC40" s="553"/>
      <c r="AD40" s="553"/>
      <c r="AE40" s="553"/>
      <c r="AF40" s="553"/>
      <c r="AG40" s="553"/>
      <c r="AH40" s="553"/>
      <c r="AI40" s="553"/>
      <c r="AJ40" s="553"/>
      <c r="AK40" s="553"/>
      <c r="AL40" s="553"/>
      <c r="AM40" s="553"/>
      <c r="AN40" s="553"/>
      <c r="AO40" s="553"/>
      <c r="AP40" s="553"/>
      <c r="AQ40" s="553"/>
      <c r="AR40" s="553"/>
      <c r="AS40" s="553"/>
      <c r="AT40" s="553"/>
      <c r="AU40" s="553"/>
      <c r="AV40" s="553"/>
      <c r="AW40" s="553"/>
      <c r="AX40" s="553"/>
      <c r="AY40" s="254"/>
    </row>
    <row r="41" spans="1:59" s="554" customFormat="1" x14ac:dyDescent="0.2">
      <c r="A41" s="557"/>
      <c r="B41" s="558" t="s">
        <v>1433</v>
      </c>
      <c r="C41" s="662" t="s">
        <v>52</v>
      </c>
      <c r="D41" s="662"/>
      <c r="E41" s="662"/>
      <c r="F41" s="663"/>
      <c r="G41" s="552" t="s">
        <v>345</v>
      </c>
      <c r="H41" s="291"/>
      <c r="I41" s="553"/>
      <c r="J41" s="553"/>
      <c r="K41" s="553"/>
      <c r="L41" s="553"/>
      <c r="M41" s="553"/>
      <c r="N41" s="553"/>
      <c r="O41" s="553"/>
      <c r="P41" s="553"/>
      <c r="Q41" s="553"/>
      <c r="R41" s="553"/>
      <c r="S41" s="553"/>
      <c r="T41" s="553"/>
      <c r="U41" s="553"/>
      <c r="V41" s="553"/>
      <c r="W41" s="553"/>
      <c r="X41" s="553"/>
      <c r="Y41" s="553"/>
      <c r="Z41" s="553"/>
      <c r="AA41" s="553"/>
      <c r="AB41" s="553"/>
      <c r="AC41" s="553"/>
      <c r="AD41" s="553"/>
      <c r="AE41" s="553"/>
      <c r="AF41" s="553"/>
      <c r="AG41" s="553"/>
      <c r="AH41" s="553"/>
      <c r="AI41" s="553"/>
      <c r="AJ41" s="553"/>
      <c r="AK41" s="553"/>
      <c r="AL41" s="553"/>
      <c r="AM41" s="553"/>
      <c r="AN41" s="553"/>
      <c r="AO41" s="553"/>
      <c r="AP41" s="553"/>
      <c r="AQ41" s="553"/>
      <c r="AR41" s="553"/>
      <c r="AS41" s="553"/>
      <c r="AT41" s="553"/>
      <c r="AU41" s="553"/>
      <c r="AV41" s="553"/>
      <c r="AW41" s="553"/>
      <c r="AX41" s="553"/>
      <c r="AY41" s="254"/>
    </row>
    <row r="42" spans="1:59" s="554" customFormat="1" x14ac:dyDescent="0.2">
      <c r="A42" s="781" t="s">
        <v>86</v>
      </c>
      <c r="B42" s="782"/>
      <c r="C42" s="782"/>
      <c r="D42" s="782"/>
      <c r="E42" s="782"/>
      <c r="F42" s="783"/>
      <c r="G42" s="552" t="s">
        <v>347</v>
      </c>
      <c r="H42" s="291"/>
      <c r="I42" s="553"/>
      <c r="J42" s="553"/>
      <c r="K42" s="553"/>
      <c r="L42" s="553"/>
      <c r="M42" s="553"/>
      <c r="N42" s="553"/>
      <c r="O42" s="553"/>
      <c r="P42" s="553"/>
      <c r="Q42" s="553"/>
      <c r="R42" s="553"/>
      <c r="S42" s="553"/>
      <c r="T42" s="553"/>
      <c r="U42" s="553"/>
      <c r="V42" s="553"/>
      <c r="W42" s="553"/>
      <c r="X42" s="553"/>
      <c r="Y42" s="553"/>
      <c r="Z42" s="553"/>
      <c r="AA42" s="553"/>
      <c r="AB42" s="553"/>
      <c r="AC42" s="553"/>
      <c r="AD42" s="553"/>
      <c r="AE42" s="553"/>
      <c r="AF42" s="553"/>
      <c r="AG42" s="553"/>
      <c r="AH42" s="553"/>
      <c r="AI42" s="553"/>
      <c r="AJ42" s="553"/>
      <c r="AK42" s="553"/>
      <c r="AL42" s="553"/>
      <c r="AM42" s="553"/>
      <c r="AN42" s="553"/>
      <c r="AO42" s="553"/>
      <c r="AP42" s="553"/>
      <c r="AQ42" s="553"/>
      <c r="AR42" s="553"/>
      <c r="AS42" s="553"/>
      <c r="AT42" s="553"/>
      <c r="AU42" s="553"/>
      <c r="AV42" s="553"/>
      <c r="AW42" s="553"/>
      <c r="AX42" s="553"/>
      <c r="AY42" s="41">
        <f>SUM(AY43:AY46)</f>
        <v>0</v>
      </c>
      <c r="AZ42" s="567"/>
    </row>
    <row r="43" spans="1:59" s="554" customFormat="1" x14ac:dyDescent="0.2">
      <c r="A43" s="568" t="s">
        <v>54</v>
      </c>
      <c r="B43" s="786" t="s">
        <v>87</v>
      </c>
      <c r="C43" s="782"/>
      <c r="D43" s="782"/>
      <c r="E43" s="782"/>
      <c r="F43" s="783"/>
      <c r="G43" s="552" t="s">
        <v>348</v>
      </c>
      <c r="H43" s="291"/>
      <c r="I43" s="553"/>
      <c r="J43" s="553"/>
      <c r="K43" s="553"/>
      <c r="L43" s="553"/>
      <c r="M43" s="553"/>
      <c r="N43" s="553"/>
      <c r="O43" s="553"/>
      <c r="P43" s="553"/>
      <c r="Q43" s="553"/>
      <c r="R43" s="553"/>
      <c r="S43" s="553"/>
      <c r="T43" s="553"/>
      <c r="U43" s="553"/>
      <c r="V43" s="553"/>
      <c r="W43" s="553"/>
      <c r="X43" s="553"/>
      <c r="Y43" s="553"/>
      <c r="Z43" s="553"/>
      <c r="AA43" s="553"/>
      <c r="AB43" s="553"/>
      <c r="AC43" s="553"/>
      <c r="AD43" s="553"/>
      <c r="AE43" s="553"/>
      <c r="AF43" s="553"/>
      <c r="AG43" s="553"/>
      <c r="AH43" s="553"/>
      <c r="AI43" s="553"/>
      <c r="AJ43" s="553"/>
      <c r="AK43" s="553"/>
      <c r="AL43" s="553"/>
      <c r="AM43" s="553"/>
      <c r="AN43" s="553"/>
      <c r="AO43" s="553"/>
      <c r="AP43" s="553"/>
      <c r="AQ43" s="553"/>
      <c r="AR43" s="553"/>
      <c r="AS43" s="553"/>
      <c r="AT43" s="553"/>
      <c r="AU43" s="553"/>
      <c r="AV43" s="553"/>
      <c r="AW43" s="553"/>
      <c r="AX43" s="553"/>
      <c r="AY43" s="254"/>
    </row>
    <row r="44" spans="1:59" s="554" customFormat="1" x14ac:dyDescent="0.2">
      <c r="A44" s="568" t="s">
        <v>55</v>
      </c>
      <c r="B44" s="786" t="s">
        <v>88</v>
      </c>
      <c r="C44" s="782"/>
      <c r="D44" s="782"/>
      <c r="E44" s="782"/>
      <c r="F44" s="783"/>
      <c r="G44" s="552" t="s">
        <v>349</v>
      </c>
      <c r="H44" s="291"/>
      <c r="I44" s="553"/>
      <c r="J44" s="553"/>
      <c r="K44" s="553"/>
      <c r="L44" s="553"/>
      <c r="M44" s="553"/>
      <c r="N44" s="553"/>
      <c r="O44" s="553"/>
      <c r="P44" s="553"/>
      <c r="Q44" s="553"/>
      <c r="R44" s="553"/>
      <c r="S44" s="553"/>
      <c r="T44" s="553"/>
      <c r="U44" s="553"/>
      <c r="V44" s="553"/>
      <c r="W44" s="553"/>
      <c r="X44" s="553"/>
      <c r="Y44" s="553"/>
      <c r="Z44" s="553"/>
      <c r="AA44" s="553"/>
      <c r="AB44" s="553"/>
      <c r="AC44" s="553"/>
      <c r="AD44" s="553"/>
      <c r="AE44" s="553"/>
      <c r="AF44" s="553"/>
      <c r="AG44" s="553"/>
      <c r="AH44" s="553"/>
      <c r="AI44" s="553"/>
      <c r="AJ44" s="553"/>
      <c r="AK44" s="553"/>
      <c r="AL44" s="553"/>
      <c r="AM44" s="553"/>
      <c r="AN44" s="553"/>
      <c r="AO44" s="553"/>
      <c r="AP44" s="553"/>
      <c r="AQ44" s="553"/>
      <c r="AR44" s="553"/>
      <c r="AS44" s="553"/>
      <c r="AT44" s="553"/>
      <c r="AU44" s="553"/>
      <c r="AV44" s="553"/>
      <c r="AW44" s="553"/>
      <c r="AX44" s="553"/>
      <c r="AY44" s="254"/>
      <c r="AZ44" s="567"/>
      <c r="BA44" s="567"/>
      <c r="BB44" s="567"/>
      <c r="BC44" s="567"/>
      <c r="BD44" s="567"/>
      <c r="BE44" s="567"/>
      <c r="BF44" s="567"/>
      <c r="BG44" s="567"/>
    </row>
    <row r="45" spans="1:59" s="554" customFormat="1" x14ac:dyDescent="0.2">
      <c r="A45" s="568" t="s">
        <v>65</v>
      </c>
      <c r="B45" s="662" t="s">
        <v>89</v>
      </c>
      <c r="C45" s="662"/>
      <c r="D45" s="662"/>
      <c r="E45" s="662"/>
      <c r="F45" s="663"/>
      <c r="G45" s="552" t="s">
        <v>350</v>
      </c>
      <c r="H45" s="291"/>
      <c r="I45" s="553"/>
      <c r="J45" s="553"/>
      <c r="K45" s="553"/>
      <c r="L45" s="553"/>
      <c r="M45" s="553"/>
      <c r="N45" s="553"/>
      <c r="O45" s="553"/>
      <c r="P45" s="553"/>
      <c r="Q45" s="553"/>
      <c r="R45" s="553"/>
      <c r="S45" s="553"/>
      <c r="T45" s="553"/>
      <c r="U45" s="553"/>
      <c r="V45" s="553"/>
      <c r="W45" s="553"/>
      <c r="X45" s="553"/>
      <c r="Y45" s="553"/>
      <c r="Z45" s="553"/>
      <c r="AA45" s="553"/>
      <c r="AB45" s="553"/>
      <c r="AC45" s="553"/>
      <c r="AD45" s="553"/>
      <c r="AE45" s="553"/>
      <c r="AF45" s="553"/>
      <c r="AG45" s="553"/>
      <c r="AH45" s="553"/>
      <c r="AI45" s="553"/>
      <c r="AJ45" s="553"/>
      <c r="AK45" s="553"/>
      <c r="AL45" s="553"/>
      <c r="AM45" s="553"/>
      <c r="AN45" s="553"/>
      <c r="AO45" s="553"/>
      <c r="AP45" s="553"/>
      <c r="AQ45" s="553"/>
      <c r="AR45" s="553"/>
      <c r="AS45" s="553"/>
      <c r="AT45" s="553"/>
      <c r="AU45" s="553"/>
      <c r="AV45" s="553"/>
      <c r="AW45" s="553"/>
      <c r="AX45" s="553"/>
      <c r="AY45" s="254"/>
      <c r="AZ45" s="567"/>
      <c r="BA45" s="567"/>
      <c r="BB45" s="567"/>
      <c r="BC45" s="567"/>
      <c r="BD45" s="567"/>
      <c r="BE45" s="567"/>
      <c r="BF45" s="567"/>
      <c r="BG45" s="567"/>
    </row>
    <row r="46" spans="1:59" s="554" customFormat="1" x14ac:dyDescent="0.2">
      <c r="A46" s="568" t="s">
        <v>90</v>
      </c>
      <c r="B46" s="662" t="s">
        <v>91</v>
      </c>
      <c r="C46" s="782"/>
      <c r="D46" s="782"/>
      <c r="E46" s="782"/>
      <c r="F46" s="783"/>
      <c r="G46" s="552" t="s">
        <v>351</v>
      </c>
      <c r="H46" s="291"/>
      <c r="I46" s="553"/>
      <c r="J46" s="553"/>
      <c r="K46" s="553"/>
      <c r="L46" s="553"/>
      <c r="M46" s="553"/>
      <c r="N46" s="553"/>
      <c r="O46" s="553"/>
      <c r="P46" s="553"/>
      <c r="Q46" s="553"/>
      <c r="R46" s="553"/>
      <c r="S46" s="553"/>
      <c r="T46" s="553"/>
      <c r="U46" s="553"/>
      <c r="V46" s="553"/>
      <c r="W46" s="553"/>
      <c r="X46" s="553"/>
      <c r="Y46" s="553"/>
      <c r="Z46" s="553"/>
      <c r="AA46" s="553"/>
      <c r="AB46" s="553"/>
      <c r="AC46" s="553"/>
      <c r="AD46" s="553"/>
      <c r="AE46" s="553"/>
      <c r="AF46" s="553"/>
      <c r="AG46" s="553"/>
      <c r="AH46" s="553"/>
      <c r="AI46" s="553"/>
      <c r="AJ46" s="553"/>
      <c r="AK46" s="553"/>
      <c r="AL46" s="553"/>
      <c r="AM46" s="553"/>
      <c r="AN46" s="553"/>
      <c r="AO46" s="553"/>
      <c r="AP46" s="553"/>
      <c r="AQ46" s="553"/>
      <c r="AR46" s="553"/>
      <c r="AS46" s="553"/>
      <c r="AT46" s="553"/>
      <c r="AU46" s="553"/>
      <c r="AV46" s="553"/>
      <c r="AW46" s="553"/>
      <c r="AX46" s="553"/>
      <c r="AY46" s="254"/>
      <c r="AZ46" s="567"/>
      <c r="BA46" s="567"/>
      <c r="BB46" s="567"/>
      <c r="BC46" s="567"/>
      <c r="BD46" s="567"/>
      <c r="BE46" s="567"/>
      <c r="BF46" s="567"/>
      <c r="BG46" s="567"/>
    </row>
    <row r="47" spans="1:59" s="554" customFormat="1" x14ac:dyDescent="0.2">
      <c r="A47" s="570" t="s">
        <v>140</v>
      </c>
      <c r="B47" s="558"/>
      <c r="C47" s="571"/>
      <c r="D47" s="571"/>
      <c r="E47" s="571"/>
      <c r="F47" s="572"/>
      <c r="G47" s="552" t="s">
        <v>352</v>
      </c>
      <c r="H47" s="291"/>
      <c r="I47" s="41">
        <f t="shared" ref="I47:AY47" si="10">I42+I10</f>
        <v>0</v>
      </c>
      <c r="J47" s="41">
        <f t="shared" si="10"/>
        <v>0</v>
      </c>
      <c r="K47" s="41">
        <f t="shared" si="10"/>
        <v>0</v>
      </c>
      <c r="L47" s="41">
        <f t="shared" si="10"/>
        <v>0</v>
      </c>
      <c r="M47" s="41">
        <f t="shared" si="10"/>
        <v>0</v>
      </c>
      <c r="N47" s="41">
        <f t="shared" si="10"/>
        <v>0</v>
      </c>
      <c r="O47" s="41">
        <f t="shared" si="10"/>
        <v>0</v>
      </c>
      <c r="P47" s="41">
        <f t="shared" si="10"/>
        <v>0</v>
      </c>
      <c r="Q47" s="41">
        <f t="shared" si="10"/>
        <v>0</v>
      </c>
      <c r="R47" s="41">
        <f t="shared" si="10"/>
        <v>0</v>
      </c>
      <c r="S47" s="41">
        <f t="shared" si="10"/>
        <v>0</v>
      </c>
      <c r="T47" s="41">
        <f t="shared" si="10"/>
        <v>0</v>
      </c>
      <c r="U47" s="41">
        <f t="shared" si="10"/>
        <v>0</v>
      </c>
      <c r="V47" s="41">
        <f t="shared" si="10"/>
        <v>0</v>
      </c>
      <c r="W47" s="41">
        <f t="shared" si="10"/>
        <v>0</v>
      </c>
      <c r="X47" s="41">
        <f t="shared" si="10"/>
        <v>0</v>
      </c>
      <c r="Y47" s="41">
        <f t="shared" si="10"/>
        <v>0</v>
      </c>
      <c r="Z47" s="41">
        <f t="shared" si="10"/>
        <v>0</v>
      </c>
      <c r="AA47" s="41">
        <f t="shared" si="10"/>
        <v>0</v>
      </c>
      <c r="AB47" s="41">
        <f t="shared" si="10"/>
        <v>0</v>
      </c>
      <c r="AC47" s="41">
        <f t="shared" si="10"/>
        <v>0</v>
      </c>
      <c r="AD47" s="41">
        <f t="shared" si="10"/>
        <v>0</v>
      </c>
      <c r="AE47" s="41">
        <f t="shared" si="10"/>
        <v>0</v>
      </c>
      <c r="AF47" s="41">
        <f t="shared" si="10"/>
        <v>0</v>
      </c>
      <c r="AG47" s="41">
        <f t="shared" si="10"/>
        <v>0</v>
      </c>
      <c r="AH47" s="41">
        <f t="shared" si="10"/>
        <v>0</v>
      </c>
      <c r="AI47" s="41">
        <f t="shared" si="10"/>
        <v>0</v>
      </c>
      <c r="AJ47" s="41">
        <f t="shared" si="10"/>
        <v>0</v>
      </c>
      <c r="AK47" s="41">
        <f t="shared" si="10"/>
        <v>0</v>
      </c>
      <c r="AL47" s="41">
        <f t="shared" si="10"/>
        <v>0</v>
      </c>
      <c r="AM47" s="41">
        <f t="shared" si="10"/>
        <v>0</v>
      </c>
      <c r="AN47" s="41">
        <f t="shared" si="10"/>
        <v>0</v>
      </c>
      <c r="AO47" s="41">
        <f t="shared" si="10"/>
        <v>0</v>
      </c>
      <c r="AP47" s="41">
        <f t="shared" si="10"/>
        <v>0</v>
      </c>
      <c r="AQ47" s="41">
        <f t="shared" si="10"/>
        <v>0</v>
      </c>
      <c r="AR47" s="41">
        <f t="shared" si="10"/>
        <v>0</v>
      </c>
      <c r="AS47" s="41">
        <f t="shared" si="10"/>
        <v>0</v>
      </c>
      <c r="AT47" s="41">
        <f t="shared" si="10"/>
        <v>0</v>
      </c>
      <c r="AU47" s="41">
        <f t="shared" si="10"/>
        <v>0</v>
      </c>
      <c r="AV47" s="41">
        <f t="shared" si="10"/>
        <v>0</v>
      </c>
      <c r="AW47" s="553"/>
      <c r="AX47" s="553"/>
      <c r="AY47" s="41">
        <f t="shared" si="10"/>
        <v>0</v>
      </c>
    </row>
    <row r="48" spans="1:59" s="554" customFormat="1" x14ac:dyDescent="0.2">
      <c r="A48" s="787" t="s">
        <v>245</v>
      </c>
      <c r="B48" s="782"/>
      <c r="C48" s="782"/>
      <c r="D48" s="782"/>
      <c r="E48" s="782"/>
      <c r="F48" s="783"/>
      <c r="G48" s="552"/>
      <c r="H48" s="291"/>
      <c r="I48" s="553"/>
      <c r="J48" s="553"/>
      <c r="K48" s="553"/>
      <c r="L48" s="553"/>
      <c r="M48" s="553"/>
      <c r="N48" s="553"/>
      <c r="O48" s="553"/>
      <c r="P48" s="553"/>
      <c r="Q48" s="553"/>
      <c r="R48" s="553"/>
      <c r="S48" s="553"/>
      <c r="T48" s="553"/>
      <c r="U48" s="553"/>
      <c r="V48" s="553"/>
      <c r="W48" s="553"/>
      <c r="X48" s="553"/>
      <c r="Y48" s="553"/>
      <c r="Z48" s="553"/>
      <c r="AA48" s="553"/>
      <c r="AB48" s="553"/>
      <c r="AC48" s="553"/>
      <c r="AD48" s="553"/>
      <c r="AE48" s="553"/>
      <c r="AF48" s="553"/>
      <c r="AG48" s="553"/>
      <c r="AH48" s="553"/>
      <c r="AI48" s="553"/>
      <c r="AJ48" s="553"/>
      <c r="AK48" s="553"/>
      <c r="AL48" s="553"/>
      <c r="AM48" s="553"/>
      <c r="AN48" s="553"/>
      <c r="AO48" s="553"/>
      <c r="AP48" s="553"/>
      <c r="AQ48" s="553"/>
      <c r="AR48" s="553"/>
      <c r="AS48" s="553"/>
      <c r="AT48" s="553"/>
      <c r="AU48" s="553"/>
      <c r="AV48" s="553"/>
      <c r="AW48" s="553"/>
      <c r="AX48" s="553"/>
      <c r="AY48" s="553"/>
    </row>
    <row r="49" spans="1:51" s="554" customFormat="1" x14ac:dyDescent="0.2">
      <c r="A49" s="573" t="s">
        <v>54</v>
      </c>
      <c r="B49" s="574" t="s">
        <v>101</v>
      </c>
      <c r="C49" s="575"/>
      <c r="D49" s="575"/>
      <c r="E49" s="575"/>
      <c r="F49" s="576"/>
      <c r="G49" s="552" t="s">
        <v>716</v>
      </c>
      <c r="H49" s="291"/>
      <c r="I49" s="254"/>
      <c r="J49" s="254"/>
      <c r="K49" s="254"/>
      <c r="L49" s="254"/>
      <c r="M49" s="254"/>
      <c r="N49" s="254"/>
      <c r="O49" s="254"/>
      <c r="P49" s="254"/>
      <c r="Q49" s="254"/>
      <c r="R49" s="254"/>
      <c r="S49" s="254"/>
      <c r="T49" s="254"/>
      <c r="U49" s="254"/>
      <c r="V49" s="254"/>
      <c r="W49" s="254"/>
      <c r="X49" s="254"/>
      <c r="Y49" s="254"/>
      <c r="Z49" s="254"/>
      <c r="AA49" s="254"/>
      <c r="AB49" s="254"/>
      <c r="AC49" s="254"/>
      <c r="AD49" s="254"/>
      <c r="AE49" s="254"/>
      <c r="AF49" s="254"/>
      <c r="AG49" s="254"/>
      <c r="AH49" s="254"/>
      <c r="AI49" s="254"/>
      <c r="AJ49" s="254"/>
      <c r="AK49" s="254"/>
      <c r="AL49" s="254"/>
      <c r="AM49" s="254"/>
      <c r="AN49" s="254"/>
      <c r="AO49" s="254"/>
      <c r="AP49" s="254"/>
      <c r="AQ49" s="254"/>
      <c r="AR49" s="254"/>
      <c r="AS49" s="254"/>
      <c r="AT49" s="254"/>
      <c r="AU49" s="254"/>
      <c r="AV49" s="254"/>
      <c r="AW49" s="553"/>
      <c r="AX49" s="553"/>
      <c r="AY49" s="41">
        <f t="shared" ref="AY49:AY54" si="11">J49+L49+N49+P49+R49+T49+V49+X49+Z49+AB49+AD49+AF49+AH49+AJ49+AL49+AN49+AP49+AR49+AT49+AV49+AX49</f>
        <v>0</v>
      </c>
    </row>
    <row r="50" spans="1:51" s="554" customFormat="1" x14ac:dyDescent="0.2">
      <c r="A50" s="573" t="s">
        <v>55</v>
      </c>
      <c r="B50" s="467" t="s">
        <v>1475</v>
      </c>
      <c r="C50" s="625"/>
      <c r="D50" s="467"/>
      <c r="E50" s="625"/>
      <c r="F50" s="626"/>
      <c r="G50" s="552" t="s">
        <v>717</v>
      </c>
      <c r="H50" s="291"/>
      <c r="I50" s="254"/>
      <c r="J50" s="254"/>
      <c r="K50" s="254"/>
      <c r="L50" s="254"/>
      <c r="M50" s="254"/>
      <c r="N50" s="254"/>
      <c r="O50" s="254"/>
      <c r="P50" s="254"/>
      <c r="Q50" s="254"/>
      <c r="R50" s="254"/>
      <c r="S50" s="254"/>
      <c r="T50" s="254"/>
      <c r="U50" s="254"/>
      <c r="V50" s="254"/>
      <c r="W50" s="254"/>
      <c r="X50" s="254"/>
      <c r="Y50" s="254"/>
      <c r="Z50" s="254"/>
      <c r="AA50" s="254"/>
      <c r="AB50" s="254"/>
      <c r="AC50" s="254"/>
      <c r="AD50" s="254"/>
      <c r="AE50" s="254"/>
      <c r="AF50" s="254"/>
      <c r="AG50" s="254"/>
      <c r="AH50" s="254"/>
      <c r="AI50" s="254"/>
      <c r="AJ50" s="254"/>
      <c r="AK50" s="254"/>
      <c r="AL50" s="254"/>
      <c r="AM50" s="254"/>
      <c r="AN50" s="254"/>
      <c r="AO50" s="254"/>
      <c r="AP50" s="254"/>
      <c r="AQ50" s="254"/>
      <c r="AR50" s="254"/>
      <c r="AS50" s="254"/>
      <c r="AT50" s="254"/>
      <c r="AU50" s="254"/>
      <c r="AV50" s="254"/>
      <c r="AW50" s="553"/>
      <c r="AX50" s="553"/>
      <c r="AY50" s="41">
        <f t="shared" si="11"/>
        <v>0</v>
      </c>
    </row>
    <row r="51" spans="1:51" s="554" customFormat="1" x14ac:dyDescent="0.2">
      <c r="A51" s="573" t="s">
        <v>65</v>
      </c>
      <c r="B51" s="604" t="s">
        <v>1472</v>
      </c>
      <c r="C51" s="625"/>
      <c r="D51" s="467"/>
      <c r="E51" s="625"/>
      <c r="F51" s="626"/>
      <c r="G51" s="552" t="s">
        <v>718</v>
      </c>
      <c r="H51" s="291"/>
      <c r="I51" s="254"/>
      <c r="J51" s="254"/>
      <c r="K51" s="254"/>
      <c r="L51" s="254"/>
      <c r="M51" s="254"/>
      <c r="N51" s="254"/>
      <c r="O51" s="254"/>
      <c r="P51" s="254"/>
      <c r="Q51" s="254"/>
      <c r="R51" s="254"/>
      <c r="S51" s="254"/>
      <c r="T51" s="254"/>
      <c r="U51" s="254"/>
      <c r="V51" s="254"/>
      <c r="W51" s="254"/>
      <c r="X51" s="254"/>
      <c r="Y51" s="254"/>
      <c r="Z51" s="254"/>
      <c r="AA51" s="254"/>
      <c r="AB51" s="254"/>
      <c r="AC51" s="254"/>
      <c r="AD51" s="254"/>
      <c r="AE51" s="254"/>
      <c r="AF51" s="254"/>
      <c r="AG51" s="254"/>
      <c r="AH51" s="254"/>
      <c r="AI51" s="254"/>
      <c r="AJ51" s="254"/>
      <c r="AK51" s="254"/>
      <c r="AL51" s="254"/>
      <c r="AM51" s="254"/>
      <c r="AN51" s="254"/>
      <c r="AO51" s="254"/>
      <c r="AP51" s="254"/>
      <c r="AQ51" s="254"/>
      <c r="AR51" s="254"/>
      <c r="AS51" s="254"/>
      <c r="AT51" s="254"/>
      <c r="AU51" s="254"/>
      <c r="AV51" s="254"/>
      <c r="AW51" s="553"/>
      <c r="AX51" s="553"/>
      <c r="AY51" s="41">
        <f t="shared" si="11"/>
        <v>0</v>
      </c>
    </row>
    <row r="52" spans="1:51" s="554" customFormat="1" x14ac:dyDescent="0.2">
      <c r="A52" s="573" t="s">
        <v>90</v>
      </c>
      <c r="B52" s="721" t="s">
        <v>1473</v>
      </c>
      <c r="C52" s="721"/>
      <c r="D52" s="721"/>
      <c r="E52" s="721"/>
      <c r="F52" s="722"/>
      <c r="G52" s="552" t="s">
        <v>719</v>
      </c>
      <c r="H52" s="291"/>
      <c r="I52" s="254"/>
      <c r="J52" s="254"/>
      <c r="K52" s="254"/>
      <c r="L52" s="254"/>
      <c r="M52" s="254"/>
      <c r="N52" s="254"/>
      <c r="O52" s="254"/>
      <c r="P52" s="254"/>
      <c r="Q52" s="254"/>
      <c r="R52" s="254"/>
      <c r="S52" s="254"/>
      <c r="T52" s="254"/>
      <c r="U52" s="254"/>
      <c r="V52" s="254"/>
      <c r="W52" s="254"/>
      <c r="X52" s="254"/>
      <c r="Y52" s="254"/>
      <c r="Z52" s="254"/>
      <c r="AA52" s="254"/>
      <c r="AB52" s="254"/>
      <c r="AC52" s="254"/>
      <c r="AD52" s="254"/>
      <c r="AE52" s="254"/>
      <c r="AF52" s="254"/>
      <c r="AG52" s="254"/>
      <c r="AH52" s="254"/>
      <c r="AI52" s="254"/>
      <c r="AJ52" s="254"/>
      <c r="AK52" s="254"/>
      <c r="AL52" s="254"/>
      <c r="AM52" s="254"/>
      <c r="AN52" s="254"/>
      <c r="AO52" s="254"/>
      <c r="AP52" s="254"/>
      <c r="AQ52" s="254"/>
      <c r="AR52" s="254"/>
      <c r="AS52" s="254"/>
      <c r="AT52" s="254"/>
      <c r="AU52" s="254"/>
      <c r="AV52" s="254"/>
      <c r="AW52" s="553"/>
      <c r="AX52" s="553"/>
      <c r="AY52" s="41">
        <f t="shared" si="11"/>
        <v>0</v>
      </c>
    </row>
    <row r="53" spans="1:51" ht="24" customHeight="1" x14ac:dyDescent="0.2">
      <c r="A53" s="573" t="s">
        <v>257</v>
      </c>
      <c r="B53" s="785" t="s">
        <v>1449</v>
      </c>
      <c r="C53" s="785"/>
      <c r="D53" s="785"/>
      <c r="E53" s="785"/>
      <c r="F53" s="785"/>
      <c r="G53" s="577" t="s">
        <v>1338</v>
      </c>
      <c r="H53" s="578"/>
      <c r="I53" s="254"/>
      <c r="J53" s="254"/>
      <c r="K53" s="254"/>
      <c r="L53" s="254"/>
      <c r="M53" s="254"/>
      <c r="N53" s="254"/>
      <c r="O53" s="254"/>
      <c r="P53" s="254"/>
      <c r="Q53" s="254"/>
      <c r="R53" s="254"/>
      <c r="S53" s="254"/>
      <c r="T53" s="254"/>
      <c r="U53" s="254"/>
      <c r="V53" s="254"/>
      <c r="W53" s="254"/>
      <c r="X53" s="254"/>
      <c r="Y53" s="254"/>
      <c r="Z53" s="254"/>
      <c r="AA53" s="254"/>
      <c r="AB53" s="254"/>
      <c r="AC53" s="254"/>
      <c r="AD53" s="254"/>
      <c r="AE53" s="254"/>
      <c r="AF53" s="254"/>
      <c r="AG53" s="254"/>
      <c r="AH53" s="254"/>
      <c r="AI53" s="254"/>
      <c r="AJ53" s="254"/>
      <c r="AK53" s="254"/>
      <c r="AL53" s="254"/>
      <c r="AM53" s="254"/>
      <c r="AN53" s="254"/>
      <c r="AO53" s="254"/>
      <c r="AP53" s="254"/>
      <c r="AQ53" s="254"/>
      <c r="AR53" s="254"/>
      <c r="AS53" s="254"/>
      <c r="AT53" s="254"/>
      <c r="AU53" s="254"/>
      <c r="AV53" s="254"/>
      <c r="AW53" s="553"/>
      <c r="AX53" s="553"/>
      <c r="AY53" s="41">
        <f t="shared" si="11"/>
        <v>0</v>
      </c>
    </row>
    <row r="54" spans="1:51" ht="24" customHeight="1" x14ac:dyDescent="0.2">
      <c r="A54" s="573" t="s">
        <v>74</v>
      </c>
      <c r="B54" s="785" t="s">
        <v>1450</v>
      </c>
      <c r="C54" s="785"/>
      <c r="D54" s="785"/>
      <c r="E54" s="785"/>
      <c r="F54" s="785"/>
      <c r="G54" s="577" t="s">
        <v>1339</v>
      </c>
      <c r="H54" s="579"/>
      <c r="I54" s="254"/>
      <c r="J54" s="254"/>
      <c r="K54" s="254"/>
      <c r="L54" s="254"/>
      <c r="M54" s="254"/>
      <c r="N54" s="254"/>
      <c r="O54" s="254"/>
      <c r="P54" s="254"/>
      <c r="Q54" s="254"/>
      <c r="R54" s="254"/>
      <c r="S54" s="254"/>
      <c r="T54" s="254"/>
      <c r="U54" s="254"/>
      <c r="V54" s="254"/>
      <c r="W54" s="254"/>
      <c r="X54" s="254"/>
      <c r="Y54" s="254"/>
      <c r="Z54" s="254"/>
      <c r="AA54" s="254"/>
      <c r="AB54" s="254"/>
      <c r="AC54" s="254"/>
      <c r="AD54" s="254"/>
      <c r="AE54" s="254"/>
      <c r="AF54" s="254"/>
      <c r="AG54" s="254"/>
      <c r="AH54" s="254"/>
      <c r="AI54" s="254"/>
      <c r="AJ54" s="254"/>
      <c r="AK54" s="254"/>
      <c r="AL54" s="254"/>
      <c r="AM54" s="254"/>
      <c r="AN54" s="254"/>
      <c r="AO54" s="254"/>
      <c r="AP54" s="254"/>
      <c r="AQ54" s="254"/>
      <c r="AR54" s="254"/>
      <c r="AS54" s="254"/>
      <c r="AT54" s="254"/>
      <c r="AU54" s="254"/>
      <c r="AV54" s="254"/>
      <c r="AW54" s="553"/>
      <c r="AX54" s="553"/>
      <c r="AY54" s="41">
        <f t="shared" si="11"/>
        <v>0</v>
      </c>
    </row>
    <row r="55" spans="1:51" ht="13.5" x14ac:dyDescent="0.25">
      <c r="G55" s="232" t="s">
        <v>108</v>
      </c>
    </row>
    <row r="123" spans="7:51" x14ac:dyDescent="0.2">
      <c r="G123"/>
      <c r="I123" s="581" t="s">
        <v>212</v>
      </c>
      <c r="J123" s="581" t="s">
        <v>212</v>
      </c>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s="548"/>
    </row>
    <row r="124" spans="7:51" x14ac:dyDescent="0.2">
      <c r="G124"/>
      <c r="I124" s="581"/>
      <c r="J124" s="581"/>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s="548"/>
    </row>
    <row r="125" spans="7:51" x14ac:dyDescent="0.2">
      <c r="G125"/>
      <c r="I125" s="581"/>
      <c r="J125" s="581"/>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s="548"/>
    </row>
    <row r="126" spans="7:51" x14ac:dyDescent="0.2">
      <c r="G126"/>
      <c r="I126" s="581" t="s">
        <v>212</v>
      </c>
      <c r="J126" s="581" t="s">
        <v>212</v>
      </c>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s="548"/>
    </row>
  </sheetData>
  <sheetProtection password="EEFA" sheet="1" objects="1" scenarios="1" selectLockedCells="1"/>
  <mergeCells count="58">
    <mergeCell ref="B53:F53"/>
    <mergeCell ref="B54:F54"/>
    <mergeCell ref="B43:F43"/>
    <mergeCell ref="B44:F44"/>
    <mergeCell ref="B45:F45"/>
    <mergeCell ref="B46:F46"/>
    <mergeCell ref="A48:F48"/>
    <mergeCell ref="B52:F52"/>
    <mergeCell ref="C31:F31"/>
    <mergeCell ref="B32:F32"/>
    <mergeCell ref="C36:F36"/>
    <mergeCell ref="C37:F37"/>
    <mergeCell ref="C41:F41"/>
    <mergeCell ref="A42:F42"/>
    <mergeCell ref="B22:F22"/>
    <mergeCell ref="C26:F26"/>
    <mergeCell ref="C27:F27"/>
    <mergeCell ref="B28:F28"/>
    <mergeCell ref="B29:F29"/>
    <mergeCell ref="C30:F30"/>
    <mergeCell ref="C23:F23"/>
    <mergeCell ref="C24:F24"/>
    <mergeCell ref="C14:F14"/>
    <mergeCell ref="C15:F15"/>
    <mergeCell ref="D16:F16"/>
    <mergeCell ref="D17:F17"/>
    <mergeCell ref="D18:F18"/>
    <mergeCell ref="C20:F20"/>
    <mergeCell ref="AY5:AY9"/>
    <mergeCell ref="A8:E9"/>
    <mergeCell ref="F8:F9"/>
    <mergeCell ref="A10:F10"/>
    <mergeCell ref="B12:F12"/>
    <mergeCell ref="C13:F13"/>
    <mergeCell ref="AM5:AN8"/>
    <mergeCell ref="AO5:AP8"/>
    <mergeCell ref="AQ5:AR8"/>
    <mergeCell ref="AS5:AT8"/>
    <mergeCell ref="AU5:AV8"/>
    <mergeCell ref="AW5:AX8"/>
    <mergeCell ref="AA5:AB8"/>
    <mergeCell ref="AC5:AD8"/>
    <mergeCell ref="AE5:AF8"/>
    <mergeCell ref="AG5:AH8"/>
    <mergeCell ref="AI5:AJ8"/>
    <mergeCell ref="AK5:AL8"/>
    <mergeCell ref="O5:P8"/>
    <mergeCell ref="Q5:R8"/>
    <mergeCell ref="S5:T8"/>
    <mergeCell ref="U5:V8"/>
    <mergeCell ref="W5:X8"/>
    <mergeCell ref="Y5:Z8"/>
    <mergeCell ref="A5:E7"/>
    <mergeCell ref="F5:F7"/>
    <mergeCell ref="G5:G9"/>
    <mergeCell ref="I5:J8"/>
    <mergeCell ref="K5:L8"/>
    <mergeCell ref="M5:N8"/>
  </mergeCells>
  <dataValidations count="3">
    <dataValidation type="decimal" operator="greaterThanOrEqual" allowBlank="1" showInputMessage="1" showErrorMessage="1" sqref="I49:AV54 AK13:AP14 AK16:AL16 AO23:AT24 AE18:AT18 I18:AB18 Y20:AL21 M20:V21 I20:J21 I23:AB24 AE23:AJ24 I33:N33 AM26:AT27 I26:AJ27 AC30:AD30 AM31:AT31 AE31:AJ31 I31:AB31 AE32:AF32 AM33:AV33 AE33:AJ33 Q33:AB33 AC17:AD17 AE28:AF28">
      <formula1>0</formula1>
    </dataValidation>
    <dataValidation type="decimal" allowBlank="1" showInputMessage="1" showErrorMessage="1" error="Invalid data is entered!" sqref="AL28:AV28 AU31:AV31 AU29:AV29 AK17:AL17 AU18:AX18 AU13:AV17 Y19:AX19 AW10:AX17 AW49:AX54 AC33:AD33 I48:AY48 AK26:AL27 AC22:AD24 I34:AV46 AW28:AX47 I12:AJ13 AK15:AP15 AK12:AP12 W19:X21 M19:V19 K19:L21 I19:J19 AM20:AT21 I28:AD28 I29:AB30 AK28:AK31 AG32:AV32 AK33:AL33 AC29:AD29 AG28:AJ30 AM16:AT17 AE15:AJ17 AC15:AD16 AC18:AD18 AO22:AT22 I32:AD32 AE29:AF30 AL30:AV30 AL29:AP29 AC31:AD31 I25:AP25 O33:P33 I15:AB17 AQ13:AT14 AL31 AU20:AX27 I22:AB22 AE22:AJ22 AK22:AN24">
      <formula1>0</formula1>
      <formula2>99999999999999900</formula2>
    </dataValidation>
    <dataValidation type="decimal" allowBlank="1" showErrorMessage="1" errorTitle="Error" error="Entry Must be Decimal" sqref="AY43:AY46 AY36 AY38:AY41">
      <formula1>-99999999999999900000</formula1>
      <formula2>99999999999999900000</formula2>
    </dataValidation>
  </dataValidations>
  <pageMargins left="0.25" right="0.75" top="1" bottom="0.5" header="0.5" footer="0.5"/>
  <pageSetup orientation="landscape" horizontalDpi="360" verticalDpi="360" r:id="rId1"/>
  <headerFooter alignWithMargins="0">
    <oddHeader>&amp;R&amp;"Arial,Bold"&amp;USchedule 11d4
&amp;8&amp;U&amp;P of &amp;N&amp;C&amp;"Arial,Bold"&amp;8 ABN AMRO BANK INC (A COMM'L BANK)  [ 01-000000 ]
 As of: January 31, 2008</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F28"/>
  <sheetViews>
    <sheetView zoomScale="75" workbookViewId="0">
      <pane xSplit="7" ySplit="3" topLeftCell="I4" activePane="bottomRight" state="frozen"/>
      <selection pane="topRight" activeCell="H1" sqref="H1"/>
      <selection pane="bottomLeft" activeCell="A4" sqref="A4"/>
      <selection pane="bottomRight" activeCell="I12" sqref="I12"/>
    </sheetView>
  </sheetViews>
  <sheetFormatPr defaultRowHeight="12.75" x14ac:dyDescent="0.2"/>
  <cols>
    <col min="1" max="1" width="3" customWidth="1"/>
    <col min="2" max="2" width="2.7109375" customWidth="1"/>
    <col min="3" max="3" width="2.85546875" customWidth="1"/>
    <col min="4" max="4" width="59.7109375" customWidth="1"/>
    <col min="5" max="6" width="9.42578125" hidden="1" customWidth="1"/>
    <col min="7" max="7" width="17.28515625" customWidth="1"/>
    <col min="8" max="8" width="17.28515625" hidden="1" customWidth="1"/>
    <col min="9" max="13" width="20.7109375" customWidth="1"/>
    <col min="14" max="15" width="20.7109375" hidden="1" customWidth="1"/>
    <col min="16" max="21" width="20.7109375" customWidth="1"/>
    <col min="22" max="23" width="20.7109375" hidden="1" customWidth="1"/>
    <col min="24" max="29" width="20.7109375" customWidth="1"/>
    <col min="30" max="31" width="20.7109375" hidden="1" customWidth="1"/>
    <col min="32" max="32" width="20.7109375" customWidth="1"/>
  </cols>
  <sheetData>
    <row r="1" spans="1:32" x14ac:dyDescent="0.2">
      <c r="A1" s="793" t="s">
        <v>984</v>
      </c>
      <c r="B1" s="793"/>
      <c r="C1" s="793"/>
      <c r="D1" s="793"/>
      <c r="E1" s="793"/>
      <c r="F1" s="793"/>
      <c r="G1" s="793"/>
      <c r="H1" s="793"/>
      <c r="I1" s="793"/>
      <c r="J1" s="793"/>
      <c r="K1" s="793"/>
      <c r="L1" s="793"/>
      <c r="M1" s="793"/>
      <c r="N1" s="793"/>
      <c r="O1" s="793"/>
      <c r="P1" s="793"/>
      <c r="Q1" s="793"/>
      <c r="R1" s="793"/>
      <c r="S1" s="793"/>
      <c r="T1" s="793"/>
      <c r="U1" s="793"/>
      <c r="V1" s="793"/>
      <c r="W1" s="793"/>
      <c r="X1" s="793"/>
    </row>
    <row r="2" spans="1:32" x14ac:dyDescent="0.2">
      <c r="A2" s="793" t="s">
        <v>632</v>
      </c>
      <c r="B2" s="793"/>
      <c r="C2" s="793"/>
      <c r="D2" s="793"/>
      <c r="E2" s="793"/>
      <c r="F2" s="793"/>
      <c r="G2" s="793"/>
      <c r="H2" s="793"/>
      <c r="I2" s="793"/>
      <c r="J2" s="793"/>
      <c r="K2" s="793"/>
      <c r="L2" s="793"/>
      <c r="M2" s="793"/>
      <c r="N2" s="793"/>
      <c r="O2" s="793"/>
      <c r="P2" s="793"/>
      <c r="Q2" s="793"/>
      <c r="R2" s="793"/>
      <c r="S2" s="793"/>
      <c r="T2" s="793"/>
      <c r="U2" s="793"/>
      <c r="V2" s="793"/>
      <c r="W2" s="793"/>
      <c r="X2" s="793"/>
    </row>
    <row r="3" spans="1:32" x14ac:dyDescent="0.2">
      <c r="A3" s="794" t="s">
        <v>214</v>
      </c>
      <c r="B3" s="794"/>
      <c r="C3" s="794"/>
      <c r="D3" s="794"/>
      <c r="E3" s="794"/>
      <c r="F3" s="794"/>
      <c r="G3" s="794"/>
      <c r="H3" s="794"/>
      <c r="I3" s="794"/>
      <c r="J3" s="794"/>
      <c r="K3" s="794"/>
      <c r="L3" s="794"/>
      <c r="M3" s="794"/>
      <c r="N3" s="794"/>
      <c r="O3" s="794"/>
      <c r="P3" s="794"/>
      <c r="Q3" s="794"/>
      <c r="R3" s="794"/>
      <c r="S3" s="794"/>
      <c r="T3" s="794"/>
      <c r="U3" s="794"/>
      <c r="V3" s="794"/>
      <c r="W3" s="794"/>
      <c r="X3" s="794"/>
    </row>
    <row r="4" spans="1:32" x14ac:dyDescent="0.2">
      <c r="A4" s="249"/>
      <c r="B4" s="249"/>
      <c r="C4" s="249"/>
      <c r="D4" s="249"/>
      <c r="E4" s="249"/>
      <c r="F4" s="249"/>
      <c r="G4" s="249"/>
      <c r="H4" s="249"/>
      <c r="I4" s="249"/>
      <c r="J4" s="249"/>
      <c r="K4" s="249"/>
      <c r="L4" s="249"/>
      <c r="M4" s="249"/>
      <c r="N4" s="249"/>
      <c r="O4" s="249"/>
      <c r="P4" s="249"/>
      <c r="Q4" s="249"/>
      <c r="R4" s="249"/>
      <c r="S4" s="249"/>
      <c r="T4" s="249"/>
      <c r="U4" s="249"/>
      <c r="V4" s="249"/>
      <c r="W4" s="249"/>
      <c r="X4" s="249"/>
    </row>
    <row r="5" spans="1:32" x14ac:dyDescent="0.2">
      <c r="A5" s="249"/>
      <c r="B5" s="249"/>
      <c r="C5" s="249"/>
      <c r="D5" s="249"/>
      <c r="E5" s="249"/>
      <c r="F5" s="249"/>
      <c r="G5" s="249"/>
      <c r="H5" s="249"/>
      <c r="I5" s="249"/>
      <c r="J5" s="249"/>
      <c r="K5" s="249"/>
      <c r="L5" s="249"/>
      <c r="M5" s="249"/>
      <c r="N5" s="249"/>
      <c r="O5" s="249"/>
      <c r="P5" s="249"/>
      <c r="Q5" s="249"/>
      <c r="R5" s="249"/>
      <c r="S5" s="249"/>
      <c r="T5" s="249"/>
      <c r="U5" s="249"/>
      <c r="V5" s="249"/>
      <c r="W5" s="249"/>
      <c r="X5" s="249"/>
    </row>
    <row r="6" spans="1:32" x14ac:dyDescent="0.2">
      <c r="A6" s="93"/>
      <c r="B6" s="92"/>
      <c r="C6" s="92"/>
      <c r="D6" s="92"/>
      <c r="E6" s="92"/>
      <c r="F6" s="92"/>
      <c r="G6" s="250"/>
      <c r="H6" s="250"/>
      <c r="I6" s="92"/>
      <c r="J6" s="92"/>
      <c r="K6" s="92"/>
      <c r="L6" s="92"/>
      <c r="M6" s="92"/>
      <c r="N6" s="92"/>
      <c r="O6" s="92"/>
      <c r="P6" s="92"/>
      <c r="Q6" s="92"/>
      <c r="R6" s="92"/>
      <c r="S6" s="92"/>
      <c r="T6" s="92"/>
      <c r="U6" s="92"/>
      <c r="V6" s="92"/>
      <c r="W6" s="92"/>
      <c r="X6" s="92"/>
    </row>
    <row r="7" spans="1:32" x14ac:dyDescent="0.2">
      <c r="A7" s="686" t="s">
        <v>45</v>
      </c>
      <c r="B7" s="795"/>
      <c r="C7" s="795"/>
      <c r="D7" s="795"/>
      <c r="E7" s="372"/>
      <c r="F7" s="372"/>
      <c r="G7" s="646" t="s">
        <v>46</v>
      </c>
      <c r="H7" s="586"/>
      <c r="I7" s="790" t="s">
        <v>1445</v>
      </c>
      <c r="J7" s="790"/>
      <c r="K7" s="790"/>
      <c r="L7" s="790"/>
      <c r="M7" s="790"/>
      <c r="N7" s="790"/>
      <c r="O7" s="790"/>
      <c r="P7" s="790"/>
      <c r="Q7" s="790" t="s">
        <v>647</v>
      </c>
      <c r="R7" s="790"/>
      <c r="S7" s="790"/>
      <c r="T7" s="790"/>
      <c r="U7" s="790"/>
      <c r="V7" s="790"/>
      <c r="W7" s="790"/>
      <c r="X7" s="790"/>
      <c r="Y7" s="790" t="s">
        <v>1443</v>
      </c>
      <c r="Z7" s="790"/>
      <c r="AA7" s="790"/>
      <c r="AB7" s="790"/>
      <c r="AC7" s="790"/>
      <c r="AD7" s="790"/>
      <c r="AE7" s="790"/>
      <c r="AF7" s="790"/>
    </row>
    <row r="8" spans="1:32" ht="12.75" customHeight="1" x14ac:dyDescent="0.2">
      <c r="A8" s="795"/>
      <c r="B8" s="795"/>
      <c r="C8" s="795"/>
      <c r="D8" s="795"/>
      <c r="E8" s="372"/>
      <c r="F8" s="372"/>
      <c r="G8" s="796"/>
      <c r="H8" s="587"/>
      <c r="I8" s="789" t="s">
        <v>56</v>
      </c>
      <c r="J8" s="789" t="s">
        <v>49</v>
      </c>
      <c r="K8" s="789"/>
      <c r="L8" s="788" t="s">
        <v>53</v>
      </c>
      <c r="M8" s="788"/>
      <c r="N8" s="791" t="s">
        <v>139</v>
      </c>
      <c r="O8" s="792"/>
      <c r="P8" s="789" t="s">
        <v>144</v>
      </c>
      <c r="Q8" s="789" t="s">
        <v>56</v>
      </c>
      <c r="R8" s="789" t="s">
        <v>49</v>
      </c>
      <c r="S8" s="789"/>
      <c r="T8" s="788" t="s">
        <v>53</v>
      </c>
      <c r="U8" s="788"/>
      <c r="V8" s="791" t="s">
        <v>139</v>
      </c>
      <c r="W8" s="792"/>
      <c r="X8" s="789" t="s">
        <v>144</v>
      </c>
      <c r="Y8" s="789" t="s">
        <v>56</v>
      </c>
      <c r="Z8" s="789" t="s">
        <v>49</v>
      </c>
      <c r="AA8" s="789"/>
      <c r="AB8" s="788" t="s">
        <v>53</v>
      </c>
      <c r="AC8" s="788"/>
      <c r="AD8" s="791" t="s">
        <v>139</v>
      </c>
      <c r="AE8" s="792"/>
      <c r="AF8" s="789" t="s">
        <v>144</v>
      </c>
    </row>
    <row r="9" spans="1:32" x14ac:dyDescent="0.2">
      <c r="A9" s="795"/>
      <c r="B9" s="795"/>
      <c r="C9" s="795"/>
      <c r="D9" s="795"/>
      <c r="E9" s="372"/>
      <c r="F9" s="372"/>
      <c r="G9" s="796"/>
      <c r="H9" s="587"/>
      <c r="I9" s="789"/>
      <c r="J9" s="251" t="s">
        <v>50</v>
      </c>
      <c r="K9" s="252" t="s">
        <v>51</v>
      </c>
      <c r="L9" s="251" t="s">
        <v>50</v>
      </c>
      <c r="M9" s="252" t="s">
        <v>51</v>
      </c>
      <c r="N9" s="251" t="s">
        <v>50</v>
      </c>
      <c r="O9" s="252" t="s">
        <v>51</v>
      </c>
      <c r="P9" s="789"/>
      <c r="Q9" s="789"/>
      <c r="R9" s="251" t="s">
        <v>50</v>
      </c>
      <c r="S9" s="252" t="s">
        <v>51</v>
      </c>
      <c r="T9" s="251" t="s">
        <v>50</v>
      </c>
      <c r="U9" s="252" t="s">
        <v>51</v>
      </c>
      <c r="V9" s="251" t="s">
        <v>50</v>
      </c>
      <c r="W9" s="252" t="s">
        <v>51</v>
      </c>
      <c r="X9" s="789"/>
      <c r="Y9" s="789"/>
      <c r="Z9" s="261" t="s">
        <v>50</v>
      </c>
      <c r="AA9" s="262" t="s">
        <v>51</v>
      </c>
      <c r="AB9" s="261" t="s">
        <v>50</v>
      </c>
      <c r="AC9" s="262" t="s">
        <v>51</v>
      </c>
      <c r="AD9" s="261" t="s">
        <v>50</v>
      </c>
      <c r="AE9" s="262" t="s">
        <v>51</v>
      </c>
      <c r="AF9" s="789"/>
    </row>
    <row r="10" spans="1:32" x14ac:dyDescent="0.2">
      <c r="A10" s="324" t="s">
        <v>57</v>
      </c>
      <c r="B10" s="225"/>
      <c r="C10" s="225"/>
      <c r="D10" s="225"/>
      <c r="E10" s="225"/>
      <c r="F10" s="225"/>
      <c r="G10" s="373" t="s">
        <v>215</v>
      </c>
      <c r="H10" s="373"/>
      <c r="I10" s="253">
        <f>I11+I18+I21</f>
        <v>0</v>
      </c>
      <c r="J10" s="253">
        <f t="shared" ref="J10:O10" si="0">J11+J18+J21</f>
        <v>0</v>
      </c>
      <c r="K10" s="253">
        <f t="shared" si="0"/>
        <v>0</v>
      </c>
      <c r="L10" s="253">
        <f t="shared" si="0"/>
        <v>0</v>
      </c>
      <c r="M10" s="253">
        <f t="shared" si="0"/>
        <v>0</v>
      </c>
      <c r="N10" s="253">
        <f t="shared" si="0"/>
        <v>0</v>
      </c>
      <c r="O10" s="253">
        <f t="shared" si="0"/>
        <v>0</v>
      </c>
      <c r="P10" s="253">
        <f>I10+K10+M10+O10</f>
        <v>0</v>
      </c>
      <c r="Q10" s="253">
        <f>Q11+Q18+Q21</f>
        <v>0</v>
      </c>
      <c r="R10" s="253">
        <f t="shared" ref="R10:W10" si="1">R11+R18+R21</f>
        <v>0</v>
      </c>
      <c r="S10" s="253">
        <f t="shared" si="1"/>
        <v>0</v>
      </c>
      <c r="T10" s="253">
        <f t="shared" si="1"/>
        <v>0</v>
      </c>
      <c r="U10" s="253">
        <f t="shared" si="1"/>
        <v>0</v>
      </c>
      <c r="V10" s="253">
        <f t="shared" si="1"/>
        <v>0</v>
      </c>
      <c r="W10" s="253">
        <f t="shared" si="1"/>
        <v>0</v>
      </c>
      <c r="X10" s="253">
        <f>Q10+S10+U10+W10</f>
        <v>0</v>
      </c>
      <c r="Y10" s="253">
        <f>Y11+Y18+Y21</f>
        <v>0</v>
      </c>
      <c r="Z10" s="253">
        <f t="shared" ref="Z10:AE10" si="2">Z11+Z18+Z21</f>
        <v>0</v>
      </c>
      <c r="AA10" s="253">
        <f t="shared" si="2"/>
        <v>0</v>
      </c>
      <c r="AB10" s="253">
        <f t="shared" si="2"/>
        <v>0</v>
      </c>
      <c r="AC10" s="253">
        <f t="shared" si="2"/>
        <v>0</v>
      </c>
      <c r="AD10" s="253">
        <f t="shared" si="2"/>
        <v>0</v>
      </c>
      <c r="AE10" s="253">
        <f t="shared" si="2"/>
        <v>0</v>
      </c>
      <c r="AF10" s="253">
        <f>Y10+AA10+AC10+AE10</f>
        <v>0</v>
      </c>
    </row>
    <row r="11" spans="1:32" x14ac:dyDescent="0.2">
      <c r="A11" s="326" t="s">
        <v>58</v>
      </c>
      <c r="B11" s="225" t="s">
        <v>540</v>
      </c>
      <c r="C11" s="225"/>
      <c r="D11" s="225"/>
      <c r="E11" s="225"/>
      <c r="F11" s="225"/>
      <c r="G11" s="373" t="s">
        <v>216</v>
      </c>
      <c r="H11" s="373"/>
      <c r="I11" s="253">
        <f t="shared" ref="I11:O11" si="3">I12+I13+I14</f>
        <v>0</v>
      </c>
      <c r="J11" s="253">
        <f t="shared" si="3"/>
        <v>0</v>
      </c>
      <c r="K11" s="253">
        <f t="shared" si="3"/>
        <v>0</v>
      </c>
      <c r="L11" s="253">
        <f t="shared" si="3"/>
        <v>0</v>
      </c>
      <c r="M11" s="253">
        <f t="shared" si="3"/>
        <v>0</v>
      </c>
      <c r="N11" s="253">
        <f t="shared" si="3"/>
        <v>0</v>
      </c>
      <c r="O11" s="253">
        <f t="shared" si="3"/>
        <v>0</v>
      </c>
      <c r="P11" s="253">
        <f t="shared" ref="P11:P27" si="4">I11+K11+M11+O11</f>
        <v>0</v>
      </c>
      <c r="Q11" s="253">
        <f t="shared" ref="Q11:W11" si="5">Q12+Q13+Q14</f>
        <v>0</v>
      </c>
      <c r="R11" s="253">
        <f t="shared" si="5"/>
        <v>0</v>
      </c>
      <c r="S11" s="253">
        <f t="shared" si="5"/>
        <v>0</v>
      </c>
      <c r="T11" s="253">
        <f t="shared" si="5"/>
        <v>0</v>
      </c>
      <c r="U11" s="253">
        <f t="shared" si="5"/>
        <v>0</v>
      </c>
      <c r="V11" s="253">
        <f t="shared" si="5"/>
        <v>0</v>
      </c>
      <c r="W11" s="253">
        <f t="shared" si="5"/>
        <v>0</v>
      </c>
      <c r="X11" s="253">
        <f t="shared" ref="X11:X27" si="6">Q11+S11+U11+W11</f>
        <v>0</v>
      </c>
      <c r="Y11" s="253">
        <f t="shared" ref="Y11:AE11" si="7">Y12+Y13+Y14</f>
        <v>0</v>
      </c>
      <c r="Z11" s="253">
        <f t="shared" si="7"/>
        <v>0</v>
      </c>
      <c r="AA11" s="253">
        <f t="shared" si="7"/>
        <v>0</v>
      </c>
      <c r="AB11" s="253">
        <f t="shared" si="7"/>
        <v>0</v>
      </c>
      <c r="AC11" s="253">
        <f t="shared" si="7"/>
        <v>0</v>
      </c>
      <c r="AD11" s="253">
        <f t="shared" si="7"/>
        <v>0</v>
      </c>
      <c r="AE11" s="253">
        <f t="shared" si="7"/>
        <v>0</v>
      </c>
      <c r="AF11" s="253">
        <f t="shared" ref="AF11:AF27" si="8">Y11+AA11+AC11+AE11</f>
        <v>0</v>
      </c>
    </row>
    <row r="12" spans="1:32" x14ac:dyDescent="0.2">
      <c r="A12" s="326"/>
      <c r="B12" s="225" t="s">
        <v>59</v>
      </c>
      <c r="C12" s="225" t="s">
        <v>60</v>
      </c>
      <c r="D12" s="225"/>
      <c r="E12" s="225"/>
      <c r="F12" s="225"/>
      <c r="G12" s="373" t="s">
        <v>217</v>
      </c>
      <c r="H12" s="373"/>
      <c r="I12" s="254"/>
      <c r="J12" s="254"/>
      <c r="K12" s="254"/>
      <c r="L12" s="254"/>
      <c r="M12" s="254"/>
      <c r="N12" s="254"/>
      <c r="O12" s="254"/>
      <c r="P12" s="253">
        <f t="shared" si="4"/>
        <v>0</v>
      </c>
      <c r="Q12" s="254"/>
      <c r="R12" s="254"/>
      <c r="S12" s="254"/>
      <c r="T12" s="254"/>
      <c r="U12" s="254"/>
      <c r="V12" s="254"/>
      <c r="W12" s="254"/>
      <c r="X12" s="253">
        <f t="shared" si="6"/>
        <v>0</v>
      </c>
      <c r="Y12" s="254"/>
      <c r="Z12" s="254"/>
      <c r="AA12" s="254"/>
      <c r="AB12" s="254"/>
      <c r="AC12" s="254"/>
      <c r="AD12" s="263"/>
      <c r="AE12" s="263"/>
      <c r="AF12" s="253">
        <f t="shared" si="8"/>
        <v>0</v>
      </c>
    </row>
    <row r="13" spans="1:32" x14ac:dyDescent="0.2">
      <c r="A13" s="326"/>
      <c r="B13" s="303" t="s">
        <v>61</v>
      </c>
      <c r="C13" s="303" t="s">
        <v>72</v>
      </c>
      <c r="D13" s="303"/>
      <c r="E13" s="303"/>
      <c r="F13" s="303"/>
      <c r="G13" s="373" t="s">
        <v>545</v>
      </c>
      <c r="H13" s="373"/>
      <c r="I13" s="254"/>
      <c r="J13" s="254"/>
      <c r="K13" s="254"/>
      <c r="L13" s="254"/>
      <c r="M13" s="254"/>
      <c r="N13" s="254"/>
      <c r="O13" s="254"/>
      <c r="P13" s="253">
        <f t="shared" si="4"/>
        <v>0</v>
      </c>
      <c r="Q13" s="254"/>
      <c r="R13" s="254"/>
      <c r="S13" s="254"/>
      <c r="T13" s="254"/>
      <c r="U13" s="254"/>
      <c r="V13" s="254"/>
      <c r="W13" s="254"/>
      <c r="X13" s="253">
        <f t="shared" si="6"/>
        <v>0</v>
      </c>
      <c r="Y13" s="254"/>
      <c r="Z13" s="254"/>
      <c r="AA13" s="254"/>
      <c r="AB13" s="254"/>
      <c r="AC13" s="254"/>
      <c r="AD13" s="263"/>
      <c r="AE13" s="263"/>
      <c r="AF13" s="253">
        <f t="shared" si="8"/>
        <v>0</v>
      </c>
    </row>
    <row r="14" spans="1:32" x14ac:dyDescent="0.2">
      <c r="A14" s="326"/>
      <c r="B14" s="225" t="s">
        <v>71</v>
      </c>
      <c r="C14" s="225" t="s">
        <v>62</v>
      </c>
      <c r="D14" s="225"/>
      <c r="E14" s="225"/>
      <c r="F14" s="225"/>
      <c r="G14" s="373" t="s">
        <v>218</v>
      </c>
      <c r="H14" s="373"/>
      <c r="I14" s="253">
        <f t="shared" ref="I14:O14" si="9">I15+I16+I17</f>
        <v>0</v>
      </c>
      <c r="J14" s="253">
        <f t="shared" si="9"/>
        <v>0</v>
      </c>
      <c r="K14" s="253">
        <f t="shared" si="9"/>
        <v>0</v>
      </c>
      <c r="L14" s="253">
        <f t="shared" si="9"/>
        <v>0</v>
      </c>
      <c r="M14" s="253">
        <f t="shared" si="9"/>
        <v>0</v>
      </c>
      <c r="N14" s="253">
        <f t="shared" si="9"/>
        <v>0</v>
      </c>
      <c r="O14" s="253">
        <f t="shared" si="9"/>
        <v>0</v>
      </c>
      <c r="P14" s="253">
        <f t="shared" si="4"/>
        <v>0</v>
      </c>
      <c r="Q14" s="253">
        <f t="shared" ref="Q14:W14" si="10">Q15+Q16+Q17</f>
        <v>0</v>
      </c>
      <c r="R14" s="253">
        <f t="shared" si="10"/>
        <v>0</v>
      </c>
      <c r="S14" s="253">
        <f t="shared" si="10"/>
        <v>0</v>
      </c>
      <c r="T14" s="253">
        <f t="shared" si="10"/>
        <v>0</v>
      </c>
      <c r="U14" s="253">
        <f t="shared" si="10"/>
        <v>0</v>
      </c>
      <c r="V14" s="253">
        <f t="shared" si="10"/>
        <v>0</v>
      </c>
      <c r="W14" s="253">
        <f t="shared" si="10"/>
        <v>0</v>
      </c>
      <c r="X14" s="253">
        <f t="shared" si="6"/>
        <v>0</v>
      </c>
      <c r="Y14" s="253">
        <f t="shared" ref="Y14:AE14" si="11">Y15+Y16+Y17</f>
        <v>0</v>
      </c>
      <c r="Z14" s="253">
        <f t="shared" si="11"/>
        <v>0</v>
      </c>
      <c r="AA14" s="253">
        <f t="shared" si="11"/>
        <v>0</v>
      </c>
      <c r="AB14" s="253">
        <f t="shared" si="11"/>
        <v>0</v>
      </c>
      <c r="AC14" s="253">
        <f t="shared" si="11"/>
        <v>0</v>
      </c>
      <c r="AD14" s="253">
        <f t="shared" si="11"/>
        <v>0</v>
      </c>
      <c r="AE14" s="253">
        <f t="shared" si="11"/>
        <v>0</v>
      </c>
      <c r="AF14" s="253">
        <f t="shared" si="8"/>
        <v>0</v>
      </c>
    </row>
    <row r="15" spans="1:32" x14ac:dyDescent="0.2">
      <c r="A15" s="326"/>
      <c r="B15" s="225"/>
      <c r="C15" s="310" t="s">
        <v>54</v>
      </c>
      <c r="D15" s="225" t="s">
        <v>63</v>
      </c>
      <c r="E15" s="225"/>
      <c r="F15" s="225"/>
      <c r="G15" s="373" t="s">
        <v>219</v>
      </c>
      <c r="H15" s="373"/>
      <c r="I15" s="254"/>
      <c r="J15" s="254"/>
      <c r="K15" s="254"/>
      <c r="L15" s="254"/>
      <c r="M15" s="254"/>
      <c r="N15" s="254"/>
      <c r="O15" s="254"/>
      <c r="P15" s="253">
        <f t="shared" si="4"/>
        <v>0</v>
      </c>
      <c r="Q15" s="254"/>
      <c r="R15" s="254"/>
      <c r="S15" s="254"/>
      <c r="T15" s="254"/>
      <c r="U15" s="254"/>
      <c r="V15" s="254"/>
      <c r="W15" s="254"/>
      <c r="X15" s="253">
        <f t="shared" si="6"/>
        <v>0</v>
      </c>
      <c r="Y15" s="254"/>
      <c r="Z15" s="254"/>
      <c r="AA15" s="254"/>
      <c r="AB15" s="254"/>
      <c r="AC15" s="254"/>
      <c r="AD15" s="263"/>
      <c r="AE15" s="263"/>
      <c r="AF15" s="253">
        <f t="shared" si="8"/>
        <v>0</v>
      </c>
    </row>
    <row r="16" spans="1:32" x14ac:dyDescent="0.2">
      <c r="A16" s="326"/>
      <c r="B16" s="225"/>
      <c r="C16" s="310" t="s">
        <v>55</v>
      </c>
      <c r="D16" s="225" t="s">
        <v>64</v>
      </c>
      <c r="E16" s="225"/>
      <c r="F16" s="225"/>
      <c r="G16" s="373" t="s">
        <v>220</v>
      </c>
      <c r="H16" s="373"/>
      <c r="I16" s="254"/>
      <c r="J16" s="254"/>
      <c r="K16" s="254"/>
      <c r="L16" s="254"/>
      <c r="M16" s="254"/>
      <c r="N16" s="254"/>
      <c r="O16" s="254"/>
      <c r="P16" s="253">
        <f t="shared" si="4"/>
        <v>0</v>
      </c>
      <c r="Q16" s="254"/>
      <c r="R16" s="254"/>
      <c r="S16" s="254"/>
      <c r="T16" s="254"/>
      <c r="U16" s="254"/>
      <c r="V16" s="254"/>
      <c r="W16" s="254"/>
      <c r="X16" s="253">
        <f t="shared" si="6"/>
        <v>0</v>
      </c>
      <c r="Y16" s="254"/>
      <c r="Z16" s="254"/>
      <c r="AA16" s="254"/>
      <c r="AB16" s="254"/>
      <c r="AC16" s="254"/>
      <c r="AD16" s="263"/>
      <c r="AE16" s="263"/>
      <c r="AF16" s="253">
        <f t="shared" si="8"/>
        <v>0</v>
      </c>
    </row>
    <row r="17" spans="1:32" x14ac:dyDescent="0.2">
      <c r="A17" s="326"/>
      <c r="B17" s="225"/>
      <c r="C17" s="310" t="s">
        <v>65</v>
      </c>
      <c r="D17" s="225" t="s">
        <v>66</v>
      </c>
      <c r="E17" s="225"/>
      <c r="F17" s="225"/>
      <c r="G17" s="373" t="s">
        <v>221</v>
      </c>
      <c r="H17" s="373"/>
      <c r="I17" s="254"/>
      <c r="J17" s="254"/>
      <c r="K17" s="254"/>
      <c r="L17" s="254"/>
      <c r="M17" s="254"/>
      <c r="N17" s="254"/>
      <c r="O17" s="254"/>
      <c r="P17" s="253">
        <f t="shared" si="4"/>
        <v>0</v>
      </c>
      <c r="Q17" s="254"/>
      <c r="R17" s="254"/>
      <c r="S17" s="254"/>
      <c r="T17" s="254"/>
      <c r="U17" s="254"/>
      <c r="V17" s="254"/>
      <c r="W17" s="254"/>
      <c r="X17" s="253">
        <f t="shared" si="6"/>
        <v>0</v>
      </c>
      <c r="Y17" s="254"/>
      <c r="Z17" s="254"/>
      <c r="AA17" s="254"/>
      <c r="AB17" s="254"/>
      <c r="AC17" s="254"/>
      <c r="AD17" s="263"/>
      <c r="AE17" s="263"/>
      <c r="AF17" s="253">
        <f t="shared" si="8"/>
        <v>0</v>
      </c>
    </row>
    <row r="18" spans="1:32" x14ac:dyDescent="0.2">
      <c r="A18" s="325" t="s">
        <v>55</v>
      </c>
      <c r="B18" s="225" t="s">
        <v>77</v>
      </c>
      <c r="C18" s="225"/>
      <c r="D18" s="225"/>
      <c r="E18" s="225"/>
      <c r="F18" s="225"/>
      <c r="G18" s="373" t="s">
        <v>230</v>
      </c>
      <c r="H18" s="373"/>
      <c r="I18" s="253">
        <f t="shared" ref="I18:O18" si="12">I19+I20</f>
        <v>0</v>
      </c>
      <c r="J18" s="253">
        <f t="shared" si="12"/>
        <v>0</v>
      </c>
      <c r="K18" s="253">
        <f t="shared" si="12"/>
        <v>0</v>
      </c>
      <c r="L18" s="253">
        <f t="shared" si="12"/>
        <v>0</v>
      </c>
      <c r="M18" s="253">
        <f t="shared" si="12"/>
        <v>0</v>
      </c>
      <c r="N18" s="253">
        <f t="shared" si="12"/>
        <v>0</v>
      </c>
      <c r="O18" s="253">
        <f t="shared" si="12"/>
        <v>0</v>
      </c>
      <c r="P18" s="253">
        <f t="shared" si="4"/>
        <v>0</v>
      </c>
      <c r="Q18" s="253">
        <f t="shared" ref="Q18:W18" si="13">Q19+Q20</f>
        <v>0</v>
      </c>
      <c r="R18" s="253">
        <f t="shared" si="13"/>
        <v>0</v>
      </c>
      <c r="S18" s="253">
        <f t="shared" si="13"/>
        <v>0</v>
      </c>
      <c r="T18" s="253">
        <f t="shared" si="13"/>
        <v>0</v>
      </c>
      <c r="U18" s="253">
        <f t="shared" si="13"/>
        <v>0</v>
      </c>
      <c r="V18" s="253">
        <f t="shared" si="13"/>
        <v>0</v>
      </c>
      <c r="W18" s="253">
        <f t="shared" si="13"/>
        <v>0</v>
      </c>
      <c r="X18" s="253">
        <f t="shared" si="6"/>
        <v>0</v>
      </c>
      <c r="Y18" s="253">
        <f t="shared" ref="Y18:AE18" si="14">Y19+Y20</f>
        <v>0</v>
      </c>
      <c r="Z18" s="253">
        <f t="shared" si="14"/>
        <v>0</v>
      </c>
      <c r="AA18" s="253">
        <f t="shared" si="14"/>
        <v>0</v>
      </c>
      <c r="AB18" s="253">
        <f t="shared" si="14"/>
        <v>0</v>
      </c>
      <c r="AC18" s="253">
        <f t="shared" si="14"/>
        <v>0</v>
      </c>
      <c r="AD18" s="253">
        <f t="shared" si="14"/>
        <v>0</v>
      </c>
      <c r="AE18" s="253">
        <f t="shared" si="14"/>
        <v>0</v>
      </c>
      <c r="AF18" s="253">
        <f t="shared" si="8"/>
        <v>0</v>
      </c>
    </row>
    <row r="19" spans="1:32" x14ac:dyDescent="0.2">
      <c r="A19" s="326"/>
      <c r="B19" s="225" t="s">
        <v>59</v>
      </c>
      <c r="C19" s="225" t="s">
        <v>78</v>
      </c>
      <c r="D19" s="225"/>
      <c r="E19" s="225"/>
      <c r="F19" s="225"/>
      <c r="G19" s="373" t="s">
        <v>231</v>
      </c>
      <c r="H19" s="373"/>
      <c r="I19" s="254"/>
      <c r="J19" s="254"/>
      <c r="K19" s="254"/>
      <c r="L19" s="254"/>
      <c r="M19" s="254"/>
      <c r="N19" s="254"/>
      <c r="O19" s="254"/>
      <c r="P19" s="253">
        <f t="shared" si="4"/>
        <v>0</v>
      </c>
      <c r="Q19" s="254"/>
      <c r="R19" s="254"/>
      <c r="S19" s="254"/>
      <c r="T19" s="254"/>
      <c r="U19" s="254"/>
      <c r="V19" s="254"/>
      <c r="W19" s="254"/>
      <c r="X19" s="253">
        <f t="shared" si="6"/>
        <v>0</v>
      </c>
      <c r="Y19" s="254"/>
      <c r="Z19" s="254"/>
      <c r="AA19" s="254"/>
      <c r="AB19" s="254"/>
      <c r="AC19" s="254"/>
      <c r="AD19" s="263"/>
      <c r="AE19" s="263"/>
      <c r="AF19" s="253">
        <f t="shared" si="8"/>
        <v>0</v>
      </c>
    </row>
    <row r="20" spans="1:32" x14ac:dyDescent="0.2">
      <c r="A20" s="326"/>
      <c r="B20" s="225" t="s">
        <v>61</v>
      </c>
      <c r="C20" s="225" t="s">
        <v>66</v>
      </c>
      <c r="D20" s="225"/>
      <c r="E20" s="225"/>
      <c r="F20" s="225"/>
      <c r="G20" s="373" t="s">
        <v>232</v>
      </c>
      <c r="H20" s="373"/>
      <c r="I20" s="254"/>
      <c r="J20" s="254"/>
      <c r="K20" s="254"/>
      <c r="L20" s="254"/>
      <c r="M20" s="254"/>
      <c r="N20" s="254"/>
      <c r="O20" s="254"/>
      <c r="P20" s="253">
        <f t="shared" si="4"/>
        <v>0</v>
      </c>
      <c r="Q20" s="254"/>
      <c r="R20" s="254"/>
      <c r="S20" s="254"/>
      <c r="T20" s="254"/>
      <c r="U20" s="254"/>
      <c r="V20" s="254"/>
      <c r="W20" s="254"/>
      <c r="X20" s="253">
        <f t="shared" si="6"/>
        <v>0</v>
      </c>
      <c r="Y20" s="254"/>
      <c r="Z20" s="254"/>
      <c r="AA20" s="254"/>
      <c r="AB20" s="254"/>
      <c r="AC20" s="254"/>
      <c r="AD20" s="263"/>
      <c r="AE20" s="263"/>
      <c r="AF20" s="253">
        <f t="shared" si="8"/>
        <v>0</v>
      </c>
    </row>
    <row r="21" spans="1:32" x14ac:dyDescent="0.2">
      <c r="A21" s="325" t="s">
        <v>65</v>
      </c>
      <c r="B21" s="225" t="s">
        <v>721</v>
      </c>
      <c r="C21" s="225"/>
      <c r="D21" s="225"/>
      <c r="E21" s="225"/>
      <c r="F21" s="225"/>
      <c r="G21" s="373" t="s">
        <v>722</v>
      </c>
      <c r="H21" s="373"/>
      <c r="I21" s="254"/>
      <c r="J21" s="254"/>
      <c r="K21" s="254"/>
      <c r="L21" s="254"/>
      <c r="M21" s="254"/>
      <c r="N21" s="254"/>
      <c r="O21" s="254"/>
      <c r="P21" s="253">
        <f t="shared" si="4"/>
        <v>0</v>
      </c>
      <c r="Q21" s="254"/>
      <c r="R21" s="254"/>
      <c r="S21" s="254"/>
      <c r="T21" s="254"/>
      <c r="U21" s="254"/>
      <c r="V21" s="254"/>
      <c r="W21" s="254"/>
      <c r="X21" s="253">
        <f t="shared" si="6"/>
        <v>0</v>
      </c>
      <c r="Y21" s="254"/>
      <c r="Z21" s="254"/>
      <c r="AA21" s="254"/>
      <c r="AB21" s="254"/>
      <c r="AC21" s="254"/>
      <c r="AD21" s="263"/>
      <c r="AE21" s="263"/>
      <c r="AF21" s="253">
        <f t="shared" si="8"/>
        <v>0</v>
      </c>
    </row>
    <row r="22" spans="1:32" x14ac:dyDescent="0.2">
      <c r="A22" s="324" t="s">
        <v>86</v>
      </c>
      <c r="B22" s="225"/>
      <c r="C22" s="225"/>
      <c r="D22" s="225"/>
      <c r="E22" s="225"/>
      <c r="F22" s="225"/>
      <c r="G22" s="373" t="s">
        <v>239</v>
      </c>
      <c r="H22" s="373"/>
      <c r="I22" s="264"/>
      <c r="J22" s="257"/>
      <c r="K22" s="257"/>
      <c r="L22" s="256">
        <f>SUM(L23:L26)</f>
        <v>0</v>
      </c>
      <c r="M22" s="256">
        <f>SUM(M23:M26)</f>
        <v>0</v>
      </c>
      <c r="N22" s="256">
        <f>SUM(N23:N26)</f>
        <v>0</v>
      </c>
      <c r="O22" s="256">
        <f>SUM(O23:O26)</f>
        <v>0</v>
      </c>
      <c r="P22" s="253">
        <f t="shared" si="4"/>
        <v>0</v>
      </c>
      <c r="Q22" s="264"/>
      <c r="R22" s="257"/>
      <c r="S22" s="257"/>
      <c r="T22" s="256">
        <f>SUM(T23:T26)</f>
        <v>0</v>
      </c>
      <c r="U22" s="256">
        <f>SUM(U23:U26)</f>
        <v>0</v>
      </c>
      <c r="V22" s="256">
        <f>SUM(V23:V26)</f>
        <v>0</v>
      </c>
      <c r="W22" s="256">
        <f>SUM(W23:W26)</f>
        <v>0</v>
      </c>
      <c r="X22" s="253">
        <f t="shared" si="6"/>
        <v>0</v>
      </c>
      <c r="Y22" s="264"/>
      <c r="Z22" s="264"/>
      <c r="AA22" s="264"/>
      <c r="AB22" s="256">
        <f>SUM(AB23:AB26)</f>
        <v>0</v>
      </c>
      <c r="AC22" s="256">
        <f>SUM(AC23:AC26)</f>
        <v>0</v>
      </c>
      <c r="AD22" s="256">
        <f>SUM(AD23:AD26)</f>
        <v>0</v>
      </c>
      <c r="AE22" s="256">
        <f>SUM(AE23:AE26)</f>
        <v>0</v>
      </c>
      <c r="AF22" s="253">
        <f t="shared" si="8"/>
        <v>0</v>
      </c>
    </row>
    <row r="23" spans="1:32" x14ac:dyDescent="0.2">
      <c r="A23" s="325" t="s">
        <v>54</v>
      </c>
      <c r="B23" s="225" t="s">
        <v>87</v>
      </c>
      <c r="C23" s="225"/>
      <c r="D23" s="225"/>
      <c r="E23" s="225"/>
      <c r="F23" s="225"/>
      <c r="G23" s="373" t="s">
        <v>240</v>
      </c>
      <c r="H23" s="373"/>
      <c r="I23" s="257"/>
      <c r="J23" s="257"/>
      <c r="K23" s="257"/>
      <c r="L23" s="254"/>
      <c r="M23" s="254"/>
      <c r="N23" s="254"/>
      <c r="O23" s="254"/>
      <c r="P23" s="253">
        <f t="shared" si="4"/>
        <v>0</v>
      </c>
      <c r="Q23" s="257"/>
      <c r="R23" s="257"/>
      <c r="S23" s="257"/>
      <c r="T23" s="254"/>
      <c r="U23" s="254"/>
      <c r="V23" s="254"/>
      <c r="W23" s="254"/>
      <c r="X23" s="253">
        <f t="shared" si="6"/>
        <v>0</v>
      </c>
      <c r="Y23" s="265"/>
      <c r="Z23" s="265"/>
      <c r="AA23" s="265"/>
      <c r="AB23" s="254"/>
      <c r="AC23" s="254"/>
      <c r="AD23" s="263"/>
      <c r="AE23" s="263"/>
      <c r="AF23" s="253">
        <f t="shared" si="8"/>
        <v>0</v>
      </c>
    </row>
    <row r="24" spans="1:32" x14ac:dyDescent="0.2">
      <c r="A24" s="325" t="s">
        <v>55</v>
      </c>
      <c r="B24" s="225" t="s">
        <v>88</v>
      </c>
      <c r="C24" s="225"/>
      <c r="D24" s="225"/>
      <c r="E24" s="225"/>
      <c r="F24" s="225"/>
      <c r="G24" s="373" t="s">
        <v>241</v>
      </c>
      <c r="H24" s="373"/>
      <c r="I24" s="257"/>
      <c r="J24" s="257"/>
      <c r="K24" s="257"/>
      <c r="L24" s="254"/>
      <c r="M24" s="254"/>
      <c r="N24" s="254"/>
      <c r="O24" s="254"/>
      <c r="P24" s="253">
        <f t="shared" si="4"/>
        <v>0</v>
      </c>
      <c r="Q24" s="257"/>
      <c r="R24" s="257"/>
      <c r="S24" s="257"/>
      <c r="T24" s="254"/>
      <c r="U24" s="254"/>
      <c r="V24" s="254"/>
      <c r="W24" s="254"/>
      <c r="X24" s="253">
        <f t="shared" si="6"/>
        <v>0</v>
      </c>
      <c r="Y24" s="265"/>
      <c r="Z24" s="265"/>
      <c r="AA24" s="265"/>
      <c r="AB24" s="254"/>
      <c r="AC24" s="254"/>
      <c r="AD24" s="263"/>
      <c r="AE24" s="263"/>
      <c r="AF24" s="253">
        <f t="shared" si="8"/>
        <v>0</v>
      </c>
    </row>
    <row r="25" spans="1:32" x14ac:dyDescent="0.2">
      <c r="A25" s="325" t="s">
        <v>65</v>
      </c>
      <c r="B25" s="225" t="s">
        <v>89</v>
      </c>
      <c r="C25" s="225"/>
      <c r="D25" s="225"/>
      <c r="E25" s="225"/>
      <c r="F25" s="225"/>
      <c r="G25" s="373" t="s">
        <v>242</v>
      </c>
      <c r="H25" s="373"/>
      <c r="I25" s="257"/>
      <c r="J25" s="257"/>
      <c r="K25" s="257"/>
      <c r="L25" s="254"/>
      <c r="M25" s="254"/>
      <c r="N25" s="254"/>
      <c r="O25" s="254"/>
      <c r="P25" s="253">
        <f t="shared" si="4"/>
        <v>0</v>
      </c>
      <c r="Q25" s="257"/>
      <c r="R25" s="257"/>
      <c r="S25" s="257"/>
      <c r="T25" s="254"/>
      <c r="U25" s="254"/>
      <c r="V25" s="254"/>
      <c r="W25" s="254"/>
      <c r="X25" s="253">
        <f t="shared" si="6"/>
        <v>0</v>
      </c>
      <c r="Y25" s="265"/>
      <c r="Z25" s="265"/>
      <c r="AA25" s="265"/>
      <c r="AB25" s="254"/>
      <c r="AC25" s="254"/>
      <c r="AD25" s="263"/>
      <c r="AE25" s="263"/>
      <c r="AF25" s="253">
        <f t="shared" si="8"/>
        <v>0</v>
      </c>
    </row>
    <row r="26" spans="1:32" x14ac:dyDescent="0.2">
      <c r="A26" s="325" t="s">
        <v>90</v>
      </c>
      <c r="B26" s="225" t="s">
        <v>91</v>
      </c>
      <c r="C26" s="225"/>
      <c r="D26" s="225"/>
      <c r="E26" s="225"/>
      <c r="F26" s="225"/>
      <c r="G26" s="373" t="s">
        <v>243</v>
      </c>
      <c r="H26" s="373"/>
      <c r="I26" s="255"/>
      <c r="J26" s="257"/>
      <c r="K26" s="257"/>
      <c r="L26" s="254"/>
      <c r="M26" s="254"/>
      <c r="N26" s="254"/>
      <c r="O26" s="254"/>
      <c r="P26" s="253">
        <f t="shared" si="4"/>
        <v>0</v>
      </c>
      <c r="Q26" s="255"/>
      <c r="R26" s="257"/>
      <c r="S26" s="257"/>
      <c r="T26" s="254"/>
      <c r="U26" s="254"/>
      <c r="V26" s="254"/>
      <c r="W26" s="254"/>
      <c r="X26" s="253">
        <f t="shared" si="6"/>
        <v>0</v>
      </c>
      <c r="Y26" s="265"/>
      <c r="Z26" s="265"/>
      <c r="AA26" s="265"/>
      <c r="AB26" s="254"/>
      <c r="AC26" s="254"/>
      <c r="AD26" s="263"/>
      <c r="AE26" s="263"/>
      <c r="AF26" s="253">
        <f t="shared" si="8"/>
        <v>0</v>
      </c>
    </row>
    <row r="27" spans="1:32" x14ac:dyDescent="0.2">
      <c r="A27" s="374" t="s">
        <v>144</v>
      </c>
      <c r="B27" s="225"/>
      <c r="C27" s="301"/>
      <c r="D27" s="307"/>
      <c r="E27" s="307"/>
      <c r="F27" s="307"/>
      <c r="G27" s="589" t="s">
        <v>244</v>
      </c>
      <c r="H27" s="373"/>
      <c r="I27" s="253">
        <f t="shared" ref="I27:O27" si="15">I10+I22</f>
        <v>0</v>
      </c>
      <c r="J27" s="253">
        <f t="shared" si="15"/>
        <v>0</v>
      </c>
      <c r="K27" s="253">
        <f t="shared" si="15"/>
        <v>0</v>
      </c>
      <c r="L27" s="253">
        <f t="shared" si="15"/>
        <v>0</v>
      </c>
      <c r="M27" s="253">
        <f t="shared" si="15"/>
        <v>0</v>
      </c>
      <c r="N27" s="253">
        <f t="shared" si="15"/>
        <v>0</v>
      </c>
      <c r="O27" s="253">
        <f t="shared" si="15"/>
        <v>0</v>
      </c>
      <c r="P27" s="253">
        <f t="shared" si="4"/>
        <v>0</v>
      </c>
      <c r="Q27" s="253">
        <f t="shared" ref="Q27:W27" si="16">Q10+Q22</f>
        <v>0</v>
      </c>
      <c r="R27" s="253">
        <f t="shared" si="16"/>
        <v>0</v>
      </c>
      <c r="S27" s="253">
        <f t="shared" si="16"/>
        <v>0</v>
      </c>
      <c r="T27" s="253">
        <f t="shared" si="16"/>
        <v>0</v>
      </c>
      <c r="U27" s="253">
        <f t="shared" si="16"/>
        <v>0</v>
      </c>
      <c r="V27" s="253">
        <f t="shared" si="16"/>
        <v>0</v>
      </c>
      <c r="W27" s="253">
        <f t="shared" si="16"/>
        <v>0</v>
      </c>
      <c r="X27" s="253">
        <f t="shared" si="6"/>
        <v>0</v>
      </c>
      <c r="Y27" s="253">
        <f t="shared" ref="Y27:AE27" si="17">Y10+Y22</f>
        <v>0</v>
      </c>
      <c r="Z27" s="253">
        <f t="shared" si="17"/>
        <v>0</v>
      </c>
      <c r="AA27" s="253">
        <f t="shared" si="17"/>
        <v>0</v>
      </c>
      <c r="AB27" s="253">
        <f t="shared" si="17"/>
        <v>0</v>
      </c>
      <c r="AC27" s="253">
        <f t="shared" si="17"/>
        <v>0</v>
      </c>
      <c r="AD27" s="253">
        <f t="shared" si="17"/>
        <v>0</v>
      </c>
      <c r="AE27" s="253">
        <f t="shared" si="17"/>
        <v>0</v>
      </c>
      <c r="AF27" s="253">
        <f t="shared" si="8"/>
        <v>0</v>
      </c>
    </row>
    <row r="28" spans="1:32" x14ac:dyDescent="0.2">
      <c r="G28" s="590" t="s">
        <v>108</v>
      </c>
      <c r="H28" s="588"/>
    </row>
  </sheetData>
  <sheetProtection password="DAC5" sheet="1" objects="1" scenarios="1" selectLockedCells="1"/>
  <mergeCells count="23">
    <mergeCell ref="A1:X1"/>
    <mergeCell ref="A2:X2"/>
    <mergeCell ref="A3:X3"/>
    <mergeCell ref="A7:D9"/>
    <mergeCell ref="G7:G9"/>
    <mergeCell ref="I7:P7"/>
    <mergeCell ref="Q7:X7"/>
    <mergeCell ref="AF8:AF9"/>
    <mergeCell ref="Y7:AF7"/>
    <mergeCell ref="Y8:Y9"/>
    <mergeCell ref="P8:P9"/>
    <mergeCell ref="Q8:Q9"/>
    <mergeCell ref="N8:O8"/>
    <mergeCell ref="AD8:AE8"/>
    <mergeCell ref="T8:U8"/>
    <mergeCell ref="V8:W8"/>
    <mergeCell ref="Z8:AA8"/>
    <mergeCell ref="AB8:AC8"/>
    <mergeCell ref="X8:X9"/>
    <mergeCell ref="R8:S8"/>
    <mergeCell ref="I8:I9"/>
    <mergeCell ref="J8:K8"/>
    <mergeCell ref="L8:M8"/>
  </mergeCells>
  <phoneticPr fontId="2" type="noConversion"/>
  <dataValidations count="1">
    <dataValidation type="decimal" allowBlank="1" showInputMessage="1" showErrorMessage="1" errorTitle="Error" error="Entry must be Decimal" sqref="I12:M13 I15:M17 I19:M21 L23:M26 Q12:U13 Q15:U17 Q19:U21 T23:U26 Y12:AC13 Y15:AC17 Y19:AC21 AB23:AC26">
      <formula1>-99999999999999900000</formula1>
      <formula2>99999999999999900000</formula2>
    </dataValidation>
  </dataValidations>
  <pageMargins left="0.75" right="0.75" top="1" bottom="1" header="0.5" footer="0.5"/>
  <pageSetup orientation="portrait" horizontalDpi="300" verticalDpi="300" r:id="rId1"/>
  <headerFooter alignWithMargins="0">
    <oddHeader>&amp;R&amp;"Arial,Bold"&amp;USchedule 11F&amp;U
&amp;P of &amp;N&amp;C&amp;"Arial,Bold"&amp;8 NEW RURAL BANK OF SAN LEONARDO, INC  [ 04-040656 ]
 As of: September 30, 2017</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50"/>
  <sheetViews>
    <sheetView zoomScale="85" zoomScaleNormal="85" workbookViewId="0">
      <selection activeCell="I14" sqref="I14"/>
    </sheetView>
  </sheetViews>
  <sheetFormatPr defaultRowHeight="12.75" x14ac:dyDescent="0.2"/>
  <cols>
    <col min="1" max="1" width="3.28515625" style="442" customWidth="1"/>
    <col min="2" max="2" width="3.7109375" style="442" customWidth="1"/>
    <col min="3" max="3" width="3.28515625" style="442" customWidth="1"/>
    <col min="4" max="4" width="68" style="442" customWidth="1"/>
    <col min="5" max="5" width="12.42578125" style="442" hidden="1" customWidth="1"/>
    <col min="6" max="6" width="9.42578125" style="442" hidden="1" customWidth="1"/>
    <col min="7" max="7" width="19.28515625" style="442" bestFit="1" customWidth="1"/>
    <col min="8" max="8" width="19.28515625" style="442" hidden="1" customWidth="1"/>
    <col min="9" max="18" width="25.7109375" style="442" customWidth="1"/>
    <col min="19" max="16384" width="9.140625" style="442"/>
  </cols>
  <sheetData>
    <row r="1" spans="1:18" x14ac:dyDescent="0.2">
      <c r="A1" s="498" t="s">
        <v>1346</v>
      </c>
      <c r="B1" s="498"/>
      <c r="C1" s="498"/>
      <c r="D1" s="498"/>
      <c r="E1" s="498"/>
      <c r="F1" s="498"/>
      <c r="G1" s="499"/>
      <c r="H1" s="499"/>
      <c r="I1" s="500"/>
      <c r="J1" s="500"/>
      <c r="K1" s="500"/>
      <c r="L1" s="500"/>
      <c r="M1" s="500"/>
      <c r="N1" s="500"/>
      <c r="O1" s="500"/>
      <c r="P1" s="500"/>
      <c r="Q1" s="500"/>
      <c r="R1" s="501"/>
    </row>
    <row r="2" spans="1:18" x14ac:dyDescent="0.2">
      <c r="A2" s="502" t="s">
        <v>1347</v>
      </c>
      <c r="B2" s="502"/>
      <c r="C2" s="502"/>
      <c r="D2" s="502"/>
      <c r="E2" s="502"/>
      <c r="F2" s="502"/>
      <c r="G2" s="503"/>
      <c r="H2" s="503"/>
      <c r="I2" s="500"/>
      <c r="J2" s="500"/>
      <c r="K2" s="500"/>
      <c r="L2" s="500"/>
      <c r="M2" s="500"/>
      <c r="N2" s="500"/>
      <c r="O2" s="500"/>
      <c r="P2" s="500"/>
      <c r="Q2" s="500"/>
      <c r="R2" s="501"/>
    </row>
    <row r="3" spans="1:18" x14ac:dyDescent="0.2">
      <c r="A3" s="498"/>
      <c r="B3" s="498"/>
      <c r="C3" s="498"/>
      <c r="D3" s="498"/>
      <c r="E3" s="498"/>
      <c r="F3" s="498"/>
      <c r="G3" s="503"/>
      <c r="H3" s="503"/>
      <c r="I3" s="500"/>
      <c r="J3" s="500"/>
      <c r="K3" s="500"/>
      <c r="L3" s="500"/>
      <c r="M3" s="500"/>
      <c r="N3" s="500"/>
      <c r="O3" s="500"/>
      <c r="P3" s="500"/>
      <c r="Q3" s="500"/>
      <c r="R3" s="501"/>
    </row>
    <row r="4" spans="1:18" x14ac:dyDescent="0.2">
      <c r="A4" s="504"/>
      <c r="B4" s="504"/>
      <c r="C4" s="504"/>
      <c r="D4" s="504"/>
      <c r="E4" s="504"/>
      <c r="F4" s="504"/>
      <c r="G4" s="503"/>
      <c r="H4" s="503"/>
      <c r="I4" s="500"/>
      <c r="J4" s="500"/>
      <c r="K4" s="500"/>
      <c r="L4" s="500"/>
      <c r="M4" s="500"/>
      <c r="N4" s="500"/>
      <c r="O4" s="500"/>
      <c r="P4" s="500"/>
      <c r="Q4" s="500"/>
      <c r="R4" s="501"/>
    </row>
    <row r="5" spans="1:18" x14ac:dyDescent="0.2">
      <c r="A5" s="816" t="s">
        <v>45</v>
      </c>
      <c r="B5" s="817"/>
      <c r="C5" s="817"/>
      <c r="D5" s="818"/>
      <c r="E5" s="584"/>
      <c r="F5" s="584"/>
      <c r="G5" s="814" t="s">
        <v>46</v>
      </c>
      <c r="H5" s="584"/>
      <c r="I5" s="808" t="s">
        <v>1348</v>
      </c>
      <c r="J5" s="808" t="s">
        <v>1349</v>
      </c>
      <c r="K5" s="808" t="s">
        <v>1350</v>
      </c>
      <c r="L5" s="810"/>
      <c r="M5" s="810"/>
      <c r="N5" s="810"/>
      <c r="O5" s="810"/>
      <c r="P5" s="810"/>
      <c r="Q5" s="808" t="s">
        <v>1351</v>
      </c>
      <c r="R5" s="808" t="s">
        <v>1352</v>
      </c>
    </row>
    <row r="6" spans="1:18" x14ac:dyDescent="0.2">
      <c r="A6" s="819"/>
      <c r="B6" s="820"/>
      <c r="C6" s="820"/>
      <c r="D6" s="821"/>
      <c r="E6" s="584"/>
      <c r="F6" s="584"/>
      <c r="G6" s="814"/>
      <c r="H6" s="584"/>
      <c r="I6" s="808"/>
      <c r="J6" s="808"/>
      <c r="K6" s="808" t="s">
        <v>1353</v>
      </c>
      <c r="L6" s="808" t="s">
        <v>1354</v>
      </c>
      <c r="M6" s="811" t="s">
        <v>1355</v>
      </c>
      <c r="N6" s="811"/>
      <c r="O6" s="810"/>
      <c r="P6" s="808" t="s">
        <v>1356</v>
      </c>
      <c r="Q6" s="808"/>
      <c r="R6" s="809"/>
    </row>
    <row r="7" spans="1:18" ht="32.25" customHeight="1" x14ac:dyDescent="0.2">
      <c r="A7" s="819"/>
      <c r="B7" s="820"/>
      <c r="C7" s="820"/>
      <c r="D7" s="821"/>
      <c r="E7" s="584"/>
      <c r="F7" s="584"/>
      <c r="G7" s="814"/>
      <c r="H7" s="584"/>
      <c r="I7" s="808"/>
      <c r="J7" s="815"/>
      <c r="K7" s="810"/>
      <c r="L7" s="810"/>
      <c r="M7" s="505" t="s">
        <v>1357</v>
      </c>
      <c r="N7" s="505" t="s">
        <v>1358</v>
      </c>
      <c r="O7" s="506" t="s">
        <v>1359</v>
      </c>
      <c r="P7" s="810"/>
      <c r="Q7" s="808"/>
      <c r="R7" s="812" t="s">
        <v>1360</v>
      </c>
    </row>
    <row r="8" spans="1:18" x14ac:dyDescent="0.2">
      <c r="A8" s="822"/>
      <c r="B8" s="823"/>
      <c r="C8" s="823"/>
      <c r="D8" s="824"/>
      <c r="E8" s="584"/>
      <c r="F8" s="584"/>
      <c r="G8" s="814"/>
      <c r="H8" s="584"/>
      <c r="I8" s="507" t="s">
        <v>94</v>
      </c>
      <c r="J8" s="508" t="s">
        <v>95</v>
      </c>
      <c r="K8" s="508" t="s">
        <v>96</v>
      </c>
      <c r="L8" s="508" t="s">
        <v>97</v>
      </c>
      <c r="M8" s="508" t="s">
        <v>98</v>
      </c>
      <c r="N8" s="508" t="s">
        <v>99</v>
      </c>
      <c r="O8" s="508" t="s">
        <v>100</v>
      </c>
      <c r="P8" s="508" t="s">
        <v>1361</v>
      </c>
      <c r="Q8" s="508" t="s">
        <v>1362</v>
      </c>
      <c r="R8" s="813"/>
    </row>
    <row r="9" spans="1:18" x14ac:dyDescent="0.2">
      <c r="A9" s="800"/>
      <c r="B9" s="801"/>
      <c r="C9" s="801"/>
      <c r="D9" s="802"/>
      <c r="E9" s="509"/>
      <c r="F9" s="509"/>
      <c r="G9" s="510"/>
      <c r="H9" s="510"/>
      <c r="I9" s="511"/>
      <c r="J9" s="511"/>
      <c r="K9" s="511"/>
      <c r="L9" s="511"/>
      <c r="M9" s="511"/>
      <c r="N9" s="511"/>
      <c r="O9" s="511"/>
      <c r="P9" s="511"/>
      <c r="Q9" s="511"/>
      <c r="R9" s="512"/>
    </row>
    <row r="10" spans="1:18" x14ac:dyDescent="0.2">
      <c r="A10" s="797" t="s">
        <v>140</v>
      </c>
      <c r="B10" s="798"/>
      <c r="C10" s="798"/>
      <c r="D10" s="799"/>
      <c r="E10" s="513"/>
      <c r="F10" s="513"/>
      <c r="G10" s="514" t="s">
        <v>1363</v>
      </c>
      <c r="H10" s="514"/>
      <c r="I10" s="515">
        <f>I12+I43+I44+I45</f>
        <v>0</v>
      </c>
      <c r="J10" s="515">
        <f t="shared" ref="J10:Q10" si="0">J12+J43+J44+J45</f>
        <v>0</v>
      </c>
      <c r="K10" s="515">
        <f t="shared" si="0"/>
        <v>0</v>
      </c>
      <c r="L10" s="515">
        <f t="shared" si="0"/>
        <v>0</v>
      </c>
      <c r="M10" s="515">
        <f t="shared" si="0"/>
        <v>0</v>
      </c>
      <c r="N10" s="515">
        <f t="shared" si="0"/>
        <v>0</v>
      </c>
      <c r="O10" s="515">
        <f t="shared" si="0"/>
        <v>0</v>
      </c>
      <c r="P10" s="515">
        <f t="shared" si="0"/>
        <v>0</v>
      </c>
      <c r="Q10" s="515">
        <f t="shared" si="0"/>
        <v>0</v>
      </c>
      <c r="R10" s="515">
        <f>I10+J10-SUM(K10:P10)+Q10</f>
        <v>0</v>
      </c>
    </row>
    <row r="11" spans="1:18" x14ac:dyDescent="0.2">
      <c r="A11" s="803"/>
      <c r="B11" s="804"/>
      <c r="C11" s="804"/>
      <c r="D11" s="805"/>
      <c r="E11" s="516"/>
      <c r="F11" s="516"/>
      <c r="G11" s="510"/>
      <c r="H11" s="510"/>
      <c r="I11" s="517"/>
      <c r="J11" s="517"/>
      <c r="K11" s="517"/>
      <c r="L11" s="517"/>
      <c r="M11" s="517"/>
      <c r="N11" s="517"/>
      <c r="O11" s="517"/>
      <c r="P11" s="517"/>
      <c r="Q11" s="517"/>
      <c r="R11" s="518"/>
    </row>
    <row r="12" spans="1:18" x14ac:dyDescent="0.2">
      <c r="A12" s="591" t="s">
        <v>1364</v>
      </c>
      <c r="B12" s="591"/>
      <c r="C12" s="591"/>
      <c r="D12" s="591"/>
      <c r="E12" s="519"/>
      <c r="F12" s="519"/>
      <c r="G12" s="514" t="s">
        <v>1365</v>
      </c>
      <c r="H12" s="514"/>
      <c r="I12" s="515">
        <f>I13+I35</f>
        <v>0</v>
      </c>
      <c r="J12" s="515">
        <f t="shared" ref="J12:Q12" si="1">J13+J35</f>
        <v>0</v>
      </c>
      <c r="K12" s="515">
        <f t="shared" si="1"/>
        <v>0</v>
      </c>
      <c r="L12" s="515">
        <f t="shared" si="1"/>
        <v>0</v>
      </c>
      <c r="M12" s="515">
        <f t="shared" si="1"/>
        <v>0</v>
      </c>
      <c r="N12" s="515">
        <f t="shared" si="1"/>
        <v>0</v>
      </c>
      <c r="O12" s="515">
        <f t="shared" si="1"/>
        <v>0</v>
      </c>
      <c r="P12" s="515">
        <f t="shared" si="1"/>
        <v>0</v>
      </c>
      <c r="Q12" s="515">
        <f t="shared" si="1"/>
        <v>0</v>
      </c>
      <c r="R12" s="515">
        <f t="shared" ref="R12:R45" si="2">I12+J12-SUM(K12:P12)+Q12</f>
        <v>0</v>
      </c>
    </row>
    <row r="13" spans="1:18" ht="15" x14ac:dyDescent="0.2">
      <c r="A13" s="591" t="s">
        <v>1422</v>
      </c>
      <c r="B13" s="591" t="s">
        <v>1423</v>
      </c>
      <c r="C13" s="591"/>
      <c r="D13" s="591"/>
      <c r="E13" s="519"/>
      <c r="F13" s="519"/>
      <c r="G13" s="514" t="s">
        <v>1366</v>
      </c>
      <c r="H13" s="514"/>
      <c r="I13" s="515">
        <f>SUM(I14:I34)</f>
        <v>0</v>
      </c>
      <c r="J13" s="515">
        <f t="shared" ref="J13:Q13" si="3">SUM(J14:J34)</f>
        <v>0</v>
      </c>
      <c r="K13" s="515">
        <f t="shared" si="3"/>
        <v>0</v>
      </c>
      <c r="L13" s="515">
        <f t="shared" si="3"/>
        <v>0</v>
      </c>
      <c r="M13" s="515">
        <f t="shared" si="3"/>
        <v>0</v>
      </c>
      <c r="N13" s="515">
        <f t="shared" si="3"/>
        <v>0</v>
      </c>
      <c r="O13" s="515">
        <f t="shared" si="3"/>
        <v>0</v>
      </c>
      <c r="P13" s="515">
        <f t="shared" si="3"/>
        <v>0</v>
      </c>
      <c r="Q13" s="515">
        <f t="shared" si="3"/>
        <v>0</v>
      </c>
      <c r="R13" s="515">
        <f t="shared" si="2"/>
        <v>0</v>
      </c>
    </row>
    <row r="14" spans="1:18" x14ac:dyDescent="0.2">
      <c r="A14" s="477"/>
      <c r="B14" s="592" t="s">
        <v>54</v>
      </c>
      <c r="C14" s="592" t="s">
        <v>1320</v>
      </c>
      <c r="D14" s="592"/>
      <c r="E14" s="520"/>
      <c r="F14" s="520"/>
      <c r="G14" s="514" t="s">
        <v>1367</v>
      </c>
      <c r="H14" s="514"/>
      <c r="I14" s="521"/>
      <c r="J14" s="521"/>
      <c r="K14" s="521"/>
      <c r="L14" s="521"/>
      <c r="M14" s="521"/>
      <c r="N14" s="521"/>
      <c r="O14" s="521"/>
      <c r="P14" s="521"/>
      <c r="Q14" s="521"/>
      <c r="R14" s="515">
        <f t="shared" si="2"/>
        <v>0</v>
      </c>
    </row>
    <row r="15" spans="1:18" x14ac:dyDescent="0.2">
      <c r="A15" s="477"/>
      <c r="B15" s="592" t="s">
        <v>55</v>
      </c>
      <c r="C15" s="592" t="s">
        <v>380</v>
      </c>
      <c r="D15" s="592"/>
      <c r="E15" s="520"/>
      <c r="F15" s="520"/>
      <c r="G15" s="514" t="s">
        <v>1368</v>
      </c>
      <c r="H15" s="514"/>
      <c r="I15" s="521"/>
      <c r="J15" s="521"/>
      <c r="K15" s="521"/>
      <c r="L15" s="521"/>
      <c r="M15" s="521"/>
      <c r="N15" s="521"/>
      <c r="O15" s="521"/>
      <c r="P15" s="521"/>
      <c r="Q15" s="521"/>
      <c r="R15" s="515">
        <f t="shared" si="2"/>
        <v>0</v>
      </c>
    </row>
    <row r="16" spans="1:18" x14ac:dyDescent="0.2">
      <c r="A16" s="477"/>
      <c r="B16" s="592" t="s">
        <v>65</v>
      </c>
      <c r="C16" s="592" t="s">
        <v>381</v>
      </c>
      <c r="D16" s="592"/>
      <c r="E16" s="520"/>
      <c r="F16" s="520"/>
      <c r="G16" s="514" t="s">
        <v>1369</v>
      </c>
      <c r="H16" s="514"/>
      <c r="I16" s="521"/>
      <c r="J16" s="521"/>
      <c r="K16" s="521"/>
      <c r="L16" s="521"/>
      <c r="M16" s="521"/>
      <c r="N16" s="521"/>
      <c r="O16" s="521"/>
      <c r="P16" s="521"/>
      <c r="Q16" s="521"/>
      <c r="R16" s="515">
        <f t="shared" si="2"/>
        <v>0</v>
      </c>
    </row>
    <row r="17" spans="1:18" x14ac:dyDescent="0.2">
      <c r="A17" s="477"/>
      <c r="B17" s="592" t="s">
        <v>90</v>
      </c>
      <c r="C17" s="592" t="s">
        <v>1321</v>
      </c>
      <c r="D17" s="592"/>
      <c r="E17" s="520"/>
      <c r="F17" s="520"/>
      <c r="G17" s="514" t="s">
        <v>1370</v>
      </c>
      <c r="H17" s="514"/>
      <c r="I17" s="521"/>
      <c r="J17" s="521"/>
      <c r="K17" s="521"/>
      <c r="L17" s="521"/>
      <c r="M17" s="521"/>
      <c r="N17" s="521"/>
      <c r="O17" s="521"/>
      <c r="P17" s="521"/>
      <c r="Q17" s="521"/>
      <c r="R17" s="515">
        <f t="shared" si="2"/>
        <v>0</v>
      </c>
    </row>
    <row r="18" spans="1:18" x14ac:dyDescent="0.2">
      <c r="A18" s="477"/>
      <c r="B18" s="592" t="s">
        <v>257</v>
      </c>
      <c r="C18" s="592" t="s">
        <v>1322</v>
      </c>
      <c r="D18" s="592"/>
      <c r="E18" s="520"/>
      <c r="F18" s="520"/>
      <c r="G18" s="514" t="s">
        <v>1371</v>
      </c>
      <c r="H18" s="514"/>
      <c r="I18" s="521"/>
      <c r="J18" s="521"/>
      <c r="K18" s="521"/>
      <c r="L18" s="521"/>
      <c r="M18" s="521"/>
      <c r="N18" s="521"/>
      <c r="O18" s="521"/>
      <c r="P18" s="521"/>
      <c r="Q18" s="521"/>
      <c r="R18" s="515">
        <f t="shared" si="2"/>
        <v>0</v>
      </c>
    </row>
    <row r="19" spans="1:18" x14ac:dyDescent="0.2">
      <c r="A19" s="477"/>
      <c r="B19" s="592" t="s">
        <v>74</v>
      </c>
      <c r="C19" s="592" t="s">
        <v>382</v>
      </c>
      <c r="D19" s="592"/>
      <c r="E19" s="520"/>
      <c r="F19" s="520"/>
      <c r="G19" s="514" t="s">
        <v>1372</v>
      </c>
      <c r="H19" s="514"/>
      <c r="I19" s="521"/>
      <c r="J19" s="521"/>
      <c r="K19" s="521"/>
      <c r="L19" s="521"/>
      <c r="M19" s="521"/>
      <c r="N19" s="521"/>
      <c r="O19" s="521"/>
      <c r="P19" s="521"/>
      <c r="Q19" s="521"/>
      <c r="R19" s="515">
        <f t="shared" si="2"/>
        <v>0</v>
      </c>
    </row>
    <row r="20" spans="1:18" ht="17.25" customHeight="1" x14ac:dyDescent="0.2">
      <c r="A20" s="477"/>
      <c r="B20" s="592" t="s">
        <v>76</v>
      </c>
      <c r="C20" s="592" t="s">
        <v>1373</v>
      </c>
      <c r="D20" s="592"/>
      <c r="E20" s="520"/>
      <c r="F20" s="520"/>
      <c r="G20" s="514" t="s">
        <v>1374</v>
      </c>
      <c r="H20" s="514"/>
      <c r="I20" s="521"/>
      <c r="J20" s="521"/>
      <c r="K20" s="521"/>
      <c r="L20" s="521"/>
      <c r="M20" s="521"/>
      <c r="N20" s="521"/>
      <c r="O20" s="521"/>
      <c r="P20" s="521"/>
      <c r="Q20" s="521"/>
      <c r="R20" s="515">
        <f t="shared" si="2"/>
        <v>0</v>
      </c>
    </row>
    <row r="21" spans="1:18" x14ac:dyDescent="0.2">
      <c r="A21" s="477"/>
      <c r="B21" s="592" t="s">
        <v>79</v>
      </c>
      <c r="C21" s="592" t="s">
        <v>1324</v>
      </c>
      <c r="D21" s="592"/>
      <c r="E21" s="520"/>
      <c r="F21" s="520"/>
      <c r="G21" s="514" t="s">
        <v>1375</v>
      </c>
      <c r="H21" s="514"/>
      <c r="I21" s="521"/>
      <c r="J21" s="521"/>
      <c r="K21" s="521"/>
      <c r="L21" s="521"/>
      <c r="M21" s="521"/>
      <c r="N21" s="521"/>
      <c r="O21" s="521"/>
      <c r="P21" s="521"/>
      <c r="Q21" s="521"/>
      <c r="R21" s="515">
        <f t="shared" si="2"/>
        <v>0</v>
      </c>
    </row>
    <row r="22" spans="1:18" x14ac:dyDescent="0.2">
      <c r="A22" s="477"/>
      <c r="B22" s="592" t="s">
        <v>81</v>
      </c>
      <c r="C22" s="592" t="s">
        <v>1325</v>
      </c>
      <c r="D22" s="592"/>
      <c r="E22" s="520"/>
      <c r="F22" s="520"/>
      <c r="G22" s="514" t="s">
        <v>1376</v>
      </c>
      <c r="H22" s="514"/>
      <c r="I22" s="521"/>
      <c r="J22" s="521"/>
      <c r="K22" s="521"/>
      <c r="L22" s="521"/>
      <c r="M22" s="521"/>
      <c r="N22" s="521"/>
      <c r="O22" s="521"/>
      <c r="P22" s="521"/>
      <c r="Q22" s="521"/>
      <c r="R22" s="515">
        <f t="shared" si="2"/>
        <v>0</v>
      </c>
    </row>
    <row r="23" spans="1:18" x14ac:dyDescent="0.2">
      <c r="A23" s="477"/>
      <c r="B23" s="592" t="s">
        <v>84</v>
      </c>
      <c r="C23" s="592" t="s">
        <v>1326</v>
      </c>
      <c r="D23" s="592"/>
      <c r="E23" s="520"/>
      <c r="F23" s="520"/>
      <c r="G23" s="514" t="s">
        <v>1377</v>
      </c>
      <c r="H23" s="514"/>
      <c r="I23" s="521"/>
      <c r="J23" s="521"/>
      <c r="K23" s="521"/>
      <c r="L23" s="521"/>
      <c r="M23" s="521"/>
      <c r="N23" s="521"/>
      <c r="O23" s="521"/>
      <c r="P23" s="521"/>
      <c r="Q23" s="521"/>
      <c r="R23" s="515">
        <f t="shared" si="2"/>
        <v>0</v>
      </c>
    </row>
    <row r="24" spans="1:18" x14ac:dyDescent="0.2">
      <c r="A24" s="477"/>
      <c r="B24" s="592" t="s">
        <v>287</v>
      </c>
      <c r="C24" s="592" t="s">
        <v>1378</v>
      </c>
      <c r="D24" s="592"/>
      <c r="E24" s="520"/>
      <c r="F24" s="520"/>
      <c r="G24" s="514" t="s">
        <v>1379</v>
      </c>
      <c r="H24" s="514"/>
      <c r="I24" s="521"/>
      <c r="J24" s="521"/>
      <c r="K24" s="521"/>
      <c r="L24" s="521"/>
      <c r="M24" s="521"/>
      <c r="N24" s="521"/>
      <c r="O24" s="521"/>
      <c r="P24" s="521"/>
      <c r="Q24" s="521"/>
      <c r="R24" s="515">
        <f t="shared" si="2"/>
        <v>0</v>
      </c>
    </row>
    <row r="25" spans="1:18" x14ac:dyDescent="0.2">
      <c r="A25" s="477"/>
      <c r="B25" s="592" t="s">
        <v>290</v>
      </c>
      <c r="C25" s="592" t="s">
        <v>1328</v>
      </c>
      <c r="D25" s="592"/>
      <c r="E25" s="520"/>
      <c r="F25" s="520"/>
      <c r="G25" s="514" t="s">
        <v>1380</v>
      </c>
      <c r="H25" s="514"/>
      <c r="I25" s="521"/>
      <c r="J25" s="521"/>
      <c r="K25" s="521"/>
      <c r="L25" s="521"/>
      <c r="M25" s="521"/>
      <c r="N25" s="521"/>
      <c r="O25" s="521"/>
      <c r="P25" s="521"/>
      <c r="Q25" s="521"/>
      <c r="R25" s="515">
        <f t="shared" si="2"/>
        <v>0</v>
      </c>
    </row>
    <row r="26" spans="1:18" x14ac:dyDescent="0.2">
      <c r="A26" s="477"/>
      <c r="B26" s="592" t="s">
        <v>295</v>
      </c>
      <c r="C26" s="592" t="s">
        <v>1329</v>
      </c>
      <c r="D26" s="592"/>
      <c r="E26" s="520"/>
      <c r="F26" s="520"/>
      <c r="G26" s="514" t="s">
        <v>1381</v>
      </c>
      <c r="H26" s="514"/>
      <c r="I26" s="521"/>
      <c r="J26" s="521"/>
      <c r="K26" s="521"/>
      <c r="L26" s="521"/>
      <c r="M26" s="521"/>
      <c r="N26" s="521"/>
      <c r="O26" s="521"/>
      <c r="P26" s="521"/>
      <c r="Q26" s="521"/>
      <c r="R26" s="515">
        <f t="shared" si="2"/>
        <v>0</v>
      </c>
    </row>
    <row r="27" spans="1:18" x14ac:dyDescent="0.2">
      <c r="A27" s="477"/>
      <c r="B27" s="592" t="s">
        <v>693</v>
      </c>
      <c r="C27" s="592" t="s">
        <v>1330</v>
      </c>
      <c r="D27" s="592"/>
      <c r="E27" s="520"/>
      <c r="F27" s="520"/>
      <c r="G27" s="514" t="s">
        <v>1382</v>
      </c>
      <c r="H27" s="514"/>
      <c r="I27" s="521"/>
      <c r="J27" s="521"/>
      <c r="K27" s="521"/>
      <c r="L27" s="521"/>
      <c r="M27" s="521"/>
      <c r="N27" s="521"/>
      <c r="O27" s="521"/>
      <c r="P27" s="521"/>
      <c r="Q27" s="521"/>
      <c r="R27" s="515">
        <f t="shared" si="2"/>
        <v>0</v>
      </c>
    </row>
    <row r="28" spans="1:18" ht="15.75" customHeight="1" x14ac:dyDescent="0.2">
      <c r="A28" s="477"/>
      <c r="B28" s="592" t="s">
        <v>694</v>
      </c>
      <c r="C28" s="592" t="s">
        <v>720</v>
      </c>
      <c r="D28" s="592"/>
      <c r="E28" s="520"/>
      <c r="F28" s="520"/>
      <c r="G28" s="514" t="s">
        <v>1383</v>
      </c>
      <c r="H28" s="514"/>
      <c r="I28" s="521"/>
      <c r="J28" s="521"/>
      <c r="K28" s="521"/>
      <c r="L28" s="521"/>
      <c r="M28" s="521"/>
      <c r="N28" s="521"/>
      <c r="O28" s="521"/>
      <c r="P28" s="521"/>
      <c r="Q28" s="521"/>
      <c r="R28" s="515">
        <f t="shared" si="2"/>
        <v>0</v>
      </c>
    </row>
    <row r="29" spans="1:18" x14ac:dyDescent="0.2">
      <c r="A29" s="477"/>
      <c r="B29" s="592" t="s">
        <v>695</v>
      </c>
      <c r="C29" s="592" t="s">
        <v>383</v>
      </c>
      <c r="D29" s="592"/>
      <c r="E29" s="520"/>
      <c r="F29" s="520"/>
      <c r="G29" s="514" t="s">
        <v>1384</v>
      </c>
      <c r="H29" s="514"/>
      <c r="I29" s="521"/>
      <c r="J29" s="521"/>
      <c r="K29" s="521"/>
      <c r="L29" s="521"/>
      <c r="M29" s="521"/>
      <c r="N29" s="521"/>
      <c r="O29" s="521"/>
      <c r="P29" s="521"/>
      <c r="Q29" s="521"/>
      <c r="R29" s="515">
        <f t="shared" si="2"/>
        <v>0</v>
      </c>
    </row>
    <row r="30" spans="1:18" x14ac:dyDescent="0.2">
      <c r="A30" s="477"/>
      <c r="B30" s="592" t="s">
        <v>1425</v>
      </c>
      <c r="C30" s="592" t="s">
        <v>1332</v>
      </c>
      <c r="D30" s="592"/>
      <c r="E30" s="520"/>
      <c r="F30" s="520"/>
      <c r="G30" s="514" t="s">
        <v>1385</v>
      </c>
      <c r="H30" s="514"/>
      <c r="I30" s="521"/>
      <c r="J30" s="521"/>
      <c r="K30" s="521"/>
      <c r="L30" s="521"/>
      <c r="M30" s="521"/>
      <c r="N30" s="521"/>
      <c r="O30" s="521"/>
      <c r="P30" s="521"/>
      <c r="Q30" s="521"/>
      <c r="R30" s="515">
        <f t="shared" si="2"/>
        <v>0</v>
      </c>
    </row>
    <row r="31" spans="1:18" x14ac:dyDescent="0.2">
      <c r="A31" s="477"/>
      <c r="B31" s="592" t="s">
        <v>1426</v>
      </c>
      <c r="C31" s="592" t="s">
        <v>1333</v>
      </c>
      <c r="D31" s="592"/>
      <c r="E31" s="520"/>
      <c r="F31" s="520"/>
      <c r="G31" s="514" t="s">
        <v>1386</v>
      </c>
      <c r="H31" s="514"/>
      <c r="I31" s="521"/>
      <c r="J31" s="521"/>
      <c r="K31" s="521"/>
      <c r="L31" s="521"/>
      <c r="M31" s="521"/>
      <c r="N31" s="521"/>
      <c r="O31" s="521"/>
      <c r="P31" s="521"/>
      <c r="Q31" s="521"/>
      <c r="R31" s="515">
        <f t="shared" si="2"/>
        <v>0</v>
      </c>
    </row>
    <row r="32" spans="1:18" x14ac:dyDescent="0.2">
      <c r="A32" s="477"/>
      <c r="B32" s="592" t="s">
        <v>1427</v>
      </c>
      <c r="C32" s="592" t="s">
        <v>1334</v>
      </c>
      <c r="D32" s="592"/>
      <c r="E32" s="520"/>
      <c r="F32" s="520"/>
      <c r="G32" s="514" t="s">
        <v>1387</v>
      </c>
      <c r="H32" s="514"/>
      <c r="I32" s="521"/>
      <c r="J32" s="521"/>
      <c r="K32" s="521"/>
      <c r="L32" s="521"/>
      <c r="M32" s="521"/>
      <c r="N32" s="521"/>
      <c r="O32" s="521"/>
      <c r="P32" s="521"/>
      <c r="Q32" s="521"/>
      <c r="R32" s="515">
        <f t="shared" si="2"/>
        <v>0</v>
      </c>
    </row>
    <row r="33" spans="1:18" ht="32.25" customHeight="1" x14ac:dyDescent="0.2">
      <c r="A33" s="477"/>
      <c r="B33" s="592" t="s">
        <v>1428</v>
      </c>
      <c r="C33" s="806" t="s">
        <v>1388</v>
      </c>
      <c r="D33" s="807"/>
      <c r="E33" s="520"/>
      <c r="F33" s="520"/>
      <c r="G33" s="514" t="s">
        <v>1389</v>
      </c>
      <c r="H33" s="514"/>
      <c r="I33" s="521"/>
      <c r="J33" s="521"/>
      <c r="K33" s="521"/>
      <c r="L33" s="521"/>
      <c r="M33" s="521"/>
      <c r="N33" s="521"/>
      <c r="O33" s="521"/>
      <c r="P33" s="521"/>
      <c r="Q33" s="521"/>
      <c r="R33" s="515">
        <f t="shared" si="2"/>
        <v>0</v>
      </c>
    </row>
    <row r="34" spans="1:18" x14ac:dyDescent="0.2">
      <c r="A34" s="477"/>
      <c r="B34" s="592" t="s">
        <v>1429</v>
      </c>
      <c r="C34" s="592" t="s">
        <v>1390</v>
      </c>
      <c r="D34" s="592"/>
      <c r="E34" s="520"/>
      <c r="F34" s="520"/>
      <c r="G34" s="514" t="s">
        <v>1391</v>
      </c>
      <c r="H34" s="514"/>
      <c r="I34" s="522"/>
      <c r="J34" s="522"/>
      <c r="K34" s="522"/>
      <c r="L34" s="522"/>
      <c r="M34" s="522"/>
      <c r="N34" s="522"/>
      <c r="O34" s="522"/>
      <c r="P34" s="522"/>
      <c r="Q34" s="522"/>
      <c r="R34" s="522"/>
    </row>
    <row r="35" spans="1:18" x14ac:dyDescent="0.2">
      <c r="A35" s="591" t="s">
        <v>183</v>
      </c>
      <c r="B35" s="594" t="s">
        <v>1424</v>
      </c>
      <c r="C35" s="591"/>
      <c r="D35" s="591"/>
      <c r="E35" s="519"/>
      <c r="F35" s="519"/>
      <c r="G35" s="514" t="s">
        <v>1392</v>
      </c>
      <c r="H35" s="514"/>
      <c r="I35" s="515">
        <f>I36</f>
        <v>0</v>
      </c>
      <c r="J35" s="515">
        <f t="shared" ref="J35:Q35" si="4">J36</f>
        <v>0</v>
      </c>
      <c r="K35" s="515">
        <f t="shared" si="4"/>
        <v>0</v>
      </c>
      <c r="L35" s="515">
        <f t="shared" si="4"/>
        <v>0</v>
      </c>
      <c r="M35" s="515">
        <f t="shared" si="4"/>
        <v>0</v>
      </c>
      <c r="N35" s="515">
        <f t="shared" si="4"/>
        <v>0</v>
      </c>
      <c r="O35" s="515">
        <f t="shared" si="4"/>
        <v>0</v>
      </c>
      <c r="P35" s="515">
        <f t="shared" si="4"/>
        <v>0</v>
      </c>
      <c r="Q35" s="515">
        <f t="shared" si="4"/>
        <v>0</v>
      </c>
      <c r="R35" s="515">
        <f t="shared" si="2"/>
        <v>0</v>
      </c>
    </row>
    <row r="36" spans="1:18" x14ac:dyDescent="0.2">
      <c r="A36" s="477"/>
      <c r="B36" s="592" t="s">
        <v>54</v>
      </c>
      <c r="C36" s="593" t="s">
        <v>1467</v>
      </c>
      <c r="D36" s="593"/>
      <c r="E36" s="523"/>
      <c r="F36" s="523"/>
      <c r="G36" s="514" t="s">
        <v>1393</v>
      </c>
      <c r="H36" s="514"/>
      <c r="I36" s="515">
        <f>I37+I38+I42+I41</f>
        <v>0</v>
      </c>
      <c r="J36" s="515">
        <f t="shared" ref="J36:Q36" si="5">J37+J38+J42+J41</f>
        <v>0</v>
      </c>
      <c r="K36" s="515">
        <f t="shared" si="5"/>
        <v>0</v>
      </c>
      <c r="L36" s="515">
        <f t="shared" si="5"/>
        <v>0</v>
      </c>
      <c r="M36" s="515">
        <f t="shared" si="5"/>
        <v>0</v>
      </c>
      <c r="N36" s="515">
        <f t="shared" si="5"/>
        <v>0</v>
      </c>
      <c r="O36" s="515">
        <f t="shared" si="5"/>
        <v>0</v>
      </c>
      <c r="P36" s="515">
        <f t="shared" si="5"/>
        <v>0</v>
      </c>
      <c r="Q36" s="515">
        <f t="shared" si="5"/>
        <v>0</v>
      </c>
      <c r="R36" s="515">
        <f t="shared" si="2"/>
        <v>0</v>
      </c>
    </row>
    <row r="37" spans="1:18" x14ac:dyDescent="0.2">
      <c r="A37" s="477"/>
      <c r="B37" s="591"/>
      <c r="C37" s="593" t="s">
        <v>59</v>
      </c>
      <c r="D37" s="593" t="s">
        <v>1394</v>
      </c>
      <c r="E37" s="524"/>
      <c r="F37" s="524"/>
      <c r="G37" s="514" t="s">
        <v>1395</v>
      </c>
      <c r="H37" s="514"/>
      <c r="I37" s="521"/>
      <c r="J37" s="521"/>
      <c r="K37" s="521"/>
      <c r="L37" s="521"/>
      <c r="M37" s="521"/>
      <c r="N37" s="521"/>
      <c r="O37" s="521"/>
      <c r="P37" s="521"/>
      <c r="Q37" s="521"/>
      <c r="R37" s="515">
        <f t="shared" si="2"/>
        <v>0</v>
      </c>
    </row>
    <row r="38" spans="1:18" x14ac:dyDescent="0.2">
      <c r="A38" s="477"/>
      <c r="B38" s="593"/>
      <c r="C38" s="593" t="s">
        <v>61</v>
      </c>
      <c r="D38" s="592" t="s">
        <v>1457</v>
      </c>
      <c r="E38" s="524"/>
      <c r="F38" s="524"/>
      <c r="G38" s="514" t="s">
        <v>1396</v>
      </c>
      <c r="H38" s="514"/>
      <c r="I38" s="515">
        <f>I39+I40</f>
        <v>0</v>
      </c>
      <c r="J38" s="515">
        <f t="shared" ref="J38:Q38" si="6">J39+J40</f>
        <v>0</v>
      </c>
      <c r="K38" s="515">
        <f t="shared" si="6"/>
        <v>0</v>
      </c>
      <c r="L38" s="515">
        <f t="shared" si="6"/>
        <v>0</v>
      </c>
      <c r="M38" s="515">
        <f t="shared" si="6"/>
        <v>0</v>
      </c>
      <c r="N38" s="515">
        <f t="shared" si="6"/>
        <v>0</v>
      </c>
      <c r="O38" s="515">
        <f t="shared" si="6"/>
        <v>0</v>
      </c>
      <c r="P38" s="515">
        <f t="shared" si="6"/>
        <v>0</v>
      </c>
      <c r="Q38" s="515">
        <f t="shared" si="6"/>
        <v>0</v>
      </c>
      <c r="R38" s="515">
        <f>I38+J38-SUM(K38:P38)+Q38</f>
        <v>0</v>
      </c>
    </row>
    <row r="39" spans="1:18" ht="15.75" customHeight="1" x14ac:dyDescent="0.2">
      <c r="A39" s="612"/>
      <c r="B39" s="612"/>
      <c r="C39" s="613"/>
      <c r="D39" s="593" t="s">
        <v>1453</v>
      </c>
      <c r="E39" s="593" t="s">
        <v>83</v>
      </c>
      <c r="F39" s="593"/>
      <c r="G39" s="614" t="s">
        <v>1454</v>
      </c>
      <c r="H39" s="514"/>
      <c r="I39" s="521"/>
      <c r="J39" s="521"/>
      <c r="K39" s="521"/>
      <c r="L39" s="521"/>
      <c r="M39" s="521"/>
      <c r="N39" s="521"/>
      <c r="O39" s="521"/>
      <c r="P39" s="521"/>
      <c r="Q39" s="521"/>
      <c r="R39" s="515">
        <f>I39+J39-SUM(K39:P39)+Q39</f>
        <v>0</v>
      </c>
    </row>
    <row r="40" spans="1:18" ht="16.5" customHeight="1" x14ac:dyDescent="0.2">
      <c r="A40" s="612"/>
      <c r="B40" s="612"/>
      <c r="C40" s="613"/>
      <c r="D40" s="593" t="s">
        <v>1455</v>
      </c>
      <c r="E40" s="593" t="s">
        <v>1458</v>
      </c>
      <c r="F40" s="593"/>
      <c r="G40" s="614" t="s">
        <v>1456</v>
      </c>
      <c r="H40" s="514"/>
      <c r="I40" s="521"/>
      <c r="J40" s="521"/>
      <c r="K40" s="521"/>
      <c r="L40" s="521"/>
      <c r="M40" s="521"/>
      <c r="N40" s="521"/>
      <c r="O40" s="521"/>
      <c r="P40" s="521"/>
      <c r="Q40" s="521"/>
      <c r="R40" s="515">
        <f>I40+J40-SUM(K40:P40)+Q40</f>
        <v>0</v>
      </c>
    </row>
    <row r="41" spans="1:18" ht="16.5" customHeight="1" x14ac:dyDescent="0.2">
      <c r="A41" s="612"/>
      <c r="B41" s="612"/>
      <c r="C41" s="613" t="s">
        <v>71</v>
      </c>
      <c r="D41" s="593" t="s">
        <v>1468</v>
      </c>
      <c r="E41" s="593"/>
      <c r="F41" s="593"/>
      <c r="G41" s="614" t="s">
        <v>1469</v>
      </c>
      <c r="H41" s="514"/>
      <c r="I41" s="521"/>
      <c r="J41" s="521"/>
      <c r="K41" s="521"/>
      <c r="L41" s="521"/>
      <c r="M41" s="521"/>
      <c r="N41" s="521"/>
      <c r="O41" s="521"/>
      <c r="P41" s="521"/>
      <c r="Q41" s="521"/>
      <c r="R41" s="515">
        <f>I41+J41-SUM(K41:P41)+Q41</f>
        <v>0</v>
      </c>
    </row>
    <row r="42" spans="1:18" x14ac:dyDescent="0.2">
      <c r="A42" s="477"/>
      <c r="B42" s="593"/>
      <c r="C42" s="593" t="s">
        <v>1433</v>
      </c>
      <c r="D42" s="593" t="s">
        <v>52</v>
      </c>
      <c r="E42" s="524"/>
      <c r="F42" s="524"/>
      <c r="G42" s="514" t="s">
        <v>1397</v>
      </c>
      <c r="H42" s="514"/>
      <c r="I42" s="521"/>
      <c r="J42" s="521"/>
      <c r="K42" s="521"/>
      <c r="L42" s="521"/>
      <c r="M42" s="521"/>
      <c r="N42" s="521"/>
      <c r="O42" s="521"/>
      <c r="P42" s="521"/>
      <c r="Q42" s="521"/>
      <c r="R42" s="515">
        <f t="shared" si="2"/>
        <v>0</v>
      </c>
    </row>
    <row r="43" spans="1:18" ht="15" x14ac:dyDescent="0.2">
      <c r="A43" s="591" t="s">
        <v>1398</v>
      </c>
      <c r="B43" s="593"/>
      <c r="C43" s="591"/>
      <c r="D43" s="591"/>
      <c r="E43" s="519"/>
      <c r="F43" s="519"/>
      <c r="G43" s="514" t="s">
        <v>1399</v>
      </c>
      <c r="H43" s="514"/>
      <c r="I43" s="521"/>
      <c r="J43" s="521"/>
      <c r="K43" s="521"/>
      <c r="L43" s="521"/>
      <c r="M43" s="521"/>
      <c r="N43" s="521"/>
      <c r="O43" s="521"/>
      <c r="P43" s="521"/>
      <c r="Q43" s="521"/>
      <c r="R43" s="515">
        <f t="shared" si="2"/>
        <v>0</v>
      </c>
    </row>
    <row r="44" spans="1:18" x14ac:dyDescent="0.2">
      <c r="A44" s="591" t="s">
        <v>141</v>
      </c>
      <c r="B44" s="593"/>
      <c r="C44" s="591"/>
      <c r="D44" s="591"/>
      <c r="E44" s="519"/>
      <c r="F44" s="519"/>
      <c r="G44" s="514" t="s">
        <v>1400</v>
      </c>
      <c r="H44" s="514"/>
      <c r="I44" s="521"/>
      <c r="J44" s="521"/>
      <c r="K44" s="521"/>
      <c r="L44" s="521"/>
      <c r="M44" s="521"/>
      <c r="N44" s="521"/>
      <c r="O44" s="521"/>
      <c r="P44" s="521"/>
      <c r="Q44" s="521"/>
      <c r="R44" s="515">
        <f t="shared" si="2"/>
        <v>0</v>
      </c>
    </row>
    <row r="45" spans="1:18" x14ac:dyDescent="0.2">
      <c r="A45" s="591" t="s">
        <v>1401</v>
      </c>
      <c r="B45" s="591"/>
      <c r="C45" s="591"/>
      <c r="D45" s="591"/>
      <c r="E45" s="519"/>
      <c r="F45" s="519"/>
      <c r="G45" s="514" t="s">
        <v>1402</v>
      </c>
      <c r="H45" s="514"/>
      <c r="I45" s="521"/>
      <c r="J45" s="521"/>
      <c r="K45" s="521"/>
      <c r="L45" s="521"/>
      <c r="M45" s="521"/>
      <c r="N45" s="521"/>
      <c r="O45" s="521"/>
      <c r="P45" s="521"/>
      <c r="Q45" s="521"/>
      <c r="R45" s="515">
        <f t="shared" si="2"/>
        <v>0</v>
      </c>
    </row>
    <row r="46" spans="1:18" ht="13.5" x14ac:dyDescent="0.25">
      <c r="A46" s="525"/>
      <c r="B46" s="596"/>
      <c r="C46" s="525"/>
      <c r="D46" s="525"/>
      <c r="E46" s="525"/>
      <c r="F46" s="525"/>
      <c r="G46" s="478" t="s">
        <v>108</v>
      </c>
      <c r="H46" s="478"/>
      <c r="I46" s="500"/>
      <c r="J46" s="500"/>
      <c r="K46" s="500"/>
      <c r="L46" s="500"/>
      <c r="M46" s="500"/>
      <c r="N46" s="500"/>
      <c r="O46" s="500"/>
      <c r="P46" s="500"/>
      <c r="Q46" s="500"/>
      <c r="R46" s="501"/>
    </row>
    <row r="47" spans="1:18" x14ac:dyDescent="0.2">
      <c r="A47" s="526" t="s">
        <v>1403</v>
      </c>
      <c r="B47" s="595"/>
      <c r="C47" s="526"/>
      <c r="D47" s="526"/>
      <c r="E47" s="526"/>
      <c r="F47" s="526"/>
      <c r="G47" s="503"/>
      <c r="H47" s="503"/>
      <c r="I47" s="527"/>
      <c r="J47" s="527"/>
      <c r="K47" s="527"/>
      <c r="L47" s="527"/>
      <c r="M47" s="527"/>
      <c r="N47" s="527"/>
      <c r="O47" s="527"/>
      <c r="P47" s="527"/>
      <c r="Q47" s="527"/>
      <c r="R47" s="528"/>
    </row>
    <row r="48" spans="1:18" x14ac:dyDescent="0.2">
      <c r="A48" s="529" t="s">
        <v>1404</v>
      </c>
      <c r="B48" s="525"/>
      <c r="C48" s="529"/>
      <c r="D48" s="529"/>
      <c r="E48" s="529"/>
      <c r="F48" s="529"/>
      <c r="G48" s="503"/>
      <c r="H48" s="503"/>
      <c r="I48" s="527"/>
      <c r="J48" s="527"/>
      <c r="K48" s="527"/>
      <c r="L48" s="527"/>
      <c r="M48" s="527"/>
      <c r="N48" s="527"/>
      <c r="O48" s="527"/>
      <c r="P48" s="527"/>
      <c r="Q48" s="527"/>
      <c r="R48" s="528"/>
    </row>
    <row r="49" spans="2:2" x14ac:dyDescent="0.2">
      <c r="B49" s="526"/>
    </row>
    <row r="50" spans="2:2" x14ac:dyDescent="0.2">
      <c r="B50" s="529"/>
    </row>
  </sheetData>
  <sheetProtection password="E2FA" sheet="1" objects="1" scenarios="1" selectLockedCells="1"/>
  <mergeCells count="16">
    <mergeCell ref="G5:G8"/>
    <mergeCell ref="I5:I7"/>
    <mergeCell ref="J5:J7"/>
    <mergeCell ref="K5:P5"/>
    <mergeCell ref="Q5:Q7"/>
    <mergeCell ref="A5:D8"/>
    <mergeCell ref="A10:D10"/>
    <mergeCell ref="A9:D9"/>
    <mergeCell ref="A11:D11"/>
    <mergeCell ref="C33:D33"/>
    <mergeCell ref="R5:R6"/>
    <mergeCell ref="K6:K7"/>
    <mergeCell ref="L6:L7"/>
    <mergeCell ref="M6:O6"/>
    <mergeCell ref="P6:P7"/>
    <mergeCell ref="R7:R8"/>
  </mergeCells>
  <dataValidations count="2">
    <dataValidation type="decimal" operator="greaterThanOrEqual" allowBlank="1" showInputMessage="1" showErrorMessage="1" error="Input only positive numeric amounts" sqref="I14:P34 Q34:R34 I37:P45">
      <formula1>0</formula1>
    </dataValidation>
    <dataValidation type="decimal" allowBlank="1" showInputMessage="1" showErrorMessage="1" error="Input only numeric values" sqref="Q14:Q33 Q37:Q45">
      <formula1>-999999999999999</formula1>
      <formula2>999999999999999</formula2>
    </dataValidation>
  </dataValidations>
  <pageMargins left="0.7" right="0.7" top="0.75" bottom="0.75" header="0.3" footer="0.3"/>
  <pageSetup paperSize="9" orientation="portrait" r:id="rId1"/>
  <headerFooter>
    <oddHeader>&amp;C&amp;"Arial,Bold"&amp;8 NEW RURAL BANK OF SAN LEONARDO, INC  [ 04-040656 ]
 As of: September 30, 2017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48"/>
  <sheetViews>
    <sheetView zoomScale="85" zoomScaleNormal="85" workbookViewId="0">
      <selection activeCell="I14" sqref="I14"/>
    </sheetView>
  </sheetViews>
  <sheetFormatPr defaultRowHeight="12.75" x14ac:dyDescent="0.2"/>
  <cols>
    <col min="1" max="1" width="3" style="532" customWidth="1"/>
    <col min="2" max="3" width="3.140625" style="532" customWidth="1"/>
    <col min="4" max="4" width="69.28515625" style="532" customWidth="1"/>
    <col min="5" max="5" width="12" style="532" hidden="1" customWidth="1"/>
    <col min="6" max="6" width="15.85546875" style="532" hidden="1" customWidth="1"/>
    <col min="7" max="7" width="19.28515625" style="532" customWidth="1"/>
    <col min="8" max="8" width="19.28515625" style="532" hidden="1" customWidth="1"/>
    <col min="9" max="20" width="25.7109375" style="532" customWidth="1"/>
    <col min="21" max="16384" width="9.140625" style="532"/>
  </cols>
  <sheetData>
    <row r="1" spans="1:20" x14ac:dyDescent="0.2">
      <c r="A1" s="530" t="s">
        <v>1405</v>
      </c>
      <c r="B1" s="530"/>
      <c r="C1" s="530"/>
      <c r="D1" s="530"/>
      <c r="E1" s="530"/>
      <c r="F1" s="530"/>
      <c r="G1" s="531"/>
      <c r="H1" s="531"/>
      <c r="I1" s="500"/>
      <c r="J1" s="500"/>
      <c r="K1" s="500"/>
      <c r="L1" s="500"/>
      <c r="M1" s="500"/>
      <c r="N1" s="500"/>
      <c r="O1" s="500"/>
      <c r="P1" s="500"/>
      <c r="Q1" s="500"/>
      <c r="R1" s="500"/>
      <c r="S1" s="500"/>
      <c r="T1" s="500"/>
    </row>
    <row r="2" spans="1:20" x14ac:dyDescent="0.2">
      <c r="A2" s="502" t="s">
        <v>1347</v>
      </c>
      <c r="B2" s="502"/>
      <c r="C2" s="502"/>
      <c r="D2" s="502"/>
      <c r="E2" s="502"/>
      <c r="F2" s="502"/>
      <c r="G2" s="531"/>
      <c r="H2" s="531"/>
      <c r="I2" s="500"/>
      <c r="J2" s="500"/>
      <c r="K2" s="500"/>
      <c r="L2" s="500"/>
      <c r="M2" s="500"/>
      <c r="N2" s="500"/>
      <c r="O2" s="500"/>
      <c r="P2" s="500"/>
      <c r="Q2" s="500"/>
      <c r="R2" s="500"/>
      <c r="S2" s="500"/>
      <c r="T2" s="500"/>
    </row>
    <row r="3" spans="1:20" x14ac:dyDescent="0.2">
      <c r="A3" s="530"/>
      <c r="B3" s="530"/>
      <c r="C3" s="530"/>
      <c r="D3" s="530"/>
      <c r="E3" s="530"/>
      <c r="F3" s="530"/>
      <c r="G3" s="531"/>
      <c r="H3" s="531"/>
      <c r="I3" s="500"/>
      <c r="J3" s="500"/>
      <c r="K3" s="500"/>
      <c r="L3" s="533"/>
      <c r="M3" s="500"/>
      <c r="N3" s="500"/>
      <c r="O3" s="500"/>
      <c r="P3" s="500"/>
      <c r="Q3" s="500"/>
      <c r="R3" s="500"/>
      <c r="S3" s="500"/>
      <c r="T3" s="500"/>
    </row>
    <row r="4" spans="1:20" x14ac:dyDescent="0.2">
      <c r="A4" s="531"/>
      <c r="B4" s="531"/>
      <c r="C4" s="531"/>
      <c r="D4" s="531"/>
      <c r="E4" s="531"/>
      <c r="F4" s="531"/>
      <c r="G4" s="531"/>
      <c r="H4" s="531"/>
      <c r="I4" s="500"/>
      <c r="J4" s="500"/>
      <c r="K4" s="500"/>
      <c r="L4" s="500"/>
      <c r="M4" s="500"/>
      <c r="N4" s="500"/>
      <c r="O4" s="500"/>
      <c r="P4" s="500"/>
      <c r="Q4" s="500"/>
      <c r="R4" s="500"/>
      <c r="S4" s="500"/>
      <c r="T4" s="500"/>
    </row>
    <row r="5" spans="1:20" x14ac:dyDescent="0.2">
      <c r="A5" s="837" t="s">
        <v>45</v>
      </c>
      <c r="B5" s="838"/>
      <c r="C5" s="838"/>
      <c r="D5" s="839"/>
      <c r="E5" s="585"/>
      <c r="F5" s="585"/>
      <c r="G5" s="850" t="s">
        <v>46</v>
      </c>
      <c r="H5" s="585"/>
      <c r="I5" s="835" t="s">
        <v>1406</v>
      </c>
      <c r="J5" s="836"/>
      <c r="K5" s="836"/>
      <c r="L5" s="836"/>
      <c r="M5" s="836"/>
      <c r="N5" s="836"/>
      <c r="O5" s="836"/>
      <c r="P5" s="836"/>
      <c r="Q5" s="836"/>
      <c r="R5" s="836"/>
      <c r="S5" s="836"/>
      <c r="T5" s="835" t="s">
        <v>93</v>
      </c>
    </row>
    <row r="6" spans="1:20" x14ac:dyDescent="0.2">
      <c r="A6" s="840"/>
      <c r="B6" s="841"/>
      <c r="C6" s="841"/>
      <c r="D6" s="842"/>
      <c r="E6" s="585"/>
      <c r="F6" s="585"/>
      <c r="G6" s="851"/>
      <c r="H6" s="585"/>
      <c r="I6" s="534" t="s">
        <v>1407</v>
      </c>
      <c r="J6" s="534" t="s">
        <v>1408</v>
      </c>
      <c r="K6" s="534" t="s">
        <v>1409</v>
      </c>
      <c r="L6" s="534" t="s">
        <v>1410</v>
      </c>
      <c r="M6" s="534" t="s">
        <v>1411</v>
      </c>
      <c r="N6" s="534" t="s">
        <v>1412</v>
      </c>
      <c r="O6" s="534" t="s">
        <v>1413</v>
      </c>
      <c r="P6" s="534" t="s">
        <v>1414</v>
      </c>
      <c r="Q6" s="534" t="s">
        <v>1415</v>
      </c>
      <c r="R6" s="534" t="s">
        <v>1416</v>
      </c>
      <c r="S6" s="534" t="s">
        <v>1417</v>
      </c>
      <c r="T6" s="849"/>
    </row>
    <row r="7" spans="1:20" ht="22.5" customHeight="1" x14ac:dyDescent="0.2">
      <c r="A7" s="840"/>
      <c r="B7" s="841"/>
      <c r="C7" s="841"/>
      <c r="D7" s="842"/>
      <c r="E7" s="585"/>
      <c r="F7" s="585"/>
      <c r="G7" s="851"/>
      <c r="H7" s="585"/>
      <c r="I7" s="833" t="s">
        <v>94</v>
      </c>
      <c r="J7" s="833" t="s">
        <v>95</v>
      </c>
      <c r="K7" s="833" t="s">
        <v>96</v>
      </c>
      <c r="L7" s="833" t="s">
        <v>97</v>
      </c>
      <c r="M7" s="833" t="s">
        <v>98</v>
      </c>
      <c r="N7" s="833" t="s">
        <v>99</v>
      </c>
      <c r="O7" s="833" t="s">
        <v>100</v>
      </c>
      <c r="P7" s="833" t="s">
        <v>1361</v>
      </c>
      <c r="Q7" s="833" t="s">
        <v>1362</v>
      </c>
      <c r="R7" s="833" t="s">
        <v>1418</v>
      </c>
      <c r="S7" s="833" t="s">
        <v>1419</v>
      </c>
      <c r="T7" s="833" t="s">
        <v>1420</v>
      </c>
    </row>
    <row r="8" spans="1:20" x14ac:dyDescent="0.2">
      <c r="A8" s="843"/>
      <c r="B8" s="844"/>
      <c r="C8" s="844"/>
      <c r="D8" s="845"/>
      <c r="E8" s="585"/>
      <c r="F8" s="585"/>
      <c r="G8" s="852"/>
      <c r="H8" s="585"/>
      <c r="I8" s="834"/>
      <c r="J8" s="834"/>
      <c r="K8" s="834"/>
      <c r="L8" s="834"/>
      <c r="M8" s="834"/>
      <c r="N8" s="834"/>
      <c r="O8" s="834"/>
      <c r="P8" s="834"/>
      <c r="Q8" s="834"/>
      <c r="R8" s="834"/>
      <c r="S8" s="834"/>
      <c r="T8" s="834"/>
    </row>
    <row r="9" spans="1:20" x14ac:dyDescent="0.2">
      <c r="A9" s="846"/>
      <c r="B9" s="847"/>
      <c r="C9" s="847"/>
      <c r="D9" s="848"/>
      <c r="E9" s="535"/>
      <c r="F9" s="535"/>
      <c r="G9" s="535"/>
      <c r="H9" s="535"/>
      <c r="I9" s="536"/>
      <c r="J9" s="536"/>
      <c r="K9" s="536"/>
      <c r="L9" s="536"/>
      <c r="M9" s="536"/>
      <c r="N9" s="536"/>
      <c r="O9" s="536"/>
      <c r="P9" s="536"/>
      <c r="Q9" s="536"/>
      <c r="R9" s="536"/>
      <c r="S9" s="536"/>
      <c r="T9" s="536"/>
    </row>
    <row r="10" spans="1:20" x14ac:dyDescent="0.2">
      <c r="A10" s="825" t="s">
        <v>140</v>
      </c>
      <c r="B10" s="826"/>
      <c r="C10" s="826"/>
      <c r="D10" s="827"/>
      <c r="E10" s="537"/>
      <c r="F10" s="537"/>
      <c r="G10" s="538" t="s">
        <v>1363</v>
      </c>
      <c r="H10" s="538"/>
      <c r="I10" s="607">
        <f>I12+I43+I44+I45</f>
        <v>0</v>
      </c>
      <c r="J10" s="607">
        <f t="shared" ref="J10:S10" si="0">J12+J43+J44+J45</f>
        <v>0</v>
      </c>
      <c r="K10" s="607">
        <f t="shared" si="0"/>
        <v>0</v>
      </c>
      <c r="L10" s="607">
        <f t="shared" si="0"/>
        <v>0</v>
      </c>
      <c r="M10" s="607">
        <f t="shared" si="0"/>
        <v>0</v>
      </c>
      <c r="N10" s="607">
        <f t="shared" si="0"/>
        <v>0</v>
      </c>
      <c r="O10" s="607">
        <f t="shared" si="0"/>
        <v>0</v>
      </c>
      <c r="P10" s="607">
        <f t="shared" si="0"/>
        <v>0</v>
      </c>
      <c r="Q10" s="607">
        <f t="shared" si="0"/>
        <v>0</v>
      </c>
      <c r="R10" s="607">
        <f t="shared" si="0"/>
        <v>0</v>
      </c>
      <c r="S10" s="607">
        <f t="shared" si="0"/>
        <v>0</v>
      </c>
      <c r="T10" s="607">
        <f>SUM(I10:S10)</f>
        <v>0</v>
      </c>
    </row>
    <row r="11" spans="1:20" x14ac:dyDescent="0.2">
      <c r="A11" s="828"/>
      <c r="B11" s="829"/>
      <c r="C11" s="829"/>
      <c r="D11" s="830"/>
      <c r="E11" s="537"/>
      <c r="F11" s="537"/>
      <c r="G11" s="538"/>
      <c r="H11" s="538"/>
      <c r="I11" s="539"/>
      <c r="J11" s="539"/>
      <c r="K11" s="539"/>
      <c r="L11" s="539"/>
      <c r="M11" s="539"/>
      <c r="N11" s="539"/>
      <c r="O11" s="539"/>
      <c r="P11" s="539"/>
      <c r="Q11" s="539"/>
      <c r="R11" s="539"/>
      <c r="S11" s="539"/>
      <c r="T11" s="539"/>
    </row>
    <row r="12" spans="1:20" x14ac:dyDescent="0.2">
      <c r="A12" s="597" t="s">
        <v>1364</v>
      </c>
      <c r="B12" s="597"/>
      <c r="C12" s="597"/>
      <c r="D12" s="597"/>
      <c r="E12" s="540"/>
      <c r="F12" s="540"/>
      <c r="G12" s="538" t="s">
        <v>1365</v>
      </c>
      <c r="H12" s="538"/>
      <c r="I12" s="608">
        <f>I13+I35</f>
        <v>0</v>
      </c>
      <c r="J12" s="608">
        <f t="shared" ref="J12:S12" si="1">J13+J35</f>
        <v>0</v>
      </c>
      <c r="K12" s="608">
        <f t="shared" si="1"/>
        <v>0</v>
      </c>
      <c r="L12" s="608">
        <f t="shared" si="1"/>
        <v>0</v>
      </c>
      <c r="M12" s="608">
        <f t="shared" si="1"/>
        <v>0</v>
      </c>
      <c r="N12" s="608">
        <f t="shared" si="1"/>
        <v>0</v>
      </c>
      <c r="O12" s="608">
        <f t="shared" si="1"/>
        <v>0</v>
      </c>
      <c r="P12" s="608">
        <f t="shared" si="1"/>
        <v>0</v>
      </c>
      <c r="Q12" s="608">
        <f t="shared" si="1"/>
        <v>0</v>
      </c>
      <c r="R12" s="608">
        <f t="shared" si="1"/>
        <v>0</v>
      </c>
      <c r="S12" s="608">
        <f t="shared" si="1"/>
        <v>0</v>
      </c>
      <c r="T12" s="515">
        <f t="shared" ref="T12:T45" si="2">SUM(I12:S12)</f>
        <v>0</v>
      </c>
    </row>
    <row r="13" spans="1:20" x14ac:dyDescent="0.2">
      <c r="A13" s="597" t="s">
        <v>180</v>
      </c>
      <c r="B13" s="597" t="s">
        <v>1423</v>
      </c>
      <c r="C13" s="598"/>
      <c r="D13" s="598"/>
      <c r="E13" s="541"/>
      <c r="F13" s="541"/>
      <c r="G13" s="538" t="s">
        <v>1366</v>
      </c>
      <c r="H13" s="538"/>
      <c r="I13" s="608">
        <f>SUM(I14:I34)</f>
        <v>0</v>
      </c>
      <c r="J13" s="608">
        <f t="shared" ref="J13:S13" si="3">SUM(J14:J34)</f>
        <v>0</v>
      </c>
      <c r="K13" s="608">
        <f t="shared" si="3"/>
        <v>0</v>
      </c>
      <c r="L13" s="608">
        <f t="shared" si="3"/>
        <v>0</v>
      </c>
      <c r="M13" s="608">
        <f t="shared" si="3"/>
        <v>0</v>
      </c>
      <c r="N13" s="608">
        <f t="shared" si="3"/>
        <v>0</v>
      </c>
      <c r="O13" s="608">
        <f t="shared" si="3"/>
        <v>0</v>
      </c>
      <c r="P13" s="608">
        <f t="shared" si="3"/>
        <v>0</v>
      </c>
      <c r="Q13" s="608">
        <f t="shared" si="3"/>
        <v>0</v>
      </c>
      <c r="R13" s="608">
        <f t="shared" si="3"/>
        <v>0</v>
      </c>
      <c r="S13" s="608">
        <f t="shared" si="3"/>
        <v>0</v>
      </c>
      <c r="T13" s="515">
        <f t="shared" si="2"/>
        <v>0</v>
      </c>
    </row>
    <row r="14" spans="1:20" x14ac:dyDescent="0.2">
      <c r="A14" s="599"/>
      <c r="B14" s="592" t="s">
        <v>54</v>
      </c>
      <c r="C14" s="592" t="s">
        <v>1320</v>
      </c>
      <c r="D14" s="592"/>
      <c r="E14" s="520"/>
      <c r="F14" s="520"/>
      <c r="G14" s="538" t="s">
        <v>1367</v>
      </c>
      <c r="H14" s="538"/>
      <c r="I14" s="521"/>
      <c r="J14" s="521"/>
      <c r="K14" s="521"/>
      <c r="L14" s="521"/>
      <c r="M14" s="521"/>
      <c r="N14" s="521"/>
      <c r="O14" s="521"/>
      <c r="P14" s="521"/>
      <c r="Q14" s="521"/>
      <c r="R14" s="521"/>
      <c r="S14" s="521"/>
      <c r="T14" s="515">
        <f t="shared" si="2"/>
        <v>0</v>
      </c>
    </row>
    <row r="15" spans="1:20" x14ac:dyDescent="0.2">
      <c r="A15" s="599"/>
      <c r="B15" s="592" t="s">
        <v>55</v>
      </c>
      <c r="C15" s="592" t="s">
        <v>380</v>
      </c>
      <c r="D15" s="592"/>
      <c r="E15" s="520"/>
      <c r="F15" s="520"/>
      <c r="G15" s="538" t="s">
        <v>1368</v>
      </c>
      <c r="H15" s="538"/>
      <c r="I15" s="521"/>
      <c r="J15" s="521"/>
      <c r="K15" s="521"/>
      <c r="L15" s="521"/>
      <c r="M15" s="521"/>
      <c r="N15" s="521"/>
      <c r="O15" s="521"/>
      <c r="P15" s="521"/>
      <c r="Q15" s="521"/>
      <c r="R15" s="521"/>
      <c r="S15" s="521"/>
      <c r="T15" s="515">
        <f t="shared" si="2"/>
        <v>0</v>
      </c>
    </row>
    <row r="16" spans="1:20" x14ac:dyDescent="0.2">
      <c r="A16" s="599"/>
      <c r="B16" s="592" t="s">
        <v>65</v>
      </c>
      <c r="C16" s="592" t="s">
        <v>381</v>
      </c>
      <c r="D16" s="592"/>
      <c r="E16" s="520"/>
      <c r="F16" s="520"/>
      <c r="G16" s="538" t="s">
        <v>1369</v>
      </c>
      <c r="H16" s="538"/>
      <c r="I16" s="521"/>
      <c r="J16" s="521"/>
      <c r="K16" s="521"/>
      <c r="L16" s="521"/>
      <c r="M16" s="521"/>
      <c r="N16" s="521"/>
      <c r="O16" s="521"/>
      <c r="P16" s="521"/>
      <c r="Q16" s="521"/>
      <c r="R16" s="521"/>
      <c r="S16" s="521"/>
      <c r="T16" s="515">
        <f t="shared" si="2"/>
        <v>0</v>
      </c>
    </row>
    <row r="17" spans="1:20" x14ac:dyDescent="0.2">
      <c r="A17" s="599"/>
      <c r="B17" s="592" t="s">
        <v>90</v>
      </c>
      <c r="C17" s="592" t="s">
        <v>1321</v>
      </c>
      <c r="D17" s="592"/>
      <c r="E17" s="520"/>
      <c r="F17" s="520"/>
      <c r="G17" s="538" t="s">
        <v>1370</v>
      </c>
      <c r="H17" s="538"/>
      <c r="I17" s="521"/>
      <c r="J17" s="521"/>
      <c r="K17" s="521"/>
      <c r="L17" s="521"/>
      <c r="M17" s="521"/>
      <c r="N17" s="521"/>
      <c r="O17" s="521"/>
      <c r="P17" s="521"/>
      <c r="Q17" s="521"/>
      <c r="R17" s="521"/>
      <c r="S17" s="521"/>
      <c r="T17" s="515">
        <f t="shared" si="2"/>
        <v>0</v>
      </c>
    </row>
    <row r="18" spans="1:20" x14ac:dyDescent="0.2">
      <c r="A18" s="599"/>
      <c r="B18" s="592" t="s">
        <v>257</v>
      </c>
      <c r="C18" s="592" t="s">
        <v>1322</v>
      </c>
      <c r="D18" s="592"/>
      <c r="E18" s="520"/>
      <c r="F18" s="520"/>
      <c r="G18" s="538" t="s">
        <v>1371</v>
      </c>
      <c r="H18" s="538"/>
      <c r="I18" s="521"/>
      <c r="J18" s="521"/>
      <c r="K18" s="521"/>
      <c r="L18" s="521"/>
      <c r="M18" s="521"/>
      <c r="N18" s="521"/>
      <c r="O18" s="521"/>
      <c r="P18" s="521"/>
      <c r="Q18" s="521"/>
      <c r="R18" s="521"/>
      <c r="S18" s="521"/>
      <c r="T18" s="515">
        <f t="shared" si="2"/>
        <v>0</v>
      </c>
    </row>
    <row r="19" spans="1:20" x14ac:dyDescent="0.2">
      <c r="A19" s="599"/>
      <c r="B19" s="592" t="s">
        <v>74</v>
      </c>
      <c r="C19" s="592" t="s">
        <v>382</v>
      </c>
      <c r="D19" s="592"/>
      <c r="E19" s="520"/>
      <c r="F19" s="520"/>
      <c r="G19" s="538" t="s">
        <v>1372</v>
      </c>
      <c r="H19" s="538"/>
      <c r="I19" s="521"/>
      <c r="J19" s="521"/>
      <c r="K19" s="521"/>
      <c r="L19" s="521"/>
      <c r="M19" s="521"/>
      <c r="N19" s="521"/>
      <c r="O19" s="521"/>
      <c r="P19" s="521"/>
      <c r="Q19" s="521"/>
      <c r="R19" s="521"/>
      <c r="S19" s="521"/>
      <c r="T19" s="515">
        <f t="shared" si="2"/>
        <v>0</v>
      </c>
    </row>
    <row r="20" spans="1:20" x14ac:dyDescent="0.2">
      <c r="A20" s="599"/>
      <c r="B20" s="592" t="s">
        <v>76</v>
      </c>
      <c r="C20" s="592" t="s">
        <v>1373</v>
      </c>
      <c r="D20" s="592"/>
      <c r="E20" s="520"/>
      <c r="F20" s="520"/>
      <c r="G20" s="538" t="s">
        <v>1374</v>
      </c>
      <c r="H20" s="538"/>
      <c r="I20" s="521"/>
      <c r="J20" s="521"/>
      <c r="K20" s="521"/>
      <c r="L20" s="521"/>
      <c r="M20" s="521"/>
      <c r="N20" s="521"/>
      <c r="O20" s="521"/>
      <c r="P20" s="521"/>
      <c r="Q20" s="521"/>
      <c r="R20" s="521"/>
      <c r="S20" s="521"/>
      <c r="T20" s="515">
        <f t="shared" si="2"/>
        <v>0</v>
      </c>
    </row>
    <row r="21" spans="1:20" x14ac:dyDescent="0.2">
      <c r="A21" s="599"/>
      <c r="B21" s="592" t="s">
        <v>79</v>
      </c>
      <c r="C21" s="592" t="s">
        <v>1324</v>
      </c>
      <c r="D21" s="592"/>
      <c r="E21" s="520"/>
      <c r="F21" s="520"/>
      <c r="G21" s="538" t="s">
        <v>1375</v>
      </c>
      <c r="H21" s="538"/>
      <c r="I21" s="521"/>
      <c r="J21" s="521"/>
      <c r="K21" s="521"/>
      <c r="L21" s="521"/>
      <c r="M21" s="521"/>
      <c r="N21" s="521"/>
      <c r="O21" s="521"/>
      <c r="P21" s="521"/>
      <c r="Q21" s="521"/>
      <c r="R21" s="521"/>
      <c r="S21" s="521"/>
      <c r="T21" s="515">
        <f t="shared" si="2"/>
        <v>0</v>
      </c>
    </row>
    <row r="22" spans="1:20" x14ac:dyDescent="0.2">
      <c r="A22" s="599"/>
      <c r="B22" s="592" t="s">
        <v>81</v>
      </c>
      <c r="C22" s="592" t="s">
        <v>1325</v>
      </c>
      <c r="D22" s="592"/>
      <c r="E22" s="520"/>
      <c r="F22" s="520"/>
      <c r="G22" s="538" t="s">
        <v>1376</v>
      </c>
      <c r="H22" s="538"/>
      <c r="I22" s="521"/>
      <c r="J22" s="521"/>
      <c r="K22" s="521"/>
      <c r="L22" s="521"/>
      <c r="M22" s="521"/>
      <c r="N22" s="521"/>
      <c r="O22" s="521"/>
      <c r="P22" s="521"/>
      <c r="Q22" s="521"/>
      <c r="R22" s="521"/>
      <c r="S22" s="521"/>
      <c r="T22" s="515">
        <f t="shared" si="2"/>
        <v>0</v>
      </c>
    </row>
    <row r="23" spans="1:20" x14ac:dyDescent="0.2">
      <c r="A23" s="599"/>
      <c r="B23" s="592" t="s">
        <v>84</v>
      </c>
      <c r="C23" s="592" t="s">
        <v>1326</v>
      </c>
      <c r="D23" s="592"/>
      <c r="E23" s="520"/>
      <c r="F23" s="520"/>
      <c r="G23" s="538" t="s">
        <v>1377</v>
      </c>
      <c r="H23" s="538"/>
      <c r="I23" s="521"/>
      <c r="J23" s="521"/>
      <c r="K23" s="521"/>
      <c r="L23" s="521"/>
      <c r="M23" s="521"/>
      <c r="N23" s="521"/>
      <c r="O23" s="521"/>
      <c r="P23" s="521"/>
      <c r="Q23" s="521"/>
      <c r="R23" s="521"/>
      <c r="S23" s="521"/>
      <c r="T23" s="515">
        <f t="shared" si="2"/>
        <v>0</v>
      </c>
    </row>
    <row r="24" spans="1:20" x14ac:dyDescent="0.2">
      <c r="A24" s="599"/>
      <c r="B24" s="592" t="s">
        <v>287</v>
      </c>
      <c r="C24" s="592" t="s">
        <v>1378</v>
      </c>
      <c r="D24" s="592"/>
      <c r="E24" s="520"/>
      <c r="F24" s="520"/>
      <c r="G24" s="538" t="s">
        <v>1379</v>
      </c>
      <c r="H24" s="538"/>
      <c r="I24" s="521"/>
      <c r="J24" s="521"/>
      <c r="K24" s="521"/>
      <c r="L24" s="521"/>
      <c r="M24" s="521"/>
      <c r="N24" s="521"/>
      <c r="O24" s="521"/>
      <c r="P24" s="521"/>
      <c r="Q24" s="521"/>
      <c r="R24" s="521"/>
      <c r="S24" s="521"/>
      <c r="T24" s="515">
        <f t="shared" si="2"/>
        <v>0</v>
      </c>
    </row>
    <row r="25" spans="1:20" x14ac:dyDescent="0.2">
      <c r="A25" s="599"/>
      <c r="B25" s="592" t="s">
        <v>290</v>
      </c>
      <c r="C25" s="592" t="s">
        <v>1328</v>
      </c>
      <c r="D25" s="592"/>
      <c r="E25" s="520"/>
      <c r="F25" s="520"/>
      <c r="G25" s="538" t="s">
        <v>1380</v>
      </c>
      <c r="H25" s="538"/>
      <c r="I25" s="521"/>
      <c r="J25" s="521"/>
      <c r="K25" s="521"/>
      <c r="L25" s="521"/>
      <c r="M25" s="521"/>
      <c r="N25" s="521"/>
      <c r="O25" s="521"/>
      <c r="P25" s="521"/>
      <c r="Q25" s="521"/>
      <c r="R25" s="521"/>
      <c r="S25" s="521"/>
      <c r="T25" s="515">
        <f t="shared" si="2"/>
        <v>0</v>
      </c>
    </row>
    <row r="26" spans="1:20" x14ac:dyDescent="0.2">
      <c r="A26" s="599"/>
      <c r="B26" s="592" t="s">
        <v>295</v>
      </c>
      <c r="C26" s="592" t="s">
        <v>1329</v>
      </c>
      <c r="D26" s="592"/>
      <c r="E26" s="520"/>
      <c r="F26" s="520"/>
      <c r="G26" s="538" t="s">
        <v>1381</v>
      </c>
      <c r="H26" s="538"/>
      <c r="I26" s="521"/>
      <c r="J26" s="521"/>
      <c r="K26" s="521"/>
      <c r="L26" s="521"/>
      <c r="M26" s="521"/>
      <c r="N26" s="521"/>
      <c r="O26" s="521"/>
      <c r="P26" s="521"/>
      <c r="Q26" s="521"/>
      <c r="R26" s="521"/>
      <c r="S26" s="521"/>
      <c r="T26" s="515">
        <f t="shared" si="2"/>
        <v>0</v>
      </c>
    </row>
    <row r="27" spans="1:20" x14ac:dyDescent="0.2">
      <c r="A27" s="599"/>
      <c r="B27" s="592" t="s">
        <v>693</v>
      </c>
      <c r="C27" s="592" t="s">
        <v>1330</v>
      </c>
      <c r="D27" s="592"/>
      <c r="E27" s="520"/>
      <c r="F27" s="520"/>
      <c r="G27" s="538" t="s">
        <v>1382</v>
      </c>
      <c r="H27" s="538"/>
      <c r="I27" s="521"/>
      <c r="J27" s="521"/>
      <c r="K27" s="521"/>
      <c r="L27" s="521"/>
      <c r="M27" s="521"/>
      <c r="N27" s="521"/>
      <c r="O27" s="521"/>
      <c r="P27" s="521"/>
      <c r="Q27" s="521"/>
      <c r="R27" s="521"/>
      <c r="S27" s="521"/>
      <c r="T27" s="515">
        <f t="shared" si="2"/>
        <v>0</v>
      </c>
    </row>
    <row r="28" spans="1:20" x14ac:dyDescent="0.2">
      <c r="A28" s="599"/>
      <c r="B28" s="592" t="s">
        <v>694</v>
      </c>
      <c r="C28" s="592" t="s">
        <v>720</v>
      </c>
      <c r="D28" s="592"/>
      <c r="E28" s="520"/>
      <c r="F28" s="520"/>
      <c r="G28" s="538" t="s">
        <v>1383</v>
      </c>
      <c r="H28" s="538"/>
      <c r="I28" s="521"/>
      <c r="J28" s="521"/>
      <c r="K28" s="521"/>
      <c r="L28" s="521"/>
      <c r="M28" s="521"/>
      <c r="N28" s="521"/>
      <c r="O28" s="521"/>
      <c r="P28" s="521"/>
      <c r="Q28" s="521"/>
      <c r="R28" s="521"/>
      <c r="S28" s="521"/>
      <c r="T28" s="515">
        <f t="shared" si="2"/>
        <v>0</v>
      </c>
    </row>
    <row r="29" spans="1:20" x14ac:dyDescent="0.2">
      <c r="A29" s="599"/>
      <c r="B29" s="592" t="s">
        <v>695</v>
      </c>
      <c r="C29" s="592" t="s">
        <v>383</v>
      </c>
      <c r="D29" s="592"/>
      <c r="E29" s="520"/>
      <c r="F29" s="520"/>
      <c r="G29" s="538" t="s">
        <v>1384</v>
      </c>
      <c r="H29" s="538"/>
      <c r="I29" s="521"/>
      <c r="J29" s="521"/>
      <c r="K29" s="521"/>
      <c r="L29" s="521"/>
      <c r="M29" s="521"/>
      <c r="N29" s="521"/>
      <c r="O29" s="521"/>
      <c r="P29" s="521"/>
      <c r="Q29" s="521"/>
      <c r="R29" s="521"/>
      <c r="S29" s="521"/>
      <c r="T29" s="515">
        <f t="shared" si="2"/>
        <v>0</v>
      </c>
    </row>
    <row r="30" spans="1:20" x14ac:dyDescent="0.2">
      <c r="A30" s="599"/>
      <c r="B30" s="592" t="s">
        <v>1425</v>
      </c>
      <c r="C30" s="592" t="s">
        <v>1332</v>
      </c>
      <c r="D30" s="592"/>
      <c r="E30" s="520"/>
      <c r="F30" s="520"/>
      <c r="G30" s="538" t="s">
        <v>1385</v>
      </c>
      <c r="H30" s="538"/>
      <c r="I30" s="521"/>
      <c r="J30" s="521"/>
      <c r="K30" s="521"/>
      <c r="L30" s="521"/>
      <c r="M30" s="521"/>
      <c r="N30" s="521"/>
      <c r="O30" s="521"/>
      <c r="P30" s="521"/>
      <c r="Q30" s="521"/>
      <c r="R30" s="521"/>
      <c r="S30" s="521"/>
      <c r="T30" s="515">
        <f t="shared" si="2"/>
        <v>0</v>
      </c>
    </row>
    <row r="31" spans="1:20" x14ac:dyDescent="0.2">
      <c r="A31" s="599"/>
      <c r="B31" s="592" t="s">
        <v>1426</v>
      </c>
      <c r="C31" s="592" t="s">
        <v>1333</v>
      </c>
      <c r="D31" s="592"/>
      <c r="E31" s="520"/>
      <c r="F31" s="520"/>
      <c r="G31" s="538" t="s">
        <v>1386</v>
      </c>
      <c r="H31" s="538"/>
      <c r="I31" s="521"/>
      <c r="J31" s="521"/>
      <c r="K31" s="521"/>
      <c r="L31" s="521"/>
      <c r="M31" s="521"/>
      <c r="N31" s="521"/>
      <c r="O31" s="521"/>
      <c r="P31" s="521"/>
      <c r="Q31" s="521"/>
      <c r="R31" s="521"/>
      <c r="S31" s="521"/>
      <c r="T31" s="515">
        <f t="shared" si="2"/>
        <v>0</v>
      </c>
    </row>
    <row r="32" spans="1:20" x14ac:dyDescent="0.2">
      <c r="A32" s="599"/>
      <c r="B32" s="592" t="s">
        <v>1427</v>
      </c>
      <c r="C32" s="592" t="s">
        <v>1334</v>
      </c>
      <c r="D32" s="592"/>
      <c r="E32" s="520"/>
      <c r="F32" s="520"/>
      <c r="G32" s="538" t="s">
        <v>1387</v>
      </c>
      <c r="H32" s="538"/>
      <c r="I32" s="521"/>
      <c r="J32" s="521"/>
      <c r="K32" s="521"/>
      <c r="L32" s="521"/>
      <c r="M32" s="521"/>
      <c r="N32" s="521"/>
      <c r="O32" s="521"/>
      <c r="P32" s="521"/>
      <c r="Q32" s="521"/>
      <c r="R32" s="521"/>
      <c r="S32" s="521"/>
      <c r="T32" s="515">
        <f t="shared" si="2"/>
        <v>0</v>
      </c>
    </row>
    <row r="33" spans="1:20" ht="30" customHeight="1" x14ac:dyDescent="0.2">
      <c r="A33" s="599"/>
      <c r="B33" s="592" t="s">
        <v>1428</v>
      </c>
      <c r="C33" s="831" t="s">
        <v>1388</v>
      </c>
      <c r="D33" s="832"/>
      <c r="E33" s="520"/>
      <c r="F33" s="520"/>
      <c r="G33" s="538" t="s">
        <v>1389</v>
      </c>
      <c r="H33" s="538"/>
      <c r="I33" s="521"/>
      <c r="J33" s="521"/>
      <c r="K33" s="521"/>
      <c r="L33" s="521"/>
      <c r="M33" s="521"/>
      <c r="N33" s="521"/>
      <c r="O33" s="521"/>
      <c r="P33" s="521"/>
      <c r="Q33" s="521"/>
      <c r="R33" s="521"/>
      <c r="S33" s="521"/>
      <c r="T33" s="515">
        <f t="shared" si="2"/>
        <v>0</v>
      </c>
    </row>
    <row r="34" spans="1:20" x14ac:dyDescent="0.2">
      <c r="A34" s="599"/>
      <c r="B34" s="592" t="s">
        <v>1429</v>
      </c>
      <c r="C34" s="592" t="s">
        <v>1390</v>
      </c>
      <c r="D34" s="592"/>
      <c r="E34" s="520"/>
      <c r="F34" s="520"/>
      <c r="G34" s="538" t="s">
        <v>1391</v>
      </c>
      <c r="H34" s="538"/>
      <c r="I34" s="600"/>
      <c r="J34" s="600"/>
      <c r="K34" s="600"/>
      <c r="L34" s="600"/>
      <c r="M34" s="600"/>
      <c r="N34" s="600"/>
      <c r="O34" s="600"/>
      <c r="P34" s="600"/>
      <c r="Q34" s="600"/>
      <c r="R34" s="600"/>
      <c r="S34" s="600"/>
      <c r="T34" s="600"/>
    </row>
    <row r="35" spans="1:20" x14ac:dyDescent="0.2">
      <c r="A35" s="597" t="s">
        <v>183</v>
      </c>
      <c r="B35" s="597" t="s">
        <v>1424</v>
      </c>
      <c r="C35" s="598"/>
      <c r="D35" s="598"/>
      <c r="E35" s="541"/>
      <c r="F35" s="541"/>
      <c r="G35" s="514" t="s">
        <v>1392</v>
      </c>
      <c r="H35" s="514"/>
      <c r="I35" s="542">
        <f t="shared" ref="I35:S35" si="4">I36</f>
        <v>0</v>
      </c>
      <c r="J35" s="542">
        <f t="shared" si="4"/>
        <v>0</v>
      </c>
      <c r="K35" s="542">
        <f t="shared" si="4"/>
        <v>0</v>
      </c>
      <c r="L35" s="542">
        <f t="shared" si="4"/>
        <v>0</v>
      </c>
      <c r="M35" s="542">
        <f t="shared" si="4"/>
        <v>0</v>
      </c>
      <c r="N35" s="542">
        <f t="shared" si="4"/>
        <v>0</v>
      </c>
      <c r="O35" s="542">
        <f t="shared" si="4"/>
        <v>0</v>
      </c>
      <c r="P35" s="542">
        <f t="shared" si="4"/>
        <v>0</v>
      </c>
      <c r="Q35" s="542">
        <f t="shared" si="4"/>
        <v>0</v>
      </c>
      <c r="R35" s="542">
        <f t="shared" si="4"/>
        <v>0</v>
      </c>
      <c r="S35" s="542">
        <f t="shared" si="4"/>
        <v>0</v>
      </c>
      <c r="T35" s="515">
        <f t="shared" si="2"/>
        <v>0</v>
      </c>
    </row>
    <row r="36" spans="1:20" x14ac:dyDescent="0.2">
      <c r="A36" s="599"/>
      <c r="B36" s="592" t="s">
        <v>54</v>
      </c>
      <c r="C36" s="592" t="s">
        <v>1467</v>
      </c>
      <c r="D36" s="592"/>
      <c r="E36" s="520"/>
      <c r="F36" s="520"/>
      <c r="G36" s="514" t="s">
        <v>1393</v>
      </c>
      <c r="H36" s="514"/>
      <c r="I36" s="542">
        <f>I37+I38+I42+I41</f>
        <v>0</v>
      </c>
      <c r="J36" s="542">
        <f t="shared" ref="J36:S36" si="5">J37+J38+J42+J41</f>
        <v>0</v>
      </c>
      <c r="K36" s="542">
        <f t="shared" si="5"/>
        <v>0</v>
      </c>
      <c r="L36" s="542">
        <f t="shared" si="5"/>
        <v>0</v>
      </c>
      <c r="M36" s="542">
        <f t="shared" si="5"/>
        <v>0</v>
      </c>
      <c r="N36" s="542">
        <f t="shared" si="5"/>
        <v>0</v>
      </c>
      <c r="O36" s="542">
        <f t="shared" si="5"/>
        <v>0</v>
      </c>
      <c r="P36" s="542">
        <f t="shared" si="5"/>
        <v>0</v>
      </c>
      <c r="Q36" s="542">
        <f t="shared" si="5"/>
        <v>0</v>
      </c>
      <c r="R36" s="542">
        <f t="shared" si="5"/>
        <v>0</v>
      </c>
      <c r="S36" s="542">
        <f t="shared" si="5"/>
        <v>0</v>
      </c>
      <c r="T36" s="515">
        <f t="shared" si="2"/>
        <v>0</v>
      </c>
    </row>
    <row r="37" spans="1:20" x14ac:dyDescent="0.2">
      <c r="A37" s="599"/>
      <c r="B37" s="592"/>
      <c r="C37" s="592" t="s">
        <v>59</v>
      </c>
      <c r="D37" s="592" t="s">
        <v>1394</v>
      </c>
      <c r="E37" s="543"/>
      <c r="F37" s="543"/>
      <c r="G37" s="514" t="s">
        <v>1395</v>
      </c>
      <c r="H37" s="514"/>
      <c r="I37" s="521"/>
      <c r="J37" s="521"/>
      <c r="K37" s="521"/>
      <c r="L37" s="521"/>
      <c r="M37" s="521"/>
      <c r="N37" s="521"/>
      <c r="O37" s="521"/>
      <c r="P37" s="521"/>
      <c r="Q37" s="521"/>
      <c r="R37" s="521"/>
      <c r="S37" s="521"/>
      <c r="T37" s="515">
        <f t="shared" si="2"/>
        <v>0</v>
      </c>
    </row>
    <row r="38" spans="1:20" x14ac:dyDescent="0.2">
      <c r="A38" s="599"/>
      <c r="B38" s="592"/>
      <c r="C38" s="592" t="s">
        <v>61</v>
      </c>
      <c r="D38" s="592" t="s">
        <v>1457</v>
      </c>
      <c r="E38" s="543"/>
      <c r="F38" s="543"/>
      <c r="G38" s="514" t="s">
        <v>1396</v>
      </c>
      <c r="H38" s="514"/>
      <c r="I38" s="542">
        <f>I39+I40</f>
        <v>0</v>
      </c>
      <c r="J38" s="542">
        <f t="shared" ref="J38:S38" si="6">J39+J40</f>
        <v>0</v>
      </c>
      <c r="K38" s="542">
        <f t="shared" si="6"/>
        <v>0</v>
      </c>
      <c r="L38" s="542">
        <f t="shared" si="6"/>
        <v>0</v>
      </c>
      <c r="M38" s="542">
        <f t="shared" si="6"/>
        <v>0</v>
      </c>
      <c r="N38" s="542">
        <f t="shared" si="6"/>
        <v>0</v>
      </c>
      <c r="O38" s="542">
        <f t="shared" si="6"/>
        <v>0</v>
      </c>
      <c r="P38" s="542">
        <f t="shared" si="6"/>
        <v>0</v>
      </c>
      <c r="Q38" s="542">
        <f t="shared" si="6"/>
        <v>0</v>
      </c>
      <c r="R38" s="542">
        <f t="shared" si="6"/>
        <v>0</v>
      </c>
      <c r="S38" s="542">
        <f t="shared" si="6"/>
        <v>0</v>
      </c>
      <c r="T38" s="542">
        <f t="shared" si="2"/>
        <v>0</v>
      </c>
    </row>
    <row r="39" spans="1:20" ht="15" customHeight="1" x14ac:dyDescent="0.2">
      <c r="A39" s="599"/>
      <c r="B39" s="610"/>
      <c r="C39" s="599"/>
      <c r="D39" s="592" t="s">
        <v>1453</v>
      </c>
      <c r="E39" s="592"/>
      <c r="F39" s="592"/>
      <c r="G39" s="611" t="s">
        <v>1454</v>
      </c>
      <c r="H39" s="514"/>
      <c r="I39" s="521"/>
      <c r="J39" s="521"/>
      <c r="K39" s="521"/>
      <c r="L39" s="521"/>
      <c r="M39" s="521"/>
      <c r="N39" s="521"/>
      <c r="O39" s="521"/>
      <c r="P39" s="521"/>
      <c r="Q39" s="521"/>
      <c r="R39" s="521"/>
      <c r="S39" s="521"/>
      <c r="T39" s="515">
        <f>SUM(I39:S39)</f>
        <v>0</v>
      </c>
    </row>
    <row r="40" spans="1:20" ht="15.75" customHeight="1" x14ac:dyDescent="0.2">
      <c r="A40" s="599"/>
      <c r="B40" s="610"/>
      <c r="C40" s="599"/>
      <c r="D40" s="592" t="s">
        <v>1455</v>
      </c>
      <c r="E40" s="592"/>
      <c r="F40" s="592"/>
      <c r="G40" s="611" t="s">
        <v>1456</v>
      </c>
      <c r="H40" s="514"/>
      <c r="I40" s="521"/>
      <c r="J40" s="521"/>
      <c r="K40" s="521"/>
      <c r="L40" s="521"/>
      <c r="M40" s="521"/>
      <c r="N40" s="521"/>
      <c r="O40" s="521"/>
      <c r="P40" s="521"/>
      <c r="Q40" s="521"/>
      <c r="R40" s="521"/>
      <c r="S40" s="521"/>
      <c r="T40" s="515">
        <f>SUM(I40:S40)</f>
        <v>0</v>
      </c>
    </row>
    <row r="41" spans="1:20" ht="15.75" customHeight="1" x14ac:dyDescent="0.2">
      <c r="A41" s="599"/>
      <c r="B41" s="610"/>
      <c r="C41" s="592" t="s">
        <v>71</v>
      </c>
      <c r="D41" s="592" t="s">
        <v>1468</v>
      </c>
      <c r="E41" s="592"/>
      <c r="F41" s="592"/>
      <c r="G41" s="611" t="s">
        <v>1469</v>
      </c>
      <c r="H41" s="514"/>
      <c r="I41" s="521"/>
      <c r="J41" s="521"/>
      <c r="K41" s="521"/>
      <c r="L41" s="521"/>
      <c r="M41" s="521"/>
      <c r="N41" s="521"/>
      <c r="O41" s="521"/>
      <c r="P41" s="521"/>
      <c r="Q41" s="521"/>
      <c r="R41" s="521"/>
      <c r="S41" s="521"/>
      <c r="T41" s="515">
        <f>SUM(I41:S41)</f>
        <v>0</v>
      </c>
    </row>
    <row r="42" spans="1:20" x14ac:dyDescent="0.2">
      <c r="A42" s="599"/>
      <c r="B42" s="592"/>
      <c r="C42" s="592" t="s">
        <v>1433</v>
      </c>
      <c r="D42" s="592" t="s">
        <v>52</v>
      </c>
      <c r="E42" s="543"/>
      <c r="F42" s="543"/>
      <c r="G42" s="514" t="s">
        <v>1397</v>
      </c>
      <c r="H42" s="514"/>
      <c r="I42" s="521"/>
      <c r="J42" s="521"/>
      <c r="K42" s="521"/>
      <c r="L42" s="521"/>
      <c r="M42" s="521"/>
      <c r="N42" s="521"/>
      <c r="O42" s="521"/>
      <c r="P42" s="521"/>
      <c r="Q42" s="521"/>
      <c r="R42" s="521"/>
      <c r="S42" s="521"/>
      <c r="T42" s="515">
        <f t="shared" si="2"/>
        <v>0</v>
      </c>
    </row>
    <row r="43" spans="1:20" ht="15" x14ac:dyDescent="0.2">
      <c r="A43" s="597" t="s">
        <v>1398</v>
      </c>
      <c r="B43" s="597"/>
      <c r="C43" s="597"/>
      <c r="D43" s="597"/>
      <c r="E43" s="540"/>
      <c r="F43" s="540"/>
      <c r="G43" s="538" t="s">
        <v>1399</v>
      </c>
      <c r="H43" s="538"/>
      <c r="I43" s="521"/>
      <c r="J43" s="521"/>
      <c r="K43" s="521"/>
      <c r="L43" s="521"/>
      <c r="M43" s="521"/>
      <c r="N43" s="521"/>
      <c r="O43" s="521"/>
      <c r="P43" s="521"/>
      <c r="Q43" s="521"/>
      <c r="R43" s="521"/>
      <c r="S43" s="521"/>
      <c r="T43" s="515">
        <f t="shared" si="2"/>
        <v>0</v>
      </c>
    </row>
    <row r="44" spans="1:20" x14ac:dyDescent="0.2">
      <c r="A44" s="597" t="s">
        <v>141</v>
      </c>
      <c r="B44" s="597"/>
      <c r="C44" s="597"/>
      <c r="D44" s="597"/>
      <c r="E44" s="540"/>
      <c r="F44" s="540"/>
      <c r="G44" s="538" t="s">
        <v>1400</v>
      </c>
      <c r="H44" s="538"/>
      <c r="I44" s="521"/>
      <c r="J44" s="521"/>
      <c r="K44" s="521"/>
      <c r="L44" s="521"/>
      <c r="M44" s="521"/>
      <c r="N44" s="521"/>
      <c r="O44" s="521"/>
      <c r="P44" s="521"/>
      <c r="Q44" s="521"/>
      <c r="R44" s="521"/>
      <c r="S44" s="521"/>
      <c r="T44" s="515">
        <f t="shared" si="2"/>
        <v>0</v>
      </c>
    </row>
    <row r="45" spans="1:20" x14ac:dyDescent="0.2">
      <c r="A45" s="597" t="s">
        <v>1401</v>
      </c>
      <c r="B45" s="597"/>
      <c r="C45" s="597"/>
      <c r="D45" s="597"/>
      <c r="E45" s="540"/>
      <c r="F45" s="540"/>
      <c r="G45" s="538" t="s">
        <v>1402</v>
      </c>
      <c r="H45" s="538"/>
      <c r="I45" s="521"/>
      <c r="J45" s="521"/>
      <c r="K45" s="521"/>
      <c r="L45" s="521"/>
      <c r="M45" s="521"/>
      <c r="N45" s="521"/>
      <c r="O45" s="521"/>
      <c r="P45" s="521"/>
      <c r="Q45" s="521"/>
      <c r="R45" s="521"/>
      <c r="S45" s="521"/>
      <c r="T45" s="515">
        <f t="shared" si="2"/>
        <v>0</v>
      </c>
    </row>
    <row r="46" spans="1:20" ht="13.5" x14ac:dyDescent="0.25">
      <c r="A46" s="544"/>
      <c r="B46" s="544"/>
      <c r="C46" s="544"/>
      <c r="D46" s="544"/>
      <c r="E46" s="544"/>
      <c r="F46" s="544"/>
      <c r="G46" s="478" t="s">
        <v>108</v>
      </c>
      <c r="H46" s="478"/>
      <c r="I46" s="500"/>
      <c r="J46" s="500"/>
      <c r="K46" s="500"/>
      <c r="L46" s="500"/>
      <c r="M46" s="500"/>
      <c r="N46" s="500"/>
      <c r="O46" s="500"/>
      <c r="P46" s="500"/>
      <c r="Q46" s="500"/>
      <c r="R46" s="500"/>
      <c r="S46" s="500"/>
      <c r="T46" s="500"/>
    </row>
    <row r="47" spans="1:20" x14ac:dyDescent="0.2">
      <c r="A47" s="545" t="s">
        <v>1403</v>
      </c>
      <c r="B47" s="545"/>
      <c r="C47" s="545"/>
      <c r="D47" s="545"/>
      <c r="E47" s="545"/>
      <c r="F47" s="545"/>
      <c r="G47" s="545"/>
      <c r="H47" s="545"/>
      <c r="I47" s="500"/>
      <c r="J47" s="500"/>
      <c r="K47" s="500"/>
      <c r="L47" s="500"/>
      <c r="M47" s="500"/>
      <c r="N47" s="500"/>
      <c r="O47" s="500"/>
      <c r="P47" s="500"/>
      <c r="Q47" s="500"/>
      <c r="R47" s="500"/>
      <c r="S47" s="531"/>
      <c r="T47" s="531"/>
    </row>
    <row r="48" spans="1:20" x14ac:dyDescent="0.2">
      <c r="A48" s="531" t="s">
        <v>1421</v>
      </c>
      <c r="B48" s="531"/>
      <c r="C48" s="531"/>
      <c r="D48" s="531"/>
      <c r="E48" s="531"/>
      <c r="F48" s="531"/>
      <c r="G48" s="531"/>
      <c r="H48" s="531"/>
      <c r="I48" s="500"/>
      <c r="J48" s="500"/>
      <c r="K48" s="500"/>
      <c r="L48" s="500"/>
      <c r="M48" s="500"/>
      <c r="N48" s="500"/>
      <c r="O48" s="500"/>
      <c r="P48" s="500"/>
      <c r="Q48" s="500"/>
      <c r="R48" s="500"/>
      <c r="S48" s="531"/>
      <c r="T48" s="531"/>
    </row>
  </sheetData>
  <sheetProtection password="EEFA" sheet="1" objects="1" scenarios="1" selectLockedCells="1"/>
  <mergeCells count="20">
    <mergeCell ref="T5:T6"/>
    <mergeCell ref="G5:G8"/>
    <mergeCell ref="I7:I8"/>
    <mergeCell ref="J7:J8"/>
    <mergeCell ref="K7:K8"/>
    <mergeCell ref="L7:L8"/>
    <mergeCell ref="S7:S8"/>
    <mergeCell ref="T7:T8"/>
    <mergeCell ref="N7:N8"/>
    <mergeCell ref="O7:O8"/>
    <mergeCell ref="A10:D10"/>
    <mergeCell ref="A11:D11"/>
    <mergeCell ref="C33:D33"/>
    <mergeCell ref="M7:M8"/>
    <mergeCell ref="R7:R8"/>
    <mergeCell ref="I5:S5"/>
    <mergeCell ref="P7:P8"/>
    <mergeCell ref="Q7:Q8"/>
    <mergeCell ref="A5:D8"/>
    <mergeCell ref="A9:D9"/>
  </mergeCells>
  <dataValidations count="1">
    <dataValidation type="decimal" operator="greaterThanOrEqual" allowBlank="1" showInputMessage="1" showErrorMessage="1" error="Input only positive numeric amounts" sqref="T34 I14:S34 I37:S45">
      <formula1>0</formula1>
    </dataValidation>
  </dataValidations>
  <pageMargins left="0.7" right="0.7" top="0.75" bottom="0.75" header="0.3" footer="0.3"/>
  <pageSetup paperSize="9" orientation="portrait" r:id="rId1"/>
  <headerFooter>
    <oddHeader>&amp;C&amp;"Arial,Bold"&amp;8 NEW RURAL BANK OF SAN LEONARDO, INC  [ 04-040656 ]
 As of: September 30, 2017</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62"/>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2.75" x14ac:dyDescent="0.2"/>
  <cols>
    <col min="1" max="1" width="3.140625" customWidth="1"/>
    <col min="2" max="2" width="2.7109375" customWidth="1"/>
    <col min="3" max="3" width="2.42578125" customWidth="1"/>
    <col min="4" max="5" width="2.5703125" customWidth="1"/>
    <col min="6" max="6" width="29" customWidth="1"/>
    <col min="7" max="7" width="17.140625" style="148" bestFit="1" customWidth="1"/>
    <col min="8" max="8" width="17.140625" style="148" hidden="1" customWidth="1"/>
    <col min="9" max="9" width="25.7109375" style="134" customWidth="1"/>
    <col min="10" max="10" width="20.7109375" style="134" customWidth="1"/>
    <col min="11" max="11" width="25.7109375" style="134" customWidth="1"/>
    <col min="12" max="12" width="20.7109375" style="134" customWidth="1"/>
    <col min="13" max="13" width="25.7109375" style="134" customWidth="1"/>
    <col min="14" max="14" width="25.7109375" style="134" hidden="1" customWidth="1"/>
    <col min="15" max="15" width="25.7109375" hidden="1" customWidth="1"/>
    <col min="16" max="16" width="25.7109375" customWidth="1"/>
  </cols>
  <sheetData>
    <row r="1" spans="1:16" s="245" customFormat="1" ht="12.75" customHeight="1" x14ac:dyDescent="0.2">
      <c r="A1" s="855" t="s">
        <v>384</v>
      </c>
      <c r="B1" s="855"/>
      <c r="C1" s="855"/>
      <c r="D1" s="855"/>
      <c r="E1" s="855"/>
      <c r="F1" s="855"/>
      <c r="G1" s="855"/>
      <c r="H1" s="855"/>
      <c r="I1" s="855"/>
      <c r="J1" s="855"/>
      <c r="K1" s="855"/>
      <c r="L1" s="855"/>
      <c r="M1" s="855"/>
      <c r="N1" s="855"/>
      <c r="O1" s="855"/>
      <c r="P1" s="855"/>
    </row>
    <row r="2" spans="1:16" s="245" customFormat="1" ht="12.75" customHeight="1" x14ac:dyDescent="0.2">
      <c r="A2" s="855" t="s">
        <v>385</v>
      </c>
      <c r="B2" s="855"/>
      <c r="C2" s="855"/>
      <c r="D2" s="855"/>
      <c r="E2" s="855"/>
      <c r="F2" s="855"/>
      <c r="G2" s="855"/>
      <c r="H2" s="855"/>
      <c r="I2" s="855"/>
      <c r="J2" s="855"/>
      <c r="K2" s="855"/>
      <c r="L2" s="855"/>
      <c r="M2" s="855"/>
      <c r="N2" s="855"/>
      <c r="O2" s="855"/>
      <c r="P2" s="855"/>
    </row>
    <row r="3" spans="1:16" s="245" customFormat="1" x14ac:dyDescent="0.2">
      <c r="A3" s="856"/>
      <c r="B3" s="856"/>
      <c r="C3" s="856"/>
      <c r="D3" s="856"/>
      <c r="E3" s="856"/>
      <c r="F3" s="856"/>
      <c r="G3" s="856"/>
      <c r="H3" s="856"/>
      <c r="I3" s="856"/>
      <c r="J3" s="856"/>
      <c r="K3" s="856"/>
      <c r="L3" s="856"/>
      <c r="M3" s="856"/>
      <c r="N3" s="856"/>
      <c r="O3" s="856"/>
      <c r="P3" s="856"/>
    </row>
    <row r="4" spans="1:16" ht="12.75" customHeight="1" x14ac:dyDescent="0.2">
      <c r="A4" s="649" t="s">
        <v>446</v>
      </c>
      <c r="B4" s="649"/>
      <c r="C4" s="649"/>
      <c r="D4" s="649"/>
      <c r="E4" s="649"/>
      <c r="F4" s="649"/>
      <c r="G4" s="867" t="s">
        <v>46</v>
      </c>
      <c r="H4" s="135"/>
      <c r="I4" s="670" t="s">
        <v>56</v>
      </c>
      <c r="J4" s="857" t="s">
        <v>49</v>
      </c>
      <c r="K4" s="858"/>
      <c r="L4" s="857" t="s">
        <v>53</v>
      </c>
      <c r="M4" s="858"/>
      <c r="N4" s="857" t="s">
        <v>139</v>
      </c>
      <c r="O4" s="858"/>
      <c r="P4" s="667" t="s">
        <v>144</v>
      </c>
    </row>
    <row r="5" spans="1:16" ht="12.75" customHeight="1" x14ac:dyDescent="0.2">
      <c r="A5" s="649"/>
      <c r="B5" s="649"/>
      <c r="C5" s="649"/>
      <c r="D5" s="649"/>
      <c r="E5" s="649"/>
      <c r="F5" s="649"/>
      <c r="G5" s="867"/>
      <c r="H5" s="135"/>
      <c r="I5" s="670"/>
      <c r="J5" s="859"/>
      <c r="K5" s="860"/>
      <c r="L5" s="859"/>
      <c r="M5" s="860"/>
      <c r="N5" s="859"/>
      <c r="O5" s="860"/>
      <c r="P5" s="667"/>
    </row>
    <row r="6" spans="1:16" ht="12.75" customHeight="1" x14ac:dyDescent="0.2">
      <c r="A6" s="649"/>
      <c r="B6" s="649"/>
      <c r="C6" s="649"/>
      <c r="D6" s="649"/>
      <c r="E6" s="649"/>
      <c r="F6" s="649"/>
      <c r="G6" s="867"/>
      <c r="H6" s="135"/>
      <c r="I6" s="670"/>
      <c r="J6" s="861"/>
      <c r="K6" s="862"/>
      <c r="L6" s="861"/>
      <c r="M6" s="862"/>
      <c r="N6" s="861"/>
      <c r="O6" s="862"/>
      <c r="P6" s="667"/>
    </row>
    <row r="7" spans="1:16" ht="12.75" customHeight="1" x14ac:dyDescent="0.2">
      <c r="A7" s="649"/>
      <c r="B7" s="649"/>
      <c r="C7" s="649"/>
      <c r="D7" s="649"/>
      <c r="E7" s="649"/>
      <c r="F7" s="649"/>
      <c r="G7" s="867"/>
      <c r="H7" s="135"/>
      <c r="I7" s="670"/>
      <c r="J7" s="863" t="s">
        <v>50</v>
      </c>
      <c r="K7" s="863" t="s">
        <v>51</v>
      </c>
      <c r="L7" s="863" t="s">
        <v>50</v>
      </c>
      <c r="M7" s="863" t="s">
        <v>51</v>
      </c>
      <c r="N7" s="863" t="s">
        <v>50</v>
      </c>
      <c r="O7" s="863" t="s">
        <v>51</v>
      </c>
      <c r="P7" s="667"/>
    </row>
    <row r="8" spans="1:16" ht="12.75" customHeight="1" x14ac:dyDescent="0.2">
      <c r="A8" s="649"/>
      <c r="B8" s="649"/>
      <c r="C8" s="649"/>
      <c r="D8" s="649"/>
      <c r="E8" s="649"/>
      <c r="F8" s="649"/>
      <c r="G8" s="867"/>
      <c r="H8" s="135"/>
      <c r="I8" s="670"/>
      <c r="J8" s="864"/>
      <c r="K8" s="864"/>
      <c r="L8" s="864"/>
      <c r="M8" s="864"/>
      <c r="N8" s="864"/>
      <c r="O8" s="864"/>
      <c r="P8" s="667"/>
    </row>
    <row r="9" spans="1:16" x14ac:dyDescent="0.2">
      <c r="A9" s="672"/>
      <c r="B9" s="672"/>
      <c r="C9" s="672"/>
      <c r="D9" s="672"/>
      <c r="E9" s="672"/>
      <c r="F9" s="672"/>
      <c r="G9" s="868"/>
      <c r="H9" s="136"/>
      <c r="I9" s="670"/>
      <c r="J9" s="865"/>
      <c r="K9" s="865"/>
      <c r="L9" s="865"/>
      <c r="M9" s="865"/>
      <c r="N9" s="865"/>
      <c r="O9" s="865"/>
      <c r="P9" s="667"/>
    </row>
    <row r="10" spans="1:16" x14ac:dyDescent="0.2">
      <c r="A10" s="375" t="s">
        <v>386</v>
      </c>
      <c r="B10" s="299"/>
      <c r="C10" s="299"/>
      <c r="D10" s="299"/>
      <c r="E10" s="299"/>
      <c r="F10" s="299"/>
      <c r="G10" s="376" t="s">
        <v>387</v>
      </c>
      <c r="H10" s="138"/>
      <c r="I10" s="56">
        <f>+I11+I18+I19+I22+I25</f>
        <v>0</v>
      </c>
      <c r="J10" s="56">
        <f t="shared" ref="J10:O10" si="0">+J11+J18+J19+J22+J25</f>
        <v>0</v>
      </c>
      <c r="K10" s="56">
        <f t="shared" si="0"/>
        <v>0</v>
      </c>
      <c r="L10" s="56">
        <f t="shared" si="0"/>
        <v>0</v>
      </c>
      <c r="M10" s="56">
        <f t="shared" si="0"/>
        <v>0</v>
      </c>
      <c r="N10" s="56">
        <f t="shared" si="0"/>
        <v>0</v>
      </c>
      <c r="O10" s="56">
        <f t="shared" si="0"/>
        <v>0</v>
      </c>
      <c r="P10" s="56">
        <f t="shared" ref="P10:P34" si="1">I10+K10+M10+O10</f>
        <v>0</v>
      </c>
    </row>
    <row r="11" spans="1:16" x14ac:dyDescent="0.2">
      <c r="A11" s="377" t="s">
        <v>58</v>
      </c>
      <c r="B11" s="299" t="s">
        <v>388</v>
      </c>
      <c r="C11" s="299"/>
      <c r="D11" s="299"/>
      <c r="E11" s="299"/>
      <c r="F11" s="299"/>
      <c r="G11" s="376" t="s">
        <v>389</v>
      </c>
      <c r="H11" s="138"/>
      <c r="I11" s="56">
        <f>+I12+I13+I14</f>
        <v>0</v>
      </c>
      <c r="J11" s="56">
        <f>+J12+J13+J14</f>
        <v>0</v>
      </c>
      <c r="K11" s="56">
        <f>K12+K13+K14</f>
        <v>0</v>
      </c>
      <c r="L11" s="57">
        <f>L12+L13+L14</f>
        <v>0</v>
      </c>
      <c r="M11" s="56">
        <f>M12+M13+M14</f>
        <v>0</v>
      </c>
      <c r="N11" s="57">
        <f>N12+N13+N14</f>
        <v>0</v>
      </c>
      <c r="O11" s="56">
        <f>O12+O13+O14</f>
        <v>0</v>
      </c>
      <c r="P11" s="56">
        <f t="shared" si="1"/>
        <v>0</v>
      </c>
    </row>
    <row r="12" spans="1:16" ht="12.75" customHeight="1" x14ac:dyDescent="0.2">
      <c r="A12" s="377"/>
      <c r="B12" s="299" t="s">
        <v>59</v>
      </c>
      <c r="C12" s="299" t="s">
        <v>60</v>
      </c>
      <c r="D12" s="299"/>
      <c r="E12" s="299"/>
      <c r="F12" s="299"/>
      <c r="G12" s="376" t="s">
        <v>390</v>
      </c>
      <c r="H12" s="138"/>
      <c r="I12" s="59"/>
      <c r="J12" s="59"/>
      <c r="K12" s="59"/>
      <c r="L12" s="59"/>
      <c r="M12" s="59"/>
      <c r="N12" s="59"/>
      <c r="O12" s="58"/>
      <c r="P12" s="56">
        <f t="shared" si="1"/>
        <v>0</v>
      </c>
    </row>
    <row r="13" spans="1:16" x14ac:dyDescent="0.2">
      <c r="A13" s="377"/>
      <c r="B13" s="299" t="s">
        <v>61</v>
      </c>
      <c r="C13" s="299" t="s">
        <v>391</v>
      </c>
      <c r="D13" s="299"/>
      <c r="E13" s="299"/>
      <c r="F13" s="299"/>
      <c r="G13" s="376" t="s">
        <v>392</v>
      </c>
      <c r="H13" s="138"/>
      <c r="I13" s="59"/>
      <c r="J13" s="59"/>
      <c r="K13" s="59"/>
      <c r="L13" s="59"/>
      <c r="M13" s="59"/>
      <c r="N13" s="59"/>
      <c r="O13" s="59"/>
      <c r="P13" s="56">
        <f t="shared" si="1"/>
        <v>0</v>
      </c>
    </row>
    <row r="14" spans="1:16" x14ac:dyDescent="0.2">
      <c r="A14" s="377"/>
      <c r="B14" s="299" t="s">
        <v>71</v>
      </c>
      <c r="C14" s="299" t="s">
        <v>393</v>
      </c>
      <c r="D14" s="299"/>
      <c r="E14" s="299"/>
      <c r="F14" s="299"/>
      <c r="G14" s="376" t="s">
        <v>394</v>
      </c>
      <c r="H14" s="138"/>
      <c r="I14" s="56">
        <f t="shared" ref="I14:O14" si="2">+I15+I16+I17</f>
        <v>0</v>
      </c>
      <c r="J14" s="56">
        <f t="shared" si="2"/>
        <v>0</v>
      </c>
      <c r="K14" s="56">
        <f t="shared" si="2"/>
        <v>0</v>
      </c>
      <c r="L14" s="56">
        <f t="shared" si="2"/>
        <v>0</v>
      </c>
      <c r="M14" s="56">
        <f t="shared" si="2"/>
        <v>0</v>
      </c>
      <c r="N14" s="56">
        <f t="shared" si="2"/>
        <v>0</v>
      </c>
      <c r="O14" s="56">
        <f t="shared" si="2"/>
        <v>0</v>
      </c>
      <c r="P14" s="56">
        <f t="shared" si="1"/>
        <v>0</v>
      </c>
    </row>
    <row r="15" spans="1:16" x14ac:dyDescent="0.2">
      <c r="A15" s="377"/>
      <c r="B15" s="299"/>
      <c r="C15" s="378" t="s">
        <v>54</v>
      </c>
      <c r="D15" s="299" t="s">
        <v>63</v>
      </c>
      <c r="E15" s="299"/>
      <c r="F15" s="299"/>
      <c r="G15" s="376" t="s">
        <v>395</v>
      </c>
      <c r="H15" s="138"/>
      <c r="I15" s="59"/>
      <c r="J15" s="59"/>
      <c r="K15" s="59"/>
      <c r="L15" s="59"/>
      <c r="M15" s="59"/>
      <c r="N15" s="59"/>
      <c r="O15" s="58"/>
      <c r="P15" s="56">
        <f t="shared" si="1"/>
        <v>0</v>
      </c>
    </row>
    <row r="16" spans="1:16" x14ac:dyDescent="0.2">
      <c r="A16" s="377"/>
      <c r="B16" s="299"/>
      <c r="C16" s="378" t="s">
        <v>55</v>
      </c>
      <c r="D16" s="299" t="s">
        <v>64</v>
      </c>
      <c r="E16" s="299"/>
      <c r="F16" s="299"/>
      <c r="G16" s="376" t="s">
        <v>396</v>
      </c>
      <c r="H16" s="138"/>
      <c r="I16" s="59"/>
      <c r="J16" s="59"/>
      <c r="K16" s="59"/>
      <c r="L16" s="59"/>
      <c r="M16" s="59"/>
      <c r="N16" s="59"/>
      <c r="O16" s="58"/>
      <c r="P16" s="56">
        <f t="shared" si="1"/>
        <v>0</v>
      </c>
    </row>
    <row r="17" spans="1:16" x14ac:dyDescent="0.2">
      <c r="A17" s="377"/>
      <c r="B17" s="299"/>
      <c r="C17" s="378" t="s">
        <v>65</v>
      </c>
      <c r="D17" s="299" t="s">
        <v>66</v>
      </c>
      <c r="E17" s="299"/>
      <c r="F17" s="299"/>
      <c r="G17" s="376" t="s">
        <v>397</v>
      </c>
      <c r="H17" s="138"/>
      <c r="I17" s="59"/>
      <c r="J17" s="59"/>
      <c r="K17" s="59"/>
      <c r="L17" s="59"/>
      <c r="M17" s="59"/>
      <c r="N17" s="59"/>
      <c r="O17" s="58"/>
      <c r="P17" s="56">
        <f t="shared" si="1"/>
        <v>0</v>
      </c>
    </row>
    <row r="18" spans="1:16" x14ac:dyDescent="0.2">
      <c r="A18" s="379" t="s">
        <v>55</v>
      </c>
      <c r="B18" s="299" t="s">
        <v>398</v>
      </c>
      <c r="C18" s="378"/>
      <c r="D18" s="299"/>
      <c r="E18" s="299"/>
      <c r="F18" s="299"/>
      <c r="G18" s="376" t="s">
        <v>399</v>
      </c>
      <c r="H18" s="138"/>
      <c r="I18" s="59"/>
      <c r="J18" s="59"/>
      <c r="K18" s="59"/>
      <c r="L18" s="59"/>
      <c r="M18" s="59"/>
      <c r="N18" s="59"/>
      <c r="O18" s="58"/>
      <c r="P18" s="56">
        <f t="shared" si="1"/>
        <v>0</v>
      </c>
    </row>
    <row r="19" spans="1:16" x14ac:dyDescent="0.2">
      <c r="A19" s="379" t="s">
        <v>65</v>
      </c>
      <c r="B19" s="298" t="s">
        <v>400</v>
      </c>
      <c r="C19" s="298"/>
      <c r="D19" s="299"/>
      <c r="E19" s="299"/>
      <c r="F19" s="299"/>
      <c r="G19" s="376" t="s">
        <v>401</v>
      </c>
      <c r="H19" s="138"/>
      <c r="I19" s="56">
        <f>+I20+I21</f>
        <v>0</v>
      </c>
      <c r="J19" s="56">
        <f t="shared" ref="J19:O19" si="3">+J20+J21</f>
        <v>0</v>
      </c>
      <c r="K19" s="56">
        <f t="shared" si="3"/>
        <v>0</v>
      </c>
      <c r="L19" s="56">
        <f t="shared" si="3"/>
        <v>0</v>
      </c>
      <c r="M19" s="56">
        <f t="shared" si="3"/>
        <v>0</v>
      </c>
      <c r="N19" s="56">
        <f t="shared" si="3"/>
        <v>0</v>
      </c>
      <c r="O19" s="56">
        <f t="shared" si="3"/>
        <v>0</v>
      </c>
      <c r="P19" s="56">
        <f t="shared" si="1"/>
        <v>0</v>
      </c>
    </row>
    <row r="20" spans="1:16" x14ac:dyDescent="0.2">
      <c r="A20" s="377"/>
      <c r="B20" s="298" t="s">
        <v>59</v>
      </c>
      <c r="C20" s="225" t="s">
        <v>149</v>
      </c>
      <c r="D20" s="299"/>
      <c r="E20" s="299"/>
      <c r="F20" s="299"/>
      <c r="G20" s="376" t="s">
        <v>402</v>
      </c>
      <c r="H20" s="138"/>
      <c r="I20" s="59"/>
      <c r="J20" s="59"/>
      <c r="K20" s="59"/>
      <c r="L20" s="59"/>
      <c r="M20" s="59"/>
      <c r="N20" s="59"/>
      <c r="O20" s="58"/>
      <c r="P20" s="56">
        <f t="shared" si="1"/>
        <v>0</v>
      </c>
    </row>
    <row r="21" spans="1:16" x14ac:dyDescent="0.2">
      <c r="A21" s="377"/>
      <c r="B21" s="298" t="s">
        <v>61</v>
      </c>
      <c r="C21" s="299" t="s">
        <v>403</v>
      </c>
      <c r="D21" s="299"/>
      <c r="E21" s="299"/>
      <c r="F21" s="299"/>
      <c r="G21" s="376" t="s">
        <v>404</v>
      </c>
      <c r="H21" s="138"/>
      <c r="I21" s="59"/>
      <c r="J21" s="59"/>
      <c r="K21" s="59"/>
      <c r="L21" s="59"/>
      <c r="M21" s="59"/>
      <c r="N21" s="59"/>
      <c r="O21" s="58"/>
      <c r="P21" s="56">
        <f t="shared" si="1"/>
        <v>0</v>
      </c>
    </row>
    <row r="22" spans="1:16" x14ac:dyDescent="0.2">
      <c r="A22" s="379" t="s">
        <v>90</v>
      </c>
      <c r="B22" s="298" t="s">
        <v>405</v>
      </c>
      <c r="C22" s="298"/>
      <c r="D22" s="299"/>
      <c r="E22" s="299"/>
      <c r="F22" s="299"/>
      <c r="G22" s="376" t="s">
        <v>406</v>
      </c>
      <c r="H22" s="138"/>
      <c r="I22" s="56">
        <f>+I23+I24</f>
        <v>0</v>
      </c>
      <c r="J22" s="56">
        <f t="shared" ref="J22:O22" si="4">+J23+J24</f>
        <v>0</v>
      </c>
      <c r="K22" s="56">
        <f t="shared" si="4"/>
        <v>0</v>
      </c>
      <c r="L22" s="56">
        <f t="shared" si="4"/>
        <v>0</v>
      </c>
      <c r="M22" s="56">
        <f t="shared" si="4"/>
        <v>0</v>
      </c>
      <c r="N22" s="56">
        <f t="shared" si="4"/>
        <v>0</v>
      </c>
      <c r="O22" s="56">
        <f t="shared" si="4"/>
        <v>0</v>
      </c>
      <c r="P22" s="56">
        <f t="shared" si="1"/>
        <v>0</v>
      </c>
    </row>
    <row r="23" spans="1:16" s="212" customFormat="1" x14ac:dyDescent="0.2">
      <c r="A23" s="379"/>
      <c r="B23" s="299" t="s">
        <v>59</v>
      </c>
      <c r="C23" s="299" t="s">
        <v>78</v>
      </c>
      <c r="D23" s="299"/>
      <c r="E23" s="299"/>
      <c r="F23" s="299"/>
      <c r="G23" s="380" t="s">
        <v>407</v>
      </c>
      <c r="H23" s="161"/>
      <c r="I23" s="59"/>
      <c r="J23" s="59"/>
      <c r="K23" s="59"/>
      <c r="L23" s="59"/>
      <c r="M23" s="59"/>
      <c r="N23" s="210"/>
      <c r="O23" s="210"/>
      <c r="P23" s="56">
        <f t="shared" si="1"/>
        <v>0</v>
      </c>
    </row>
    <row r="24" spans="1:16" s="212" customFormat="1" x14ac:dyDescent="0.2">
      <c r="A24" s="379"/>
      <c r="B24" s="299" t="s">
        <v>61</v>
      </c>
      <c r="C24" s="299" t="s">
        <v>66</v>
      </c>
      <c r="D24" s="299"/>
      <c r="E24" s="299"/>
      <c r="F24" s="299"/>
      <c r="G24" s="380" t="s">
        <v>408</v>
      </c>
      <c r="H24" s="161"/>
      <c r="I24" s="59"/>
      <c r="J24" s="59"/>
      <c r="K24" s="59"/>
      <c r="L24" s="59"/>
      <c r="M24" s="59"/>
      <c r="N24" s="210"/>
      <c r="O24" s="210"/>
      <c r="P24" s="56">
        <f t="shared" si="1"/>
        <v>0</v>
      </c>
    </row>
    <row r="25" spans="1:16" x14ac:dyDescent="0.2">
      <c r="A25" s="379" t="s">
        <v>257</v>
      </c>
      <c r="B25" s="298" t="s">
        <v>409</v>
      </c>
      <c r="C25" s="298"/>
      <c r="D25" s="299"/>
      <c r="E25" s="299"/>
      <c r="F25" s="299"/>
      <c r="G25" s="376" t="s">
        <v>410</v>
      </c>
      <c r="H25" s="138"/>
      <c r="I25" s="59"/>
      <c r="J25" s="59"/>
      <c r="K25" s="59"/>
      <c r="L25" s="59"/>
      <c r="M25" s="59"/>
      <c r="N25" s="59"/>
      <c r="O25" s="58"/>
      <c r="P25" s="56">
        <f t="shared" si="1"/>
        <v>0</v>
      </c>
    </row>
    <row r="26" spans="1:16" x14ac:dyDescent="0.2">
      <c r="A26" s="375" t="s">
        <v>411</v>
      </c>
      <c r="B26" s="298"/>
      <c r="C26" s="298"/>
      <c r="D26" s="299"/>
      <c r="E26" s="299"/>
      <c r="F26" s="299"/>
      <c r="G26" s="376" t="s">
        <v>412</v>
      </c>
      <c r="H26" s="138"/>
      <c r="I26" s="140"/>
      <c r="J26" s="57">
        <f t="shared" ref="J26:O26" si="5">J27+J28+J29+J32+J33</f>
        <v>0</v>
      </c>
      <c r="K26" s="57">
        <f t="shared" si="5"/>
        <v>0</v>
      </c>
      <c r="L26" s="57">
        <f t="shared" si="5"/>
        <v>0</v>
      </c>
      <c r="M26" s="57">
        <f t="shared" si="5"/>
        <v>0</v>
      </c>
      <c r="N26" s="57">
        <f t="shared" si="5"/>
        <v>0</v>
      </c>
      <c r="O26" s="57">
        <f t="shared" si="5"/>
        <v>0</v>
      </c>
      <c r="P26" s="56">
        <f t="shared" si="1"/>
        <v>0</v>
      </c>
    </row>
    <row r="27" spans="1:16" x14ac:dyDescent="0.2">
      <c r="A27" s="379" t="s">
        <v>54</v>
      </c>
      <c r="B27" s="298" t="s">
        <v>413</v>
      </c>
      <c r="C27" s="298"/>
      <c r="D27" s="299"/>
      <c r="E27" s="299"/>
      <c r="F27" s="299"/>
      <c r="G27" s="376" t="s">
        <v>414</v>
      </c>
      <c r="H27" s="138"/>
      <c r="I27" s="139"/>
      <c r="J27" s="59"/>
      <c r="K27" s="59"/>
      <c r="L27" s="59"/>
      <c r="M27" s="59"/>
      <c r="N27" s="59"/>
      <c r="O27" s="58"/>
      <c r="P27" s="56">
        <f t="shared" si="1"/>
        <v>0</v>
      </c>
    </row>
    <row r="28" spans="1:16" x14ac:dyDescent="0.2">
      <c r="A28" s="379" t="s">
        <v>55</v>
      </c>
      <c r="B28" s="298" t="s">
        <v>88</v>
      </c>
      <c r="C28" s="298"/>
      <c r="D28" s="299"/>
      <c r="E28" s="299"/>
      <c r="F28" s="299"/>
      <c r="G28" s="376" t="s">
        <v>415</v>
      </c>
      <c r="H28" s="138"/>
      <c r="I28" s="139"/>
      <c r="J28" s="59"/>
      <c r="K28" s="59"/>
      <c r="L28" s="59"/>
      <c r="M28" s="59"/>
      <c r="N28" s="59"/>
      <c r="O28" s="58"/>
      <c r="P28" s="56">
        <f t="shared" si="1"/>
        <v>0</v>
      </c>
    </row>
    <row r="29" spans="1:16" x14ac:dyDescent="0.2">
      <c r="A29" s="379" t="s">
        <v>65</v>
      </c>
      <c r="B29" s="298" t="s">
        <v>400</v>
      </c>
      <c r="C29" s="298"/>
      <c r="D29" s="299"/>
      <c r="E29" s="299"/>
      <c r="F29" s="299"/>
      <c r="G29" s="376" t="s">
        <v>416</v>
      </c>
      <c r="H29" s="138"/>
      <c r="I29" s="139"/>
      <c r="J29" s="56">
        <f t="shared" ref="J29:O29" si="6">+J30+J31</f>
        <v>0</v>
      </c>
      <c r="K29" s="56">
        <f t="shared" si="6"/>
        <v>0</v>
      </c>
      <c r="L29" s="56">
        <f t="shared" si="6"/>
        <v>0</v>
      </c>
      <c r="M29" s="56">
        <f t="shared" si="6"/>
        <v>0</v>
      </c>
      <c r="N29" s="56">
        <f t="shared" si="6"/>
        <v>0</v>
      </c>
      <c r="O29" s="56">
        <f t="shared" si="6"/>
        <v>0</v>
      </c>
      <c r="P29" s="56">
        <f t="shared" si="1"/>
        <v>0</v>
      </c>
    </row>
    <row r="30" spans="1:16" x14ac:dyDescent="0.2">
      <c r="A30" s="377"/>
      <c r="B30" s="298" t="s">
        <v>59</v>
      </c>
      <c r="C30" s="299" t="s">
        <v>172</v>
      </c>
      <c r="D30" s="299"/>
      <c r="E30" s="299"/>
      <c r="F30" s="299"/>
      <c r="G30" s="376" t="s">
        <v>417</v>
      </c>
      <c r="H30" s="138"/>
      <c r="I30" s="139"/>
      <c r="J30" s="59"/>
      <c r="K30" s="59"/>
      <c r="L30" s="59"/>
      <c r="M30" s="59"/>
      <c r="N30" s="59"/>
      <c r="O30" s="58"/>
      <c r="P30" s="56">
        <f t="shared" si="1"/>
        <v>0</v>
      </c>
    </row>
    <row r="31" spans="1:16" x14ac:dyDescent="0.2">
      <c r="A31" s="377"/>
      <c r="B31" s="298" t="s">
        <v>61</v>
      </c>
      <c r="C31" s="299" t="s">
        <v>403</v>
      </c>
      <c r="D31" s="299"/>
      <c r="E31" s="299"/>
      <c r="F31" s="299"/>
      <c r="G31" s="376" t="s">
        <v>418</v>
      </c>
      <c r="H31" s="138"/>
      <c r="I31" s="139"/>
      <c r="J31" s="59"/>
      <c r="K31" s="59"/>
      <c r="L31" s="59"/>
      <c r="M31" s="59"/>
      <c r="N31" s="59"/>
      <c r="O31" s="58"/>
      <c r="P31" s="56">
        <f t="shared" si="1"/>
        <v>0</v>
      </c>
    </row>
    <row r="32" spans="1:16" x14ac:dyDescent="0.2">
      <c r="A32" s="379" t="s">
        <v>90</v>
      </c>
      <c r="B32" s="298" t="s">
        <v>419</v>
      </c>
      <c r="C32" s="298"/>
      <c r="D32" s="299"/>
      <c r="E32" s="299"/>
      <c r="F32" s="299"/>
      <c r="G32" s="376" t="s">
        <v>420</v>
      </c>
      <c r="H32" s="138"/>
      <c r="I32" s="139"/>
      <c r="J32" s="59"/>
      <c r="K32" s="59"/>
      <c r="L32" s="59"/>
      <c r="M32" s="59"/>
      <c r="N32" s="59"/>
      <c r="O32" s="58"/>
      <c r="P32" s="56">
        <f t="shared" si="1"/>
        <v>0</v>
      </c>
    </row>
    <row r="33" spans="1:28" x14ac:dyDescent="0.2">
      <c r="A33" s="379" t="s">
        <v>257</v>
      </c>
      <c r="B33" s="298" t="s">
        <v>409</v>
      </c>
      <c r="C33" s="298"/>
      <c r="D33" s="299"/>
      <c r="E33" s="299"/>
      <c r="F33" s="299"/>
      <c r="G33" s="376" t="s">
        <v>421</v>
      </c>
      <c r="H33" s="138"/>
      <c r="I33" s="139"/>
      <c r="J33" s="59"/>
      <c r="K33" s="59"/>
      <c r="L33" s="59"/>
      <c r="M33" s="59"/>
      <c r="N33" s="59"/>
      <c r="O33" s="58"/>
      <c r="P33" s="56">
        <f t="shared" si="1"/>
        <v>0</v>
      </c>
    </row>
    <row r="34" spans="1:28" x14ac:dyDescent="0.2">
      <c r="A34" s="296" t="s">
        <v>140</v>
      </c>
      <c r="B34" s="381"/>
      <c r="C34" s="381"/>
      <c r="D34" s="381"/>
      <c r="E34" s="381"/>
      <c r="F34" s="381"/>
      <c r="G34" s="282" t="s">
        <v>422</v>
      </c>
      <c r="H34" s="141"/>
      <c r="I34" s="56">
        <f>+I10+I26</f>
        <v>0</v>
      </c>
      <c r="J34" s="56">
        <f t="shared" ref="J34:O34" si="7">+J10+J26</f>
        <v>0</v>
      </c>
      <c r="K34" s="56">
        <f t="shared" si="7"/>
        <v>0</v>
      </c>
      <c r="L34" s="56">
        <f t="shared" si="7"/>
        <v>0</v>
      </c>
      <c r="M34" s="56">
        <f t="shared" si="7"/>
        <v>0</v>
      </c>
      <c r="N34" s="56">
        <f t="shared" si="7"/>
        <v>0</v>
      </c>
      <c r="O34" s="56">
        <f t="shared" si="7"/>
        <v>0</v>
      </c>
      <c r="P34" s="56">
        <f t="shared" si="1"/>
        <v>0</v>
      </c>
    </row>
    <row r="35" spans="1:28" x14ac:dyDescent="0.2">
      <c r="A35" s="382" t="s">
        <v>177</v>
      </c>
      <c r="B35" s="299"/>
      <c r="C35" s="299"/>
      <c r="D35" s="299"/>
      <c r="E35" s="299"/>
      <c r="F35" s="299"/>
      <c r="G35" s="383"/>
      <c r="H35" s="142"/>
      <c r="I35" s="143"/>
      <c r="J35" s="78"/>
      <c r="K35" s="78"/>
      <c r="L35" s="78"/>
      <c r="M35" s="78"/>
      <c r="N35" s="78"/>
      <c r="O35" s="78"/>
      <c r="P35" s="56"/>
      <c r="Q35" s="144"/>
      <c r="R35" s="144"/>
      <c r="S35" s="144"/>
      <c r="T35" s="144"/>
      <c r="U35" s="144"/>
      <c r="V35" s="145"/>
      <c r="W35" s="145"/>
      <c r="X35" s="145"/>
      <c r="Y35" s="145"/>
      <c r="Z35" s="145"/>
      <c r="AA35" s="145"/>
      <c r="AB35" s="145"/>
    </row>
    <row r="36" spans="1:28" ht="11.25" customHeight="1" x14ac:dyDescent="0.2">
      <c r="A36" s="321" t="s">
        <v>54</v>
      </c>
      <c r="B36" s="661" t="s">
        <v>178</v>
      </c>
      <c r="C36" s="661"/>
      <c r="D36" s="661"/>
      <c r="E36" s="661"/>
      <c r="F36" s="661"/>
      <c r="G36" s="384" t="s">
        <v>423</v>
      </c>
      <c r="H36" s="146"/>
      <c r="I36" s="56">
        <f t="shared" ref="I36:O36" si="8">I37+I38+I39</f>
        <v>0</v>
      </c>
      <c r="J36" s="57">
        <f t="shared" si="8"/>
        <v>0</v>
      </c>
      <c r="K36" s="56">
        <f t="shared" si="8"/>
        <v>0</v>
      </c>
      <c r="L36" s="57">
        <f t="shared" si="8"/>
        <v>0</v>
      </c>
      <c r="M36" s="56">
        <f t="shared" si="8"/>
        <v>0</v>
      </c>
      <c r="N36" s="57">
        <f t="shared" si="8"/>
        <v>0</v>
      </c>
      <c r="O36" s="56">
        <f t="shared" si="8"/>
        <v>0</v>
      </c>
      <c r="P36" s="56">
        <f t="shared" ref="P36:P56" si="9">I36+K36+M36+O36</f>
        <v>0</v>
      </c>
      <c r="Q36" s="144"/>
      <c r="R36" s="144"/>
      <c r="S36" s="144"/>
      <c r="T36" s="144"/>
      <c r="U36" s="144"/>
      <c r="V36" s="145"/>
      <c r="W36" s="145"/>
      <c r="X36" s="145"/>
      <c r="Y36" s="145"/>
      <c r="Z36" s="145"/>
      <c r="AA36" s="145"/>
      <c r="AB36" s="145"/>
    </row>
    <row r="37" spans="1:28" ht="11.25" customHeight="1" x14ac:dyDescent="0.2">
      <c r="A37" s="321"/>
      <c r="B37" s="321" t="s">
        <v>180</v>
      </c>
      <c r="C37" s="385" t="s">
        <v>181</v>
      </c>
      <c r="D37" s="381"/>
      <c r="E37" s="381"/>
      <c r="F37" s="381"/>
      <c r="G37" s="376" t="s">
        <v>424</v>
      </c>
      <c r="H37" s="138"/>
      <c r="I37" s="58"/>
      <c r="J37" s="59"/>
      <c r="K37" s="59"/>
      <c r="L37" s="59"/>
      <c r="M37" s="59"/>
      <c r="N37" s="59"/>
      <c r="O37" s="59"/>
      <c r="P37" s="56">
        <f t="shared" si="9"/>
        <v>0</v>
      </c>
      <c r="Q37" s="144"/>
      <c r="R37" s="144"/>
      <c r="S37" s="144"/>
      <c r="T37" s="144"/>
      <c r="U37" s="144"/>
      <c r="V37" s="145"/>
      <c r="W37" s="145"/>
      <c r="X37" s="145"/>
      <c r="Y37" s="145"/>
      <c r="Z37" s="145"/>
      <c r="AA37" s="145"/>
      <c r="AB37" s="145"/>
    </row>
    <row r="38" spans="1:28" ht="11.25" customHeight="1" x14ac:dyDescent="0.2">
      <c r="A38" s="321"/>
      <c r="B38" s="321" t="s">
        <v>183</v>
      </c>
      <c r="C38" s="299" t="s">
        <v>191</v>
      </c>
      <c r="D38" s="327"/>
      <c r="E38" s="327"/>
      <c r="F38" s="327"/>
      <c r="G38" s="376" t="s">
        <v>425</v>
      </c>
      <c r="H38" s="138"/>
      <c r="I38" s="58"/>
      <c r="J38" s="59"/>
      <c r="K38" s="59"/>
      <c r="L38" s="59"/>
      <c r="M38" s="59"/>
      <c r="N38" s="59"/>
      <c r="O38" s="59"/>
      <c r="P38" s="56">
        <f t="shared" si="9"/>
        <v>0</v>
      </c>
      <c r="Q38" s="144"/>
      <c r="R38" s="144"/>
      <c r="S38" s="144"/>
      <c r="T38" s="144"/>
      <c r="U38" s="144"/>
      <c r="V38" s="145"/>
      <c r="W38" s="145"/>
      <c r="X38" s="145"/>
      <c r="Y38" s="145"/>
      <c r="Z38" s="145"/>
      <c r="AA38" s="145"/>
      <c r="AB38" s="145"/>
    </row>
    <row r="39" spans="1:28" x14ac:dyDescent="0.2">
      <c r="A39" s="321"/>
      <c r="B39" s="321" t="s">
        <v>193</v>
      </c>
      <c r="C39" s="299" t="s">
        <v>194</v>
      </c>
      <c r="D39" s="299"/>
      <c r="E39" s="299"/>
      <c r="F39" s="299"/>
      <c r="G39" s="376" t="s">
        <v>426</v>
      </c>
      <c r="H39" s="138"/>
      <c r="I39" s="58"/>
      <c r="J39" s="59"/>
      <c r="K39" s="59"/>
      <c r="L39" s="59"/>
      <c r="M39" s="59"/>
      <c r="N39" s="59"/>
      <c r="O39" s="59"/>
      <c r="P39" s="56">
        <f t="shared" si="9"/>
        <v>0</v>
      </c>
      <c r="Q39" s="144"/>
      <c r="R39" s="144"/>
      <c r="S39" s="144"/>
      <c r="T39" s="144"/>
      <c r="U39" s="144"/>
      <c r="V39" s="145"/>
      <c r="W39" s="145"/>
      <c r="X39" s="145"/>
      <c r="Y39" s="145"/>
      <c r="Z39" s="145"/>
      <c r="AA39" s="145"/>
      <c r="AB39" s="145"/>
    </row>
    <row r="40" spans="1:28" ht="12.75" customHeight="1" x14ac:dyDescent="0.2">
      <c r="A40" s="321" t="s">
        <v>55</v>
      </c>
      <c r="B40" s="866" t="s">
        <v>196</v>
      </c>
      <c r="C40" s="866"/>
      <c r="D40" s="866"/>
      <c r="E40" s="866"/>
      <c r="F40" s="866"/>
      <c r="G40" s="376" t="s">
        <v>427</v>
      </c>
      <c r="H40" s="138"/>
      <c r="I40" s="147">
        <f t="shared" ref="I40:O40" si="10">I41+I42</f>
        <v>0</v>
      </c>
      <c r="J40" s="211">
        <f t="shared" si="10"/>
        <v>0</v>
      </c>
      <c r="K40" s="147">
        <f t="shared" si="10"/>
        <v>0</v>
      </c>
      <c r="L40" s="211">
        <f t="shared" si="10"/>
        <v>0</v>
      </c>
      <c r="M40" s="147">
        <f t="shared" si="10"/>
        <v>0</v>
      </c>
      <c r="N40" s="211">
        <f t="shared" si="10"/>
        <v>0</v>
      </c>
      <c r="O40" s="147">
        <f t="shared" si="10"/>
        <v>0</v>
      </c>
      <c r="P40" s="56">
        <f t="shared" si="9"/>
        <v>0</v>
      </c>
    </row>
    <row r="41" spans="1:28" x14ac:dyDescent="0.2">
      <c r="A41" s="381"/>
      <c r="B41" s="299" t="s">
        <v>180</v>
      </c>
      <c r="C41" s="299" t="s">
        <v>198</v>
      </c>
      <c r="D41" s="299"/>
      <c r="E41" s="299"/>
      <c r="F41" s="299"/>
      <c r="G41" s="376" t="s">
        <v>428</v>
      </c>
      <c r="H41" s="138"/>
      <c r="I41" s="59"/>
      <c r="J41" s="59"/>
      <c r="K41" s="58"/>
      <c r="L41" s="59"/>
      <c r="M41" s="58"/>
      <c r="N41" s="59"/>
      <c r="O41" s="58"/>
      <c r="P41" s="56">
        <f t="shared" si="9"/>
        <v>0</v>
      </c>
    </row>
    <row r="42" spans="1:28" x14ac:dyDescent="0.2">
      <c r="A42" s="381"/>
      <c r="B42" s="299" t="s">
        <v>183</v>
      </c>
      <c r="C42" s="299" t="s">
        <v>200</v>
      </c>
      <c r="D42" s="299"/>
      <c r="E42" s="299"/>
      <c r="F42" s="299"/>
      <c r="G42" s="376" t="s">
        <v>429</v>
      </c>
      <c r="H42" s="138"/>
      <c r="I42" s="57">
        <f t="shared" ref="I42:O42" si="11">I43+I45+I46+I47+I48+I49</f>
        <v>0</v>
      </c>
      <c r="J42" s="57">
        <f t="shared" si="11"/>
        <v>0</v>
      </c>
      <c r="K42" s="57">
        <f t="shared" si="11"/>
        <v>0</v>
      </c>
      <c r="L42" s="57">
        <f t="shared" si="11"/>
        <v>0</v>
      </c>
      <c r="M42" s="57">
        <f t="shared" si="11"/>
        <v>0</v>
      </c>
      <c r="N42" s="57">
        <f t="shared" si="11"/>
        <v>0</v>
      </c>
      <c r="O42" s="57">
        <f t="shared" si="11"/>
        <v>0</v>
      </c>
      <c r="P42" s="56">
        <f t="shared" si="9"/>
        <v>0</v>
      </c>
    </row>
    <row r="43" spans="1:28" x14ac:dyDescent="0.2">
      <c r="A43" s="381"/>
      <c r="B43" s="299"/>
      <c r="C43" s="378" t="s">
        <v>161</v>
      </c>
      <c r="D43" s="299" t="s">
        <v>202</v>
      </c>
      <c r="E43" s="299"/>
      <c r="F43" s="299"/>
      <c r="G43" s="376" t="s">
        <v>430</v>
      </c>
      <c r="H43" s="138"/>
      <c r="I43" s="59"/>
      <c r="J43" s="59"/>
      <c r="K43" s="59"/>
      <c r="L43" s="59"/>
      <c r="M43" s="59"/>
      <c r="N43" s="59"/>
      <c r="O43" s="59"/>
      <c r="P43" s="56">
        <f t="shared" si="9"/>
        <v>0</v>
      </c>
    </row>
    <row r="44" spans="1:28" x14ac:dyDescent="0.2">
      <c r="A44" s="381"/>
      <c r="B44" s="299"/>
      <c r="C44" s="299"/>
      <c r="D44" s="299" t="s">
        <v>204</v>
      </c>
      <c r="E44" s="299"/>
      <c r="F44" s="299"/>
      <c r="G44" s="376" t="s">
        <v>431</v>
      </c>
      <c r="H44" s="138"/>
      <c r="I44" s="59"/>
      <c r="J44" s="59"/>
      <c r="K44" s="58"/>
      <c r="L44" s="59"/>
      <c r="M44" s="58"/>
      <c r="N44" s="59"/>
      <c r="O44" s="58"/>
      <c r="P44" s="56">
        <f t="shared" si="9"/>
        <v>0</v>
      </c>
    </row>
    <row r="45" spans="1:28" x14ac:dyDescent="0.2">
      <c r="A45" s="381"/>
      <c r="B45" s="299"/>
      <c r="C45" s="378" t="s">
        <v>164</v>
      </c>
      <c r="D45" s="299" t="s">
        <v>689</v>
      </c>
      <c r="E45" s="299"/>
      <c r="F45" s="299"/>
      <c r="G45" s="376" t="s">
        <v>432</v>
      </c>
      <c r="H45" s="138"/>
      <c r="I45" s="59"/>
      <c r="J45" s="59"/>
      <c r="K45" s="58"/>
      <c r="L45" s="59"/>
      <c r="M45" s="58"/>
      <c r="N45" s="59"/>
      <c r="O45" s="58"/>
      <c r="P45" s="56">
        <f t="shared" si="9"/>
        <v>0</v>
      </c>
    </row>
    <row r="46" spans="1:28" x14ac:dyDescent="0.2">
      <c r="A46" s="381"/>
      <c r="B46" s="299"/>
      <c r="C46" s="378" t="s">
        <v>207</v>
      </c>
      <c r="D46" s="225" t="s">
        <v>690</v>
      </c>
      <c r="E46" s="225"/>
      <c r="F46" s="225"/>
      <c r="G46" s="376" t="s">
        <v>433</v>
      </c>
      <c r="H46" s="138"/>
      <c r="I46" s="59"/>
      <c r="J46" s="59"/>
      <c r="K46" s="58"/>
      <c r="L46" s="59"/>
      <c r="M46" s="58"/>
      <c r="N46" s="59"/>
      <c r="O46" s="58"/>
      <c r="P46" s="56">
        <f t="shared" si="9"/>
        <v>0</v>
      </c>
    </row>
    <row r="47" spans="1:28" x14ac:dyDescent="0.2">
      <c r="A47" s="386"/>
      <c r="B47" s="387"/>
      <c r="C47" s="388" t="s">
        <v>209</v>
      </c>
      <c r="D47" s="387" t="s">
        <v>210</v>
      </c>
      <c r="E47" s="387"/>
      <c r="F47" s="387"/>
      <c r="G47" s="376" t="s">
        <v>434</v>
      </c>
      <c r="H47" s="138"/>
      <c r="I47" s="59"/>
      <c r="J47" s="59"/>
      <c r="K47" s="58"/>
      <c r="L47" s="59"/>
      <c r="M47" s="58"/>
      <c r="N47" s="59"/>
      <c r="O47" s="58"/>
      <c r="P47" s="56">
        <f t="shared" si="9"/>
        <v>0</v>
      </c>
    </row>
    <row r="48" spans="1:28" x14ac:dyDescent="0.2">
      <c r="A48" s="386"/>
      <c r="B48" s="387"/>
      <c r="C48" s="388" t="s">
        <v>465</v>
      </c>
      <c r="D48" s="387" t="s">
        <v>691</v>
      </c>
      <c r="E48" s="387"/>
      <c r="F48" s="387"/>
      <c r="G48" s="338" t="s">
        <v>723</v>
      </c>
      <c r="H48" s="138"/>
      <c r="I48" s="59"/>
      <c r="J48" s="59"/>
      <c r="K48" s="58"/>
      <c r="L48" s="59"/>
      <c r="M48" s="58"/>
      <c r="N48" s="59"/>
      <c r="O48" s="58"/>
      <c r="P48" s="56">
        <f t="shared" si="9"/>
        <v>0</v>
      </c>
    </row>
    <row r="49" spans="1:16" x14ac:dyDescent="0.2">
      <c r="A49" s="386"/>
      <c r="B49" s="387"/>
      <c r="C49" s="388" t="s">
        <v>467</v>
      </c>
      <c r="D49" s="387" t="s">
        <v>692</v>
      </c>
      <c r="E49" s="387"/>
      <c r="F49" s="387"/>
      <c r="G49" s="338" t="s">
        <v>724</v>
      </c>
      <c r="H49" s="138"/>
      <c r="I49" s="59"/>
      <c r="J49" s="59"/>
      <c r="K49" s="58"/>
      <c r="L49" s="59"/>
      <c r="M49" s="58"/>
      <c r="N49" s="59"/>
      <c r="O49" s="58"/>
      <c r="P49" s="56">
        <f t="shared" si="9"/>
        <v>0</v>
      </c>
    </row>
    <row r="50" spans="1:16" x14ac:dyDescent="0.2">
      <c r="A50" s="310" t="s">
        <v>1284</v>
      </c>
      <c r="B50" s="302" t="s">
        <v>92</v>
      </c>
      <c r="C50" s="302"/>
      <c r="D50" s="302"/>
      <c r="E50" s="315"/>
      <c r="F50" s="316"/>
      <c r="G50" s="317" t="s">
        <v>1293</v>
      </c>
      <c r="I50" s="41">
        <f>I51+I52+I53</f>
        <v>0</v>
      </c>
      <c r="J50" s="41">
        <f t="shared" ref="J50:O50" si="12">J51+J52+J53</f>
        <v>0</v>
      </c>
      <c r="K50" s="41">
        <f t="shared" si="12"/>
        <v>0</v>
      </c>
      <c r="L50" s="41">
        <f t="shared" si="12"/>
        <v>0</v>
      </c>
      <c r="M50" s="41">
        <f t="shared" si="12"/>
        <v>0</v>
      </c>
      <c r="N50" s="41">
        <f t="shared" si="12"/>
        <v>0</v>
      </c>
      <c r="O50" s="41">
        <f t="shared" si="12"/>
        <v>0</v>
      </c>
      <c r="P50" s="57">
        <f t="shared" si="9"/>
        <v>0</v>
      </c>
    </row>
    <row r="51" spans="1:16" x14ac:dyDescent="0.2">
      <c r="A51" s="225"/>
      <c r="B51" s="225" t="s">
        <v>180</v>
      </c>
      <c r="C51" s="629" t="s">
        <v>101</v>
      </c>
      <c r="D51" s="630"/>
      <c r="E51" s="631"/>
      <c r="F51" s="632"/>
      <c r="G51" s="317" t="s">
        <v>1294</v>
      </c>
      <c r="I51" s="254"/>
      <c r="J51" s="254"/>
      <c r="K51" s="254"/>
      <c r="L51" s="254"/>
      <c r="M51" s="254"/>
      <c r="N51" s="288"/>
      <c r="O51" s="288"/>
      <c r="P51" s="57">
        <f t="shared" si="9"/>
        <v>0</v>
      </c>
    </row>
    <row r="52" spans="1:16" x14ac:dyDescent="0.2">
      <c r="A52" s="321"/>
      <c r="B52" s="627" t="s">
        <v>183</v>
      </c>
      <c r="C52" s="627" t="s">
        <v>1471</v>
      </c>
      <c r="D52" s="315"/>
      <c r="E52" s="330"/>
      <c r="F52" s="322"/>
      <c r="G52" s="628" t="s">
        <v>1295</v>
      </c>
      <c r="I52" s="254"/>
      <c r="J52" s="254"/>
      <c r="K52" s="254"/>
      <c r="L52" s="254"/>
      <c r="M52" s="254"/>
      <c r="N52" s="137"/>
      <c r="O52" s="137"/>
      <c r="P52" s="57">
        <f t="shared" si="9"/>
        <v>0</v>
      </c>
    </row>
    <row r="53" spans="1:16" x14ac:dyDescent="0.2">
      <c r="A53" s="321"/>
      <c r="B53" s="225" t="s">
        <v>193</v>
      </c>
      <c r="C53" s="633" t="s">
        <v>1288</v>
      </c>
      <c r="D53" s="633"/>
      <c r="E53" s="634"/>
      <c r="F53" s="635"/>
      <c r="G53" s="317" t="s">
        <v>1296</v>
      </c>
      <c r="I53" s="41">
        <f>I54+I55</f>
        <v>0</v>
      </c>
      <c r="J53" s="41">
        <f t="shared" ref="J53:O53" si="13">J54+J55</f>
        <v>0</v>
      </c>
      <c r="K53" s="41">
        <f t="shared" si="13"/>
        <v>0</v>
      </c>
      <c r="L53" s="41">
        <f t="shared" si="13"/>
        <v>0</v>
      </c>
      <c r="M53" s="41">
        <f t="shared" si="13"/>
        <v>0</v>
      </c>
      <c r="N53" s="41">
        <f t="shared" si="13"/>
        <v>0</v>
      </c>
      <c r="O53" s="41">
        <f t="shared" si="13"/>
        <v>0</v>
      </c>
      <c r="P53" s="57">
        <f t="shared" si="9"/>
        <v>0</v>
      </c>
    </row>
    <row r="54" spans="1:16" x14ac:dyDescent="0.2">
      <c r="A54" s="321"/>
      <c r="B54" s="225"/>
      <c r="C54" s="323" t="s">
        <v>161</v>
      </c>
      <c r="D54" s="623" t="s">
        <v>1472</v>
      </c>
      <c r="E54" s="322"/>
      <c r="F54" s="307"/>
      <c r="G54" s="317" t="s">
        <v>1297</v>
      </c>
      <c r="I54" s="254"/>
      <c r="J54" s="254"/>
      <c r="K54" s="254"/>
      <c r="L54" s="254"/>
      <c r="M54" s="254"/>
      <c r="N54" s="210"/>
      <c r="O54" s="293"/>
      <c r="P54" s="57">
        <f t="shared" si="9"/>
        <v>0</v>
      </c>
    </row>
    <row r="55" spans="1:16" x14ac:dyDescent="0.2">
      <c r="A55" s="321"/>
      <c r="B55" s="299"/>
      <c r="C55" s="310" t="s">
        <v>164</v>
      </c>
      <c r="D55" s="623" t="s">
        <v>1473</v>
      </c>
      <c r="E55" s="315"/>
      <c r="F55" s="316"/>
      <c r="G55" s="317" t="s">
        <v>1298</v>
      </c>
      <c r="I55" s="254"/>
      <c r="J55" s="254"/>
      <c r="K55" s="254"/>
      <c r="L55" s="254"/>
      <c r="M55" s="254"/>
      <c r="N55" s="210"/>
      <c r="O55" s="293"/>
      <c r="P55" s="57">
        <f t="shared" si="9"/>
        <v>0</v>
      </c>
    </row>
    <row r="56" spans="1:16" x14ac:dyDescent="0.2">
      <c r="A56" s="430" t="s">
        <v>90</v>
      </c>
      <c r="B56" s="853" t="s">
        <v>47</v>
      </c>
      <c r="C56" s="853"/>
      <c r="D56" s="853"/>
      <c r="E56" s="853"/>
      <c r="F56" s="854"/>
      <c r="G56" s="431" t="s">
        <v>1314</v>
      </c>
      <c r="H56" s="432"/>
      <c r="I56" s="41">
        <f t="shared" ref="I56:O56" si="14">SUM(I57:I59)</f>
        <v>0</v>
      </c>
      <c r="J56" s="41">
        <f t="shared" si="14"/>
        <v>0</v>
      </c>
      <c r="K56" s="41">
        <f t="shared" si="14"/>
        <v>0</v>
      </c>
      <c r="L56" s="41">
        <f t="shared" si="14"/>
        <v>0</v>
      </c>
      <c r="M56" s="41">
        <f t="shared" si="14"/>
        <v>0</v>
      </c>
      <c r="N56" s="41">
        <f t="shared" si="14"/>
        <v>0</v>
      </c>
      <c r="O56" s="41">
        <f t="shared" si="14"/>
        <v>0</v>
      </c>
      <c r="P56" s="41">
        <f t="shared" si="9"/>
        <v>0</v>
      </c>
    </row>
    <row r="57" spans="1:16" x14ac:dyDescent="0.2">
      <c r="A57" s="433"/>
      <c r="B57" s="434" t="s">
        <v>180</v>
      </c>
      <c r="C57" s="434" t="s">
        <v>101</v>
      </c>
      <c r="D57" s="434"/>
      <c r="E57" s="434"/>
      <c r="F57" s="435"/>
      <c r="G57" s="431" t="s">
        <v>1315</v>
      </c>
      <c r="H57" s="432"/>
      <c r="I57" s="254"/>
      <c r="J57" s="254"/>
      <c r="K57" s="254"/>
      <c r="L57" s="254"/>
      <c r="M57" s="254"/>
      <c r="N57" s="254"/>
      <c r="O57" s="254"/>
      <c r="P57" s="41">
        <f>I57+K57+M57+O57</f>
        <v>0</v>
      </c>
    </row>
    <row r="58" spans="1:16" x14ac:dyDescent="0.2">
      <c r="A58" s="433"/>
      <c r="B58" s="434" t="s">
        <v>183</v>
      </c>
      <c r="C58" s="434" t="s">
        <v>1471</v>
      </c>
      <c r="D58" s="434"/>
      <c r="E58" s="434"/>
      <c r="F58" s="435"/>
      <c r="G58" s="431" t="s">
        <v>1316</v>
      </c>
      <c r="H58" s="432"/>
      <c r="I58" s="254"/>
      <c r="J58" s="254"/>
      <c r="K58" s="254"/>
      <c r="L58" s="254"/>
      <c r="M58" s="254"/>
      <c r="N58" s="41"/>
      <c r="O58" s="41"/>
      <c r="P58" s="41">
        <f>I58+K58+M58+O58</f>
        <v>0</v>
      </c>
    </row>
    <row r="59" spans="1:16" x14ac:dyDescent="0.2">
      <c r="A59" s="433"/>
      <c r="B59" s="434" t="s">
        <v>193</v>
      </c>
      <c r="C59" s="434" t="s">
        <v>1288</v>
      </c>
      <c r="D59" s="434"/>
      <c r="E59" s="434"/>
      <c r="F59" s="435"/>
      <c r="G59" s="431" t="s">
        <v>1317</v>
      </c>
      <c r="H59" s="432"/>
      <c r="I59" s="41">
        <f t="shared" ref="I59:O59" si="15">SUM(I60:I61)</f>
        <v>0</v>
      </c>
      <c r="J59" s="41">
        <f t="shared" si="15"/>
        <v>0</v>
      </c>
      <c r="K59" s="41">
        <f t="shared" si="15"/>
        <v>0</v>
      </c>
      <c r="L59" s="41">
        <f t="shared" si="15"/>
        <v>0</v>
      </c>
      <c r="M59" s="41">
        <f t="shared" si="15"/>
        <v>0</v>
      </c>
      <c r="N59" s="41">
        <f t="shared" si="15"/>
        <v>0</v>
      </c>
      <c r="O59" s="41">
        <f t="shared" si="15"/>
        <v>0</v>
      </c>
      <c r="P59" s="41">
        <f>I59+K59+M59+O59</f>
        <v>0</v>
      </c>
    </row>
    <row r="60" spans="1:16" x14ac:dyDescent="0.2">
      <c r="A60" s="433"/>
      <c r="B60" s="434"/>
      <c r="C60" s="436" t="s">
        <v>161</v>
      </c>
      <c r="D60" s="623" t="s">
        <v>1472</v>
      </c>
      <c r="E60" s="434"/>
      <c r="F60" s="435"/>
      <c r="G60" s="431" t="s">
        <v>1318</v>
      </c>
      <c r="H60" s="432"/>
      <c r="I60" s="254"/>
      <c r="J60" s="254"/>
      <c r="K60" s="254"/>
      <c r="L60" s="254"/>
      <c r="M60" s="254"/>
      <c r="N60" s="41"/>
      <c r="O60" s="41"/>
      <c r="P60" s="41">
        <f>I60+K60+M60+O60</f>
        <v>0</v>
      </c>
    </row>
    <row r="61" spans="1:16" x14ac:dyDescent="0.2">
      <c r="A61" s="433"/>
      <c r="B61" s="434"/>
      <c r="C61" s="436" t="s">
        <v>164</v>
      </c>
      <c r="D61" s="623" t="s">
        <v>1473</v>
      </c>
      <c r="E61" s="434"/>
      <c r="F61" s="435"/>
      <c r="G61" s="431" t="s">
        <v>1319</v>
      </c>
      <c r="H61" s="432"/>
      <c r="I61" s="254"/>
      <c r="J61" s="254"/>
      <c r="K61" s="254"/>
      <c r="L61" s="254"/>
      <c r="M61" s="254"/>
      <c r="N61" s="41"/>
      <c r="O61" s="41"/>
      <c r="P61" s="41">
        <f>I61+K61+M61+O61</f>
        <v>0</v>
      </c>
    </row>
    <row r="62" spans="1:16" ht="13.5" x14ac:dyDescent="0.25">
      <c r="G62" s="232" t="s">
        <v>108</v>
      </c>
    </row>
  </sheetData>
  <sheetProtection password="A5D8" sheet="1" objects="1" scenarios="1" selectLockedCells="1"/>
  <dataConsolidate/>
  <mergeCells count="19">
    <mergeCell ref="B40:F40"/>
    <mergeCell ref="A4:F9"/>
    <mergeCell ref="M7:M9"/>
    <mergeCell ref="J4:K6"/>
    <mergeCell ref="L4:M6"/>
    <mergeCell ref="L7:L9"/>
    <mergeCell ref="I4:I9"/>
    <mergeCell ref="G4:G9"/>
    <mergeCell ref="J7:J9"/>
    <mergeCell ref="B56:F56"/>
    <mergeCell ref="A1:P1"/>
    <mergeCell ref="A2:P2"/>
    <mergeCell ref="A3:P3"/>
    <mergeCell ref="N4:O6"/>
    <mergeCell ref="P4:P9"/>
    <mergeCell ref="N7:N9"/>
    <mergeCell ref="O7:O9"/>
    <mergeCell ref="K7:K9"/>
    <mergeCell ref="B36:F36"/>
  </mergeCells>
  <phoneticPr fontId="2" type="noConversion"/>
  <dataValidations count="4">
    <dataValidation type="decimal" allowBlank="1" showInputMessage="1" showErrorMessage="1" error="Invalid data is entered!" sqref="I45:O49 I41:O41 I37:O39 I23:O25 I13:M13 I20:O21 N57:O57 I15:O18 I12:O12 J27:O33">
      <formula1>0</formula1>
      <formula2>99999999999999900</formula2>
    </dataValidation>
    <dataValidation type="decimal" operator="lessThanOrEqual" allowBlank="1" showInputMessage="1" showErrorMessage="1" error="Invalid data is entered!" sqref="I44:O44">
      <formula1>I43</formula1>
    </dataValidation>
    <dataValidation type="decimal" operator="greaterThanOrEqual" allowBlank="1" showInputMessage="1" showErrorMessage="1" error="Invalid data is entered!" sqref="I43:O43">
      <formula1>I44</formula1>
    </dataValidation>
    <dataValidation type="decimal" allowBlank="1" showInputMessage="1" showErrorMessage="1" sqref="I50:O51 I53:O53 I52:M52 N58:O61 I57:M61 I54:M55">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12&amp;10&amp;U
&amp;8&amp;P of &amp;N&amp;C&amp;"Arial,Bold"&amp;8 NEW RURAL BANK OF SAN LEONARDO, INC  [ 04-040656 ]
 As of: September 30, 2017</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R230"/>
  <sheetViews>
    <sheetView zoomScale="85" workbookViewId="0">
      <pane xSplit="8" ySplit="9" topLeftCell="I10" activePane="bottomRight" state="frozen"/>
      <selection pane="topRight" activeCell="I1" sqref="I1"/>
      <selection pane="bottomLeft" activeCell="A9" sqref="A9"/>
      <selection pane="bottomRight" sqref="A1:Q1"/>
    </sheetView>
  </sheetViews>
  <sheetFormatPr defaultRowHeight="11.25" x14ac:dyDescent="0.2"/>
  <cols>
    <col min="1" max="1" width="2.7109375" style="131" customWidth="1"/>
    <col min="2" max="2" width="2.42578125" style="131" customWidth="1"/>
    <col min="3" max="5" width="2.85546875" style="131" customWidth="1"/>
    <col min="6" max="6" width="21.42578125" style="131" customWidth="1"/>
    <col min="7" max="7" width="16" style="154" customWidth="1"/>
    <col min="8" max="8" width="23.140625" style="155" hidden="1" customWidth="1"/>
    <col min="9" max="18" width="25.7109375" style="133" customWidth="1"/>
    <col min="19" max="16384" width="9.140625" style="131"/>
  </cols>
  <sheetData>
    <row r="1" spans="1:18" s="247" customFormat="1" ht="11.25" customHeight="1" x14ac:dyDescent="0.2">
      <c r="A1" s="869" t="s">
        <v>435</v>
      </c>
      <c r="B1" s="869"/>
      <c r="C1" s="869"/>
      <c r="D1" s="869"/>
      <c r="E1" s="869"/>
      <c r="F1" s="869"/>
      <c r="G1" s="869"/>
      <c r="H1" s="869"/>
      <c r="I1" s="869"/>
      <c r="J1" s="869"/>
      <c r="K1" s="869"/>
      <c r="L1" s="869"/>
      <c r="M1" s="869"/>
      <c r="N1" s="869"/>
      <c r="O1" s="869"/>
      <c r="P1" s="869"/>
      <c r="Q1" s="869"/>
      <c r="R1" s="246"/>
    </row>
    <row r="2" spans="1:18" s="247" customFormat="1" ht="11.25" customHeight="1" x14ac:dyDescent="0.2">
      <c r="A2" s="869" t="s">
        <v>436</v>
      </c>
      <c r="B2" s="869"/>
      <c r="C2" s="869"/>
      <c r="D2" s="869"/>
      <c r="E2" s="869"/>
      <c r="F2" s="869"/>
      <c r="G2" s="869"/>
      <c r="H2" s="869"/>
      <c r="I2" s="869"/>
      <c r="J2" s="869"/>
      <c r="K2" s="869"/>
      <c r="L2" s="869"/>
      <c r="M2" s="869"/>
      <c r="N2" s="869"/>
      <c r="O2" s="869"/>
      <c r="P2" s="869"/>
      <c r="Q2" s="869"/>
      <c r="R2" s="246"/>
    </row>
    <row r="3" spans="1:18" s="247" customFormat="1" ht="11.25" customHeight="1" x14ac:dyDescent="0.2">
      <c r="A3" s="870" t="s">
        <v>93</v>
      </c>
      <c r="B3" s="870"/>
      <c r="C3" s="870"/>
      <c r="D3" s="870"/>
      <c r="E3" s="870"/>
      <c r="F3" s="870"/>
      <c r="G3" s="870"/>
      <c r="H3" s="870"/>
      <c r="I3" s="870"/>
      <c r="J3" s="870"/>
      <c r="K3" s="870"/>
      <c r="L3" s="870"/>
      <c r="M3" s="870"/>
      <c r="N3" s="870"/>
      <c r="O3" s="870"/>
      <c r="P3" s="870"/>
      <c r="Q3" s="870"/>
      <c r="R3" s="246"/>
    </row>
    <row r="4" spans="1:18" s="247" customFormat="1" ht="11.25" hidden="1" customHeight="1" x14ac:dyDescent="0.2">
      <c r="A4" s="279"/>
      <c r="B4" s="279"/>
      <c r="C4" s="279"/>
      <c r="D4" s="279"/>
      <c r="E4" s="279"/>
      <c r="F4" s="279"/>
      <c r="G4" s="279"/>
      <c r="H4" s="279"/>
      <c r="I4" s="279"/>
      <c r="J4" s="279"/>
      <c r="K4" s="279"/>
      <c r="L4" s="279"/>
      <c r="M4" s="279"/>
      <c r="N4" s="279"/>
      <c r="O4" s="279"/>
      <c r="P4" s="279"/>
      <c r="Q4" s="279"/>
      <c r="R4" s="246"/>
    </row>
    <row r="6" spans="1:18" ht="12.75" customHeight="1" x14ac:dyDescent="0.2">
      <c r="A6" s="672" t="s">
        <v>446</v>
      </c>
      <c r="B6" s="672"/>
      <c r="C6" s="672"/>
      <c r="D6" s="672"/>
      <c r="E6" s="672"/>
      <c r="F6" s="672"/>
      <c r="G6" s="871" t="s">
        <v>46</v>
      </c>
      <c r="H6" s="150"/>
      <c r="I6" s="872" t="s">
        <v>437</v>
      </c>
      <c r="J6" s="872"/>
      <c r="K6" s="872"/>
      <c r="L6" s="872"/>
      <c r="M6" s="872"/>
      <c r="N6" s="872"/>
      <c r="O6" s="872"/>
      <c r="P6" s="872"/>
      <c r="Q6" s="872"/>
      <c r="R6" s="705" t="s">
        <v>144</v>
      </c>
    </row>
    <row r="7" spans="1:18" ht="11.25" customHeight="1" x14ac:dyDescent="0.2">
      <c r="A7" s="672"/>
      <c r="B7" s="672"/>
      <c r="C7" s="672"/>
      <c r="D7" s="672"/>
      <c r="E7" s="672"/>
      <c r="F7" s="672"/>
      <c r="G7" s="871"/>
      <c r="H7" s="150"/>
      <c r="I7" s="687" t="s">
        <v>438</v>
      </c>
      <c r="J7" s="687"/>
      <c r="K7" s="687"/>
      <c r="L7" s="687"/>
      <c r="M7" s="687"/>
      <c r="N7" s="687" t="s">
        <v>439</v>
      </c>
      <c r="O7" s="687"/>
      <c r="P7" s="687"/>
      <c r="Q7" s="670" t="s">
        <v>440</v>
      </c>
      <c r="R7" s="705"/>
    </row>
    <row r="8" spans="1:18" ht="11.25" customHeight="1" x14ac:dyDescent="0.2">
      <c r="A8" s="672"/>
      <c r="B8" s="672"/>
      <c r="C8" s="672"/>
      <c r="D8" s="672"/>
      <c r="E8" s="672"/>
      <c r="F8" s="672"/>
      <c r="G8" s="871"/>
      <c r="H8" s="150"/>
      <c r="I8" s="687" t="s">
        <v>441</v>
      </c>
      <c r="J8" s="687"/>
      <c r="K8" s="687"/>
      <c r="L8" s="705" t="s">
        <v>398</v>
      </c>
      <c r="M8" s="705" t="s">
        <v>52</v>
      </c>
      <c r="N8" s="670" t="s">
        <v>442</v>
      </c>
      <c r="O8" s="670" t="s">
        <v>88</v>
      </c>
      <c r="P8" s="670" t="s">
        <v>52</v>
      </c>
      <c r="Q8" s="670"/>
      <c r="R8" s="705"/>
    </row>
    <row r="9" spans="1:18" ht="27.75" customHeight="1" x14ac:dyDescent="0.2">
      <c r="A9" s="672"/>
      <c r="B9" s="672"/>
      <c r="C9" s="672"/>
      <c r="D9" s="672"/>
      <c r="E9" s="672"/>
      <c r="F9" s="672"/>
      <c r="G9" s="871"/>
      <c r="H9" s="150"/>
      <c r="I9" s="65" t="s">
        <v>443</v>
      </c>
      <c r="J9" s="65" t="s">
        <v>444</v>
      </c>
      <c r="K9" s="65" t="s">
        <v>445</v>
      </c>
      <c r="L9" s="705"/>
      <c r="M9" s="705"/>
      <c r="N9" s="670"/>
      <c r="O9" s="670"/>
      <c r="P9" s="670"/>
      <c r="Q9" s="670"/>
      <c r="R9" s="705"/>
    </row>
    <row r="10" spans="1:18" x14ac:dyDescent="0.2">
      <c r="A10" s="390" t="s">
        <v>386</v>
      </c>
      <c r="B10" s="387"/>
      <c r="C10" s="387"/>
      <c r="D10" s="387"/>
      <c r="E10" s="387"/>
      <c r="F10" s="387"/>
      <c r="G10" s="282" t="s">
        <v>387</v>
      </c>
      <c r="H10" s="151"/>
      <c r="I10" s="56">
        <f>'12A1'!I10+'12A2'!J10+'12A3'!J10+'12A4'!J10</f>
        <v>0</v>
      </c>
      <c r="J10" s="56">
        <f>'12A1'!J10+'12A2'!L10+'12A3'!L10+'12A4'!L10</f>
        <v>0</v>
      </c>
      <c r="K10" s="56">
        <f>'12A1'!K10+'12A2'!N10+'12A3'!N10+'12A4'!N10</f>
        <v>0</v>
      </c>
      <c r="L10" s="56">
        <f>'12A1'!L10+'12A2'!P10+'12A3'!P10+'12A4'!P10</f>
        <v>0</v>
      </c>
      <c r="M10" s="56">
        <f>'12A1'!M10+'12A2'!R10+'12A3'!R10+'12A4'!R10</f>
        <v>0</v>
      </c>
      <c r="N10" s="57">
        <f>'12A1'!N10+'12A2'!T10+'12A3'!T10+'12A4'!T10</f>
        <v>0</v>
      </c>
      <c r="O10" s="57">
        <f>'12A1'!O10+'12A2'!V10+'12A3'!V10+'12A4'!V10</f>
        <v>0</v>
      </c>
      <c r="P10" s="57">
        <f>'12A1'!P10+'12A2'!X10+'12A3'!X10+'12A4'!X10</f>
        <v>0</v>
      </c>
      <c r="Q10" s="57">
        <f>'12A1'!Q10+'12A2'!Z10+'12A3'!Z10+'12A4'!Z10</f>
        <v>0</v>
      </c>
      <c r="R10" s="56">
        <f>'12A1'!R10+'12A2'!AA10+'12A3'!AA10+'12A4'!AA10</f>
        <v>0</v>
      </c>
    </row>
    <row r="11" spans="1:18" x14ac:dyDescent="0.2">
      <c r="A11" s="391" t="s">
        <v>58</v>
      </c>
      <c r="B11" s="387" t="s">
        <v>388</v>
      </c>
      <c r="C11" s="387"/>
      <c r="D11" s="387"/>
      <c r="E11" s="387"/>
      <c r="F11" s="387"/>
      <c r="G11" s="282" t="s">
        <v>389</v>
      </c>
      <c r="H11" s="151"/>
      <c r="I11" s="56">
        <f>'12A1'!I11+'12A2'!J11+'12A3'!J11+'12A4'!J11</f>
        <v>0</v>
      </c>
      <c r="J11" s="56">
        <f>'12A1'!J11+'12A2'!L11+'12A3'!L11+'12A4'!L11</f>
        <v>0</v>
      </c>
      <c r="K11" s="56">
        <f>'12A1'!K11+'12A2'!N11+'12A3'!N11+'12A4'!N11</f>
        <v>0</v>
      </c>
      <c r="L11" s="56">
        <f>'12A1'!L11+'12A2'!P11+'12A3'!P11+'12A4'!P11</f>
        <v>0</v>
      </c>
      <c r="M11" s="56">
        <f>'12A1'!M11+'12A2'!R11+'12A3'!R11+'12A4'!R11</f>
        <v>0</v>
      </c>
      <c r="N11" s="57">
        <f>'12A1'!N11+'12A2'!T11+'12A3'!T11+'12A4'!T11</f>
        <v>0</v>
      </c>
      <c r="O11" s="57">
        <f>'12A1'!O11+'12A2'!V11+'12A3'!V11+'12A4'!V11</f>
        <v>0</v>
      </c>
      <c r="P11" s="57">
        <f>'12A1'!P11+'12A2'!X11+'12A3'!X11+'12A4'!X11</f>
        <v>0</v>
      </c>
      <c r="Q11" s="57">
        <f>'12A1'!Q11+'12A2'!Z11+'12A3'!Z11+'12A4'!Z11</f>
        <v>0</v>
      </c>
      <c r="R11" s="56">
        <f>'12A1'!R11+'12A2'!AA11+'12A3'!AA11+'12A4'!AA11</f>
        <v>0</v>
      </c>
    </row>
    <row r="12" spans="1:18" x14ac:dyDescent="0.2">
      <c r="A12" s="391"/>
      <c r="B12" s="387" t="s">
        <v>59</v>
      </c>
      <c r="C12" s="387" t="s">
        <v>60</v>
      </c>
      <c r="D12" s="387"/>
      <c r="E12" s="387"/>
      <c r="F12" s="387"/>
      <c r="G12" s="282" t="s">
        <v>390</v>
      </c>
      <c r="H12" s="151"/>
      <c r="I12" s="56">
        <f>'12A1'!I12+'12A2'!J12+'12A3'!J12+'12A4'!J12</f>
        <v>0</v>
      </c>
      <c r="J12" s="56">
        <f>'12A1'!J12+'12A2'!L12+'12A3'!L12+'12A4'!L12</f>
        <v>0</v>
      </c>
      <c r="K12" s="56">
        <f>'12A1'!K12+'12A2'!N12+'12A3'!N12+'12A4'!N12</f>
        <v>0</v>
      </c>
      <c r="L12" s="56">
        <f>'12A1'!L12+'12A2'!P12+'12A3'!P12+'12A4'!P12</f>
        <v>0</v>
      </c>
      <c r="M12" s="56">
        <f>'12A1'!M12+'12A2'!R12+'12A3'!R12+'12A4'!R12</f>
        <v>0</v>
      </c>
      <c r="N12" s="57">
        <f>'12A1'!N12+'12A2'!T12+'12A3'!T12+'12A4'!T12</f>
        <v>0</v>
      </c>
      <c r="O12" s="57">
        <f>'12A1'!O12+'12A2'!V12+'12A3'!V12+'12A4'!V12</f>
        <v>0</v>
      </c>
      <c r="P12" s="57">
        <f>'12A1'!P12+'12A2'!X12+'12A3'!X12+'12A4'!X12</f>
        <v>0</v>
      </c>
      <c r="Q12" s="57">
        <f>'12A1'!Q12+'12A2'!Z12+'12A3'!Z12+'12A4'!Z12</f>
        <v>0</v>
      </c>
      <c r="R12" s="56">
        <f>'12A1'!R12+'12A2'!AA12+'12A3'!AA12+'12A4'!AA12</f>
        <v>0</v>
      </c>
    </row>
    <row r="13" spans="1:18" x14ac:dyDescent="0.2">
      <c r="A13" s="391"/>
      <c r="B13" s="387" t="s">
        <v>61</v>
      </c>
      <c r="C13" s="387" t="s">
        <v>391</v>
      </c>
      <c r="D13" s="387"/>
      <c r="E13" s="387"/>
      <c r="F13" s="387"/>
      <c r="G13" s="282" t="s">
        <v>392</v>
      </c>
      <c r="H13" s="151"/>
      <c r="I13" s="56">
        <f>'12A1'!I13+'12A2'!J13+'12A3'!J13+'12A4'!J13</f>
        <v>0</v>
      </c>
      <c r="J13" s="56">
        <f>'12A1'!J13+'12A2'!L13+'12A3'!L13+'12A4'!L13</f>
        <v>0</v>
      </c>
      <c r="K13" s="56">
        <f>'12A1'!K13+'12A2'!N13+'12A3'!N13+'12A4'!N13</f>
        <v>0</v>
      </c>
      <c r="L13" s="56">
        <f>'12A1'!L13+'12A2'!P13+'12A3'!P13+'12A4'!P13</f>
        <v>0</v>
      </c>
      <c r="M13" s="56">
        <f>'12A1'!M13+'12A2'!R13+'12A3'!R13+'12A4'!R13</f>
        <v>0</v>
      </c>
      <c r="N13" s="57">
        <f>'12A1'!N13+'12A2'!T13+'12A3'!T13+'12A4'!T13</f>
        <v>0</v>
      </c>
      <c r="O13" s="57">
        <f>'12A1'!O13+'12A2'!V13+'12A3'!V13+'12A4'!V13</f>
        <v>0</v>
      </c>
      <c r="P13" s="57">
        <f>'12A1'!P13+'12A2'!X13+'12A3'!X13+'12A4'!X13</f>
        <v>0</v>
      </c>
      <c r="Q13" s="57">
        <f>'12A1'!Q13+'12A2'!Z13+'12A3'!Z13+'12A4'!Z13</f>
        <v>0</v>
      </c>
      <c r="R13" s="56">
        <f>'12A1'!R13+'12A2'!AA13+'12A3'!AA13+'12A4'!AA13</f>
        <v>0</v>
      </c>
    </row>
    <row r="14" spans="1:18" x14ac:dyDescent="0.2">
      <c r="A14" s="391"/>
      <c r="B14" s="387" t="s">
        <v>71</v>
      </c>
      <c r="C14" s="387" t="s">
        <v>393</v>
      </c>
      <c r="D14" s="387"/>
      <c r="E14" s="387"/>
      <c r="F14" s="387"/>
      <c r="G14" s="282" t="s">
        <v>394</v>
      </c>
      <c r="H14" s="151"/>
      <c r="I14" s="56">
        <f>'12A1'!I14+'12A2'!J14+'12A3'!J14+'12A4'!J14</f>
        <v>0</v>
      </c>
      <c r="J14" s="56">
        <f>'12A1'!J14+'12A2'!L14+'12A3'!L14+'12A4'!L14</f>
        <v>0</v>
      </c>
      <c r="K14" s="56">
        <f>'12A1'!K14+'12A2'!N14+'12A3'!N14+'12A4'!N14</f>
        <v>0</v>
      </c>
      <c r="L14" s="56">
        <f>'12A1'!L14+'12A2'!P14+'12A3'!P14+'12A4'!P14</f>
        <v>0</v>
      </c>
      <c r="M14" s="56">
        <f>'12A1'!M14+'12A2'!R14+'12A3'!R14+'12A4'!R14</f>
        <v>0</v>
      </c>
      <c r="N14" s="57">
        <f>'12A1'!N14+'12A2'!T14+'12A3'!T14+'12A4'!T14</f>
        <v>0</v>
      </c>
      <c r="O14" s="57">
        <f>'12A1'!O14+'12A2'!V14+'12A3'!V14+'12A4'!V14</f>
        <v>0</v>
      </c>
      <c r="P14" s="57">
        <f>'12A1'!P14+'12A2'!X14+'12A3'!X14+'12A4'!X14</f>
        <v>0</v>
      </c>
      <c r="Q14" s="57">
        <f>'12A1'!Q14+'12A2'!Z14+'12A3'!Z14+'12A4'!Z14</f>
        <v>0</v>
      </c>
      <c r="R14" s="56">
        <f>'12A1'!R14+'12A2'!AA14+'12A3'!AA14+'12A4'!AA14</f>
        <v>0</v>
      </c>
    </row>
    <row r="15" spans="1:18" x14ac:dyDescent="0.2">
      <c r="A15" s="391"/>
      <c r="B15" s="387"/>
      <c r="C15" s="388" t="s">
        <v>54</v>
      </c>
      <c r="D15" s="387" t="s">
        <v>63</v>
      </c>
      <c r="E15" s="388"/>
      <c r="F15" s="387"/>
      <c r="G15" s="282" t="s">
        <v>395</v>
      </c>
      <c r="H15" s="151"/>
      <c r="I15" s="56">
        <f>'12A1'!I15+'12A2'!J15+'12A3'!J15+'12A4'!J15</f>
        <v>0</v>
      </c>
      <c r="J15" s="56">
        <f>'12A1'!J15+'12A2'!L15+'12A3'!L15+'12A4'!L15</f>
        <v>0</v>
      </c>
      <c r="K15" s="56">
        <f>'12A1'!K15+'12A2'!N15+'12A3'!N15+'12A4'!N15</f>
        <v>0</v>
      </c>
      <c r="L15" s="56">
        <f>'12A1'!L15+'12A2'!P15+'12A3'!P15+'12A4'!P15</f>
        <v>0</v>
      </c>
      <c r="M15" s="56">
        <f>'12A1'!M15+'12A2'!R15+'12A3'!R15+'12A4'!R15</f>
        <v>0</v>
      </c>
      <c r="N15" s="57">
        <f>'12A1'!N15+'12A2'!T15+'12A3'!T15+'12A4'!T15</f>
        <v>0</v>
      </c>
      <c r="O15" s="57">
        <f>'12A1'!O15+'12A2'!V15+'12A3'!V15+'12A4'!V15</f>
        <v>0</v>
      </c>
      <c r="P15" s="57">
        <f>'12A1'!P15+'12A2'!X15+'12A3'!X15+'12A4'!X15</f>
        <v>0</v>
      </c>
      <c r="Q15" s="57">
        <f>'12A1'!Q15+'12A2'!Z15+'12A3'!Z15+'12A4'!Z15</f>
        <v>0</v>
      </c>
      <c r="R15" s="56">
        <f>'12A1'!R15+'12A2'!AA15+'12A3'!AA15+'12A4'!AA15</f>
        <v>0</v>
      </c>
    </row>
    <row r="16" spans="1:18" x14ac:dyDescent="0.2">
      <c r="A16" s="391"/>
      <c r="B16" s="387"/>
      <c r="C16" s="388" t="s">
        <v>55</v>
      </c>
      <c r="D16" s="387" t="s">
        <v>64</v>
      </c>
      <c r="E16" s="388"/>
      <c r="F16" s="387"/>
      <c r="G16" s="282" t="s">
        <v>396</v>
      </c>
      <c r="H16" s="151"/>
      <c r="I16" s="56">
        <f>'12A1'!I16+'12A2'!J16+'12A3'!J16+'12A4'!J16</f>
        <v>0</v>
      </c>
      <c r="J16" s="56">
        <f>'12A1'!J16+'12A2'!L16+'12A3'!L16+'12A4'!L16</f>
        <v>0</v>
      </c>
      <c r="K16" s="56">
        <f>'12A1'!K16+'12A2'!N16+'12A3'!N16+'12A4'!N16</f>
        <v>0</v>
      </c>
      <c r="L16" s="56">
        <f>'12A1'!L16+'12A2'!P16+'12A3'!P16+'12A4'!P16</f>
        <v>0</v>
      </c>
      <c r="M16" s="56">
        <f>'12A1'!M16+'12A2'!R16+'12A3'!R16+'12A4'!R16</f>
        <v>0</v>
      </c>
      <c r="N16" s="57">
        <f>'12A1'!N16+'12A2'!T16+'12A3'!T16+'12A4'!T16</f>
        <v>0</v>
      </c>
      <c r="O16" s="57">
        <f>'12A1'!O16+'12A2'!V16+'12A3'!V16+'12A4'!V16</f>
        <v>0</v>
      </c>
      <c r="P16" s="57">
        <f>'12A1'!P16+'12A2'!X16+'12A3'!X16+'12A4'!X16</f>
        <v>0</v>
      </c>
      <c r="Q16" s="57">
        <f>'12A1'!Q16+'12A2'!Z16+'12A3'!Z16+'12A4'!Z16</f>
        <v>0</v>
      </c>
      <c r="R16" s="56">
        <f>'12A1'!R16+'12A2'!AA16+'12A3'!AA16+'12A4'!AA16</f>
        <v>0</v>
      </c>
    </row>
    <row r="17" spans="1:18" x14ac:dyDescent="0.2">
      <c r="A17" s="377"/>
      <c r="B17" s="299"/>
      <c r="C17" s="378" t="s">
        <v>65</v>
      </c>
      <c r="D17" s="299" t="s">
        <v>66</v>
      </c>
      <c r="E17" s="378"/>
      <c r="F17" s="387"/>
      <c r="G17" s="282" t="s">
        <v>397</v>
      </c>
      <c r="H17" s="151"/>
      <c r="I17" s="56">
        <f>'12A1'!I17+'12A2'!J17+'12A3'!J17+'12A4'!J17</f>
        <v>0</v>
      </c>
      <c r="J17" s="56">
        <f>'12A1'!J17+'12A2'!L17+'12A3'!L17+'12A4'!L17</f>
        <v>0</v>
      </c>
      <c r="K17" s="56">
        <f>'12A1'!K17+'12A2'!N17+'12A3'!N17+'12A4'!N17</f>
        <v>0</v>
      </c>
      <c r="L17" s="56">
        <f>'12A1'!L17+'12A2'!P17+'12A3'!P17+'12A4'!P17</f>
        <v>0</v>
      </c>
      <c r="M17" s="56">
        <f>'12A1'!M17+'12A2'!R17+'12A3'!R17+'12A4'!R17</f>
        <v>0</v>
      </c>
      <c r="N17" s="57">
        <f>'12A1'!N17+'12A2'!T17+'12A3'!T17+'12A4'!T17</f>
        <v>0</v>
      </c>
      <c r="O17" s="57">
        <f>'12A1'!O17+'12A2'!V17+'12A3'!V17+'12A4'!V17</f>
        <v>0</v>
      </c>
      <c r="P17" s="57">
        <f>'12A1'!P17+'12A2'!X17+'12A3'!X17+'12A4'!X17</f>
        <v>0</v>
      </c>
      <c r="Q17" s="57">
        <f>'12A1'!Q17+'12A2'!Z17+'12A3'!Z17+'12A4'!Z17</f>
        <v>0</v>
      </c>
      <c r="R17" s="56">
        <f>'12A1'!R17+'12A2'!AA17+'12A3'!AA17+'12A4'!AA17</f>
        <v>0</v>
      </c>
    </row>
    <row r="18" spans="1:18" x14ac:dyDescent="0.2">
      <c r="A18" s="379" t="s">
        <v>55</v>
      </c>
      <c r="B18" s="299" t="s">
        <v>398</v>
      </c>
      <c r="C18" s="378"/>
      <c r="D18" s="378"/>
      <c r="E18" s="378"/>
      <c r="F18" s="299"/>
      <c r="G18" s="282" t="s">
        <v>399</v>
      </c>
      <c r="H18" s="151"/>
      <c r="I18" s="56">
        <f>'12A1'!I18+'12A2'!J18+'12A3'!J18+'12A4'!J18</f>
        <v>0</v>
      </c>
      <c r="J18" s="56">
        <f>'12A1'!J18+'12A2'!L18+'12A3'!L18+'12A4'!L18</f>
        <v>0</v>
      </c>
      <c r="K18" s="56">
        <f>'12A1'!K18+'12A2'!N18+'12A3'!N18+'12A4'!N18</f>
        <v>0</v>
      </c>
      <c r="L18" s="56">
        <f>'12A1'!L18+'12A2'!P18+'12A3'!P18+'12A4'!P18</f>
        <v>0</v>
      </c>
      <c r="M18" s="56">
        <f>'12A1'!M18+'12A2'!R18+'12A3'!R18+'12A4'!R18</f>
        <v>0</v>
      </c>
      <c r="N18" s="57">
        <f>'12A1'!N18+'12A2'!T18+'12A3'!T18+'12A4'!T18</f>
        <v>0</v>
      </c>
      <c r="O18" s="57">
        <f>'12A1'!O18+'12A2'!V18+'12A3'!V18+'12A4'!V18</f>
        <v>0</v>
      </c>
      <c r="P18" s="57">
        <f>'12A1'!P18+'12A2'!X18+'12A3'!X18+'12A4'!X18</f>
        <v>0</v>
      </c>
      <c r="Q18" s="57">
        <f>'12A1'!Q18+'12A2'!Z18+'12A3'!Z18+'12A4'!Z18</f>
        <v>0</v>
      </c>
      <c r="R18" s="56">
        <f>'12A1'!R18+'12A2'!AA18+'12A3'!AA18+'12A4'!AA18</f>
        <v>0</v>
      </c>
    </row>
    <row r="19" spans="1:18" x14ac:dyDescent="0.2">
      <c r="A19" s="379" t="s">
        <v>65</v>
      </c>
      <c r="B19" s="299" t="s">
        <v>400</v>
      </c>
      <c r="C19" s="299"/>
      <c r="D19" s="299"/>
      <c r="E19" s="299"/>
      <c r="F19" s="299"/>
      <c r="G19" s="282" t="s">
        <v>401</v>
      </c>
      <c r="H19" s="151"/>
      <c r="I19" s="56">
        <f>'12A1'!I19+'12A2'!J19+'12A3'!J19+'12A4'!J19</f>
        <v>0</v>
      </c>
      <c r="J19" s="56">
        <f>'12A1'!J19+'12A2'!L19+'12A3'!L19+'12A4'!L19</f>
        <v>0</v>
      </c>
      <c r="K19" s="56">
        <f>'12A1'!K19+'12A2'!N19+'12A3'!N19+'12A4'!N19</f>
        <v>0</v>
      </c>
      <c r="L19" s="56">
        <f>'12A1'!L19+'12A2'!P19+'12A3'!P19+'12A4'!P19</f>
        <v>0</v>
      </c>
      <c r="M19" s="56">
        <f>'12A1'!M19+'12A2'!R19+'12A3'!R19+'12A4'!R19</f>
        <v>0</v>
      </c>
      <c r="N19" s="57">
        <f>'12A1'!N19+'12A2'!T19+'12A3'!T19+'12A4'!T19</f>
        <v>0</v>
      </c>
      <c r="O19" s="57">
        <f>'12A1'!O19+'12A2'!V19+'12A3'!V19+'12A4'!V19</f>
        <v>0</v>
      </c>
      <c r="P19" s="57">
        <f>'12A1'!P19+'12A2'!X19+'12A3'!X19+'12A4'!X19</f>
        <v>0</v>
      </c>
      <c r="Q19" s="57">
        <f>'12A1'!Q19+'12A2'!Z19+'12A3'!Z19+'12A4'!Z19</f>
        <v>0</v>
      </c>
      <c r="R19" s="56">
        <f>'12A1'!R19+'12A2'!AA19+'12A3'!AA19+'12A4'!AA19</f>
        <v>0</v>
      </c>
    </row>
    <row r="20" spans="1:18" x14ac:dyDescent="0.2">
      <c r="A20" s="377"/>
      <c r="B20" s="299" t="s">
        <v>59</v>
      </c>
      <c r="C20" s="225" t="s">
        <v>149</v>
      </c>
      <c r="D20" s="225"/>
      <c r="E20" s="225"/>
      <c r="F20" s="299"/>
      <c r="G20" s="282" t="s">
        <v>402</v>
      </c>
      <c r="H20" s="151"/>
      <c r="I20" s="56">
        <f>'12A1'!I20+'12A2'!J20+'12A3'!J20+'12A4'!J20</f>
        <v>0</v>
      </c>
      <c r="J20" s="56">
        <f>'12A1'!J20+'12A2'!L20+'12A3'!L20+'12A4'!L20</f>
        <v>0</v>
      </c>
      <c r="K20" s="56">
        <f>'12A1'!K20+'12A2'!N20+'12A3'!N20+'12A4'!N20</f>
        <v>0</v>
      </c>
      <c r="L20" s="56">
        <f>'12A1'!L20+'12A2'!P20+'12A3'!P20+'12A4'!P20</f>
        <v>0</v>
      </c>
      <c r="M20" s="56">
        <f>'12A1'!M20+'12A2'!R20+'12A3'!R20+'12A4'!R20</f>
        <v>0</v>
      </c>
      <c r="N20" s="57">
        <f>'12A1'!N20+'12A2'!T20+'12A3'!T20+'12A4'!T20</f>
        <v>0</v>
      </c>
      <c r="O20" s="57">
        <f>'12A1'!O20+'12A2'!V20+'12A3'!V20+'12A4'!V20</f>
        <v>0</v>
      </c>
      <c r="P20" s="57">
        <f>'12A1'!P20+'12A2'!X20+'12A3'!X20+'12A4'!X20</f>
        <v>0</v>
      </c>
      <c r="Q20" s="57">
        <f>'12A1'!Q20+'12A2'!Z20+'12A3'!Z20+'12A4'!Z20</f>
        <v>0</v>
      </c>
      <c r="R20" s="56">
        <f>'12A1'!R20+'12A2'!AA20+'12A3'!AA20+'12A4'!AA20</f>
        <v>0</v>
      </c>
    </row>
    <row r="21" spans="1:18" x14ac:dyDescent="0.2">
      <c r="A21" s="377"/>
      <c r="B21" s="299" t="s">
        <v>61</v>
      </c>
      <c r="C21" s="299" t="s">
        <v>403</v>
      </c>
      <c r="D21" s="299"/>
      <c r="E21" s="299"/>
      <c r="F21" s="299"/>
      <c r="G21" s="282" t="s">
        <v>404</v>
      </c>
      <c r="H21" s="151"/>
      <c r="I21" s="56">
        <f>'12A1'!I21+'12A2'!J21+'12A3'!J21+'12A4'!J21</f>
        <v>0</v>
      </c>
      <c r="J21" s="56">
        <f>'12A1'!J21+'12A2'!L21+'12A3'!L21+'12A4'!L21</f>
        <v>0</v>
      </c>
      <c r="K21" s="56">
        <f>'12A1'!K21+'12A2'!N21+'12A3'!N21+'12A4'!N21</f>
        <v>0</v>
      </c>
      <c r="L21" s="56">
        <f>'12A1'!L21+'12A2'!P21+'12A3'!P21+'12A4'!P21</f>
        <v>0</v>
      </c>
      <c r="M21" s="56">
        <f>'12A1'!M21+'12A2'!R21+'12A3'!R21+'12A4'!R21</f>
        <v>0</v>
      </c>
      <c r="N21" s="57">
        <f>'12A1'!N21+'12A2'!T21+'12A3'!T21+'12A4'!T21</f>
        <v>0</v>
      </c>
      <c r="O21" s="57">
        <f>'12A1'!O21+'12A2'!V21+'12A3'!V21+'12A4'!V21</f>
        <v>0</v>
      </c>
      <c r="P21" s="57">
        <f>'12A1'!P21+'12A2'!X21+'12A3'!X21+'12A4'!X21</f>
        <v>0</v>
      </c>
      <c r="Q21" s="57">
        <f>'12A1'!Q21+'12A2'!Z21+'12A3'!Z21+'12A4'!Z21</f>
        <v>0</v>
      </c>
      <c r="R21" s="56">
        <f>'12A1'!R21+'12A2'!AA21+'12A3'!AA21+'12A4'!AA21</f>
        <v>0</v>
      </c>
    </row>
    <row r="22" spans="1:18" x14ac:dyDescent="0.2">
      <c r="A22" s="379" t="s">
        <v>90</v>
      </c>
      <c r="B22" s="299" t="s">
        <v>405</v>
      </c>
      <c r="C22" s="299"/>
      <c r="D22" s="299"/>
      <c r="E22" s="299"/>
      <c r="F22" s="299"/>
      <c r="G22" s="282" t="s">
        <v>406</v>
      </c>
      <c r="H22" s="151"/>
      <c r="I22" s="56">
        <f>'12A1'!I22+'12A2'!J22+'12A3'!J22+'12A4'!J22</f>
        <v>0</v>
      </c>
      <c r="J22" s="56">
        <f>'12A1'!J22+'12A2'!L22+'12A3'!L22+'12A4'!L22</f>
        <v>0</v>
      </c>
      <c r="K22" s="56">
        <f>'12A1'!K22+'12A2'!N22+'12A3'!N22+'12A4'!N22</f>
        <v>0</v>
      </c>
      <c r="L22" s="56">
        <f>'12A1'!L22+'12A2'!P22+'12A3'!P22+'12A4'!P22</f>
        <v>0</v>
      </c>
      <c r="M22" s="56">
        <f>'12A1'!M22+'12A2'!R22+'12A3'!R22+'12A4'!R22</f>
        <v>0</v>
      </c>
      <c r="N22" s="57">
        <f>'12A1'!N22+'12A2'!T22+'12A3'!T22+'12A4'!T22</f>
        <v>0</v>
      </c>
      <c r="O22" s="57">
        <f>'12A1'!O22+'12A2'!V22+'12A3'!V22+'12A4'!V22</f>
        <v>0</v>
      </c>
      <c r="P22" s="57">
        <f>'12A1'!P22+'12A2'!X22+'12A3'!X22+'12A4'!X22</f>
        <v>0</v>
      </c>
      <c r="Q22" s="57">
        <f>'12A1'!Q22+'12A2'!Z22+'12A3'!Z22+'12A4'!Z22</f>
        <v>0</v>
      </c>
      <c r="R22" s="56">
        <f>'12A1'!R22+'12A2'!AA22+'12A3'!AA22+'12A4'!AA22</f>
        <v>0</v>
      </c>
    </row>
    <row r="23" spans="1:18" x14ac:dyDescent="0.2">
      <c r="A23" s="379" t="s">
        <v>257</v>
      </c>
      <c r="B23" s="299" t="s">
        <v>409</v>
      </c>
      <c r="C23" s="299"/>
      <c r="D23" s="299"/>
      <c r="E23" s="299"/>
      <c r="F23" s="299"/>
      <c r="G23" s="282" t="s">
        <v>410</v>
      </c>
      <c r="H23" s="151"/>
      <c r="I23" s="56">
        <f>'12A1'!I23+'12A2'!J23+'12A3'!J23+'12A4'!J23</f>
        <v>0</v>
      </c>
      <c r="J23" s="56">
        <f>'12A1'!J23+'12A2'!L23+'12A3'!L23+'12A4'!L23</f>
        <v>0</v>
      </c>
      <c r="K23" s="56">
        <f>'12A1'!K23+'12A2'!N23+'12A3'!N23+'12A4'!N23</f>
        <v>0</v>
      </c>
      <c r="L23" s="56">
        <f>'12A1'!L23+'12A2'!P23+'12A3'!P23+'12A4'!P23</f>
        <v>0</v>
      </c>
      <c r="M23" s="56">
        <f>'12A1'!M23+'12A2'!R23+'12A3'!R23+'12A4'!R23</f>
        <v>0</v>
      </c>
      <c r="N23" s="57">
        <f>'12A1'!N23+'12A2'!T23+'12A3'!T23+'12A4'!T23</f>
        <v>0</v>
      </c>
      <c r="O23" s="57">
        <f>'12A1'!O23+'12A2'!V23+'12A3'!V23+'12A4'!V23</f>
        <v>0</v>
      </c>
      <c r="P23" s="57">
        <f>'12A1'!P23+'12A2'!X23+'12A3'!X23+'12A4'!X23</f>
        <v>0</v>
      </c>
      <c r="Q23" s="57">
        <f>'12A1'!Q23+'12A2'!Z23+'12A3'!Z23+'12A4'!Z23</f>
        <v>0</v>
      </c>
      <c r="R23" s="56">
        <f>'12A1'!R23+'12A2'!AA23+'12A3'!AA23+'12A4'!AA23</f>
        <v>0</v>
      </c>
    </row>
    <row r="24" spans="1:18" x14ac:dyDescent="0.2">
      <c r="A24" s="379"/>
      <c r="B24" s="299"/>
      <c r="C24" s="299"/>
      <c r="D24" s="299"/>
      <c r="E24" s="299"/>
      <c r="F24" s="299"/>
      <c r="G24" s="392"/>
      <c r="H24" s="152"/>
      <c r="I24" s="56"/>
      <c r="J24" s="56"/>
      <c r="K24" s="56"/>
      <c r="L24" s="56"/>
      <c r="M24" s="56"/>
      <c r="N24" s="57"/>
      <c r="O24" s="57"/>
      <c r="P24" s="57"/>
      <c r="Q24" s="57"/>
      <c r="R24" s="56"/>
    </row>
    <row r="25" spans="1:18" x14ac:dyDescent="0.2">
      <c r="A25" s="393" t="s">
        <v>411</v>
      </c>
      <c r="B25" s="299"/>
      <c r="C25" s="299"/>
      <c r="D25" s="299"/>
      <c r="E25" s="299"/>
      <c r="F25" s="299"/>
      <c r="G25" s="380" t="s">
        <v>412</v>
      </c>
      <c r="H25" s="152"/>
      <c r="I25" s="56">
        <f>'12A1'!I25+'12A2'!J25+'12A3'!J25+'12A4'!J25</f>
        <v>0</v>
      </c>
      <c r="J25" s="56">
        <f>'12A1'!J25+'12A2'!L25+'12A3'!L25+'12A4'!L25</f>
        <v>0</v>
      </c>
      <c r="K25" s="56">
        <f>'12A1'!K25+'12A2'!N25+'12A3'!N25+'12A4'!N25</f>
        <v>0</v>
      </c>
      <c r="L25" s="56">
        <f>'12A1'!L25+'12A2'!P25+'12A3'!P25+'12A4'!P25</f>
        <v>0</v>
      </c>
      <c r="M25" s="56">
        <f>'12A1'!M25+'12A2'!R25+'12A3'!R25+'12A4'!R25</f>
        <v>0</v>
      </c>
      <c r="N25" s="57">
        <f>'12A1'!N25+'12A2'!T25+'12A3'!T25+'12A4'!T25</f>
        <v>0</v>
      </c>
      <c r="O25" s="57">
        <f>'12A1'!O25+'12A2'!V25+'12A3'!V25+'12A4'!V25</f>
        <v>0</v>
      </c>
      <c r="P25" s="57">
        <f>'12A1'!P25+'12A2'!X25+'12A3'!X25+'12A4'!X25</f>
        <v>0</v>
      </c>
      <c r="Q25" s="57">
        <f>'12A1'!Q25+'12A2'!Z25+'12A3'!Z25+'12A4'!Z25</f>
        <v>0</v>
      </c>
      <c r="R25" s="56">
        <f>'12A1'!R25+'12A2'!AA25+'12A3'!AA25+'12A4'!AA25</f>
        <v>0</v>
      </c>
    </row>
    <row r="26" spans="1:18" x14ac:dyDescent="0.2">
      <c r="A26" s="379" t="s">
        <v>54</v>
      </c>
      <c r="B26" s="299" t="s">
        <v>413</v>
      </c>
      <c r="C26" s="299"/>
      <c r="D26" s="299"/>
      <c r="E26" s="299"/>
      <c r="F26" s="299"/>
      <c r="G26" s="380" t="s">
        <v>414</v>
      </c>
      <c r="H26" s="152"/>
      <c r="I26" s="56">
        <f>'12A1'!I26+'12A2'!J26+'12A3'!J26+'12A4'!J26</f>
        <v>0</v>
      </c>
      <c r="J26" s="56">
        <f>'12A1'!J26+'12A2'!L26+'12A3'!L26+'12A4'!L26</f>
        <v>0</v>
      </c>
      <c r="K26" s="56">
        <f>'12A1'!K26+'12A2'!N26+'12A3'!N26+'12A4'!N26</f>
        <v>0</v>
      </c>
      <c r="L26" s="56">
        <f>'12A1'!L26+'12A2'!P26+'12A3'!P26+'12A4'!P26</f>
        <v>0</v>
      </c>
      <c r="M26" s="56">
        <f>'12A1'!M26+'12A2'!R26+'12A3'!R26+'12A4'!R26</f>
        <v>0</v>
      </c>
      <c r="N26" s="57">
        <f>'12A1'!N26+'12A2'!T26+'12A3'!T26+'12A4'!T26</f>
        <v>0</v>
      </c>
      <c r="O26" s="57">
        <f>'12A1'!O26+'12A2'!V26+'12A3'!V26+'12A4'!V26</f>
        <v>0</v>
      </c>
      <c r="P26" s="57">
        <f>'12A1'!P26+'12A2'!X26+'12A3'!X26+'12A4'!X26</f>
        <v>0</v>
      </c>
      <c r="Q26" s="57">
        <f>'12A1'!Q26+'12A2'!Z26+'12A3'!Z26+'12A4'!Z26</f>
        <v>0</v>
      </c>
      <c r="R26" s="56">
        <f>'12A1'!R26+'12A2'!AA26+'12A3'!AA26+'12A4'!AA26</f>
        <v>0</v>
      </c>
    </row>
    <row r="27" spans="1:18" x14ac:dyDescent="0.2">
      <c r="A27" s="379" t="s">
        <v>55</v>
      </c>
      <c r="B27" s="299" t="s">
        <v>88</v>
      </c>
      <c r="C27" s="299"/>
      <c r="D27" s="299"/>
      <c r="E27" s="299"/>
      <c r="F27" s="299"/>
      <c r="G27" s="380" t="s">
        <v>415</v>
      </c>
      <c r="H27" s="152"/>
      <c r="I27" s="56">
        <f>'12A1'!I27+'12A2'!J27+'12A3'!J27+'12A4'!J27</f>
        <v>0</v>
      </c>
      <c r="J27" s="56">
        <f>'12A1'!J27+'12A2'!L27+'12A3'!L27+'12A4'!L27</f>
        <v>0</v>
      </c>
      <c r="K27" s="56">
        <f>'12A1'!K27+'12A2'!N27+'12A3'!N27+'12A4'!N27</f>
        <v>0</v>
      </c>
      <c r="L27" s="56">
        <f>'12A1'!L27+'12A2'!P27+'12A3'!P27+'12A4'!P27</f>
        <v>0</v>
      </c>
      <c r="M27" s="56">
        <f>'12A1'!M27+'12A2'!R27+'12A3'!R27+'12A4'!R27</f>
        <v>0</v>
      </c>
      <c r="N27" s="57">
        <f>'12A1'!N27+'12A2'!T27+'12A3'!T27+'12A4'!T27</f>
        <v>0</v>
      </c>
      <c r="O27" s="57">
        <f>'12A1'!O27+'12A2'!V27+'12A3'!V27+'12A4'!V27</f>
        <v>0</v>
      </c>
      <c r="P27" s="57">
        <f>'12A1'!P27+'12A2'!X27+'12A3'!X27+'12A4'!X27</f>
        <v>0</v>
      </c>
      <c r="Q27" s="57">
        <f>'12A1'!Q27+'12A2'!Z27+'12A3'!Z27+'12A4'!Z27</f>
        <v>0</v>
      </c>
      <c r="R27" s="56">
        <f>'12A1'!R27+'12A2'!AA27+'12A3'!AA27+'12A4'!AA27</f>
        <v>0</v>
      </c>
    </row>
    <row r="28" spans="1:18" x14ac:dyDescent="0.2">
      <c r="A28" s="379" t="s">
        <v>65</v>
      </c>
      <c r="B28" s="299" t="s">
        <v>400</v>
      </c>
      <c r="C28" s="299"/>
      <c r="D28" s="299"/>
      <c r="E28" s="299"/>
      <c r="F28" s="299"/>
      <c r="G28" s="380" t="s">
        <v>416</v>
      </c>
      <c r="H28" s="152"/>
      <c r="I28" s="56">
        <f>'12A1'!I28+'12A2'!J28+'12A3'!J28+'12A4'!J28</f>
        <v>0</v>
      </c>
      <c r="J28" s="56">
        <f>'12A1'!J28+'12A2'!L28+'12A3'!L28+'12A4'!L28</f>
        <v>0</v>
      </c>
      <c r="K28" s="56">
        <f>'12A1'!K28+'12A2'!N28+'12A3'!N28+'12A4'!N28</f>
        <v>0</v>
      </c>
      <c r="L28" s="56">
        <f>'12A1'!L28+'12A2'!P28+'12A3'!P28+'12A4'!P28</f>
        <v>0</v>
      </c>
      <c r="M28" s="56">
        <f>'12A1'!M28+'12A2'!R28+'12A3'!R28+'12A4'!R28</f>
        <v>0</v>
      </c>
      <c r="N28" s="57">
        <f>'12A1'!N28+'12A2'!T28+'12A3'!T28+'12A4'!T28</f>
        <v>0</v>
      </c>
      <c r="O28" s="57">
        <f>'12A1'!O28+'12A2'!V28+'12A3'!V28+'12A4'!V28</f>
        <v>0</v>
      </c>
      <c r="P28" s="57">
        <f>'12A1'!P28+'12A2'!X28+'12A3'!X28+'12A4'!X28</f>
        <v>0</v>
      </c>
      <c r="Q28" s="57">
        <f>'12A1'!Q28+'12A2'!Z28+'12A3'!Z28+'12A4'!Z28</f>
        <v>0</v>
      </c>
      <c r="R28" s="56">
        <f>'12A1'!R28+'12A2'!AA28+'12A3'!AA28+'12A4'!AA28</f>
        <v>0</v>
      </c>
    </row>
    <row r="29" spans="1:18" x14ac:dyDescent="0.2">
      <c r="A29" s="377"/>
      <c r="B29" s="299" t="s">
        <v>59</v>
      </c>
      <c r="C29" s="299" t="s">
        <v>172</v>
      </c>
      <c r="D29" s="299"/>
      <c r="E29" s="299"/>
      <c r="F29" s="299"/>
      <c r="G29" s="380" t="s">
        <v>417</v>
      </c>
      <c r="H29" s="152"/>
      <c r="I29" s="56">
        <f>'12A1'!I29+'12A2'!J29+'12A3'!J29+'12A4'!J29</f>
        <v>0</v>
      </c>
      <c r="J29" s="56">
        <f>'12A1'!J29+'12A2'!L29+'12A3'!L29+'12A4'!L29</f>
        <v>0</v>
      </c>
      <c r="K29" s="56">
        <f>'12A1'!K29+'12A2'!N29+'12A3'!N29+'12A4'!N29</f>
        <v>0</v>
      </c>
      <c r="L29" s="56">
        <f>'12A1'!L29+'12A2'!P29+'12A3'!P29+'12A4'!P29</f>
        <v>0</v>
      </c>
      <c r="M29" s="56">
        <f>'12A1'!M29+'12A2'!R29+'12A3'!R29+'12A4'!R29</f>
        <v>0</v>
      </c>
      <c r="N29" s="57">
        <f>'12A1'!N29+'12A2'!T29+'12A3'!T29+'12A4'!T29</f>
        <v>0</v>
      </c>
      <c r="O29" s="57">
        <f>'12A1'!O29+'12A2'!V29+'12A3'!V29+'12A4'!V29</f>
        <v>0</v>
      </c>
      <c r="P29" s="57">
        <f>'12A1'!P29+'12A2'!X29+'12A3'!X29+'12A4'!X29</f>
        <v>0</v>
      </c>
      <c r="Q29" s="57">
        <f>'12A1'!Q29+'12A2'!Z29+'12A3'!Z29+'12A4'!Z29</f>
        <v>0</v>
      </c>
      <c r="R29" s="56">
        <f>'12A1'!R29+'12A2'!AA29+'12A3'!AA29+'12A4'!AA29</f>
        <v>0</v>
      </c>
    </row>
    <row r="30" spans="1:18" x14ac:dyDescent="0.2">
      <c r="A30" s="377"/>
      <c r="B30" s="299" t="s">
        <v>61</v>
      </c>
      <c r="C30" s="299" t="s">
        <v>403</v>
      </c>
      <c r="D30" s="299"/>
      <c r="E30" s="299"/>
      <c r="F30" s="299"/>
      <c r="G30" s="380" t="s">
        <v>418</v>
      </c>
      <c r="H30" s="152"/>
      <c r="I30" s="56">
        <f>'12A1'!I30+'12A2'!J30+'12A3'!J30+'12A4'!J30</f>
        <v>0</v>
      </c>
      <c r="J30" s="56">
        <f>'12A1'!J30+'12A2'!L30+'12A3'!L30+'12A4'!L30</f>
        <v>0</v>
      </c>
      <c r="K30" s="56">
        <f>'12A1'!K30+'12A2'!N30+'12A3'!N30+'12A4'!N30</f>
        <v>0</v>
      </c>
      <c r="L30" s="56">
        <f>'12A1'!L30+'12A2'!P30+'12A3'!P30+'12A4'!P30</f>
        <v>0</v>
      </c>
      <c r="M30" s="56">
        <f>'12A1'!M30+'12A2'!R30+'12A3'!R30+'12A4'!R30</f>
        <v>0</v>
      </c>
      <c r="N30" s="57">
        <f>'12A1'!N30+'12A2'!T30+'12A3'!T30+'12A4'!T30</f>
        <v>0</v>
      </c>
      <c r="O30" s="57">
        <f>'12A1'!O30+'12A2'!V30+'12A3'!V30+'12A4'!V30</f>
        <v>0</v>
      </c>
      <c r="P30" s="57">
        <f>'12A1'!P30+'12A2'!X30+'12A3'!X30+'12A4'!X30</f>
        <v>0</v>
      </c>
      <c r="Q30" s="57">
        <f>'12A1'!Q30+'12A2'!Z30+'12A3'!Z30+'12A4'!Z30</f>
        <v>0</v>
      </c>
      <c r="R30" s="56">
        <f>'12A1'!R30+'12A2'!AA30+'12A3'!AA30+'12A4'!AA30</f>
        <v>0</v>
      </c>
    </row>
    <row r="31" spans="1:18" x14ac:dyDescent="0.2">
      <c r="A31" s="379" t="s">
        <v>90</v>
      </c>
      <c r="B31" s="299" t="s">
        <v>419</v>
      </c>
      <c r="C31" s="299"/>
      <c r="D31" s="299"/>
      <c r="E31" s="299"/>
      <c r="F31" s="299"/>
      <c r="G31" s="380" t="s">
        <v>420</v>
      </c>
      <c r="H31" s="152"/>
      <c r="I31" s="56">
        <f>'12A1'!I31+'12A2'!J31+'12A3'!J31+'12A4'!J31</f>
        <v>0</v>
      </c>
      <c r="J31" s="56">
        <f>'12A1'!J31+'12A2'!L31+'12A3'!L31+'12A4'!L31</f>
        <v>0</v>
      </c>
      <c r="K31" s="56">
        <f>'12A1'!K31+'12A2'!N31+'12A3'!N31+'12A4'!N31</f>
        <v>0</v>
      </c>
      <c r="L31" s="56">
        <f>'12A1'!L31+'12A2'!P31+'12A3'!P31+'12A4'!P31</f>
        <v>0</v>
      </c>
      <c r="M31" s="56">
        <f>'12A1'!M31+'12A2'!R31+'12A3'!R31+'12A4'!R31</f>
        <v>0</v>
      </c>
      <c r="N31" s="57">
        <f>'12A1'!N31+'12A2'!T31+'12A3'!T31+'12A4'!T31</f>
        <v>0</v>
      </c>
      <c r="O31" s="57">
        <f>'12A1'!O31+'12A2'!V31+'12A3'!V31+'12A4'!V31</f>
        <v>0</v>
      </c>
      <c r="P31" s="57">
        <f>'12A1'!P31+'12A2'!X31+'12A3'!X31+'12A4'!X31</f>
        <v>0</v>
      </c>
      <c r="Q31" s="57">
        <f>'12A1'!Q31+'12A2'!Z31+'12A3'!Z31+'12A4'!Z31</f>
        <v>0</v>
      </c>
      <c r="R31" s="56">
        <f>'12A1'!R31+'12A2'!AA31+'12A3'!AA31+'12A4'!AA31</f>
        <v>0</v>
      </c>
    </row>
    <row r="32" spans="1:18" x14ac:dyDescent="0.2">
      <c r="A32" s="379" t="s">
        <v>257</v>
      </c>
      <c r="B32" s="299" t="s">
        <v>409</v>
      </c>
      <c r="C32" s="299"/>
      <c r="D32" s="299"/>
      <c r="E32" s="299"/>
      <c r="F32" s="299"/>
      <c r="G32" s="380" t="s">
        <v>421</v>
      </c>
      <c r="H32" s="152"/>
      <c r="I32" s="56">
        <f>'12A1'!I32+'12A2'!J32+'12A3'!J32+'12A4'!J32</f>
        <v>0</v>
      </c>
      <c r="J32" s="56">
        <f>'12A1'!J32+'12A2'!L32+'12A3'!L32+'12A4'!L32</f>
        <v>0</v>
      </c>
      <c r="K32" s="56">
        <f>'12A1'!K32+'12A2'!N32+'12A3'!N32+'12A4'!N32</f>
        <v>0</v>
      </c>
      <c r="L32" s="56">
        <f>'12A1'!L32+'12A2'!P32+'12A3'!P32+'12A4'!P32</f>
        <v>0</v>
      </c>
      <c r="M32" s="56">
        <f>'12A1'!M32+'12A2'!R32+'12A3'!R32+'12A4'!R32</f>
        <v>0</v>
      </c>
      <c r="N32" s="57">
        <f>'12A1'!N32+'12A2'!T32+'12A3'!T32+'12A4'!T32</f>
        <v>0</v>
      </c>
      <c r="O32" s="57">
        <f>'12A1'!O32+'12A2'!V32+'12A3'!V32+'12A4'!V32</f>
        <v>0</v>
      </c>
      <c r="P32" s="57">
        <f>'12A1'!P32+'12A2'!X32+'12A3'!X32+'12A4'!X32</f>
        <v>0</v>
      </c>
      <c r="Q32" s="57">
        <f>'12A1'!Q32+'12A2'!Z32+'12A3'!Z32+'12A4'!Z32</f>
        <v>0</v>
      </c>
      <c r="R32" s="56">
        <f>'12A1'!R32+'12A2'!AA32+'12A3'!AA32+'12A4'!AA32</f>
        <v>0</v>
      </c>
    </row>
    <row r="33" spans="1:18" x14ac:dyDescent="0.2">
      <c r="A33" s="394" t="s">
        <v>140</v>
      </c>
      <c r="B33" s="299"/>
      <c r="C33" s="299"/>
      <c r="D33" s="299"/>
      <c r="E33" s="299"/>
      <c r="F33" s="299"/>
      <c r="G33" s="380" t="s">
        <v>422</v>
      </c>
      <c r="H33" s="153"/>
      <c r="I33" s="56">
        <f>'12A1'!I33+'12A2'!J33+'12A3'!J33+'12A4'!J33</f>
        <v>0</v>
      </c>
      <c r="J33" s="56">
        <f>'12A1'!J33+'12A2'!L33+'12A3'!L33+'12A4'!L33</f>
        <v>0</v>
      </c>
      <c r="K33" s="56">
        <f>'12A1'!K33+'12A2'!N33+'12A3'!N33+'12A4'!N33</f>
        <v>0</v>
      </c>
      <c r="L33" s="56">
        <f>'12A1'!L33+'12A2'!P33+'12A3'!P33+'12A4'!P33</f>
        <v>0</v>
      </c>
      <c r="M33" s="56">
        <f>'12A1'!M33+'12A2'!R33+'12A3'!R33+'12A4'!R33</f>
        <v>0</v>
      </c>
      <c r="N33" s="57">
        <f>'12A1'!N33+'12A2'!T33+'12A3'!T33+'12A4'!T33</f>
        <v>0</v>
      </c>
      <c r="O33" s="57">
        <f>'12A1'!O33+'12A2'!V33+'12A3'!V33+'12A4'!V33</f>
        <v>0</v>
      </c>
      <c r="P33" s="57">
        <f>'12A1'!P33+'12A2'!X33+'12A3'!X33+'12A4'!X33</f>
        <v>0</v>
      </c>
      <c r="Q33" s="57">
        <f>'12A1'!Q33+'12A2'!Z33+'12A3'!Z33+'12A4'!Z33</f>
        <v>0</v>
      </c>
      <c r="R33" s="56">
        <f>'12A1'!R33+'12A2'!AA33+'12A3'!AA33+'12A4'!AA33</f>
        <v>0</v>
      </c>
    </row>
    <row r="34" spans="1:18" x14ac:dyDescent="0.2">
      <c r="A34" s="92"/>
      <c r="B34" s="92"/>
      <c r="C34" s="92"/>
      <c r="D34" s="92"/>
      <c r="E34" s="92"/>
      <c r="F34" s="92"/>
      <c r="G34" s="233" t="s">
        <v>108</v>
      </c>
      <c r="N34" s="132"/>
      <c r="O34" s="132"/>
      <c r="P34" s="132"/>
      <c r="Q34" s="132"/>
    </row>
    <row r="35" spans="1:18" x14ac:dyDescent="0.2">
      <c r="A35" s="92"/>
      <c r="B35" s="92"/>
      <c r="C35" s="92"/>
      <c r="D35" s="92"/>
      <c r="E35" s="92"/>
      <c r="F35" s="92"/>
      <c r="N35" s="132"/>
      <c r="O35" s="132"/>
      <c r="P35" s="132"/>
      <c r="Q35" s="132"/>
    </row>
    <row r="36" spans="1:18" x14ac:dyDescent="0.2">
      <c r="A36" s="92"/>
      <c r="B36" s="92"/>
      <c r="C36" s="92"/>
      <c r="D36" s="92"/>
      <c r="E36" s="92"/>
      <c r="F36" s="92"/>
      <c r="N36" s="132"/>
      <c r="O36" s="132"/>
      <c r="P36" s="132"/>
      <c r="Q36" s="132"/>
    </row>
    <row r="37" spans="1:18" x14ac:dyDescent="0.2">
      <c r="A37" s="92"/>
      <c r="B37" s="92"/>
      <c r="C37" s="92"/>
      <c r="D37" s="92"/>
      <c r="E37" s="92"/>
      <c r="F37" s="92"/>
      <c r="N37" s="132"/>
      <c r="O37" s="132"/>
      <c r="P37" s="132"/>
      <c r="Q37" s="132"/>
    </row>
    <row r="38" spans="1:18" x14ac:dyDescent="0.2">
      <c r="A38" s="92"/>
      <c r="B38" s="92"/>
      <c r="C38" s="92"/>
      <c r="D38" s="92"/>
      <c r="E38" s="92"/>
      <c r="F38" s="92"/>
      <c r="N38" s="132"/>
      <c r="O38" s="132"/>
      <c r="P38" s="132"/>
      <c r="Q38" s="132"/>
    </row>
    <row r="39" spans="1:18" x14ac:dyDescent="0.2">
      <c r="A39" s="92"/>
      <c r="B39" s="92"/>
      <c r="C39" s="92"/>
      <c r="D39" s="92"/>
      <c r="E39" s="92"/>
      <c r="F39" s="92"/>
      <c r="N39" s="132"/>
      <c r="O39" s="132"/>
      <c r="P39" s="132"/>
      <c r="Q39" s="132"/>
    </row>
    <row r="40" spans="1:18" x14ac:dyDescent="0.2">
      <c r="A40" s="92"/>
      <c r="B40" s="92"/>
      <c r="C40" s="92"/>
      <c r="D40" s="92"/>
      <c r="E40" s="92"/>
      <c r="F40" s="92"/>
      <c r="N40" s="132"/>
      <c r="O40" s="132"/>
      <c r="P40" s="132"/>
      <c r="Q40" s="132"/>
    </row>
    <row r="41" spans="1:18" x14ac:dyDescent="0.2">
      <c r="A41" s="92"/>
      <c r="B41" s="92"/>
      <c r="C41" s="92"/>
      <c r="D41" s="92"/>
      <c r="E41" s="92"/>
      <c r="F41" s="92"/>
      <c r="N41" s="132"/>
      <c r="O41" s="132"/>
      <c r="P41" s="132"/>
      <c r="Q41" s="132"/>
    </row>
    <row r="42" spans="1:18" x14ac:dyDescent="0.2">
      <c r="A42" s="92"/>
      <c r="B42" s="92"/>
      <c r="C42" s="92"/>
      <c r="D42" s="92"/>
      <c r="E42" s="92"/>
      <c r="F42" s="92"/>
      <c r="N42" s="132"/>
      <c r="O42" s="132"/>
      <c r="P42" s="132"/>
      <c r="Q42" s="132"/>
    </row>
    <row r="43" spans="1:18" x14ac:dyDescent="0.2">
      <c r="A43" s="92"/>
      <c r="B43" s="92"/>
      <c r="C43" s="92"/>
      <c r="D43" s="92"/>
      <c r="E43" s="92"/>
      <c r="F43" s="92"/>
      <c r="N43" s="132"/>
      <c r="O43" s="132"/>
      <c r="P43" s="132"/>
      <c r="Q43" s="132"/>
    </row>
    <row r="44" spans="1:18" x14ac:dyDescent="0.2">
      <c r="A44" s="92"/>
      <c r="B44" s="92"/>
      <c r="C44" s="92"/>
      <c r="D44" s="92"/>
      <c r="E44" s="92"/>
      <c r="F44" s="92"/>
      <c r="N44" s="132"/>
      <c r="O44" s="132"/>
      <c r="P44" s="132"/>
      <c r="Q44" s="132"/>
    </row>
    <row r="45" spans="1:18" x14ac:dyDescent="0.2">
      <c r="A45" s="92"/>
      <c r="B45" s="92"/>
      <c r="C45" s="92"/>
      <c r="D45" s="92"/>
      <c r="E45" s="92"/>
      <c r="F45" s="92"/>
      <c r="N45" s="132"/>
      <c r="O45" s="132"/>
      <c r="P45" s="132"/>
      <c r="Q45" s="132"/>
    </row>
    <row r="46" spans="1:18" x14ac:dyDescent="0.2">
      <c r="A46" s="92"/>
      <c r="B46" s="92"/>
      <c r="C46" s="92"/>
      <c r="D46" s="92"/>
      <c r="E46" s="92"/>
      <c r="F46" s="92"/>
      <c r="N46" s="132"/>
      <c r="O46" s="132"/>
      <c r="P46" s="132"/>
      <c r="Q46" s="132"/>
    </row>
    <row r="47" spans="1:18" x14ac:dyDescent="0.2">
      <c r="A47" s="92"/>
      <c r="B47" s="92"/>
      <c r="C47" s="92"/>
      <c r="D47" s="92"/>
      <c r="E47" s="92"/>
      <c r="F47" s="92"/>
      <c r="N47" s="132"/>
      <c r="O47" s="132"/>
      <c r="P47" s="132"/>
      <c r="Q47" s="132"/>
    </row>
    <row r="48" spans="1:18" x14ac:dyDescent="0.2">
      <c r="A48" s="92"/>
      <c r="B48" s="92"/>
      <c r="C48" s="92"/>
      <c r="D48" s="92"/>
      <c r="E48" s="92"/>
      <c r="F48" s="92"/>
    </row>
    <row r="49" spans="1:6" x14ac:dyDescent="0.2">
      <c r="A49" s="92"/>
      <c r="B49" s="92"/>
      <c r="C49" s="92"/>
      <c r="D49" s="92"/>
      <c r="E49" s="92"/>
      <c r="F49" s="92"/>
    </row>
    <row r="50" spans="1:6" x14ac:dyDescent="0.2">
      <c r="A50" s="92"/>
      <c r="B50" s="92"/>
      <c r="C50" s="92"/>
      <c r="D50" s="92"/>
      <c r="E50" s="92"/>
      <c r="F50" s="92"/>
    </row>
    <row r="51" spans="1:6" x14ac:dyDescent="0.2">
      <c r="A51" s="92"/>
      <c r="B51" s="92"/>
      <c r="C51" s="92"/>
      <c r="D51" s="92"/>
      <c r="E51" s="92"/>
      <c r="F51" s="92"/>
    </row>
    <row r="52" spans="1:6" x14ac:dyDescent="0.2">
      <c r="A52" s="92"/>
      <c r="B52" s="92"/>
      <c r="C52" s="92"/>
      <c r="D52" s="92"/>
      <c r="E52" s="92"/>
      <c r="F52" s="92"/>
    </row>
    <row r="53" spans="1:6" x14ac:dyDescent="0.2">
      <c r="A53" s="92"/>
      <c r="B53" s="92"/>
      <c r="C53" s="92"/>
      <c r="D53" s="92"/>
      <c r="E53" s="92"/>
      <c r="F53" s="92"/>
    </row>
    <row r="54" spans="1:6" x14ac:dyDescent="0.2">
      <c r="A54" s="92"/>
      <c r="B54" s="92"/>
      <c r="C54" s="92"/>
      <c r="D54" s="92"/>
      <c r="E54" s="92"/>
      <c r="F54" s="92"/>
    </row>
    <row r="55" spans="1:6" x14ac:dyDescent="0.2">
      <c r="A55" s="92"/>
      <c r="B55" s="92"/>
      <c r="C55" s="92"/>
      <c r="D55" s="92"/>
      <c r="E55" s="92"/>
      <c r="F55" s="92"/>
    </row>
    <row r="56" spans="1:6" x14ac:dyDescent="0.2">
      <c r="A56" s="92"/>
      <c r="B56" s="92"/>
      <c r="C56" s="92"/>
      <c r="D56" s="92"/>
      <c r="E56" s="92"/>
      <c r="F56" s="92"/>
    </row>
    <row r="57" spans="1:6" x14ac:dyDescent="0.2">
      <c r="A57" s="92"/>
      <c r="B57" s="92"/>
      <c r="C57" s="92"/>
      <c r="D57" s="92"/>
      <c r="E57" s="92"/>
      <c r="F57" s="92"/>
    </row>
    <row r="58" spans="1:6" x14ac:dyDescent="0.2">
      <c r="A58" s="92"/>
      <c r="B58" s="92"/>
      <c r="C58" s="92"/>
      <c r="D58" s="92"/>
      <c r="E58" s="92"/>
      <c r="F58" s="92"/>
    </row>
    <row r="59" spans="1:6" x14ac:dyDescent="0.2">
      <c r="A59" s="92"/>
      <c r="B59" s="92"/>
      <c r="C59" s="92"/>
      <c r="D59" s="92"/>
      <c r="E59" s="92"/>
      <c r="F59" s="92"/>
    </row>
    <row r="60" spans="1:6" x14ac:dyDescent="0.2">
      <c r="A60" s="92"/>
      <c r="B60" s="92"/>
      <c r="C60" s="92"/>
      <c r="D60" s="92"/>
      <c r="E60" s="92"/>
      <c r="F60" s="92"/>
    </row>
    <row r="61" spans="1:6" x14ac:dyDescent="0.2">
      <c r="A61" s="92"/>
      <c r="B61" s="92"/>
      <c r="C61" s="92"/>
      <c r="D61" s="92"/>
      <c r="E61" s="92"/>
      <c r="F61" s="92"/>
    </row>
    <row r="62" spans="1:6" x14ac:dyDescent="0.2">
      <c r="A62" s="92"/>
      <c r="B62" s="92"/>
      <c r="C62" s="92"/>
      <c r="D62" s="92"/>
      <c r="E62" s="92"/>
      <c r="F62" s="92"/>
    </row>
    <row r="63" spans="1:6" x14ac:dyDescent="0.2">
      <c r="A63" s="92"/>
      <c r="B63" s="92"/>
      <c r="C63" s="92"/>
      <c r="D63" s="92"/>
      <c r="E63" s="92"/>
      <c r="F63" s="92"/>
    </row>
    <row r="64" spans="1:6" x14ac:dyDescent="0.2">
      <c r="A64" s="92"/>
      <c r="B64" s="92"/>
      <c r="C64" s="92"/>
      <c r="D64" s="92"/>
      <c r="E64" s="92"/>
      <c r="F64" s="92"/>
    </row>
    <row r="65" spans="1:6" x14ac:dyDescent="0.2">
      <c r="A65" s="92"/>
      <c r="B65" s="92"/>
      <c r="C65" s="92"/>
      <c r="D65" s="92"/>
      <c r="E65" s="92"/>
      <c r="F65" s="92"/>
    </row>
    <row r="66" spans="1:6" x14ac:dyDescent="0.2">
      <c r="A66" s="92"/>
      <c r="B66" s="92"/>
      <c r="C66" s="92"/>
      <c r="D66" s="92"/>
      <c r="E66" s="92"/>
      <c r="F66" s="92"/>
    </row>
    <row r="67" spans="1:6" x14ac:dyDescent="0.2">
      <c r="A67" s="92"/>
      <c r="B67" s="92"/>
      <c r="C67" s="92"/>
      <c r="D67" s="92"/>
      <c r="E67" s="92"/>
      <c r="F67" s="92"/>
    </row>
    <row r="68" spans="1:6" x14ac:dyDescent="0.2">
      <c r="A68" s="92"/>
      <c r="B68" s="92"/>
      <c r="C68" s="92"/>
      <c r="D68" s="92"/>
      <c r="E68" s="92"/>
      <c r="F68" s="92"/>
    </row>
    <row r="69" spans="1:6" x14ac:dyDescent="0.2">
      <c r="A69" s="92"/>
      <c r="B69" s="92"/>
      <c r="C69" s="92"/>
      <c r="D69" s="92"/>
      <c r="E69" s="92"/>
      <c r="F69" s="92"/>
    </row>
    <row r="70" spans="1:6" x14ac:dyDescent="0.2">
      <c r="A70" s="92"/>
      <c r="B70" s="92"/>
      <c r="C70" s="92"/>
      <c r="D70" s="92"/>
      <c r="E70" s="92"/>
      <c r="F70" s="92"/>
    </row>
    <row r="71" spans="1:6" x14ac:dyDescent="0.2">
      <c r="A71" s="92"/>
      <c r="B71" s="92"/>
      <c r="C71" s="92"/>
      <c r="D71" s="92"/>
      <c r="E71" s="92"/>
      <c r="F71" s="92"/>
    </row>
    <row r="72" spans="1:6" x14ac:dyDescent="0.2">
      <c r="A72" s="92"/>
      <c r="B72" s="92"/>
      <c r="C72" s="92"/>
      <c r="D72" s="92"/>
      <c r="E72" s="92"/>
      <c r="F72" s="92"/>
    </row>
    <row r="73" spans="1:6" x14ac:dyDescent="0.2">
      <c r="A73" s="92"/>
      <c r="B73" s="92"/>
      <c r="C73" s="92"/>
      <c r="D73" s="92"/>
      <c r="E73" s="92"/>
      <c r="F73" s="92"/>
    </row>
    <row r="74" spans="1:6" x14ac:dyDescent="0.2">
      <c r="A74" s="92"/>
      <c r="B74" s="92"/>
      <c r="C74" s="92"/>
      <c r="D74" s="92"/>
      <c r="E74" s="92"/>
      <c r="F74" s="92"/>
    </row>
    <row r="75" spans="1:6" x14ac:dyDescent="0.2">
      <c r="A75" s="92"/>
      <c r="B75" s="92"/>
      <c r="C75" s="92"/>
      <c r="D75" s="92"/>
      <c r="E75" s="92"/>
      <c r="F75" s="92"/>
    </row>
    <row r="76" spans="1:6" x14ac:dyDescent="0.2">
      <c r="A76" s="92"/>
      <c r="B76" s="92"/>
      <c r="C76" s="92"/>
      <c r="D76" s="92"/>
      <c r="E76" s="92"/>
      <c r="F76" s="92"/>
    </row>
    <row r="77" spans="1:6" x14ac:dyDescent="0.2">
      <c r="A77" s="92"/>
      <c r="B77" s="92"/>
      <c r="C77" s="92"/>
      <c r="D77" s="92"/>
      <c r="E77" s="92"/>
      <c r="F77" s="92"/>
    </row>
    <row r="78" spans="1:6" x14ac:dyDescent="0.2">
      <c r="A78" s="92"/>
      <c r="B78" s="92"/>
      <c r="C78" s="92"/>
      <c r="D78" s="92"/>
      <c r="E78" s="92"/>
      <c r="F78" s="92"/>
    </row>
    <row r="79" spans="1:6" x14ac:dyDescent="0.2">
      <c r="A79" s="92"/>
      <c r="B79" s="92"/>
      <c r="C79" s="92"/>
      <c r="D79" s="92"/>
      <c r="E79" s="92"/>
      <c r="F79" s="92"/>
    </row>
    <row r="80" spans="1:6" x14ac:dyDescent="0.2">
      <c r="A80" s="92"/>
      <c r="B80" s="92"/>
      <c r="C80" s="92"/>
      <c r="D80" s="92"/>
      <c r="E80" s="92"/>
      <c r="F80" s="92"/>
    </row>
    <row r="81" spans="1:6" x14ac:dyDescent="0.2">
      <c r="A81" s="92"/>
      <c r="B81" s="92"/>
      <c r="C81" s="92"/>
      <c r="D81" s="92"/>
      <c r="E81" s="92"/>
      <c r="F81" s="92"/>
    </row>
    <row r="82" spans="1:6" x14ac:dyDescent="0.2">
      <c r="A82" s="92"/>
      <c r="B82" s="92"/>
      <c r="C82" s="92"/>
      <c r="D82" s="92"/>
      <c r="E82" s="92"/>
      <c r="F82" s="92"/>
    </row>
    <row r="83" spans="1:6" x14ac:dyDescent="0.2">
      <c r="A83" s="92"/>
      <c r="B83" s="92"/>
      <c r="C83" s="92"/>
      <c r="D83" s="92"/>
      <c r="E83" s="92"/>
      <c r="F83" s="92"/>
    </row>
    <row r="84" spans="1:6" x14ac:dyDescent="0.2">
      <c r="A84" s="92"/>
      <c r="B84" s="92"/>
      <c r="C84" s="92"/>
      <c r="D84" s="92"/>
      <c r="E84" s="92"/>
      <c r="F84" s="92"/>
    </row>
    <row r="85" spans="1:6" x14ac:dyDescent="0.2">
      <c r="A85" s="92"/>
      <c r="B85" s="92"/>
      <c r="C85" s="92"/>
      <c r="D85" s="92"/>
      <c r="E85" s="92"/>
      <c r="F85" s="92"/>
    </row>
    <row r="86" spans="1:6" x14ac:dyDescent="0.2">
      <c r="A86" s="92"/>
      <c r="B86" s="92"/>
      <c r="C86" s="92"/>
      <c r="D86" s="92"/>
      <c r="E86" s="92"/>
      <c r="F86" s="92"/>
    </row>
    <row r="87" spans="1:6" x14ac:dyDescent="0.2">
      <c r="A87" s="92"/>
      <c r="B87" s="92"/>
      <c r="C87" s="92"/>
      <c r="D87" s="92"/>
      <c r="E87" s="92"/>
      <c r="F87" s="92"/>
    </row>
    <row r="88" spans="1:6" x14ac:dyDescent="0.2">
      <c r="A88" s="92"/>
      <c r="B88" s="92"/>
      <c r="C88" s="92"/>
      <c r="D88" s="92"/>
      <c r="E88" s="92"/>
      <c r="F88" s="92"/>
    </row>
    <row r="89" spans="1:6" x14ac:dyDescent="0.2">
      <c r="A89" s="92"/>
      <c r="B89" s="92"/>
      <c r="C89" s="92"/>
      <c r="D89" s="92"/>
      <c r="E89" s="92"/>
      <c r="F89" s="92"/>
    </row>
    <row r="90" spans="1:6" x14ac:dyDescent="0.2">
      <c r="A90" s="92"/>
      <c r="B90" s="92"/>
      <c r="C90" s="92"/>
      <c r="D90" s="92"/>
      <c r="E90" s="92"/>
      <c r="F90" s="92"/>
    </row>
    <row r="91" spans="1:6" x14ac:dyDescent="0.2">
      <c r="A91" s="92"/>
      <c r="B91" s="92"/>
      <c r="C91" s="92"/>
      <c r="D91" s="92"/>
      <c r="E91" s="92"/>
      <c r="F91" s="92"/>
    </row>
    <row r="92" spans="1:6" x14ac:dyDescent="0.2">
      <c r="A92" s="92"/>
      <c r="B92" s="92"/>
      <c r="C92" s="92"/>
      <c r="D92" s="92"/>
      <c r="E92" s="92"/>
      <c r="F92" s="92"/>
    </row>
    <row r="93" spans="1:6" x14ac:dyDescent="0.2">
      <c r="A93" s="92"/>
      <c r="B93" s="92"/>
      <c r="C93" s="92"/>
      <c r="D93" s="92"/>
      <c r="E93" s="92"/>
      <c r="F93" s="92"/>
    </row>
    <row r="94" spans="1:6" x14ac:dyDescent="0.2">
      <c r="A94" s="92"/>
      <c r="B94" s="92"/>
      <c r="C94" s="92"/>
      <c r="D94" s="92"/>
      <c r="E94" s="92"/>
      <c r="F94" s="92"/>
    </row>
    <row r="95" spans="1:6" x14ac:dyDescent="0.2">
      <c r="A95" s="92"/>
      <c r="B95" s="92"/>
      <c r="C95" s="92"/>
      <c r="D95" s="92"/>
      <c r="E95" s="92"/>
      <c r="F95" s="92"/>
    </row>
    <row r="96" spans="1:6" x14ac:dyDescent="0.2">
      <c r="A96" s="92"/>
      <c r="B96" s="92"/>
      <c r="C96" s="92"/>
      <c r="D96" s="92"/>
      <c r="E96" s="92"/>
      <c r="F96" s="92"/>
    </row>
    <row r="97" spans="1:6" x14ac:dyDescent="0.2">
      <c r="A97" s="92"/>
      <c r="B97" s="92"/>
      <c r="C97" s="92"/>
      <c r="D97" s="92"/>
      <c r="E97" s="92"/>
      <c r="F97" s="92"/>
    </row>
    <row r="98" spans="1:6" x14ac:dyDescent="0.2">
      <c r="A98" s="92"/>
      <c r="B98" s="92"/>
      <c r="C98" s="92"/>
      <c r="D98" s="92"/>
      <c r="E98" s="92"/>
      <c r="F98" s="92"/>
    </row>
    <row r="99" spans="1:6" x14ac:dyDescent="0.2">
      <c r="A99" s="92"/>
      <c r="B99" s="92"/>
      <c r="C99" s="92"/>
      <c r="D99" s="92"/>
      <c r="E99" s="92"/>
      <c r="F99" s="92"/>
    </row>
    <row r="100" spans="1:6" x14ac:dyDescent="0.2">
      <c r="A100" s="92"/>
      <c r="B100" s="92"/>
      <c r="C100" s="92"/>
      <c r="D100" s="92"/>
      <c r="E100" s="92"/>
      <c r="F100" s="92"/>
    </row>
    <row r="101" spans="1:6" x14ac:dyDescent="0.2">
      <c r="A101" s="92"/>
      <c r="B101" s="92"/>
      <c r="C101" s="92"/>
      <c r="D101" s="92"/>
      <c r="E101" s="92"/>
      <c r="F101" s="92"/>
    </row>
    <row r="102" spans="1:6" x14ac:dyDescent="0.2">
      <c r="A102" s="92"/>
      <c r="B102" s="92"/>
      <c r="C102" s="92"/>
      <c r="D102" s="92"/>
      <c r="E102" s="92"/>
      <c r="F102" s="92"/>
    </row>
    <row r="103" spans="1:6" x14ac:dyDescent="0.2">
      <c r="A103" s="92"/>
      <c r="B103" s="92"/>
      <c r="C103" s="92"/>
      <c r="D103" s="92"/>
      <c r="E103" s="92"/>
      <c r="F103" s="92"/>
    </row>
    <row r="104" spans="1:6" x14ac:dyDescent="0.2">
      <c r="A104" s="92"/>
      <c r="B104" s="92"/>
      <c r="C104" s="92"/>
      <c r="D104" s="92"/>
      <c r="E104" s="92"/>
      <c r="F104" s="92"/>
    </row>
    <row r="105" spans="1:6" x14ac:dyDescent="0.2">
      <c r="A105" s="92"/>
      <c r="B105" s="92"/>
      <c r="C105" s="92"/>
      <c r="D105" s="92"/>
      <c r="E105" s="92"/>
      <c r="F105" s="92"/>
    </row>
    <row r="106" spans="1:6" x14ac:dyDescent="0.2">
      <c r="A106" s="92"/>
      <c r="B106" s="92"/>
      <c r="C106" s="92"/>
      <c r="D106" s="92"/>
      <c r="E106" s="92"/>
      <c r="F106" s="92"/>
    </row>
    <row r="107" spans="1:6" x14ac:dyDescent="0.2">
      <c r="A107" s="92"/>
      <c r="B107" s="92"/>
      <c r="C107" s="92"/>
      <c r="D107" s="92"/>
      <c r="E107" s="92"/>
      <c r="F107" s="92"/>
    </row>
    <row r="108" spans="1:6" x14ac:dyDescent="0.2">
      <c r="A108" s="92"/>
      <c r="B108" s="92"/>
      <c r="C108" s="92"/>
      <c r="D108" s="92"/>
      <c r="E108" s="92"/>
      <c r="F108" s="92"/>
    </row>
    <row r="109" spans="1:6" x14ac:dyDescent="0.2">
      <c r="A109" s="92"/>
      <c r="B109" s="92"/>
      <c r="C109" s="92"/>
      <c r="D109" s="92"/>
      <c r="E109" s="92"/>
      <c r="F109" s="92"/>
    </row>
    <row r="110" spans="1:6" x14ac:dyDescent="0.2">
      <c r="A110" s="92"/>
      <c r="B110" s="92"/>
      <c r="C110" s="92"/>
      <c r="D110" s="92"/>
      <c r="E110" s="92"/>
      <c r="F110" s="92"/>
    </row>
    <row r="111" spans="1:6" x14ac:dyDescent="0.2">
      <c r="A111" s="92"/>
      <c r="B111" s="92"/>
      <c r="C111" s="92"/>
      <c r="D111" s="92"/>
      <c r="E111" s="92"/>
      <c r="F111" s="92"/>
    </row>
    <row r="112" spans="1:6" x14ac:dyDescent="0.2">
      <c r="A112" s="92"/>
      <c r="B112" s="92"/>
      <c r="C112" s="92"/>
      <c r="D112" s="92"/>
      <c r="E112" s="92"/>
      <c r="F112" s="92"/>
    </row>
    <row r="113" spans="1:6" x14ac:dyDescent="0.2">
      <c r="A113" s="92"/>
      <c r="B113" s="92"/>
      <c r="C113" s="92"/>
      <c r="D113" s="92"/>
      <c r="E113" s="92"/>
      <c r="F113" s="92"/>
    </row>
    <row r="114" spans="1:6" x14ac:dyDescent="0.2">
      <c r="A114" s="92"/>
      <c r="B114" s="92"/>
      <c r="C114" s="92"/>
      <c r="D114" s="92"/>
      <c r="E114" s="92"/>
      <c r="F114" s="92"/>
    </row>
    <row r="115" spans="1:6" x14ac:dyDescent="0.2">
      <c r="A115" s="92"/>
      <c r="B115" s="92"/>
      <c r="C115" s="92"/>
      <c r="D115" s="92"/>
      <c r="E115" s="92"/>
      <c r="F115" s="92"/>
    </row>
    <row r="116" spans="1:6" x14ac:dyDescent="0.2">
      <c r="A116" s="92"/>
      <c r="B116" s="92"/>
      <c r="C116" s="92"/>
      <c r="D116" s="92"/>
      <c r="E116" s="92"/>
      <c r="F116" s="92"/>
    </row>
    <row r="117" spans="1:6" x14ac:dyDescent="0.2">
      <c r="A117" s="92"/>
      <c r="B117" s="92"/>
      <c r="C117" s="92"/>
      <c r="D117" s="92"/>
      <c r="E117" s="92"/>
      <c r="F117" s="92"/>
    </row>
    <row r="118" spans="1:6" x14ac:dyDescent="0.2">
      <c r="A118" s="92"/>
      <c r="B118" s="92"/>
      <c r="C118" s="92"/>
      <c r="D118" s="92"/>
      <c r="E118" s="92"/>
      <c r="F118" s="92"/>
    </row>
    <row r="119" spans="1:6" x14ac:dyDescent="0.2">
      <c r="A119" s="92"/>
      <c r="B119" s="92"/>
      <c r="C119" s="92"/>
      <c r="D119" s="92"/>
      <c r="E119" s="92"/>
      <c r="F119" s="92"/>
    </row>
    <row r="120" spans="1:6" x14ac:dyDescent="0.2">
      <c r="A120" s="92"/>
      <c r="B120" s="92"/>
      <c r="C120" s="92"/>
      <c r="D120" s="92"/>
      <c r="E120" s="92"/>
      <c r="F120" s="92"/>
    </row>
    <row r="121" spans="1:6" x14ac:dyDescent="0.2">
      <c r="A121" s="92"/>
      <c r="B121" s="92"/>
      <c r="C121" s="92"/>
      <c r="D121" s="92"/>
      <c r="E121" s="92"/>
      <c r="F121" s="92"/>
    </row>
    <row r="122" spans="1:6" x14ac:dyDescent="0.2">
      <c r="A122" s="92"/>
      <c r="B122" s="92"/>
      <c r="C122" s="92"/>
      <c r="D122" s="92"/>
      <c r="E122" s="92"/>
      <c r="F122" s="92"/>
    </row>
    <row r="123" spans="1:6" x14ac:dyDescent="0.2">
      <c r="A123" s="92"/>
      <c r="B123" s="92"/>
      <c r="C123" s="92"/>
      <c r="D123" s="92"/>
      <c r="E123" s="92"/>
      <c r="F123" s="92"/>
    </row>
    <row r="124" spans="1:6" x14ac:dyDescent="0.2">
      <c r="A124" s="92"/>
      <c r="B124" s="92"/>
      <c r="C124" s="92"/>
      <c r="D124" s="92"/>
      <c r="E124" s="92"/>
      <c r="F124" s="92"/>
    </row>
    <row r="125" spans="1:6" x14ac:dyDescent="0.2">
      <c r="A125" s="92"/>
      <c r="B125" s="92"/>
      <c r="C125" s="92"/>
      <c r="D125" s="92"/>
      <c r="E125" s="92"/>
      <c r="F125" s="92"/>
    </row>
    <row r="126" spans="1:6" x14ac:dyDescent="0.2">
      <c r="A126" s="92"/>
      <c r="B126" s="92"/>
      <c r="C126" s="92"/>
      <c r="D126" s="92"/>
      <c r="E126" s="92"/>
      <c r="F126" s="92"/>
    </row>
    <row r="127" spans="1:6" x14ac:dyDescent="0.2">
      <c r="A127" s="92"/>
      <c r="B127" s="92"/>
      <c r="C127" s="92"/>
      <c r="D127" s="92"/>
      <c r="E127" s="92"/>
      <c r="F127" s="92"/>
    </row>
    <row r="128" spans="1:6" x14ac:dyDescent="0.2">
      <c r="A128" s="92"/>
      <c r="B128" s="92"/>
      <c r="C128" s="92"/>
      <c r="D128" s="92"/>
      <c r="E128" s="92"/>
      <c r="F128" s="92"/>
    </row>
    <row r="129" spans="1:6" x14ac:dyDescent="0.2">
      <c r="A129" s="92"/>
      <c r="B129" s="92"/>
      <c r="C129" s="92"/>
      <c r="D129" s="92"/>
      <c r="E129" s="92"/>
      <c r="F129" s="92"/>
    </row>
    <row r="130" spans="1:6" x14ac:dyDescent="0.2">
      <c r="A130" s="92"/>
      <c r="B130" s="92"/>
      <c r="C130" s="92"/>
      <c r="D130" s="92"/>
      <c r="E130" s="92"/>
      <c r="F130" s="92"/>
    </row>
    <row r="131" spans="1:6" x14ac:dyDescent="0.2">
      <c r="A131" s="92"/>
      <c r="B131" s="92"/>
      <c r="C131" s="92"/>
      <c r="D131" s="92"/>
      <c r="E131" s="92"/>
      <c r="F131" s="92"/>
    </row>
    <row r="132" spans="1:6" x14ac:dyDescent="0.2">
      <c r="A132" s="92"/>
      <c r="B132" s="92"/>
      <c r="C132" s="92"/>
      <c r="D132" s="92"/>
      <c r="E132" s="92"/>
      <c r="F132" s="92"/>
    </row>
    <row r="133" spans="1:6" x14ac:dyDescent="0.2">
      <c r="A133" s="92"/>
      <c r="B133" s="92"/>
      <c r="C133" s="92"/>
      <c r="D133" s="92"/>
      <c r="E133" s="92"/>
      <c r="F133" s="92"/>
    </row>
    <row r="134" spans="1:6" x14ac:dyDescent="0.2">
      <c r="A134" s="92"/>
      <c r="B134" s="92"/>
      <c r="C134" s="92"/>
      <c r="D134" s="92"/>
      <c r="E134" s="92"/>
      <c r="F134" s="92"/>
    </row>
    <row r="135" spans="1:6" x14ac:dyDescent="0.2">
      <c r="A135" s="92"/>
      <c r="B135" s="92"/>
      <c r="C135" s="92"/>
      <c r="D135" s="92"/>
      <c r="E135" s="92"/>
      <c r="F135" s="92"/>
    </row>
    <row r="136" spans="1:6" x14ac:dyDescent="0.2">
      <c r="A136" s="92"/>
      <c r="B136" s="92"/>
      <c r="C136" s="92"/>
      <c r="D136" s="92"/>
      <c r="E136" s="92"/>
      <c r="F136" s="92"/>
    </row>
    <row r="137" spans="1:6" x14ac:dyDescent="0.2">
      <c r="A137" s="92"/>
      <c r="B137" s="92"/>
      <c r="C137" s="92"/>
      <c r="D137" s="92"/>
      <c r="E137" s="92"/>
      <c r="F137" s="92"/>
    </row>
    <row r="138" spans="1:6" x14ac:dyDescent="0.2">
      <c r="A138" s="92"/>
      <c r="B138" s="92"/>
      <c r="C138" s="92"/>
      <c r="D138" s="92"/>
      <c r="E138" s="92"/>
      <c r="F138" s="92"/>
    </row>
    <row r="139" spans="1:6" x14ac:dyDescent="0.2">
      <c r="A139" s="92"/>
      <c r="B139" s="92"/>
      <c r="C139" s="92"/>
      <c r="D139" s="92"/>
      <c r="E139" s="92"/>
      <c r="F139" s="92"/>
    </row>
    <row r="140" spans="1:6" x14ac:dyDescent="0.2">
      <c r="A140" s="92"/>
      <c r="B140" s="92"/>
      <c r="C140" s="92"/>
      <c r="D140" s="92"/>
      <c r="E140" s="92"/>
      <c r="F140" s="92"/>
    </row>
    <row r="141" spans="1:6" x14ac:dyDescent="0.2">
      <c r="A141" s="92"/>
      <c r="B141" s="92"/>
      <c r="C141" s="92"/>
      <c r="D141" s="92"/>
      <c r="E141" s="92"/>
      <c r="F141" s="92"/>
    </row>
    <row r="142" spans="1:6" x14ac:dyDescent="0.2">
      <c r="A142" s="92"/>
      <c r="B142" s="92"/>
      <c r="C142" s="92"/>
      <c r="D142" s="92"/>
      <c r="E142" s="92"/>
      <c r="F142" s="92"/>
    </row>
    <row r="143" spans="1:6" x14ac:dyDescent="0.2">
      <c r="A143" s="92"/>
      <c r="B143" s="92"/>
      <c r="C143" s="92"/>
      <c r="D143" s="92"/>
      <c r="E143" s="92"/>
      <c r="F143" s="92"/>
    </row>
    <row r="144" spans="1:6" x14ac:dyDescent="0.2">
      <c r="A144" s="92"/>
      <c r="B144" s="92"/>
      <c r="C144" s="92"/>
      <c r="D144" s="92"/>
      <c r="E144" s="92"/>
      <c r="F144" s="92"/>
    </row>
    <row r="145" spans="1:6" x14ac:dyDescent="0.2">
      <c r="A145" s="92"/>
      <c r="B145" s="92"/>
      <c r="C145" s="92"/>
      <c r="D145" s="92"/>
      <c r="E145" s="92"/>
      <c r="F145" s="92"/>
    </row>
    <row r="146" spans="1:6" x14ac:dyDescent="0.2">
      <c r="A146" s="92"/>
      <c r="B146" s="92"/>
      <c r="C146" s="92"/>
      <c r="D146" s="92"/>
      <c r="E146" s="92"/>
      <c r="F146" s="92"/>
    </row>
    <row r="147" spans="1:6" x14ac:dyDescent="0.2">
      <c r="A147" s="92"/>
      <c r="B147" s="92"/>
      <c r="C147" s="92"/>
      <c r="D147" s="92"/>
      <c r="E147" s="92"/>
      <c r="F147" s="92"/>
    </row>
    <row r="148" spans="1:6" x14ac:dyDescent="0.2">
      <c r="A148" s="92"/>
      <c r="B148" s="92"/>
      <c r="C148" s="92"/>
      <c r="D148" s="92"/>
      <c r="E148" s="92"/>
      <c r="F148" s="92"/>
    </row>
    <row r="149" spans="1:6" x14ac:dyDescent="0.2">
      <c r="A149" s="92"/>
      <c r="B149" s="92"/>
      <c r="C149" s="92"/>
      <c r="D149" s="92"/>
      <c r="E149" s="92"/>
      <c r="F149" s="92"/>
    </row>
    <row r="150" spans="1:6" x14ac:dyDescent="0.2">
      <c r="A150" s="92"/>
      <c r="B150" s="92"/>
      <c r="C150" s="92"/>
      <c r="D150" s="92"/>
      <c r="E150" s="92"/>
      <c r="F150" s="92"/>
    </row>
    <row r="151" spans="1:6" x14ac:dyDescent="0.2">
      <c r="A151" s="92"/>
      <c r="B151" s="92"/>
      <c r="C151" s="92"/>
      <c r="D151" s="92"/>
      <c r="E151" s="92"/>
      <c r="F151" s="92"/>
    </row>
    <row r="152" spans="1:6" x14ac:dyDescent="0.2">
      <c r="A152" s="92"/>
      <c r="B152" s="92"/>
      <c r="C152" s="92"/>
      <c r="D152" s="92"/>
      <c r="E152" s="92"/>
      <c r="F152" s="92"/>
    </row>
    <row r="153" spans="1:6" x14ac:dyDescent="0.2">
      <c r="A153" s="92"/>
      <c r="B153" s="92"/>
      <c r="C153" s="92"/>
      <c r="D153" s="92"/>
      <c r="E153" s="92"/>
      <c r="F153" s="92"/>
    </row>
    <row r="154" spans="1:6" x14ac:dyDescent="0.2">
      <c r="A154" s="92"/>
      <c r="B154" s="92"/>
      <c r="C154" s="92"/>
      <c r="D154" s="92"/>
      <c r="E154" s="92"/>
      <c r="F154" s="92"/>
    </row>
    <row r="155" spans="1:6" x14ac:dyDescent="0.2">
      <c r="A155" s="92"/>
      <c r="B155" s="92"/>
      <c r="C155" s="92"/>
      <c r="D155" s="92"/>
      <c r="E155" s="92"/>
      <c r="F155" s="92"/>
    </row>
    <row r="156" spans="1:6" x14ac:dyDescent="0.2">
      <c r="A156" s="92"/>
      <c r="B156" s="92"/>
      <c r="C156" s="92"/>
      <c r="D156" s="92"/>
      <c r="E156" s="92"/>
      <c r="F156" s="92"/>
    </row>
    <row r="157" spans="1:6" x14ac:dyDescent="0.2">
      <c r="A157" s="92"/>
      <c r="B157" s="92"/>
      <c r="C157" s="92"/>
      <c r="D157" s="92"/>
      <c r="E157" s="92"/>
      <c r="F157" s="92"/>
    </row>
    <row r="158" spans="1:6" x14ac:dyDescent="0.2">
      <c r="A158" s="92"/>
      <c r="B158" s="92"/>
      <c r="C158" s="92"/>
      <c r="D158" s="92"/>
      <c r="E158" s="92"/>
      <c r="F158" s="92"/>
    </row>
    <row r="159" spans="1:6" x14ac:dyDescent="0.2">
      <c r="A159" s="92"/>
      <c r="B159" s="92"/>
      <c r="C159" s="92"/>
      <c r="D159" s="92"/>
      <c r="E159" s="92"/>
      <c r="F159" s="92"/>
    </row>
    <row r="160" spans="1:6" x14ac:dyDescent="0.2">
      <c r="A160" s="92"/>
      <c r="B160" s="92"/>
      <c r="C160" s="92"/>
      <c r="D160" s="92"/>
      <c r="E160" s="92"/>
      <c r="F160" s="92"/>
    </row>
    <row r="161" spans="1:6" x14ac:dyDescent="0.2">
      <c r="A161" s="92"/>
      <c r="B161" s="92"/>
      <c r="C161" s="92"/>
      <c r="D161" s="92"/>
      <c r="E161" s="92"/>
      <c r="F161" s="92"/>
    </row>
    <row r="162" spans="1:6" x14ac:dyDescent="0.2">
      <c r="A162" s="92"/>
      <c r="B162" s="92"/>
      <c r="C162" s="92"/>
      <c r="D162" s="92"/>
      <c r="E162" s="92"/>
      <c r="F162" s="92"/>
    </row>
    <row r="163" spans="1:6" x14ac:dyDescent="0.2">
      <c r="A163" s="92"/>
      <c r="B163" s="92"/>
      <c r="C163" s="92"/>
      <c r="D163" s="92"/>
      <c r="E163" s="92"/>
      <c r="F163" s="92"/>
    </row>
    <row r="164" spans="1:6" x14ac:dyDescent="0.2">
      <c r="A164" s="92"/>
      <c r="B164" s="92"/>
      <c r="C164" s="92"/>
      <c r="D164" s="92"/>
      <c r="E164" s="92"/>
      <c r="F164" s="92"/>
    </row>
    <row r="165" spans="1:6" x14ac:dyDescent="0.2">
      <c r="A165" s="92"/>
      <c r="B165" s="92"/>
      <c r="C165" s="92"/>
      <c r="D165" s="92"/>
      <c r="E165" s="92"/>
      <c r="F165" s="92"/>
    </row>
    <row r="166" spans="1:6" x14ac:dyDescent="0.2">
      <c r="A166" s="92"/>
      <c r="B166" s="92"/>
      <c r="C166" s="92"/>
      <c r="D166" s="92"/>
      <c r="E166" s="92"/>
      <c r="F166" s="92"/>
    </row>
    <row r="167" spans="1:6" x14ac:dyDescent="0.2">
      <c r="A167" s="92"/>
      <c r="B167" s="92"/>
      <c r="C167" s="92"/>
      <c r="D167" s="92"/>
      <c r="E167" s="92"/>
      <c r="F167" s="92"/>
    </row>
    <row r="168" spans="1:6" x14ac:dyDescent="0.2">
      <c r="A168" s="92"/>
      <c r="B168" s="92"/>
      <c r="C168" s="92"/>
      <c r="D168" s="92"/>
      <c r="E168" s="92"/>
      <c r="F168" s="92"/>
    </row>
    <row r="169" spans="1:6" x14ac:dyDescent="0.2">
      <c r="A169" s="92"/>
      <c r="B169" s="92"/>
      <c r="C169" s="92"/>
      <c r="D169" s="92"/>
      <c r="E169" s="92"/>
      <c r="F169" s="92"/>
    </row>
    <row r="170" spans="1:6" x14ac:dyDescent="0.2">
      <c r="A170" s="92"/>
      <c r="B170" s="92"/>
      <c r="C170" s="92"/>
      <c r="D170" s="92"/>
      <c r="E170" s="92"/>
      <c r="F170" s="92"/>
    </row>
    <row r="171" spans="1:6" x14ac:dyDescent="0.2">
      <c r="A171" s="92"/>
      <c r="B171" s="92"/>
      <c r="C171" s="92"/>
      <c r="D171" s="92"/>
      <c r="E171" s="92"/>
      <c r="F171" s="92"/>
    </row>
    <row r="172" spans="1:6" x14ac:dyDescent="0.2">
      <c r="A172" s="92"/>
      <c r="B172" s="92"/>
      <c r="C172" s="92"/>
      <c r="D172" s="92"/>
      <c r="E172" s="92"/>
      <c r="F172" s="92"/>
    </row>
    <row r="173" spans="1:6" x14ac:dyDescent="0.2">
      <c r="A173" s="92"/>
      <c r="B173" s="92"/>
      <c r="C173" s="92"/>
      <c r="D173" s="92"/>
      <c r="E173" s="92"/>
      <c r="F173" s="92"/>
    </row>
    <row r="174" spans="1:6" x14ac:dyDescent="0.2">
      <c r="A174" s="92"/>
      <c r="B174" s="92"/>
      <c r="C174" s="92"/>
      <c r="D174" s="92"/>
      <c r="E174" s="92"/>
      <c r="F174" s="92"/>
    </row>
    <row r="175" spans="1:6" x14ac:dyDescent="0.2">
      <c r="A175" s="92"/>
      <c r="B175" s="92"/>
      <c r="C175" s="92"/>
      <c r="D175" s="92"/>
      <c r="E175" s="92"/>
      <c r="F175" s="92"/>
    </row>
    <row r="176" spans="1:6" x14ac:dyDescent="0.2">
      <c r="A176" s="92"/>
      <c r="B176" s="92"/>
      <c r="C176" s="92"/>
      <c r="D176" s="92"/>
      <c r="E176" s="92"/>
      <c r="F176" s="92"/>
    </row>
    <row r="177" spans="1:6" x14ac:dyDescent="0.2">
      <c r="A177" s="92"/>
      <c r="B177" s="92"/>
      <c r="C177" s="92"/>
      <c r="D177" s="92"/>
      <c r="E177" s="92"/>
      <c r="F177" s="92"/>
    </row>
    <row r="178" spans="1:6" x14ac:dyDescent="0.2">
      <c r="A178" s="92"/>
      <c r="B178" s="92"/>
      <c r="C178" s="92"/>
      <c r="D178" s="92"/>
      <c r="E178" s="92"/>
      <c r="F178" s="92"/>
    </row>
    <row r="179" spans="1:6" x14ac:dyDescent="0.2">
      <c r="A179" s="92"/>
      <c r="B179" s="92"/>
      <c r="C179" s="92"/>
      <c r="D179" s="92"/>
      <c r="E179" s="92"/>
      <c r="F179" s="92"/>
    </row>
    <row r="180" spans="1:6" x14ac:dyDescent="0.2">
      <c r="A180" s="92"/>
      <c r="B180" s="92"/>
      <c r="C180" s="92"/>
      <c r="D180" s="92"/>
      <c r="E180" s="92"/>
      <c r="F180" s="92"/>
    </row>
    <row r="181" spans="1:6" x14ac:dyDescent="0.2">
      <c r="A181" s="92"/>
      <c r="B181" s="92"/>
      <c r="C181" s="92"/>
      <c r="D181" s="92"/>
      <c r="E181" s="92"/>
      <c r="F181" s="92"/>
    </row>
    <row r="182" spans="1:6" x14ac:dyDescent="0.2">
      <c r="A182" s="92"/>
      <c r="B182" s="92"/>
      <c r="C182" s="92"/>
      <c r="D182" s="92"/>
      <c r="E182" s="92"/>
      <c r="F182" s="92"/>
    </row>
    <row r="183" spans="1:6" x14ac:dyDescent="0.2">
      <c r="A183" s="92"/>
      <c r="B183" s="92"/>
      <c r="C183" s="92"/>
      <c r="D183" s="92"/>
      <c r="E183" s="92"/>
      <c r="F183" s="92"/>
    </row>
    <row r="184" spans="1:6" x14ac:dyDescent="0.2">
      <c r="A184" s="92"/>
      <c r="B184" s="92"/>
      <c r="C184" s="92"/>
      <c r="D184" s="92"/>
      <c r="E184" s="92"/>
      <c r="F184" s="92"/>
    </row>
    <row r="185" spans="1:6" x14ac:dyDescent="0.2">
      <c r="A185" s="92"/>
      <c r="B185" s="92"/>
      <c r="C185" s="92"/>
      <c r="D185" s="92"/>
      <c r="E185" s="92"/>
      <c r="F185" s="92"/>
    </row>
    <row r="186" spans="1:6" x14ac:dyDescent="0.2">
      <c r="A186" s="92"/>
      <c r="B186" s="92"/>
      <c r="C186" s="92"/>
      <c r="D186" s="92"/>
      <c r="E186" s="92"/>
      <c r="F186" s="92"/>
    </row>
    <row r="187" spans="1:6" x14ac:dyDescent="0.2">
      <c r="A187" s="92"/>
      <c r="B187" s="92"/>
      <c r="C187" s="92"/>
      <c r="D187" s="92"/>
      <c r="E187" s="92"/>
      <c r="F187" s="92"/>
    </row>
    <row r="188" spans="1:6" x14ac:dyDescent="0.2">
      <c r="A188" s="92"/>
      <c r="B188" s="92"/>
      <c r="C188" s="92"/>
      <c r="D188" s="92"/>
      <c r="E188" s="92"/>
      <c r="F188" s="92"/>
    </row>
    <row r="189" spans="1:6" x14ac:dyDescent="0.2">
      <c r="A189" s="92"/>
      <c r="B189" s="92"/>
      <c r="C189" s="92"/>
      <c r="D189" s="92"/>
      <c r="E189" s="92"/>
      <c r="F189" s="92"/>
    </row>
    <row r="190" spans="1:6" x14ac:dyDescent="0.2">
      <c r="A190" s="92"/>
      <c r="B190" s="92"/>
      <c r="C190" s="92"/>
      <c r="D190" s="92"/>
      <c r="E190" s="92"/>
      <c r="F190" s="92"/>
    </row>
    <row r="191" spans="1:6" x14ac:dyDescent="0.2">
      <c r="A191" s="92"/>
      <c r="B191" s="92"/>
      <c r="C191" s="92"/>
      <c r="D191" s="92"/>
      <c r="E191" s="92"/>
      <c r="F191" s="92"/>
    </row>
    <row r="192" spans="1:6" x14ac:dyDescent="0.2">
      <c r="A192" s="92"/>
      <c r="B192" s="92"/>
      <c r="C192" s="92"/>
      <c r="D192" s="92"/>
      <c r="E192" s="92"/>
      <c r="F192" s="92"/>
    </row>
    <row r="193" spans="1:6" x14ac:dyDescent="0.2">
      <c r="A193" s="92"/>
      <c r="B193" s="92"/>
      <c r="C193" s="92"/>
      <c r="D193" s="92"/>
      <c r="E193" s="92"/>
      <c r="F193" s="92"/>
    </row>
    <row r="194" spans="1:6" x14ac:dyDescent="0.2">
      <c r="A194" s="92"/>
      <c r="B194" s="92"/>
      <c r="C194" s="92"/>
      <c r="D194" s="92"/>
      <c r="E194" s="92"/>
      <c r="F194" s="92"/>
    </row>
    <row r="195" spans="1:6" x14ac:dyDescent="0.2">
      <c r="A195" s="92"/>
      <c r="B195" s="92"/>
      <c r="C195" s="92"/>
      <c r="D195" s="92"/>
      <c r="E195" s="92"/>
      <c r="F195" s="92"/>
    </row>
    <row r="196" spans="1:6" x14ac:dyDescent="0.2">
      <c r="A196" s="92"/>
      <c r="B196" s="92"/>
      <c r="C196" s="92"/>
      <c r="D196" s="92"/>
      <c r="E196" s="92"/>
      <c r="F196" s="92"/>
    </row>
    <row r="197" spans="1:6" x14ac:dyDescent="0.2">
      <c r="A197" s="92"/>
      <c r="B197" s="92"/>
      <c r="C197" s="92"/>
      <c r="D197" s="92"/>
      <c r="E197" s="92"/>
      <c r="F197" s="92"/>
    </row>
    <row r="198" spans="1:6" x14ac:dyDescent="0.2">
      <c r="A198" s="92"/>
      <c r="B198" s="92"/>
      <c r="C198" s="92"/>
      <c r="D198" s="92"/>
      <c r="E198" s="92"/>
      <c r="F198" s="92"/>
    </row>
    <row r="199" spans="1:6" x14ac:dyDescent="0.2">
      <c r="A199" s="92"/>
      <c r="B199" s="92"/>
      <c r="C199" s="92"/>
      <c r="D199" s="92"/>
      <c r="E199" s="92"/>
      <c r="F199" s="92"/>
    </row>
    <row r="200" spans="1:6" x14ac:dyDescent="0.2">
      <c r="A200" s="92"/>
      <c r="B200" s="92"/>
      <c r="C200" s="92"/>
      <c r="D200" s="92"/>
      <c r="E200" s="92"/>
      <c r="F200" s="92"/>
    </row>
    <row r="201" spans="1:6" x14ac:dyDescent="0.2">
      <c r="A201" s="92"/>
      <c r="B201" s="92"/>
      <c r="C201" s="92"/>
      <c r="D201" s="92"/>
      <c r="E201" s="92"/>
      <c r="F201" s="92"/>
    </row>
    <row r="202" spans="1:6" x14ac:dyDescent="0.2">
      <c r="A202" s="92"/>
      <c r="B202" s="92"/>
      <c r="C202" s="92"/>
      <c r="D202" s="92"/>
      <c r="E202" s="92"/>
      <c r="F202" s="92"/>
    </row>
    <row r="203" spans="1:6" x14ac:dyDescent="0.2">
      <c r="A203" s="92"/>
      <c r="B203" s="92"/>
      <c r="C203" s="92"/>
      <c r="D203" s="92"/>
      <c r="E203" s="92"/>
      <c r="F203" s="92"/>
    </row>
    <row r="204" spans="1:6" x14ac:dyDescent="0.2">
      <c r="A204" s="92"/>
      <c r="B204" s="92"/>
      <c r="C204" s="92"/>
      <c r="D204" s="92"/>
      <c r="E204" s="92"/>
      <c r="F204" s="92"/>
    </row>
    <row r="205" spans="1:6" x14ac:dyDescent="0.2">
      <c r="A205" s="92"/>
      <c r="B205" s="92"/>
      <c r="C205" s="92"/>
      <c r="D205" s="92"/>
      <c r="E205" s="92"/>
      <c r="F205" s="92"/>
    </row>
    <row r="206" spans="1:6" x14ac:dyDescent="0.2">
      <c r="A206" s="92"/>
      <c r="B206" s="92"/>
      <c r="C206" s="92"/>
      <c r="D206" s="92"/>
      <c r="E206" s="92"/>
      <c r="F206" s="92"/>
    </row>
    <row r="207" spans="1:6" x14ac:dyDescent="0.2">
      <c r="A207" s="92"/>
      <c r="B207" s="92"/>
      <c r="C207" s="92"/>
      <c r="D207" s="92"/>
      <c r="E207" s="92"/>
      <c r="F207" s="92"/>
    </row>
    <row r="208" spans="1:6" x14ac:dyDescent="0.2">
      <c r="A208" s="92"/>
      <c r="B208" s="92"/>
      <c r="C208" s="92"/>
      <c r="D208" s="92"/>
      <c r="E208" s="92"/>
      <c r="F208" s="92"/>
    </row>
    <row r="209" spans="1:6" x14ac:dyDescent="0.2">
      <c r="A209" s="92"/>
      <c r="B209" s="92"/>
      <c r="C209" s="92"/>
      <c r="D209" s="92"/>
      <c r="E209" s="92"/>
      <c r="F209" s="92"/>
    </row>
    <row r="210" spans="1:6" x14ac:dyDescent="0.2">
      <c r="A210" s="92"/>
      <c r="B210" s="92"/>
      <c r="C210" s="92"/>
      <c r="D210" s="92"/>
      <c r="E210" s="92"/>
      <c r="F210" s="92"/>
    </row>
    <row r="211" spans="1:6" x14ac:dyDescent="0.2">
      <c r="A211" s="92"/>
      <c r="B211" s="92"/>
      <c r="C211" s="92"/>
      <c r="D211" s="92"/>
      <c r="E211" s="92"/>
      <c r="F211" s="92"/>
    </row>
    <row r="212" spans="1:6" x14ac:dyDescent="0.2">
      <c r="A212" s="92"/>
      <c r="B212" s="92"/>
      <c r="C212" s="92"/>
      <c r="D212" s="92"/>
      <c r="E212" s="92"/>
      <c r="F212" s="92"/>
    </row>
    <row r="213" spans="1:6" x14ac:dyDescent="0.2">
      <c r="A213" s="92"/>
      <c r="B213" s="92"/>
      <c r="C213" s="92"/>
      <c r="D213" s="92"/>
      <c r="E213" s="92"/>
      <c r="F213" s="92"/>
    </row>
    <row r="214" spans="1:6" x14ac:dyDescent="0.2">
      <c r="A214" s="92"/>
      <c r="B214" s="92"/>
      <c r="C214" s="92"/>
      <c r="D214" s="92"/>
      <c r="E214" s="92"/>
      <c r="F214" s="92"/>
    </row>
    <row r="215" spans="1:6" x14ac:dyDescent="0.2">
      <c r="A215" s="92"/>
      <c r="B215" s="92"/>
      <c r="C215" s="92"/>
      <c r="D215" s="92"/>
      <c r="E215" s="92"/>
      <c r="F215" s="92"/>
    </row>
    <row r="216" spans="1:6" x14ac:dyDescent="0.2">
      <c r="A216" s="92"/>
      <c r="B216" s="92"/>
      <c r="C216" s="92"/>
      <c r="D216" s="92"/>
      <c r="E216" s="92"/>
      <c r="F216" s="92"/>
    </row>
    <row r="217" spans="1:6" x14ac:dyDescent="0.2">
      <c r="A217" s="92"/>
      <c r="B217" s="92"/>
      <c r="C217" s="92"/>
      <c r="D217" s="92"/>
      <c r="E217" s="92"/>
      <c r="F217" s="92"/>
    </row>
    <row r="218" spans="1:6" x14ac:dyDescent="0.2">
      <c r="A218" s="92"/>
      <c r="B218" s="92"/>
      <c r="C218" s="92"/>
      <c r="D218" s="92"/>
      <c r="E218" s="92"/>
      <c r="F218" s="92"/>
    </row>
    <row r="219" spans="1:6" x14ac:dyDescent="0.2">
      <c r="A219" s="92"/>
      <c r="B219" s="92"/>
      <c r="C219" s="92"/>
      <c r="D219" s="92"/>
      <c r="E219" s="92"/>
      <c r="F219" s="92"/>
    </row>
    <row r="220" spans="1:6" x14ac:dyDescent="0.2">
      <c r="A220" s="92"/>
      <c r="B220" s="92"/>
      <c r="C220" s="92"/>
      <c r="D220" s="92"/>
      <c r="E220" s="92"/>
      <c r="F220" s="92"/>
    </row>
    <row r="221" spans="1:6" x14ac:dyDescent="0.2">
      <c r="A221" s="92"/>
      <c r="B221" s="92"/>
      <c r="C221" s="92"/>
      <c r="D221" s="92"/>
      <c r="E221" s="92"/>
      <c r="F221" s="92"/>
    </row>
    <row r="222" spans="1:6" x14ac:dyDescent="0.2">
      <c r="A222" s="92"/>
      <c r="B222" s="92"/>
      <c r="C222" s="92"/>
      <c r="D222" s="92"/>
      <c r="E222" s="92"/>
      <c r="F222" s="92"/>
    </row>
    <row r="223" spans="1:6" x14ac:dyDescent="0.2">
      <c r="A223" s="92"/>
      <c r="B223" s="92"/>
      <c r="C223" s="92"/>
      <c r="D223" s="92"/>
      <c r="E223" s="92"/>
      <c r="F223" s="92"/>
    </row>
    <row r="224" spans="1:6" x14ac:dyDescent="0.2">
      <c r="A224" s="92"/>
      <c r="B224" s="92"/>
      <c r="C224" s="92"/>
      <c r="D224" s="92"/>
      <c r="E224" s="92"/>
      <c r="F224" s="92"/>
    </row>
    <row r="225" spans="1:6" x14ac:dyDescent="0.2">
      <c r="A225" s="92"/>
      <c r="B225" s="92"/>
      <c r="C225" s="92"/>
      <c r="D225" s="92"/>
      <c r="E225" s="92"/>
      <c r="F225" s="92"/>
    </row>
    <row r="226" spans="1:6" x14ac:dyDescent="0.2">
      <c r="A226" s="92"/>
      <c r="B226" s="92"/>
      <c r="C226" s="92"/>
      <c r="D226" s="92"/>
      <c r="E226" s="92"/>
      <c r="F226" s="92"/>
    </row>
    <row r="227" spans="1:6" x14ac:dyDescent="0.2">
      <c r="A227" s="92"/>
      <c r="B227" s="92"/>
      <c r="C227" s="92"/>
      <c r="D227" s="92"/>
      <c r="E227" s="92"/>
      <c r="F227" s="92"/>
    </row>
    <row r="228" spans="1:6" x14ac:dyDescent="0.2">
      <c r="A228" s="92"/>
      <c r="B228" s="92"/>
      <c r="C228" s="92"/>
      <c r="D228" s="92"/>
      <c r="E228" s="92"/>
      <c r="F228" s="92"/>
    </row>
    <row r="229" spans="1:6" x14ac:dyDescent="0.2">
      <c r="A229" s="92"/>
      <c r="B229" s="92"/>
      <c r="C229" s="92"/>
      <c r="D229" s="92"/>
      <c r="E229" s="92"/>
      <c r="F229" s="92"/>
    </row>
    <row r="230" spans="1:6" x14ac:dyDescent="0.2">
      <c r="A230" s="92"/>
      <c r="B230" s="92"/>
      <c r="C230" s="92"/>
      <c r="D230" s="92"/>
      <c r="E230" s="92"/>
      <c r="F230" s="92"/>
    </row>
  </sheetData>
  <sheetProtection password="D7C5" sheet="1" objects="1" scenarios="1" selectLockedCells="1"/>
  <mergeCells count="16">
    <mergeCell ref="R6:R9"/>
    <mergeCell ref="I7:M7"/>
    <mergeCell ref="N7:P7"/>
    <mergeCell ref="Q7:Q9"/>
    <mergeCell ref="I8:K8"/>
    <mergeCell ref="N8:N9"/>
    <mergeCell ref="A1:Q1"/>
    <mergeCell ref="A2:Q2"/>
    <mergeCell ref="A3:Q3"/>
    <mergeCell ref="A6:F9"/>
    <mergeCell ref="G6:G9"/>
    <mergeCell ref="I6:Q6"/>
    <mergeCell ref="O8:O9"/>
    <mergeCell ref="P8:P9"/>
    <mergeCell ref="L8:L9"/>
    <mergeCell ref="M8:M9"/>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12a&amp;"Arial,Regular"&amp;10&amp;U
&amp;"Arial,Bold"&amp;8&amp;P of &amp;N&amp;C&amp;"Arial,Bold"&amp;8 NEW RURAL BANK OF SAN LEONARDO, INC  [ 04-040656 ]
 As of: September 30, 2017</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R34"/>
  <sheetViews>
    <sheetView zoomScale="85" workbookViewId="0">
      <pane xSplit="8" ySplit="9" topLeftCell="I10" activePane="bottomRight" state="frozen"/>
      <selection pane="topRight" activeCell="I1" sqref="I1"/>
      <selection pane="bottomLeft" activeCell="A9" sqref="A9"/>
      <selection pane="bottomRight" activeCell="I12" sqref="I12"/>
    </sheetView>
  </sheetViews>
  <sheetFormatPr defaultRowHeight="11.25" x14ac:dyDescent="0.2"/>
  <cols>
    <col min="1" max="1" width="2.7109375" style="92" customWidth="1"/>
    <col min="2" max="2" width="2.42578125" style="92" customWidth="1"/>
    <col min="3" max="5" width="2.85546875" style="92" customWidth="1"/>
    <col min="6" max="6" width="21.42578125" style="92" customWidth="1"/>
    <col min="7" max="7" width="16.5703125" style="154" bestFit="1" customWidth="1"/>
    <col min="8" max="8" width="16.5703125" style="167" hidden="1" customWidth="1"/>
    <col min="9" max="18" width="25.7109375" style="133" customWidth="1"/>
    <col min="19" max="16384" width="9.140625" style="131"/>
  </cols>
  <sheetData>
    <row r="1" spans="1:18" s="247" customFormat="1" ht="11.25" customHeight="1" x14ac:dyDescent="0.2">
      <c r="A1" s="855" t="s">
        <v>435</v>
      </c>
      <c r="B1" s="855"/>
      <c r="C1" s="855"/>
      <c r="D1" s="855"/>
      <c r="E1" s="855"/>
      <c r="F1" s="855"/>
      <c r="G1" s="855"/>
      <c r="H1" s="855"/>
      <c r="I1" s="855"/>
      <c r="J1" s="855"/>
      <c r="K1" s="855"/>
      <c r="L1" s="855"/>
      <c r="M1" s="855"/>
      <c r="N1" s="855"/>
      <c r="O1" s="855"/>
      <c r="P1" s="855"/>
      <c r="Q1" s="855"/>
      <c r="R1" s="246"/>
    </row>
    <row r="2" spans="1:18" s="247" customFormat="1" ht="11.25" customHeight="1" x14ac:dyDescent="0.2">
      <c r="A2" s="855" t="s">
        <v>436</v>
      </c>
      <c r="B2" s="855"/>
      <c r="C2" s="855"/>
      <c r="D2" s="855"/>
      <c r="E2" s="855"/>
      <c r="F2" s="855"/>
      <c r="G2" s="855"/>
      <c r="H2" s="855"/>
      <c r="I2" s="855"/>
      <c r="J2" s="855"/>
      <c r="K2" s="855"/>
      <c r="L2" s="855"/>
      <c r="M2" s="855"/>
      <c r="N2" s="855"/>
      <c r="O2" s="855"/>
      <c r="P2" s="855"/>
      <c r="Q2" s="855"/>
      <c r="R2" s="246"/>
    </row>
    <row r="3" spans="1:18" s="247" customFormat="1" ht="11.25" customHeight="1" x14ac:dyDescent="0.2">
      <c r="A3" s="855" t="s">
        <v>447</v>
      </c>
      <c r="B3" s="855"/>
      <c r="C3" s="855"/>
      <c r="D3" s="855"/>
      <c r="E3" s="855"/>
      <c r="F3" s="855"/>
      <c r="G3" s="855"/>
      <c r="H3" s="855"/>
      <c r="I3" s="855"/>
      <c r="J3" s="855"/>
      <c r="K3" s="855"/>
      <c r="L3" s="855"/>
      <c r="M3" s="855"/>
      <c r="N3" s="855"/>
      <c r="O3" s="855"/>
      <c r="P3" s="855"/>
      <c r="Q3" s="855"/>
      <c r="R3" s="246"/>
    </row>
    <row r="4" spans="1:18" s="247" customFormat="1" ht="11.25" hidden="1" customHeight="1" x14ac:dyDescent="0.2">
      <c r="A4" s="278"/>
      <c r="B4" s="278"/>
      <c r="C4" s="278"/>
      <c r="D4" s="278"/>
      <c r="E4" s="278"/>
      <c r="F4" s="278"/>
      <c r="G4" s="278"/>
      <c r="H4" s="278"/>
      <c r="I4" s="278"/>
      <c r="J4" s="278"/>
      <c r="K4" s="278"/>
      <c r="L4" s="278"/>
      <c r="M4" s="278"/>
      <c r="N4" s="278"/>
      <c r="O4" s="278"/>
      <c r="P4" s="278"/>
      <c r="Q4" s="278"/>
      <c r="R4" s="246"/>
    </row>
    <row r="5" spans="1:18" ht="11.25" customHeight="1" x14ac:dyDescent="0.2">
      <c r="A5" s="149"/>
      <c r="B5" s="149"/>
      <c r="C5" s="149"/>
      <c r="D5" s="149"/>
      <c r="E5" s="149"/>
      <c r="F5" s="149"/>
      <c r="G5" s="149"/>
      <c r="H5" s="156"/>
      <c r="I5" s="157"/>
      <c r="J5" s="157"/>
      <c r="K5" s="157"/>
      <c r="L5" s="157"/>
      <c r="M5" s="157"/>
      <c r="N5" s="157"/>
      <c r="O5" s="157"/>
      <c r="P5" s="157"/>
      <c r="Q5" s="157"/>
    </row>
    <row r="6" spans="1:18" ht="12.75" customHeight="1" x14ac:dyDescent="0.2">
      <c r="A6" s="649" t="s">
        <v>446</v>
      </c>
      <c r="B6" s="649"/>
      <c r="C6" s="649"/>
      <c r="D6" s="649"/>
      <c r="E6" s="649"/>
      <c r="F6" s="649"/>
      <c r="G6" s="873" t="s">
        <v>46</v>
      </c>
      <c r="H6" s="158"/>
      <c r="I6" s="872" t="s">
        <v>437</v>
      </c>
      <c r="J6" s="872"/>
      <c r="K6" s="872"/>
      <c r="L6" s="872"/>
      <c r="M6" s="872"/>
      <c r="N6" s="872"/>
      <c r="O6" s="872"/>
      <c r="P6" s="872"/>
      <c r="Q6" s="872"/>
      <c r="R6" s="705" t="s">
        <v>144</v>
      </c>
    </row>
    <row r="7" spans="1:18" ht="11.25" customHeight="1" x14ac:dyDescent="0.2">
      <c r="A7" s="649"/>
      <c r="B7" s="649"/>
      <c r="C7" s="649"/>
      <c r="D7" s="649"/>
      <c r="E7" s="649"/>
      <c r="F7" s="649"/>
      <c r="G7" s="874"/>
      <c r="H7" s="159"/>
      <c r="I7" s="687" t="s">
        <v>438</v>
      </c>
      <c r="J7" s="687"/>
      <c r="K7" s="687"/>
      <c r="L7" s="687"/>
      <c r="M7" s="687"/>
      <c r="N7" s="687" t="s">
        <v>439</v>
      </c>
      <c r="O7" s="687"/>
      <c r="P7" s="687"/>
      <c r="Q7" s="670" t="s">
        <v>440</v>
      </c>
      <c r="R7" s="705"/>
    </row>
    <row r="8" spans="1:18" ht="11.25" customHeight="1" x14ac:dyDescent="0.2">
      <c r="A8" s="649"/>
      <c r="B8" s="649"/>
      <c r="C8" s="649"/>
      <c r="D8" s="649"/>
      <c r="E8" s="649"/>
      <c r="F8" s="649"/>
      <c r="G8" s="874"/>
      <c r="H8" s="159"/>
      <c r="I8" s="687" t="s">
        <v>441</v>
      </c>
      <c r="J8" s="687"/>
      <c r="K8" s="687"/>
      <c r="L8" s="705" t="s">
        <v>398</v>
      </c>
      <c r="M8" s="705" t="s">
        <v>52</v>
      </c>
      <c r="N8" s="670" t="s">
        <v>442</v>
      </c>
      <c r="O8" s="670" t="s">
        <v>88</v>
      </c>
      <c r="P8" s="670" t="s">
        <v>52</v>
      </c>
      <c r="Q8" s="670"/>
      <c r="R8" s="705"/>
    </row>
    <row r="9" spans="1:18" ht="27.75" customHeight="1" x14ac:dyDescent="0.2">
      <c r="A9" s="649"/>
      <c r="B9" s="649"/>
      <c r="C9" s="649"/>
      <c r="D9" s="649"/>
      <c r="E9" s="649"/>
      <c r="F9" s="649"/>
      <c r="G9" s="875"/>
      <c r="H9" s="160"/>
      <c r="I9" s="65" t="s">
        <v>443</v>
      </c>
      <c r="J9" s="65" t="s">
        <v>444</v>
      </c>
      <c r="K9" s="65" t="s">
        <v>445</v>
      </c>
      <c r="L9" s="705"/>
      <c r="M9" s="705"/>
      <c r="N9" s="670"/>
      <c r="O9" s="670"/>
      <c r="P9" s="670"/>
      <c r="Q9" s="670"/>
      <c r="R9" s="705"/>
    </row>
    <row r="10" spans="1:18" x14ac:dyDescent="0.2">
      <c r="A10" s="393" t="s">
        <v>386</v>
      </c>
      <c r="B10" s="299"/>
      <c r="C10" s="299"/>
      <c r="D10" s="299"/>
      <c r="E10" s="299"/>
      <c r="F10" s="299"/>
      <c r="G10" s="282" t="s">
        <v>387</v>
      </c>
      <c r="H10" s="161"/>
      <c r="I10" s="56">
        <f>I11+I18+I19+I22+I23</f>
        <v>0</v>
      </c>
      <c r="J10" s="56">
        <f>J11+J18+J19+J22+J23</f>
        <v>0</v>
      </c>
      <c r="K10" s="56">
        <f>K11+K18+K19+K22+K23</f>
        <v>0</v>
      </c>
      <c r="L10" s="56">
        <f>L11+L18+L19+L22+L23</f>
        <v>0</v>
      </c>
      <c r="M10" s="56">
        <f>M11+M18+M19+M22+M23</f>
        <v>0</v>
      </c>
      <c r="N10" s="139"/>
      <c r="O10" s="139"/>
      <c r="P10" s="139"/>
      <c r="Q10" s="56">
        <f>Q11+Q18+Q19+Q22+Q23</f>
        <v>0</v>
      </c>
      <c r="R10" s="56">
        <f>I10+J10+K10+L10+M10+N10+O10+P10+Q10</f>
        <v>0</v>
      </c>
    </row>
    <row r="11" spans="1:18" x14ac:dyDescent="0.2">
      <c r="A11" s="377" t="s">
        <v>58</v>
      </c>
      <c r="B11" s="299" t="s">
        <v>388</v>
      </c>
      <c r="C11" s="299"/>
      <c r="D11" s="299"/>
      <c r="E11" s="299"/>
      <c r="F11" s="299"/>
      <c r="G11" s="282" t="s">
        <v>389</v>
      </c>
      <c r="H11" s="162"/>
      <c r="I11" s="56">
        <f>I12+I13+I14</f>
        <v>0</v>
      </c>
      <c r="J11" s="56">
        <f>J12+J13+J14</f>
        <v>0</v>
      </c>
      <c r="K11" s="56">
        <f>K12+K13+K14</f>
        <v>0</v>
      </c>
      <c r="L11" s="56">
        <f>L12+L13+L14</f>
        <v>0</v>
      </c>
      <c r="M11" s="56">
        <f>M12+M13+M14</f>
        <v>0</v>
      </c>
      <c r="N11" s="139"/>
      <c r="O11" s="139"/>
      <c r="P11" s="139"/>
      <c r="Q11" s="56">
        <f>Q12+Q13+Q14</f>
        <v>0</v>
      </c>
      <c r="R11" s="56">
        <f t="shared" ref="R11:R23" si="0">I11+J11+K11+L11+M11+N11+O11+P11+Q11</f>
        <v>0</v>
      </c>
    </row>
    <row r="12" spans="1:18" x14ac:dyDescent="0.2">
      <c r="A12" s="377"/>
      <c r="B12" s="299" t="s">
        <v>59</v>
      </c>
      <c r="C12" s="299" t="s">
        <v>60</v>
      </c>
      <c r="D12" s="299"/>
      <c r="E12" s="299"/>
      <c r="F12" s="299"/>
      <c r="G12" s="282" t="s">
        <v>390</v>
      </c>
      <c r="H12" s="162"/>
      <c r="I12" s="58"/>
      <c r="J12" s="58"/>
      <c r="K12" s="58"/>
      <c r="L12" s="58"/>
      <c r="M12" s="58"/>
      <c r="N12" s="139"/>
      <c r="O12" s="139"/>
      <c r="P12" s="139"/>
      <c r="Q12" s="58"/>
      <c r="R12" s="56">
        <f t="shared" si="0"/>
        <v>0</v>
      </c>
    </row>
    <row r="13" spans="1:18" x14ac:dyDescent="0.2">
      <c r="A13" s="377"/>
      <c r="B13" s="299" t="s">
        <v>61</v>
      </c>
      <c r="C13" s="299" t="s">
        <v>391</v>
      </c>
      <c r="D13" s="299"/>
      <c r="E13" s="299"/>
      <c r="F13" s="299"/>
      <c r="G13" s="282" t="s">
        <v>392</v>
      </c>
      <c r="H13" s="162"/>
      <c r="I13" s="58"/>
      <c r="J13" s="58"/>
      <c r="K13" s="58"/>
      <c r="L13" s="58"/>
      <c r="M13" s="58"/>
      <c r="N13" s="139"/>
      <c r="O13" s="139"/>
      <c r="P13" s="139"/>
      <c r="Q13" s="58"/>
      <c r="R13" s="56">
        <f t="shared" si="0"/>
        <v>0</v>
      </c>
    </row>
    <row r="14" spans="1:18" x14ac:dyDescent="0.2">
      <c r="A14" s="377"/>
      <c r="B14" s="299" t="s">
        <v>71</v>
      </c>
      <c r="C14" s="299" t="s">
        <v>393</v>
      </c>
      <c r="D14" s="299"/>
      <c r="E14" s="299"/>
      <c r="F14" s="299"/>
      <c r="G14" s="282" t="s">
        <v>394</v>
      </c>
      <c r="H14" s="162"/>
      <c r="I14" s="56">
        <f>I15+I16+I17</f>
        <v>0</v>
      </c>
      <c r="J14" s="56">
        <f>J15+J16+J17</f>
        <v>0</v>
      </c>
      <c r="K14" s="56">
        <f>K15+K16+K17</f>
        <v>0</v>
      </c>
      <c r="L14" s="56">
        <f>L15+L16+L17</f>
        <v>0</v>
      </c>
      <c r="M14" s="56">
        <f>M15+M16+M17</f>
        <v>0</v>
      </c>
      <c r="N14" s="139"/>
      <c r="O14" s="139"/>
      <c r="P14" s="139"/>
      <c r="Q14" s="56">
        <f>Q15+Q16+Q17</f>
        <v>0</v>
      </c>
      <c r="R14" s="56">
        <f t="shared" si="0"/>
        <v>0</v>
      </c>
    </row>
    <row r="15" spans="1:18" x14ac:dyDescent="0.2">
      <c r="A15" s="377"/>
      <c r="B15" s="299"/>
      <c r="C15" s="378" t="s">
        <v>54</v>
      </c>
      <c r="D15" s="299" t="s">
        <v>63</v>
      </c>
      <c r="E15" s="378"/>
      <c r="F15" s="299"/>
      <c r="G15" s="282" t="s">
        <v>395</v>
      </c>
      <c r="H15" s="162"/>
      <c r="I15" s="58"/>
      <c r="J15" s="58"/>
      <c r="K15" s="58"/>
      <c r="L15" s="58"/>
      <c r="M15" s="58"/>
      <c r="N15" s="139"/>
      <c r="O15" s="139"/>
      <c r="P15" s="139"/>
      <c r="Q15" s="58"/>
      <c r="R15" s="56">
        <f t="shared" si="0"/>
        <v>0</v>
      </c>
    </row>
    <row r="16" spans="1:18" x14ac:dyDescent="0.2">
      <c r="A16" s="377"/>
      <c r="B16" s="299"/>
      <c r="C16" s="378" t="s">
        <v>55</v>
      </c>
      <c r="D16" s="299" t="s">
        <v>64</v>
      </c>
      <c r="E16" s="378"/>
      <c r="F16" s="299"/>
      <c r="G16" s="282" t="s">
        <v>396</v>
      </c>
      <c r="H16" s="162"/>
      <c r="I16" s="58"/>
      <c r="J16" s="58"/>
      <c r="K16" s="58"/>
      <c r="L16" s="58"/>
      <c r="M16" s="58"/>
      <c r="N16" s="139"/>
      <c r="O16" s="139"/>
      <c r="P16" s="139"/>
      <c r="Q16" s="58"/>
      <c r="R16" s="56">
        <f t="shared" si="0"/>
        <v>0</v>
      </c>
    </row>
    <row r="17" spans="1:18" x14ac:dyDescent="0.2">
      <c r="A17" s="377"/>
      <c r="B17" s="299"/>
      <c r="C17" s="378" t="s">
        <v>65</v>
      </c>
      <c r="D17" s="299" t="s">
        <v>66</v>
      </c>
      <c r="E17" s="378"/>
      <c r="F17" s="299"/>
      <c r="G17" s="282" t="s">
        <v>397</v>
      </c>
      <c r="H17" s="162"/>
      <c r="I17" s="58"/>
      <c r="J17" s="58"/>
      <c r="K17" s="58"/>
      <c r="L17" s="58"/>
      <c r="M17" s="58"/>
      <c r="N17" s="139"/>
      <c r="O17" s="139"/>
      <c r="P17" s="139"/>
      <c r="Q17" s="58"/>
      <c r="R17" s="56">
        <f t="shared" si="0"/>
        <v>0</v>
      </c>
    </row>
    <row r="18" spans="1:18" x14ac:dyDescent="0.2">
      <c r="A18" s="379" t="s">
        <v>55</v>
      </c>
      <c r="B18" s="299" t="s">
        <v>398</v>
      </c>
      <c r="C18" s="378"/>
      <c r="D18" s="378"/>
      <c r="E18" s="378"/>
      <c r="F18" s="299"/>
      <c r="G18" s="282" t="s">
        <v>399</v>
      </c>
      <c r="H18" s="162"/>
      <c r="I18" s="58"/>
      <c r="J18" s="58"/>
      <c r="K18" s="58"/>
      <c r="L18" s="58"/>
      <c r="M18" s="58"/>
      <c r="N18" s="139"/>
      <c r="O18" s="139"/>
      <c r="P18" s="139"/>
      <c r="Q18" s="58"/>
      <c r="R18" s="56">
        <f t="shared" si="0"/>
        <v>0</v>
      </c>
    </row>
    <row r="19" spans="1:18" x14ac:dyDescent="0.2">
      <c r="A19" s="379" t="s">
        <v>65</v>
      </c>
      <c r="B19" s="299" t="s">
        <v>400</v>
      </c>
      <c r="C19" s="299"/>
      <c r="D19" s="299"/>
      <c r="E19" s="299"/>
      <c r="F19" s="299"/>
      <c r="G19" s="282" t="s">
        <v>401</v>
      </c>
      <c r="H19" s="162"/>
      <c r="I19" s="56">
        <f>I20+I21</f>
        <v>0</v>
      </c>
      <c r="J19" s="56">
        <f>J20+J21</f>
        <v>0</v>
      </c>
      <c r="K19" s="56">
        <f>K20+K21</f>
        <v>0</v>
      </c>
      <c r="L19" s="56">
        <f>L20+L21</f>
        <v>0</v>
      </c>
      <c r="M19" s="56">
        <f>M20+M21</f>
        <v>0</v>
      </c>
      <c r="N19" s="139"/>
      <c r="O19" s="139"/>
      <c r="P19" s="139"/>
      <c r="Q19" s="56">
        <f>Q20+Q21</f>
        <v>0</v>
      </c>
      <c r="R19" s="56">
        <f t="shared" si="0"/>
        <v>0</v>
      </c>
    </row>
    <row r="20" spans="1:18" x14ac:dyDescent="0.2">
      <c r="A20" s="377"/>
      <c r="B20" s="299" t="s">
        <v>59</v>
      </c>
      <c r="C20" s="225" t="s">
        <v>149</v>
      </c>
      <c r="D20" s="225"/>
      <c r="E20" s="225"/>
      <c r="F20" s="299"/>
      <c r="G20" s="282" t="s">
        <v>402</v>
      </c>
      <c r="H20" s="162"/>
      <c r="I20" s="58"/>
      <c r="J20" s="58"/>
      <c r="K20" s="58"/>
      <c r="L20" s="58"/>
      <c r="M20" s="58"/>
      <c r="N20" s="139"/>
      <c r="O20" s="139"/>
      <c r="P20" s="139"/>
      <c r="Q20" s="58"/>
      <c r="R20" s="56">
        <f t="shared" si="0"/>
        <v>0</v>
      </c>
    </row>
    <row r="21" spans="1:18" x14ac:dyDescent="0.2">
      <c r="A21" s="377"/>
      <c r="B21" s="299" t="s">
        <v>61</v>
      </c>
      <c r="C21" s="299" t="s">
        <v>403</v>
      </c>
      <c r="D21" s="299"/>
      <c r="E21" s="299"/>
      <c r="F21" s="299"/>
      <c r="G21" s="282" t="s">
        <v>404</v>
      </c>
      <c r="H21" s="162"/>
      <c r="I21" s="58"/>
      <c r="J21" s="58"/>
      <c r="K21" s="58"/>
      <c r="L21" s="58"/>
      <c r="M21" s="58"/>
      <c r="N21" s="139"/>
      <c r="O21" s="139"/>
      <c r="P21" s="139"/>
      <c r="Q21" s="58"/>
      <c r="R21" s="56">
        <f t="shared" si="0"/>
        <v>0</v>
      </c>
    </row>
    <row r="22" spans="1:18" x14ac:dyDescent="0.2">
      <c r="A22" s="379" t="s">
        <v>90</v>
      </c>
      <c r="B22" s="299" t="s">
        <v>405</v>
      </c>
      <c r="C22" s="299"/>
      <c r="D22" s="299"/>
      <c r="E22" s="299"/>
      <c r="F22" s="299"/>
      <c r="G22" s="282" t="s">
        <v>406</v>
      </c>
      <c r="H22" s="162"/>
      <c r="I22" s="58"/>
      <c r="J22" s="58"/>
      <c r="K22" s="58"/>
      <c r="L22" s="58"/>
      <c r="M22" s="58"/>
      <c r="N22" s="139"/>
      <c r="O22" s="139"/>
      <c r="P22" s="139"/>
      <c r="Q22" s="58"/>
      <c r="R22" s="56">
        <f t="shared" si="0"/>
        <v>0</v>
      </c>
    </row>
    <row r="23" spans="1:18" x14ac:dyDescent="0.2">
      <c r="A23" s="379" t="s">
        <v>257</v>
      </c>
      <c r="B23" s="299" t="s">
        <v>409</v>
      </c>
      <c r="C23" s="299"/>
      <c r="D23" s="299"/>
      <c r="E23" s="299"/>
      <c r="F23" s="299"/>
      <c r="G23" s="282" t="s">
        <v>410</v>
      </c>
      <c r="H23" s="162"/>
      <c r="I23" s="58"/>
      <c r="J23" s="58"/>
      <c r="K23" s="58"/>
      <c r="L23" s="58"/>
      <c r="M23" s="58"/>
      <c r="N23" s="139"/>
      <c r="O23" s="139"/>
      <c r="P23" s="139"/>
      <c r="Q23" s="58"/>
      <c r="R23" s="56">
        <f t="shared" si="0"/>
        <v>0</v>
      </c>
    </row>
    <row r="24" spans="1:18" x14ac:dyDescent="0.2">
      <c r="A24" s="379"/>
      <c r="B24" s="299"/>
      <c r="C24" s="299"/>
      <c r="D24" s="299"/>
      <c r="E24" s="299"/>
      <c r="F24" s="299"/>
      <c r="G24" s="392"/>
      <c r="H24" s="163"/>
      <c r="I24" s="143"/>
      <c r="J24" s="143"/>
      <c r="K24" s="143"/>
      <c r="L24" s="143"/>
      <c r="M24" s="143"/>
      <c r="N24" s="164"/>
      <c r="O24" s="164"/>
      <c r="P24" s="164"/>
      <c r="Q24" s="78"/>
      <c r="R24" s="165"/>
    </row>
    <row r="25" spans="1:18" x14ac:dyDescent="0.2">
      <c r="A25" s="393" t="s">
        <v>411</v>
      </c>
      <c r="B25" s="299"/>
      <c r="C25" s="299"/>
      <c r="D25" s="299"/>
      <c r="E25" s="299"/>
      <c r="F25" s="299"/>
      <c r="G25" s="380" t="s">
        <v>412</v>
      </c>
      <c r="H25" s="161"/>
      <c r="I25" s="164"/>
      <c r="J25" s="164"/>
      <c r="K25" s="164"/>
      <c r="L25" s="164"/>
      <c r="M25" s="164"/>
      <c r="N25" s="164"/>
      <c r="O25" s="164"/>
      <c r="P25" s="164"/>
      <c r="Q25" s="164"/>
      <c r="R25" s="166"/>
    </row>
    <row r="26" spans="1:18" x14ac:dyDescent="0.2">
      <c r="A26" s="379" t="s">
        <v>54</v>
      </c>
      <c r="B26" s="299" t="s">
        <v>413</v>
      </c>
      <c r="C26" s="299"/>
      <c r="D26" s="299"/>
      <c r="E26" s="299"/>
      <c r="F26" s="299"/>
      <c r="G26" s="380" t="s">
        <v>414</v>
      </c>
      <c r="H26" s="161"/>
      <c r="I26" s="164"/>
      <c r="J26" s="164"/>
      <c r="K26" s="164"/>
      <c r="L26" s="164"/>
      <c r="M26" s="164"/>
      <c r="N26" s="164"/>
      <c r="O26" s="164"/>
      <c r="P26" s="164"/>
      <c r="Q26" s="164"/>
      <c r="R26" s="166"/>
    </row>
    <row r="27" spans="1:18" x14ac:dyDescent="0.2">
      <c r="A27" s="379" t="s">
        <v>55</v>
      </c>
      <c r="B27" s="299" t="s">
        <v>88</v>
      </c>
      <c r="C27" s="299"/>
      <c r="D27" s="299"/>
      <c r="E27" s="299"/>
      <c r="F27" s="299"/>
      <c r="G27" s="380" t="s">
        <v>415</v>
      </c>
      <c r="H27" s="161"/>
      <c r="I27" s="164"/>
      <c r="J27" s="164"/>
      <c r="K27" s="164"/>
      <c r="L27" s="164"/>
      <c r="M27" s="164"/>
      <c r="N27" s="164"/>
      <c r="O27" s="164"/>
      <c r="P27" s="164"/>
      <c r="Q27" s="164"/>
      <c r="R27" s="166"/>
    </row>
    <row r="28" spans="1:18" x14ac:dyDescent="0.2">
      <c r="A28" s="379" t="s">
        <v>65</v>
      </c>
      <c r="B28" s="299" t="s">
        <v>400</v>
      </c>
      <c r="C28" s="299"/>
      <c r="D28" s="299"/>
      <c r="E28" s="299"/>
      <c r="F28" s="299"/>
      <c r="G28" s="380" t="s">
        <v>416</v>
      </c>
      <c r="H28" s="161"/>
      <c r="I28" s="164"/>
      <c r="J28" s="164"/>
      <c r="K28" s="164"/>
      <c r="L28" s="164"/>
      <c r="M28" s="164"/>
      <c r="N28" s="164"/>
      <c r="O28" s="164"/>
      <c r="P28" s="164"/>
      <c r="Q28" s="164"/>
      <c r="R28" s="166"/>
    </row>
    <row r="29" spans="1:18" x14ac:dyDescent="0.2">
      <c r="A29" s="377"/>
      <c r="B29" s="299" t="s">
        <v>59</v>
      </c>
      <c r="C29" s="299" t="s">
        <v>172</v>
      </c>
      <c r="D29" s="299"/>
      <c r="E29" s="299"/>
      <c r="F29" s="299"/>
      <c r="G29" s="380" t="s">
        <v>417</v>
      </c>
      <c r="H29" s="161"/>
      <c r="I29" s="164"/>
      <c r="J29" s="164"/>
      <c r="K29" s="164"/>
      <c r="L29" s="164"/>
      <c r="M29" s="164"/>
      <c r="N29" s="164"/>
      <c r="O29" s="164"/>
      <c r="P29" s="164"/>
      <c r="Q29" s="164"/>
      <c r="R29" s="166"/>
    </row>
    <row r="30" spans="1:18" x14ac:dyDescent="0.2">
      <c r="A30" s="377"/>
      <c r="B30" s="299" t="s">
        <v>61</v>
      </c>
      <c r="C30" s="299" t="s">
        <v>403</v>
      </c>
      <c r="D30" s="299"/>
      <c r="E30" s="299"/>
      <c r="F30" s="299"/>
      <c r="G30" s="380" t="s">
        <v>418</v>
      </c>
      <c r="H30" s="161"/>
      <c r="I30" s="164"/>
      <c r="J30" s="164"/>
      <c r="K30" s="164"/>
      <c r="L30" s="164"/>
      <c r="M30" s="164"/>
      <c r="N30" s="164"/>
      <c r="O30" s="164"/>
      <c r="P30" s="164"/>
      <c r="Q30" s="164"/>
      <c r="R30" s="166"/>
    </row>
    <row r="31" spans="1:18" x14ac:dyDescent="0.2">
      <c r="A31" s="379" t="s">
        <v>90</v>
      </c>
      <c r="B31" s="299" t="s">
        <v>419</v>
      </c>
      <c r="C31" s="299"/>
      <c r="D31" s="299"/>
      <c r="E31" s="299"/>
      <c r="F31" s="299"/>
      <c r="G31" s="380" t="s">
        <v>420</v>
      </c>
      <c r="H31" s="161"/>
      <c r="I31" s="164"/>
      <c r="J31" s="164"/>
      <c r="K31" s="164"/>
      <c r="L31" s="164"/>
      <c r="M31" s="164"/>
      <c r="N31" s="164"/>
      <c r="O31" s="164"/>
      <c r="P31" s="164"/>
      <c r="Q31" s="164"/>
      <c r="R31" s="166"/>
    </row>
    <row r="32" spans="1:18" x14ac:dyDescent="0.2">
      <c r="A32" s="379" t="s">
        <v>257</v>
      </c>
      <c r="B32" s="299" t="s">
        <v>409</v>
      </c>
      <c r="C32" s="299"/>
      <c r="D32" s="299"/>
      <c r="E32" s="299"/>
      <c r="F32" s="299"/>
      <c r="G32" s="380" t="s">
        <v>421</v>
      </c>
      <c r="H32" s="161"/>
      <c r="I32" s="164"/>
      <c r="J32" s="164"/>
      <c r="K32" s="164"/>
      <c r="L32" s="164"/>
      <c r="M32" s="164"/>
      <c r="N32" s="164"/>
      <c r="O32" s="164"/>
      <c r="P32" s="164"/>
      <c r="Q32" s="164"/>
      <c r="R32" s="166"/>
    </row>
    <row r="33" spans="1:18" x14ac:dyDescent="0.2">
      <c r="A33" s="395" t="s">
        <v>140</v>
      </c>
      <c r="B33" s="299"/>
      <c r="C33" s="299"/>
      <c r="D33" s="299"/>
      <c r="E33" s="299"/>
      <c r="F33" s="299"/>
      <c r="G33" s="380" t="s">
        <v>422</v>
      </c>
      <c r="H33" s="161"/>
      <c r="I33" s="56">
        <f t="shared" ref="I33:Q33" si="1">I25+I10</f>
        <v>0</v>
      </c>
      <c r="J33" s="56">
        <f t="shared" si="1"/>
        <v>0</v>
      </c>
      <c r="K33" s="56">
        <f t="shared" si="1"/>
        <v>0</v>
      </c>
      <c r="L33" s="56">
        <f t="shared" si="1"/>
        <v>0</v>
      </c>
      <c r="M33" s="56">
        <f t="shared" si="1"/>
        <v>0</v>
      </c>
      <c r="N33" s="56">
        <f t="shared" si="1"/>
        <v>0</v>
      </c>
      <c r="O33" s="56">
        <f t="shared" si="1"/>
        <v>0</v>
      </c>
      <c r="P33" s="56">
        <f t="shared" si="1"/>
        <v>0</v>
      </c>
      <c r="Q33" s="56">
        <f t="shared" si="1"/>
        <v>0</v>
      </c>
      <c r="R33" s="56">
        <f>I33+J33+K33+L33+M33+N33+O33+P33+Q33</f>
        <v>0</v>
      </c>
    </row>
    <row r="34" spans="1:18" x14ac:dyDescent="0.2">
      <c r="G34" s="233" t="s">
        <v>108</v>
      </c>
    </row>
  </sheetData>
  <sheetProtection password="F3FA" sheet="1" objects="1" scenarios="1" selectLockedCells="1"/>
  <mergeCells count="16">
    <mergeCell ref="R6:R9"/>
    <mergeCell ref="I7:M7"/>
    <mergeCell ref="N7:P7"/>
    <mergeCell ref="Q7:Q9"/>
    <mergeCell ref="I8:K8"/>
    <mergeCell ref="L8:L9"/>
    <mergeCell ref="M8:M9"/>
    <mergeCell ref="N8:N9"/>
    <mergeCell ref="A1:Q1"/>
    <mergeCell ref="A2:Q2"/>
    <mergeCell ref="A3:Q3"/>
    <mergeCell ref="A6:F9"/>
    <mergeCell ref="I6:Q6"/>
    <mergeCell ref="O8:O9"/>
    <mergeCell ref="P8:P9"/>
    <mergeCell ref="G6:G9"/>
  </mergeCells>
  <phoneticPr fontId="2" type="noConversion"/>
  <dataValidations count="2">
    <dataValidation type="decimal" allowBlank="1" showInputMessage="1" showErrorMessage="1" error="Invalid data is entered!" sqref="I12:M13 I20:M24 Q12:Q13 Q15:Q18 Q20:Q23">
      <formula1>0</formula1>
      <formula2>99999999999999900</formula2>
    </dataValidation>
    <dataValidation type="decimal" allowBlank="1" showInputMessage="1" showErrorMessage="1" error="Inalid data is entered!" sqref="I15:M1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12a1&amp;"Arial,Regular"&amp;10&amp;U
&amp;"Arial,Bold"&amp;8&amp;P of &amp;N&amp;C&amp;"Arial,Bold"&amp;8 NEW RURAL BANK OF SAN LEONARDO, INC  [ 04-040656 ]
 As of: September 30, 2017</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34"/>
  <sheetViews>
    <sheetView zoomScale="85" workbookViewId="0">
      <pane xSplit="8" ySplit="9" topLeftCell="I10" activePane="bottomRight" state="frozen"/>
      <selection pane="topRight" activeCell="I1" sqref="I1"/>
      <selection pane="bottomLeft" activeCell="A10" sqref="A10"/>
      <selection pane="bottomRight" activeCell="I12" sqref="I12"/>
    </sheetView>
  </sheetViews>
  <sheetFormatPr defaultRowHeight="11.25" x14ac:dyDescent="0.2"/>
  <cols>
    <col min="1" max="1" width="2.7109375" style="92" customWidth="1"/>
    <col min="2" max="2" width="2.42578125" style="92" customWidth="1"/>
    <col min="3" max="5" width="2.85546875" style="92" customWidth="1"/>
    <col min="6" max="6" width="21.42578125" style="92" customWidth="1"/>
    <col min="7" max="7" width="16.42578125" style="154" customWidth="1"/>
    <col min="8" max="8" width="17.140625" style="167" hidden="1" customWidth="1"/>
    <col min="9" max="9" width="20.7109375" style="133" customWidth="1"/>
    <col min="10" max="10" width="25.7109375" style="133" customWidth="1"/>
    <col min="11" max="11" width="20.7109375" style="133" customWidth="1"/>
    <col min="12" max="12" width="25.7109375" style="133" customWidth="1"/>
    <col min="13" max="13" width="20.7109375" style="133" customWidth="1"/>
    <col min="14" max="14" width="25.7109375" style="133" customWidth="1"/>
    <col min="15" max="15" width="20.7109375" style="133" customWidth="1"/>
    <col min="16" max="16" width="25.7109375" style="133" customWidth="1"/>
    <col min="17" max="17" width="20.7109375" style="133" customWidth="1"/>
    <col min="18" max="18" width="25.7109375" style="133" customWidth="1"/>
    <col min="19" max="19" width="20.7109375" style="133" customWidth="1"/>
    <col min="20" max="20" width="25.7109375" style="133" customWidth="1"/>
    <col min="21" max="21" width="20.7109375" style="133" customWidth="1"/>
    <col min="22" max="22" width="25.7109375" style="133" customWidth="1"/>
    <col min="23" max="23" width="20.7109375" style="133" customWidth="1"/>
    <col min="24" max="24" width="25.7109375" style="133" customWidth="1"/>
    <col min="25" max="25" width="20.7109375" style="133" customWidth="1"/>
    <col min="26" max="27" width="25.7109375" style="133" customWidth="1"/>
    <col min="28" max="16384" width="9.140625" style="131"/>
  </cols>
  <sheetData>
    <row r="1" spans="1:27" s="247" customFormat="1" ht="11.25" customHeight="1" x14ac:dyDescent="0.2">
      <c r="A1" s="855" t="s">
        <v>435</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246"/>
    </row>
    <row r="2" spans="1:27" s="247" customFormat="1" ht="11.25" customHeight="1" x14ac:dyDescent="0.2">
      <c r="A2" s="855" t="s">
        <v>436</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246"/>
    </row>
    <row r="3" spans="1:27" s="247" customFormat="1" ht="11.25" customHeight="1" x14ac:dyDescent="0.2">
      <c r="A3" s="855" t="s">
        <v>49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246"/>
    </row>
    <row r="5" spans="1:27" ht="12.75" customHeight="1" x14ac:dyDescent="0.2">
      <c r="A5" s="649" t="s">
        <v>446</v>
      </c>
      <c r="B5" s="649"/>
      <c r="C5" s="649"/>
      <c r="D5" s="649"/>
      <c r="E5" s="649"/>
      <c r="F5" s="649"/>
      <c r="G5" s="871" t="s">
        <v>46</v>
      </c>
      <c r="H5" s="150"/>
      <c r="I5" s="872" t="s">
        <v>437</v>
      </c>
      <c r="J5" s="872"/>
      <c r="K5" s="872"/>
      <c r="L5" s="872"/>
      <c r="M5" s="872"/>
      <c r="N5" s="872"/>
      <c r="O5" s="872"/>
      <c r="P5" s="872"/>
      <c r="Q5" s="872"/>
      <c r="R5" s="872"/>
      <c r="S5" s="872"/>
      <c r="T5" s="872"/>
      <c r="U5" s="872"/>
      <c r="V5" s="872"/>
      <c r="W5" s="872"/>
      <c r="X5" s="872"/>
      <c r="Y5" s="872"/>
      <c r="Z5" s="872"/>
      <c r="AA5" s="705" t="s">
        <v>144</v>
      </c>
    </row>
    <row r="6" spans="1:27" ht="12.75" customHeight="1" x14ac:dyDescent="0.2">
      <c r="A6" s="649"/>
      <c r="B6" s="649"/>
      <c r="C6" s="649"/>
      <c r="D6" s="649"/>
      <c r="E6" s="649"/>
      <c r="F6" s="649"/>
      <c r="G6" s="871"/>
      <c r="H6" s="150"/>
      <c r="I6" s="687" t="s">
        <v>438</v>
      </c>
      <c r="J6" s="687"/>
      <c r="K6" s="687"/>
      <c r="L6" s="687"/>
      <c r="M6" s="687"/>
      <c r="N6" s="687"/>
      <c r="O6" s="687"/>
      <c r="P6" s="687"/>
      <c r="Q6" s="687"/>
      <c r="R6" s="687"/>
      <c r="S6" s="687" t="s">
        <v>439</v>
      </c>
      <c r="T6" s="687"/>
      <c r="U6" s="687"/>
      <c r="V6" s="687"/>
      <c r="W6" s="687"/>
      <c r="X6" s="687"/>
      <c r="Y6" s="670" t="s">
        <v>440</v>
      </c>
      <c r="Z6" s="670"/>
      <c r="AA6" s="705"/>
    </row>
    <row r="7" spans="1:27" ht="12.75" customHeight="1" x14ac:dyDescent="0.2">
      <c r="A7" s="649"/>
      <c r="B7" s="649"/>
      <c r="C7" s="649"/>
      <c r="D7" s="649"/>
      <c r="E7" s="649"/>
      <c r="F7" s="649"/>
      <c r="G7" s="871"/>
      <c r="H7" s="150"/>
      <c r="I7" s="687" t="s">
        <v>441</v>
      </c>
      <c r="J7" s="687"/>
      <c r="K7" s="687"/>
      <c r="L7" s="687"/>
      <c r="M7" s="687"/>
      <c r="N7" s="687"/>
      <c r="O7" s="705" t="s">
        <v>398</v>
      </c>
      <c r="P7" s="705"/>
      <c r="Q7" s="705" t="s">
        <v>52</v>
      </c>
      <c r="R7" s="705"/>
      <c r="S7" s="670" t="s">
        <v>448</v>
      </c>
      <c r="T7" s="670"/>
      <c r="U7" s="670" t="s">
        <v>88</v>
      </c>
      <c r="V7" s="670"/>
      <c r="W7" s="670" t="s">
        <v>52</v>
      </c>
      <c r="X7" s="670"/>
      <c r="Y7" s="670"/>
      <c r="Z7" s="670"/>
      <c r="AA7" s="705"/>
    </row>
    <row r="8" spans="1:27" ht="27.75" customHeight="1" x14ac:dyDescent="0.2">
      <c r="A8" s="649"/>
      <c r="B8" s="649"/>
      <c r="C8" s="649"/>
      <c r="D8" s="649"/>
      <c r="E8" s="649"/>
      <c r="F8" s="649"/>
      <c r="G8" s="871"/>
      <c r="H8" s="150"/>
      <c r="I8" s="670" t="s">
        <v>443</v>
      </c>
      <c r="J8" s="670"/>
      <c r="K8" s="670" t="s">
        <v>444</v>
      </c>
      <c r="L8" s="670"/>
      <c r="M8" s="670" t="s">
        <v>445</v>
      </c>
      <c r="N8" s="670"/>
      <c r="O8" s="705"/>
      <c r="P8" s="705"/>
      <c r="Q8" s="705"/>
      <c r="R8" s="705"/>
      <c r="S8" s="670"/>
      <c r="T8" s="670"/>
      <c r="U8" s="670"/>
      <c r="V8" s="670"/>
      <c r="W8" s="670"/>
      <c r="X8" s="670"/>
      <c r="Y8" s="670"/>
      <c r="Z8" s="670"/>
      <c r="AA8" s="705"/>
    </row>
    <row r="9" spans="1:27" ht="24.75" customHeight="1" x14ac:dyDescent="0.2">
      <c r="A9" s="649"/>
      <c r="B9" s="649"/>
      <c r="C9" s="649"/>
      <c r="D9" s="649"/>
      <c r="E9" s="649"/>
      <c r="F9" s="649"/>
      <c r="G9" s="871"/>
      <c r="H9" s="150"/>
      <c r="I9" s="55" t="s">
        <v>50</v>
      </c>
      <c r="J9" s="51" t="s">
        <v>51</v>
      </c>
      <c r="K9" s="55" t="s">
        <v>50</v>
      </c>
      <c r="L9" s="51" t="s">
        <v>51</v>
      </c>
      <c r="M9" s="55" t="s">
        <v>50</v>
      </c>
      <c r="N9" s="51" t="s">
        <v>51</v>
      </c>
      <c r="O9" s="55" t="s">
        <v>50</v>
      </c>
      <c r="P9" s="51" t="s">
        <v>51</v>
      </c>
      <c r="Q9" s="55" t="s">
        <v>50</v>
      </c>
      <c r="R9" s="51" t="s">
        <v>51</v>
      </c>
      <c r="S9" s="55" t="s">
        <v>50</v>
      </c>
      <c r="T9" s="51" t="s">
        <v>51</v>
      </c>
      <c r="U9" s="55" t="s">
        <v>50</v>
      </c>
      <c r="V9" s="51" t="s">
        <v>51</v>
      </c>
      <c r="W9" s="55" t="s">
        <v>50</v>
      </c>
      <c r="X9" s="51" t="s">
        <v>51</v>
      </c>
      <c r="Y9" s="55" t="s">
        <v>50</v>
      </c>
      <c r="Z9" s="51" t="s">
        <v>51</v>
      </c>
      <c r="AA9" s="705"/>
    </row>
    <row r="10" spans="1:27" x14ac:dyDescent="0.2">
      <c r="A10" s="393" t="s">
        <v>386</v>
      </c>
      <c r="B10" s="299"/>
      <c r="C10" s="299"/>
      <c r="D10" s="299"/>
      <c r="E10" s="299"/>
      <c r="F10" s="299"/>
      <c r="G10" s="282" t="s">
        <v>387</v>
      </c>
      <c r="H10" s="162"/>
      <c r="I10" s="56">
        <f>I11+I18+I19+I22+I23</f>
        <v>0</v>
      </c>
      <c r="J10" s="56">
        <f>J11+J18+J19+J22+J23</f>
        <v>0</v>
      </c>
      <c r="K10" s="166"/>
      <c r="L10" s="166"/>
      <c r="M10" s="56">
        <f t="shared" ref="M10:Z10" si="0">M11+M18+M19+M22+M23</f>
        <v>0</v>
      </c>
      <c r="N10" s="56">
        <f t="shared" si="0"/>
        <v>0</v>
      </c>
      <c r="O10" s="56">
        <f t="shared" si="0"/>
        <v>0</v>
      </c>
      <c r="P10" s="56">
        <f t="shared" si="0"/>
        <v>0</v>
      </c>
      <c r="Q10" s="56">
        <f t="shared" si="0"/>
        <v>0</v>
      </c>
      <c r="R10" s="56">
        <f t="shared" si="0"/>
        <v>0</v>
      </c>
      <c r="S10" s="56">
        <f t="shared" si="0"/>
        <v>0</v>
      </c>
      <c r="T10" s="56">
        <f t="shared" si="0"/>
        <v>0</v>
      </c>
      <c r="U10" s="56">
        <f t="shared" si="0"/>
        <v>0</v>
      </c>
      <c r="V10" s="56">
        <f t="shared" si="0"/>
        <v>0</v>
      </c>
      <c r="W10" s="56">
        <f t="shared" si="0"/>
        <v>0</v>
      </c>
      <c r="X10" s="56">
        <f t="shared" si="0"/>
        <v>0</v>
      </c>
      <c r="Y10" s="56">
        <f t="shared" si="0"/>
        <v>0</v>
      </c>
      <c r="Z10" s="56">
        <f t="shared" si="0"/>
        <v>0</v>
      </c>
      <c r="AA10" s="56">
        <f>J10+N10+P10+R10+T10+V10+X10+Z10</f>
        <v>0</v>
      </c>
    </row>
    <row r="11" spans="1:27" x14ac:dyDescent="0.2">
      <c r="A11" s="377" t="s">
        <v>58</v>
      </c>
      <c r="B11" s="299" t="s">
        <v>388</v>
      </c>
      <c r="C11" s="299"/>
      <c r="D11" s="299"/>
      <c r="E11" s="299"/>
      <c r="F11" s="299"/>
      <c r="G11" s="282" t="s">
        <v>389</v>
      </c>
      <c r="H11" s="162"/>
      <c r="I11" s="56">
        <f>I12+I13+I14</f>
        <v>0</v>
      </c>
      <c r="J11" s="56">
        <f>J12+J13+J14</f>
        <v>0</v>
      </c>
      <c r="K11" s="166"/>
      <c r="L11" s="166"/>
      <c r="M11" s="56">
        <f t="shared" ref="M11:Z11" si="1">M12+M13+M14</f>
        <v>0</v>
      </c>
      <c r="N11" s="56">
        <f t="shared" si="1"/>
        <v>0</v>
      </c>
      <c r="O11" s="56">
        <f t="shared" si="1"/>
        <v>0</v>
      </c>
      <c r="P11" s="56">
        <f t="shared" si="1"/>
        <v>0</v>
      </c>
      <c r="Q11" s="56">
        <f t="shared" si="1"/>
        <v>0</v>
      </c>
      <c r="R11" s="56">
        <f t="shared" si="1"/>
        <v>0</v>
      </c>
      <c r="S11" s="56">
        <f t="shared" si="1"/>
        <v>0</v>
      </c>
      <c r="T11" s="56">
        <f t="shared" si="1"/>
        <v>0</v>
      </c>
      <c r="U11" s="56">
        <f t="shared" si="1"/>
        <v>0</v>
      </c>
      <c r="V11" s="56">
        <f t="shared" si="1"/>
        <v>0</v>
      </c>
      <c r="W11" s="56">
        <f t="shared" si="1"/>
        <v>0</v>
      </c>
      <c r="X11" s="56">
        <f t="shared" si="1"/>
        <v>0</v>
      </c>
      <c r="Y11" s="56">
        <f t="shared" si="1"/>
        <v>0</v>
      </c>
      <c r="Z11" s="56">
        <f t="shared" si="1"/>
        <v>0</v>
      </c>
      <c r="AA11" s="56">
        <f t="shared" ref="AA11:AA23" si="2">J11+N11+P11+R11+T11+V11+X11+Z11</f>
        <v>0</v>
      </c>
    </row>
    <row r="12" spans="1:27" x14ac:dyDescent="0.2">
      <c r="A12" s="377"/>
      <c r="B12" s="299" t="s">
        <v>59</v>
      </c>
      <c r="C12" s="299" t="s">
        <v>60</v>
      </c>
      <c r="D12" s="299"/>
      <c r="E12" s="299"/>
      <c r="F12" s="299"/>
      <c r="G12" s="282" t="s">
        <v>390</v>
      </c>
      <c r="H12" s="162"/>
      <c r="I12" s="58"/>
      <c r="J12" s="58"/>
      <c r="K12" s="164"/>
      <c r="L12" s="164"/>
      <c r="M12" s="58"/>
      <c r="N12" s="58"/>
      <c r="O12" s="58"/>
      <c r="P12" s="58"/>
      <c r="Q12" s="58"/>
      <c r="R12" s="58"/>
      <c r="S12" s="58"/>
      <c r="T12" s="58"/>
      <c r="U12" s="58"/>
      <c r="V12" s="58"/>
      <c r="W12" s="58"/>
      <c r="X12" s="58"/>
      <c r="Y12" s="58"/>
      <c r="Z12" s="58"/>
      <c r="AA12" s="56">
        <f t="shared" si="2"/>
        <v>0</v>
      </c>
    </row>
    <row r="13" spans="1:27" x14ac:dyDescent="0.2">
      <c r="A13" s="377"/>
      <c r="B13" s="299" t="s">
        <v>61</v>
      </c>
      <c r="C13" s="299" t="s">
        <v>391</v>
      </c>
      <c r="D13" s="299"/>
      <c r="E13" s="299"/>
      <c r="F13" s="299"/>
      <c r="G13" s="282" t="s">
        <v>392</v>
      </c>
      <c r="H13" s="162"/>
      <c r="I13" s="59"/>
      <c r="J13" s="59"/>
      <c r="K13" s="164"/>
      <c r="L13" s="164"/>
      <c r="M13" s="59"/>
      <c r="N13" s="59"/>
      <c r="O13" s="59"/>
      <c r="P13" s="59"/>
      <c r="Q13" s="59"/>
      <c r="R13" s="59"/>
      <c r="S13" s="59"/>
      <c r="T13" s="59"/>
      <c r="U13" s="59"/>
      <c r="V13" s="59"/>
      <c r="W13" s="59"/>
      <c r="X13" s="59"/>
      <c r="Y13" s="59"/>
      <c r="Z13" s="59"/>
      <c r="AA13" s="56">
        <f t="shared" si="2"/>
        <v>0</v>
      </c>
    </row>
    <row r="14" spans="1:27" x14ac:dyDescent="0.2">
      <c r="A14" s="377"/>
      <c r="B14" s="299" t="s">
        <v>71</v>
      </c>
      <c r="C14" s="299" t="s">
        <v>393</v>
      </c>
      <c r="D14" s="299"/>
      <c r="E14" s="299"/>
      <c r="F14" s="299"/>
      <c r="G14" s="282" t="s">
        <v>394</v>
      </c>
      <c r="H14" s="162"/>
      <c r="I14" s="56">
        <f>I15+I16+I17</f>
        <v>0</v>
      </c>
      <c r="J14" s="56">
        <f>J15+J16+J17</f>
        <v>0</v>
      </c>
      <c r="K14" s="166"/>
      <c r="L14" s="166"/>
      <c r="M14" s="56">
        <f t="shared" ref="M14:Z14" si="3">M15+M16+M17</f>
        <v>0</v>
      </c>
      <c r="N14" s="56">
        <f t="shared" si="3"/>
        <v>0</v>
      </c>
      <c r="O14" s="56">
        <f t="shared" si="3"/>
        <v>0</v>
      </c>
      <c r="P14" s="56">
        <f t="shared" si="3"/>
        <v>0</v>
      </c>
      <c r="Q14" s="56">
        <f t="shared" si="3"/>
        <v>0</v>
      </c>
      <c r="R14" s="56">
        <f t="shared" si="3"/>
        <v>0</v>
      </c>
      <c r="S14" s="56">
        <f t="shared" si="3"/>
        <v>0</v>
      </c>
      <c r="T14" s="56">
        <f t="shared" si="3"/>
        <v>0</v>
      </c>
      <c r="U14" s="56">
        <f t="shared" si="3"/>
        <v>0</v>
      </c>
      <c r="V14" s="56">
        <f t="shared" si="3"/>
        <v>0</v>
      </c>
      <c r="W14" s="56">
        <f t="shared" si="3"/>
        <v>0</v>
      </c>
      <c r="X14" s="56">
        <f t="shared" si="3"/>
        <v>0</v>
      </c>
      <c r="Y14" s="56">
        <f t="shared" si="3"/>
        <v>0</v>
      </c>
      <c r="Z14" s="56">
        <f t="shared" si="3"/>
        <v>0</v>
      </c>
      <c r="AA14" s="56">
        <f t="shared" si="2"/>
        <v>0</v>
      </c>
    </row>
    <row r="15" spans="1:27" x14ac:dyDescent="0.2">
      <c r="A15" s="377"/>
      <c r="B15" s="299"/>
      <c r="C15" s="378" t="s">
        <v>54</v>
      </c>
      <c r="D15" s="299" t="s">
        <v>63</v>
      </c>
      <c r="E15" s="378"/>
      <c r="F15" s="299"/>
      <c r="G15" s="282" t="s">
        <v>395</v>
      </c>
      <c r="H15" s="162"/>
      <c r="I15" s="58"/>
      <c r="J15" s="58"/>
      <c r="K15" s="164"/>
      <c r="L15" s="164"/>
      <c r="M15" s="58"/>
      <c r="N15" s="58"/>
      <c r="O15" s="58"/>
      <c r="P15" s="58"/>
      <c r="Q15" s="58"/>
      <c r="R15" s="58"/>
      <c r="S15" s="58"/>
      <c r="T15" s="58"/>
      <c r="U15" s="58"/>
      <c r="V15" s="58"/>
      <c r="W15" s="58"/>
      <c r="X15" s="58"/>
      <c r="Y15" s="58"/>
      <c r="Z15" s="58"/>
      <c r="AA15" s="56">
        <f t="shared" si="2"/>
        <v>0</v>
      </c>
    </row>
    <row r="16" spans="1:27" x14ac:dyDescent="0.2">
      <c r="A16" s="377"/>
      <c r="B16" s="299"/>
      <c r="C16" s="378" t="s">
        <v>55</v>
      </c>
      <c r="D16" s="299" t="s">
        <v>64</v>
      </c>
      <c r="E16" s="378"/>
      <c r="F16" s="299"/>
      <c r="G16" s="282" t="s">
        <v>396</v>
      </c>
      <c r="H16" s="162"/>
      <c r="I16" s="58"/>
      <c r="J16" s="58"/>
      <c r="K16" s="164"/>
      <c r="L16" s="164"/>
      <c r="M16" s="58"/>
      <c r="N16" s="58"/>
      <c r="O16" s="58"/>
      <c r="P16" s="58"/>
      <c r="Q16" s="58"/>
      <c r="R16" s="58"/>
      <c r="S16" s="58"/>
      <c r="T16" s="58"/>
      <c r="U16" s="58"/>
      <c r="V16" s="58"/>
      <c r="W16" s="58"/>
      <c r="X16" s="58"/>
      <c r="Y16" s="58"/>
      <c r="Z16" s="58"/>
      <c r="AA16" s="56">
        <f t="shared" si="2"/>
        <v>0</v>
      </c>
    </row>
    <row r="17" spans="1:27" x14ac:dyDescent="0.2">
      <c r="A17" s="377"/>
      <c r="B17" s="299"/>
      <c r="C17" s="378" t="s">
        <v>65</v>
      </c>
      <c r="D17" s="299" t="s">
        <v>66</v>
      </c>
      <c r="E17" s="378"/>
      <c r="F17" s="299"/>
      <c r="G17" s="282" t="s">
        <v>397</v>
      </c>
      <c r="H17" s="162"/>
      <c r="I17" s="58"/>
      <c r="J17" s="58"/>
      <c r="K17" s="164"/>
      <c r="L17" s="164"/>
      <c r="M17" s="58"/>
      <c r="N17" s="58"/>
      <c r="O17" s="58"/>
      <c r="P17" s="58"/>
      <c r="Q17" s="58"/>
      <c r="R17" s="58"/>
      <c r="S17" s="58"/>
      <c r="T17" s="58"/>
      <c r="U17" s="58"/>
      <c r="V17" s="58"/>
      <c r="W17" s="58"/>
      <c r="X17" s="58"/>
      <c r="Y17" s="58"/>
      <c r="Z17" s="58"/>
      <c r="AA17" s="56">
        <f t="shared" si="2"/>
        <v>0</v>
      </c>
    </row>
    <row r="18" spans="1:27" x14ac:dyDescent="0.2">
      <c r="A18" s="379" t="s">
        <v>55</v>
      </c>
      <c r="B18" s="299" t="s">
        <v>398</v>
      </c>
      <c r="C18" s="378"/>
      <c r="D18" s="378"/>
      <c r="E18" s="378"/>
      <c r="F18" s="299"/>
      <c r="G18" s="282" t="s">
        <v>399</v>
      </c>
      <c r="H18" s="162"/>
      <c r="I18" s="58"/>
      <c r="J18" s="58"/>
      <c r="K18" s="164"/>
      <c r="L18" s="164"/>
      <c r="M18" s="58"/>
      <c r="N18" s="58"/>
      <c r="O18" s="58"/>
      <c r="P18" s="58"/>
      <c r="Q18" s="58"/>
      <c r="R18" s="58"/>
      <c r="S18" s="58"/>
      <c r="T18" s="58"/>
      <c r="U18" s="58"/>
      <c r="V18" s="58"/>
      <c r="W18" s="58"/>
      <c r="X18" s="58"/>
      <c r="Y18" s="58"/>
      <c r="Z18" s="58"/>
      <c r="AA18" s="56">
        <f t="shared" si="2"/>
        <v>0</v>
      </c>
    </row>
    <row r="19" spans="1:27" x14ac:dyDescent="0.2">
      <c r="A19" s="379" t="s">
        <v>65</v>
      </c>
      <c r="B19" s="299" t="s">
        <v>400</v>
      </c>
      <c r="C19" s="299"/>
      <c r="D19" s="299"/>
      <c r="E19" s="299"/>
      <c r="F19" s="299"/>
      <c r="G19" s="282" t="s">
        <v>401</v>
      </c>
      <c r="H19" s="162"/>
      <c r="I19" s="56">
        <f>I20+I21</f>
        <v>0</v>
      </c>
      <c r="J19" s="56">
        <f>J20+J21</f>
        <v>0</v>
      </c>
      <c r="K19" s="166"/>
      <c r="L19" s="166"/>
      <c r="M19" s="56">
        <f t="shared" ref="M19:Z19" si="4">M20+M21</f>
        <v>0</v>
      </c>
      <c r="N19" s="56">
        <f t="shared" si="4"/>
        <v>0</v>
      </c>
      <c r="O19" s="56">
        <f t="shared" si="4"/>
        <v>0</v>
      </c>
      <c r="P19" s="56">
        <f t="shared" si="4"/>
        <v>0</v>
      </c>
      <c r="Q19" s="56">
        <f t="shared" si="4"/>
        <v>0</v>
      </c>
      <c r="R19" s="56">
        <f t="shared" si="4"/>
        <v>0</v>
      </c>
      <c r="S19" s="56">
        <f t="shared" si="4"/>
        <v>0</v>
      </c>
      <c r="T19" s="56">
        <f t="shared" si="4"/>
        <v>0</v>
      </c>
      <c r="U19" s="56">
        <f t="shared" si="4"/>
        <v>0</v>
      </c>
      <c r="V19" s="56">
        <f t="shared" si="4"/>
        <v>0</v>
      </c>
      <c r="W19" s="56">
        <f t="shared" si="4"/>
        <v>0</v>
      </c>
      <c r="X19" s="56">
        <f t="shared" si="4"/>
        <v>0</v>
      </c>
      <c r="Y19" s="56">
        <f t="shared" si="4"/>
        <v>0</v>
      </c>
      <c r="Z19" s="56">
        <f t="shared" si="4"/>
        <v>0</v>
      </c>
      <c r="AA19" s="56">
        <f t="shared" si="2"/>
        <v>0</v>
      </c>
    </row>
    <row r="20" spans="1:27" x14ac:dyDescent="0.2">
      <c r="A20" s="377"/>
      <c r="B20" s="299" t="s">
        <v>59</v>
      </c>
      <c r="C20" s="225" t="s">
        <v>149</v>
      </c>
      <c r="D20" s="225"/>
      <c r="E20" s="225"/>
      <c r="F20" s="299"/>
      <c r="G20" s="282" t="s">
        <v>402</v>
      </c>
      <c r="H20" s="162"/>
      <c r="I20" s="58"/>
      <c r="J20" s="58"/>
      <c r="K20" s="164"/>
      <c r="L20" s="164"/>
      <c r="M20" s="58"/>
      <c r="N20" s="58"/>
      <c r="O20" s="58"/>
      <c r="P20" s="58"/>
      <c r="Q20" s="58"/>
      <c r="R20" s="58"/>
      <c r="S20" s="58"/>
      <c r="T20" s="58"/>
      <c r="U20" s="58"/>
      <c r="V20" s="58"/>
      <c r="W20" s="58"/>
      <c r="X20" s="58"/>
      <c r="Y20" s="58"/>
      <c r="Z20" s="58"/>
      <c r="AA20" s="56">
        <f t="shared" si="2"/>
        <v>0</v>
      </c>
    </row>
    <row r="21" spans="1:27" x14ac:dyDescent="0.2">
      <c r="A21" s="377"/>
      <c r="B21" s="299" t="s">
        <v>61</v>
      </c>
      <c r="C21" s="299" t="s">
        <v>403</v>
      </c>
      <c r="D21" s="299"/>
      <c r="E21" s="299"/>
      <c r="F21" s="299"/>
      <c r="G21" s="282" t="s">
        <v>404</v>
      </c>
      <c r="H21" s="162"/>
      <c r="I21" s="58"/>
      <c r="J21" s="58"/>
      <c r="K21" s="164"/>
      <c r="L21" s="164"/>
      <c r="M21" s="58"/>
      <c r="N21" s="58"/>
      <c r="O21" s="58"/>
      <c r="P21" s="58"/>
      <c r="Q21" s="58"/>
      <c r="R21" s="58"/>
      <c r="S21" s="58"/>
      <c r="T21" s="58"/>
      <c r="U21" s="58"/>
      <c r="V21" s="58"/>
      <c r="W21" s="58"/>
      <c r="X21" s="58"/>
      <c r="Y21" s="58"/>
      <c r="Z21" s="58"/>
      <c r="AA21" s="56">
        <f t="shared" si="2"/>
        <v>0</v>
      </c>
    </row>
    <row r="22" spans="1:27" x14ac:dyDescent="0.2">
      <c r="A22" s="379" t="s">
        <v>90</v>
      </c>
      <c r="B22" s="299" t="s">
        <v>405</v>
      </c>
      <c r="C22" s="299"/>
      <c r="D22" s="299"/>
      <c r="E22" s="299"/>
      <c r="F22" s="299"/>
      <c r="G22" s="282" t="s">
        <v>406</v>
      </c>
      <c r="H22" s="162"/>
      <c r="I22" s="58"/>
      <c r="J22" s="58"/>
      <c r="K22" s="164"/>
      <c r="L22" s="164"/>
      <c r="M22" s="58"/>
      <c r="N22" s="58"/>
      <c r="O22" s="58"/>
      <c r="P22" s="58"/>
      <c r="Q22" s="58"/>
      <c r="R22" s="58"/>
      <c r="S22" s="58"/>
      <c r="T22" s="58"/>
      <c r="U22" s="58"/>
      <c r="V22" s="58"/>
      <c r="W22" s="58"/>
      <c r="X22" s="58"/>
      <c r="Y22" s="58"/>
      <c r="Z22" s="58"/>
      <c r="AA22" s="56">
        <f t="shared" si="2"/>
        <v>0</v>
      </c>
    </row>
    <row r="23" spans="1:27" x14ac:dyDescent="0.2">
      <c r="A23" s="379" t="s">
        <v>257</v>
      </c>
      <c r="B23" s="299" t="s">
        <v>409</v>
      </c>
      <c r="C23" s="299"/>
      <c r="D23" s="299"/>
      <c r="E23" s="299"/>
      <c r="F23" s="299"/>
      <c r="G23" s="282" t="s">
        <v>410</v>
      </c>
      <c r="H23" s="162"/>
      <c r="I23" s="58"/>
      <c r="J23" s="58"/>
      <c r="K23" s="164"/>
      <c r="L23" s="164"/>
      <c r="M23" s="58"/>
      <c r="N23" s="58"/>
      <c r="O23" s="58"/>
      <c r="P23" s="58"/>
      <c r="Q23" s="58"/>
      <c r="R23" s="58"/>
      <c r="S23" s="58"/>
      <c r="T23" s="58"/>
      <c r="U23" s="58"/>
      <c r="V23" s="58"/>
      <c r="W23" s="58"/>
      <c r="X23" s="58"/>
      <c r="Y23" s="58"/>
      <c r="Z23" s="58"/>
      <c r="AA23" s="56">
        <f t="shared" si="2"/>
        <v>0</v>
      </c>
    </row>
    <row r="24" spans="1:27" x14ac:dyDescent="0.2">
      <c r="A24" s="379"/>
      <c r="B24" s="299"/>
      <c r="C24" s="299"/>
      <c r="D24" s="299"/>
      <c r="E24" s="299"/>
      <c r="F24" s="299"/>
      <c r="G24" s="392"/>
      <c r="H24" s="168"/>
      <c r="I24" s="143"/>
      <c r="J24" s="143"/>
      <c r="K24" s="164"/>
      <c r="L24" s="164"/>
      <c r="M24" s="143"/>
      <c r="N24" s="143"/>
      <c r="O24" s="143"/>
      <c r="P24" s="143"/>
      <c r="Q24" s="143"/>
      <c r="R24" s="143"/>
      <c r="S24" s="143"/>
      <c r="T24" s="143"/>
      <c r="U24" s="143"/>
      <c r="V24" s="143"/>
      <c r="W24" s="143"/>
      <c r="X24" s="143"/>
      <c r="Y24" s="143"/>
      <c r="Z24" s="143"/>
      <c r="AA24" s="165"/>
    </row>
    <row r="25" spans="1:27" x14ac:dyDescent="0.2">
      <c r="A25" s="393" t="s">
        <v>411</v>
      </c>
      <c r="B25" s="299"/>
      <c r="C25" s="299"/>
      <c r="D25" s="299"/>
      <c r="E25" s="299"/>
      <c r="F25" s="299"/>
      <c r="G25" s="380" t="s">
        <v>412</v>
      </c>
      <c r="H25" s="161"/>
      <c r="I25" s="56">
        <f>I26+I27+I28+I31+I32</f>
        <v>0</v>
      </c>
      <c r="J25" s="56">
        <f>J26+J27+J28+J31+J32</f>
        <v>0</v>
      </c>
      <c r="K25" s="166"/>
      <c r="L25" s="166"/>
      <c r="M25" s="56">
        <f t="shared" ref="M25:Z25" si="5">M26+M27+M28+M31+M32</f>
        <v>0</v>
      </c>
      <c r="N25" s="56">
        <f t="shared" si="5"/>
        <v>0</v>
      </c>
      <c r="O25" s="56">
        <f t="shared" si="5"/>
        <v>0</v>
      </c>
      <c r="P25" s="56">
        <f t="shared" si="5"/>
        <v>0</v>
      </c>
      <c r="Q25" s="56">
        <f t="shared" si="5"/>
        <v>0</v>
      </c>
      <c r="R25" s="56">
        <f t="shared" si="5"/>
        <v>0</v>
      </c>
      <c r="S25" s="56">
        <f t="shared" si="5"/>
        <v>0</v>
      </c>
      <c r="T25" s="56">
        <f t="shared" si="5"/>
        <v>0</v>
      </c>
      <c r="U25" s="56">
        <f t="shared" si="5"/>
        <v>0</v>
      </c>
      <c r="V25" s="56">
        <f t="shared" si="5"/>
        <v>0</v>
      </c>
      <c r="W25" s="56">
        <f t="shared" si="5"/>
        <v>0</v>
      </c>
      <c r="X25" s="56">
        <f t="shared" si="5"/>
        <v>0</v>
      </c>
      <c r="Y25" s="56">
        <f t="shared" si="5"/>
        <v>0</v>
      </c>
      <c r="Z25" s="56">
        <f t="shared" si="5"/>
        <v>0</v>
      </c>
      <c r="AA25" s="56">
        <f t="shared" ref="AA25:AA33" si="6">J25+N25+P25+R25+T25+V25+X25+Z25</f>
        <v>0</v>
      </c>
    </row>
    <row r="26" spans="1:27" x14ac:dyDescent="0.2">
      <c r="A26" s="379" t="s">
        <v>54</v>
      </c>
      <c r="B26" s="299" t="s">
        <v>413</v>
      </c>
      <c r="C26" s="299"/>
      <c r="D26" s="299"/>
      <c r="E26" s="299"/>
      <c r="F26" s="299"/>
      <c r="G26" s="380" t="s">
        <v>414</v>
      </c>
      <c r="H26" s="161"/>
      <c r="I26" s="58"/>
      <c r="J26" s="58"/>
      <c r="K26" s="164"/>
      <c r="L26" s="164"/>
      <c r="M26" s="58"/>
      <c r="N26" s="58"/>
      <c r="O26" s="58"/>
      <c r="P26" s="58"/>
      <c r="Q26" s="58"/>
      <c r="R26" s="58"/>
      <c r="S26" s="58"/>
      <c r="T26" s="59"/>
      <c r="U26" s="59"/>
      <c r="V26" s="59"/>
      <c r="W26" s="59"/>
      <c r="X26" s="59"/>
      <c r="Y26" s="59"/>
      <c r="Z26" s="59"/>
      <c r="AA26" s="56">
        <f t="shared" si="6"/>
        <v>0</v>
      </c>
    </row>
    <row r="27" spans="1:27" x14ac:dyDescent="0.2">
      <c r="A27" s="379" t="s">
        <v>55</v>
      </c>
      <c r="B27" s="299" t="s">
        <v>88</v>
      </c>
      <c r="C27" s="299"/>
      <c r="D27" s="299"/>
      <c r="E27" s="299"/>
      <c r="F27" s="299"/>
      <c r="G27" s="380" t="s">
        <v>415</v>
      </c>
      <c r="H27" s="161"/>
      <c r="I27" s="58"/>
      <c r="J27" s="58"/>
      <c r="K27" s="164"/>
      <c r="L27" s="164"/>
      <c r="M27" s="58"/>
      <c r="N27" s="58"/>
      <c r="O27" s="58"/>
      <c r="P27" s="58"/>
      <c r="Q27" s="58"/>
      <c r="R27" s="58"/>
      <c r="S27" s="58"/>
      <c r="T27" s="59"/>
      <c r="U27" s="59"/>
      <c r="V27" s="59"/>
      <c r="W27" s="59"/>
      <c r="X27" s="59"/>
      <c r="Y27" s="59"/>
      <c r="Z27" s="59"/>
      <c r="AA27" s="56">
        <f t="shared" si="6"/>
        <v>0</v>
      </c>
    </row>
    <row r="28" spans="1:27" x14ac:dyDescent="0.2">
      <c r="A28" s="379" t="s">
        <v>65</v>
      </c>
      <c r="B28" s="299" t="s">
        <v>400</v>
      </c>
      <c r="C28" s="299"/>
      <c r="D28" s="299"/>
      <c r="E28" s="299"/>
      <c r="F28" s="299"/>
      <c r="G28" s="380" t="s">
        <v>416</v>
      </c>
      <c r="H28" s="161"/>
      <c r="I28" s="56">
        <f>I29+I30</f>
        <v>0</v>
      </c>
      <c r="J28" s="56">
        <f>J29+J30</f>
        <v>0</v>
      </c>
      <c r="K28" s="166"/>
      <c r="L28" s="166"/>
      <c r="M28" s="56">
        <f t="shared" ref="M28:Z28" si="7">M29+M30</f>
        <v>0</v>
      </c>
      <c r="N28" s="56">
        <f t="shared" si="7"/>
        <v>0</v>
      </c>
      <c r="O28" s="56">
        <f t="shared" si="7"/>
        <v>0</v>
      </c>
      <c r="P28" s="56">
        <f t="shared" si="7"/>
        <v>0</v>
      </c>
      <c r="Q28" s="56">
        <f t="shared" si="7"/>
        <v>0</v>
      </c>
      <c r="R28" s="56">
        <f t="shared" si="7"/>
        <v>0</v>
      </c>
      <c r="S28" s="56">
        <f t="shared" si="7"/>
        <v>0</v>
      </c>
      <c r="T28" s="56">
        <f t="shared" si="7"/>
        <v>0</v>
      </c>
      <c r="U28" s="56">
        <f t="shared" si="7"/>
        <v>0</v>
      </c>
      <c r="V28" s="56">
        <f t="shared" si="7"/>
        <v>0</v>
      </c>
      <c r="W28" s="56">
        <f t="shared" si="7"/>
        <v>0</v>
      </c>
      <c r="X28" s="56">
        <f t="shared" si="7"/>
        <v>0</v>
      </c>
      <c r="Y28" s="56">
        <f t="shared" si="7"/>
        <v>0</v>
      </c>
      <c r="Z28" s="56">
        <f t="shared" si="7"/>
        <v>0</v>
      </c>
      <c r="AA28" s="56">
        <f t="shared" si="6"/>
        <v>0</v>
      </c>
    </row>
    <row r="29" spans="1:27" x14ac:dyDescent="0.2">
      <c r="A29" s="377"/>
      <c r="B29" s="299" t="s">
        <v>59</v>
      </c>
      <c r="C29" s="299" t="s">
        <v>172</v>
      </c>
      <c r="D29" s="299"/>
      <c r="E29" s="299"/>
      <c r="F29" s="299"/>
      <c r="G29" s="380" t="s">
        <v>417</v>
      </c>
      <c r="H29" s="161"/>
      <c r="I29" s="58"/>
      <c r="J29" s="58"/>
      <c r="K29" s="164"/>
      <c r="L29" s="164"/>
      <c r="M29" s="58"/>
      <c r="N29" s="58"/>
      <c r="O29" s="58"/>
      <c r="P29" s="58"/>
      <c r="Q29" s="58"/>
      <c r="R29" s="58"/>
      <c r="S29" s="58"/>
      <c r="T29" s="59"/>
      <c r="U29" s="59"/>
      <c r="V29" s="59"/>
      <c r="W29" s="59"/>
      <c r="X29" s="59"/>
      <c r="Y29" s="59"/>
      <c r="Z29" s="59"/>
      <c r="AA29" s="56">
        <f t="shared" si="6"/>
        <v>0</v>
      </c>
    </row>
    <row r="30" spans="1:27" x14ac:dyDescent="0.2">
      <c r="A30" s="377"/>
      <c r="B30" s="299" t="s">
        <v>61</v>
      </c>
      <c r="C30" s="299" t="s">
        <v>403</v>
      </c>
      <c r="D30" s="299"/>
      <c r="E30" s="299"/>
      <c r="F30" s="299"/>
      <c r="G30" s="380" t="s">
        <v>418</v>
      </c>
      <c r="H30" s="161"/>
      <c r="I30" s="58"/>
      <c r="J30" s="58"/>
      <c r="K30" s="164"/>
      <c r="L30" s="164"/>
      <c r="M30" s="58"/>
      <c r="N30" s="58"/>
      <c r="O30" s="58"/>
      <c r="P30" s="58"/>
      <c r="Q30" s="58"/>
      <c r="R30" s="58"/>
      <c r="S30" s="58"/>
      <c r="T30" s="59"/>
      <c r="U30" s="59"/>
      <c r="V30" s="59"/>
      <c r="W30" s="59"/>
      <c r="X30" s="59"/>
      <c r="Y30" s="59"/>
      <c r="Z30" s="59"/>
      <c r="AA30" s="56">
        <f t="shared" si="6"/>
        <v>0</v>
      </c>
    </row>
    <row r="31" spans="1:27" x14ac:dyDescent="0.2">
      <c r="A31" s="379" t="s">
        <v>90</v>
      </c>
      <c r="B31" s="299" t="s">
        <v>419</v>
      </c>
      <c r="C31" s="299"/>
      <c r="D31" s="299"/>
      <c r="E31" s="299"/>
      <c r="F31" s="299"/>
      <c r="G31" s="380" t="s">
        <v>420</v>
      </c>
      <c r="H31" s="161"/>
      <c r="I31" s="58"/>
      <c r="J31" s="58"/>
      <c r="K31" s="164"/>
      <c r="L31" s="164"/>
      <c r="M31" s="58"/>
      <c r="N31" s="58"/>
      <c r="O31" s="58"/>
      <c r="P31" s="58"/>
      <c r="Q31" s="58"/>
      <c r="R31" s="58"/>
      <c r="S31" s="58"/>
      <c r="T31" s="59"/>
      <c r="U31" s="59"/>
      <c r="V31" s="59"/>
      <c r="W31" s="59"/>
      <c r="X31" s="59"/>
      <c r="Y31" s="59"/>
      <c r="Z31" s="59"/>
      <c r="AA31" s="56">
        <f t="shared" si="6"/>
        <v>0</v>
      </c>
    </row>
    <row r="32" spans="1:27" s="92" customFormat="1" x14ac:dyDescent="0.2">
      <c r="A32" s="379" t="s">
        <v>257</v>
      </c>
      <c r="B32" s="299" t="s">
        <v>409</v>
      </c>
      <c r="C32" s="299"/>
      <c r="D32" s="299"/>
      <c r="E32" s="299"/>
      <c r="F32" s="299"/>
      <c r="G32" s="380" t="s">
        <v>421</v>
      </c>
      <c r="H32" s="161"/>
      <c r="I32" s="58"/>
      <c r="J32" s="58"/>
      <c r="K32" s="164"/>
      <c r="L32" s="164"/>
      <c r="M32" s="58"/>
      <c r="N32" s="58"/>
      <c r="O32" s="58"/>
      <c r="P32" s="58"/>
      <c r="Q32" s="58"/>
      <c r="R32" s="58"/>
      <c r="S32" s="58"/>
      <c r="T32" s="59"/>
      <c r="U32" s="59"/>
      <c r="V32" s="59"/>
      <c r="W32" s="59"/>
      <c r="X32" s="59"/>
      <c r="Y32" s="59"/>
      <c r="Z32" s="59"/>
      <c r="AA32" s="56">
        <f t="shared" si="6"/>
        <v>0</v>
      </c>
    </row>
    <row r="33" spans="1:27" x14ac:dyDescent="0.2">
      <c r="A33" s="395" t="s">
        <v>140</v>
      </c>
      <c r="B33" s="299"/>
      <c r="C33" s="299"/>
      <c r="D33" s="299"/>
      <c r="E33" s="299"/>
      <c r="F33" s="299"/>
      <c r="G33" s="380" t="s">
        <v>422</v>
      </c>
      <c r="H33" s="161"/>
      <c r="I33" s="56">
        <f>I25+I10</f>
        <v>0</v>
      </c>
      <c r="J33" s="56">
        <f>J25+J10</f>
        <v>0</v>
      </c>
      <c r="K33" s="166"/>
      <c r="L33" s="166"/>
      <c r="M33" s="56">
        <f t="shared" ref="M33:Z33" si="8">M25+M10</f>
        <v>0</v>
      </c>
      <c r="N33" s="56">
        <f t="shared" si="8"/>
        <v>0</v>
      </c>
      <c r="O33" s="56">
        <f t="shared" si="8"/>
        <v>0</v>
      </c>
      <c r="P33" s="56">
        <f t="shared" si="8"/>
        <v>0</v>
      </c>
      <c r="Q33" s="56">
        <f t="shared" si="8"/>
        <v>0</v>
      </c>
      <c r="R33" s="56">
        <f t="shared" si="8"/>
        <v>0</v>
      </c>
      <c r="S33" s="56">
        <f t="shared" si="8"/>
        <v>0</v>
      </c>
      <c r="T33" s="56">
        <f t="shared" si="8"/>
        <v>0</v>
      </c>
      <c r="U33" s="56">
        <f t="shared" si="8"/>
        <v>0</v>
      </c>
      <c r="V33" s="56">
        <f t="shared" si="8"/>
        <v>0</v>
      </c>
      <c r="W33" s="56">
        <f t="shared" si="8"/>
        <v>0</v>
      </c>
      <c r="X33" s="56">
        <f t="shared" si="8"/>
        <v>0</v>
      </c>
      <c r="Y33" s="56">
        <f t="shared" si="8"/>
        <v>0</v>
      </c>
      <c r="Z33" s="56">
        <f t="shared" si="8"/>
        <v>0</v>
      </c>
      <c r="AA33" s="56">
        <f t="shared" si="6"/>
        <v>0</v>
      </c>
    </row>
    <row r="34" spans="1:27" x14ac:dyDescent="0.2">
      <c r="G34" s="233" t="s">
        <v>108</v>
      </c>
    </row>
  </sheetData>
  <sheetProtection password="FFFA" sheet="1" objects="1" scenarios="1" selectLockedCells="1"/>
  <mergeCells count="19">
    <mergeCell ref="G5:G9"/>
    <mergeCell ref="AA5:AA9"/>
    <mergeCell ref="I6:R6"/>
    <mergeCell ref="S6:X6"/>
    <mergeCell ref="Y6:Z8"/>
    <mergeCell ref="I7:N7"/>
    <mergeCell ref="O7:P8"/>
    <mergeCell ref="Q7:R8"/>
    <mergeCell ref="S7:T8"/>
    <mergeCell ref="A1:Z1"/>
    <mergeCell ref="A2:Z2"/>
    <mergeCell ref="A3:Z3"/>
    <mergeCell ref="A5:F9"/>
    <mergeCell ref="I5:Z5"/>
    <mergeCell ref="U7:V8"/>
    <mergeCell ref="W7:X8"/>
    <mergeCell ref="I8:J8"/>
    <mergeCell ref="K8:L8"/>
    <mergeCell ref="M8:N8"/>
  </mergeCells>
  <phoneticPr fontId="2" type="noConversion"/>
  <dataValidations count="1">
    <dataValidation type="decimal" allowBlank="1" showInputMessage="1" showErrorMessage="1" error="Invalid data is entered!" sqref="M15:Z18 M12:Z13 I12:J13 I15:J18 I20:J23 I26:J27 I29:J32 M29:Z32 M26:Z27 M20:Z2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12a2&amp;"Arial,Regular"&amp;10&amp;U
&amp;"Arial,Bold"&amp;8&amp;P of &amp;N&amp;C&amp;"Arial,Bold"&amp;8 NEW RURAL BANK OF SAN LEONARDO, INC  [ 04-040656 ]
 As of: September 30, 2017</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34"/>
  <sheetViews>
    <sheetView zoomScale="85"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2.7109375" style="92" customWidth="1"/>
    <col min="2" max="2" width="2.42578125" style="92" customWidth="1"/>
    <col min="3" max="5" width="2.85546875" style="92" customWidth="1"/>
    <col min="6" max="6" width="19.28515625" style="92" bestFit="1" customWidth="1"/>
    <col min="7" max="7" width="15.85546875" style="154" customWidth="1"/>
    <col min="8" max="8" width="16.5703125" style="167" hidden="1" customWidth="1"/>
    <col min="9" max="9" width="20.7109375" style="133" customWidth="1"/>
    <col min="10" max="10" width="25.7109375" style="133" customWidth="1"/>
    <col min="11" max="11" width="20.7109375" style="133" customWidth="1"/>
    <col min="12" max="12" width="25.7109375" style="133" customWidth="1"/>
    <col min="13" max="13" width="20.7109375" style="133" customWidth="1"/>
    <col min="14" max="14" width="25.7109375" style="133" customWidth="1"/>
    <col min="15" max="15" width="20.7109375" style="133" customWidth="1"/>
    <col min="16" max="16" width="25.7109375" style="133" customWidth="1"/>
    <col min="17" max="17" width="20.7109375" style="133" customWidth="1"/>
    <col min="18" max="18" width="25.7109375" style="133" customWidth="1"/>
    <col min="19" max="19" width="20.7109375" style="133" customWidth="1"/>
    <col min="20" max="20" width="25.7109375" style="133" customWidth="1"/>
    <col min="21" max="21" width="20.7109375" style="133" customWidth="1"/>
    <col min="22" max="22" width="25.7109375" style="133" customWidth="1"/>
    <col min="23" max="23" width="20.7109375" style="133" customWidth="1"/>
    <col min="24" max="24" width="25.7109375" style="133" customWidth="1"/>
    <col min="25" max="25" width="20.7109375" style="133" customWidth="1"/>
    <col min="26" max="27" width="25.7109375" style="133" customWidth="1"/>
    <col min="28" max="16384" width="9.140625" style="131"/>
  </cols>
  <sheetData>
    <row r="1" spans="1:27" s="247" customFormat="1" ht="11.25" customHeight="1" x14ac:dyDescent="0.2">
      <c r="A1" s="855" t="s">
        <v>435</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246"/>
    </row>
    <row r="2" spans="1:27" s="247" customFormat="1" ht="11.25" customHeight="1" x14ac:dyDescent="0.2">
      <c r="A2" s="855" t="s">
        <v>436</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246"/>
    </row>
    <row r="3" spans="1:27" s="247" customFormat="1" ht="11.25" customHeight="1" x14ac:dyDescent="0.2">
      <c r="A3" s="855" t="s">
        <v>53</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246"/>
    </row>
    <row r="5" spans="1:27" ht="12.75" customHeight="1" x14ac:dyDescent="0.2">
      <c r="A5" s="649" t="s">
        <v>446</v>
      </c>
      <c r="B5" s="649"/>
      <c r="C5" s="649"/>
      <c r="D5" s="649"/>
      <c r="E5" s="649"/>
      <c r="F5" s="649"/>
      <c r="G5" s="871" t="s">
        <v>46</v>
      </c>
      <c r="H5" s="150"/>
      <c r="I5" s="876" t="s">
        <v>437</v>
      </c>
      <c r="J5" s="876"/>
      <c r="K5" s="876"/>
      <c r="L5" s="876"/>
      <c r="M5" s="876"/>
      <c r="N5" s="876"/>
      <c r="O5" s="876"/>
      <c r="P5" s="876"/>
      <c r="Q5" s="876"/>
      <c r="R5" s="876"/>
      <c r="S5" s="876"/>
      <c r="T5" s="876"/>
      <c r="U5" s="876"/>
      <c r="V5" s="876"/>
      <c r="W5" s="876"/>
      <c r="X5" s="876"/>
      <c r="Y5" s="876"/>
      <c r="Z5" s="876"/>
      <c r="AA5" s="705" t="s">
        <v>144</v>
      </c>
    </row>
    <row r="6" spans="1:27" ht="12.75" customHeight="1" x14ac:dyDescent="0.2">
      <c r="A6" s="649"/>
      <c r="B6" s="649"/>
      <c r="C6" s="649"/>
      <c r="D6" s="649"/>
      <c r="E6" s="649"/>
      <c r="F6" s="649"/>
      <c r="G6" s="871"/>
      <c r="H6" s="150"/>
      <c r="I6" s="687" t="s">
        <v>438</v>
      </c>
      <c r="J6" s="687"/>
      <c r="K6" s="687"/>
      <c r="L6" s="687"/>
      <c r="M6" s="687"/>
      <c r="N6" s="687"/>
      <c r="O6" s="687"/>
      <c r="P6" s="687"/>
      <c r="Q6" s="687"/>
      <c r="R6" s="687"/>
      <c r="S6" s="687" t="s">
        <v>439</v>
      </c>
      <c r="T6" s="687"/>
      <c r="U6" s="687"/>
      <c r="V6" s="687"/>
      <c r="W6" s="687"/>
      <c r="X6" s="687"/>
      <c r="Y6" s="670" t="s">
        <v>440</v>
      </c>
      <c r="Z6" s="670"/>
      <c r="AA6" s="705"/>
    </row>
    <row r="7" spans="1:27" ht="12.75" customHeight="1" x14ac:dyDescent="0.2">
      <c r="A7" s="649"/>
      <c r="B7" s="649"/>
      <c r="C7" s="649"/>
      <c r="D7" s="649"/>
      <c r="E7" s="649"/>
      <c r="F7" s="649"/>
      <c r="G7" s="871"/>
      <c r="H7" s="150"/>
      <c r="I7" s="687" t="s">
        <v>441</v>
      </c>
      <c r="J7" s="687"/>
      <c r="K7" s="687"/>
      <c r="L7" s="687"/>
      <c r="M7" s="687"/>
      <c r="N7" s="687"/>
      <c r="O7" s="705" t="s">
        <v>398</v>
      </c>
      <c r="P7" s="705"/>
      <c r="Q7" s="705" t="s">
        <v>52</v>
      </c>
      <c r="R7" s="705"/>
      <c r="S7" s="670" t="s">
        <v>449</v>
      </c>
      <c r="T7" s="670"/>
      <c r="U7" s="670" t="s">
        <v>88</v>
      </c>
      <c r="V7" s="670"/>
      <c r="W7" s="670" t="s">
        <v>52</v>
      </c>
      <c r="X7" s="670"/>
      <c r="Y7" s="670"/>
      <c r="Z7" s="670"/>
      <c r="AA7" s="705"/>
    </row>
    <row r="8" spans="1:27" ht="27.75" customHeight="1" x14ac:dyDescent="0.2">
      <c r="A8" s="649"/>
      <c r="B8" s="649"/>
      <c r="C8" s="649"/>
      <c r="D8" s="649"/>
      <c r="E8" s="649"/>
      <c r="F8" s="649"/>
      <c r="G8" s="871"/>
      <c r="H8" s="150"/>
      <c r="I8" s="670" t="s">
        <v>443</v>
      </c>
      <c r="J8" s="670"/>
      <c r="K8" s="670" t="s">
        <v>444</v>
      </c>
      <c r="L8" s="670"/>
      <c r="M8" s="670" t="s">
        <v>445</v>
      </c>
      <c r="N8" s="670"/>
      <c r="O8" s="705"/>
      <c r="P8" s="705"/>
      <c r="Q8" s="705"/>
      <c r="R8" s="705"/>
      <c r="S8" s="670"/>
      <c r="T8" s="670"/>
      <c r="U8" s="670"/>
      <c r="V8" s="670"/>
      <c r="W8" s="670"/>
      <c r="X8" s="670"/>
      <c r="Y8" s="670"/>
      <c r="Z8" s="670"/>
      <c r="AA8" s="705"/>
    </row>
    <row r="9" spans="1:27" ht="24.75" customHeight="1" x14ac:dyDescent="0.2">
      <c r="A9" s="649"/>
      <c r="B9" s="649"/>
      <c r="C9" s="649"/>
      <c r="D9" s="649"/>
      <c r="E9" s="649"/>
      <c r="F9" s="649"/>
      <c r="G9" s="871"/>
      <c r="H9" s="150"/>
      <c r="I9" s="55" t="s">
        <v>50</v>
      </c>
      <c r="J9" s="51" t="s">
        <v>51</v>
      </c>
      <c r="K9" s="55" t="s">
        <v>50</v>
      </c>
      <c r="L9" s="51" t="s">
        <v>51</v>
      </c>
      <c r="M9" s="55" t="s">
        <v>50</v>
      </c>
      <c r="N9" s="51" t="s">
        <v>51</v>
      </c>
      <c r="O9" s="55" t="s">
        <v>50</v>
      </c>
      <c r="P9" s="51" t="s">
        <v>51</v>
      </c>
      <c r="Q9" s="55" t="s">
        <v>50</v>
      </c>
      <c r="R9" s="51" t="s">
        <v>51</v>
      </c>
      <c r="S9" s="55" t="s">
        <v>50</v>
      </c>
      <c r="T9" s="51" t="s">
        <v>51</v>
      </c>
      <c r="U9" s="55" t="s">
        <v>50</v>
      </c>
      <c r="V9" s="51" t="s">
        <v>51</v>
      </c>
      <c r="W9" s="55" t="s">
        <v>50</v>
      </c>
      <c r="X9" s="51" t="s">
        <v>51</v>
      </c>
      <c r="Y9" s="55" t="s">
        <v>50</v>
      </c>
      <c r="Z9" s="51" t="s">
        <v>51</v>
      </c>
      <c r="AA9" s="705"/>
    </row>
    <row r="10" spans="1:27" ht="11.25" customHeight="1" x14ac:dyDescent="0.2">
      <c r="A10" s="393" t="s">
        <v>386</v>
      </c>
      <c r="B10" s="299"/>
      <c r="C10" s="299"/>
      <c r="D10" s="299"/>
      <c r="E10" s="299"/>
      <c r="F10" s="299"/>
      <c r="G10" s="282" t="s">
        <v>387</v>
      </c>
      <c r="H10" s="162"/>
      <c r="I10" s="56">
        <f t="shared" ref="I10:Z10" si="0">I11+I18+I19+I22+I23</f>
        <v>0</v>
      </c>
      <c r="J10" s="56">
        <f t="shared" si="0"/>
        <v>0</v>
      </c>
      <c r="K10" s="140"/>
      <c r="L10" s="140"/>
      <c r="M10" s="56">
        <f t="shared" si="0"/>
        <v>0</v>
      </c>
      <c r="N10" s="56">
        <f t="shared" si="0"/>
        <v>0</v>
      </c>
      <c r="O10" s="56">
        <f t="shared" si="0"/>
        <v>0</v>
      </c>
      <c r="P10" s="56">
        <f t="shared" si="0"/>
        <v>0</v>
      </c>
      <c r="Q10" s="56">
        <f t="shared" si="0"/>
        <v>0</v>
      </c>
      <c r="R10" s="56">
        <f t="shared" si="0"/>
        <v>0</v>
      </c>
      <c r="S10" s="56">
        <f t="shared" si="0"/>
        <v>0</v>
      </c>
      <c r="T10" s="56">
        <f t="shared" si="0"/>
        <v>0</v>
      </c>
      <c r="U10" s="56">
        <f t="shared" si="0"/>
        <v>0</v>
      </c>
      <c r="V10" s="56">
        <f t="shared" si="0"/>
        <v>0</v>
      </c>
      <c r="W10" s="56">
        <f t="shared" si="0"/>
        <v>0</v>
      </c>
      <c r="X10" s="56">
        <f t="shared" si="0"/>
        <v>0</v>
      </c>
      <c r="Y10" s="56">
        <f t="shared" si="0"/>
        <v>0</v>
      </c>
      <c r="Z10" s="56">
        <f t="shared" si="0"/>
        <v>0</v>
      </c>
      <c r="AA10" s="56">
        <f t="shared" ref="AA10:AA23" si="1">J10+L10+N10+P10+R10+T10+V10+X10+Z10</f>
        <v>0</v>
      </c>
    </row>
    <row r="11" spans="1:27" ht="11.25" customHeight="1" x14ac:dyDescent="0.2">
      <c r="A11" s="377" t="s">
        <v>58</v>
      </c>
      <c r="B11" s="299" t="s">
        <v>388</v>
      </c>
      <c r="C11" s="299"/>
      <c r="D11" s="299"/>
      <c r="E11" s="299"/>
      <c r="F11" s="299"/>
      <c r="G11" s="282" t="s">
        <v>389</v>
      </c>
      <c r="H11" s="162"/>
      <c r="I11" s="56">
        <f>I12+I13+I14</f>
        <v>0</v>
      </c>
      <c r="J11" s="56">
        <f>J12+J13+J14</f>
        <v>0</v>
      </c>
      <c r="K11" s="140"/>
      <c r="L11" s="140"/>
      <c r="M11" s="56">
        <f t="shared" ref="M11:Z11" si="2">M12+M13+M14</f>
        <v>0</v>
      </c>
      <c r="N11" s="56">
        <f t="shared" si="2"/>
        <v>0</v>
      </c>
      <c r="O11" s="56">
        <f t="shared" si="2"/>
        <v>0</v>
      </c>
      <c r="P11" s="56">
        <f t="shared" si="2"/>
        <v>0</v>
      </c>
      <c r="Q11" s="56">
        <f t="shared" si="2"/>
        <v>0</v>
      </c>
      <c r="R11" s="56">
        <f t="shared" si="2"/>
        <v>0</v>
      </c>
      <c r="S11" s="56">
        <f t="shared" si="2"/>
        <v>0</v>
      </c>
      <c r="T11" s="56">
        <f t="shared" si="2"/>
        <v>0</v>
      </c>
      <c r="U11" s="56">
        <f t="shared" si="2"/>
        <v>0</v>
      </c>
      <c r="V11" s="56">
        <f t="shared" si="2"/>
        <v>0</v>
      </c>
      <c r="W11" s="56">
        <f t="shared" si="2"/>
        <v>0</v>
      </c>
      <c r="X11" s="56">
        <f t="shared" si="2"/>
        <v>0</v>
      </c>
      <c r="Y11" s="56">
        <f t="shared" si="2"/>
        <v>0</v>
      </c>
      <c r="Z11" s="56">
        <f t="shared" si="2"/>
        <v>0</v>
      </c>
      <c r="AA11" s="56">
        <f t="shared" si="1"/>
        <v>0</v>
      </c>
    </row>
    <row r="12" spans="1:27" x14ac:dyDescent="0.2">
      <c r="A12" s="377"/>
      <c r="B12" s="299" t="s">
        <v>59</v>
      </c>
      <c r="C12" s="299" t="s">
        <v>60</v>
      </c>
      <c r="D12" s="299"/>
      <c r="E12" s="299"/>
      <c r="F12" s="299"/>
      <c r="G12" s="282" t="s">
        <v>390</v>
      </c>
      <c r="H12" s="162"/>
      <c r="I12" s="58"/>
      <c r="J12" s="58"/>
      <c r="K12" s="204"/>
      <c r="L12" s="204"/>
      <c r="M12" s="58"/>
      <c r="N12" s="58"/>
      <c r="O12" s="58"/>
      <c r="P12" s="58"/>
      <c r="Q12" s="58"/>
      <c r="R12" s="58"/>
      <c r="S12" s="58"/>
      <c r="T12" s="58"/>
      <c r="U12" s="58"/>
      <c r="V12" s="58"/>
      <c r="W12" s="58"/>
      <c r="X12" s="58"/>
      <c r="Y12" s="58"/>
      <c r="Z12" s="58"/>
      <c r="AA12" s="56">
        <f t="shared" si="1"/>
        <v>0</v>
      </c>
    </row>
    <row r="13" spans="1:27" x14ac:dyDescent="0.2">
      <c r="A13" s="377"/>
      <c r="B13" s="299" t="s">
        <v>61</v>
      </c>
      <c r="C13" s="299" t="s">
        <v>391</v>
      </c>
      <c r="D13" s="299"/>
      <c r="E13" s="299"/>
      <c r="F13" s="299"/>
      <c r="G13" s="282" t="s">
        <v>392</v>
      </c>
      <c r="H13" s="162"/>
      <c r="I13" s="58"/>
      <c r="J13" s="58"/>
      <c r="K13" s="204"/>
      <c r="L13" s="204"/>
      <c r="M13" s="58"/>
      <c r="N13" s="58"/>
      <c r="O13" s="58"/>
      <c r="P13" s="58"/>
      <c r="Q13" s="58"/>
      <c r="R13" s="58"/>
      <c r="S13" s="58"/>
      <c r="T13" s="58"/>
      <c r="U13" s="58"/>
      <c r="V13" s="58"/>
      <c r="W13" s="58"/>
      <c r="X13" s="58"/>
      <c r="Y13" s="58"/>
      <c r="Z13" s="58"/>
      <c r="AA13" s="56">
        <f t="shared" si="1"/>
        <v>0</v>
      </c>
    </row>
    <row r="14" spans="1:27" ht="11.25" customHeight="1" x14ac:dyDescent="0.2">
      <c r="A14" s="377"/>
      <c r="B14" s="299" t="s">
        <v>71</v>
      </c>
      <c r="C14" s="299" t="s">
        <v>393</v>
      </c>
      <c r="D14" s="299"/>
      <c r="E14" s="299"/>
      <c r="F14" s="299"/>
      <c r="G14" s="282" t="s">
        <v>394</v>
      </c>
      <c r="H14" s="162"/>
      <c r="I14" s="56">
        <f>I15+I16+I17</f>
        <v>0</v>
      </c>
      <c r="J14" s="56">
        <f>J15+J16+J17</f>
        <v>0</v>
      </c>
      <c r="K14" s="140"/>
      <c r="L14" s="140"/>
      <c r="M14" s="56">
        <f t="shared" ref="M14:Z14" si="3">M15+M16+M17</f>
        <v>0</v>
      </c>
      <c r="N14" s="56">
        <f t="shared" si="3"/>
        <v>0</v>
      </c>
      <c r="O14" s="56">
        <f t="shared" si="3"/>
        <v>0</v>
      </c>
      <c r="P14" s="56">
        <f t="shared" si="3"/>
        <v>0</v>
      </c>
      <c r="Q14" s="56">
        <f t="shared" si="3"/>
        <v>0</v>
      </c>
      <c r="R14" s="56">
        <f t="shared" si="3"/>
        <v>0</v>
      </c>
      <c r="S14" s="56">
        <f t="shared" si="3"/>
        <v>0</v>
      </c>
      <c r="T14" s="56">
        <f t="shared" si="3"/>
        <v>0</v>
      </c>
      <c r="U14" s="56">
        <f t="shared" si="3"/>
        <v>0</v>
      </c>
      <c r="V14" s="56">
        <f t="shared" si="3"/>
        <v>0</v>
      </c>
      <c r="W14" s="56">
        <f t="shared" si="3"/>
        <v>0</v>
      </c>
      <c r="X14" s="56">
        <f t="shared" si="3"/>
        <v>0</v>
      </c>
      <c r="Y14" s="56">
        <f t="shared" si="3"/>
        <v>0</v>
      </c>
      <c r="Z14" s="56">
        <f t="shared" si="3"/>
        <v>0</v>
      </c>
      <c r="AA14" s="56">
        <f t="shared" si="1"/>
        <v>0</v>
      </c>
    </row>
    <row r="15" spans="1:27" x14ac:dyDescent="0.2">
      <c r="A15" s="377"/>
      <c r="B15" s="299"/>
      <c r="C15" s="378" t="s">
        <v>54</v>
      </c>
      <c r="D15" s="299" t="s">
        <v>63</v>
      </c>
      <c r="E15" s="378"/>
      <c r="F15" s="299"/>
      <c r="G15" s="282" t="s">
        <v>395</v>
      </c>
      <c r="H15" s="162"/>
      <c r="I15" s="58"/>
      <c r="J15" s="58"/>
      <c r="K15" s="204"/>
      <c r="L15" s="204"/>
      <c r="M15" s="58"/>
      <c r="N15" s="58"/>
      <c r="O15" s="58"/>
      <c r="P15" s="58"/>
      <c r="Q15" s="58"/>
      <c r="R15" s="58"/>
      <c r="S15" s="58"/>
      <c r="T15" s="58"/>
      <c r="U15" s="58"/>
      <c r="V15" s="58"/>
      <c r="W15" s="58"/>
      <c r="X15" s="58"/>
      <c r="Y15" s="58"/>
      <c r="Z15" s="58"/>
      <c r="AA15" s="56">
        <f t="shared" si="1"/>
        <v>0</v>
      </c>
    </row>
    <row r="16" spans="1:27" x14ac:dyDescent="0.2">
      <c r="A16" s="377"/>
      <c r="B16" s="299"/>
      <c r="C16" s="378" t="s">
        <v>55</v>
      </c>
      <c r="D16" s="299" t="s">
        <v>64</v>
      </c>
      <c r="E16" s="378"/>
      <c r="F16" s="299"/>
      <c r="G16" s="282" t="s">
        <v>396</v>
      </c>
      <c r="H16" s="162"/>
      <c r="I16" s="58"/>
      <c r="J16" s="58"/>
      <c r="K16" s="204"/>
      <c r="L16" s="204"/>
      <c r="M16" s="58"/>
      <c r="N16" s="58"/>
      <c r="O16" s="58"/>
      <c r="P16" s="58"/>
      <c r="Q16" s="58"/>
      <c r="R16" s="58"/>
      <c r="S16" s="58"/>
      <c r="T16" s="58"/>
      <c r="U16" s="58"/>
      <c r="V16" s="58"/>
      <c r="W16" s="58"/>
      <c r="X16" s="58"/>
      <c r="Y16" s="58"/>
      <c r="Z16" s="58"/>
      <c r="AA16" s="56">
        <f t="shared" si="1"/>
        <v>0</v>
      </c>
    </row>
    <row r="17" spans="1:27" x14ac:dyDescent="0.2">
      <c r="A17" s="377"/>
      <c r="B17" s="299"/>
      <c r="C17" s="378" t="s">
        <v>65</v>
      </c>
      <c r="D17" s="299" t="s">
        <v>66</v>
      </c>
      <c r="E17" s="378"/>
      <c r="F17" s="299"/>
      <c r="G17" s="282" t="s">
        <v>397</v>
      </c>
      <c r="H17" s="162"/>
      <c r="I17" s="58"/>
      <c r="J17" s="58"/>
      <c r="K17" s="204"/>
      <c r="L17" s="204"/>
      <c r="M17" s="58"/>
      <c r="N17" s="58"/>
      <c r="O17" s="58"/>
      <c r="P17" s="58"/>
      <c r="Q17" s="58"/>
      <c r="R17" s="58"/>
      <c r="S17" s="58"/>
      <c r="T17" s="58"/>
      <c r="U17" s="58"/>
      <c r="V17" s="58"/>
      <c r="W17" s="58"/>
      <c r="X17" s="58"/>
      <c r="Y17" s="58"/>
      <c r="Z17" s="58"/>
      <c r="AA17" s="56">
        <f t="shared" si="1"/>
        <v>0</v>
      </c>
    </row>
    <row r="18" spans="1:27" x14ac:dyDescent="0.2">
      <c r="A18" s="379" t="s">
        <v>55</v>
      </c>
      <c r="B18" s="299" t="s">
        <v>398</v>
      </c>
      <c r="C18" s="378"/>
      <c r="D18" s="378"/>
      <c r="E18" s="378"/>
      <c r="F18" s="299"/>
      <c r="G18" s="282" t="s">
        <v>399</v>
      </c>
      <c r="H18" s="162"/>
      <c r="I18" s="58"/>
      <c r="J18" s="58"/>
      <c r="K18" s="204"/>
      <c r="L18" s="204"/>
      <c r="M18" s="58"/>
      <c r="N18" s="58"/>
      <c r="O18" s="58"/>
      <c r="P18" s="58"/>
      <c r="Q18" s="58"/>
      <c r="R18" s="58"/>
      <c r="S18" s="58"/>
      <c r="T18" s="58"/>
      <c r="U18" s="58"/>
      <c r="V18" s="58"/>
      <c r="W18" s="58"/>
      <c r="X18" s="58"/>
      <c r="Y18" s="58"/>
      <c r="Z18" s="58"/>
      <c r="AA18" s="56">
        <f t="shared" si="1"/>
        <v>0</v>
      </c>
    </row>
    <row r="19" spans="1:27" x14ac:dyDescent="0.2">
      <c r="A19" s="379" t="s">
        <v>65</v>
      </c>
      <c r="B19" s="299" t="s">
        <v>400</v>
      </c>
      <c r="C19" s="299"/>
      <c r="D19" s="299"/>
      <c r="E19" s="299"/>
      <c r="F19" s="299"/>
      <c r="G19" s="282" t="s">
        <v>401</v>
      </c>
      <c r="H19" s="162"/>
      <c r="I19" s="56">
        <f>I20+I21</f>
        <v>0</v>
      </c>
      <c r="J19" s="56">
        <f>J20+J21</f>
        <v>0</v>
      </c>
      <c r="K19" s="140"/>
      <c r="L19" s="140"/>
      <c r="M19" s="56">
        <f t="shared" ref="M19:Z19" si="4">M20+M21</f>
        <v>0</v>
      </c>
      <c r="N19" s="56">
        <f t="shared" si="4"/>
        <v>0</v>
      </c>
      <c r="O19" s="56">
        <f t="shared" si="4"/>
        <v>0</v>
      </c>
      <c r="P19" s="56">
        <f t="shared" si="4"/>
        <v>0</v>
      </c>
      <c r="Q19" s="56">
        <f t="shared" si="4"/>
        <v>0</v>
      </c>
      <c r="R19" s="56">
        <f t="shared" si="4"/>
        <v>0</v>
      </c>
      <c r="S19" s="56">
        <f t="shared" si="4"/>
        <v>0</v>
      </c>
      <c r="T19" s="56">
        <f t="shared" si="4"/>
        <v>0</v>
      </c>
      <c r="U19" s="56">
        <f t="shared" si="4"/>
        <v>0</v>
      </c>
      <c r="V19" s="56">
        <f t="shared" si="4"/>
        <v>0</v>
      </c>
      <c r="W19" s="56">
        <f t="shared" si="4"/>
        <v>0</v>
      </c>
      <c r="X19" s="56">
        <f t="shared" si="4"/>
        <v>0</v>
      </c>
      <c r="Y19" s="56">
        <f t="shared" si="4"/>
        <v>0</v>
      </c>
      <c r="Z19" s="56">
        <f t="shared" si="4"/>
        <v>0</v>
      </c>
      <c r="AA19" s="56">
        <f t="shared" si="1"/>
        <v>0</v>
      </c>
    </row>
    <row r="20" spans="1:27" x14ac:dyDescent="0.2">
      <c r="A20" s="377"/>
      <c r="B20" s="299" t="s">
        <v>59</v>
      </c>
      <c r="C20" s="225" t="s">
        <v>149</v>
      </c>
      <c r="D20" s="225"/>
      <c r="E20" s="225"/>
      <c r="F20" s="299"/>
      <c r="G20" s="282" t="s">
        <v>402</v>
      </c>
      <c r="H20" s="162"/>
      <c r="I20" s="58"/>
      <c r="J20" s="58"/>
      <c r="K20" s="204"/>
      <c r="L20" s="204"/>
      <c r="M20" s="58"/>
      <c r="N20" s="58"/>
      <c r="O20" s="58"/>
      <c r="P20" s="58"/>
      <c r="Q20" s="58"/>
      <c r="R20" s="58"/>
      <c r="S20" s="58"/>
      <c r="T20" s="58"/>
      <c r="U20" s="58"/>
      <c r="V20" s="58"/>
      <c r="W20" s="58"/>
      <c r="X20" s="58"/>
      <c r="Y20" s="58"/>
      <c r="Z20" s="58"/>
      <c r="AA20" s="56">
        <f t="shared" si="1"/>
        <v>0</v>
      </c>
    </row>
    <row r="21" spans="1:27" x14ac:dyDescent="0.2">
      <c r="A21" s="377"/>
      <c r="B21" s="299" t="s">
        <v>61</v>
      </c>
      <c r="C21" s="299" t="s">
        <v>403</v>
      </c>
      <c r="D21" s="299"/>
      <c r="E21" s="299"/>
      <c r="F21" s="299"/>
      <c r="G21" s="282" t="s">
        <v>404</v>
      </c>
      <c r="H21" s="162"/>
      <c r="I21" s="58"/>
      <c r="J21" s="58"/>
      <c r="K21" s="204"/>
      <c r="L21" s="204"/>
      <c r="M21" s="58"/>
      <c r="N21" s="58"/>
      <c r="O21" s="58"/>
      <c r="P21" s="58"/>
      <c r="Q21" s="58"/>
      <c r="R21" s="58"/>
      <c r="S21" s="58"/>
      <c r="T21" s="58"/>
      <c r="U21" s="58"/>
      <c r="V21" s="58"/>
      <c r="W21" s="58"/>
      <c r="X21" s="58"/>
      <c r="Y21" s="58"/>
      <c r="Z21" s="58"/>
      <c r="AA21" s="56">
        <f t="shared" si="1"/>
        <v>0</v>
      </c>
    </row>
    <row r="22" spans="1:27" x14ac:dyDescent="0.2">
      <c r="A22" s="379" t="s">
        <v>90</v>
      </c>
      <c r="B22" s="299" t="s">
        <v>405</v>
      </c>
      <c r="C22" s="299"/>
      <c r="D22" s="299"/>
      <c r="E22" s="299"/>
      <c r="F22" s="299"/>
      <c r="G22" s="282" t="s">
        <v>406</v>
      </c>
      <c r="H22" s="162"/>
      <c r="I22" s="58"/>
      <c r="J22" s="58"/>
      <c r="K22" s="204"/>
      <c r="L22" s="204"/>
      <c r="M22" s="58"/>
      <c r="N22" s="58"/>
      <c r="O22" s="58"/>
      <c r="P22" s="58"/>
      <c r="Q22" s="58"/>
      <c r="R22" s="58"/>
      <c r="S22" s="58"/>
      <c r="T22" s="58"/>
      <c r="U22" s="58"/>
      <c r="V22" s="58"/>
      <c r="W22" s="58"/>
      <c r="X22" s="58"/>
      <c r="Y22" s="58"/>
      <c r="Z22" s="58"/>
      <c r="AA22" s="56">
        <f t="shared" si="1"/>
        <v>0</v>
      </c>
    </row>
    <row r="23" spans="1:27" x14ac:dyDescent="0.2">
      <c r="A23" s="379" t="s">
        <v>257</v>
      </c>
      <c r="B23" s="299" t="s">
        <v>409</v>
      </c>
      <c r="C23" s="299"/>
      <c r="D23" s="299"/>
      <c r="E23" s="299"/>
      <c r="F23" s="299"/>
      <c r="G23" s="282" t="s">
        <v>410</v>
      </c>
      <c r="H23" s="162"/>
      <c r="I23" s="58"/>
      <c r="J23" s="58"/>
      <c r="K23" s="204"/>
      <c r="L23" s="204"/>
      <c r="M23" s="58"/>
      <c r="N23" s="58"/>
      <c r="O23" s="58"/>
      <c r="P23" s="58"/>
      <c r="Q23" s="58"/>
      <c r="R23" s="58"/>
      <c r="S23" s="58"/>
      <c r="T23" s="58"/>
      <c r="U23" s="58"/>
      <c r="V23" s="58"/>
      <c r="W23" s="58"/>
      <c r="X23" s="58"/>
      <c r="Y23" s="58"/>
      <c r="Z23" s="58"/>
      <c r="AA23" s="56">
        <f t="shared" si="1"/>
        <v>0</v>
      </c>
    </row>
    <row r="24" spans="1:27" x14ac:dyDescent="0.2">
      <c r="A24" s="379"/>
      <c r="B24" s="299"/>
      <c r="C24" s="299"/>
      <c r="D24" s="299"/>
      <c r="E24" s="299"/>
      <c r="F24" s="299"/>
      <c r="G24" s="392"/>
      <c r="H24" s="168"/>
      <c r="I24" s="143"/>
      <c r="J24" s="143"/>
      <c r="K24" s="204"/>
      <c r="L24" s="204"/>
      <c r="M24" s="143"/>
      <c r="N24" s="143"/>
      <c r="O24" s="143"/>
      <c r="P24" s="143"/>
      <c r="Q24" s="143"/>
      <c r="R24" s="143"/>
      <c r="S24" s="143"/>
      <c r="T24" s="143"/>
      <c r="U24" s="143"/>
      <c r="V24" s="143"/>
      <c r="W24" s="143"/>
      <c r="X24" s="143"/>
      <c r="Y24" s="143"/>
      <c r="Z24" s="143"/>
      <c r="AA24" s="165"/>
    </row>
    <row r="25" spans="1:27" ht="11.25" customHeight="1" x14ac:dyDescent="0.2">
      <c r="A25" s="393" t="s">
        <v>411</v>
      </c>
      <c r="B25" s="299"/>
      <c r="C25" s="299"/>
      <c r="D25" s="299"/>
      <c r="E25" s="299"/>
      <c r="F25" s="299"/>
      <c r="G25" s="380" t="s">
        <v>412</v>
      </c>
      <c r="H25" s="161"/>
      <c r="I25" s="56">
        <f>I26+I27+I28+I31+I32</f>
        <v>0</v>
      </c>
      <c r="J25" s="56">
        <f>J26+J27+J28+J31+J32</f>
        <v>0</v>
      </c>
      <c r="K25" s="140"/>
      <c r="L25" s="140"/>
      <c r="M25" s="56">
        <f t="shared" ref="M25:Z25" si="5">M26+M27+M28+M31+M32</f>
        <v>0</v>
      </c>
      <c r="N25" s="56">
        <f t="shared" si="5"/>
        <v>0</v>
      </c>
      <c r="O25" s="56">
        <f t="shared" si="5"/>
        <v>0</v>
      </c>
      <c r="P25" s="56">
        <f t="shared" si="5"/>
        <v>0</v>
      </c>
      <c r="Q25" s="56">
        <f t="shared" si="5"/>
        <v>0</v>
      </c>
      <c r="R25" s="56">
        <f t="shared" si="5"/>
        <v>0</v>
      </c>
      <c r="S25" s="56">
        <f t="shared" si="5"/>
        <v>0</v>
      </c>
      <c r="T25" s="56">
        <f t="shared" si="5"/>
        <v>0</v>
      </c>
      <c r="U25" s="56">
        <f t="shared" si="5"/>
        <v>0</v>
      </c>
      <c r="V25" s="56">
        <f t="shared" si="5"/>
        <v>0</v>
      </c>
      <c r="W25" s="56">
        <f t="shared" si="5"/>
        <v>0</v>
      </c>
      <c r="X25" s="56">
        <f t="shared" si="5"/>
        <v>0</v>
      </c>
      <c r="Y25" s="56">
        <f t="shared" si="5"/>
        <v>0</v>
      </c>
      <c r="Z25" s="56">
        <f t="shared" si="5"/>
        <v>0</v>
      </c>
      <c r="AA25" s="56">
        <f t="shared" ref="AA25:AA33" si="6">J25+L25+N25+P25+R25+T25+V25+X25+Z25</f>
        <v>0</v>
      </c>
    </row>
    <row r="26" spans="1:27" x14ac:dyDescent="0.2">
      <c r="A26" s="379" t="s">
        <v>54</v>
      </c>
      <c r="B26" s="299" t="s">
        <v>413</v>
      </c>
      <c r="C26" s="299"/>
      <c r="D26" s="299"/>
      <c r="E26" s="299"/>
      <c r="F26" s="299"/>
      <c r="G26" s="380" t="s">
        <v>414</v>
      </c>
      <c r="H26" s="161"/>
      <c r="I26" s="58"/>
      <c r="J26" s="58"/>
      <c r="K26" s="204"/>
      <c r="L26" s="204"/>
      <c r="M26" s="58"/>
      <c r="N26" s="58"/>
      <c r="O26" s="58"/>
      <c r="P26" s="58"/>
      <c r="Q26" s="58"/>
      <c r="R26" s="58"/>
      <c r="S26" s="58"/>
      <c r="T26" s="59"/>
      <c r="U26" s="59"/>
      <c r="V26" s="59"/>
      <c r="W26" s="59"/>
      <c r="X26" s="59"/>
      <c r="Y26" s="59"/>
      <c r="Z26" s="59"/>
      <c r="AA26" s="56">
        <f t="shared" si="6"/>
        <v>0</v>
      </c>
    </row>
    <row r="27" spans="1:27" x14ac:dyDescent="0.2">
      <c r="A27" s="379" t="s">
        <v>55</v>
      </c>
      <c r="B27" s="299" t="s">
        <v>88</v>
      </c>
      <c r="C27" s="299"/>
      <c r="D27" s="299"/>
      <c r="E27" s="299"/>
      <c r="F27" s="299"/>
      <c r="G27" s="380" t="s">
        <v>415</v>
      </c>
      <c r="H27" s="161"/>
      <c r="I27" s="58"/>
      <c r="J27" s="58"/>
      <c r="K27" s="204"/>
      <c r="L27" s="204"/>
      <c r="M27" s="58"/>
      <c r="N27" s="58"/>
      <c r="O27" s="58"/>
      <c r="P27" s="58"/>
      <c r="Q27" s="58"/>
      <c r="R27" s="58"/>
      <c r="S27" s="58"/>
      <c r="T27" s="59"/>
      <c r="U27" s="59"/>
      <c r="V27" s="59"/>
      <c r="W27" s="59"/>
      <c r="X27" s="59"/>
      <c r="Y27" s="59"/>
      <c r="Z27" s="59"/>
      <c r="AA27" s="56">
        <f t="shared" si="6"/>
        <v>0</v>
      </c>
    </row>
    <row r="28" spans="1:27" x14ac:dyDescent="0.2">
      <c r="A28" s="379" t="s">
        <v>65</v>
      </c>
      <c r="B28" s="299" t="s">
        <v>400</v>
      </c>
      <c r="C28" s="299"/>
      <c r="D28" s="299"/>
      <c r="E28" s="299"/>
      <c r="F28" s="299"/>
      <c r="G28" s="380" t="s">
        <v>416</v>
      </c>
      <c r="H28" s="161"/>
      <c r="I28" s="56">
        <f>I29+I30</f>
        <v>0</v>
      </c>
      <c r="J28" s="56">
        <f>J29+J30</f>
        <v>0</v>
      </c>
      <c r="K28" s="140"/>
      <c r="L28" s="140"/>
      <c r="M28" s="56">
        <f t="shared" ref="M28:Z28" si="7">M29+M30</f>
        <v>0</v>
      </c>
      <c r="N28" s="56">
        <f t="shared" si="7"/>
        <v>0</v>
      </c>
      <c r="O28" s="56">
        <f t="shared" si="7"/>
        <v>0</v>
      </c>
      <c r="P28" s="56">
        <f t="shared" si="7"/>
        <v>0</v>
      </c>
      <c r="Q28" s="56">
        <f t="shared" si="7"/>
        <v>0</v>
      </c>
      <c r="R28" s="56">
        <f t="shared" si="7"/>
        <v>0</v>
      </c>
      <c r="S28" s="56">
        <f t="shared" si="7"/>
        <v>0</v>
      </c>
      <c r="T28" s="56">
        <f t="shared" si="7"/>
        <v>0</v>
      </c>
      <c r="U28" s="56">
        <f t="shared" si="7"/>
        <v>0</v>
      </c>
      <c r="V28" s="56">
        <f t="shared" si="7"/>
        <v>0</v>
      </c>
      <c r="W28" s="56">
        <f t="shared" si="7"/>
        <v>0</v>
      </c>
      <c r="X28" s="56">
        <f t="shared" si="7"/>
        <v>0</v>
      </c>
      <c r="Y28" s="56">
        <f t="shared" si="7"/>
        <v>0</v>
      </c>
      <c r="Z28" s="56">
        <f t="shared" si="7"/>
        <v>0</v>
      </c>
      <c r="AA28" s="56">
        <f t="shared" si="6"/>
        <v>0</v>
      </c>
    </row>
    <row r="29" spans="1:27" x14ac:dyDescent="0.2">
      <c r="A29" s="377"/>
      <c r="B29" s="299" t="s">
        <v>59</v>
      </c>
      <c r="C29" s="299" t="s">
        <v>172</v>
      </c>
      <c r="D29" s="299"/>
      <c r="E29" s="299"/>
      <c r="F29" s="299"/>
      <c r="G29" s="380" t="s">
        <v>417</v>
      </c>
      <c r="H29" s="161"/>
      <c r="I29" s="58"/>
      <c r="J29" s="58"/>
      <c r="K29" s="204"/>
      <c r="L29" s="204"/>
      <c r="M29" s="58"/>
      <c r="N29" s="58"/>
      <c r="O29" s="58"/>
      <c r="P29" s="58"/>
      <c r="Q29" s="58"/>
      <c r="R29" s="58"/>
      <c r="S29" s="58"/>
      <c r="T29" s="59"/>
      <c r="U29" s="59"/>
      <c r="V29" s="59"/>
      <c r="W29" s="59"/>
      <c r="X29" s="59"/>
      <c r="Y29" s="59"/>
      <c r="Z29" s="59"/>
      <c r="AA29" s="56">
        <f t="shared" si="6"/>
        <v>0</v>
      </c>
    </row>
    <row r="30" spans="1:27" x14ac:dyDescent="0.2">
      <c r="A30" s="377"/>
      <c r="B30" s="299" t="s">
        <v>61</v>
      </c>
      <c r="C30" s="299" t="s">
        <v>403</v>
      </c>
      <c r="D30" s="299"/>
      <c r="E30" s="299"/>
      <c r="F30" s="299"/>
      <c r="G30" s="380" t="s">
        <v>418</v>
      </c>
      <c r="H30" s="161"/>
      <c r="I30" s="58"/>
      <c r="J30" s="58"/>
      <c r="K30" s="204"/>
      <c r="L30" s="204"/>
      <c r="M30" s="58"/>
      <c r="N30" s="58"/>
      <c r="O30" s="58"/>
      <c r="P30" s="58"/>
      <c r="Q30" s="58"/>
      <c r="R30" s="58"/>
      <c r="S30" s="58"/>
      <c r="T30" s="59"/>
      <c r="U30" s="59"/>
      <c r="V30" s="59"/>
      <c r="W30" s="59"/>
      <c r="X30" s="59"/>
      <c r="Y30" s="59"/>
      <c r="Z30" s="59"/>
      <c r="AA30" s="56">
        <f t="shared" si="6"/>
        <v>0</v>
      </c>
    </row>
    <row r="31" spans="1:27" x14ac:dyDescent="0.2">
      <c r="A31" s="379" t="s">
        <v>90</v>
      </c>
      <c r="B31" s="299" t="s">
        <v>419</v>
      </c>
      <c r="C31" s="299"/>
      <c r="D31" s="299"/>
      <c r="E31" s="299"/>
      <c r="F31" s="299"/>
      <c r="G31" s="380" t="s">
        <v>420</v>
      </c>
      <c r="H31" s="161"/>
      <c r="I31" s="58"/>
      <c r="J31" s="58"/>
      <c r="K31" s="204"/>
      <c r="L31" s="204"/>
      <c r="M31" s="58"/>
      <c r="N31" s="58"/>
      <c r="O31" s="58"/>
      <c r="P31" s="58"/>
      <c r="Q31" s="58"/>
      <c r="R31" s="58"/>
      <c r="S31" s="58"/>
      <c r="T31" s="59"/>
      <c r="U31" s="59"/>
      <c r="V31" s="59"/>
      <c r="W31" s="59"/>
      <c r="X31" s="59"/>
      <c r="Y31" s="59"/>
      <c r="Z31" s="59"/>
      <c r="AA31" s="56">
        <f t="shared" si="6"/>
        <v>0</v>
      </c>
    </row>
    <row r="32" spans="1:27" s="92" customFormat="1" x14ac:dyDescent="0.2">
      <c r="A32" s="379" t="s">
        <v>257</v>
      </c>
      <c r="B32" s="299" t="s">
        <v>409</v>
      </c>
      <c r="C32" s="299"/>
      <c r="D32" s="299"/>
      <c r="E32" s="299"/>
      <c r="F32" s="299"/>
      <c r="G32" s="380" t="s">
        <v>421</v>
      </c>
      <c r="H32" s="161"/>
      <c r="I32" s="58"/>
      <c r="J32" s="58"/>
      <c r="K32" s="204"/>
      <c r="L32" s="204"/>
      <c r="M32" s="58"/>
      <c r="N32" s="58"/>
      <c r="O32" s="58"/>
      <c r="P32" s="58"/>
      <c r="Q32" s="58"/>
      <c r="R32" s="58"/>
      <c r="S32" s="58"/>
      <c r="T32" s="59"/>
      <c r="U32" s="59"/>
      <c r="V32" s="59"/>
      <c r="W32" s="59"/>
      <c r="X32" s="59"/>
      <c r="Y32" s="59"/>
      <c r="Z32" s="59"/>
      <c r="AA32" s="56">
        <f t="shared" si="6"/>
        <v>0</v>
      </c>
    </row>
    <row r="33" spans="1:27" x14ac:dyDescent="0.2">
      <c r="A33" s="395" t="s">
        <v>140</v>
      </c>
      <c r="B33" s="299"/>
      <c r="C33" s="299"/>
      <c r="D33" s="299"/>
      <c r="E33" s="299"/>
      <c r="F33" s="299"/>
      <c r="G33" s="380" t="s">
        <v>422</v>
      </c>
      <c r="H33" s="161"/>
      <c r="I33" s="56">
        <f>I25+I10</f>
        <v>0</v>
      </c>
      <c r="J33" s="56">
        <f>J25+J10</f>
        <v>0</v>
      </c>
      <c r="K33" s="140"/>
      <c r="L33" s="140"/>
      <c r="M33" s="56">
        <f t="shared" ref="M33:Z33" si="8">M25+M10</f>
        <v>0</v>
      </c>
      <c r="N33" s="56">
        <f t="shared" si="8"/>
        <v>0</v>
      </c>
      <c r="O33" s="56">
        <f t="shared" si="8"/>
        <v>0</v>
      </c>
      <c r="P33" s="56">
        <f t="shared" si="8"/>
        <v>0</v>
      </c>
      <c r="Q33" s="56">
        <f t="shared" si="8"/>
        <v>0</v>
      </c>
      <c r="R33" s="56">
        <f t="shared" si="8"/>
        <v>0</v>
      </c>
      <c r="S33" s="56">
        <f t="shared" si="8"/>
        <v>0</v>
      </c>
      <c r="T33" s="56">
        <f t="shared" si="8"/>
        <v>0</v>
      </c>
      <c r="U33" s="56">
        <f t="shared" si="8"/>
        <v>0</v>
      </c>
      <c r="V33" s="56">
        <f t="shared" si="8"/>
        <v>0</v>
      </c>
      <c r="W33" s="56">
        <f t="shared" si="8"/>
        <v>0</v>
      </c>
      <c r="X33" s="56">
        <f t="shared" si="8"/>
        <v>0</v>
      </c>
      <c r="Y33" s="56">
        <f t="shared" si="8"/>
        <v>0</v>
      </c>
      <c r="Z33" s="56">
        <f t="shared" si="8"/>
        <v>0</v>
      </c>
      <c r="AA33" s="56">
        <f t="shared" si="6"/>
        <v>0</v>
      </c>
    </row>
    <row r="34" spans="1:27" x14ac:dyDescent="0.2">
      <c r="G34" s="233" t="s">
        <v>108</v>
      </c>
    </row>
  </sheetData>
  <sheetProtection password="FBFA" sheet="1" objects="1" scenarios="1" selectLockedCells="1"/>
  <mergeCells count="19">
    <mergeCell ref="M8:N8"/>
    <mergeCell ref="U7:V8"/>
    <mergeCell ref="W7:X8"/>
    <mergeCell ref="I8:J8"/>
    <mergeCell ref="AA5:AA9"/>
    <mergeCell ref="I6:R6"/>
    <mergeCell ref="S6:X6"/>
    <mergeCell ref="Y6:Z8"/>
    <mergeCell ref="I7:N7"/>
    <mergeCell ref="G5:G9"/>
    <mergeCell ref="O7:P8"/>
    <mergeCell ref="Q7:R8"/>
    <mergeCell ref="S7:T8"/>
    <mergeCell ref="A1:Z1"/>
    <mergeCell ref="A2:Z2"/>
    <mergeCell ref="A3:Z3"/>
    <mergeCell ref="A5:F9"/>
    <mergeCell ref="I5:Z5"/>
    <mergeCell ref="K8:L8"/>
  </mergeCells>
  <phoneticPr fontId="2" type="noConversion"/>
  <dataValidations count="1">
    <dataValidation type="decimal" allowBlank="1" showInputMessage="1" showErrorMessage="1" error="Invalid data is entered!" sqref="I12:Z13 I29:Z32 I26:Z27 I20:Z23 I15:Z1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12a3&amp;"Arial,Regular"&amp;10&amp;U
&amp;"Arial,Bold"&amp;8&amp;P of &amp;N&amp;C&amp;"Arial,Bold"&amp;8 NEW RURAL BANK OF SAN LEONARDO, INC  [ 04-040656 ]
 As of: September 30, 2017</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A34"/>
  <sheetViews>
    <sheetView zoomScale="85" workbookViewId="0">
      <pane xSplit="8" ySplit="9" topLeftCell="I10" activePane="bottomRight" state="frozen"/>
      <selection pane="topRight" activeCell="I1" sqref="I1"/>
      <selection pane="bottomLeft" activeCell="A10" sqref="A10"/>
      <selection pane="bottomRight" activeCell="I12" sqref="I12"/>
    </sheetView>
  </sheetViews>
  <sheetFormatPr defaultRowHeight="12.75" x14ac:dyDescent="0.2"/>
  <cols>
    <col min="1" max="5" width="2.7109375" customWidth="1"/>
    <col min="6" max="7" width="18.7109375" customWidth="1"/>
    <col min="8" max="8" width="0" hidden="1" customWidth="1"/>
    <col min="9" max="27" width="25.7109375" customWidth="1"/>
  </cols>
  <sheetData>
    <row r="1" spans="1:27" s="245" customFormat="1" x14ac:dyDescent="0.2">
      <c r="A1" s="855" t="s">
        <v>435</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246"/>
    </row>
    <row r="2" spans="1:27" s="245" customFormat="1" x14ac:dyDescent="0.2">
      <c r="A2" s="855" t="s">
        <v>436</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246"/>
    </row>
    <row r="3" spans="1:27" s="245" customFormat="1" x14ac:dyDescent="0.2">
      <c r="A3" s="855" t="s">
        <v>139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246"/>
    </row>
    <row r="4" spans="1:27" x14ac:dyDescent="0.2">
      <c r="A4" s="92"/>
      <c r="B4" s="92"/>
      <c r="C4" s="92"/>
      <c r="D4" s="92"/>
      <c r="E4" s="92"/>
      <c r="F4" s="92"/>
      <c r="G4" s="154"/>
      <c r="H4" s="167"/>
      <c r="I4" s="133"/>
      <c r="J4" s="133"/>
      <c r="K4" s="133"/>
      <c r="L4" s="133"/>
      <c r="M4" s="133"/>
      <c r="N4" s="133"/>
      <c r="O4" s="133"/>
      <c r="P4" s="133"/>
      <c r="Q4" s="133"/>
      <c r="R4" s="133"/>
      <c r="S4" s="133"/>
      <c r="T4" s="133"/>
      <c r="U4" s="133"/>
      <c r="V4" s="133"/>
      <c r="W4" s="133"/>
      <c r="X4" s="133"/>
      <c r="Y4" s="133"/>
      <c r="Z4" s="133"/>
      <c r="AA4" s="133"/>
    </row>
    <row r="5" spans="1:27" x14ac:dyDescent="0.2">
      <c r="A5" s="649" t="s">
        <v>446</v>
      </c>
      <c r="B5" s="649"/>
      <c r="C5" s="649"/>
      <c r="D5" s="649"/>
      <c r="E5" s="649"/>
      <c r="F5" s="649"/>
      <c r="G5" s="871" t="s">
        <v>46</v>
      </c>
      <c r="H5" s="150"/>
      <c r="I5" s="876" t="s">
        <v>437</v>
      </c>
      <c r="J5" s="876"/>
      <c r="K5" s="876"/>
      <c r="L5" s="876"/>
      <c r="M5" s="876"/>
      <c r="N5" s="876"/>
      <c r="O5" s="876"/>
      <c r="P5" s="876"/>
      <c r="Q5" s="876"/>
      <c r="R5" s="876"/>
      <c r="S5" s="876"/>
      <c r="T5" s="876"/>
      <c r="U5" s="876"/>
      <c r="V5" s="876"/>
      <c r="W5" s="876"/>
      <c r="X5" s="876"/>
      <c r="Y5" s="876"/>
      <c r="Z5" s="876"/>
      <c r="AA5" s="705" t="s">
        <v>144</v>
      </c>
    </row>
    <row r="6" spans="1:27" x14ac:dyDescent="0.2">
      <c r="A6" s="649"/>
      <c r="B6" s="649"/>
      <c r="C6" s="649"/>
      <c r="D6" s="649"/>
      <c r="E6" s="649"/>
      <c r="F6" s="649"/>
      <c r="G6" s="871"/>
      <c r="H6" s="150"/>
      <c r="I6" s="687" t="s">
        <v>438</v>
      </c>
      <c r="J6" s="687"/>
      <c r="K6" s="687"/>
      <c r="L6" s="687"/>
      <c r="M6" s="687"/>
      <c r="N6" s="687"/>
      <c r="O6" s="687"/>
      <c r="P6" s="687"/>
      <c r="Q6" s="687"/>
      <c r="R6" s="687"/>
      <c r="S6" s="687" t="s">
        <v>439</v>
      </c>
      <c r="T6" s="687"/>
      <c r="U6" s="687"/>
      <c r="V6" s="687"/>
      <c r="W6" s="687"/>
      <c r="X6" s="687"/>
      <c r="Y6" s="670" t="s">
        <v>440</v>
      </c>
      <c r="Z6" s="670"/>
      <c r="AA6" s="705"/>
    </row>
    <row r="7" spans="1:27" x14ac:dyDescent="0.2">
      <c r="A7" s="649"/>
      <c r="B7" s="649"/>
      <c r="C7" s="649"/>
      <c r="D7" s="649"/>
      <c r="E7" s="649"/>
      <c r="F7" s="649"/>
      <c r="G7" s="871"/>
      <c r="H7" s="150"/>
      <c r="I7" s="687" t="s">
        <v>441</v>
      </c>
      <c r="J7" s="687"/>
      <c r="K7" s="687"/>
      <c r="L7" s="687"/>
      <c r="M7" s="687"/>
      <c r="N7" s="687"/>
      <c r="O7" s="705" t="s">
        <v>398</v>
      </c>
      <c r="P7" s="705"/>
      <c r="Q7" s="705" t="s">
        <v>52</v>
      </c>
      <c r="R7" s="705"/>
      <c r="S7" s="670" t="s">
        <v>449</v>
      </c>
      <c r="T7" s="670"/>
      <c r="U7" s="670" t="s">
        <v>88</v>
      </c>
      <c r="V7" s="670"/>
      <c r="W7" s="670" t="s">
        <v>52</v>
      </c>
      <c r="X7" s="670"/>
      <c r="Y7" s="670"/>
      <c r="Z7" s="670"/>
      <c r="AA7" s="705"/>
    </row>
    <row r="8" spans="1:27" x14ac:dyDescent="0.2">
      <c r="A8" s="649"/>
      <c r="B8" s="649"/>
      <c r="C8" s="649"/>
      <c r="D8" s="649"/>
      <c r="E8" s="649"/>
      <c r="F8" s="649"/>
      <c r="G8" s="871"/>
      <c r="H8" s="150"/>
      <c r="I8" s="670" t="s">
        <v>443</v>
      </c>
      <c r="J8" s="670"/>
      <c r="K8" s="670" t="s">
        <v>444</v>
      </c>
      <c r="L8" s="670"/>
      <c r="M8" s="670" t="s">
        <v>445</v>
      </c>
      <c r="N8" s="670"/>
      <c r="O8" s="705"/>
      <c r="P8" s="705"/>
      <c r="Q8" s="705"/>
      <c r="R8" s="705"/>
      <c r="S8" s="670"/>
      <c r="T8" s="670"/>
      <c r="U8" s="670"/>
      <c r="V8" s="670"/>
      <c r="W8" s="670"/>
      <c r="X8" s="670"/>
      <c r="Y8" s="670"/>
      <c r="Z8" s="670"/>
      <c r="AA8" s="705"/>
    </row>
    <row r="9" spans="1:27" x14ac:dyDescent="0.2">
      <c r="A9" s="649"/>
      <c r="B9" s="649"/>
      <c r="C9" s="649"/>
      <c r="D9" s="649"/>
      <c r="E9" s="649"/>
      <c r="F9" s="649"/>
      <c r="G9" s="871"/>
      <c r="H9" s="150"/>
      <c r="I9" s="55" t="s">
        <v>50</v>
      </c>
      <c r="J9" s="51" t="s">
        <v>51</v>
      </c>
      <c r="K9" s="55" t="s">
        <v>50</v>
      </c>
      <c r="L9" s="51" t="s">
        <v>51</v>
      </c>
      <c r="M9" s="55" t="s">
        <v>50</v>
      </c>
      <c r="N9" s="51" t="s">
        <v>51</v>
      </c>
      <c r="O9" s="55" t="s">
        <v>50</v>
      </c>
      <c r="P9" s="51" t="s">
        <v>51</v>
      </c>
      <c r="Q9" s="55" t="s">
        <v>50</v>
      </c>
      <c r="R9" s="51" t="s">
        <v>51</v>
      </c>
      <c r="S9" s="55" t="s">
        <v>50</v>
      </c>
      <c r="T9" s="51" t="s">
        <v>51</v>
      </c>
      <c r="U9" s="55" t="s">
        <v>50</v>
      </c>
      <c r="V9" s="51" t="s">
        <v>51</v>
      </c>
      <c r="W9" s="55" t="s">
        <v>50</v>
      </c>
      <c r="X9" s="51" t="s">
        <v>51</v>
      </c>
      <c r="Y9" s="55" t="s">
        <v>50</v>
      </c>
      <c r="Z9" s="51" t="s">
        <v>51</v>
      </c>
      <c r="AA9" s="705"/>
    </row>
    <row r="10" spans="1:27" x14ac:dyDescent="0.2">
      <c r="A10" s="393" t="s">
        <v>386</v>
      </c>
      <c r="B10" s="299"/>
      <c r="C10" s="299"/>
      <c r="D10" s="299"/>
      <c r="E10" s="299"/>
      <c r="F10" s="299"/>
      <c r="G10" s="282" t="s">
        <v>387</v>
      </c>
      <c r="H10" s="162"/>
      <c r="I10" s="56">
        <f t="shared" ref="I10:Z10" si="0">I11+I18+I19+I22+I23</f>
        <v>0</v>
      </c>
      <c r="J10" s="56">
        <f t="shared" si="0"/>
        <v>0</v>
      </c>
      <c r="K10" s="56">
        <f t="shared" si="0"/>
        <v>0</v>
      </c>
      <c r="L10" s="56">
        <f t="shared" si="0"/>
        <v>0</v>
      </c>
      <c r="M10" s="56">
        <f t="shared" si="0"/>
        <v>0</v>
      </c>
      <c r="N10" s="56">
        <f t="shared" si="0"/>
        <v>0</v>
      </c>
      <c r="O10" s="56">
        <f t="shared" si="0"/>
        <v>0</v>
      </c>
      <c r="P10" s="56">
        <f t="shared" si="0"/>
        <v>0</v>
      </c>
      <c r="Q10" s="56">
        <f t="shared" si="0"/>
        <v>0</v>
      </c>
      <c r="R10" s="56">
        <f t="shared" si="0"/>
        <v>0</v>
      </c>
      <c r="S10" s="56">
        <f t="shared" si="0"/>
        <v>0</v>
      </c>
      <c r="T10" s="56">
        <f t="shared" si="0"/>
        <v>0</v>
      </c>
      <c r="U10" s="56">
        <f t="shared" si="0"/>
        <v>0</v>
      </c>
      <c r="V10" s="56">
        <f t="shared" si="0"/>
        <v>0</v>
      </c>
      <c r="W10" s="56">
        <f t="shared" si="0"/>
        <v>0</v>
      </c>
      <c r="X10" s="56">
        <f t="shared" si="0"/>
        <v>0</v>
      </c>
      <c r="Y10" s="56">
        <f t="shared" si="0"/>
        <v>0</v>
      </c>
      <c r="Z10" s="56">
        <f t="shared" si="0"/>
        <v>0</v>
      </c>
      <c r="AA10" s="56">
        <f t="shared" ref="AA10:AA23" si="1">J10+L10+N10+P10+R10+T10+V10+X10+Z10</f>
        <v>0</v>
      </c>
    </row>
    <row r="11" spans="1:27" x14ac:dyDescent="0.2">
      <c r="A11" s="377" t="s">
        <v>58</v>
      </c>
      <c r="B11" s="299" t="s">
        <v>388</v>
      </c>
      <c r="C11" s="299"/>
      <c r="D11" s="299"/>
      <c r="E11" s="299"/>
      <c r="F11" s="299"/>
      <c r="G11" s="282" t="s">
        <v>389</v>
      </c>
      <c r="H11" s="162"/>
      <c r="I11" s="56">
        <f t="shared" ref="I11:Z11" si="2">I12+I13+I14</f>
        <v>0</v>
      </c>
      <c r="J11" s="56">
        <f t="shared" si="2"/>
        <v>0</v>
      </c>
      <c r="K11" s="56">
        <f t="shared" si="2"/>
        <v>0</v>
      </c>
      <c r="L11" s="56">
        <f t="shared" si="2"/>
        <v>0</v>
      </c>
      <c r="M11" s="56">
        <f t="shared" si="2"/>
        <v>0</v>
      </c>
      <c r="N11" s="56">
        <f t="shared" si="2"/>
        <v>0</v>
      </c>
      <c r="O11" s="56">
        <f t="shared" si="2"/>
        <v>0</v>
      </c>
      <c r="P11" s="56">
        <f t="shared" si="2"/>
        <v>0</v>
      </c>
      <c r="Q11" s="56">
        <f t="shared" si="2"/>
        <v>0</v>
      </c>
      <c r="R11" s="56">
        <f t="shared" si="2"/>
        <v>0</v>
      </c>
      <c r="S11" s="56">
        <f t="shared" si="2"/>
        <v>0</v>
      </c>
      <c r="T11" s="56">
        <f t="shared" si="2"/>
        <v>0</v>
      </c>
      <c r="U11" s="56">
        <f t="shared" si="2"/>
        <v>0</v>
      </c>
      <c r="V11" s="56">
        <f t="shared" si="2"/>
        <v>0</v>
      </c>
      <c r="W11" s="56">
        <f t="shared" si="2"/>
        <v>0</v>
      </c>
      <c r="X11" s="56">
        <f t="shared" si="2"/>
        <v>0</v>
      </c>
      <c r="Y11" s="56">
        <f t="shared" si="2"/>
        <v>0</v>
      </c>
      <c r="Z11" s="56">
        <f t="shared" si="2"/>
        <v>0</v>
      </c>
      <c r="AA11" s="56">
        <f t="shared" si="1"/>
        <v>0</v>
      </c>
    </row>
    <row r="12" spans="1:27" x14ac:dyDescent="0.2">
      <c r="A12" s="377"/>
      <c r="B12" s="299" t="s">
        <v>59</v>
      </c>
      <c r="C12" s="299" t="s">
        <v>60</v>
      </c>
      <c r="D12" s="299"/>
      <c r="E12" s="299"/>
      <c r="F12" s="299"/>
      <c r="G12" s="282" t="s">
        <v>390</v>
      </c>
      <c r="H12" s="162"/>
      <c r="I12" s="58"/>
      <c r="J12" s="58"/>
      <c r="K12" s="59"/>
      <c r="L12" s="59"/>
      <c r="M12" s="58"/>
      <c r="N12" s="58"/>
      <c r="O12" s="58"/>
      <c r="P12" s="58"/>
      <c r="Q12" s="58"/>
      <c r="R12" s="58"/>
      <c r="S12" s="58"/>
      <c r="T12" s="58"/>
      <c r="U12" s="58"/>
      <c r="V12" s="58"/>
      <c r="W12" s="58"/>
      <c r="X12" s="58"/>
      <c r="Y12" s="58"/>
      <c r="Z12" s="58"/>
      <c r="AA12" s="56">
        <f t="shared" si="1"/>
        <v>0</v>
      </c>
    </row>
    <row r="13" spans="1:27" x14ac:dyDescent="0.2">
      <c r="A13" s="377"/>
      <c r="B13" s="299" t="s">
        <v>61</v>
      </c>
      <c r="C13" s="299" t="s">
        <v>391</v>
      </c>
      <c r="D13" s="299"/>
      <c r="E13" s="299"/>
      <c r="F13" s="299"/>
      <c r="G13" s="282" t="s">
        <v>392</v>
      </c>
      <c r="H13" s="162"/>
      <c r="I13" s="58"/>
      <c r="J13" s="58"/>
      <c r="K13" s="59"/>
      <c r="L13" s="59"/>
      <c r="M13" s="58"/>
      <c r="N13" s="58"/>
      <c r="O13" s="58"/>
      <c r="P13" s="58"/>
      <c r="Q13" s="58"/>
      <c r="R13" s="58"/>
      <c r="S13" s="58"/>
      <c r="T13" s="58"/>
      <c r="U13" s="58"/>
      <c r="V13" s="58"/>
      <c r="W13" s="58"/>
      <c r="X13" s="58"/>
      <c r="Y13" s="58"/>
      <c r="Z13" s="58"/>
      <c r="AA13" s="56">
        <f t="shared" si="1"/>
        <v>0</v>
      </c>
    </row>
    <row r="14" spans="1:27" x14ac:dyDescent="0.2">
      <c r="A14" s="377"/>
      <c r="B14" s="299" t="s">
        <v>71</v>
      </c>
      <c r="C14" s="299" t="s">
        <v>393</v>
      </c>
      <c r="D14" s="299"/>
      <c r="E14" s="299"/>
      <c r="F14" s="299"/>
      <c r="G14" s="282" t="s">
        <v>394</v>
      </c>
      <c r="H14" s="162"/>
      <c r="I14" s="56">
        <f t="shared" ref="I14:Z14" si="3">I15+I16+I17</f>
        <v>0</v>
      </c>
      <c r="J14" s="56">
        <f t="shared" si="3"/>
        <v>0</v>
      </c>
      <c r="K14" s="56">
        <f t="shared" si="3"/>
        <v>0</v>
      </c>
      <c r="L14" s="56">
        <f t="shared" si="3"/>
        <v>0</v>
      </c>
      <c r="M14" s="56">
        <f t="shared" si="3"/>
        <v>0</v>
      </c>
      <c r="N14" s="56">
        <f t="shared" si="3"/>
        <v>0</v>
      </c>
      <c r="O14" s="56">
        <f t="shared" si="3"/>
        <v>0</v>
      </c>
      <c r="P14" s="56">
        <f t="shared" si="3"/>
        <v>0</v>
      </c>
      <c r="Q14" s="56">
        <f t="shared" si="3"/>
        <v>0</v>
      </c>
      <c r="R14" s="56">
        <f t="shared" si="3"/>
        <v>0</v>
      </c>
      <c r="S14" s="56">
        <f t="shared" si="3"/>
        <v>0</v>
      </c>
      <c r="T14" s="56">
        <f t="shared" si="3"/>
        <v>0</v>
      </c>
      <c r="U14" s="56">
        <f t="shared" si="3"/>
        <v>0</v>
      </c>
      <c r="V14" s="56">
        <f t="shared" si="3"/>
        <v>0</v>
      </c>
      <c r="W14" s="56">
        <f t="shared" si="3"/>
        <v>0</v>
      </c>
      <c r="X14" s="56">
        <f t="shared" si="3"/>
        <v>0</v>
      </c>
      <c r="Y14" s="56">
        <f t="shared" si="3"/>
        <v>0</v>
      </c>
      <c r="Z14" s="56">
        <f t="shared" si="3"/>
        <v>0</v>
      </c>
      <c r="AA14" s="56">
        <f t="shared" si="1"/>
        <v>0</v>
      </c>
    </row>
    <row r="15" spans="1:27" x14ac:dyDescent="0.2">
      <c r="A15" s="377"/>
      <c r="B15" s="299"/>
      <c r="C15" s="378" t="s">
        <v>54</v>
      </c>
      <c r="D15" s="299" t="s">
        <v>63</v>
      </c>
      <c r="E15" s="378"/>
      <c r="F15" s="299"/>
      <c r="G15" s="282" t="s">
        <v>395</v>
      </c>
      <c r="H15" s="162"/>
      <c r="I15" s="58"/>
      <c r="J15" s="58"/>
      <c r="K15" s="59"/>
      <c r="L15" s="59"/>
      <c r="M15" s="58"/>
      <c r="N15" s="58"/>
      <c r="O15" s="58"/>
      <c r="P15" s="58"/>
      <c r="Q15" s="58"/>
      <c r="R15" s="58"/>
      <c r="S15" s="58"/>
      <c r="T15" s="58"/>
      <c r="U15" s="58"/>
      <c r="V15" s="58"/>
      <c r="W15" s="58"/>
      <c r="X15" s="58"/>
      <c r="Y15" s="58"/>
      <c r="Z15" s="58"/>
      <c r="AA15" s="56">
        <f t="shared" si="1"/>
        <v>0</v>
      </c>
    </row>
    <row r="16" spans="1:27" x14ac:dyDescent="0.2">
      <c r="A16" s="377"/>
      <c r="B16" s="299"/>
      <c r="C16" s="378" t="s">
        <v>55</v>
      </c>
      <c r="D16" s="299" t="s">
        <v>64</v>
      </c>
      <c r="E16" s="378"/>
      <c r="F16" s="299"/>
      <c r="G16" s="282" t="s">
        <v>396</v>
      </c>
      <c r="H16" s="162"/>
      <c r="I16" s="58"/>
      <c r="J16" s="58"/>
      <c r="K16" s="59"/>
      <c r="L16" s="59"/>
      <c r="M16" s="58"/>
      <c r="N16" s="58"/>
      <c r="O16" s="58"/>
      <c r="P16" s="58"/>
      <c r="Q16" s="58"/>
      <c r="R16" s="58"/>
      <c r="S16" s="58"/>
      <c r="T16" s="58"/>
      <c r="U16" s="58"/>
      <c r="V16" s="58"/>
      <c r="W16" s="58"/>
      <c r="X16" s="58"/>
      <c r="Y16" s="58"/>
      <c r="Z16" s="58"/>
      <c r="AA16" s="56">
        <f t="shared" si="1"/>
        <v>0</v>
      </c>
    </row>
    <row r="17" spans="1:27" x14ac:dyDescent="0.2">
      <c r="A17" s="377"/>
      <c r="B17" s="299"/>
      <c r="C17" s="378" t="s">
        <v>65</v>
      </c>
      <c r="D17" s="299" t="s">
        <v>66</v>
      </c>
      <c r="E17" s="378"/>
      <c r="F17" s="299"/>
      <c r="G17" s="282" t="s">
        <v>397</v>
      </c>
      <c r="H17" s="162"/>
      <c r="I17" s="58"/>
      <c r="J17" s="58"/>
      <c r="K17" s="59"/>
      <c r="L17" s="59"/>
      <c r="M17" s="58"/>
      <c r="N17" s="58"/>
      <c r="O17" s="58"/>
      <c r="P17" s="58"/>
      <c r="Q17" s="58"/>
      <c r="R17" s="58"/>
      <c r="S17" s="58"/>
      <c r="T17" s="58"/>
      <c r="U17" s="58"/>
      <c r="V17" s="58"/>
      <c r="W17" s="58"/>
      <c r="X17" s="58"/>
      <c r="Y17" s="58"/>
      <c r="Z17" s="58"/>
      <c r="AA17" s="56">
        <f t="shared" si="1"/>
        <v>0</v>
      </c>
    </row>
    <row r="18" spans="1:27" x14ac:dyDescent="0.2">
      <c r="A18" s="379" t="s">
        <v>55</v>
      </c>
      <c r="B18" s="299" t="s">
        <v>398</v>
      </c>
      <c r="C18" s="378"/>
      <c r="D18" s="378"/>
      <c r="E18" s="378"/>
      <c r="F18" s="299"/>
      <c r="G18" s="282" t="s">
        <v>399</v>
      </c>
      <c r="H18" s="162"/>
      <c r="I18" s="58"/>
      <c r="J18" s="58"/>
      <c r="K18" s="59"/>
      <c r="L18" s="59"/>
      <c r="M18" s="58"/>
      <c r="N18" s="58"/>
      <c r="O18" s="58"/>
      <c r="P18" s="58"/>
      <c r="Q18" s="58"/>
      <c r="R18" s="58"/>
      <c r="S18" s="58"/>
      <c r="T18" s="58"/>
      <c r="U18" s="58"/>
      <c r="V18" s="58"/>
      <c r="W18" s="58"/>
      <c r="X18" s="58"/>
      <c r="Y18" s="58"/>
      <c r="Z18" s="58"/>
      <c r="AA18" s="56">
        <f t="shared" si="1"/>
        <v>0</v>
      </c>
    </row>
    <row r="19" spans="1:27" x14ac:dyDescent="0.2">
      <c r="A19" s="379" t="s">
        <v>65</v>
      </c>
      <c r="B19" s="299" t="s">
        <v>400</v>
      </c>
      <c r="C19" s="299"/>
      <c r="D19" s="299"/>
      <c r="E19" s="299"/>
      <c r="F19" s="299"/>
      <c r="G19" s="282" t="s">
        <v>401</v>
      </c>
      <c r="H19" s="162"/>
      <c r="I19" s="56">
        <f t="shared" ref="I19:Z19" si="4">I20+I21</f>
        <v>0</v>
      </c>
      <c r="J19" s="56">
        <f t="shared" si="4"/>
        <v>0</v>
      </c>
      <c r="K19" s="56">
        <f t="shared" si="4"/>
        <v>0</v>
      </c>
      <c r="L19" s="56">
        <f t="shared" si="4"/>
        <v>0</v>
      </c>
      <c r="M19" s="56">
        <f t="shared" si="4"/>
        <v>0</v>
      </c>
      <c r="N19" s="56">
        <f t="shared" si="4"/>
        <v>0</v>
      </c>
      <c r="O19" s="56">
        <f t="shared" si="4"/>
        <v>0</v>
      </c>
      <c r="P19" s="56">
        <f t="shared" si="4"/>
        <v>0</v>
      </c>
      <c r="Q19" s="56">
        <f t="shared" si="4"/>
        <v>0</v>
      </c>
      <c r="R19" s="56">
        <f t="shared" si="4"/>
        <v>0</v>
      </c>
      <c r="S19" s="56">
        <f t="shared" si="4"/>
        <v>0</v>
      </c>
      <c r="T19" s="56">
        <f t="shared" si="4"/>
        <v>0</v>
      </c>
      <c r="U19" s="56">
        <f t="shared" si="4"/>
        <v>0</v>
      </c>
      <c r="V19" s="56">
        <f t="shared" si="4"/>
        <v>0</v>
      </c>
      <c r="W19" s="56">
        <f t="shared" si="4"/>
        <v>0</v>
      </c>
      <c r="X19" s="56">
        <f t="shared" si="4"/>
        <v>0</v>
      </c>
      <c r="Y19" s="56">
        <f t="shared" si="4"/>
        <v>0</v>
      </c>
      <c r="Z19" s="56">
        <f t="shared" si="4"/>
        <v>0</v>
      </c>
      <c r="AA19" s="56">
        <f t="shared" si="1"/>
        <v>0</v>
      </c>
    </row>
    <row r="20" spans="1:27" x14ac:dyDescent="0.2">
      <c r="A20" s="377"/>
      <c r="B20" s="299" t="s">
        <v>59</v>
      </c>
      <c r="C20" s="225" t="s">
        <v>149</v>
      </c>
      <c r="D20" s="225"/>
      <c r="E20" s="225"/>
      <c r="F20" s="299"/>
      <c r="G20" s="282" t="s">
        <v>402</v>
      </c>
      <c r="H20" s="162"/>
      <c r="I20" s="58"/>
      <c r="J20" s="58"/>
      <c r="K20" s="59"/>
      <c r="L20" s="59"/>
      <c r="M20" s="58"/>
      <c r="N20" s="58"/>
      <c r="O20" s="58"/>
      <c r="P20" s="58"/>
      <c r="Q20" s="58"/>
      <c r="R20" s="58"/>
      <c r="S20" s="58"/>
      <c r="T20" s="58"/>
      <c r="U20" s="58"/>
      <c r="V20" s="58"/>
      <c r="W20" s="58"/>
      <c r="X20" s="58"/>
      <c r="Y20" s="58"/>
      <c r="Z20" s="58"/>
      <c r="AA20" s="56">
        <f t="shared" si="1"/>
        <v>0</v>
      </c>
    </row>
    <row r="21" spans="1:27" x14ac:dyDescent="0.2">
      <c r="A21" s="377"/>
      <c r="B21" s="299" t="s">
        <v>61</v>
      </c>
      <c r="C21" s="299" t="s">
        <v>403</v>
      </c>
      <c r="D21" s="299"/>
      <c r="E21" s="299"/>
      <c r="F21" s="299"/>
      <c r="G21" s="282" t="s">
        <v>404</v>
      </c>
      <c r="H21" s="162"/>
      <c r="I21" s="58"/>
      <c r="J21" s="58"/>
      <c r="K21" s="59"/>
      <c r="L21" s="59"/>
      <c r="M21" s="58"/>
      <c r="N21" s="58"/>
      <c r="O21" s="58"/>
      <c r="P21" s="58"/>
      <c r="Q21" s="58"/>
      <c r="R21" s="58"/>
      <c r="S21" s="58"/>
      <c r="T21" s="58"/>
      <c r="U21" s="58"/>
      <c r="V21" s="58"/>
      <c r="W21" s="58"/>
      <c r="X21" s="58"/>
      <c r="Y21" s="58"/>
      <c r="Z21" s="58"/>
      <c r="AA21" s="56">
        <f t="shared" si="1"/>
        <v>0</v>
      </c>
    </row>
    <row r="22" spans="1:27" x14ac:dyDescent="0.2">
      <c r="A22" s="379" t="s">
        <v>90</v>
      </c>
      <c r="B22" s="299" t="s">
        <v>405</v>
      </c>
      <c r="C22" s="299"/>
      <c r="D22" s="299"/>
      <c r="E22" s="299"/>
      <c r="F22" s="299"/>
      <c r="G22" s="282" t="s">
        <v>406</v>
      </c>
      <c r="H22" s="162"/>
      <c r="I22" s="58"/>
      <c r="J22" s="58"/>
      <c r="K22" s="59"/>
      <c r="L22" s="59"/>
      <c r="M22" s="58"/>
      <c r="N22" s="58"/>
      <c r="O22" s="58"/>
      <c r="P22" s="58"/>
      <c r="Q22" s="58"/>
      <c r="R22" s="58"/>
      <c r="S22" s="58"/>
      <c r="T22" s="58"/>
      <c r="U22" s="58"/>
      <c r="V22" s="58"/>
      <c r="W22" s="58"/>
      <c r="X22" s="58"/>
      <c r="Y22" s="58"/>
      <c r="Z22" s="58"/>
      <c r="AA22" s="56">
        <f t="shared" si="1"/>
        <v>0</v>
      </c>
    </row>
    <row r="23" spans="1:27" x14ac:dyDescent="0.2">
      <c r="A23" s="379" t="s">
        <v>257</v>
      </c>
      <c r="B23" s="299" t="s">
        <v>409</v>
      </c>
      <c r="C23" s="299"/>
      <c r="D23" s="299"/>
      <c r="E23" s="299"/>
      <c r="F23" s="299"/>
      <c r="G23" s="282" t="s">
        <v>410</v>
      </c>
      <c r="H23" s="162"/>
      <c r="I23" s="58"/>
      <c r="J23" s="58"/>
      <c r="K23" s="59"/>
      <c r="L23" s="59"/>
      <c r="M23" s="58"/>
      <c r="N23" s="58"/>
      <c r="O23" s="58"/>
      <c r="P23" s="58"/>
      <c r="Q23" s="58"/>
      <c r="R23" s="58"/>
      <c r="S23" s="58"/>
      <c r="T23" s="58"/>
      <c r="U23" s="58"/>
      <c r="V23" s="58"/>
      <c r="W23" s="58"/>
      <c r="X23" s="58"/>
      <c r="Y23" s="58"/>
      <c r="Z23" s="58"/>
      <c r="AA23" s="56">
        <f t="shared" si="1"/>
        <v>0</v>
      </c>
    </row>
    <row r="24" spans="1:27" x14ac:dyDescent="0.2">
      <c r="A24" s="379"/>
      <c r="B24" s="299"/>
      <c r="C24" s="299"/>
      <c r="D24" s="299"/>
      <c r="E24" s="299"/>
      <c r="F24" s="299"/>
      <c r="G24" s="392"/>
      <c r="H24" s="168"/>
      <c r="I24" s="143"/>
      <c r="J24" s="143"/>
      <c r="K24" s="78"/>
      <c r="L24" s="78"/>
      <c r="M24" s="143"/>
      <c r="N24" s="143"/>
      <c r="O24" s="143"/>
      <c r="P24" s="143"/>
      <c r="Q24" s="143"/>
      <c r="R24" s="143"/>
      <c r="S24" s="143"/>
      <c r="T24" s="143"/>
      <c r="U24" s="143"/>
      <c r="V24" s="143"/>
      <c r="W24" s="143"/>
      <c r="X24" s="143"/>
      <c r="Y24" s="143"/>
      <c r="Z24" s="143"/>
      <c r="AA24" s="165"/>
    </row>
    <row r="25" spans="1:27" x14ac:dyDescent="0.2">
      <c r="A25" s="393" t="s">
        <v>411</v>
      </c>
      <c r="B25" s="299"/>
      <c r="C25" s="299"/>
      <c r="D25" s="299"/>
      <c r="E25" s="299"/>
      <c r="F25" s="299"/>
      <c r="G25" s="380" t="s">
        <v>412</v>
      </c>
      <c r="H25" s="161"/>
      <c r="I25" s="56">
        <f t="shared" ref="I25:Z25" si="5">I26+I27+I28+I31+I32</f>
        <v>0</v>
      </c>
      <c r="J25" s="56">
        <f t="shared" si="5"/>
        <v>0</v>
      </c>
      <c r="K25" s="56">
        <f t="shared" si="5"/>
        <v>0</v>
      </c>
      <c r="L25" s="56">
        <f t="shared" si="5"/>
        <v>0</v>
      </c>
      <c r="M25" s="56">
        <f t="shared" si="5"/>
        <v>0</v>
      </c>
      <c r="N25" s="56">
        <f t="shared" si="5"/>
        <v>0</v>
      </c>
      <c r="O25" s="56">
        <f t="shared" si="5"/>
        <v>0</v>
      </c>
      <c r="P25" s="56">
        <f t="shared" si="5"/>
        <v>0</v>
      </c>
      <c r="Q25" s="56">
        <f t="shared" si="5"/>
        <v>0</v>
      </c>
      <c r="R25" s="56">
        <f t="shared" si="5"/>
        <v>0</v>
      </c>
      <c r="S25" s="56">
        <f t="shared" si="5"/>
        <v>0</v>
      </c>
      <c r="T25" s="56">
        <f t="shared" si="5"/>
        <v>0</v>
      </c>
      <c r="U25" s="56">
        <f t="shared" si="5"/>
        <v>0</v>
      </c>
      <c r="V25" s="56">
        <f t="shared" si="5"/>
        <v>0</v>
      </c>
      <c r="W25" s="56">
        <f t="shared" si="5"/>
        <v>0</v>
      </c>
      <c r="X25" s="56">
        <f t="shared" si="5"/>
        <v>0</v>
      </c>
      <c r="Y25" s="56">
        <f t="shared" si="5"/>
        <v>0</v>
      </c>
      <c r="Z25" s="56">
        <f t="shared" si="5"/>
        <v>0</v>
      </c>
      <c r="AA25" s="56">
        <f t="shared" ref="AA25:AA33" si="6">J25+L25+N25+P25+R25+T25+V25+X25+Z25</f>
        <v>0</v>
      </c>
    </row>
    <row r="26" spans="1:27" x14ac:dyDescent="0.2">
      <c r="A26" s="379" t="s">
        <v>54</v>
      </c>
      <c r="B26" s="299" t="s">
        <v>413</v>
      </c>
      <c r="C26" s="299"/>
      <c r="D26" s="299"/>
      <c r="E26" s="299"/>
      <c r="F26" s="299"/>
      <c r="G26" s="380" t="s">
        <v>414</v>
      </c>
      <c r="H26" s="161"/>
      <c r="I26" s="58"/>
      <c r="J26" s="58"/>
      <c r="K26" s="59"/>
      <c r="L26" s="59"/>
      <c r="M26" s="58"/>
      <c r="N26" s="58"/>
      <c r="O26" s="58"/>
      <c r="P26" s="58"/>
      <c r="Q26" s="58"/>
      <c r="R26" s="58"/>
      <c r="S26" s="58"/>
      <c r="T26" s="59"/>
      <c r="U26" s="59"/>
      <c r="V26" s="59"/>
      <c r="W26" s="59"/>
      <c r="X26" s="59"/>
      <c r="Y26" s="59"/>
      <c r="Z26" s="59"/>
      <c r="AA26" s="56">
        <f t="shared" si="6"/>
        <v>0</v>
      </c>
    </row>
    <row r="27" spans="1:27" x14ac:dyDescent="0.2">
      <c r="A27" s="379" t="s">
        <v>55</v>
      </c>
      <c r="B27" s="299" t="s">
        <v>88</v>
      </c>
      <c r="C27" s="299"/>
      <c r="D27" s="299"/>
      <c r="E27" s="299"/>
      <c r="F27" s="299"/>
      <c r="G27" s="380" t="s">
        <v>415</v>
      </c>
      <c r="H27" s="161"/>
      <c r="I27" s="58"/>
      <c r="J27" s="58"/>
      <c r="K27" s="59"/>
      <c r="L27" s="59"/>
      <c r="M27" s="58"/>
      <c r="N27" s="58"/>
      <c r="O27" s="58"/>
      <c r="P27" s="58"/>
      <c r="Q27" s="58"/>
      <c r="R27" s="58"/>
      <c r="S27" s="58"/>
      <c r="T27" s="59"/>
      <c r="U27" s="59"/>
      <c r="V27" s="59"/>
      <c r="W27" s="59"/>
      <c r="X27" s="59"/>
      <c r="Y27" s="59"/>
      <c r="Z27" s="59"/>
      <c r="AA27" s="56">
        <f t="shared" si="6"/>
        <v>0</v>
      </c>
    </row>
    <row r="28" spans="1:27" x14ac:dyDescent="0.2">
      <c r="A28" s="379" t="s">
        <v>65</v>
      </c>
      <c r="B28" s="299" t="s">
        <v>400</v>
      </c>
      <c r="C28" s="299"/>
      <c r="D28" s="299"/>
      <c r="E28" s="299"/>
      <c r="F28" s="299"/>
      <c r="G28" s="380" t="s">
        <v>416</v>
      </c>
      <c r="H28" s="161"/>
      <c r="I28" s="56">
        <f t="shared" ref="I28:Z28" si="7">I29+I30</f>
        <v>0</v>
      </c>
      <c r="J28" s="56">
        <f t="shared" si="7"/>
        <v>0</v>
      </c>
      <c r="K28" s="56">
        <f t="shared" si="7"/>
        <v>0</v>
      </c>
      <c r="L28" s="56">
        <f t="shared" si="7"/>
        <v>0</v>
      </c>
      <c r="M28" s="56">
        <f t="shared" si="7"/>
        <v>0</v>
      </c>
      <c r="N28" s="56">
        <f t="shared" si="7"/>
        <v>0</v>
      </c>
      <c r="O28" s="56">
        <f t="shared" si="7"/>
        <v>0</v>
      </c>
      <c r="P28" s="56">
        <f t="shared" si="7"/>
        <v>0</v>
      </c>
      <c r="Q28" s="56">
        <f t="shared" si="7"/>
        <v>0</v>
      </c>
      <c r="R28" s="56">
        <f t="shared" si="7"/>
        <v>0</v>
      </c>
      <c r="S28" s="56">
        <f t="shared" si="7"/>
        <v>0</v>
      </c>
      <c r="T28" s="56">
        <f t="shared" si="7"/>
        <v>0</v>
      </c>
      <c r="U28" s="56">
        <f t="shared" si="7"/>
        <v>0</v>
      </c>
      <c r="V28" s="56">
        <f t="shared" si="7"/>
        <v>0</v>
      </c>
      <c r="W28" s="56">
        <f t="shared" si="7"/>
        <v>0</v>
      </c>
      <c r="X28" s="56">
        <f t="shared" si="7"/>
        <v>0</v>
      </c>
      <c r="Y28" s="56">
        <f t="shared" si="7"/>
        <v>0</v>
      </c>
      <c r="Z28" s="56">
        <f t="shared" si="7"/>
        <v>0</v>
      </c>
      <c r="AA28" s="56">
        <f t="shared" si="6"/>
        <v>0</v>
      </c>
    </row>
    <row r="29" spans="1:27" x14ac:dyDescent="0.2">
      <c r="A29" s="377"/>
      <c r="B29" s="299" t="s">
        <v>59</v>
      </c>
      <c r="C29" s="299" t="s">
        <v>172</v>
      </c>
      <c r="D29" s="299"/>
      <c r="E29" s="299"/>
      <c r="F29" s="299"/>
      <c r="G29" s="380" t="s">
        <v>417</v>
      </c>
      <c r="H29" s="161"/>
      <c r="I29" s="58"/>
      <c r="J29" s="58"/>
      <c r="K29" s="59"/>
      <c r="L29" s="59"/>
      <c r="M29" s="58"/>
      <c r="N29" s="58"/>
      <c r="O29" s="58"/>
      <c r="P29" s="58"/>
      <c r="Q29" s="58"/>
      <c r="R29" s="58"/>
      <c r="S29" s="58"/>
      <c r="T29" s="59"/>
      <c r="U29" s="59"/>
      <c r="V29" s="59"/>
      <c r="W29" s="59"/>
      <c r="X29" s="59"/>
      <c r="Y29" s="59"/>
      <c r="Z29" s="59"/>
      <c r="AA29" s="56">
        <f t="shared" si="6"/>
        <v>0</v>
      </c>
    </row>
    <row r="30" spans="1:27" x14ac:dyDescent="0.2">
      <c r="A30" s="377"/>
      <c r="B30" s="299" t="s">
        <v>61</v>
      </c>
      <c r="C30" s="299" t="s">
        <v>403</v>
      </c>
      <c r="D30" s="299"/>
      <c r="E30" s="299"/>
      <c r="F30" s="299"/>
      <c r="G30" s="380" t="s">
        <v>418</v>
      </c>
      <c r="H30" s="161"/>
      <c r="I30" s="58"/>
      <c r="J30" s="58"/>
      <c r="K30" s="59"/>
      <c r="L30" s="59"/>
      <c r="M30" s="58"/>
      <c r="N30" s="58"/>
      <c r="O30" s="58"/>
      <c r="P30" s="58"/>
      <c r="Q30" s="58"/>
      <c r="R30" s="58"/>
      <c r="S30" s="58"/>
      <c r="T30" s="59"/>
      <c r="U30" s="59"/>
      <c r="V30" s="59"/>
      <c r="W30" s="59"/>
      <c r="X30" s="59"/>
      <c r="Y30" s="59"/>
      <c r="Z30" s="59"/>
      <c r="AA30" s="56">
        <f t="shared" si="6"/>
        <v>0</v>
      </c>
    </row>
    <row r="31" spans="1:27" x14ac:dyDescent="0.2">
      <c r="A31" s="379" t="s">
        <v>90</v>
      </c>
      <c r="B31" s="299" t="s">
        <v>419</v>
      </c>
      <c r="C31" s="299"/>
      <c r="D31" s="299"/>
      <c r="E31" s="299"/>
      <c r="F31" s="299"/>
      <c r="G31" s="380" t="s">
        <v>420</v>
      </c>
      <c r="H31" s="161"/>
      <c r="I31" s="58"/>
      <c r="J31" s="58"/>
      <c r="K31" s="59"/>
      <c r="L31" s="59"/>
      <c r="M31" s="58"/>
      <c r="N31" s="58"/>
      <c r="O31" s="58"/>
      <c r="P31" s="58"/>
      <c r="Q31" s="58"/>
      <c r="R31" s="58"/>
      <c r="S31" s="58"/>
      <c r="T31" s="59"/>
      <c r="U31" s="59"/>
      <c r="V31" s="59"/>
      <c r="W31" s="59"/>
      <c r="X31" s="59"/>
      <c r="Y31" s="59"/>
      <c r="Z31" s="59"/>
      <c r="AA31" s="56">
        <f t="shared" si="6"/>
        <v>0</v>
      </c>
    </row>
    <row r="32" spans="1:27" x14ac:dyDescent="0.2">
      <c r="A32" s="379" t="s">
        <v>257</v>
      </c>
      <c r="B32" s="299" t="s">
        <v>409</v>
      </c>
      <c r="C32" s="299"/>
      <c r="D32" s="299"/>
      <c r="E32" s="299"/>
      <c r="F32" s="299"/>
      <c r="G32" s="380" t="s">
        <v>421</v>
      </c>
      <c r="H32" s="161"/>
      <c r="I32" s="58"/>
      <c r="J32" s="58"/>
      <c r="K32" s="59"/>
      <c r="L32" s="59"/>
      <c r="M32" s="58"/>
      <c r="N32" s="58"/>
      <c r="O32" s="58"/>
      <c r="P32" s="58"/>
      <c r="Q32" s="58"/>
      <c r="R32" s="58"/>
      <c r="S32" s="58"/>
      <c r="T32" s="59"/>
      <c r="U32" s="59"/>
      <c r="V32" s="59"/>
      <c r="W32" s="59"/>
      <c r="X32" s="59"/>
      <c r="Y32" s="59"/>
      <c r="Z32" s="59"/>
      <c r="AA32" s="56">
        <f t="shared" si="6"/>
        <v>0</v>
      </c>
    </row>
    <row r="33" spans="1:27" x14ac:dyDescent="0.2">
      <c r="A33" s="395" t="s">
        <v>140</v>
      </c>
      <c r="B33" s="299"/>
      <c r="C33" s="299"/>
      <c r="D33" s="299"/>
      <c r="E33" s="299"/>
      <c r="F33" s="299"/>
      <c r="G33" s="380" t="s">
        <v>422</v>
      </c>
      <c r="H33" s="161"/>
      <c r="I33" s="56">
        <f t="shared" ref="I33:Z33" si="8">I25+I10</f>
        <v>0</v>
      </c>
      <c r="J33" s="56">
        <f t="shared" si="8"/>
        <v>0</v>
      </c>
      <c r="K33" s="56">
        <f t="shared" si="8"/>
        <v>0</v>
      </c>
      <c r="L33" s="56">
        <f t="shared" si="8"/>
        <v>0</v>
      </c>
      <c r="M33" s="56">
        <f t="shared" si="8"/>
        <v>0</v>
      </c>
      <c r="N33" s="56">
        <f t="shared" si="8"/>
        <v>0</v>
      </c>
      <c r="O33" s="56">
        <f t="shared" si="8"/>
        <v>0</v>
      </c>
      <c r="P33" s="56">
        <f t="shared" si="8"/>
        <v>0</v>
      </c>
      <c r="Q33" s="56">
        <f t="shared" si="8"/>
        <v>0</v>
      </c>
      <c r="R33" s="56">
        <f t="shared" si="8"/>
        <v>0</v>
      </c>
      <c r="S33" s="56">
        <f t="shared" si="8"/>
        <v>0</v>
      </c>
      <c r="T33" s="56">
        <f t="shared" si="8"/>
        <v>0</v>
      </c>
      <c r="U33" s="56">
        <f t="shared" si="8"/>
        <v>0</v>
      </c>
      <c r="V33" s="56">
        <f t="shared" si="8"/>
        <v>0</v>
      </c>
      <c r="W33" s="56">
        <f t="shared" si="8"/>
        <v>0</v>
      </c>
      <c r="X33" s="56">
        <f t="shared" si="8"/>
        <v>0</v>
      </c>
      <c r="Y33" s="56">
        <f t="shared" si="8"/>
        <v>0</v>
      </c>
      <c r="Z33" s="56">
        <f t="shared" si="8"/>
        <v>0</v>
      </c>
      <c r="AA33" s="56">
        <f t="shared" si="6"/>
        <v>0</v>
      </c>
    </row>
    <row r="34" spans="1:27" x14ac:dyDescent="0.2">
      <c r="A34" s="92"/>
      <c r="B34" s="92"/>
      <c r="C34" s="92"/>
      <c r="D34" s="92"/>
      <c r="E34" s="92"/>
      <c r="F34" s="92"/>
      <c r="G34" s="233" t="s">
        <v>108</v>
      </c>
      <c r="H34" s="167"/>
      <c r="I34" s="133"/>
      <c r="J34" s="133"/>
      <c r="K34" s="133"/>
      <c r="L34" s="133"/>
      <c r="M34" s="133"/>
      <c r="N34" s="133"/>
      <c r="O34" s="133"/>
      <c r="P34" s="133"/>
      <c r="Q34" s="133"/>
      <c r="R34" s="133"/>
      <c r="S34" s="133"/>
      <c r="T34" s="133"/>
      <c r="U34" s="133"/>
      <c r="V34" s="133"/>
      <c r="W34" s="133"/>
      <c r="X34" s="133"/>
      <c r="Y34" s="133"/>
      <c r="Z34" s="133"/>
      <c r="AA34" s="133"/>
    </row>
  </sheetData>
  <sheetProtection password="E7FA" sheet="1" objects="1" scenarios="1" selectLockedCells="1"/>
  <mergeCells count="19">
    <mergeCell ref="A1:Z1"/>
    <mergeCell ref="A2:Z2"/>
    <mergeCell ref="A3:Z3"/>
    <mergeCell ref="A5:F9"/>
    <mergeCell ref="G5:G9"/>
    <mergeCell ref="I5:Z5"/>
    <mergeCell ref="I8:J8"/>
    <mergeCell ref="K8:L8"/>
    <mergeCell ref="M8:N8"/>
    <mergeCell ref="AA5:AA9"/>
    <mergeCell ref="I6:R6"/>
    <mergeCell ref="S6:X6"/>
    <mergeCell ref="Y6:Z8"/>
    <mergeCell ref="I7:N7"/>
    <mergeCell ref="O7:P8"/>
    <mergeCell ref="Q7:R8"/>
    <mergeCell ref="S7:T8"/>
    <mergeCell ref="U7:V8"/>
    <mergeCell ref="W7:X8"/>
  </mergeCells>
  <phoneticPr fontId="2" type="noConversion"/>
  <dataValidations count="1">
    <dataValidation type="decimal" allowBlank="1" showInputMessage="1" showErrorMessage="1" error="Invalid data is entered!" sqref="I12:Z13 I29:Z32 I26:Z27 I20:Z23 I15:Z18">
      <formula1>0</formula1>
      <formula2>99999999999999900</formula2>
    </dataValidation>
  </dataValidations>
  <pageMargins left="0.25" right="0.25" top="1" bottom="0.5" header="0.5" footer="0.5"/>
  <pageSetup orientation="landscape" horizontalDpi="360" verticalDpi="360" r:id="rId1"/>
  <headerFooter alignWithMargins="0">
    <oddHeader>&amp;R&amp;"Arial,Bold"&amp;USchedule 12a4&amp;"Arial,Regular"&amp;U
&amp;"Arial,Bold"&amp;8&amp;P of &amp;N&amp;C&amp;"Arial,Bold"&amp;8 ABN AMRO BANK INC (A COMM'L BANK)  [ 01-000000 ]
 As of: January 31, 2008</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927"/>
  <sheetViews>
    <sheetView zoomScaleNormal="100" workbookViewId="0">
      <pane xSplit="8" ySplit="10" topLeftCell="I12" activePane="bottomRight" state="frozen"/>
      <selection pane="topRight" activeCell="I1" sqref="I1"/>
      <selection pane="bottomLeft" activeCell="A11" sqref="A11"/>
      <selection pane="bottomRight" activeCell="I12" sqref="I12"/>
    </sheetView>
  </sheetViews>
  <sheetFormatPr defaultRowHeight="11.25" x14ac:dyDescent="0.2"/>
  <cols>
    <col min="1" max="1" width="3.28515625" style="5" customWidth="1"/>
    <col min="2" max="5" width="3.28515625" style="5" hidden="1" customWidth="1"/>
    <col min="6" max="6" width="40.28515625" style="5" customWidth="1"/>
    <col min="7" max="7" width="20" style="52" bestFit="1" customWidth="1"/>
    <col min="8" max="8" width="20" style="52" hidden="1" customWidth="1"/>
    <col min="9" max="16" width="25.7109375" style="48" customWidth="1"/>
    <col min="17" max="17" width="25.7109375" style="221" customWidth="1"/>
    <col min="18" max="16384" width="9.140625" style="5"/>
  </cols>
  <sheetData>
    <row r="1" spans="1:29" s="243" customFormat="1" ht="12.75" x14ac:dyDescent="0.2">
      <c r="A1" s="669" t="s">
        <v>584</v>
      </c>
      <c r="B1" s="669"/>
      <c r="C1" s="669"/>
      <c r="D1" s="669"/>
      <c r="E1" s="669"/>
      <c r="F1" s="669"/>
      <c r="G1" s="669"/>
      <c r="H1" s="669"/>
      <c r="I1" s="669"/>
      <c r="J1" s="669"/>
      <c r="K1" s="669"/>
      <c r="L1" s="669"/>
      <c r="M1" s="669"/>
      <c r="N1" s="669"/>
      <c r="O1" s="669"/>
      <c r="P1" s="669"/>
      <c r="Q1" s="669"/>
      <c r="R1" s="242"/>
      <c r="S1" s="242"/>
      <c r="T1" s="242"/>
      <c r="U1" s="242"/>
      <c r="V1" s="242"/>
      <c r="W1" s="242"/>
      <c r="X1" s="242"/>
      <c r="Y1" s="242"/>
      <c r="Z1" s="242"/>
      <c r="AA1" s="242"/>
      <c r="AB1" s="242"/>
      <c r="AC1" s="242"/>
    </row>
    <row r="2" spans="1:29" s="243" customFormat="1" ht="12.75" x14ac:dyDescent="0.2">
      <c r="A2" s="697" t="s">
        <v>451</v>
      </c>
      <c r="B2" s="697"/>
      <c r="C2" s="697"/>
      <c r="D2" s="697"/>
      <c r="E2" s="697"/>
      <c r="F2" s="697"/>
      <c r="G2" s="697"/>
      <c r="H2" s="697"/>
      <c r="I2" s="697"/>
      <c r="J2" s="697"/>
      <c r="K2" s="697"/>
      <c r="L2" s="697"/>
      <c r="M2" s="697"/>
      <c r="N2" s="697"/>
      <c r="O2" s="697"/>
      <c r="P2" s="697"/>
      <c r="Q2" s="697"/>
      <c r="R2" s="248"/>
      <c r="S2" s="248"/>
      <c r="T2" s="248"/>
      <c r="U2" s="248"/>
      <c r="V2" s="248"/>
      <c r="W2" s="248"/>
      <c r="X2" s="248"/>
      <c r="Y2" s="248"/>
      <c r="Z2" s="248"/>
      <c r="AA2" s="248"/>
      <c r="AB2" s="248"/>
      <c r="AC2" s="248"/>
    </row>
    <row r="3" spans="1:29" s="243" customFormat="1" ht="12.75" x14ac:dyDescent="0.2">
      <c r="A3" s="697" t="s">
        <v>727</v>
      </c>
      <c r="B3" s="697"/>
      <c r="C3" s="697"/>
      <c r="D3" s="697"/>
      <c r="E3" s="697"/>
      <c r="F3" s="697"/>
      <c r="G3" s="697"/>
      <c r="H3" s="697"/>
      <c r="I3" s="697"/>
      <c r="J3" s="697"/>
      <c r="K3" s="697"/>
      <c r="L3" s="697"/>
      <c r="M3" s="697"/>
      <c r="N3" s="697"/>
      <c r="O3" s="697"/>
      <c r="P3" s="697"/>
      <c r="Q3" s="697"/>
      <c r="R3" s="248"/>
      <c r="S3" s="248"/>
      <c r="T3" s="248"/>
      <c r="U3" s="248"/>
      <c r="V3" s="248"/>
      <c r="W3" s="248"/>
      <c r="X3" s="248"/>
      <c r="Y3" s="248"/>
      <c r="Z3" s="248"/>
      <c r="AA3" s="248"/>
      <c r="AB3" s="248"/>
      <c r="AC3" s="248"/>
    </row>
    <row r="4" spans="1:29" s="243" customFormat="1" ht="12.75" x14ac:dyDescent="0.2">
      <c r="A4" s="697" t="s">
        <v>551</v>
      </c>
      <c r="B4" s="697"/>
      <c r="C4" s="697"/>
      <c r="D4" s="697"/>
      <c r="E4" s="697"/>
      <c r="F4" s="697"/>
      <c r="G4" s="697"/>
      <c r="H4" s="697"/>
      <c r="I4" s="697"/>
      <c r="J4" s="697"/>
      <c r="K4" s="697"/>
      <c r="L4" s="697"/>
      <c r="M4" s="697"/>
      <c r="N4" s="697"/>
      <c r="O4" s="697"/>
      <c r="P4" s="697"/>
      <c r="Q4" s="697"/>
      <c r="R4" s="248"/>
      <c r="S4" s="248"/>
      <c r="T4" s="248"/>
      <c r="U4" s="248"/>
      <c r="V4" s="248"/>
      <c r="W4" s="248"/>
      <c r="X4" s="248"/>
      <c r="Y4" s="248"/>
      <c r="Z4" s="248"/>
      <c r="AA4" s="248"/>
      <c r="AB4" s="248"/>
      <c r="AC4" s="248"/>
    </row>
    <row r="5" spans="1:29" x14ac:dyDescent="0.2">
      <c r="A5" s="170"/>
      <c r="B5" s="170"/>
      <c r="C5" s="170"/>
      <c r="D5" s="170"/>
      <c r="E5" s="170"/>
      <c r="F5" s="170"/>
      <c r="G5" s="171"/>
      <c r="H5" s="171"/>
      <c r="I5" s="172"/>
      <c r="J5" s="172"/>
      <c r="K5" s="172"/>
      <c r="L5" s="172"/>
      <c r="M5" s="172"/>
      <c r="N5" s="172"/>
      <c r="O5" s="172"/>
      <c r="P5" s="172"/>
      <c r="Q5" s="213"/>
      <c r="R5" s="7"/>
      <c r="S5" s="7"/>
      <c r="T5" s="7"/>
      <c r="U5" s="7"/>
      <c r="V5" s="7"/>
      <c r="W5" s="7"/>
      <c r="X5" s="7"/>
      <c r="Y5" s="7"/>
      <c r="Z5" s="7"/>
      <c r="AA5" s="7"/>
      <c r="AB5" s="7"/>
      <c r="AC5" s="7"/>
    </row>
    <row r="6" spans="1:29" hidden="1" x14ac:dyDescent="0.2">
      <c r="A6" s="170"/>
      <c r="B6" s="170"/>
      <c r="C6" s="170"/>
      <c r="D6" s="170"/>
      <c r="E6" s="170"/>
      <c r="F6" s="170"/>
      <c r="G6" s="214"/>
      <c r="H6" s="214"/>
      <c r="I6" s="53"/>
      <c r="J6" s="53"/>
      <c r="K6" s="53"/>
      <c r="L6" s="53"/>
      <c r="M6" s="53"/>
      <c r="N6" s="53"/>
      <c r="O6" s="53"/>
      <c r="P6" s="53"/>
      <c r="Q6" s="213"/>
      <c r="R6" s="7"/>
      <c r="S6" s="7"/>
      <c r="T6" s="7"/>
      <c r="U6" s="7"/>
      <c r="V6" s="7"/>
      <c r="W6" s="7"/>
      <c r="X6" s="7"/>
      <c r="Y6" s="7"/>
      <c r="Z6" s="7"/>
      <c r="AA6" s="7"/>
      <c r="AB6" s="7"/>
      <c r="AC6" s="7"/>
    </row>
    <row r="7" spans="1:29" hidden="1" x14ac:dyDescent="0.2">
      <c r="A7" s="170"/>
      <c r="B7" s="170"/>
      <c r="C7" s="170"/>
      <c r="D7" s="170"/>
      <c r="E7" s="170"/>
      <c r="F7" s="170"/>
      <c r="G7" s="214"/>
      <c r="H7" s="214"/>
      <c r="I7" s="53"/>
      <c r="J7" s="53"/>
      <c r="K7" s="53"/>
      <c r="L7" s="53"/>
      <c r="M7" s="53"/>
      <c r="N7" s="53"/>
      <c r="O7" s="53"/>
      <c r="P7" s="53"/>
      <c r="Q7" s="213"/>
      <c r="R7" s="7"/>
      <c r="S7" s="7"/>
      <c r="T7" s="7"/>
      <c r="U7" s="7"/>
      <c r="V7" s="7"/>
      <c r="W7" s="7"/>
      <c r="X7" s="7"/>
      <c r="Y7" s="7"/>
      <c r="Z7" s="7"/>
      <c r="AA7" s="7"/>
      <c r="AB7" s="7"/>
      <c r="AC7" s="7"/>
    </row>
    <row r="8" spans="1:29" hidden="1" x14ac:dyDescent="0.2">
      <c r="A8" s="170"/>
      <c r="B8" s="170"/>
      <c r="C8" s="170"/>
      <c r="D8" s="170"/>
      <c r="E8" s="170"/>
      <c r="F8" s="170"/>
      <c r="G8" s="214"/>
      <c r="H8" s="214"/>
      <c r="I8" s="53"/>
      <c r="J8" s="53"/>
      <c r="K8" s="53"/>
      <c r="L8" s="53"/>
      <c r="M8" s="53"/>
      <c r="N8" s="53"/>
      <c r="O8" s="53"/>
      <c r="P8" s="53"/>
      <c r="Q8" s="213"/>
      <c r="R8" s="7"/>
      <c r="S8" s="7"/>
      <c r="T8" s="7"/>
      <c r="U8" s="7"/>
      <c r="V8" s="7"/>
      <c r="W8" s="7"/>
      <c r="X8" s="7"/>
      <c r="Y8" s="7"/>
      <c r="Z8" s="7"/>
      <c r="AA8" s="7"/>
      <c r="AB8" s="7"/>
      <c r="AC8" s="7"/>
    </row>
    <row r="9" spans="1:29" hidden="1" x14ac:dyDescent="0.2">
      <c r="A9" s="170"/>
      <c r="B9" s="170"/>
      <c r="C9" s="170"/>
      <c r="D9" s="170"/>
      <c r="E9" s="170"/>
      <c r="F9" s="170"/>
      <c r="G9" s="214"/>
      <c r="H9" s="214"/>
      <c r="I9" s="53"/>
      <c r="J9" s="53"/>
      <c r="K9" s="53"/>
      <c r="L9" s="53"/>
      <c r="M9" s="53"/>
      <c r="N9" s="53"/>
      <c r="O9" s="53"/>
      <c r="P9" s="53"/>
      <c r="Q9" s="213"/>
      <c r="R9" s="7"/>
      <c r="S9" s="7"/>
      <c r="T9" s="7"/>
      <c r="U9" s="7"/>
      <c r="V9" s="7"/>
      <c r="W9" s="7"/>
      <c r="X9" s="7"/>
      <c r="Y9" s="7"/>
      <c r="Z9" s="7"/>
      <c r="AA9" s="7"/>
      <c r="AB9" s="7"/>
      <c r="AC9" s="7"/>
    </row>
    <row r="10" spans="1:29" s="174" customFormat="1" ht="55.5" customHeight="1" x14ac:dyDescent="0.2">
      <c r="A10" s="672" t="s">
        <v>452</v>
      </c>
      <c r="B10" s="672"/>
      <c r="C10" s="672"/>
      <c r="D10" s="672"/>
      <c r="E10" s="672"/>
      <c r="F10" s="672"/>
      <c r="G10" s="396" t="s">
        <v>46</v>
      </c>
      <c r="H10" s="215"/>
      <c r="I10" s="95" t="s">
        <v>453</v>
      </c>
      <c r="J10" s="95" t="s">
        <v>454</v>
      </c>
      <c r="K10" s="624" t="s">
        <v>1476</v>
      </c>
      <c r="L10" s="624" t="s">
        <v>1477</v>
      </c>
      <c r="M10" s="95" t="s">
        <v>455</v>
      </c>
      <c r="N10" s="95" t="s">
        <v>456</v>
      </c>
      <c r="O10" s="95" t="s">
        <v>457</v>
      </c>
      <c r="P10" s="95" t="s">
        <v>458</v>
      </c>
      <c r="Q10" s="95" t="s">
        <v>144</v>
      </c>
      <c r="R10" s="173"/>
      <c r="S10" s="173"/>
      <c r="T10" s="173"/>
      <c r="U10" s="173"/>
      <c r="V10" s="173"/>
      <c r="W10" s="173"/>
      <c r="X10" s="173"/>
      <c r="Y10" s="173"/>
      <c r="Z10" s="173"/>
      <c r="AA10" s="173"/>
      <c r="AB10" s="173"/>
      <c r="AC10" s="173"/>
    </row>
    <row r="11" spans="1:29" x14ac:dyDescent="0.2">
      <c r="A11" s="397" t="s">
        <v>459</v>
      </c>
      <c r="B11" s="397"/>
      <c r="C11" s="397"/>
      <c r="D11" s="397"/>
      <c r="E11" s="397"/>
      <c r="F11" s="398"/>
      <c r="G11" s="267"/>
      <c r="H11" s="175"/>
      <c r="I11" s="235"/>
      <c r="J11" s="235"/>
      <c r="K11" s="235"/>
      <c r="L11" s="236"/>
      <c r="M11" s="236"/>
      <c r="N11" s="236"/>
      <c r="O11" s="236"/>
      <c r="P11" s="236"/>
      <c r="Q11" s="237"/>
      <c r="R11" s="9"/>
      <c r="S11" s="9"/>
      <c r="T11" s="9"/>
      <c r="U11" s="9"/>
      <c r="V11" s="9"/>
      <c r="W11" s="9"/>
      <c r="X11" s="9"/>
      <c r="Y11" s="9"/>
      <c r="Z11" s="9"/>
      <c r="AA11" s="9"/>
      <c r="AB11" s="9"/>
      <c r="AC11" s="9"/>
    </row>
    <row r="12" spans="1:29" x14ac:dyDescent="0.2">
      <c r="A12" s="268" t="s">
        <v>161</v>
      </c>
      <c r="B12" s="268"/>
      <c r="C12" s="268"/>
      <c r="D12" s="268"/>
      <c r="E12" s="268"/>
      <c r="F12" s="269" t="s">
        <v>648</v>
      </c>
      <c r="G12" s="282" t="s">
        <v>649</v>
      </c>
      <c r="H12" s="175"/>
      <c r="I12" s="182"/>
      <c r="J12" s="182"/>
      <c r="K12" s="182"/>
      <c r="L12" s="183"/>
      <c r="M12" s="183"/>
      <c r="N12" s="183"/>
      <c r="O12" s="183"/>
      <c r="P12" s="183"/>
      <c r="Q12" s="216">
        <f>I12+J12+K12+L12+M12+N12+O12+P12</f>
        <v>0</v>
      </c>
      <c r="R12" s="9"/>
      <c r="S12" s="9"/>
      <c r="T12" s="9"/>
      <c r="U12" s="9"/>
      <c r="V12" s="9"/>
      <c r="W12" s="9"/>
      <c r="X12" s="9"/>
      <c r="Y12" s="9"/>
      <c r="Z12" s="9"/>
      <c r="AA12" s="9"/>
      <c r="AB12" s="9"/>
      <c r="AC12" s="9"/>
    </row>
    <row r="13" spans="1:29" x14ac:dyDescent="0.2">
      <c r="A13" s="268"/>
      <c r="B13" s="268"/>
      <c r="C13" s="268"/>
      <c r="D13" s="268"/>
      <c r="E13" s="268"/>
      <c r="F13" s="269"/>
      <c r="G13" s="282"/>
      <c r="H13" s="267"/>
      <c r="I13" s="270"/>
      <c r="J13" s="270"/>
      <c r="K13" s="270"/>
      <c r="L13" s="271"/>
      <c r="M13" s="271"/>
      <c r="N13" s="271"/>
      <c r="O13" s="271"/>
      <c r="P13" s="271"/>
      <c r="Q13" s="216"/>
      <c r="R13" s="9"/>
      <c r="S13" s="9"/>
      <c r="T13" s="9"/>
      <c r="U13" s="9"/>
      <c r="V13" s="9"/>
      <c r="W13" s="9"/>
      <c r="X13" s="9"/>
      <c r="Y13" s="9"/>
      <c r="Z13" s="9"/>
      <c r="AA13" s="9"/>
      <c r="AB13" s="9"/>
      <c r="AC13" s="9"/>
    </row>
    <row r="14" spans="1:29" x14ac:dyDescent="0.2">
      <c r="A14" s="268" t="s">
        <v>164</v>
      </c>
      <c r="B14" s="268"/>
      <c r="C14" s="268"/>
      <c r="D14" s="268"/>
      <c r="E14" s="268"/>
      <c r="F14" s="399" t="s">
        <v>460</v>
      </c>
      <c r="G14" s="282" t="s">
        <v>588</v>
      </c>
      <c r="H14" s="175"/>
      <c r="I14" s="182"/>
      <c r="J14" s="182"/>
      <c r="K14" s="182"/>
      <c r="L14" s="183"/>
      <c r="M14" s="183"/>
      <c r="N14" s="183"/>
      <c r="O14" s="183"/>
      <c r="P14" s="183"/>
      <c r="Q14" s="216">
        <f>I14+J14+K14+L14+M14+N14+O14+P14</f>
        <v>0</v>
      </c>
      <c r="R14" s="9"/>
      <c r="S14" s="9"/>
      <c r="T14" s="9"/>
      <c r="U14" s="9"/>
      <c r="V14" s="9"/>
      <c r="W14" s="9"/>
      <c r="X14" s="9"/>
      <c r="Y14" s="9"/>
      <c r="Z14" s="9"/>
      <c r="AA14" s="9"/>
      <c r="AB14" s="9"/>
      <c r="AC14" s="9"/>
    </row>
    <row r="15" spans="1:29" ht="11.25" customHeight="1" x14ac:dyDescent="0.2">
      <c r="A15" s="387"/>
      <c r="B15" s="387"/>
      <c r="C15" s="387"/>
      <c r="D15" s="387"/>
      <c r="E15" s="387"/>
      <c r="F15" s="387"/>
      <c r="G15" s="392"/>
      <c r="H15" s="177"/>
      <c r="I15" s="143"/>
      <c r="J15" s="143"/>
      <c r="K15" s="143"/>
      <c r="L15" s="143"/>
      <c r="M15" s="143"/>
      <c r="N15" s="143"/>
      <c r="O15" s="143"/>
      <c r="P15" s="143"/>
      <c r="Q15" s="217"/>
    </row>
    <row r="16" spans="1:29" ht="22.5" x14ac:dyDescent="0.2">
      <c r="A16" s="311" t="s">
        <v>207</v>
      </c>
      <c r="B16" s="311"/>
      <c r="C16" s="311"/>
      <c r="D16" s="311"/>
      <c r="E16" s="311"/>
      <c r="F16" s="400" t="s">
        <v>461</v>
      </c>
      <c r="G16" s="283" t="s">
        <v>589</v>
      </c>
      <c r="H16" s="178"/>
      <c r="I16" s="56">
        <f>I17+I20</f>
        <v>0</v>
      </c>
      <c r="J16" s="56">
        <f>J17+J20</f>
        <v>0</v>
      </c>
      <c r="K16" s="56">
        <f>K17+K20</f>
        <v>0</v>
      </c>
      <c r="L16" s="56">
        <f>L17+L20</f>
        <v>0</v>
      </c>
      <c r="M16" s="139"/>
      <c r="N16" s="139"/>
      <c r="O16" s="139"/>
      <c r="P16" s="139"/>
      <c r="Q16" s="216">
        <f>I16+J16+K16+L16+M16+N16+O16+P16</f>
        <v>0</v>
      </c>
    </row>
    <row r="17" spans="1:17" x14ac:dyDescent="0.2">
      <c r="A17" s="311"/>
      <c r="B17" s="311"/>
      <c r="C17" s="311"/>
      <c r="D17" s="311"/>
      <c r="E17" s="311"/>
      <c r="F17" s="400" t="s">
        <v>650</v>
      </c>
      <c r="G17" s="283" t="s">
        <v>655</v>
      </c>
      <c r="H17" s="178"/>
      <c r="I17" s="56">
        <f>SUM(I18:I19)</f>
        <v>0</v>
      </c>
      <c r="J17" s="56">
        <f>SUM(J18:J19)</f>
        <v>0</v>
      </c>
      <c r="K17" s="56">
        <f>SUM(K18:K19)</f>
        <v>0</v>
      </c>
      <c r="L17" s="56">
        <f>SUM(L18:L19)</f>
        <v>0</v>
      </c>
      <c r="M17" s="139"/>
      <c r="N17" s="139"/>
      <c r="O17" s="139"/>
      <c r="P17" s="139"/>
      <c r="Q17" s="216">
        <f>I17+J17+K17+L17+M17+N17+O17+P17</f>
        <v>0</v>
      </c>
    </row>
    <row r="18" spans="1:17" x14ac:dyDescent="0.2">
      <c r="A18" s="388"/>
      <c r="B18" s="388"/>
      <c r="C18" s="388"/>
      <c r="D18" s="388"/>
      <c r="E18" s="388"/>
      <c r="F18" s="387" t="s">
        <v>651</v>
      </c>
      <c r="G18" s="283" t="s">
        <v>656</v>
      </c>
      <c r="H18" s="178"/>
      <c r="I18" s="58"/>
      <c r="J18" s="58"/>
      <c r="K18" s="58"/>
      <c r="L18" s="58"/>
      <c r="M18" s="139"/>
      <c r="N18" s="139"/>
      <c r="O18" s="139"/>
      <c r="P18" s="139"/>
      <c r="Q18" s="216">
        <f>I18+J18+K18+L18+M18+N18+O18+P18</f>
        <v>0</v>
      </c>
    </row>
    <row r="19" spans="1:17" x14ac:dyDescent="0.2">
      <c r="A19" s="388"/>
      <c r="B19" s="388"/>
      <c r="C19" s="388"/>
      <c r="D19" s="388"/>
      <c r="E19" s="388"/>
      <c r="F19" s="387" t="s">
        <v>652</v>
      </c>
      <c r="G19" s="283" t="s">
        <v>657</v>
      </c>
      <c r="H19" s="178"/>
      <c r="I19" s="58"/>
      <c r="J19" s="58"/>
      <c r="K19" s="58"/>
      <c r="L19" s="58"/>
      <c r="M19" s="139"/>
      <c r="N19" s="139"/>
      <c r="O19" s="139"/>
      <c r="P19" s="139"/>
      <c r="Q19" s="216">
        <f>I19+J19+K19+L19+M19+N19+O19+P19</f>
        <v>0</v>
      </c>
    </row>
    <row r="20" spans="1:17" x14ac:dyDescent="0.2">
      <c r="A20" s="388"/>
      <c r="B20" s="388"/>
      <c r="C20" s="388"/>
      <c r="D20" s="388"/>
      <c r="E20" s="388"/>
      <c r="F20" s="276" t="s">
        <v>653</v>
      </c>
      <c r="G20" s="283" t="s">
        <v>658</v>
      </c>
      <c r="H20" s="178"/>
      <c r="I20" s="58"/>
      <c r="J20" s="58"/>
      <c r="K20" s="58"/>
      <c r="L20" s="58"/>
      <c r="M20" s="139"/>
      <c r="N20" s="139"/>
      <c r="O20" s="139"/>
      <c r="P20" s="139"/>
      <c r="Q20" s="216">
        <f>I20+J20+K20+L20+M20+N20+O20+P20</f>
        <v>0</v>
      </c>
    </row>
    <row r="21" spans="1:17" x14ac:dyDescent="0.2">
      <c r="A21" s="387"/>
      <c r="B21" s="387"/>
      <c r="C21" s="387"/>
      <c r="D21" s="387"/>
      <c r="E21" s="387"/>
      <c r="F21" s="387"/>
      <c r="G21" s="282"/>
      <c r="H21" s="178"/>
      <c r="I21" s="218"/>
      <c r="J21" s="218"/>
      <c r="K21" s="218"/>
      <c r="L21" s="218"/>
      <c r="M21" s="218"/>
      <c r="N21" s="218"/>
      <c r="O21" s="218"/>
      <c r="P21" s="218"/>
      <c r="Q21" s="216"/>
    </row>
    <row r="22" spans="1:17" ht="22.5" customHeight="1" x14ac:dyDescent="0.2">
      <c r="A22" s="311" t="s">
        <v>209</v>
      </c>
      <c r="B22" s="311"/>
      <c r="C22" s="311"/>
      <c r="D22" s="311"/>
      <c r="E22" s="311"/>
      <c r="F22" s="401" t="s">
        <v>464</v>
      </c>
      <c r="G22" s="283" t="s">
        <v>590</v>
      </c>
      <c r="H22" s="179"/>
      <c r="I22" s="56">
        <f t="shared" ref="I22:P22" si="0">I23+I24</f>
        <v>0</v>
      </c>
      <c r="J22" s="56">
        <f t="shared" si="0"/>
        <v>0</v>
      </c>
      <c r="K22" s="56">
        <f>K23+K24</f>
        <v>0</v>
      </c>
      <c r="L22" s="56">
        <f t="shared" si="0"/>
        <v>0</v>
      </c>
      <c r="M22" s="56">
        <f t="shared" si="0"/>
        <v>0</v>
      </c>
      <c r="N22" s="56">
        <f t="shared" si="0"/>
        <v>0</v>
      </c>
      <c r="O22" s="56">
        <f t="shared" si="0"/>
        <v>0</v>
      </c>
      <c r="P22" s="56">
        <f t="shared" si="0"/>
        <v>0</v>
      </c>
      <c r="Q22" s="216">
        <f>I22+J22+K22+L22+M22+N22+O22+P22</f>
        <v>0</v>
      </c>
    </row>
    <row r="23" spans="1:17" ht="11.25" customHeight="1" x14ac:dyDescent="0.2">
      <c r="A23" s="311"/>
      <c r="B23" s="311"/>
      <c r="C23" s="311"/>
      <c r="D23" s="311"/>
      <c r="E23" s="311"/>
      <c r="F23" s="387" t="s">
        <v>462</v>
      </c>
      <c r="G23" s="282" t="s">
        <v>591</v>
      </c>
      <c r="H23" s="178"/>
      <c r="I23" s="58"/>
      <c r="J23" s="58"/>
      <c r="K23" s="58"/>
      <c r="L23" s="58"/>
      <c r="M23" s="58"/>
      <c r="N23" s="58"/>
      <c r="O23" s="58"/>
      <c r="P23" s="58"/>
      <c r="Q23" s="216">
        <f>I23+J23+K23+L23+M23+N23+O23+P23</f>
        <v>0</v>
      </c>
    </row>
    <row r="24" spans="1:17" ht="11.25" customHeight="1" x14ac:dyDescent="0.2">
      <c r="A24" s="311"/>
      <c r="B24" s="311"/>
      <c r="C24" s="311"/>
      <c r="D24" s="311"/>
      <c r="E24" s="311"/>
      <c r="F24" s="387" t="s">
        <v>463</v>
      </c>
      <c r="G24" s="282" t="s">
        <v>619</v>
      </c>
      <c r="H24" s="178"/>
      <c r="I24" s="58"/>
      <c r="J24" s="58"/>
      <c r="K24" s="58"/>
      <c r="L24" s="58"/>
      <c r="M24" s="58"/>
      <c r="N24" s="58"/>
      <c r="O24" s="58"/>
      <c r="P24" s="58"/>
      <c r="Q24" s="216">
        <f>I24+J24+K24+L24+M24+N24+O24+P24</f>
        <v>0</v>
      </c>
    </row>
    <row r="25" spans="1:17" x14ac:dyDescent="0.2">
      <c r="A25" s="387"/>
      <c r="B25" s="387"/>
      <c r="C25" s="387"/>
      <c r="D25" s="387"/>
      <c r="E25" s="387"/>
      <c r="F25" s="387"/>
      <c r="G25" s="282"/>
      <c r="H25" s="178"/>
      <c r="I25" s="218"/>
      <c r="J25" s="218"/>
      <c r="K25" s="218"/>
      <c r="L25" s="218"/>
      <c r="M25" s="218"/>
      <c r="N25" s="218"/>
      <c r="O25" s="218"/>
      <c r="P25" s="218"/>
      <c r="Q25" s="216"/>
    </row>
    <row r="26" spans="1:17" ht="22.5" x14ac:dyDescent="0.2">
      <c r="A26" s="272" t="s">
        <v>465</v>
      </c>
      <c r="B26" s="272"/>
      <c r="C26" s="272"/>
      <c r="D26" s="272"/>
      <c r="E26" s="272"/>
      <c r="F26" s="274" t="s">
        <v>659</v>
      </c>
      <c r="G26" s="283" t="s">
        <v>592</v>
      </c>
      <c r="H26" s="175"/>
      <c r="I26" s="56">
        <f t="shared" ref="I26:P26" si="1">I27+I28</f>
        <v>0</v>
      </c>
      <c r="J26" s="56">
        <f t="shared" si="1"/>
        <v>0</v>
      </c>
      <c r="K26" s="56">
        <f>K27+K28</f>
        <v>0</v>
      </c>
      <c r="L26" s="56">
        <f t="shared" si="1"/>
        <v>0</v>
      </c>
      <c r="M26" s="56">
        <f t="shared" si="1"/>
        <v>0</v>
      </c>
      <c r="N26" s="56">
        <f t="shared" si="1"/>
        <v>0</v>
      </c>
      <c r="O26" s="56">
        <f t="shared" si="1"/>
        <v>0</v>
      </c>
      <c r="P26" s="56">
        <f t="shared" si="1"/>
        <v>0</v>
      </c>
      <c r="Q26" s="216">
        <f>I26+J26+K26+L26+M26+N26+O26+P26</f>
        <v>0</v>
      </c>
    </row>
    <row r="27" spans="1:17" x14ac:dyDescent="0.2">
      <c r="A27" s="273"/>
      <c r="B27" s="273"/>
      <c r="C27" s="273"/>
      <c r="D27" s="273"/>
      <c r="E27" s="273"/>
      <c r="F27" s="387" t="s">
        <v>462</v>
      </c>
      <c r="G27" s="282" t="s">
        <v>593</v>
      </c>
      <c r="H27" s="178"/>
      <c r="I27" s="58"/>
      <c r="J27" s="58"/>
      <c r="K27" s="58"/>
      <c r="L27" s="58"/>
      <c r="M27" s="58"/>
      <c r="N27" s="58"/>
      <c r="O27" s="58"/>
      <c r="P27" s="58"/>
      <c r="Q27" s="216">
        <f>I27+J27+K27+L27+M27+N27+O27+P27</f>
        <v>0</v>
      </c>
    </row>
    <row r="28" spans="1:17" x14ac:dyDescent="0.2">
      <c r="A28" s="273"/>
      <c r="B28" s="273"/>
      <c r="C28" s="273"/>
      <c r="D28" s="273"/>
      <c r="E28" s="273"/>
      <c r="F28" s="387" t="s">
        <v>463</v>
      </c>
      <c r="G28" s="282" t="s">
        <v>594</v>
      </c>
      <c r="H28" s="178"/>
      <c r="I28" s="58"/>
      <c r="J28" s="58"/>
      <c r="K28" s="58"/>
      <c r="L28" s="58"/>
      <c r="M28" s="58"/>
      <c r="N28" s="58"/>
      <c r="O28" s="58"/>
      <c r="P28" s="58"/>
      <c r="Q28" s="216">
        <f>I28+J28+K28+L28+M28+N28+O28+P28</f>
        <v>0</v>
      </c>
    </row>
    <row r="29" spans="1:17" x14ac:dyDescent="0.2">
      <c r="A29" s="276"/>
      <c r="B29" s="276"/>
      <c r="C29" s="276"/>
      <c r="D29" s="276"/>
      <c r="E29" s="276"/>
      <c r="F29" s="276"/>
      <c r="G29" s="282"/>
      <c r="H29" s="175"/>
      <c r="I29" s="218"/>
      <c r="J29" s="218"/>
      <c r="K29" s="218"/>
      <c r="L29" s="218"/>
      <c r="M29" s="218"/>
      <c r="N29" s="218"/>
      <c r="O29" s="218"/>
      <c r="P29" s="218"/>
      <c r="Q29" s="216"/>
    </row>
    <row r="30" spans="1:17" x14ac:dyDescent="0.2">
      <c r="A30" s="273" t="s">
        <v>467</v>
      </c>
      <c r="B30" s="273"/>
      <c r="C30" s="273"/>
      <c r="D30" s="273"/>
      <c r="E30" s="273"/>
      <c r="F30" s="387" t="s">
        <v>466</v>
      </c>
      <c r="G30" s="282" t="s">
        <v>595</v>
      </c>
      <c r="H30" s="178"/>
      <c r="I30" s="56">
        <f t="shared" ref="I30:P30" si="2">I31+I32</f>
        <v>0</v>
      </c>
      <c r="J30" s="56">
        <f t="shared" si="2"/>
        <v>0</v>
      </c>
      <c r="K30" s="56">
        <f>K31+K32</f>
        <v>0</v>
      </c>
      <c r="L30" s="56">
        <f t="shared" si="2"/>
        <v>0</v>
      </c>
      <c r="M30" s="56">
        <f t="shared" si="2"/>
        <v>0</v>
      </c>
      <c r="N30" s="56">
        <f t="shared" si="2"/>
        <v>0</v>
      </c>
      <c r="O30" s="56">
        <f t="shared" si="2"/>
        <v>0</v>
      </c>
      <c r="P30" s="56">
        <f t="shared" si="2"/>
        <v>0</v>
      </c>
      <c r="Q30" s="216">
        <f>I30+J30+K30+L30+M30+N30+O30+P30</f>
        <v>0</v>
      </c>
    </row>
    <row r="31" spans="1:17" x14ac:dyDescent="0.2">
      <c r="A31" s="273"/>
      <c r="B31" s="273"/>
      <c r="C31" s="273"/>
      <c r="D31" s="273"/>
      <c r="E31" s="273"/>
      <c r="F31" s="387" t="s">
        <v>462</v>
      </c>
      <c r="G31" s="282" t="s">
        <v>620</v>
      </c>
      <c r="H31" s="178"/>
      <c r="I31" s="58"/>
      <c r="J31" s="58"/>
      <c r="K31" s="58"/>
      <c r="L31" s="58"/>
      <c r="M31" s="58"/>
      <c r="N31" s="58"/>
      <c r="O31" s="58"/>
      <c r="P31" s="58"/>
      <c r="Q31" s="216">
        <f>I31+J31+K31+L31+M31+N31+O31+P31</f>
        <v>0</v>
      </c>
    </row>
    <row r="32" spans="1:17" x14ac:dyDescent="0.2">
      <c r="A32" s="273"/>
      <c r="B32" s="273"/>
      <c r="C32" s="273"/>
      <c r="D32" s="273"/>
      <c r="E32" s="273"/>
      <c r="F32" s="387" t="s">
        <v>463</v>
      </c>
      <c r="G32" s="282" t="s">
        <v>596</v>
      </c>
      <c r="H32" s="178"/>
      <c r="I32" s="58"/>
      <c r="J32" s="58"/>
      <c r="K32" s="58"/>
      <c r="L32" s="58"/>
      <c r="M32" s="58"/>
      <c r="N32" s="58"/>
      <c r="O32" s="58"/>
      <c r="P32" s="58"/>
      <c r="Q32" s="216">
        <f>I32+J32+K32+L32+M32+N32+O32+P32</f>
        <v>0</v>
      </c>
    </row>
    <row r="33" spans="1:17" x14ac:dyDescent="0.2">
      <c r="A33" s="276"/>
      <c r="B33" s="276"/>
      <c r="C33" s="276"/>
      <c r="D33" s="276"/>
      <c r="E33" s="276"/>
      <c r="F33" s="387"/>
      <c r="G33" s="282"/>
      <c r="H33" s="178"/>
      <c r="I33" s="218"/>
      <c r="J33" s="218"/>
      <c r="K33" s="218"/>
      <c r="L33" s="218"/>
      <c r="M33" s="218"/>
      <c r="N33" s="218"/>
      <c r="O33" s="218"/>
      <c r="P33" s="218"/>
      <c r="Q33" s="216"/>
    </row>
    <row r="34" spans="1:17" x14ac:dyDescent="0.2">
      <c r="A34" s="273" t="s">
        <v>469</v>
      </c>
      <c r="B34" s="273"/>
      <c r="C34" s="273"/>
      <c r="D34" s="273"/>
      <c r="E34" s="273"/>
      <c r="F34" s="387" t="s">
        <v>468</v>
      </c>
      <c r="G34" s="282" t="s">
        <v>597</v>
      </c>
      <c r="H34" s="178"/>
      <c r="I34" s="56">
        <f t="shared" ref="I34:P34" si="3">I35+I36</f>
        <v>0</v>
      </c>
      <c r="J34" s="56">
        <f t="shared" si="3"/>
        <v>0</v>
      </c>
      <c r="K34" s="56">
        <f>K35+K36</f>
        <v>0</v>
      </c>
      <c r="L34" s="56">
        <f t="shared" si="3"/>
        <v>0</v>
      </c>
      <c r="M34" s="56">
        <f t="shared" si="3"/>
        <v>0</v>
      </c>
      <c r="N34" s="56">
        <f t="shared" si="3"/>
        <v>0</v>
      </c>
      <c r="O34" s="56">
        <f t="shared" si="3"/>
        <v>0</v>
      </c>
      <c r="P34" s="56">
        <f t="shared" si="3"/>
        <v>0</v>
      </c>
      <c r="Q34" s="216">
        <f>I34+J34+K34+L34+M34+N34+O34+P34</f>
        <v>0</v>
      </c>
    </row>
    <row r="35" spans="1:17" x14ac:dyDescent="0.2">
      <c r="A35" s="276"/>
      <c r="B35" s="276"/>
      <c r="C35" s="276"/>
      <c r="D35" s="276"/>
      <c r="E35" s="276"/>
      <c r="F35" s="387" t="s">
        <v>462</v>
      </c>
      <c r="G35" s="282" t="s">
        <v>598</v>
      </c>
      <c r="H35" s="178"/>
      <c r="I35" s="58"/>
      <c r="J35" s="58"/>
      <c r="K35" s="58"/>
      <c r="L35" s="58"/>
      <c r="M35" s="58"/>
      <c r="N35" s="58"/>
      <c r="O35" s="58"/>
      <c r="P35" s="58"/>
      <c r="Q35" s="216">
        <f>I35+J35+K35+L35+M35+N35+O35+P35</f>
        <v>0</v>
      </c>
    </row>
    <row r="36" spans="1:17" x14ac:dyDescent="0.2">
      <c r="A36" s="276"/>
      <c r="B36" s="276"/>
      <c r="C36" s="276"/>
      <c r="D36" s="276"/>
      <c r="E36" s="276"/>
      <c r="F36" s="387" t="s">
        <v>463</v>
      </c>
      <c r="G36" s="282" t="s">
        <v>599</v>
      </c>
      <c r="H36" s="178"/>
      <c r="I36" s="58"/>
      <c r="J36" s="58"/>
      <c r="K36" s="58"/>
      <c r="L36" s="58"/>
      <c r="M36" s="58"/>
      <c r="N36" s="58"/>
      <c r="O36" s="58"/>
      <c r="P36" s="58"/>
      <c r="Q36" s="216">
        <f>I36+J36+K36+L36+M36+N36+O36+P36</f>
        <v>0</v>
      </c>
    </row>
    <row r="37" spans="1:17" x14ac:dyDescent="0.2">
      <c r="A37" s="276"/>
      <c r="B37" s="276"/>
      <c r="C37" s="276"/>
      <c r="D37" s="276"/>
      <c r="E37" s="276"/>
      <c r="F37" s="387"/>
      <c r="G37" s="282"/>
      <c r="H37" s="178"/>
      <c r="I37" s="218"/>
      <c r="J37" s="218"/>
      <c r="K37" s="218"/>
      <c r="L37" s="218"/>
      <c r="M37" s="218"/>
      <c r="N37" s="218"/>
      <c r="O37" s="218"/>
      <c r="P37" s="218"/>
      <c r="Q37" s="216"/>
    </row>
    <row r="38" spans="1:17" x14ac:dyDescent="0.2">
      <c r="A38" s="273" t="s">
        <v>471</v>
      </c>
      <c r="B38" s="273"/>
      <c r="C38" s="273"/>
      <c r="D38" s="273"/>
      <c r="E38" s="273"/>
      <c r="F38" s="276" t="s">
        <v>470</v>
      </c>
      <c r="G38" s="282" t="s">
        <v>600</v>
      </c>
      <c r="H38" s="175"/>
      <c r="I38" s="58"/>
      <c r="J38" s="58"/>
      <c r="K38" s="58"/>
      <c r="L38" s="58"/>
      <c r="M38" s="58"/>
      <c r="N38" s="58"/>
      <c r="O38" s="58"/>
      <c r="P38" s="58"/>
      <c r="Q38" s="216">
        <f>I38+J38+K38+L38+M38+N38+O38+P38</f>
        <v>0</v>
      </c>
    </row>
    <row r="39" spans="1:17" x14ac:dyDescent="0.2">
      <c r="A39" s="273"/>
      <c r="B39" s="273"/>
      <c r="C39" s="273"/>
      <c r="D39" s="273"/>
      <c r="E39" s="273"/>
      <c r="F39" s="276" t="s">
        <v>725</v>
      </c>
      <c r="G39" s="282" t="s">
        <v>726</v>
      </c>
      <c r="H39" s="175"/>
      <c r="I39" s="58"/>
      <c r="J39" s="58"/>
      <c r="K39" s="58"/>
      <c r="L39" s="58"/>
      <c r="M39" s="58"/>
      <c r="N39" s="58"/>
      <c r="O39" s="58"/>
      <c r="P39" s="58"/>
      <c r="Q39" s="216">
        <f>I39+J39+K39+L39+M39+N39+O39+P39</f>
        <v>0</v>
      </c>
    </row>
    <row r="40" spans="1:17" x14ac:dyDescent="0.2">
      <c r="A40" s="276"/>
      <c r="B40" s="276"/>
      <c r="C40" s="276"/>
      <c r="D40" s="276"/>
      <c r="E40" s="276"/>
      <c r="F40" s="276"/>
      <c r="G40" s="282"/>
      <c r="H40" s="175"/>
      <c r="I40" s="218"/>
      <c r="J40" s="218"/>
      <c r="K40" s="218"/>
      <c r="L40" s="218"/>
      <c r="M40" s="218"/>
      <c r="N40" s="218"/>
      <c r="O40" s="218"/>
      <c r="P40" s="218"/>
      <c r="Q40" s="216"/>
    </row>
    <row r="41" spans="1:17" ht="21.75" customHeight="1" x14ac:dyDescent="0.2">
      <c r="A41" s="272" t="s">
        <v>473</v>
      </c>
      <c r="B41" s="272"/>
      <c r="C41" s="272"/>
      <c r="D41" s="272"/>
      <c r="E41" s="272"/>
      <c r="F41" s="401" t="s">
        <v>472</v>
      </c>
      <c r="G41" s="283" t="s">
        <v>601</v>
      </c>
      <c r="H41" s="179"/>
      <c r="I41" s="183"/>
      <c r="J41" s="183"/>
      <c r="K41" s="183"/>
      <c r="L41" s="183"/>
      <c r="M41" s="58"/>
      <c r="N41" s="58"/>
      <c r="O41" s="58"/>
      <c r="P41" s="58"/>
      <c r="Q41" s="216">
        <f>I41+J41+K41+L41+M41+N41+O41+P41</f>
        <v>0</v>
      </c>
    </row>
    <row r="42" spans="1:17" ht="11.25" customHeight="1" x14ac:dyDescent="0.2">
      <c r="A42" s="347"/>
      <c r="B42" s="347"/>
      <c r="C42" s="347"/>
      <c r="D42" s="347"/>
      <c r="E42" s="347"/>
      <c r="F42" s="401"/>
      <c r="G42" s="282"/>
      <c r="H42" s="179"/>
      <c r="I42" s="219"/>
      <c r="J42" s="219"/>
      <c r="K42" s="219"/>
      <c r="L42" s="219"/>
      <c r="M42" s="218"/>
      <c r="N42" s="218"/>
      <c r="O42" s="218"/>
      <c r="P42" s="218"/>
      <c r="Q42" s="216"/>
    </row>
    <row r="43" spans="1:17" ht="11.25" customHeight="1" x14ac:dyDescent="0.2">
      <c r="A43" s="272" t="s">
        <v>476</v>
      </c>
      <c r="B43" s="272"/>
      <c r="C43" s="272"/>
      <c r="D43" s="272"/>
      <c r="E43" s="272"/>
      <c r="F43" s="401" t="s">
        <v>475</v>
      </c>
      <c r="G43" s="282" t="s">
        <v>602</v>
      </c>
      <c r="H43" s="179"/>
      <c r="I43" s="183"/>
      <c r="J43" s="183"/>
      <c r="K43" s="183"/>
      <c r="L43" s="183"/>
      <c r="M43" s="58"/>
      <c r="N43" s="58"/>
      <c r="O43" s="58"/>
      <c r="P43" s="58"/>
      <c r="Q43" s="216">
        <f>I43+J43+K43+L43+M43+N43+O43+P43</f>
        <v>0</v>
      </c>
    </row>
    <row r="44" spans="1:17" ht="11.25" customHeight="1" x14ac:dyDescent="0.2">
      <c r="A44" s="347"/>
      <c r="B44" s="347"/>
      <c r="C44" s="347"/>
      <c r="D44" s="347"/>
      <c r="E44" s="347"/>
      <c r="F44" s="276"/>
      <c r="G44" s="282"/>
      <c r="H44" s="179"/>
      <c r="I44" s="219"/>
      <c r="J44" s="219"/>
      <c r="K44" s="219"/>
      <c r="L44" s="219"/>
      <c r="M44" s="218"/>
      <c r="N44" s="218"/>
      <c r="O44" s="218"/>
      <c r="P44" s="218"/>
      <c r="Q44" s="216"/>
    </row>
    <row r="45" spans="1:17" ht="11.25" customHeight="1" x14ac:dyDescent="0.2">
      <c r="A45" s="272" t="s">
        <v>478</v>
      </c>
      <c r="B45" s="272"/>
      <c r="C45" s="272"/>
      <c r="D45" s="272"/>
      <c r="E45" s="272"/>
      <c r="F45" s="276" t="s">
        <v>479</v>
      </c>
      <c r="G45" s="282" t="s">
        <v>621</v>
      </c>
      <c r="H45" s="179"/>
      <c r="I45" s="183"/>
      <c r="J45" s="183"/>
      <c r="K45" s="183"/>
      <c r="L45" s="183"/>
      <c r="M45" s="58"/>
      <c r="N45" s="58"/>
      <c r="O45" s="58"/>
      <c r="P45" s="58"/>
      <c r="Q45" s="216">
        <f>I45+J45+K45+L45+M45+N45+O45+P45</f>
        <v>0</v>
      </c>
    </row>
    <row r="46" spans="1:17" ht="11.25" customHeight="1" x14ac:dyDescent="0.2">
      <c r="A46" s="272"/>
      <c r="B46" s="272"/>
      <c r="C46" s="272"/>
      <c r="D46" s="272"/>
      <c r="E46" s="272"/>
      <c r="F46" s="401"/>
      <c r="G46" s="282"/>
      <c r="H46" s="179"/>
      <c r="I46" s="219"/>
      <c r="J46" s="219"/>
      <c r="K46" s="219"/>
      <c r="L46" s="219"/>
      <c r="M46" s="218"/>
      <c r="N46" s="218"/>
      <c r="O46" s="218"/>
      <c r="P46" s="218"/>
      <c r="Q46" s="216"/>
    </row>
    <row r="47" spans="1:17" x14ac:dyDescent="0.2">
      <c r="A47" s="273" t="s">
        <v>552</v>
      </c>
      <c r="B47" s="273"/>
      <c r="C47" s="273"/>
      <c r="D47" s="273"/>
      <c r="E47" s="273"/>
      <c r="F47" s="401" t="s">
        <v>477</v>
      </c>
      <c r="G47" s="282" t="s">
        <v>604</v>
      </c>
      <c r="H47" s="175"/>
      <c r="I47" s="58"/>
      <c r="J47" s="58"/>
      <c r="K47" s="58"/>
      <c r="L47" s="58"/>
      <c r="M47" s="58"/>
      <c r="N47" s="58"/>
      <c r="O47" s="58"/>
      <c r="P47" s="58"/>
      <c r="Q47" s="216">
        <f>I47+J47+K47+L47+M47+N47+O47+P47</f>
        <v>0</v>
      </c>
    </row>
    <row r="48" spans="1:17" ht="11.25" customHeight="1" x14ac:dyDescent="0.2">
      <c r="A48" s="272"/>
      <c r="B48" s="272"/>
      <c r="C48" s="272"/>
      <c r="D48" s="272"/>
      <c r="E48" s="272"/>
      <c r="F48" s="401"/>
      <c r="G48" s="402"/>
      <c r="H48" s="179"/>
      <c r="I48" s="219"/>
      <c r="J48" s="219"/>
      <c r="K48" s="219"/>
      <c r="L48" s="219"/>
      <c r="M48" s="218"/>
      <c r="N48" s="218"/>
      <c r="O48" s="218"/>
      <c r="P48" s="218"/>
      <c r="Q48" s="216"/>
    </row>
    <row r="49" spans="1:17" ht="22.5" x14ac:dyDescent="0.2">
      <c r="A49" s="272" t="s">
        <v>654</v>
      </c>
      <c r="B49" s="273"/>
      <c r="C49" s="273"/>
      <c r="D49" s="273"/>
      <c r="E49" s="273"/>
      <c r="F49" s="274" t="s">
        <v>617</v>
      </c>
      <c r="G49" s="283" t="s">
        <v>605</v>
      </c>
      <c r="H49" s="175"/>
      <c r="I49" s="58"/>
      <c r="J49" s="58"/>
      <c r="K49" s="58"/>
      <c r="L49" s="58"/>
      <c r="M49" s="58"/>
      <c r="N49" s="58"/>
      <c r="O49" s="58"/>
      <c r="P49" s="58"/>
      <c r="Q49" s="216">
        <f>I49+J49+K49+L49+M49+N49+O49+P49</f>
        <v>0</v>
      </c>
    </row>
    <row r="50" spans="1:17" x14ac:dyDescent="0.2">
      <c r="A50" s="272"/>
      <c r="B50" s="273"/>
      <c r="C50" s="273"/>
      <c r="D50" s="273"/>
      <c r="E50" s="273"/>
      <c r="F50" s="274"/>
      <c r="G50" s="283"/>
      <c r="H50" s="267"/>
      <c r="I50" s="266"/>
      <c r="J50" s="266"/>
      <c r="K50" s="266"/>
      <c r="L50" s="266"/>
      <c r="M50" s="266"/>
      <c r="N50" s="266"/>
      <c r="O50" s="266"/>
      <c r="P50" s="266"/>
      <c r="Q50" s="216"/>
    </row>
    <row r="51" spans="1:17" x14ac:dyDescent="0.2">
      <c r="A51" s="272" t="s">
        <v>660</v>
      </c>
      <c r="B51" s="273"/>
      <c r="C51" s="273"/>
      <c r="D51" s="273"/>
      <c r="E51" s="273"/>
      <c r="F51" s="274" t="s">
        <v>52</v>
      </c>
      <c r="G51" s="283" t="s">
        <v>661</v>
      </c>
      <c r="H51" s="175"/>
      <c r="I51" s="58"/>
      <c r="J51" s="58"/>
      <c r="K51" s="58"/>
      <c r="L51" s="58"/>
      <c r="M51" s="58"/>
      <c r="N51" s="58"/>
      <c r="O51" s="58"/>
      <c r="P51" s="58"/>
      <c r="Q51" s="216">
        <f>I51+J51+K51+L51+M51+N51+O51+P51</f>
        <v>0</v>
      </c>
    </row>
    <row r="52" spans="1:17" x14ac:dyDescent="0.2">
      <c r="A52" s="272"/>
      <c r="B52" s="273"/>
      <c r="C52" s="273"/>
      <c r="D52" s="273"/>
      <c r="E52" s="273"/>
      <c r="F52" s="274"/>
      <c r="G52" s="283"/>
      <c r="H52" s="267"/>
      <c r="I52" s="266"/>
      <c r="J52" s="266"/>
      <c r="K52" s="266"/>
      <c r="L52" s="266"/>
      <c r="M52" s="266"/>
      <c r="N52" s="266"/>
      <c r="O52" s="266"/>
      <c r="P52" s="266"/>
      <c r="Q52" s="216"/>
    </row>
    <row r="53" spans="1:17" x14ac:dyDescent="0.2">
      <c r="A53" s="403" t="s">
        <v>480</v>
      </c>
      <c r="B53" s="403"/>
      <c r="C53" s="403"/>
      <c r="D53" s="403"/>
      <c r="E53" s="403"/>
      <c r="F53" s="276"/>
      <c r="G53" s="282" t="s">
        <v>585</v>
      </c>
      <c r="H53" s="175"/>
      <c r="I53" s="56">
        <f>I12+ I14+I16+I22+I26+I30+I34+I38+I41+I43+I45+I47+I49+I51</f>
        <v>0</v>
      </c>
      <c r="J53" s="56">
        <f>J12+ J14+J16+J22+J26+J30+J34+J38+J41+J43+J45+J47+J49+J51</f>
        <v>0</v>
      </c>
      <c r="K53" s="56">
        <f>K12+ K14+K16+K22+K26+K30+K34+K38+K41+K43+K45+K47+K49+K51</f>
        <v>0</v>
      </c>
      <c r="L53" s="56">
        <f>L12+ L14+L16+L22+L26+L30+L34+L38+L41+L43+L45+L47+L49 +L51</f>
        <v>0</v>
      </c>
      <c r="M53" s="56">
        <f>M12+ M14+M16+M22+M26+M30+M34+M38+M41+M43+M45+M47+M49 +M51</f>
        <v>0</v>
      </c>
      <c r="N53" s="56">
        <f>N12+ N14+N16+N22+N26+N30+N34+N38+N41+N43+N45+N47+N49 +N51</f>
        <v>0</v>
      </c>
      <c r="O53" s="56">
        <f>O12+ O14+O16+O22+O26+O30+O34+O38+O41+O43+O45+O47+O49 +O51</f>
        <v>0</v>
      </c>
      <c r="P53" s="56">
        <f>P12+ P14+P16+P22+P26+P30+P34+P38+P41+P43+P45+P47+P49 +P51</f>
        <v>0</v>
      </c>
      <c r="Q53" s="216">
        <f>I53+J53+K53+L53+M53+N53+O53+P53</f>
        <v>0</v>
      </c>
    </row>
    <row r="54" spans="1:17" x14ac:dyDescent="0.2">
      <c r="A54" s="403" t="s">
        <v>482</v>
      </c>
      <c r="B54" s="403"/>
      <c r="C54" s="403"/>
      <c r="D54" s="403"/>
      <c r="E54" s="403"/>
      <c r="F54" s="276"/>
      <c r="G54" s="404"/>
      <c r="H54" s="175"/>
      <c r="I54" s="139"/>
      <c r="J54" s="139"/>
      <c r="K54" s="139"/>
      <c r="L54" s="139"/>
      <c r="M54" s="139"/>
      <c r="N54" s="139"/>
      <c r="O54" s="139"/>
      <c r="P54" s="139"/>
      <c r="Q54" s="220"/>
    </row>
    <row r="55" spans="1:17" x14ac:dyDescent="0.2">
      <c r="A55" s="403"/>
      <c r="B55" s="403"/>
      <c r="C55" s="403"/>
      <c r="D55" s="403"/>
      <c r="E55" s="403"/>
      <c r="F55" s="276"/>
      <c r="G55" s="404"/>
      <c r="H55" s="175"/>
      <c r="I55" s="218"/>
      <c r="J55" s="218"/>
      <c r="K55" s="218"/>
      <c r="L55" s="218"/>
      <c r="M55" s="218"/>
      <c r="N55" s="218"/>
      <c r="O55" s="218"/>
      <c r="P55" s="218"/>
      <c r="Q55" s="216"/>
    </row>
    <row r="56" spans="1:17" x14ac:dyDescent="0.2">
      <c r="A56" s="273" t="s">
        <v>161</v>
      </c>
      <c r="B56" s="273"/>
      <c r="C56" s="273"/>
      <c r="D56" s="273"/>
      <c r="E56" s="273"/>
      <c r="F56" s="276" t="s">
        <v>483</v>
      </c>
      <c r="G56" s="282" t="s">
        <v>606</v>
      </c>
      <c r="H56" s="175"/>
      <c r="I56" s="58"/>
      <c r="J56" s="58"/>
      <c r="K56" s="58"/>
      <c r="L56" s="58"/>
      <c r="M56" s="139"/>
      <c r="N56" s="139"/>
      <c r="O56" s="139"/>
      <c r="P56" s="139"/>
      <c r="Q56" s="216">
        <f>I56+J56+K56+L56+M56+N56+O56+P56</f>
        <v>0</v>
      </c>
    </row>
    <row r="57" spans="1:17" x14ac:dyDescent="0.2">
      <c r="A57" s="403"/>
      <c r="B57" s="403"/>
      <c r="C57" s="403"/>
      <c r="D57" s="403"/>
      <c r="E57" s="403"/>
      <c r="F57" s="276"/>
      <c r="G57" s="404"/>
      <c r="H57" s="175"/>
      <c r="I57" s="218"/>
      <c r="J57" s="218"/>
      <c r="K57" s="218"/>
      <c r="L57" s="218"/>
      <c r="M57" s="218"/>
      <c r="N57" s="218"/>
      <c r="O57" s="218"/>
      <c r="P57" s="218"/>
      <c r="Q57" s="216"/>
    </row>
    <row r="58" spans="1:17" ht="22.5" x14ac:dyDescent="0.2">
      <c r="A58" s="272" t="s">
        <v>164</v>
      </c>
      <c r="B58" s="272"/>
      <c r="C58" s="272"/>
      <c r="D58" s="272"/>
      <c r="E58" s="272"/>
      <c r="F58" s="401" t="s">
        <v>484</v>
      </c>
      <c r="G58" s="283" t="s">
        <v>607</v>
      </c>
      <c r="H58" s="179"/>
      <c r="I58" s="58"/>
      <c r="J58" s="58"/>
      <c r="K58" s="58"/>
      <c r="L58" s="58"/>
      <c r="M58" s="58"/>
      <c r="N58" s="58"/>
      <c r="O58" s="58"/>
      <c r="P58" s="58"/>
      <c r="Q58" s="216">
        <f>I58+J58+K58+L58+M58+N58+O58+P58</f>
        <v>0</v>
      </c>
    </row>
    <row r="59" spans="1:17" x14ac:dyDescent="0.2">
      <c r="A59" s="403"/>
      <c r="B59" s="403"/>
      <c r="C59" s="403"/>
      <c r="D59" s="403"/>
      <c r="E59" s="403"/>
      <c r="F59" s="276"/>
      <c r="G59" s="282"/>
      <c r="H59" s="175"/>
      <c r="I59" s="218"/>
      <c r="J59" s="218"/>
      <c r="K59" s="218"/>
      <c r="L59" s="218"/>
      <c r="M59" s="218"/>
      <c r="N59" s="218"/>
      <c r="O59" s="218"/>
      <c r="P59" s="218"/>
      <c r="Q59" s="216"/>
    </row>
    <row r="60" spans="1:17" x14ac:dyDescent="0.2">
      <c r="A60" s="273" t="s">
        <v>207</v>
      </c>
      <c r="B60" s="273"/>
      <c r="C60" s="273"/>
      <c r="D60" s="273"/>
      <c r="E60" s="273"/>
      <c r="F60" s="276" t="s">
        <v>485</v>
      </c>
      <c r="G60" s="282" t="s">
        <v>608</v>
      </c>
      <c r="H60" s="175"/>
      <c r="I60" s="58"/>
      <c r="J60" s="58"/>
      <c r="K60" s="58"/>
      <c r="L60" s="58"/>
      <c r="M60" s="58"/>
      <c r="N60" s="58"/>
      <c r="O60" s="58"/>
      <c r="P60" s="58"/>
      <c r="Q60" s="216">
        <f>I60+J60+K60+L60+M60+N60+O60+P60</f>
        <v>0</v>
      </c>
    </row>
    <row r="61" spans="1:17" x14ac:dyDescent="0.2">
      <c r="A61" s="276"/>
      <c r="B61" s="276"/>
      <c r="C61" s="276"/>
      <c r="D61" s="276"/>
      <c r="E61" s="276"/>
      <c r="F61" s="276"/>
      <c r="G61" s="282"/>
      <c r="H61" s="180"/>
      <c r="I61" s="143"/>
      <c r="J61" s="143"/>
      <c r="K61" s="143"/>
      <c r="L61" s="143"/>
      <c r="M61" s="143"/>
      <c r="N61" s="143"/>
      <c r="O61" s="143"/>
      <c r="P61" s="143"/>
      <c r="Q61" s="216"/>
    </row>
    <row r="62" spans="1:17" x14ac:dyDescent="0.2">
      <c r="A62" s="273" t="s">
        <v>209</v>
      </c>
      <c r="B62" s="276"/>
      <c r="C62" s="276"/>
      <c r="D62" s="276"/>
      <c r="E62" s="276"/>
      <c r="F62" s="276" t="s">
        <v>662</v>
      </c>
      <c r="G62" s="282" t="s">
        <v>663</v>
      </c>
      <c r="H62" s="175"/>
      <c r="I62" s="58"/>
      <c r="J62" s="58"/>
      <c r="K62" s="58"/>
      <c r="L62" s="58"/>
      <c r="M62" s="58"/>
      <c r="N62" s="58"/>
      <c r="O62" s="58"/>
      <c r="P62" s="58"/>
      <c r="Q62" s="216">
        <f>I62+J62+K62+L62+M62+N62+O62+P62</f>
        <v>0</v>
      </c>
    </row>
    <row r="63" spans="1:17" x14ac:dyDescent="0.2">
      <c r="A63" s="276"/>
      <c r="B63" s="276"/>
      <c r="C63" s="276"/>
      <c r="D63" s="276"/>
      <c r="E63" s="276"/>
      <c r="F63" s="276"/>
      <c r="G63" s="282"/>
      <c r="H63" s="175"/>
      <c r="I63" s="218"/>
      <c r="J63" s="218"/>
      <c r="K63" s="218"/>
      <c r="L63" s="218"/>
      <c r="M63" s="218"/>
      <c r="N63" s="218"/>
      <c r="O63" s="218"/>
      <c r="P63" s="218"/>
      <c r="Q63" s="216"/>
    </row>
    <row r="64" spans="1:17" x14ac:dyDescent="0.2">
      <c r="A64" s="273" t="s">
        <v>465</v>
      </c>
      <c r="B64" s="273"/>
      <c r="C64" s="273"/>
      <c r="D64" s="273"/>
      <c r="E64" s="273"/>
      <c r="F64" s="276" t="s">
        <v>486</v>
      </c>
      <c r="G64" s="282" t="s">
        <v>609</v>
      </c>
      <c r="H64" s="175"/>
      <c r="I64" s="58"/>
      <c r="J64" s="58"/>
      <c r="K64" s="58"/>
      <c r="L64" s="58"/>
      <c r="M64" s="58"/>
      <c r="N64" s="58"/>
      <c r="O64" s="58"/>
      <c r="P64" s="58"/>
      <c r="Q64" s="216">
        <f>I64+J64+K64+L64+M64+N64+O64+P64</f>
        <v>0</v>
      </c>
    </row>
    <row r="65" spans="1:17" x14ac:dyDescent="0.2">
      <c r="A65" s="276"/>
      <c r="B65" s="276"/>
      <c r="C65" s="276"/>
      <c r="D65" s="276"/>
      <c r="E65" s="276"/>
      <c r="F65" s="276"/>
      <c r="G65" s="282"/>
      <c r="H65" s="175"/>
      <c r="I65" s="218"/>
      <c r="J65" s="218"/>
      <c r="K65" s="218"/>
      <c r="L65" s="218"/>
      <c r="M65" s="218"/>
      <c r="N65" s="218"/>
      <c r="O65" s="218"/>
      <c r="P65" s="218"/>
      <c r="Q65" s="216"/>
    </row>
    <row r="66" spans="1:17" x14ac:dyDescent="0.2">
      <c r="A66" s="273" t="s">
        <v>467</v>
      </c>
      <c r="B66" s="273"/>
      <c r="C66" s="273"/>
      <c r="D66" s="273"/>
      <c r="E66" s="273"/>
      <c r="F66" s="276" t="s">
        <v>487</v>
      </c>
      <c r="G66" s="282" t="s">
        <v>610</v>
      </c>
      <c r="H66" s="175"/>
      <c r="I66" s="58"/>
      <c r="J66" s="58"/>
      <c r="K66" s="58"/>
      <c r="L66" s="58"/>
      <c r="M66" s="58"/>
      <c r="N66" s="58"/>
      <c r="O66" s="58"/>
      <c r="P66" s="58"/>
      <c r="Q66" s="216">
        <f>I66+J66+K66+L66+M66+N66+O66+P66</f>
        <v>0</v>
      </c>
    </row>
    <row r="67" spans="1:17" x14ac:dyDescent="0.2">
      <c r="A67" s="276"/>
      <c r="B67" s="276"/>
      <c r="C67" s="276"/>
      <c r="D67" s="276"/>
      <c r="E67" s="276"/>
      <c r="F67" s="276"/>
      <c r="G67" s="282"/>
      <c r="H67" s="175"/>
      <c r="I67" s="218"/>
      <c r="J67" s="218"/>
      <c r="K67" s="218"/>
      <c r="L67" s="218"/>
      <c r="M67" s="218"/>
      <c r="N67" s="218"/>
      <c r="O67" s="218"/>
      <c r="P67" s="218"/>
      <c r="Q67" s="216"/>
    </row>
    <row r="68" spans="1:17" x14ac:dyDescent="0.2">
      <c r="A68" s="273" t="s">
        <v>469</v>
      </c>
      <c r="B68" s="273"/>
      <c r="C68" s="273"/>
      <c r="D68" s="273"/>
      <c r="E68" s="273"/>
      <c r="F68" s="276" t="s">
        <v>488</v>
      </c>
      <c r="G68" s="282" t="s">
        <v>611</v>
      </c>
      <c r="H68" s="175"/>
      <c r="I68" s="58"/>
      <c r="J68" s="58"/>
      <c r="K68" s="58"/>
      <c r="L68" s="58"/>
      <c r="M68" s="58"/>
      <c r="N68" s="58"/>
      <c r="O68" s="58"/>
      <c r="P68" s="58"/>
      <c r="Q68" s="216">
        <f>I68+J68+K68+L68+M68+N68+O68+P68</f>
        <v>0</v>
      </c>
    </row>
    <row r="69" spans="1:17" x14ac:dyDescent="0.2">
      <c r="A69" s="276"/>
      <c r="B69" s="276"/>
      <c r="C69" s="276"/>
      <c r="D69" s="276"/>
      <c r="E69" s="276"/>
      <c r="F69" s="276"/>
      <c r="G69" s="282"/>
      <c r="H69" s="175"/>
      <c r="I69" s="218"/>
      <c r="J69" s="218"/>
      <c r="K69" s="218"/>
      <c r="L69" s="218"/>
      <c r="M69" s="218"/>
      <c r="N69" s="218"/>
      <c r="O69" s="218"/>
      <c r="P69" s="218"/>
      <c r="Q69" s="216"/>
    </row>
    <row r="70" spans="1:17" x14ac:dyDescent="0.2">
      <c r="A70" s="273" t="s">
        <v>471</v>
      </c>
      <c r="B70" s="273"/>
      <c r="C70" s="273"/>
      <c r="D70" s="273"/>
      <c r="E70" s="273"/>
      <c r="F70" s="276" t="s">
        <v>489</v>
      </c>
      <c r="G70" s="282" t="s">
        <v>612</v>
      </c>
      <c r="H70" s="175"/>
      <c r="I70" s="58"/>
      <c r="J70" s="58"/>
      <c r="K70" s="58"/>
      <c r="L70" s="58"/>
      <c r="M70" s="58"/>
      <c r="N70" s="58"/>
      <c r="O70" s="58"/>
      <c r="P70" s="58"/>
      <c r="Q70" s="216">
        <f>I70+J70+K70+L70+M70+N70+O70+P70</f>
        <v>0</v>
      </c>
    </row>
    <row r="71" spans="1:17" x14ac:dyDescent="0.2">
      <c r="A71" s="273"/>
      <c r="B71" s="273"/>
      <c r="C71" s="273"/>
      <c r="D71" s="273"/>
      <c r="E71" s="273"/>
      <c r="F71" s="276"/>
      <c r="G71" s="282"/>
      <c r="H71" s="180"/>
      <c r="I71" s="143"/>
      <c r="J71" s="143"/>
      <c r="K71" s="143"/>
      <c r="L71" s="143"/>
      <c r="M71" s="143"/>
      <c r="N71" s="143"/>
      <c r="O71" s="143"/>
      <c r="P71" s="143"/>
      <c r="Q71" s="217"/>
    </row>
    <row r="72" spans="1:17" x14ac:dyDescent="0.2">
      <c r="A72" s="273" t="s">
        <v>473</v>
      </c>
      <c r="B72" s="276"/>
      <c r="C72" s="276"/>
      <c r="D72" s="276"/>
      <c r="E72" s="276"/>
      <c r="F72" s="276" t="s">
        <v>664</v>
      </c>
      <c r="G72" s="282" t="s">
        <v>665</v>
      </c>
      <c r="H72" s="175"/>
      <c r="I72" s="58"/>
      <c r="J72" s="58"/>
      <c r="K72" s="58"/>
      <c r="L72" s="58"/>
      <c r="M72" s="58"/>
      <c r="N72" s="58"/>
      <c r="O72" s="58"/>
      <c r="P72" s="58"/>
      <c r="Q72" s="216">
        <f>I72+J72+K72+L72+M72+N72+O72+P72</f>
        <v>0</v>
      </c>
    </row>
    <row r="73" spans="1:17" x14ac:dyDescent="0.2">
      <c r="A73" s="276"/>
      <c r="B73" s="276"/>
      <c r="C73" s="276"/>
      <c r="D73" s="276"/>
      <c r="E73" s="276"/>
      <c r="F73" s="276"/>
      <c r="G73" s="282"/>
      <c r="H73" s="175"/>
      <c r="I73" s="218"/>
      <c r="J73" s="218"/>
      <c r="K73" s="218"/>
      <c r="L73" s="218"/>
      <c r="M73" s="218"/>
      <c r="N73" s="218"/>
      <c r="O73" s="218"/>
      <c r="P73" s="218"/>
      <c r="Q73" s="216"/>
    </row>
    <row r="74" spans="1:17" x14ac:dyDescent="0.2">
      <c r="A74" s="273" t="s">
        <v>476</v>
      </c>
      <c r="B74" s="273"/>
      <c r="C74" s="273"/>
      <c r="D74" s="273"/>
      <c r="E74" s="273"/>
      <c r="F74" s="276" t="s">
        <v>490</v>
      </c>
      <c r="G74" s="282" t="s">
        <v>613</v>
      </c>
      <c r="H74" s="175"/>
      <c r="I74" s="58"/>
      <c r="J74" s="58"/>
      <c r="K74" s="58"/>
      <c r="L74" s="58"/>
      <c r="M74" s="58"/>
      <c r="N74" s="58"/>
      <c r="O74" s="58"/>
      <c r="P74" s="58"/>
      <c r="Q74" s="216">
        <f>I74+J74+K74+L74+M74+N74+O74+P74</f>
        <v>0</v>
      </c>
    </row>
    <row r="75" spans="1:17" x14ac:dyDescent="0.2">
      <c r="A75" s="276"/>
      <c r="B75" s="276"/>
      <c r="C75" s="276"/>
      <c r="D75" s="276"/>
      <c r="E75" s="276"/>
      <c r="F75" s="276"/>
      <c r="G75" s="282"/>
      <c r="H75" s="175"/>
      <c r="I75" s="218"/>
      <c r="J75" s="218"/>
      <c r="K75" s="218"/>
      <c r="L75" s="218"/>
      <c r="M75" s="218"/>
      <c r="N75" s="218"/>
      <c r="O75" s="218"/>
      <c r="P75" s="218"/>
      <c r="Q75" s="216"/>
    </row>
    <row r="76" spans="1:17" x14ac:dyDescent="0.2">
      <c r="A76" s="273" t="s">
        <v>478</v>
      </c>
      <c r="B76" s="273"/>
      <c r="C76" s="273"/>
      <c r="D76" s="273"/>
      <c r="E76" s="273"/>
      <c r="F76" s="276" t="s">
        <v>491</v>
      </c>
      <c r="G76" s="282" t="s">
        <v>614</v>
      </c>
      <c r="H76" s="175"/>
      <c r="I76" s="58"/>
      <c r="J76" s="58"/>
      <c r="K76" s="58"/>
      <c r="L76" s="58"/>
      <c r="M76" s="58"/>
      <c r="N76" s="58"/>
      <c r="O76" s="58"/>
      <c r="P76" s="58"/>
      <c r="Q76" s="216">
        <f>I76+J76+K76+L76+M76+N76+O76+P76</f>
        <v>0</v>
      </c>
    </row>
    <row r="77" spans="1:17" x14ac:dyDescent="0.2">
      <c r="A77" s="273"/>
      <c r="B77" s="273"/>
      <c r="C77" s="273"/>
      <c r="D77" s="273"/>
      <c r="E77" s="273"/>
      <c r="F77" s="276"/>
      <c r="G77" s="282"/>
      <c r="H77" s="175"/>
      <c r="I77" s="218"/>
      <c r="J77" s="218"/>
      <c r="K77" s="218"/>
      <c r="L77" s="218"/>
      <c r="M77" s="218"/>
      <c r="N77" s="218"/>
      <c r="O77" s="218"/>
      <c r="P77" s="218"/>
      <c r="Q77" s="216"/>
    </row>
    <row r="78" spans="1:17" x14ac:dyDescent="0.2">
      <c r="A78" s="273" t="s">
        <v>552</v>
      </c>
      <c r="B78" s="273"/>
      <c r="C78" s="273"/>
      <c r="D78" s="273"/>
      <c r="E78" s="273"/>
      <c r="F78" s="276" t="s">
        <v>492</v>
      </c>
      <c r="G78" s="282" t="s">
        <v>615</v>
      </c>
      <c r="H78" s="175"/>
      <c r="I78" s="58"/>
      <c r="J78" s="58"/>
      <c r="K78" s="58"/>
      <c r="L78" s="58"/>
      <c r="M78" s="58"/>
      <c r="N78" s="58"/>
      <c r="O78" s="58"/>
      <c r="P78" s="58"/>
      <c r="Q78" s="216">
        <f>I78+J78+K78+L78+M78+N78+O78+P78</f>
        <v>0</v>
      </c>
    </row>
    <row r="79" spans="1:17" x14ac:dyDescent="0.2">
      <c r="A79" s="273"/>
      <c r="B79" s="273"/>
      <c r="C79" s="273"/>
      <c r="D79" s="273"/>
      <c r="E79" s="273"/>
      <c r="F79" s="276"/>
      <c r="G79" s="404"/>
      <c r="H79" s="175"/>
      <c r="I79" s="218"/>
      <c r="J79" s="218"/>
      <c r="K79" s="218"/>
      <c r="L79" s="218"/>
      <c r="M79" s="218"/>
      <c r="N79" s="218"/>
      <c r="O79" s="218"/>
      <c r="P79" s="218"/>
      <c r="Q79" s="216"/>
    </row>
    <row r="80" spans="1:17" ht="22.5" x14ac:dyDescent="0.2">
      <c r="A80" s="272" t="s">
        <v>654</v>
      </c>
      <c r="B80" s="273"/>
      <c r="C80" s="273"/>
      <c r="D80" s="273"/>
      <c r="E80" s="273"/>
      <c r="F80" s="274" t="s">
        <v>618</v>
      </c>
      <c r="G80" s="283" t="s">
        <v>616</v>
      </c>
      <c r="H80" s="175"/>
      <c r="I80" s="58"/>
      <c r="J80" s="58"/>
      <c r="K80" s="58"/>
      <c r="L80" s="58"/>
      <c r="M80" s="58"/>
      <c r="N80" s="58"/>
      <c r="O80" s="58"/>
      <c r="P80" s="58"/>
      <c r="Q80" s="216">
        <f>I80+J80+K80+L80+M80+N80+O80+P80</f>
        <v>0</v>
      </c>
    </row>
    <row r="81" spans="1:17" x14ac:dyDescent="0.2">
      <c r="A81" s="272"/>
      <c r="B81" s="273"/>
      <c r="C81" s="273"/>
      <c r="D81" s="273"/>
      <c r="E81" s="273"/>
      <c r="F81" s="274"/>
      <c r="G81" s="283"/>
      <c r="H81" s="267"/>
      <c r="I81" s="266"/>
      <c r="J81" s="266"/>
      <c r="K81" s="266"/>
      <c r="L81" s="266"/>
      <c r="M81" s="266"/>
      <c r="N81" s="266"/>
      <c r="O81" s="266"/>
      <c r="P81" s="266"/>
      <c r="Q81" s="216"/>
    </row>
    <row r="82" spans="1:17" x14ac:dyDescent="0.2">
      <c r="A82" s="272" t="s">
        <v>660</v>
      </c>
      <c r="B82" s="273"/>
      <c r="C82" s="273"/>
      <c r="D82" s="273"/>
      <c r="E82" s="273"/>
      <c r="F82" s="274" t="s">
        <v>52</v>
      </c>
      <c r="G82" s="283" t="s">
        <v>666</v>
      </c>
      <c r="H82" s="175"/>
      <c r="I82" s="58"/>
      <c r="J82" s="58"/>
      <c r="K82" s="58"/>
      <c r="L82" s="58"/>
      <c r="M82" s="58"/>
      <c r="N82" s="58"/>
      <c r="O82" s="58"/>
      <c r="P82" s="58"/>
      <c r="Q82" s="216">
        <f>I82+J82+K82+L82+M82+N82+O82+P82</f>
        <v>0</v>
      </c>
    </row>
    <row r="83" spans="1:17" x14ac:dyDescent="0.2">
      <c r="A83" s="272"/>
      <c r="B83" s="273"/>
      <c r="C83" s="273"/>
      <c r="D83" s="273"/>
      <c r="E83" s="273"/>
      <c r="F83" s="274"/>
      <c r="G83" s="283"/>
      <c r="H83" s="267"/>
      <c r="I83" s="266"/>
      <c r="J83" s="266"/>
      <c r="K83" s="266"/>
      <c r="L83" s="266"/>
      <c r="M83" s="266"/>
      <c r="N83" s="266"/>
      <c r="O83" s="266"/>
      <c r="P83" s="266"/>
      <c r="Q83" s="216"/>
    </row>
    <row r="84" spans="1:17" x14ac:dyDescent="0.2">
      <c r="A84" s="403" t="s">
        <v>493</v>
      </c>
      <c r="B84" s="403"/>
      <c r="C84" s="403"/>
      <c r="D84" s="403"/>
      <c r="E84" s="403"/>
      <c r="F84" s="276"/>
      <c r="G84" s="282" t="s">
        <v>586</v>
      </c>
      <c r="H84" s="175"/>
      <c r="I84" s="56">
        <f>I56+I58+I60+I62+I64+I66+I68+I70+I72+I74+I76+I78+I80+I82</f>
        <v>0</v>
      </c>
      <c r="J84" s="56">
        <f t="shared" ref="J84:P84" si="4">J56+J58+J60+J62+J64+J66+J68+J70+J72+J74+J76+J78+J80+J82</f>
        <v>0</v>
      </c>
      <c r="K84" s="56">
        <f>K56+K58+K60+K62+K64+K66+K68+K70+K72+K74+K76+K78+K80+K82</f>
        <v>0</v>
      </c>
      <c r="L84" s="56">
        <f t="shared" si="4"/>
        <v>0</v>
      </c>
      <c r="M84" s="56">
        <f t="shared" si="4"/>
        <v>0</v>
      </c>
      <c r="N84" s="56">
        <f t="shared" si="4"/>
        <v>0</v>
      </c>
      <c r="O84" s="56">
        <f t="shared" si="4"/>
        <v>0</v>
      </c>
      <c r="P84" s="56">
        <f t="shared" si="4"/>
        <v>0</v>
      </c>
      <c r="Q84" s="216">
        <f>I84+J84+K84+L84+M84+N84+O84+P84</f>
        <v>0</v>
      </c>
    </row>
    <row r="85" spans="1:17" x14ac:dyDescent="0.2">
      <c r="A85" s="405"/>
      <c r="B85" s="405"/>
      <c r="C85" s="405"/>
      <c r="D85" s="405"/>
      <c r="E85" s="405"/>
      <c r="F85" s="387"/>
      <c r="G85" s="392"/>
      <c r="H85" s="178"/>
      <c r="I85" s="218"/>
      <c r="J85" s="218"/>
      <c r="K85" s="218"/>
      <c r="L85" s="218"/>
      <c r="M85" s="218"/>
      <c r="N85" s="218"/>
      <c r="O85" s="218"/>
      <c r="P85" s="218"/>
      <c r="Q85" s="216"/>
    </row>
    <row r="86" spans="1:17" x14ac:dyDescent="0.2">
      <c r="A86" s="403" t="s">
        <v>495</v>
      </c>
      <c r="B86" s="403"/>
      <c r="C86" s="403"/>
      <c r="D86" s="403"/>
      <c r="E86" s="403"/>
      <c r="F86" s="276"/>
      <c r="G86" s="282" t="s">
        <v>587</v>
      </c>
      <c r="H86" s="194"/>
      <c r="I86" s="56">
        <f t="shared" ref="I86:P86" si="5">I53-I84</f>
        <v>0</v>
      </c>
      <c r="J86" s="56">
        <f t="shared" si="5"/>
        <v>0</v>
      </c>
      <c r="K86" s="56">
        <f>K53-K84</f>
        <v>0</v>
      </c>
      <c r="L86" s="56">
        <f t="shared" si="5"/>
        <v>0</v>
      </c>
      <c r="M86" s="56">
        <f t="shared" si="5"/>
        <v>0</v>
      </c>
      <c r="N86" s="56">
        <f t="shared" si="5"/>
        <v>0</v>
      </c>
      <c r="O86" s="56">
        <f t="shared" si="5"/>
        <v>0</v>
      </c>
      <c r="P86" s="56">
        <f t="shared" si="5"/>
        <v>0</v>
      </c>
      <c r="Q86" s="216">
        <f>I86+J86+K86+L86+M86+N86+O86+P86</f>
        <v>0</v>
      </c>
    </row>
    <row r="87" spans="1:17" x14ac:dyDescent="0.2">
      <c r="A87" s="21"/>
      <c r="B87" s="21"/>
      <c r="C87" s="21"/>
      <c r="D87" s="21"/>
      <c r="E87" s="21"/>
      <c r="F87" s="21"/>
      <c r="G87" s="234" t="s">
        <v>108</v>
      </c>
      <c r="H87" s="116"/>
    </row>
    <row r="88" spans="1:17" x14ac:dyDescent="0.2">
      <c r="A88" s="21"/>
      <c r="B88" s="21"/>
      <c r="C88" s="21"/>
      <c r="D88" s="21"/>
      <c r="E88" s="21"/>
      <c r="F88" s="21"/>
      <c r="G88" s="116"/>
      <c r="H88" s="116"/>
    </row>
    <row r="89" spans="1:17" x14ac:dyDescent="0.2">
      <c r="A89" s="21"/>
      <c r="B89" s="21"/>
      <c r="C89" s="21"/>
      <c r="D89" s="21"/>
      <c r="E89" s="21"/>
      <c r="F89" s="21"/>
      <c r="G89" s="116"/>
      <c r="H89" s="116"/>
    </row>
    <row r="90" spans="1:17" x14ac:dyDescent="0.2">
      <c r="A90" s="21"/>
      <c r="B90" s="21"/>
      <c r="C90" s="21"/>
      <c r="D90" s="21"/>
      <c r="E90" s="21"/>
      <c r="F90" s="21"/>
      <c r="G90" s="116"/>
      <c r="H90" s="116"/>
    </row>
    <row r="91" spans="1:17" x14ac:dyDescent="0.2">
      <c r="A91" s="21"/>
      <c r="B91" s="21"/>
      <c r="C91" s="21"/>
      <c r="D91" s="21"/>
      <c r="E91" s="21"/>
      <c r="F91" s="21"/>
      <c r="G91" s="116"/>
      <c r="H91" s="116"/>
    </row>
    <row r="92" spans="1:17" x14ac:dyDescent="0.2">
      <c r="A92" s="21"/>
      <c r="B92" s="21"/>
      <c r="C92" s="21"/>
      <c r="D92" s="21"/>
      <c r="E92" s="21"/>
      <c r="F92" s="21"/>
      <c r="G92" s="116"/>
      <c r="H92" s="116"/>
    </row>
    <row r="93" spans="1:17" x14ac:dyDescent="0.2">
      <c r="A93" s="21"/>
      <c r="B93" s="21"/>
      <c r="C93" s="21"/>
      <c r="D93" s="21"/>
      <c r="E93" s="21"/>
      <c r="F93" s="21"/>
      <c r="G93" s="116"/>
      <c r="H93" s="116"/>
    </row>
    <row r="94" spans="1:17" x14ac:dyDescent="0.2">
      <c r="A94" s="21"/>
      <c r="B94" s="21"/>
      <c r="C94" s="21"/>
      <c r="D94" s="21"/>
      <c r="E94" s="21"/>
      <c r="F94" s="21"/>
      <c r="G94" s="116"/>
      <c r="H94" s="116"/>
    </row>
    <row r="95" spans="1:17" x14ac:dyDescent="0.2">
      <c r="A95" s="21"/>
      <c r="B95" s="21"/>
      <c r="C95" s="21"/>
      <c r="D95" s="21"/>
      <c r="E95" s="21"/>
      <c r="F95" s="21"/>
      <c r="G95" s="116"/>
      <c r="H95" s="116"/>
    </row>
    <row r="96" spans="1:17" x14ac:dyDescent="0.2">
      <c r="A96" s="21"/>
      <c r="B96" s="21"/>
      <c r="C96" s="21"/>
      <c r="D96" s="21"/>
      <c r="E96" s="21"/>
      <c r="F96" s="21"/>
      <c r="G96" s="116"/>
      <c r="H96" s="116"/>
    </row>
    <row r="97" spans="1:8" x14ac:dyDescent="0.2">
      <c r="A97" s="21"/>
      <c r="B97" s="21"/>
      <c r="C97" s="21"/>
      <c r="D97" s="21"/>
      <c r="E97" s="21"/>
      <c r="F97" s="21"/>
      <c r="G97" s="116"/>
      <c r="H97" s="116"/>
    </row>
    <row r="98" spans="1:8" x14ac:dyDescent="0.2">
      <c r="A98" s="21"/>
      <c r="B98" s="21"/>
      <c r="C98" s="21"/>
      <c r="D98" s="21"/>
      <c r="E98" s="21"/>
      <c r="F98" s="21"/>
      <c r="G98" s="116"/>
      <c r="H98" s="116"/>
    </row>
    <row r="99" spans="1:8" x14ac:dyDescent="0.2">
      <c r="A99" s="21"/>
      <c r="B99" s="21"/>
      <c r="C99" s="21"/>
      <c r="D99" s="21"/>
      <c r="E99" s="21"/>
      <c r="F99" s="21"/>
      <c r="G99" s="116"/>
      <c r="H99" s="116"/>
    </row>
    <row r="100" spans="1:8" x14ac:dyDescent="0.2">
      <c r="A100" s="21"/>
      <c r="B100" s="21"/>
      <c r="C100" s="21"/>
      <c r="D100" s="21"/>
      <c r="E100" s="21"/>
      <c r="F100" s="21"/>
      <c r="G100" s="116"/>
      <c r="H100" s="116"/>
    </row>
    <row r="101" spans="1:8" x14ac:dyDescent="0.2">
      <c r="A101" s="21"/>
      <c r="B101" s="21"/>
      <c r="C101" s="21"/>
      <c r="D101" s="21"/>
      <c r="E101" s="21"/>
      <c r="F101" s="21"/>
      <c r="G101" s="116"/>
      <c r="H101" s="116"/>
    </row>
    <row r="102" spans="1:8" x14ac:dyDescent="0.2">
      <c r="A102" s="21"/>
      <c r="B102" s="21"/>
      <c r="C102" s="21"/>
      <c r="D102" s="21"/>
      <c r="E102" s="21"/>
      <c r="F102" s="21"/>
      <c r="G102" s="116"/>
      <c r="H102" s="116"/>
    </row>
    <row r="103" spans="1:8" x14ac:dyDescent="0.2">
      <c r="A103" s="21"/>
      <c r="B103" s="21"/>
      <c r="C103" s="21"/>
      <c r="D103" s="21"/>
      <c r="E103" s="21"/>
      <c r="F103" s="21"/>
      <c r="G103" s="116"/>
      <c r="H103" s="116"/>
    </row>
    <row r="104" spans="1:8" x14ac:dyDescent="0.2">
      <c r="A104" s="21"/>
      <c r="B104" s="21"/>
      <c r="C104" s="21"/>
      <c r="D104" s="21"/>
      <c r="E104" s="21"/>
      <c r="F104" s="21"/>
      <c r="G104" s="116"/>
      <c r="H104" s="116"/>
    </row>
    <row r="105" spans="1:8" x14ac:dyDescent="0.2">
      <c r="A105" s="21"/>
      <c r="B105" s="21"/>
      <c r="C105" s="21"/>
      <c r="D105" s="21"/>
      <c r="E105" s="21"/>
      <c r="F105" s="21"/>
      <c r="G105" s="116"/>
      <c r="H105" s="116"/>
    </row>
    <row r="106" spans="1:8" x14ac:dyDescent="0.2">
      <c r="A106" s="21"/>
      <c r="B106" s="21"/>
      <c r="C106" s="21"/>
      <c r="D106" s="21"/>
      <c r="E106" s="21"/>
      <c r="F106" s="21"/>
      <c r="G106" s="116"/>
      <c r="H106" s="116"/>
    </row>
    <row r="107" spans="1:8" x14ac:dyDescent="0.2">
      <c r="A107" s="21"/>
      <c r="B107" s="21"/>
      <c r="C107" s="21"/>
      <c r="D107" s="21"/>
      <c r="E107" s="21"/>
      <c r="F107" s="21"/>
      <c r="G107" s="116"/>
      <c r="H107" s="116"/>
    </row>
    <row r="108" spans="1:8" x14ac:dyDescent="0.2">
      <c r="A108" s="21"/>
      <c r="B108" s="21"/>
      <c r="C108" s="21"/>
      <c r="D108" s="21"/>
      <c r="E108" s="21"/>
      <c r="F108" s="21"/>
      <c r="G108" s="116"/>
      <c r="H108" s="116"/>
    </row>
    <row r="109" spans="1:8" x14ac:dyDescent="0.2">
      <c r="A109" s="21"/>
      <c r="B109" s="21"/>
      <c r="C109" s="21"/>
      <c r="D109" s="21"/>
      <c r="E109" s="21"/>
      <c r="F109" s="21"/>
      <c r="G109" s="116"/>
      <c r="H109" s="116"/>
    </row>
    <row r="110" spans="1:8" x14ac:dyDescent="0.2">
      <c r="A110" s="21"/>
      <c r="B110" s="21"/>
      <c r="C110" s="21"/>
      <c r="D110" s="21"/>
      <c r="E110" s="21"/>
      <c r="F110" s="21"/>
      <c r="G110" s="116"/>
      <c r="H110" s="116"/>
    </row>
    <row r="111" spans="1:8" x14ac:dyDescent="0.2">
      <c r="A111" s="21"/>
      <c r="B111" s="21"/>
      <c r="C111" s="21"/>
      <c r="D111" s="21"/>
      <c r="E111" s="21"/>
      <c r="F111" s="21"/>
      <c r="G111" s="116"/>
      <c r="H111" s="116"/>
    </row>
    <row r="112" spans="1:8" x14ac:dyDescent="0.2">
      <c r="A112" s="21"/>
      <c r="B112" s="21"/>
      <c r="C112" s="21"/>
      <c r="D112" s="21"/>
      <c r="E112" s="21"/>
      <c r="F112" s="21"/>
      <c r="G112" s="116"/>
      <c r="H112" s="116"/>
    </row>
    <row r="113" spans="1:8" x14ac:dyDescent="0.2">
      <c r="A113" s="21"/>
      <c r="B113" s="21"/>
      <c r="C113" s="21"/>
      <c r="D113" s="21"/>
      <c r="E113" s="21"/>
      <c r="F113" s="21"/>
      <c r="G113" s="116"/>
      <c r="H113" s="116"/>
    </row>
    <row r="114" spans="1:8" x14ac:dyDescent="0.2">
      <c r="A114" s="21"/>
      <c r="B114" s="21"/>
      <c r="C114" s="21"/>
      <c r="D114" s="21"/>
      <c r="E114" s="21"/>
      <c r="F114" s="21"/>
      <c r="G114" s="116"/>
      <c r="H114" s="116"/>
    </row>
    <row r="115" spans="1:8" x14ac:dyDescent="0.2">
      <c r="A115" s="21"/>
      <c r="B115" s="21"/>
      <c r="C115" s="21"/>
      <c r="D115" s="21"/>
      <c r="E115" s="21"/>
      <c r="F115" s="21"/>
      <c r="G115" s="116"/>
      <c r="H115" s="116"/>
    </row>
    <row r="116" spans="1:8" x14ac:dyDescent="0.2">
      <c r="A116" s="21"/>
      <c r="B116" s="21"/>
      <c r="C116" s="21"/>
      <c r="D116" s="21"/>
      <c r="E116" s="21"/>
      <c r="F116" s="21"/>
      <c r="G116" s="116"/>
      <c r="H116" s="116"/>
    </row>
    <row r="117" spans="1:8" x14ac:dyDescent="0.2">
      <c r="A117" s="21"/>
      <c r="B117" s="21"/>
      <c r="C117" s="21"/>
      <c r="D117" s="21"/>
      <c r="E117" s="21"/>
      <c r="F117" s="21"/>
      <c r="G117" s="116"/>
      <c r="H117" s="116"/>
    </row>
    <row r="118" spans="1:8" x14ac:dyDescent="0.2">
      <c r="A118" s="21"/>
      <c r="B118" s="21"/>
      <c r="C118" s="21"/>
      <c r="D118" s="21"/>
      <c r="E118" s="21"/>
      <c r="F118" s="21"/>
      <c r="G118" s="116"/>
      <c r="H118" s="116"/>
    </row>
    <row r="119" spans="1:8" x14ac:dyDescent="0.2">
      <c r="A119" s="21"/>
      <c r="B119" s="21"/>
      <c r="C119" s="21"/>
      <c r="D119" s="21"/>
      <c r="E119" s="21"/>
      <c r="F119" s="21"/>
      <c r="G119" s="116"/>
      <c r="H119" s="116"/>
    </row>
    <row r="120" spans="1:8" x14ac:dyDescent="0.2">
      <c r="A120" s="21"/>
      <c r="B120" s="21"/>
      <c r="C120" s="21"/>
      <c r="D120" s="21"/>
      <c r="E120" s="21"/>
      <c r="F120" s="21"/>
      <c r="G120" s="116"/>
      <c r="H120" s="116"/>
    </row>
    <row r="121" spans="1:8" x14ac:dyDescent="0.2">
      <c r="A121" s="21"/>
      <c r="B121" s="21"/>
      <c r="C121" s="21"/>
      <c r="D121" s="21"/>
      <c r="E121" s="21"/>
      <c r="F121" s="21"/>
      <c r="G121" s="116"/>
      <c r="H121" s="116"/>
    </row>
    <row r="122" spans="1:8" x14ac:dyDescent="0.2">
      <c r="A122" s="21"/>
      <c r="B122" s="21"/>
      <c r="C122" s="21"/>
      <c r="D122" s="21"/>
      <c r="E122" s="21"/>
      <c r="F122" s="21"/>
      <c r="G122" s="116"/>
      <c r="H122" s="116"/>
    </row>
    <row r="123" spans="1:8" x14ac:dyDescent="0.2">
      <c r="A123" s="21"/>
      <c r="B123" s="21"/>
      <c r="C123" s="21"/>
      <c r="D123" s="21"/>
      <c r="E123" s="21"/>
      <c r="F123" s="21"/>
      <c r="G123" s="116"/>
      <c r="H123" s="116"/>
    </row>
    <row r="124" spans="1:8" x14ac:dyDescent="0.2">
      <c r="A124" s="21"/>
      <c r="B124" s="21"/>
      <c r="C124" s="21"/>
      <c r="D124" s="21"/>
      <c r="E124" s="21"/>
      <c r="F124" s="21"/>
      <c r="G124" s="116"/>
      <c r="H124" s="116"/>
    </row>
    <row r="125" spans="1:8" x14ac:dyDescent="0.2">
      <c r="A125" s="21"/>
      <c r="B125" s="21"/>
      <c r="C125" s="21"/>
      <c r="D125" s="21"/>
      <c r="E125" s="21"/>
      <c r="F125" s="21"/>
      <c r="G125" s="116"/>
      <c r="H125" s="116"/>
    </row>
    <row r="126" spans="1:8" x14ac:dyDescent="0.2">
      <c r="A126" s="21"/>
      <c r="B126" s="21"/>
      <c r="C126" s="21"/>
      <c r="D126" s="21"/>
      <c r="E126" s="21"/>
      <c r="F126" s="21"/>
      <c r="G126" s="116"/>
      <c r="H126" s="116"/>
    </row>
    <row r="127" spans="1:8" x14ac:dyDescent="0.2">
      <c r="A127" s="21"/>
      <c r="B127" s="21"/>
      <c r="C127" s="21"/>
      <c r="D127" s="21"/>
      <c r="E127" s="21"/>
      <c r="F127" s="21"/>
      <c r="G127" s="116"/>
      <c r="H127" s="116"/>
    </row>
    <row r="128" spans="1:8" x14ac:dyDescent="0.2">
      <c r="A128" s="21"/>
      <c r="B128" s="21"/>
      <c r="C128" s="21"/>
      <c r="D128" s="21"/>
      <c r="E128" s="21"/>
      <c r="F128" s="21"/>
      <c r="G128" s="116"/>
      <c r="H128" s="116"/>
    </row>
    <row r="129" spans="1:8" x14ac:dyDescent="0.2">
      <c r="A129" s="21"/>
      <c r="B129" s="21"/>
      <c r="C129" s="21"/>
      <c r="D129" s="21"/>
      <c r="E129" s="21"/>
      <c r="F129" s="21"/>
      <c r="G129" s="116"/>
      <c r="H129" s="116"/>
    </row>
    <row r="130" spans="1:8" x14ac:dyDescent="0.2">
      <c r="A130" s="21"/>
      <c r="B130" s="21"/>
      <c r="C130" s="21"/>
      <c r="D130" s="21"/>
      <c r="E130" s="21"/>
      <c r="F130" s="21"/>
      <c r="G130" s="116"/>
      <c r="H130" s="116"/>
    </row>
    <row r="131" spans="1:8" x14ac:dyDescent="0.2">
      <c r="A131" s="21"/>
      <c r="B131" s="21"/>
      <c r="C131" s="21"/>
      <c r="D131" s="21"/>
      <c r="E131" s="21"/>
      <c r="F131" s="21"/>
      <c r="G131" s="116"/>
      <c r="H131" s="116"/>
    </row>
    <row r="132" spans="1:8" x14ac:dyDescent="0.2">
      <c r="A132" s="21"/>
      <c r="B132" s="21"/>
      <c r="C132" s="21"/>
      <c r="D132" s="21"/>
      <c r="E132" s="21"/>
      <c r="F132" s="21"/>
      <c r="G132" s="116"/>
      <c r="H132" s="116"/>
    </row>
    <row r="133" spans="1:8" x14ac:dyDescent="0.2">
      <c r="A133" s="21"/>
      <c r="B133" s="21"/>
      <c r="C133" s="21"/>
      <c r="D133" s="21"/>
      <c r="E133" s="21"/>
      <c r="F133" s="21"/>
      <c r="G133" s="116"/>
      <c r="H133" s="116"/>
    </row>
    <row r="134" spans="1:8" x14ac:dyDescent="0.2">
      <c r="A134" s="21"/>
      <c r="B134" s="21"/>
      <c r="C134" s="21"/>
      <c r="D134" s="21"/>
      <c r="E134" s="21"/>
      <c r="F134" s="21"/>
      <c r="G134" s="116"/>
      <c r="H134" s="116"/>
    </row>
    <row r="135" spans="1:8" x14ac:dyDescent="0.2">
      <c r="A135" s="21"/>
      <c r="B135" s="21"/>
      <c r="C135" s="21"/>
      <c r="D135" s="21"/>
      <c r="E135" s="21"/>
      <c r="F135" s="21"/>
      <c r="G135" s="116"/>
      <c r="H135" s="116"/>
    </row>
    <row r="136" spans="1:8" x14ac:dyDescent="0.2">
      <c r="A136" s="21"/>
      <c r="B136" s="21"/>
      <c r="C136" s="21"/>
      <c r="D136" s="21"/>
      <c r="E136" s="21"/>
      <c r="F136" s="21"/>
      <c r="G136" s="116"/>
      <c r="H136" s="116"/>
    </row>
    <row r="137" spans="1:8" x14ac:dyDescent="0.2">
      <c r="A137" s="21"/>
      <c r="B137" s="21"/>
      <c r="C137" s="21"/>
      <c r="D137" s="21"/>
      <c r="E137" s="21"/>
      <c r="F137" s="21"/>
      <c r="G137" s="116"/>
      <c r="H137" s="116"/>
    </row>
    <row r="138" spans="1:8" x14ac:dyDescent="0.2">
      <c r="A138" s="21"/>
      <c r="B138" s="21"/>
      <c r="C138" s="21"/>
      <c r="D138" s="21"/>
      <c r="E138" s="21"/>
      <c r="F138" s="21"/>
      <c r="G138" s="116"/>
      <c r="H138" s="116"/>
    </row>
    <row r="139" spans="1:8" x14ac:dyDescent="0.2">
      <c r="A139" s="21"/>
      <c r="B139" s="21"/>
      <c r="C139" s="21"/>
      <c r="D139" s="21"/>
      <c r="E139" s="21"/>
      <c r="F139" s="21"/>
      <c r="G139" s="116"/>
      <c r="H139" s="116"/>
    </row>
    <row r="140" spans="1:8" x14ac:dyDescent="0.2">
      <c r="A140" s="21"/>
      <c r="B140" s="21"/>
      <c r="C140" s="21"/>
      <c r="D140" s="21"/>
      <c r="E140" s="21"/>
      <c r="F140" s="21"/>
      <c r="G140" s="116"/>
      <c r="H140" s="116"/>
    </row>
    <row r="141" spans="1:8" x14ac:dyDescent="0.2">
      <c r="A141" s="21"/>
      <c r="B141" s="21"/>
      <c r="C141" s="21"/>
      <c r="D141" s="21"/>
      <c r="E141" s="21"/>
      <c r="F141" s="21"/>
      <c r="G141" s="116"/>
      <c r="H141" s="116"/>
    </row>
    <row r="142" spans="1:8" x14ac:dyDescent="0.2">
      <c r="A142" s="21"/>
      <c r="B142" s="21"/>
      <c r="C142" s="21"/>
      <c r="D142" s="21"/>
      <c r="E142" s="21"/>
      <c r="F142" s="21"/>
      <c r="G142" s="116"/>
      <c r="H142" s="116"/>
    </row>
    <row r="143" spans="1:8" x14ac:dyDescent="0.2">
      <c r="A143" s="21"/>
      <c r="B143" s="21"/>
      <c r="C143" s="21"/>
      <c r="D143" s="21"/>
      <c r="E143" s="21"/>
      <c r="F143" s="21"/>
      <c r="G143" s="116"/>
      <c r="H143" s="116"/>
    </row>
    <row r="144" spans="1:8" x14ac:dyDescent="0.2">
      <c r="A144" s="21"/>
      <c r="B144" s="21"/>
      <c r="C144" s="21"/>
      <c r="D144" s="21"/>
      <c r="E144" s="21"/>
      <c r="F144" s="21"/>
      <c r="G144" s="116"/>
      <c r="H144" s="116"/>
    </row>
    <row r="145" spans="1:8" x14ac:dyDescent="0.2">
      <c r="A145" s="21"/>
      <c r="B145" s="21"/>
      <c r="C145" s="21"/>
      <c r="D145" s="21"/>
      <c r="E145" s="21"/>
      <c r="F145" s="21"/>
      <c r="G145" s="116"/>
      <c r="H145" s="116"/>
    </row>
    <row r="146" spans="1:8" x14ac:dyDescent="0.2">
      <c r="A146" s="21"/>
      <c r="B146" s="21"/>
      <c r="C146" s="21"/>
      <c r="D146" s="21"/>
      <c r="E146" s="21"/>
      <c r="F146" s="21"/>
      <c r="G146" s="116"/>
      <c r="H146" s="116"/>
    </row>
    <row r="147" spans="1:8" x14ac:dyDescent="0.2">
      <c r="A147" s="21"/>
      <c r="B147" s="21"/>
      <c r="C147" s="21"/>
      <c r="D147" s="21"/>
      <c r="E147" s="21"/>
      <c r="F147" s="21"/>
      <c r="G147" s="116"/>
      <c r="H147" s="116"/>
    </row>
    <row r="148" spans="1:8" x14ac:dyDescent="0.2">
      <c r="A148" s="21"/>
      <c r="B148" s="21"/>
      <c r="C148" s="21"/>
      <c r="D148" s="21"/>
      <c r="E148" s="21"/>
      <c r="F148" s="21"/>
      <c r="G148" s="116"/>
      <c r="H148" s="116"/>
    </row>
    <row r="149" spans="1:8" x14ac:dyDescent="0.2">
      <c r="A149" s="21"/>
      <c r="B149" s="21"/>
      <c r="C149" s="21"/>
      <c r="D149" s="21"/>
      <c r="E149" s="21"/>
      <c r="F149" s="21"/>
      <c r="G149" s="116"/>
      <c r="H149" s="116"/>
    </row>
    <row r="150" spans="1:8" x14ac:dyDescent="0.2">
      <c r="A150" s="21"/>
      <c r="B150" s="21"/>
      <c r="C150" s="21"/>
      <c r="D150" s="21"/>
      <c r="E150" s="21"/>
      <c r="F150" s="21"/>
      <c r="G150" s="116"/>
      <c r="H150" s="116"/>
    </row>
    <row r="151" spans="1:8" x14ac:dyDescent="0.2">
      <c r="A151" s="21"/>
      <c r="B151" s="21"/>
      <c r="C151" s="21"/>
      <c r="D151" s="21"/>
      <c r="E151" s="21"/>
      <c r="F151" s="21"/>
      <c r="G151" s="116"/>
      <c r="H151" s="116"/>
    </row>
    <row r="152" spans="1:8" x14ac:dyDescent="0.2">
      <c r="A152" s="21"/>
      <c r="B152" s="21"/>
      <c r="C152" s="21"/>
      <c r="D152" s="21"/>
      <c r="E152" s="21"/>
      <c r="F152" s="21"/>
      <c r="G152" s="116"/>
      <c r="H152" s="116"/>
    </row>
    <row r="153" spans="1:8" x14ac:dyDescent="0.2">
      <c r="A153" s="21"/>
      <c r="B153" s="21"/>
      <c r="C153" s="21"/>
      <c r="D153" s="21"/>
      <c r="E153" s="21"/>
      <c r="F153" s="21"/>
      <c r="G153" s="116"/>
      <c r="H153" s="116"/>
    </row>
    <row r="154" spans="1:8" x14ac:dyDescent="0.2">
      <c r="A154" s="21"/>
      <c r="B154" s="21"/>
      <c r="C154" s="21"/>
      <c r="D154" s="21"/>
      <c r="E154" s="21"/>
      <c r="F154" s="21"/>
      <c r="G154" s="116"/>
      <c r="H154" s="116"/>
    </row>
    <row r="155" spans="1:8" x14ac:dyDescent="0.2">
      <c r="A155" s="21"/>
      <c r="B155" s="21"/>
      <c r="C155" s="21"/>
      <c r="D155" s="21"/>
      <c r="E155" s="21"/>
      <c r="F155" s="21"/>
      <c r="G155" s="116"/>
      <c r="H155" s="116"/>
    </row>
    <row r="156" spans="1:8" x14ac:dyDescent="0.2">
      <c r="A156" s="21"/>
      <c r="B156" s="21"/>
      <c r="C156" s="21"/>
      <c r="D156" s="21"/>
      <c r="E156" s="21"/>
      <c r="F156" s="21"/>
      <c r="G156" s="116"/>
      <c r="H156" s="116"/>
    </row>
    <row r="157" spans="1:8" x14ac:dyDescent="0.2">
      <c r="A157" s="21"/>
      <c r="B157" s="21"/>
      <c r="C157" s="21"/>
      <c r="D157" s="21"/>
      <c r="E157" s="21"/>
      <c r="F157" s="21"/>
      <c r="G157" s="116"/>
      <c r="H157" s="116"/>
    </row>
    <row r="158" spans="1:8" x14ac:dyDescent="0.2">
      <c r="A158" s="21"/>
      <c r="B158" s="21"/>
      <c r="C158" s="21"/>
      <c r="D158" s="21"/>
      <c r="E158" s="21"/>
      <c r="F158" s="21"/>
      <c r="G158" s="116"/>
      <c r="H158" s="116"/>
    </row>
    <row r="159" spans="1:8" x14ac:dyDescent="0.2">
      <c r="A159" s="21"/>
      <c r="B159" s="21"/>
      <c r="C159" s="21"/>
      <c r="D159" s="21"/>
      <c r="E159" s="21"/>
      <c r="F159" s="21"/>
      <c r="G159" s="116"/>
      <c r="H159" s="116"/>
    </row>
    <row r="160" spans="1:8" x14ac:dyDescent="0.2">
      <c r="A160" s="21"/>
      <c r="B160" s="21"/>
      <c r="C160" s="21"/>
      <c r="D160" s="21"/>
      <c r="E160" s="21"/>
      <c r="F160" s="21"/>
      <c r="G160" s="116"/>
      <c r="H160" s="116"/>
    </row>
    <row r="161" spans="1:8" x14ac:dyDescent="0.2">
      <c r="A161" s="21"/>
      <c r="B161" s="21"/>
      <c r="C161" s="21"/>
      <c r="D161" s="21"/>
      <c r="E161" s="21"/>
      <c r="F161" s="21"/>
      <c r="G161" s="116"/>
      <c r="H161" s="116"/>
    </row>
    <row r="162" spans="1:8" x14ac:dyDescent="0.2">
      <c r="A162" s="21"/>
      <c r="B162" s="21"/>
      <c r="C162" s="21"/>
      <c r="D162" s="21"/>
      <c r="E162" s="21"/>
      <c r="F162" s="21"/>
      <c r="G162" s="116"/>
      <c r="H162" s="116"/>
    </row>
    <row r="163" spans="1:8" x14ac:dyDescent="0.2">
      <c r="A163" s="21"/>
      <c r="B163" s="21"/>
      <c r="C163" s="21"/>
      <c r="D163" s="21"/>
      <c r="E163" s="21"/>
      <c r="F163" s="21"/>
      <c r="G163" s="116"/>
      <c r="H163" s="116"/>
    </row>
    <row r="164" spans="1:8" x14ac:dyDescent="0.2">
      <c r="A164" s="21"/>
      <c r="B164" s="21"/>
      <c r="C164" s="21"/>
      <c r="D164" s="21"/>
      <c r="E164" s="21"/>
      <c r="F164" s="21"/>
      <c r="G164" s="116"/>
      <c r="H164" s="116"/>
    </row>
    <row r="165" spans="1:8" x14ac:dyDescent="0.2">
      <c r="A165" s="21"/>
      <c r="B165" s="21"/>
      <c r="C165" s="21"/>
      <c r="D165" s="21"/>
      <c r="E165" s="21"/>
      <c r="F165" s="21"/>
      <c r="G165" s="116"/>
      <c r="H165" s="116"/>
    </row>
    <row r="166" spans="1:8" x14ac:dyDescent="0.2">
      <c r="A166" s="21"/>
      <c r="B166" s="21"/>
      <c r="C166" s="21"/>
      <c r="D166" s="21"/>
      <c r="E166" s="21"/>
      <c r="F166" s="21"/>
      <c r="G166" s="116"/>
      <c r="H166" s="116"/>
    </row>
    <row r="167" spans="1:8" x14ac:dyDescent="0.2">
      <c r="A167" s="21"/>
      <c r="B167" s="21"/>
      <c r="C167" s="21"/>
      <c r="D167" s="21"/>
      <c r="E167" s="21"/>
      <c r="F167" s="21"/>
      <c r="G167" s="116"/>
      <c r="H167" s="116"/>
    </row>
    <row r="168" spans="1:8" x14ac:dyDescent="0.2">
      <c r="A168" s="21"/>
      <c r="B168" s="21"/>
      <c r="C168" s="21"/>
      <c r="D168" s="21"/>
      <c r="E168" s="21"/>
      <c r="F168" s="21"/>
      <c r="G168" s="116"/>
      <c r="H168" s="116"/>
    </row>
    <row r="169" spans="1:8" x14ac:dyDescent="0.2">
      <c r="A169" s="21"/>
      <c r="B169" s="21"/>
      <c r="C169" s="21"/>
      <c r="D169" s="21"/>
      <c r="E169" s="21"/>
      <c r="F169" s="21"/>
      <c r="G169" s="116"/>
      <c r="H169" s="116"/>
    </row>
    <row r="170" spans="1:8" x14ac:dyDescent="0.2">
      <c r="A170" s="21"/>
      <c r="B170" s="21"/>
      <c r="C170" s="21"/>
      <c r="D170" s="21"/>
      <c r="E170" s="21"/>
      <c r="F170" s="21"/>
      <c r="G170" s="116"/>
      <c r="H170" s="116"/>
    </row>
    <row r="171" spans="1:8" x14ac:dyDescent="0.2">
      <c r="A171" s="21"/>
      <c r="B171" s="21"/>
      <c r="C171" s="21"/>
      <c r="D171" s="21"/>
      <c r="E171" s="21"/>
      <c r="F171" s="21"/>
      <c r="G171" s="116"/>
      <c r="H171" s="116"/>
    </row>
    <row r="172" spans="1:8" x14ac:dyDescent="0.2">
      <c r="A172" s="21"/>
      <c r="B172" s="21"/>
      <c r="C172" s="21"/>
      <c r="D172" s="21"/>
      <c r="E172" s="21"/>
      <c r="F172" s="21"/>
      <c r="G172" s="116"/>
      <c r="H172" s="116"/>
    </row>
    <row r="173" spans="1:8" x14ac:dyDescent="0.2">
      <c r="A173" s="21"/>
      <c r="B173" s="21"/>
      <c r="C173" s="21"/>
      <c r="D173" s="21"/>
      <c r="E173" s="21"/>
      <c r="F173" s="21"/>
      <c r="G173" s="116"/>
      <c r="H173" s="116"/>
    </row>
    <row r="174" spans="1:8" x14ac:dyDescent="0.2">
      <c r="A174" s="21"/>
      <c r="B174" s="21"/>
      <c r="C174" s="21"/>
      <c r="D174" s="21"/>
      <c r="E174" s="21"/>
      <c r="F174" s="21"/>
      <c r="G174" s="116"/>
      <c r="H174" s="116"/>
    </row>
    <row r="175" spans="1:8" x14ac:dyDescent="0.2">
      <c r="A175" s="21"/>
      <c r="B175" s="21"/>
      <c r="C175" s="21"/>
      <c r="D175" s="21"/>
      <c r="E175" s="21"/>
      <c r="F175" s="21"/>
      <c r="G175" s="116"/>
      <c r="H175" s="116"/>
    </row>
    <row r="176" spans="1:8" x14ac:dyDescent="0.2">
      <c r="A176" s="21"/>
      <c r="B176" s="21"/>
      <c r="C176" s="21"/>
      <c r="D176" s="21"/>
      <c r="E176" s="21"/>
      <c r="F176" s="21"/>
      <c r="G176" s="116"/>
      <c r="H176" s="116"/>
    </row>
    <row r="177" spans="1:8" x14ac:dyDescent="0.2">
      <c r="A177" s="21"/>
      <c r="B177" s="21"/>
      <c r="C177" s="21"/>
      <c r="D177" s="21"/>
      <c r="E177" s="21"/>
      <c r="F177" s="21"/>
      <c r="G177" s="116"/>
      <c r="H177" s="116"/>
    </row>
    <row r="178" spans="1:8" x14ac:dyDescent="0.2">
      <c r="A178" s="21"/>
      <c r="B178" s="21"/>
      <c r="C178" s="21"/>
      <c r="D178" s="21"/>
      <c r="E178" s="21"/>
      <c r="F178" s="21"/>
      <c r="G178" s="116"/>
      <c r="H178" s="116"/>
    </row>
    <row r="179" spans="1:8" x14ac:dyDescent="0.2">
      <c r="A179" s="21"/>
      <c r="B179" s="21"/>
      <c r="C179" s="21"/>
      <c r="D179" s="21"/>
      <c r="E179" s="21"/>
      <c r="F179" s="21"/>
      <c r="G179" s="116"/>
      <c r="H179" s="116"/>
    </row>
    <row r="180" spans="1:8" x14ac:dyDescent="0.2">
      <c r="A180" s="21"/>
      <c r="B180" s="21"/>
      <c r="C180" s="21"/>
      <c r="D180" s="21"/>
      <c r="E180" s="21"/>
      <c r="F180" s="21"/>
      <c r="G180" s="116"/>
      <c r="H180" s="116"/>
    </row>
    <row r="181" spans="1:8" x14ac:dyDescent="0.2">
      <c r="A181" s="21"/>
      <c r="B181" s="21"/>
      <c r="C181" s="21"/>
      <c r="D181" s="21"/>
      <c r="E181" s="21"/>
      <c r="F181" s="21"/>
      <c r="G181" s="116"/>
      <c r="H181" s="116"/>
    </row>
    <row r="182" spans="1:8" x14ac:dyDescent="0.2">
      <c r="A182" s="21"/>
      <c r="B182" s="21"/>
      <c r="C182" s="21"/>
      <c r="D182" s="21"/>
      <c r="E182" s="21"/>
      <c r="F182" s="21"/>
      <c r="G182" s="116"/>
      <c r="H182" s="116"/>
    </row>
    <row r="183" spans="1:8" x14ac:dyDescent="0.2">
      <c r="A183" s="21"/>
      <c r="B183" s="21"/>
      <c r="C183" s="21"/>
      <c r="D183" s="21"/>
      <c r="E183" s="21"/>
      <c r="F183" s="21"/>
      <c r="G183" s="116"/>
      <c r="H183" s="116"/>
    </row>
    <row r="184" spans="1:8" x14ac:dyDescent="0.2">
      <c r="A184" s="21"/>
      <c r="B184" s="21"/>
      <c r="C184" s="21"/>
      <c r="D184" s="21"/>
      <c r="E184" s="21"/>
      <c r="F184" s="21"/>
      <c r="G184" s="116"/>
      <c r="H184" s="116"/>
    </row>
    <row r="185" spans="1:8" x14ac:dyDescent="0.2">
      <c r="A185" s="21"/>
      <c r="B185" s="21"/>
      <c r="C185" s="21"/>
      <c r="D185" s="21"/>
      <c r="E185" s="21"/>
      <c r="F185" s="21"/>
      <c r="G185" s="116"/>
      <c r="H185" s="116"/>
    </row>
    <row r="186" spans="1:8" x14ac:dyDescent="0.2">
      <c r="A186" s="21"/>
      <c r="B186" s="21"/>
      <c r="C186" s="21"/>
      <c r="D186" s="21"/>
      <c r="E186" s="21"/>
      <c r="F186" s="21"/>
      <c r="G186" s="116"/>
      <c r="H186" s="116"/>
    </row>
    <row r="187" spans="1:8" x14ac:dyDescent="0.2">
      <c r="A187" s="21"/>
      <c r="B187" s="21"/>
      <c r="C187" s="21"/>
      <c r="D187" s="21"/>
      <c r="E187" s="21"/>
      <c r="F187" s="21"/>
      <c r="G187" s="116"/>
      <c r="H187" s="116"/>
    </row>
    <row r="188" spans="1:8" x14ac:dyDescent="0.2">
      <c r="A188" s="21"/>
      <c r="B188" s="21"/>
      <c r="C188" s="21"/>
      <c r="D188" s="21"/>
      <c r="E188" s="21"/>
      <c r="F188" s="21"/>
      <c r="G188" s="116"/>
      <c r="H188" s="116"/>
    </row>
    <row r="189" spans="1:8" x14ac:dyDescent="0.2">
      <c r="A189" s="21"/>
      <c r="B189" s="21"/>
      <c r="C189" s="21"/>
      <c r="D189" s="21"/>
      <c r="E189" s="21"/>
      <c r="F189" s="21"/>
      <c r="G189" s="116"/>
      <c r="H189" s="116"/>
    </row>
    <row r="190" spans="1:8" x14ac:dyDescent="0.2">
      <c r="A190" s="21"/>
      <c r="B190" s="21"/>
      <c r="C190" s="21"/>
      <c r="D190" s="21"/>
      <c r="E190" s="21"/>
      <c r="F190" s="21"/>
      <c r="G190" s="116"/>
      <c r="H190" s="116"/>
    </row>
    <row r="191" spans="1:8" x14ac:dyDescent="0.2">
      <c r="A191" s="21"/>
      <c r="B191" s="21"/>
      <c r="C191" s="21"/>
      <c r="D191" s="21"/>
      <c r="E191" s="21"/>
      <c r="F191" s="21"/>
      <c r="G191" s="116"/>
      <c r="H191" s="116"/>
    </row>
    <row r="192" spans="1:8" x14ac:dyDescent="0.2">
      <c r="A192" s="21"/>
      <c r="B192" s="21"/>
      <c r="C192" s="21"/>
      <c r="D192" s="21"/>
      <c r="E192" s="21"/>
      <c r="F192" s="21"/>
      <c r="G192" s="116"/>
      <c r="H192" s="116"/>
    </row>
    <row r="193" spans="1:8" x14ac:dyDescent="0.2">
      <c r="A193" s="21"/>
      <c r="B193" s="21"/>
      <c r="C193" s="21"/>
      <c r="D193" s="21"/>
      <c r="E193" s="21"/>
      <c r="F193" s="21"/>
      <c r="G193" s="116"/>
      <c r="H193" s="116"/>
    </row>
    <row r="194" spans="1:8" x14ac:dyDescent="0.2">
      <c r="A194" s="21"/>
      <c r="B194" s="21"/>
      <c r="C194" s="21"/>
      <c r="D194" s="21"/>
      <c r="E194" s="21"/>
      <c r="F194" s="21"/>
      <c r="G194" s="116"/>
      <c r="H194" s="116"/>
    </row>
    <row r="195" spans="1:8" x14ac:dyDescent="0.2">
      <c r="A195" s="21"/>
      <c r="B195" s="21"/>
      <c r="C195" s="21"/>
      <c r="D195" s="21"/>
      <c r="E195" s="21"/>
      <c r="F195" s="21"/>
      <c r="G195" s="116"/>
      <c r="H195" s="116"/>
    </row>
    <row r="196" spans="1:8" x14ac:dyDescent="0.2">
      <c r="A196" s="21"/>
      <c r="B196" s="21"/>
      <c r="C196" s="21"/>
      <c r="D196" s="21"/>
      <c r="E196" s="21"/>
      <c r="F196" s="21"/>
      <c r="G196" s="116"/>
      <c r="H196" s="116"/>
    </row>
    <row r="197" spans="1:8" x14ac:dyDescent="0.2">
      <c r="A197" s="21"/>
      <c r="B197" s="21"/>
      <c r="C197" s="21"/>
      <c r="D197" s="21"/>
      <c r="E197" s="21"/>
      <c r="F197" s="21"/>
      <c r="G197" s="116"/>
      <c r="H197" s="116"/>
    </row>
    <row r="198" spans="1:8" x14ac:dyDescent="0.2">
      <c r="A198" s="21"/>
      <c r="B198" s="21"/>
      <c r="C198" s="21"/>
      <c r="D198" s="21"/>
      <c r="E198" s="21"/>
      <c r="F198" s="21"/>
      <c r="G198" s="116"/>
      <c r="H198" s="116"/>
    </row>
    <row r="199" spans="1:8" x14ac:dyDescent="0.2">
      <c r="A199" s="21"/>
      <c r="B199" s="21"/>
      <c r="C199" s="21"/>
      <c r="D199" s="21"/>
      <c r="E199" s="21"/>
      <c r="F199" s="21"/>
      <c r="G199" s="116"/>
      <c r="H199" s="116"/>
    </row>
    <row r="200" spans="1:8" x14ac:dyDescent="0.2">
      <c r="A200" s="21"/>
      <c r="B200" s="21"/>
      <c r="C200" s="21"/>
      <c r="D200" s="21"/>
      <c r="E200" s="21"/>
      <c r="F200" s="21"/>
      <c r="G200" s="116"/>
      <c r="H200" s="116"/>
    </row>
    <row r="201" spans="1:8" x14ac:dyDescent="0.2">
      <c r="A201" s="21"/>
      <c r="B201" s="21"/>
      <c r="C201" s="21"/>
      <c r="D201" s="21"/>
      <c r="E201" s="21"/>
      <c r="F201" s="21"/>
      <c r="G201" s="116"/>
      <c r="H201" s="116"/>
    </row>
    <row r="202" spans="1:8" x14ac:dyDescent="0.2">
      <c r="A202" s="21"/>
      <c r="B202" s="21"/>
      <c r="C202" s="21"/>
      <c r="D202" s="21"/>
      <c r="E202" s="21"/>
      <c r="F202" s="21"/>
      <c r="G202" s="116"/>
      <c r="H202" s="116"/>
    </row>
    <row r="203" spans="1:8" x14ac:dyDescent="0.2">
      <c r="A203" s="21"/>
      <c r="B203" s="21"/>
      <c r="C203" s="21"/>
      <c r="D203" s="21"/>
      <c r="E203" s="21"/>
      <c r="F203" s="21"/>
      <c r="G203" s="116"/>
      <c r="H203" s="116"/>
    </row>
    <row r="204" spans="1:8" x14ac:dyDescent="0.2">
      <c r="A204" s="21"/>
      <c r="B204" s="21"/>
      <c r="C204" s="21"/>
      <c r="D204" s="21"/>
      <c r="E204" s="21"/>
      <c r="F204" s="21"/>
      <c r="G204" s="116"/>
      <c r="H204" s="116"/>
    </row>
    <row r="205" spans="1:8" x14ac:dyDescent="0.2">
      <c r="A205" s="21"/>
      <c r="B205" s="21"/>
      <c r="C205" s="21"/>
      <c r="D205" s="21"/>
      <c r="E205" s="21"/>
      <c r="F205" s="21"/>
      <c r="G205" s="116"/>
      <c r="H205" s="116"/>
    </row>
    <row r="206" spans="1:8" x14ac:dyDescent="0.2">
      <c r="A206" s="21"/>
      <c r="B206" s="21"/>
      <c r="C206" s="21"/>
      <c r="D206" s="21"/>
      <c r="E206" s="21"/>
      <c r="F206" s="21"/>
      <c r="G206" s="116"/>
      <c r="H206" s="116"/>
    </row>
    <row r="207" spans="1:8" x14ac:dyDescent="0.2">
      <c r="A207" s="21"/>
      <c r="B207" s="21"/>
      <c r="C207" s="21"/>
      <c r="D207" s="21"/>
      <c r="E207" s="21"/>
      <c r="F207" s="21"/>
      <c r="G207" s="116"/>
      <c r="H207" s="116"/>
    </row>
    <row r="208" spans="1:8" x14ac:dyDescent="0.2">
      <c r="A208" s="21"/>
      <c r="B208" s="21"/>
      <c r="C208" s="21"/>
      <c r="D208" s="21"/>
      <c r="E208" s="21"/>
      <c r="F208" s="21"/>
      <c r="G208" s="116"/>
      <c r="H208" s="116"/>
    </row>
    <row r="209" spans="1:8" x14ac:dyDescent="0.2">
      <c r="A209" s="21"/>
      <c r="B209" s="21"/>
      <c r="C209" s="21"/>
      <c r="D209" s="21"/>
      <c r="E209" s="21"/>
      <c r="F209" s="21"/>
      <c r="G209" s="116"/>
      <c r="H209" s="116"/>
    </row>
    <row r="210" spans="1:8" x14ac:dyDescent="0.2">
      <c r="A210" s="21"/>
      <c r="B210" s="21"/>
      <c r="C210" s="21"/>
      <c r="D210" s="21"/>
      <c r="E210" s="21"/>
      <c r="F210" s="21"/>
      <c r="G210" s="116"/>
      <c r="H210" s="116"/>
    </row>
    <row r="211" spans="1:8" x14ac:dyDescent="0.2">
      <c r="A211" s="21"/>
      <c r="B211" s="21"/>
      <c r="C211" s="21"/>
      <c r="D211" s="21"/>
      <c r="E211" s="21"/>
      <c r="F211" s="21"/>
      <c r="G211" s="116"/>
      <c r="H211" s="116"/>
    </row>
    <row r="212" spans="1:8" x14ac:dyDescent="0.2">
      <c r="A212" s="21"/>
      <c r="B212" s="21"/>
      <c r="C212" s="21"/>
      <c r="D212" s="21"/>
      <c r="E212" s="21"/>
      <c r="F212" s="21"/>
      <c r="G212" s="116"/>
      <c r="H212" s="116"/>
    </row>
    <row r="213" spans="1:8" x14ac:dyDescent="0.2">
      <c r="A213" s="21"/>
      <c r="B213" s="21"/>
      <c r="C213" s="21"/>
      <c r="D213" s="21"/>
      <c r="E213" s="21"/>
      <c r="F213" s="21"/>
      <c r="G213" s="116"/>
      <c r="H213" s="116"/>
    </row>
    <row r="214" spans="1:8" x14ac:dyDescent="0.2">
      <c r="A214" s="21"/>
      <c r="B214" s="21"/>
      <c r="C214" s="21"/>
      <c r="D214" s="21"/>
      <c r="E214" s="21"/>
      <c r="F214" s="21"/>
      <c r="G214" s="116"/>
      <c r="H214" s="116"/>
    </row>
    <row r="215" spans="1:8" x14ac:dyDescent="0.2">
      <c r="A215" s="21"/>
      <c r="B215" s="21"/>
      <c r="C215" s="21"/>
      <c r="D215" s="21"/>
      <c r="E215" s="21"/>
      <c r="F215" s="21"/>
      <c r="G215" s="116"/>
      <c r="H215" s="116"/>
    </row>
    <row r="216" spans="1:8" x14ac:dyDescent="0.2">
      <c r="A216" s="21"/>
      <c r="B216" s="21"/>
      <c r="C216" s="21"/>
      <c r="D216" s="21"/>
      <c r="E216" s="21"/>
      <c r="F216" s="21"/>
      <c r="G216" s="116"/>
      <c r="H216" s="116"/>
    </row>
    <row r="217" spans="1:8" x14ac:dyDescent="0.2">
      <c r="A217" s="21"/>
      <c r="B217" s="21"/>
      <c r="C217" s="21"/>
      <c r="D217" s="21"/>
      <c r="E217" s="21"/>
      <c r="F217" s="21"/>
      <c r="G217" s="116"/>
      <c r="H217" s="116"/>
    </row>
    <row r="218" spans="1:8" x14ac:dyDescent="0.2">
      <c r="A218" s="21"/>
      <c r="B218" s="21"/>
      <c r="C218" s="21"/>
      <c r="D218" s="21"/>
      <c r="E218" s="21"/>
      <c r="F218" s="21"/>
      <c r="G218" s="116"/>
      <c r="H218" s="116"/>
    </row>
    <row r="219" spans="1:8" x14ac:dyDescent="0.2">
      <c r="A219" s="21"/>
      <c r="B219" s="21"/>
      <c r="C219" s="21"/>
      <c r="D219" s="21"/>
      <c r="E219" s="21"/>
      <c r="F219" s="21"/>
      <c r="G219" s="116"/>
      <c r="H219" s="116"/>
    </row>
    <row r="220" spans="1:8" x14ac:dyDescent="0.2">
      <c r="A220" s="21"/>
      <c r="B220" s="21"/>
      <c r="C220" s="21"/>
      <c r="D220" s="21"/>
      <c r="E220" s="21"/>
      <c r="F220" s="21"/>
      <c r="G220" s="116"/>
      <c r="H220" s="116"/>
    </row>
    <row r="221" spans="1:8" x14ac:dyDescent="0.2">
      <c r="A221" s="21"/>
      <c r="B221" s="21"/>
      <c r="C221" s="21"/>
      <c r="D221" s="21"/>
      <c r="E221" s="21"/>
      <c r="F221" s="21"/>
      <c r="G221" s="116"/>
      <c r="H221" s="116"/>
    </row>
    <row r="222" spans="1:8" x14ac:dyDescent="0.2">
      <c r="A222" s="21"/>
      <c r="B222" s="21"/>
      <c r="C222" s="21"/>
      <c r="D222" s="21"/>
      <c r="E222" s="21"/>
      <c r="F222" s="21"/>
      <c r="G222" s="116"/>
      <c r="H222" s="116"/>
    </row>
    <row r="223" spans="1:8" x14ac:dyDescent="0.2">
      <c r="A223" s="21"/>
      <c r="B223" s="21"/>
      <c r="C223" s="21"/>
      <c r="D223" s="21"/>
      <c r="E223" s="21"/>
      <c r="F223" s="21"/>
      <c r="G223" s="116"/>
      <c r="H223" s="116"/>
    </row>
    <row r="224" spans="1:8" x14ac:dyDescent="0.2">
      <c r="A224" s="21"/>
      <c r="B224" s="21"/>
      <c r="C224" s="21"/>
      <c r="D224" s="21"/>
      <c r="E224" s="21"/>
      <c r="F224" s="21"/>
      <c r="G224" s="116"/>
      <c r="H224" s="116"/>
    </row>
    <row r="225" spans="1:8" x14ac:dyDescent="0.2">
      <c r="A225" s="21"/>
      <c r="B225" s="21"/>
      <c r="C225" s="21"/>
      <c r="D225" s="21"/>
      <c r="E225" s="21"/>
      <c r="F225" s="21"/>
      <c r="G225" s="116"/>
      <c r="H225" s="116"/>
    </row>
    <row r="226" spans="1:8" x14ac:dyDescent="0.2">
      <c r="A226" s="21"/>
      <c r="B226" s="21"/>
      <c r="C226" s="21"/>
      <c r="D226" s="21"/>
      <c r="E226" s="21"/>
      <c r="F226" s="21"/>
      <c r="G226" s="116"/>
      <c r="H226" s="116"/>
    </row>
    <row r="227" spans="1:8" x14ac:dyDescent="0.2">
      <c r="A227" s="21"/>
      <c r="B227" s="21"/>
      <c r="C227" s="21"/>
      <c r="D227" s="21"/>
      <c r="E227" s="21"/>
      <c r="F227" s="21"/>
      <c r="G227" s="116"/>
      <c r="H227" s="116"/>
    </row>
    <row r="228" spans="1:8" x14ac:dyDescent="0.2">
      <c r="A228" s="21"/>
      <c r="B228" s="21"/>
      <c r="C228" s="21"/>
      <c r="D228" s="21"/>
      <c r="E228" s="21"/>
      <c r="F228" s="21"/>
      <c r="G228" s="116"/>
      <c r="H228" s="116"/>
    </row>
    <row r="229" spans="1:8" x14ac:dyDescent="0.2">
      <c r="A229" s="21"/>
      <c r="B229" s="21"/>
      <c r="C229" s="21"/>
      <c r="D229" s="21"/>
      <c r="E229" s="21"/>
      <c r="F229" s="21"/>
      <c r="G229" s="116"/>
      <c r="H229" s="116"/>
    </row>
    <row r="230" spans="1:8" x14ac:dyDescent="0.2">
      <c r="A230" s="21"/>
      <c r="B230" s="21"/>
      <c r="C230" s="21"/>
      <c r="D230" s="21"/>
      <c r="E230" s="21"/>
      <c r="F230" s="21"/>
      <c r="G230" s="116"/>
      <c r="H230" s="116"/>
    </row>
    <row r="231" spans="1:8" x14ac:dyDescent="0.2">
      <c r="A231" s="21"/>
      <c r="B231" s="21"/>
      <c r="C231" s="21"/>
      <c r="D231" s="21"/>
      <c r="E231" s="21"/>
      <c r="F231" s="21"/>
      <c r="G231" s="116"/>
      <c r="H231" s="116"/>
    </row>
    <row r="232" spans="1:8" x14ac:dyDescent="0.2">
      <c r="A232" s="21"/>
      <c r="B232" s="21"/>
      <c r="C232" s="21"/>
      <c r="D232" s="21"/>
      <c r="E232" s="21"/>
      <c r="F232" s="21"/>
      <c r="G232" s="116"/>
      <c r="H232" s="116"/>
    </row>
    <row r="233" spans="1:8" x14ac:dyDescent="0.2">
      <c r="A233" s="21"/>
      <c r="B233" s="21"/>
      <c r="C233" s="21"/>
      <c r="D233" s="21"/>
      <c r="E233" s="21"/>
      <c r="F233" s="21"/>
      <c r="G233" s="116"/>
      <c r="H233" s="116"/>
    </row>
    <row r="234" spans="1:8" x14ac:dyDescent="0.2">
      <c r="A234" s="21"/>
      <c r="B234" s="21"/>
      <c r="C234" s="21"/>
      <c r="D234" s="21"/>
      <c r="E234" s="21"/>
      <c r="F234" s="21"/>
      <c r="G234" s="116"/>
      <c r="H234" s="116"/>
    </row>
    <row r="235" spans="1:8" x14ac:dyDescent="0.2">
      <c r="A235" s="21"/>
      <c r="B235" s="21"/>
      <c r="C235" s="21"/>
      <c r="D235" s="21"/>
      <c r="E235" s="21"/>
      <c r="F235" s="21"/>
      <c r="G235" s="116"/>
      <c r="H235" s="116"/>
    </row>
    <row r="236" spans="1:8" x14ac:dyDescent="0.2">
      <c r="A236" s="21"/>
      <c r="B236" s="21"/>
      <c r="C236" s="21"/>
      <c r="D236" s="21"/>
      <c r="E236" s="21"/>
      <c r="F236" s="21"/>
      <c r="G236" s="116"/>
      <c r="H236" s="116"/>
    </row>
    <row r="237" spans="1:8" x14ac:dyDescent="0.2">
      <c r="A237" s="21"/>
      <c r="B237" s="21"/>
      <c r="C237" s="21"/>
      <c r="D237" s="21"/>
      <c r="E237" s="21"/>
      <c r="F237" s="21"/>
      <c r="G237" s="116"/>
      <c r="H237" s="116"/>
    </row>
    <row r="238" spans="1:8" x14ac:dyDescent="0.2">
      <c r="A238" s="21"/>
      <c r="B238" s="21"/>
      <c r="C238" s="21"/>
      <c r="D238" s="21"/>
      <c r="E238" s="21"/>
      <c r="F238" s="21"/>
      <c r="G238" s="116"/>
      <c r="H238" s="116"/>
    </row>
    <row r="239" spans="1:8" x14ac:dyDescent="0.2">
      <c r="A239" s="21"/>
      <c r="B239" s="21"/>
      <c r="C239" s="21"/>
      <c r="D239" s="21"/>
      <c r="E239" s="21"/>
      <c r="F239" s="21"/>
      <c r="G239" s="116"/>
      <c r="H239" s="116"/>
    </row>
    <row r="240" spans="1:8" x14ac:dyDescent="0.2">
      <c r="A240" s="21"/>
      <c r="B240" s="21"/>
      <c r="C240" s="21"/>
      <c r="D240" s="21"/>
      <c r="E240" s="21"/>
      <c r="F240" s="21"/>
      <c r="G240" s="116"/>
      <c r="H240" s="116"/>
    </row>
    <row r="241" spans="1:8" x14ac:dyDescent="0.2">
      <c r="A241" s="21"/>
      <c r="B241" s="21"/>
      <c r="C241" s="21"/>
      <c r="D241" s="21"/>
      <c r="E241" s="21"/>
      <c r="F241" s="21"/>
      <c r="G241" s="116"/>
      <c r="H241" s="116"/>
    </row>
    <row r="242" spans="1:8" x14ac:dyDescent="0.2">
      <c r="A242" s="21"/>
      <c r="B242" s="21"/>
      <c r="C242" s="21"/>
      <c r="D242" s="21"/>
      <c r="E242" s="21"/>
      <c r="F242" s="21"/>
      <c r="G242" s="116"/>
      <c r="H242" s="116"/>
    </row>
    <row r="243" spans="1:8" x14ac:dyDescent="0.2">
      <c r="A243" s="21"/>
      <c r="B243" s="21"/>
      <c r="C243" s="21"/>
      <c r="D243" s="21"/>
      <c r="E243" s="21"/>
      <c r="F243" s="21"/>
      <c r="G243" s="116"/>
      <c r="H243" s="116"/>
    </row>
    <row r="244" spans="1:8" x14ac:dyDescent="0.2">
      <c r="A244" s="21"/>
      <c r="B244" s="21"/>
      <c r="C244" s="21"/>
      <c r="D244" s="21"/>
      <c r="E244" s="21"/>
      <c r="F244" s="21"/>
      <c r="G244" s="116"/>
      <c r="H244" s="116"/>
    </row>
    <row r="245" spans="1:8" x14ac:dyDescent="0.2">
      <c r="A245" s="21"/>
      <c r="B245" s="21"/>
      <c r="C245" s="21"/>
      <c r="D245" s="21"/>
      <c r="E245" s="21"/>
      <c r="F245" s="21"/>
      <c r="G245" s="116"/>
      <c r="H245" s="116"/>
    </row>
    <row r="246" spans="1:8" x14ac:dyDescent="0.2">
      <c r="A246" s="21"/>
      <c r="B246" s="21"/>
      <c r="C246" s="21"/>
      <c r="D246" s="21"/>
      <c r="E246" s="21"/>
      <c r="F246" s="21"/>
      <c r="G246" s="116"/>
      <c r="H246" s="116"/>
    </row>
    <row r="247" spans="1:8" x14ac:dyDescent="0.2">
      <c r="A247" s="21"/>
      <c r="B247" s="21"/>
      <c r="C247" s="21"/>
      <c r="D247" s="21"/>
      <c r="E247" s="21"/>
      <c r="F247" s="21"/>
      <c r="G247" s="116"/>
      <c r="H247" s="116"/>
    </row>
    <row r="248" spans="1:8" x14ac:dyDescent="0.2">
      <c r="A248" s="21"/>
      <c r="B248" s="21"/>
      <c r="C248" s="21"/>
      <c r="D248" s="21"/>
      <c r="E248" s="21"/>
      <c r="F248" s="21"/>
      <c r="G248" s="116"/>
      <c r="H248" s="116"/>
    </row>
    <row r="249" spans="1:8" x14ac:dyDescent="0.2">
      <c r="A249" s="21"/>
      <c r="B249" s="21"/>
      <c r="C249" s="21"/>
      <c r="D249" s="21"/>
      <c r="E249" s="21"/>
      <c r="F249" s="21"/>
      <c r="G249" s="116"/>
      <c r="H249" s="116"/>
    </row>
    <row r="250" spans="1:8" x14ac:dyDescent="0.2">
      <c r="A250" s="21"/>
      <c r="B250" s="21"/>
      <c r="C250" s="21"/>
      <c r="D250" s="21"/>
      <c r="E250" s="21"/>
      <c r="F250" s="21"/>
      <c r="G250" s="116"/>
      <c r="H250" s="116"/>
    </row>
    <row r="251" spans="1:8" x14ac:dyDescent="0.2">
      <c r="A251" s="21"/>
      <c r="B251" s="21"/>
      <c r="C251" s="21"/>
      <c r="D251" s="21"/>
      <c r="E251" s="21"/>
      <c r="F251" s="21"/>
      <c r="G251" s="116"/>
      <c r="H251" s="116"/>
    </row>
    <row r="252" spans="1:8" x14ac:dyDescent="0.2">
      <c r="A252" s="21"/>
      <c r="B252" s="21"/>
      <c r="C252" s="21"/>
      <c r="D252" s="21"/>
      <c r="E252" s="21"/>
      <c r="F252" s="21"/>
      <c r="G252" s="116"/>
      <c r="H252" s="116"/>
    </row>
    <row r="253" spans="1:8" x14ac:dyDescent="0.2">
      <c r="A253" s="21"/>
      <c r="B253" s="21"/>
      <c r="C253" s="21"/>
      <c r="D253" s="21"/>
      <c r="E253" s="21"/>
      <c r="F253" s="21"/>
      <c r="G253" s="116"/>
      <c r="H253" s="116"/>
    </row>
    <row r="254" spans="1:8" x14ac:dyDescent="0.2">
      <c r="A254" s="21"/>
      <c r="B254" s="21"/>
      <c r="C254" s="21"/>
      <c r="D254" s="21"/>
      <c r="E254" s="21"/>
      <c r="F254" s="21"/>
      <c r="G254" s="116"/>
      <c r="H254" s="116"/>
    </row>
    <row r="255" spans="1:8" x14ac:dyDescent="0.2">
      <c r="A255" s="21"/>
      <c r="B255" s="21"/>
      <c r="C255" s="21"/>
      <c r="D255" s="21"/>
      <c r="E255" s="21"/>
      <c r="F255" s="21"/>
      <c r="G255" s="116"/>
      <c r="H255" s="116"/>
    </row>
    <row r="256" spans="1:8" x14ac:dyDescent="0.2">
      <c r="A256" s="21"/>
      <c r="B256" s="21"/>
      <c r="C256" s="21"/>
      <c r="D256" s="21"/>
      <c r="E256" s="21"/>
      <c r="F256" s="21"/>
      <c r="G256" s="116"/>
      <c r="H256" s="116"/>
    </row>
    <row r="257" spans="1:8" x14ac:dyDescent="0.2">
      <c r="A257" s="21"/>
      <c r="B257" s="21"/>
      <c r="C257" s="21"/>
      <c r="D257" s="21"/>
      <c r="E257" s="21"/>
      <c r="F257" s="21"/>
      <c r="G257" s="116"/>
      <c r="H257" s="116"/>
    </row>
    <row r="258" spans="1:8" x14ac:dyDescent="0.2">
      <c r="A258" s="21"/>
      <c r="B258" s="21"/>
      <c r="C258" s="21"/>
      <c r="D258" s="21"/>
      <c r="E258" s="21"/>
      <c r="F258" s="21"/>
      <c r="G258" s="116"/>
      <c r="H258" s="116"/>
    </row>
    <row r="259" spans="1:8" x14ac:dyDescent="0.2">
      <c r="A259" s="21"/>
      <c r="B259" s="21"/>
      <c r="C259" s="21"/>
      <c r="D259" s="21"/>
      <c r="E259" s="21"/>
      <c r="F259" s="21"/>
      <c r="G259" s="116"/>
      <c r="H259" s="116"/>
    </row>
    <row r="260" spans="1:8" x14ac:dyDescent="0.2">
      <c r="A260" s="21"/>
      <c r="B260" s="21"/>
      <c r="C260" s="21"/>
      <c r="D260" s="21"/>
      <c r="E260" s="21"/>
      <c r="F260" s="21"/>
      <c r="G260" s="116"/>
      <c r="H260" s="116"/>
    </row>
    <row r="261" spans="1:8" x14ac:dyDescent="0.2">
      <c r="A261" s="21"/>
      <c r="B261" s="21"/>
      <c r="C261" s="21"/>
      <c r="D261" s="21"/>
      <c r="E261" s="21"/>
      <c r="F261" s="21"/>
      <c r="G261" s="116"/>
      <c r="H261" s="116"/>
    </row>
    <row r="262" spans="1:8" x14ac:dyDescent="0.2">
      <c r="A262" s="21"/>
      <c r="B262" s="21"/>
      <c r="C262" s="21"/>
      <c r="D262" s="21"/>
      <c r="E262" s="21"/>
      <c r="F262" s="21"/>
      <c r="G262" s="116"/>
      <c r="H262" s="116"/>
    </row>
    <row r="263" spans="1:8" x14ac:dyDescent="0.2">
      <c r="A263" s="21"/>
      <c r="B263" s="21"/>
      <c r="C263" s="21"/>
      <c r="D263" s="21"/>
      <c r="E263" s="21"/>
      <c r="F263" s="21"/>
      <c r="G263" s="116"/>
      <c r="H263" s="116"/>
    </row>
    <row r="264" spans="1:8" x14ac:dyDescent="0.2">
      <c r="A264" s="21"/>
      <c r="B264" s="21"/>
      <c r="C264" s="21"/>
      <c r="D264" s="21"/>
      <c r="E264" s="21"/>
      <c r="F264" s="21"/>
      <c r="G264" s="116"/>
      <c r="H264" s="116"/>
    </row>
    <row r="265" spans="1:8" x14ac:dyDescent="0.2">
      <c r="A265" s="21"/>
      <c r="B265" s="21"/>
      <c r="C265" s="21"/>
      <c r="D265" s="21"/>
      <c r="E265" s="21"/>
      <c r="F265" s="21"/>
      <c r="G265" s="116"/>
      <c r="H265" s="116"/>
    </row>
    <row r="266" spans="1:8" x14ac:dyDescent="0.2">
      <c r="A266" s="21"/>
      <c r="B266" s="21"/>
      <c r="C266" s="21"/>
      <c r="D266" s="21"/>
      <c r="E266" s="21"/>
      <c r="F266" s="21"/>
      <c r="G266" s="116"/>
      <c r="H266" s="116"/>
    </row>
    <row r="267" spans="1:8" x14ac:dyDescent="0.2">
      <c r="A267" s="21"/>
      <c r="B267" s="21"/>
      <c r="C267" s="21"/>
      <c r="D267" s="21"/>
      <c r="E267" s="21"/>
      <c r="F267" s="21"/>
      <c r="G267" s="116"/>
      <c r="H267" s="116"/>
    </row>
    <row r="268" spans="1:8" x14ac:dyDescent="0.2">
      <c r="A268" s="21"/>
      <c r="B268" s="21"/>
      <c r="C268" s="21"/>
      <c r="D268" s="21"/>
      <c r="E268" s="21"/>
      <c r="F268" s="21"/>
      <c r="G268" s="116"/>
      <c r="H268" s="116"/>
    </row>
    <row r="269" spans="1:8" x14ac:dyDescent="0.2">
      <c r="A269" s="21"/>
      <c r="B269" s="21"/>
      <c r="C269" s="21"/>
      <c r="D269" s="21"/>
      <c r="E269" s="21"/>
      <c r="F269" s="21"/>
      <c r="G269" s="116"/>
      <c r="H269" s="116"/>
    </row>
    <row r="270" spans="1:8" x14ac:dyDescent="0.2">
      <c r="A270" s="21"/>
      <c r="B270" s="21"/>
      <c r="C270" s="21"/>
      <c r="D270" s="21"/>
      <c r="E270" s="21"/>
      <c r="F270" s="21"/>
      <c r="G270" s="116"/>
      <c r="H270" s="116"/>
    </row>
    <row r="271" spans="1:8" x14ac:dyDescent="0.2">
      <c r="A271" s="21"/>
      <c r="B271" s="21"/>
      <c r="C271" s="21"/>
      <c r="D271" s="21"/>
      <c r="E271" s="21"/>
      <c r="F271" s="21"/>
      <c r="G271" s="116"/>
      <c r="H271" s="116"/>
    </row>
    <row r="272" spans="1:8" x14ac:dyDescent="0.2">
      <c r="A272" s="21"/>
      <c r="B272" s="21"/>
      <c r="C272" s="21"/>
      <c r="D272" s="21"/>
      <c r="E272" s="21"/>
      <c r="F272" s="21"/>
      <c r="G272" s="116"/>
      <c r="H272" s="116"/>
    </row>
    <row r="273" spans="1:8" x14ac:dyDescent="0.2">
      <c r="A273" s="21"/>
      <c r="B273" s="21"/>
      <c r="C273" s="21"/>
      <c r="D273" s="21"/>
      <c r="E273" s="21"/>
      <c r="F273" s="21"/>
      <c r="G273" s="116"/>
      <c r="H273" s="116"/>
    </row>
    <row r="274" spans="1:8" x14ac:dyDescent="0.2">
      <c r="A274" s="21"/>
      <c r="B274" s="21"/>
      <c r="C274" s="21"/>
      <c r="D274" s="21"/>
      <c r="E274" s="21"/>
      <c r="F274" s="21"/>
      <c r="G274" s="116"/>
      <c r="H274" s="116"/>
    </row>
    <row r="275" spans="1:8" x14ac:dyDescent="0.2">
      <c r="A275" s="21"/>
      <c r="B275" s="21"/>
      <c r="C275" s="21"/>
      <c r="D275" s="21"/>
      <c r="E275" s="21"/>
      <c r="F275" s="21"/>
      <c r="G275" s="116"/>
      <c r="H275" s="116"/>
    </row>
    <row r="276" spans="1:8" x14ac:dyDescent="0.2">
      <c r="A276" s="21"/>
      <c r="B276" s="21"/>
      <c r="C276" s="21"/>
      <c r="D276" s="21"/>
      <c r="E276" s="21"/>
      <c r="F276" s="21"/>
      <c r="G276" s="116"/>
      <c r="H276" s="116"/>
    </row>
    <row r="277" spans="1:8" x14ac:dyDescent="0.2">
      <c r="A277" s="21"/>
      <c r="B277" s="21"/>
      <c r="C277" s="21"/>
      <c r="D277" s="21"/>
      <c r="E277" s="21"/>
      <c r="F277" s="21"/>
      <c r="G277" s="116"/>
      <c r="H277" s="116"/>
    </row>
    <row r="278" spans="1:8" x14ac:dyDescent="0.2">
      <c r="A278" s="21"/>
      <c r="B278" s="21"/>
      <c r="C278" s="21"/>
      <c r="D278" s="21"/>
      <c r="E278" s="21"/>
      <c r="F278" s="21"/>
      <c r="G278" s="116"/>
      <c r="H278" s="116"/>
    </row>
    <row r="279" spans="1:8" x14ac:dyDescent="0.2">
      <c r="A279" s="21"/>
      <c r="B279" s="21"/>
      <c r="C279" s="21"/>
      <c r="D279" s="21"/>
      <c r="E279" s="21"/>
      <c r="F279" s="21"/>
      <c r="G279" s="116"/>
      <c r="H279" s="116"/>
    </row>
    <row r="280" spans="1:8" x14ac:dyDescent="0.2">
      <c r="A280" s="21"/>
      <c r="B280" s="21"/>
      <c r="C280" s="21"/>
      <c r="D280" s="21"/>
      <c r="E280" s="21"/>
      <c r="F280" s="21"/>
      <c r="G280" s="116"/>
      <c r="H280" s="116"/>
    </row>
    <row r="281" spans="1:8" x14ac:dyDescent="0.2">
      <c r="A281" s="21"/>
      <c r="B281" s="21"/>
      <c r="C281" s="21"/>
      <c r="D281" s="21"/>
      <c r="E281" s="21"/>
      <c r="F281" s="21"/>
      <c r="G281" s="116"/>
      <c r="H281" s="116"/>
    </row>
    <row r="282" spans="1:8" x14ac:dyDescent="0.2">
      <c r="A282" s="21"/>
      <c r="B282" s="21"/>
      <c r="C282" s="21"/>
      <c r="D282" s="21"/>
      <c r="E282" s="21"/>
      <c r="F282" s="21"/>
      <c r="G282" s="116"/>
      <c r="H282" s="116"/>
    </row>
    <row r="283" spans="1:8" x14ac:dyDescent="0.2">
      <c r="A283" s="21"/>
      <c r="B283" s="21"/>
      <c r="C283" s="21"/>
      <c r="D283" s="21"/>
      <c r="E283" s="21"/>
      <c r="F283" s="21"/>
      <c r="G283" s="116"/>
      <c r="H283" s="116"/>
    </row>
    <row r="284" spans="1:8" x14ac:dyDescent="0.2">
      <c r="A284" s="21"/>
      <c r="B284" s="21"/>
      <c r="C284" s="21"/>
      <c r="D284" s="21"/>
      <c r="E284" s="21"/>
      <c r="F284" s="21"/>
      <c r="G284" s="116"/>
      <c r="H284" s="116"/>
    </row>
    <row r="285" spans="1:8" x14ac:dyDescent="0.2">
      <c r="A285" s="21"/>
      <c r="B285" s="21"/>
      <c r="C285" s="21"/>
      <c r="D285" s="21"/>
      <c r="E285" s="21"/>
      <c r="F285" s="21"/>
      <c r="G285" s="116"/>
      <c r="H285" s="116"/>
    </row>
    <row r="286" spans="1:8" x14ac:dyDescent="0.2">
      <c r="A286" s="21"/>
      <c r="B286" s="21"/>
      <c r="C286" s="21"/>
      <c r="D286" s="21"/>
      <c r="E286" s="21"/>
      <c r="F286" s="21"/>
      <c r="G286" s="116"/>
      <c r="H286" s="116"/>
    </row>
    <row r="287" spans="1:8" x14ac:dyDescent="0.2">
      <c r="A287" s="21"/>
      <c r="B287" s="21"/>
      <c r="C287" s="21"/>
      <c r="D287" s="21"/>
      <c r="E287" s="21"/>
      <c r="F287" s="21"/>
      <c r="G287" s="116"/>
      <c r="H287" s="116"/>
    </row>
    <row r="288" spans="1:8" x14ac:dyDescent="0.2">
      <c r="A288" s="21"/>
      <c r="B288" s="21"/>
      <c r="C288" s="21"/>
      <c r="D288" s="21"/>
      <c r="E288" s="21"/>
      <c r="F288" s="21"/>
      <c r="G288" s="116"/>
      <c r="H288" s="116"/>
    </row>
    <row r="289" spans="1:8" x14ac:dyDescent="0.2">
      <c r="A289" s="21"/>
      <c r="B289" s="21"/>
      <c r="C289" s="21"/>
      <c r="D289" s="21"/>
      <c r="E289" s="21"/>
      <c r="F289" s="21"/>
      <c r="G289" s="116"/>
      <c r="H289" s="116"/>
    </row>
    <row r="290" spans="1:8" x14ac:dyDescent="0.2">
      <c r="A290" s="21"/>
      <c r="B290" s="21"/>
      <c r="C290" s="21"/>
      <c r="D290" s="21"/>
      <c r="E290" s="21"/>
      <c r="F290" s="21"/>
      <c r="G290" s="116"/>
      <c r="H290" s="116"/>
    </row>
    <row r="291" spans="1:8" x14ac:dyDescent="0.2">
      <c r="A291" s="21"/>
      <c r="B291" s="21"/>
      <c r="C291" s="21"/>
      <c r="D291" s="21"/>
      <c r="E291" s="21"/>
      <c r="F291" s="21"/>
      <c r="G291" s="116"/>
      <c r="H291" s="116"/>
    </row>
    <row r="292" spans="1:8" x14ac:dyDescent="0.2">
      <c r="A292" s="21"/>
      <c r="B292" s="21"/>
      <c r="C292" s="21"/>
      <c r="D292" s="21"/>
      <c r="E292" s="21"/>
      <c r="F292" s="21"/>
      <c r="G292" s="116"/>
      <c r="H292" s="116"/>
    </row>
    <row r="293" spans="1:8" x14ac:dyDescent="0.2">
      <c r="A293" s="21"/>
      <c r="B293" s="21"/>
      <c r="C293" s="21"/>
      <c r="D293" s="21"/>
      <c r="E293" s="21"/>
      <c r="F293" s="21"/>
      <c r="G293" s="116"/>
      <c r="H293" s="116"/>
    </row>
    <row r="294" spans="1:8" x14ac:dyDescent="0.2">
      <c r="A294" s="21"/>
      <c r="B294" s="21"/>
      <c r="C294" s="21"/>
      <c r="D294" s="21"/>
      <c r="E294" s="21"/>
      <c r="F294" s="21"/>
      <c r="G294" s="116"/>
      <c r="H294" s="116"/>
    </row>
    <row r="295" spans="1:8" x14ac:dyDescent="0.2">
      <c r="A295" s="21"/>
      <c r="B295" s="21"/>
      <c r="C295" s="21"/>
      <c r="D295" s="21"/>
      <c r="E295" s="21"/>
      <c r="F295" s="21"/>
      <c r="G295" s="116"/>
      <c r="H295" s="116"/>
    </row>
    <row r="296" spans="1:8" x14ac:dyDescent="0.2">
      <c r="A296" s="21"/>
      <c r="B296" s="21"/>
      <c r="C296" s="21"/>
      <c r="D296" s="21"/>
      <c r="E296" s="21"/>
      <c r="F296" s="21"/>
      <c r="G296" s="116"/>
      <c r="H296" s="116"/>
    </row>
    <row r="297" spans="1:8" x14ac:dyDescent="0.2">
      <c r="A297" s="21"/>
      <c r="B297" s="21"/>
      <c r="C297" s="21"/>
      <c r="D297" s="21"/>
      <c r="E297" s="21"/>
      <c r="F297" s="21"/>
      <c r="G297" s="116"/>
      <c r="H297" s="116"/>
    </row>
    <row r="298" spans="1:8" x14ac:dyDescent="0.2">
      <c r="A298" s="21"/>
      <c r="B298" s="21"/>
      <c r="C298" s="21"/>
      <c r="D298" s="21"/>
      <c r="E298" s="21"/>
      <c r="F298" s="21"/>
      <c r="G298" s="116"/>
      <c r="H298" s="116"/>
    </row>
    <row r="299" spans="1:8" x14ac:dyDescent="0.2">
      <c r="A299" s="21"/>
      <c r="B299" s="21"/>
      <c r="C299" s="21"/>
      <c r="D299" s="21"/>
      <c r="E299" s="21"/>
      <c r="F299" s="21"/>
      <c r="G299" s="116"/>
      <c r="H299" s="116"/>
    </row>
    <row r="300" spans="1:8" x14ac:dyDescent="0.2">
      <c r="A300" s="21"/>
      <c r="B300" s="21"/>
      <c r="C300" s="21"/>
      <c r="D300" s="21"/>
      <c r="E300" s="21"/>
      <c r="F300" s="21"/>
      <c r="G300" s="116"/>
      <c r="H300" s="116"/>
    </row>
    <row r="301" spans="1:8" x14ac:dyDescent="0.2">
      <c r="A301" s="21"/>
      <c r="B301" s="21"/>
      <c r="C301" s="21"/>
      <c r="D301" s="21"/>
      <c r="E301" s="21"/>
      <c r="F301" s="21"/>
      <c r="G301" s="116"/>
      <c r="H301" s="116"/>
    </row>
    <row r="302" spans="1:8" x14ac:dyDescent="0.2">
      <c r="A302" s="21"/>
      <c r="B302" s="21"/>
      <c r="C302" s="21"/>
      <c r="D302" s="21"/>
      <c r="E302" s="21"/>
      <c r="F302" s="21"/>
      <c r="G302" s="116"/>
      <c r="H302" s="116"/>
    </row>
    <row r="303" spans="1:8" x14ac:dyDescent="0.2">
      <c r="A303" s="21"/>
      <c r="B303" s="21"/>
      <c r="C303" s="21"/>
      <c r="D303" s="21"/>
      <c r="E303" s="21"/>
      <c r="F303" s="21"/>
      <c r="G303" s="116"/>
      <c r="H303" s="116"/>
    </row>
    <row r="304" spans="1:8" x14ac:dyDescent="0.2">
      <c r="A304" s="21"/>
      <c r="B304" s="21"/>
      <c r="C304" s="21"/>
      <c r="D304" s="21"/>
      <c r="E304" s="21"/>
      <c r="F304" s="21"/>
      <c r="G304" s="116"/>
      <c r="H304" s="116"/>
    </row>
    <row r="305" spans="1:8" x14ac:dyDescent="0.2">
      <c r="A305" s="21"/>
      <c r="B305" s="21"/>
      <c r="C305" s="21"/>
      <c r="D305" s="21"/>
      <c r="E305" s="21"/>
      <c r="F305" s="21"/>
      <c r="G305" s="116"/>
      <c r="H305" s="116"/>
    </row>
    <row r="306" spans="1:8" x14ac:dyDescent="0.2">
      <c r="A306" s="21"/>
      <c r="B306" s="21"/>
      <c r="C306" s="21"/>
      <c r="D306" s="21"/>
      <c r="E306" s="21"/>
      <c r="F306" s="21"/>
      <c r="G306" s="116"/>
      <c r="H306" s="116"/>
    </row>
    <row r="307" spans="1:8" x14ac:dyDescent="0.2">
      <c r="A307" s="21"/>
      <c r="B307" s="21"/>
      <c r="C307" s="21"/>
      <c r="D307" s="21"/>
      <c r="E307" s="21"/>
      <c r="F307" s="21"/>
      <c r="G307" s="116"/>
      <c r="H307" s="116"/>
    </row>
    <row r="308" spans="1:8" x14ac:dyDescent="0.2">
      <c r="A308" s="21"/>
      <c r="B308" s="21"/>
      <c r="C308" s="21"/>
      <c r="D308" s="21"/>
      <c r="E308" s="21"/>
      <c r="F308" s="21"/>
      <c r="G308" s="116"/>
      <c r="H308" s="116"/>
    </row>
    <row r="309" spans="1:8" x14ac:dyDescent="0.2">
      <c r="A309" s="21"/>
      <c r="B309" s="21"/>
      <c r="C309" s="21"/>
      <c r="D309" s="21"/>
      <c r="E309" s="21"/>
      <c r="F309" s="21"/>
      <c r="G309" s="116"/>
      <c r="H309" s="116"/>
    </row>
    <row r="310" spans="1:8" x14ac:dyDescent="0.2">
      <c r="A310" s="21"/>
      <c r="B310" s="21"/>
      <c r="C310" s="21"/>
      <c r="D310" s="21"/>
      <c r="E310" s="21"/>
      <c r="F310" s="21"/>
      <c r="G310" s="116"/>
      <c r="H310" s="116"/>
    </row>
    <row r="311" spans="1:8" x14ac:dyDescent="0.2">
      <c r="A311" s="21"/>
      <c r="B311" s="21"/>
      <c r="C311" s="21"/>
      <c r="D311" s="21"/>
      <c r="E311" s="21"/>
      <c r="F311" s="21"/>
      <c r="G311" s="116"/>
      <c r="H311" s="116"/>
    </row>
    <row r="312" spans="1:8" x14ac:dyDescent="0.2">
      <c r="A312" s="21"/>
      <c r="B312" s="21"/>
      <c r="C312" s="21"/>
      <c r="D312" s="21"/>
      <c r="E312" s="21"/>
      <c r="F312" s="21"/>
      <c r="G312" s="116"/>
      <c r="H312" s="116"/>
    </row>
    <row r="313" spans="1:8" x14ac:dyDescent="0.2">
      <c r="A313" s="21"/>
      <c r="B313" s="21"/>
      <c r="C313" s="21"/>
      <c r="D313" s="21"/>
      <c r="E313" s="21"/>
      <c r="F313" s="21"/>
      <c r="G313" s="116"/>
      <c r="H313" s="116"/>
    </row>
    <row r="314" spans="1:8" x14ac:dyDescent="0.2">
      <c r="A314" s="21"/>
      <c r="B314" s="21"/>
      <c r="C314" s="21"/>
      <c r="D314" s="21"/>
      <c r="E314" s="21"/>
      <c r="F314" s="21"/>
      <c r="G314" s="116"/>
      <c r="H314" s="116"/>
    </row>
    <row r="315" spans="1:8" x14ac:dyDescent="0.2">
      <c r="A315" s="21"/>
      <c r="B315" s="21"/>
      <c r="C315" s="21"/>
      <c r="D315" s="21"/>
      <c r="E315" s="21"/>
      <c r="F315" s="21"/>
      <c r="G315" s="116"/>
      <c r="H315" s="116"/>
    </row>
    <row r="316" spans="1:8" x14ac:dyDescent="0.2">
      <c r="A316" s="21"/>
      <c r="B316" s="21"/>
      <c r="C316" s="21"/>
      <c r="D316" s="21"/>
      <c r="E316" s="21"/>
      <c r="F316" s="21"/>
      <c r="G316" s="116"/>
      <c r="H316" s="116"/>
    </row>
    <row r="317" spans="1:8" x14ac:dyDescent="0.2">
      <c r="A317" s="21"/>
      <c r="B317" s="21"/>
      <c r="C317" s="21"/>
      <c r="D317" s="21"/>
      <c r="E317" s="21"/>
      <c r="F317" s="21"/>
      <c r="G317" s="116"/>
      <c r="H317" s="116"/>
    </row>
    <row r="318" spans="1:8" x14ac:dyDescent="0.2">
      <c r="A318" s="21"/>
      <c r="B318" s="21"/>
      <c r="C318" s="21"/>
      <c r="D318" s="21"/>
      <c r="E318" s="21"/>
      <c r="F318" s="21"/>
      <c r="G318" s="116"/>
      <c r="H318" s="116"/>
    </row>
    <row r="319" spans="1:8" x14ac:dyDescent="0.2">
      <c r="A319" s="21"/>
      <c r="B319" s="21"/>
      <c r="C319" s="21"/>
      <c r="D319" s="21"/>
      <c r="E319" s="21"/>
      <c r="F319" s="21"/>
      <c r="G319" s="116"/>
      <c r="H319" s="116"/>
    </row>
    <row r="320" spans="1:8" x14ac:dyDescent="0.2">
      <c r="A320" s="21"/>
      <c r="B320" s="21"/>
      <c r="C320" s="21"/>
      <c r="D320" s="21"/>
      <c r="E320" s="21"/>
      <c r="F320" s="21"/>
      <c r="G320" s="116"/>
      <c r="H320" s="116"/>
    </row>
    <row r="321" spans="1:8" x14ac:dyDescent="0.2">
      <c r="A321" s="21"/>
      <c r="B321" s="21"/>
      <c r="C321" s="21"/>
      <c r="D321" s="21"/>
      <c r="E321" s="21"/>
      <c r="F321" s="21"/>
      <c r="G321" s="116"/>
      <c r="H321" s="116"/>
    </row>
    <row r="322" spans="1:8" x14ac:dyDescent="0.2">
      <c r="A322" s="21"/>
      <c r="B322" s="21"/>
      <c r="C322" s="21"/>
      <c r="D322" s="21"/>
      <c r="E322" s="21"/>
      <c r="F322" s="21"/>
      <c r="G322" s="116"/>
      <c r="H322" s="116"/>
    </row>
    <row r="323" spans="1:8" x14ac:dyDescent="0.2">
      <c r="A323" s="21"/>
      <c r="B323" s="21"/>
      <c r="C323" s="21"/>
      <c r="D323" s="21"/>
      <c r="E323" s="21"/>
      <c r="F323" s="21"/>
      <c r="G323" s="116"/>
      <c r="H323" s="116"/>
    </row>
    <row r="324" spans="1:8" x14ac:dyDescent="0.2">
      <c r="A324" s="21"/>
      <c r="B324" s="21"/>
      <c r="C324" s="21"/>
      <c r="D324" s="21"/>
      <c r="E324" s="21"/>
      <c r="F324" s="21"/>
      <c r="G324" s="116"/>
      <c r="H324" s="116"/>
    </row>
    <row r="325" spans="1:8" x14ac:dyDescent="0.2">
      <c r="A325" s="21"/>
      <c r="B325" s="21"/>
      <c r="C325" s="21"/>
      <c r="D325" s="21"/>
      <c r="E325" s="21"/>
      <c r="F325" s="21"/>
      <c r="G325" s="116"/>
      <c r="H325" s="116"/>
    </row>
    <row r="326" spans="1:8" x14ac:dyDescent="0.2">
      <c r="A326" s="21"/>
      <c r="B326" s="21"/>
      <c r="C326" s="21"/>
      <c r="D326" s="21"/>
      <c r="E326" s="21"/>
      <c r="F326" s="21"/>
      <c r="G326" s="116"/>
      <c r="H326" s="116"/>
    </row>
    <row r="327" spans="1:8" x14ac:dyDescent="0.2">
      <c r="A327" s="21"/>
      <c r="B327" s="21"/>
      <c r="C327" s="21"/>
      <c r="D327" s="21"/>
      <c r="E327" s="21"/>
      <c r="F327" s="21"/>
      <c r="G327" s="116"/>
      <c r="H327" s="116"/>
    </row>
    <row r="328" spans="1:8" x14ac:dyDescent="0.2">
      <c r="A328" s="21"/>
      <c r="B328" s="21"/>
      <c r="C328" s="21"/>
      <c r="D328" s="21"/>
      <c r="E328" s="21"/>
      <c r="F328" s="21"/>
      <c r="G328" s="116"/>
      <c r="H328" s="116"/>
    </row>
    <row r="329" spans="1:8" x14ac:dyDescent="0.2">
      <c r="A329" s="21"/>
      <c r="B329" s="21"/>
      <c r="C329" s="21"/>
      <c r="D329" s="21"/>
      <c r="E329" s="21"/>
      <c r="F329" s="21"/>
      <c r="G329" s="116"/>
      <c r="H329" s="116"/>
    </row>
    <row r="330" spans="1:8" x14ac:dyDescent="0.2">
      <c r="A330" s="21"/>
      <c r="B330" s="21"/>
      <c r="C330" s="21"/>
      <c r="D330" s="21"/>
      <c r="E330" s="21"/>
      <c r="F330" s="21"/>
      <c r="G330" s="116"/>
      <c r="H330" s="116"/>
    </row>
    <row r="331" spans="1:8" x14ac:dyDescent="0.2">
      <c r="A331" s="21"/>
      <c r="B331" s="21"/>
      <c r="C331" s="21"/>
      <c r="D331" s="21"/>
      <c r="E331" s="21"/>
      <c r="F331" s="21"/>
      <c r="G331" s="116"/>
      <c r="H331" s="116"/>
    </row>
    <row r="332" spans="1:8" x14ac:dyDescent="0.2">
      <c r="A332" s="21"/>
      <c r="B332" s="21"/>
      <c r="C332" s="21"/>
      <c r="D332" s="21"/>
      <c r="E332" s="21"/>
      <c r="F332" s="21"/>
      <c r="G332" s="116"/>
      <c r="H332" s="116"/>
    </row>
    <row r="333" spans="1:8" x14ac:dyDescent="0.2">
      <c r="A333" s="21"/>
      <c r="B333" s="21"/>
      <c r="C333" s="21"/>
      <c r="D333" s="21"/>
      <c r="E333" s="21"/>
      <c r="F333" s="21"/>
      <c r="G333" s="116"/>
      <c r="H333" s="116"/>
    </row>
    <row r="334" spans="1:8" x14ac:dyDescent="0.2">
      <c r="A334" s="21"/>
      <c r="B334" s="21"/>
      <c r="C334" s="21"/>
      <c r="D334" s="21"/>
      <c r="E334" s="21"/>
      <c r="F334" s="21"/>
      <c r="G334" s="116"/>
      <c r="H334" s="116"/>
    </row>
    <row r="335" spans="1:8" x14ac:dyDescent="0.2">
      <c r="A335" s="21"/>
      <c r="B335" s="21"/>
      <c r="C335" s="21"/>
      <c r="D335" s="21"/>
      <c r="E335" s="21"/>
      <c r="F335" s="21"/>
      <c r="G335" s="116"/>
      <c r="H335" s="116"/>
    </row>
    <row r="336" spans="1:8" x14ac:dyDescent="0.2">
      <c r="A336" s="21"/>
      <c r="B336" s="21"/>
      <c r="C336" s="21"/>
      <c r="D336" s="21"/>
      <c r="E336" s="21"/>
      <c r="F336" s="21"/>
      <c r="G336" s="116"/>
      <c r="H336" s="116"/>
    </row>
    <row r="337" spans="1:8" x14ac:dyDescent="0.2">
      <c r="A337" s="21"/>
      <c r="B337" s="21"/>
      <c r="C337" s="21"/>
      <c r="D337" s="21"/>
      <c r="E337" s="21"/>
      <c r="F337" s="21"/>
      <c r="G337" s="116"/>
      <c r="H337" s="116"/>
    </row>
    <row r="338" spans="1:8" x14ac:dyDescent="0.2">
      <c r="A338" s="21"/>
      <c r="B338" s="21"/>
      <c r="C338" s="21"/>
      <c r="D338" s="21"/>
      <c r="E338" s="21"/>
      <c r="F338" s="21"/>
      <c r="G338" s="116"/>
      <c r="H338" s="116"/>
    </row>
    <row r="339" spans="1:8" x14ac:dyDescent="0.2">
      <c r="A339" s="21"/>
      <c r="B339" s="21"/>
      <c r="C339" s="21"/>
      <c r="D339" s="21"/>
      <c r="E339" s="21"/>
      <c r="F339" s="21"/>
      <c r="G339" s="116"/>
      <c r="H339" s="116"/>
    </row>
    <row r="340" spans="1:8" x14ac:dyDescent="0.2">
      <c r="A340" s="21"/>
      <c r="B340" s="21"/>
      <c r="C340" s="21"/>
      <c r="D340" s="21"/>
      <c r="E340" s="21"/>
      <c r="F340" s="21"/>
      <c r="G340" s="116"/>
      <c r="H340" s="116"/>
    </row>
    <row r="341" spans="1:8" x14ac:dyDescent="0.2">
      <c r="A341" s="21"/>
      <c r="B341" s="21"/>
      <c r="C341" s="21"/>
      <c r="D341" s="21"/>
      <c r="E341" s="21"/>
      <c r="F341" s="21"/>
      <c r="G341" s="116"/>
      <c r="H341" s="116"/>
    </row>
    <row r="342" spans="1:8" x14ac:dyDescent="0.2">
      <c r="A342" s="21"/>
      <c r="B342" s="21"/>
      <c r="C342" s="21"/>
      <c r="D342" s="21"/>
      <c r="E342" s="21"/>
      <c r="F342" s="21"/>
      <c r="G342" s="116"/>
      <c r="H342" s="116"/>
    </row>
    <row r="343" spans="1:8" x14ac:dyDescent="0.2">
      <c r="A343" s="21"/>
      <c r="B343" s="21"/>
      <c r="C343" s="21"/>
      <c r="D343" s="21"/>
      <c r="E343" s="21"/>
      <c r="F343" s="21"/>
      <c r="G343" s="116"/>
      <c r="H343" s="116"/>
    </row>
    <row r="344" spans="1:8" x14ac:dyDescent="0.2">
      <c r="A344" s="21"/>
      <c r="B344" s="21"/>
      <c r="C344" s="21"/>
      <c r="D344" s="21"/>
      <c r="E344" s="21"/>
      <c r="F344" s="21"/>
      <c r="G344" s="116"/>
      <c r="H344" s="116"/>
    </row>
    <row r="345" spans="1:8" x14ac:dyDescent="0.2">
      <c r="A345" s="21"/>
      <c r="B345" s="21"/>
      <c r="C345" s="21"/>
      <c r="D345" s="21"/>
      <c r="E345" s="21"/>
      <c r="F345" s="21"/>
      <c r="G345" s="116"/>
      <c r="H345" s="116"/>
    </row>
    <row r="346" spans="1:8" x14ac:dyDescent="0.2">
      <c r="A346" s="21"/>
      <c r="B346" s="21"/>
      <c r="C346" s="21"/>
      <c r="D346" s="21"/>
      <c r="E346" s="21"/>
      <c r="F346" s="21"/>
      <c r="G346" s="116"/>
      <c r="H346" s="116"/>
    </row>
    <row r="347" spans="1:8" x14ac:dyDescent="0.2">
      <c r="A347" s="21"/>
      <c r="B347" s="21"/>
      <c r="C347" s="21"/>
      <c r="D347" s="21"/>
      <c r="E347" s="21"/>
      <c r="F347" s="21"/>
      <c r="G347" s="116"/>
      <c r="H347" s="116"/>
    </row>
    <row r="348" spans="1:8" x14ac:dyDescent="0.2">
      <c r="A348" s="21"/>
      <c r="B348" s="21"/>
      <c r="C348" s="21"/>
      <c r="D348" s="21"/>
      <c r="E348" s="21"/>
      <c r="F348" s="21"/>
      <c r="G348" s="116"/>
      <c r="H348" s="116"/>
    </row>
    <row r="349" spans="1:8" x14ac:dyDescent="0.2">
      <c r="A349" s="21"/>
      <c r="B349" s="21"/>
      <c r="C349" s="21"/>
      <c r="D349" s="21"/>
      <c r="E349" s="21"/>
      <c r="F349" s="21"/>
      <c r="G349" s="116"/>
      <c r="H349" s="116"/>
    </row>
    <row r="350" spans="1:8" x14ac:dyDescent="0.2">
      <c r="A350" s="21"/>
      <c r="B350" s="21"/>
      <c r="C350" s="21"/>
      <c r="D350" s="21"/>
      <c r="E350" s="21"/>
      <c r="F350" s="21"/>
      <c r="G350" s="116"/>
      <c r="H350" s="116"/>
    </row>
    <row r="351" spans="1:8" x14ac:dyDescent="0.2">
      <c r="A351" s="21"/>
      <c r="B351" s="21"/>
      <c r="C351" s="21"/>
      <c r="D351" s="21"/>
      <c r="E351" s="21"/>
      <c r="F351" s="21"/>
      <c r="G351" s="116"/>
      <c r="H351" s="116"/>
    </row>
    <row r="352" spans="1:8" x14ac:dyDescent="0.2">
      <c r="A352" s="21"/>
      <c r="B352" s="21"/>
      <c r="C352" s="21"/>
      <c r="D352" s="21"/>
      <c r="E352" s="21"/>
      <c r="F352" s="21"/>
      <c r="G352" s="116"/>
      <c r="H352" s="116"/>
    </row>
    <row r="353" spans="1:8" x14ac:dyDescent="0.2">
      <c r="A353" s="21"/>
      <c r="B353" s="21"/>
      <c r="C353" s="21"/>
      <c r="D353" s="21"/>
      <c r="E353" s="21"/>
      <c r="F353" s="21"/>
      <c r="G353" s="116"/>
      <c r="H353" s="116"/>
    </row>
    <row r="354" spans="1:8" x14ac:dyDescent="0.2">
      <c r="A354" s="21"/>
      <c r="B354" s="21"/>
      <c r="C354" s="21"/>
      <c r="D354" s="21"/>
      <c r="E354" s="21"/>
      <c r="F354" s="21"/>
      <c r="G354" s="116"/>
      <c r="H354" s="116"/>
    </row>
    <row r="355" spans="1:8" x14ac:dyDescent="0.2">
      <c r="A355" s="21"/>
      <c r="B355" s="21"/>
      <c r="C355" s="21"/>
      <c r="D355" s="21"/>
      <c r="E355" s="21"/>
      <c r="F355" s="21"/>
      <c r="G355" s="116"/>
      <c r="H355" s="116"/>
    </row>
    <row r="356" spans="1:8" x14ac:dyDescent="0.2">
      <c r="A356" s="21"/>
      <c r="B356" s="21"/>
      <c r="C356" s="21"/>
      <c r="D356" s="21"/>
      <c r="E356" s="21"/>
      <c r="F356" s="21"/>
      <c r="G356" s="116"/>
      <c r="H356" s="116"/>
    </row>
    <row r="357" spans="1:8" x14ac:dyDescent="0.2">
      <c r="A357" s="21"/>
      <c r="B357" s="21"/>
      <c r="C357" s="21"/>
      <c r="D357" s="21"/>
      <c r="E357" s="21"/>
      <c r="F357" s="21"/>
      <c r="G357" s="116"/>
      <c r="H357" s="116"/>
    </row>
    <row r="358" spans="1:8" x14ac:dyDescent="0.2">
      <c r="A358" s="21"/>
      <c r="B358" s="21"/>
      <c r="C358" s="21"/>
      <c r="D358" s="21"/>
      <c r="E358" s="21"/>
      <c r="F358" s="21"/>
      <c r="G358" s="116"/>
      <c r="H358" s="116"/>
    </row>
    <row r="359" spans="1:8" x14ac:dyDescent="0.2">
      <c r="A359" s="21"/>
      <c r="B359" s="21"/>
      <c r="C359" s="21"/>
      <c r="D359" s="21"/>
      <c r="E359" s="21"/>
      <c r="F359" s="21"/>
      <c r="G359" s="116"/>
      <c r="H359" s="116"/>
    </row>
    <row r="360" spans="1:8" x14ac:dyDescent="0.2">
      <c r="A360" s="21"/>
      <c r="B360" s="21"/>
      <c r="C360" s="21"/>
      <c r="D360" s="21"/>
      <c r="E360" s="21"/>
      <c r="F360" s="21"/>
      <c r="G360" s="116"/>
      <c r="H360" s="116"/>
    </row>
    <row r="361" spans="1:8" x14ac:dyDescent="0.2">
      <c r="A361" s="21"/>
      <c r="B361" s="21"/>
      <c r="C361" s="21"/>
      <c r="D361" s="21"/>
      <c r="E361" s="21"/>
      <c r="F361" s="21"/>
      <c r="G361" s="116"/>
      <c r="H361" s="116"/>
    </row>
    <row r="362" spans="1:8" x14ac:dyDescent="0.2">
      <c r="A362" s="21"/>
      <c r="B362" s="21"/>
      <c r="C362" s="21"/>
      <c r="D362" s="21"/>
      <c r="E362" s="21"/>
      <c r="F362" s="21"/>
      <c r="G362" s="116"/>
      <c r="H362" s="116"/>
    </row>
    <row r="363" spans="1:8" x14ac:dyDescent="0.2">
      <c r="A363" s="21"/>
      <c r="B363" s="21"/>
      <c r="C363" s="21"/>
      <c r="D363" s="21"/>
      <c r="E363" s="21"/>
      <c r="F363" s="21"/>
      <c r="G363" s="116"/>
      <c r="H363" s="116"/>
    </row>
    <row r="364" spans="1:8" x14ac:dyDescent="0.2">
      <c r="A364" s="21"/>
      <c r="B364" s="21"/>
      <c r="C364" s="21"/>
      <c r="D364" s="21"/>
      <c r="E364" s="21"/>
      <c r="F364" s="21"/>
      <c r="G364" s="116"/>
      <c r="H364" s="116"/>
    </row>
    <row r="365" spans="1:8" x14ac:dyDescent="0.2">
      <c r="A365" s="21"/>
      <c r="B365" s="21"/>
      <c r="C365" s="21"/>
      <c r="D365" s="21"/>
      <c r="E365" s="21"/>
      <c r="F365" s="21"/>
      <c r="G365" s="116"/>
      <c r="H365" s="116"/>
    </row>
    <row r="366" spans="1:8" x14ac:dyDescent="0.2">
      <c r="A366" s="21"/>
      <c r="B366" s="21"/>
      <c r="C366" s="21"/>
      <c r="D366" s="21"/>
      <c r="E366" s="21"/>
      <c r="F366" s="21"/>
      <c r="G366" s="116"/>
      <c r="H366" s="116"/>
    </row>
    <row r="367" spans="1:8" x14ac:dyDescent="0.2">
      <c r="A367" s="21"/>
      <c r="B367" s="21"/>
      <c r="C367" s="21"/>
      <c r="D367" s="21"/>
      <c r="E367" s="21"/>
      <c r="F367" s="21"/>
      <c r="G367" s="116"/>
      <c r="H367" s="116"/>
    </row>
    <row r="368" spans="1:8" x14ac:dyDescent="0.2">
      <c r="A368" s="21"/>
      <c r="B368" s="21"/>
      <c r="C368" s="21"/>
      <c r="D368" s="21"/>
      <c r="E368" s="21"/>
      <c r="F368" s="21"/>
      <c r="G368" s="116"/>
      <c r="H368" s="116"/>
    </row>
    <row r="369" spans="1:8" x14ac:dyDescent="0.2">
      <c r="A369" s="21"/>
      <c r="B369" s="21"/>
      <c r="C369" s="21"/>
      <c r="D369" s="21"/>
      <c r="E369" s="21"/>
      <c r="F369" s="21"/>
      <c r="G369" s="116"/>
      <c r="H369" s="116"/>
    </row>
    <row r="370" spans="1:8" x14ac:dyDescent="0.2">
      <c r="A370" s="21"/>
      <c r="B370" s="21"/>
      <c r="C370" s="21"/>
      <c r="D370" s="21"/>
      <c r="E370" s="21"/>
      <c r="F370" s="21"/>
      <c r="G370" s="116"/>
      <c r="H370" s="116"/>
    </row>
    <row r="371" spans="1:8" x14ac:dyDescent="0.2">
      <c r="A371" s="21"/>
      <c r="B371" s="21"/>
      <c r="C371" s="21"/>
      <c r="D371" s="21"/>
      <c r="E371" s="21"/>
      <c r="F371" s="21"/>
      <c r="G371" s="116"/>
      <c r="H371" s="116"/>
    </row>
    <row r="372" spans="1:8" x14ac:dyDescent="0.2">
      <c r="A372" s="21"/>
      <c r="B372" s="21"/>
      <c r="C372" s="21"/>
      <c r="D372" s="21"/>
      <c r="E372" s="21"/>
      <c r="F372" s="21"/>
      <c r="G372" s="116"/>
      <c r="H372" s="116"/>
    </row>
    <row r="373" spans="1:8" x14ac:dyDescent="0.2">
      <c r="A373" s="21"/>
      <c r="B373" s="21"/>
      <c r="C373" s="21"/>
      <c r="D373" s="21"/>
      <c r="E373" s="21"/>
      <c r="F373" s="21"/>
      <c r="G373" s="116"/>
      <c r="H373" s="116"/>
    </row>
    <row r="374" spans="1:8" x14ac:dyDescent="0.2">
      <c r="A374" s="21"/>
      <c r="B374" s="21"/>
      <c r="C374" s="21"/>
      <c r="D374" s="21"/>
      <c r="E374" s="21"/>
      <c r="F374" s="21"/>
      <c r="G374" s="116"/>
      <c r="H374" s="116"/>
    </row>
    <row r="375" spans="1:8" x14ac:dyDescent="0.2">
      <c r="A375" s="21"/>
      <c r="B375" s="21"/>
      <c r="C375" s="21"/>
      <c r="D375" s="21"/>
      <c r="E375" s="21"/>
      <c r="F375" s="21"/>
      <c r="G375" s="116"/>
      <c r="H375" s="116"/>
    </row>
    <row r="376" spans="1:8" x14ac:dyDescent="0.2">
      <c r="A376" s="21"/>
      <c r="B376" s="21"/>
      <c r="C376" s="21"/>
      <c r="D376" s="21"/>
      <c r="E376" s="21"/>
      <c r="F376" s="21"/>
      <c r="G376" s="116"/>
      <c r="H376" s="116"/>
    </row>
    <row r="377" spans="1:8" x14ac:dyDescent="0.2">
      <c r="A377" s="21"/>
      <c r="B377" s="21"/>
      <c r="C377" s="21"/>
      <c r="D377" s="21"/>
      <c r="E377" s="21"/>
      <c r="F377" s="21"/>
      <c r="G377" s="116"/>
      <c r="H377" s="116"/>
    </row>
    <row r="378" spans="1:8" x14ac:dyDescent="0.2">
      <c r="A378" s="21"/>
      <c r="B378" s="21"/>
      <c r="C378" s="21"/>
      <c r="D378" s="21"/>
      <c r="E378" s="21"/>
      <c r="F378" s="21"/>
      <c r="G378" s="116"/>
      <c r="H378" s="116"/>
    </row>
    <row r="379" spans="1:8" x14ac:dyDescent="0.2">
      <c r="A379" s="21"/>
      <c r="B379" s="21"/>
      <c r="C379" s="21"/>
      <c r="D379" s="21"/>
      <c r="E379" s="21"/>
      <c r="F379" s="21"/>
      <c r="G379" s="116"/>
      <c r="H379" s="116"/>
    </row>
    <row r="380" spans="1:8" x14ac:dyDescent="0.2">
      <c r="A380" s="21"/>
      <c r="B380" s="21"/>
      <c r="C380" s="21"/>
      <c r="D380" s="21"/>
      <c r="E380" s="21"/>
      <c r="F380" s="21"/>
      <c r="G380" s="116"/>
      <c r="H380" s="116"/>
    </row>
    <row r="381" spans="1:8" x14ac:dyDescent="0.2">
      <c r="A381" s="21"/>
      <c r="B381" s="21"/>
      <c r="C381" s="21"/>
      <c r="D381" s="21"/>
      <c r="E381" s="21"/>
      <c r="F381" s="21"/>
      <c r="G381" s="116"/>
      <c r="H381" s="116"/>
    </row>
    <row r="382" spans="1:8" x14ac:dyDescent="0.2">
      <c r="A382" s="21"/>
      <c r="B382" s="21"/>
      <c r="C382" s="21"/>
      <c r="D382" s="21"/>
      <c r="E382" s="21"/>
      <c r="F382" s="21"/>
      <c r="G382" s="116"/>
      <c r="H382" s="116"/>
    </row>
    <row r="383" spans="1:8" x14ac:dyDescent="0.2">
      <c r="A383" s="21"/>
      <c r="B383" s="21"/>
      <c r="C383" s="21"/>
      <c r="D383" s="21"/>
      <c r="E383" s="21"/>
      <c r="F383" s="21"/>
      <c r="G383" s="116"/>
      <c r="H383" s="116"/>
    </row>
    <row r="384" spans="1:8" x14ac:dyDescent="0.2">
      <c r="A384" s="21"/>
      <c r="B384" s="21"/>
      <c r="C384" s="21"/>
      <c r="D384" s="21"/>
      <c r="E384" s="21"/>
      <c r="F384" s="21"/>
      <c r="G384" s="116"/>
      <c r="H384" s="116"/>
    </row>
    <row r="385" spans="1:8" x14ac:dyDescent="0.2">
      <c r="A385" s="21"/>
      <c r="B385" s="21"/>
      <c r="C385" s="21"/>
      <c r="D385" s="21"/>
      <c r="E385" s="21"/>
      <c r="F385" s="21"/>
      <c r="G385" s="116"/>
      <c r="H385" s="116"/>
    </row>
    <row r="386" spans="1:8" x14ac:dyDescent="0.2">
      <c r="A386" s="21"/>
      <c r="B386" s="21"/>
      <c r="C386" s="21"/>
      <c r="D386" s="21"/>
      <c r="E386" s="21"/>
      <c r="F386" s="21"/>
      <c r="G386" s="116"/>
      <c r="H386" s="116"/>
    </row>
    <row r="387" spans="1:8" x14ac:dyDescent="0.2">
      <c r="A387" s="21"/>
      <c r="B387" s="21"/>
      <c r="C387" s="21"/>
      <c r="D387" s="21"/>
      <c r="E387" s="21"/>
      <c r="F387" s="21"/>
      <c r="G387" s="116"/>
      <c r="H387" s="116"/>
    </row>
    <row r="388" spans="1:8" x14ac:dyDescent="0.2">
      <c r="A388" s="21"/>
      <c r="B388" s="21"/>
      <c r="C388" s="21"/>
      <c r="D388" s="21"/>
      <c r="E388" s="21"/>
      <c r="F388" s="21"/>
      <c r="G388" s="116"/>
      <c r="H388" s="116"/>
    </row>
    <row r="389" spans="1:8" x14ac:dyDescent="0.2">
      <c r="A389" s="21"/>
      <c r="B389" s="21"/>
      <c r="C389" s="21"/>
      <c r="D389" s="21"/>
      <c r="E389" s="21"/>
      <c r="F389" s="21"/>
      <c r="G389" s="116"/>
      <c r="H389" s="116"/>
    </row>
    <row r="390" spans="1:8" x14ac:dyDescent="0.2">
      <c r="A390" s="21"/>
      <c r="B390" s="21"/>
      <c r="C390" s="21"/>
      <c r="D390" s="21"/>
      <c r="E390" s="21"/>
      <c r="F390" s="21"/>
      <c r="G390" s="116"/>
      <c r="H390" s="116"/>
    </row>
    <row r="391" spans="1:8" x14ac:dyDescent="0.2">
      <c r="A391" s="21"/>
      <c r="B391" s="21"/>
      <c r="C391" s="21"/>
      <c r="D391" s="21"/>
      <c r="E391" s="21"/>
      <c r="F391" s="21"/>
      <c r="G391" s="116"/>
      <c r="H391" s="116"/>
    </row>
    <row r="392" spans="1:8" x14ac:dyDescent="0.2">
      <c r="A392" s="21"/>
      <c r="B392" s="21"/>
      <c r="C392" s="21"/>
      <c r="D392" s="21"/>
      <c r="E392" s="21"/>
      <c r="F392" s="21"/>
      <c r="G392" s="116"/>
      <c r="H392" s="116"/>
    </row>
    <row r="393" spans="1:8" x14ac:dyDescent="0.2">
      <c r="A393" s="21"/>
      <c r="B393" s="21"/>
      <c r="C393" s="21"/>
      <c r="D393" s="21"/>
      <c r="E393" s="21"/>
      <c r="F393" s="21"/>
      <c r="G393" s="116"/>
      <c r="H393" s="116"/>
    </row>
    <row r="394" spans="1:8" x14ac:dyDescent="0.2">
      <c r="A394" s="21"/>
      <c r="B394" s="21"/>
      <c r="C394" s="21"/>
      <c r="D394" s="21"/>
      <c r="E394" s="21"/>
      <c r="F394" s="21"/>
      <c r="G394" s="116"/>
      <c r="H394" s="116"/>
    </row>
    <row r="395" spans="1:8" x14ac:dyDescent="0.2">
      <c r="A395" s="21"/>
      <c r="B395" s="21"/>
      <c r="C395" s="21"/>
      <c r="D395" s="21"/>
      <c r="E395" s="21"/>
      <c r="F395" s="21"/>
      <c r="G395" s="116"/>
      <c r="H395" s="116"/>
    </row>
    <row r="396" spans="1:8" x14ac:dyDescent="0.2">
      <c r="A396" s="21"/>
      <c r="B396" s="21"/>
      <c r="C396" s="21"/>
      <c r="D396" s="21"/>
      <c r="E396" s="21"/>
      <c r="F396" s="21"/>
      <c r="G396" s="116"/>
      <c r="H396" s="116"/>
    </row>
    <row r="397" spans="1:8" x14ac:dyDescent="0.2">
      <c r="A397" s="21"/>
      <c r="B397" s="21"/>
      <c r="C397" s="21"/>
      <c r="D397" s="21"/>
      <c r="E397" s="21"/>
      <c r="F397" s="21"/>
      <c r="G397" s="116"/>
      <c r="H397" s="116"/>
    </row>
    <row r="398" spans="1:8" x14ac:dyDescent="0.2">
      <c r="A398" s="21"/>
      <c r="B398" s="21"/>
      <c r="C398" s="21"/>
      <c r="D398" s="21"/>
      <c r="E398" s="21"/>
      <c r="F398" s="21"/>
      <c r="G398" s="116"/>
      <c r="H398" s="116"/>
    </row>
    <row r="399" spans="1:8" x14ac:dyDescent="0.2">
      <c r="A399" s="21"/>
      <c r="B399" s="21"/>
      <c r="C399" s="21"/>
      <c r="D399" s="21"/>
      <c r="E399" s="21"/>
      <c r="F399" s="21"/>
      <c r="G399" s="116"/>
      <c r="H399" s="116"/>
    </row>
    <row r="400" spans="1:8" x14ac:dyDescent="0.2">
      <c r="A400" s="21"/>
      <c r="B400" s="21"/>
      <c r="C400" s="21"/>
      <c r="D400" s="21"/>
      <c r="E400" s="21"/>
      <c r="F400" s="21"/>
      <c r="G400" s="116"/>
      <c r="H400" s="116"/>
    </row>
    <row r="401" spans="1:8" x14ac:dyDescent="0.2">
      <c r="A401" s="21"/>
      <c r="B401" s="21"/>
      <c r="C401" s="21"/>
      <c r="D401" s="21"/>
      <c r="E401" s="21"/>
      <c r="F401" s="21"/>
      <c r="G401" s="116"/>
      <c r="H401" s="116"/>
    </row>
    <row r="402" spans="1:8" x14ac:dyDescent="0.2">
      <c r="A402" s="21"/>
      <c r="B402" s="21"/>
      <c r="C402" s="21"/>
      <c r="D402" s="21"/>
      <c r="E402" s="21"/>
      <c r="F402" s="21"/>
      <c r="G402" s="116"/>
      <c r="H402" s="116"/>
    </row>
    <row r="403" spans="1:8" x14ac:dyDescent="0.2">
      <c r="A403" s="21"/>
      <c r="B403" s="21"/>
      <c r="C403" s="21"/>
      <c r="D403" s="21"/>
      <c r="E403" s="21"/>
      <c r="F403" s="21"/>
      <c r="G403" s="116"/>
      <c r="H403" s="116"/>
    </row>
    <row r="404" spans="1:8" x14ac:dyDescent="0.2">
      <c r="A404" s="21"/>
      <c r="B404" s="21"/>
      <c r="C404" s="21"/>
      <c r="D404" s="21"/>
      <c r="E404" s="21"/>
      <c r="F404" s="21"/>
      <c r="G404" s="116"/>
      <c r="H404" s="116"/>
    </row>
    <row r="405" spans="1:8" x14ac:dyDescent="0.2">
      <c r="A405" s="21"/>
      <c r="B405" s="21"/>
      <c r="C405" s="21"/>
      <c r="D405" s="21"/>
      <c r="E405" s="21"/>
      <c r="F405" s="21"/>
      <c r="G405" s="116"/>
      <c r="H405" s="116"/>
    </row>
    <row r="406" spans="1:8" x14ac:dyDescent="0.2">
      <c r="A406" s="21"/>
      <c r="B406" s="21"/>
      <c r="C406" s="21"/>
      <c r="D406" s="21"/>
      <c r="E406" s="21"/>
      <c r="F406" s="21"/>
      <c r="G406" s="116"/>
      <c r="H406" s="116"/>
    </row>
    <row r="407" spans="1:8" x14ac:dyDescent="0.2">
      <c r="A407" s="21"/>
      <c r="B407" s="21"/>
      <c r="C407" s="21"/>
      <c r="D407" s="21"/>
      <c r="E407" s="21"/>
      <c r="F407" s="21"/>
      <c r="G407" s="116"/>
      <c r="H407" s="116"/>
    </row>
    <row r="408" spans="1:8" x14ac:dyDescent="0.2">
      <c r="A408" s="21"/>
      <c r="B408" s="21"/>
      <c r="C408" s="21"/>
      <c r="D408" s="21"/>
      <c r="E408" s="21"/>
      <c r="F408" s="21"/>
      <c r="G408" s="116"/>
      <c r="H408" s="116"/>
    </row>
    <row r="409" spans="1:8" x14ac:dyDescent="0.2">
      <c r="A409" s="21"/>
      <c r="B409" s="21"/>
      <c r="C409" s="21"/>
      <c r="D409" s="21"/>
      <c r="E409" s="21"/>
      <c r="F409" s="21"/>
      <c r="G409" s="116"/>
      <c r="H409" s="116"/>
    </row>
    <row r="410" spans="1:8" x14ac:dyDescent="0.2">
      <c r="A410" s="21"/>
      <c r="B410" s="21"/>
      <c r="C410" s="21"/>
      <c r="D410" s="21"/>
      <c r="E410" s="21"/>
      <c r="F410" s="21"/>
      <c r="G410" s="116"/>
      <c r="H410" s="116"/>
    </row>
    <row r="411" spans="1:8" x14ac:dyDescent="0.2">
      <c r="A411" s="21"/>
      <c r="B411" s="21"/>
      <c r="C411" s="21"/>
      <c r="D411" s="21"/>
      <c r="E411" s="21"/>
      <c r="F411" s="21"/>
      <c r="G411" s="116"/>
      <c r="H411" s="116"/>
    </row>
    <row r="412" spans="1:8" x14ac:dyDescent="0.2">
      <c r="A412" s="21"/>
      <c r="B412" s="21"/>
      <c r="C412" s="21"/>
      <c r="D412" s="21"/>
      <c r="E412" s="21"/>
      <c r="F412" s="21"/>
      <c r="G412" s="116"/>
      <c r="H412" s="116"/>
    </row>
    <row r="413" spans="1:8" x14ac:dyDescent="0.2">
      <c r="A413" s="21"/>
      <c r="B413" s="21"/>
      <c r="C413" s="21"/>
      <c r="D413" s="21"/>
      <c r="E413" s="21"/>
      <c r="F413" s="21"/>
      <c r="G413" s="116"/>
      <c r="H413" s="116"/>
    </row>
    <row r="414" spans="1:8" x14ac:dyDescent="0.2">
      <c r="A414" s="21"/>
      <c r="B414" s="21"/>
      <c r="C414" s="21"/>
      <c r="D414" s="21"/>
      <c r="E414" s="21"/>
      <c r="F414" s="21"/>
      <c r="G414" s="116"/>
      <c r="H414" s="116"/>
    </row>
    <row r="415" spans="1:8" x14ac:dyDescent="0.2">
      <c r="A415" s="21"/>
      <c r="B415" s="21"/>
      <c r="C415" s="21"/>
      <c r="D415" s="21"/>
      <c r="E415" s="21"/>
      <c r="F415" s="21"/>
      <c r="G415" s="116"/>
      <c r="H415" s="116"/>
    </row>
    <row r="416" spans="1:8" x14ac:dyDescent="0.2">
      <c r="A416" s="21"/>
      <c r="B416" s="21"/>
      <c r="C416" s="21"/>
      <c r="D416" s="21"/>
      <c r="E416" s="21"/>
      <c r="F416" s="21"/>
      <c r="G416" s="116"/>
      <c r="H416" s="116"/>
    </row>
    <row r="417" spans="1:8" x14ac:dyDescent="0.2">
      <c r="A417" s="21"/>
      <c r="B417" s="21"/>
      <c r="C417" s="21"/>
      <c r="D417" s="21"/>
      <c r="E417" s="21"/>
      <c r="F417" s="21"/>
      <c r="G417" s="116"/>
      <c r="H417" s="116"/>
    </row>
    <row r="418" spans="1:8" x14ac:dyDescent="0.2">
      <c r="A418" s="21"/>
      <c r="B418" s="21"/>
      <c r="C418" s="21"/>
      <c r="D418" s="21"/>
      <c r="E418" s="21"/>
      <c r="F418" s="21"/>
      <c r="G418" s="116"/>
      <c r="H418" s="116"/>
    </row>
    <row r="419" spans="1:8" x14ac:dyDescent="0.2">
      <c r="A419" s="21"/>
      <c r="B419" s="21"/>
      <c r="C419" s="21"/>
      <c r="D419" s="21"/>
      <c r="E419" s="21"/>
      <c r="F419" s="21"/>
      <c r="G419" s="116"/>
      <c r="H419" s="116"/>
    </row>
    <row r="420" spans="1:8" x14ac:dyDescent="0.2">
      <c r="A420" s="21"/>
      <c r="B420" s="21"/>
      <c r="C420" s="21"/>
      <c r="D420" s="21"/>
      <c r="E420" s="21"/>
      <c r="F420" s="21"/>
      <c r="G420" s="116"/>
      <c r="H420" s="116"/>
    </row>
    <row r="421" spans="1:8" x14ac:dyDescent="0.2">
      <c r="A421" s="21"/>
      <c r="B421" s="21"/>
      <c r="C421" s="21"/>
      <c r="D421" s="21"/>
      <c r="E421" s="21"/>
      <c r="F421" s="21"/>
      <c r="G421" s="116"/>
      <c r="H421" s="116"/>
    </row>
    <row r="422" spans="1:8" x14ac:dyDescent="0.2">
      <c r="A422" s="21"/>
      <c r="B422" s="21"/>
      <c r="C422" s="21"/>
      <c r="D422" s="21"/>
      <c r="E422" s="21"/>
      <c r="F422" s="21"/>
      <c r="G422" s="116"/>
      <c r="H422" s="116"/>
    </row>
    <row r="423" spans="1:8" x14ac:dyDescent="0.2">
      <c r="A423" s="21"/>
      <c r="B423" s="21"/>
      <c r="C423" s="21"/>
      <c r="D423" s="21"/>
      <c r="E423" s="21"/>
      <c r="F423" s="21"/>
      <c r="G423" s="116"/>
      <c r="H423" s="116"/>
    </row>
    <row r="424" spans="1:8" x14ac:dyDescent="0.2">
      <c r="A424" s="21"/>
      <c r="B424" s="21"/>
      <c r="C424" s="21"/>
      <c r="D424" s="21"/>
      <c r="E424" s="21"/>
      <c r="F424" s="21"/>
      <c r="G424" s="116"/>
      <c r="H424" s="116"/>
    </row>
    <row r="425" spans="1:8" x14ac:dyDescent="0.2">
      <c r="A425" s="21"/>
      <c r="B425" s="21"/>
      <c r="C425" s="21"/>
      <c r="D425" s="21"/>
      <c r="E425" s="21"/>
      <c r="F425" s="21"/>
      <c r="G425" s="116"/>
      <c r="H425" s="116"/>
    </row>
    <row r="426" spans="1:8" x14ac:dyDescent="0.2">
      <c r="A426" s="21"/>
      <c r="B426" s="21"/>
      <c r="C426" s="21"/>
      <c r="D426" s="21"/>
      <c r="E426" s="21"/>
      <c r="F426" s="21"/>
      <c r="G426" s="116"/>
      <c r="H426" s="116"/>
    </row>
    <row r="427" spans="1:8" x14ac:dyDescent="0.2">
      <c r="A427" s="21"/>
      <c r="B427" s="21"/>
      <c r="C427" s="21"/>
      <c r="D427" s="21"/>
      <c r="E427" s="21"/>
      <c r="F427" s="21"/>
      <c r="G427" s="116"/>
      <c r="H427" s="116"/>
    </row>
    <row r="428" spans="1:8" x14ac:dyDescent="0.2">
      <c r="A428" s="21"/>
      <c r="B428" s="21"/>
      <c r="C428" s="21"/>
      <c r="D428" s="21"/>
      <c r="E428" s="21"/>
      <c r="F428" s="21"/>
      <c r="G428" s="116"/>
      <c r="H428" s="116"/>
    </row>
    <row r="429" spans="1:8" x14ac:dyDescent="0.2">
      <c r="A429" s="21"/>
      <c r="B429" s="21"/>
      <c r="C429" s="21"/>
      <c r="D429" s="21"/>
      <c r="E429" s="21"/>
      <c r="F429" s="21"/>
      <c r="G429" s="116"/>
      <c r="H429" s="116"/>
    </row>
    <row r="430" spans="1:8" x14ac:dyDescent="0.2">
      <c r="A430" s="21"/>
      <c r="B430" s="21"/>
      <c r="C430" s="21"/>
      <c r="D430" s="21"/>
      <c r="E430" s="21"/>
      <c r="F430" s="21"/>
      <c r="G430" s="116"/>
      <c r="H430" s="116"/>
    </row>
    <row r="431" spans="1:8" x14ac:dyDescent="0.2">
      <c r="A431" s="21"/>
      <c r="B431" s="21"/>
      <c r="C431" s="21"/>
      <c r="D431" s="21"/>
      <c r="E431" s="21"/>
      <c r="F431" s="21"/>
      <c r="G431" s="116"/>
      <c r="H431" s="116"/>
    </row>
    <row r="432" spans="1:8" x14ac:dyDescent="0.2">
      <c r="A432" s="21"/>
      <c r="B432" s="21"/>
      <c r="C432" s="21"/>
      <c r="D432" s="21"/>
      <c r="E432" s="21"/>
      <c r="F432" s="21"/>
      <c r="G432" s="116"/>
      <c r="H432" s="116"/>
    </row>
    <row r="433" spans="1:8" x14ac:dyDescent="0.2">
      <c r="A433" s="21"/>
      <c r="B433" s="21"/>
      <c r="C433" s="21"/>
      <c r="D433" s="21"/>
      <c r="E433" s="21"/>
      <c r="F433" s="21"/>
      <c r="G433" s="116"/>
      <c r="H433" s="116"/>
    </row>
    <row r="434" spans="1:8" x14ac:dyDescent="0.2">
      <c r="A434" s="21"/>
      <c r="B434" s="21"/>
      <c r="C434" s="21"/>
      <c r="D434" s="21"/>
      <c r="E434" s="21"/>
      <c r="F434" s="21"/>
      <c r="G434" s="116"/>
      <c r="H434" s="116"/>
    </row>
    <row r="435" spans="1:8" x14ac:dyDescent="0.2">
      <c r="A435" s="21"/>
      <c r="B435" s="21"/>
      <c r="C435" s="21"/>
      <c r="D435" s="21"/>
      <c r="E435" s="21"/>
      <c r="F435" s="21"/>
      <c r="G435" s="116"/>
      <c r="H435" s="116"/>
    </row>
    <row r="436" spans="1:8" x14ac:dyDescent="0.2">
      <c r="A436" s="21"/>
      <c r="B436" s="21"/>
      <c r="C436" s="21"/>
      <c r="D436" s="21"/>
      <c r="E436" s="21"/>
      <c r="F436" s="21"/>
      <c r="G436" s="116"/>
      <c r="H436" s="116"/>
    </row>
    <row r="437" spans="1:8" x14ac:dyDescent="0.2">
      <c r="A437" s="21"/>
      <c r="B437" s="21"/>
      <c r="C437" s="21"/>
      <c r="D437" s="21"/>
      <c r="E437" s="21"/>
      <c r="F437" s="21"/>
      <c r="G437" s="116"/>
      <c r="H437" s="116"/>
    </row>
    <row r="438" spans="1:8" x14ac:dyDescent="0.2">
      <c r="A438" s="21"/>
      <c r="B438" s="21"/>
      <c r="C438" s="21"/>
      <c r="D438" s="21"/>
      <c r="E438" s="21"/>
      <c r="F438" s="21"/>
      <c r="G438" s="116"/>
      <c r="H438" s="116"/>
    </row>
    <row r="439" spans="1:8" x14ac:dyDescent="0.2">
      <c r="A439" s="21"/>
      <c r="B439" s="21"/>
      <c r="C439" s="21"/>
      <c r="D439" s="21"/>
      <c r="E439" s="21"/>
      <c r="F439" s="21"/>
      <c r="G439" s="116"/>
      <c r="H439" s="116"/>
    </row>
    <row r="440" spans="1:8" x14ac:dyDescent="0.2">
      <c r="A440" s="21"/>
      <c r="B440" s="21"/>
      <c r="C440" s="21"/>
      <c r="D440" s="21"/>
      <c r="E440" s="21"/>
      <c r="F440" s="21"/>
      <c r="G440" s="116"/>
      <c r="H440" s="116"/>
    </row>
    <row r="441" spans="1:8" x14ac:dyDescent="0.2">
      <c r="A441" s="21"/>
      <c r="B441" s="21"/>
      <c r="C441" s="21"/>
      <c r="D441" s="21"/>
      <c r="E441" s="21"/>
      <c r="F441" s="21"/>
      <c r="G441" s="116"/>
      <c r="H441" s="116"/>
    </row>
    <row r="442" spans="1:8" x14ac:dyDescent="0.2">
      <c r="A442" s="21"/>
      <c r="B442" s="21"/>
      <c r="C442" s="21"/>
      <c r="D442" s="21"/>
      <c r="E442" s="21"/>
      <c r="F442" s="21"/>
      <c r="G442" s="116"/>
      <c r="H442" s="116"/>
    </row>
    <row r="443" spans="1:8" x14ac:dyDescent="0.2">
      <c r="A443" s="21"/>
      <c r="B443" s="21"/>
      <c r="C443" s="21"/>
      <c r="D443" s="21"/>
      <c r="E443" s="21"/>
      <c r="F443" s="21"/>
      <c r="G443" s="116"/>
      <c r="H443" s="116"/>
    </row>
    <row r="444" spans="1:8" x14ac:dyDescent="0.2">
      <c r="A444" s="21"/>
      <c r="B444" s="21"/>
      <c r="C444" s="21"/>
      <c r="D444" s="21"/>
      <c r="E444" s="21"/>
      <c r="F444" s="21"/>
      <c r="G444" s="116"/>
      <c r="H444" s="116"/>
    </row>
    <row r="445" spans="1:8" x14ac:dyDescent="0.2">
      <c r="A445" s="21"/>
      <c r="B445" s="21"/>
      <c r="C445" s="21"/>
      <c r="D445" s="21"/>
      <c r="E445" s="21"/>
      <c r="F445" s="21"/>
      <c r="G445" s="116"/>
      <c r="H445" s="116"/>
    </row>
    <row r="446" spans="1:8" x14ac:dyDescent="0.2">
      <c r="A446" s="21"/>
      <c r="B446" s="21"/>
      <c r="C446" s="21"/>
      <c r="D446" s="21"/>
      <c r="E446" s="21"/>
      <c r="F446" s="21"/>
      <c r="G446" s="116"/>
      <c r="H446" s="116"/>
    </row>
    <row r="447" spans="1:8" x14ac:dyDescent="0.2">
      <c r="A447" s="21"/>
      <c r="B447" s="21"/>
      <c r="C447" s="21"/>
      <c r="D447" s="21"/>
      <c r="E447" s="21"/>
      <c r="F447" s="21"/>
      <c r="G447" s="116"/>
      <c r="H447" s="116"/>
    </row>
    <row r="448" spans="1:8" x14ac:dyDescent="0.2">
      <c r="A448" s="21"/>
      <c r="B448" s="21"/>
      <c r="C448" s="21"/>
      <c r="D448" s="21"/>
      <c r="E448" s="21"/>
      <c r="F448" s="21"/>
      <c r="G448" s="116"/>
      <c r="H448" s="116"/>
    </row>
    <row r="449" spans="1:8" x14ac:dyDescent="0.2">
      <c r="A449" s="21"/>
      <c r="B449" s="21"/>
      <c r="C449" s="21"/>
      <c r="D449" s="21"/>
      <c r="E449" s="21"/>
      <c r="F449" s="21"/>
      <c r="G449" s="116"/>
      <c r="H449" s="116"/>
    </row>
    <row r="450" spans="1:8" x14ac:dyDescent="0.2">
      <c r="A450" s="21"/>
      <c r="B450" s="21"/>
      <c r="C450" s="21"/>
      <c r="D450" s="21"/>
      <c r="E450" s="21"/>
      <c r="F450" s="21"/>
      <c r="G450" s="116"/>
      <c r="H450" s="116"/>
    </row>
    <row r="451" spans="1:8" x14ac:dyDescent="0.2">
      <c r="A451" s="21"/>
      <c r="B451" s="21"/>
      <c r="C451" s="21"/>
      <c r="D451" s="21"/>
      <c r="E451" s="21"/>
      <c r="F451" s="21"/>
      <c r="G451" s="116"/>
      <c r="H451" s="116"/>
    </row>
    <row r="452" spans="1:8" x14ac:dyDescent="0.2">
      <c r="A452" s="21"/>
      <c r="B452" s="21"/>
      <c r="C452" s="21"/>
      <c r="D452" s="21"/>
      <c r="E452" s="21"/>
      <c r="F452" s="21"/>
      <c r="G452" s="116"/>
      <c r="H452" s="116"/>
    </row>
    <row r="453" spans="1:8" x14ac:dyDescent="0.2">
      <c r="A453" s="21"/>
      <c r="B453" s="21"/>
      <c r="C453" s="21"/>
      <c r="D453" s="21"/>
      <c r="E453" s="21"/>
      <c r="F453" s="21"/>
      <c r="G453" s="116"/>
      <c r="H453" s="116"/>
    </row>
    <row r="454" spans="1:8" x14ac:dyDescent="0.2">
      <c r="A454" s="21"/>
      <c r="B454" s="21"/>
      <c r="C454" s="21"/>
      <c r="D454" s="21"/>
      <c r="E454" s="21"/>
      <c r="F454" s="21"/>
      <c r="G454" s="116"/>
      <c r="H454" s="116"/>
    </row>
    <row r="455" spans="1:8" x14ac:dyDescent="0.2">
      <c r="A455" s="21"/>
      <c r="B455" s="21"/>
      <c r="C455" s="21"/>
      <c r="D455" s="21"/>
      <c r="E455" s="21"/>
      <c r="F455" s="21"/>
      <c r="G455" s="116"/>
      <c r="H455" s="116"/>
    </row>
    <row r="456" spans="1:8" x14ac:dyDescent="0.2">
      <c r="A456" s="21"/>
      <c r="B456" s="21"/>
      <c r="C456" s="21"/>
      <c r="D456" s="21"/>
      <c r="E456" s="21"/>
      <c r="F456" s="21"/>
      <c r="G456" s="116"/>
      <c r="H456" s="116"/>
    </row>
    <row r="457" spans="1:8" x14ac:dyDescent="0.2">
      <c r="A457" s="21"/>
      <c r="B457" s="21"/>
      <c r="C457" s="21"/>
      <c r="D457" s="21"/>
      <c r="E457" s="21"/>
      <c r="F457" s="21"/>
      <c r="G457" s="116"/>
      <c r="H457" s="116"/>
    </row>
    <row r="458" spans="1:8" x14ac:dyDescent="0.2">
      <c r="A458" s="21"/>
      <c r="B458" s="21"/>
      <c r="C458" s="21"/>
      <c r="D458" s="21"/>
      <c r="E458" s="21"/>
      <c r="F458" s="21"/>
      <c r="G458" s="116"/>
      <c r="H458" s="116"/>
    </row>
    <row r="459" spans="1:8" x14ac:dyDescent="0.2">
      <c r="A459" s="21"/>
      <c r="B459" s="21"/>
      <c r="C459" s="21"/>
      <c r="D459" s="21"/>
      <c r="E459" s="21"/>
      <c r="F459" s="21"/>
      <c r="G459" s="116"/>
      <c r="H459" s="116"/>
    </row>
    <row r="460" spans="1:8" x14ac:dyDescent="0.2">
      <c r="A460" s="21"/>
      <c r="B460" s="21"/>
      <c r="C460" s="21"/>
      <c r="D460" s="21"/>
      <c r="E460" s="21"/>
      <c r="F460" s="21"/>
      <c r="G460" s="116"/>
      <c r="H460" s="116"/>
    </row>
    <row r="461" spans="1:8" x14ac:dyDescent="0.2">
      <c r="A461" s="21"/>
      <c r="B461" s="21"/>
      <c r="C461" s="21"/>
      <c r="D461" s="21"/>
      <c r="E461" s="21"/>
      <c r="F461" s="21"/>
      <c r="G461" s="116"/>
      <c r="H461" s="116"/>
    </row>
    <row r="462" spans="1:8" x14ac:dyDescent="0.2">
      <c r="A462" s="21"/>
      <c r="B462" s="21"/>
      <c r="C462" s="21"/>
      <c r="D462" s="21"/>
      <c r="E462" s="21"/>
      <c r="F462" s="21"/>
      <c r="G462" s="116"/>
      <c r="H462" s="116"/>
    </row>
    <row r="463" spans="1:8" x14ac:dyDescent="0.2">
      <c r="A463" s="21"/>
      <c r="B463" s="21"/>
      <c r="C463" s="21"/>
      <c r="D463" s="21"/>
      <c r="E463" s="21"/>
      <c r="F463" s="21"/>
      <c r="G463" s="116"/>
      <c r="H463" s="116"/>
    </row>
    <row r="464" spans="1:8" x14ac:dyDescent="0.2">
      <c r="A464" s="21"/>
      <c r="B464" s="21"/>
      <c r="C464" s="21"/>
      <c r="D464" s="21"/>
      <c r="E464" s="21"/>
      <c r="F464" s="21"/>
      <c r="G464" s="116"/>
      <c r="H464" s="116"/>
    </row>
    <row r="465" spans="1:8" x14ac:dyDescent="0.2">
      <c r="A465" s="21"/>
      <c r="B465" s="21"/>
      <c r="C465" s="21"/>
      <c r="D465" s="21"/>
      <c r="E465" s="21"/>
      <c r="F465" s="21"/>
      <c r="G465" s="116"/>
      <c r="H465" s="116"/>
    </row>
    <row r="466" spans="1:8" x14ac:dyDescent="0.2">
      <c r="A466" s="21"/>
      <c r="B466" s="21"/>
      <c r="C466" s="21"/>
      <c r="D466" s="21"/>
      <c r="E466" s="21"/>
      <c r="F466" s="21"/>
      <c r="G466" s="116"/>
      <c r="H466" s="116"/>
    </row>
    <row r="467" spans="1:8" x14ac:dyDescent="0.2">
      <c r="A467" s="21"/>
      <c r="B467" s="21"/>
      <c r="C467" s="21"/>
      <c r="D467" s="21"/>
      <c r="E467" s="21"/>
      <c r="F467" s="21"/>
      <c r="G467" s="116"/>
      <c r="H467" s="116"/>
    </row>
    <row r="468" spans="1:8" x14ac:dyDescent="0.2">
      <c r="A468" s="21"/>
      <c r="B468" s="21"/>
      <c r="C468" s="21"/>
      <c r="D468" s="21"/>
      <c r="E468" s="21"/>
      <c r="F468" s="21"/>
      <c r="G468" s="116"/>
      <c r="H468" s="116"/>
    </row>
    <row r="469" spans="1:8" x14ac:dyDescent="0.2">
      <c r="A469" s="21"/>
      <c r="B469" s="21"/>
      <c r="C469" s="21"/>
      <c r="D469" s="21"/>
      <c r="E469" s="21"/>
      <c r="F469" s="21"/>
      <c r="G469" s="116"/>
      <c r="H469" s="116"/>
    </row>
    <row r="470" spans="1:8" x14ac:dyDescent="0.2">
      <c r="A470" s="21"/>
      <c r="B470" s="21"/>
      <c r="C470" s="21"/>
      <c r="D470" s="21"/>
      <c r="E470" s="21"/>
      <c r="F470" s="21"/>
      <c r="G470" s="116"/>
      <c r="H470" s="116"/>
    </row>
    <row r="471" spans="1:8" x14ac:dyDescent="0.2">
      <c r="A471" s="21"/>
      <c r="B471" s="21"/>
      <c r="C471" s="21"/>
      <c r="D471" s="21"/>
      <c r="E471" s="21"/>
      <c r="F471" s="21"/>
      <c r="G471" s="116"/>
      <c r="H471" s="116"/>
    </row>
    <row r="472" spans="1:8" x14ac:dyDescent="0.2">
      <c r="A472" s="21"/>
      <c r="B472" s="21"/>
      <c r="C472" s="21"/>
      <c r="D472" s="21"/>
      <c r="E472" s="21"/>
      <c r="F472" s="21"/>
      <c r="G472" s="116"/>
      <c r="H472" s="116"/>
    </row>
    <row r="473" spans="1:8" x14ac:dyDescent="0.2">
      <c r="A473" s="21"/>
      <c r="B473" s="21"/>
      <c r="C473" s="21"/>
      <c r="D473" s="21"/>
      <c r="E473" s="21"/>
      <c r="F473" s="21"/>
      <c r="G473" s="116"/>
      <c r="H473" s="116"/>
    </row>
    <row r="474" spans="1:8" x14ac:dyDescent="0.2">
      <c r="A474" s="21"/>
      <c r="B474" s="21"/>
      <c r="C474" s="21"/>
      <c r="D474" s="21"/>
      <c r="E474" s="21"/>
      <c r="F474" s="21"/>
      <c r="G474" s="116"/>
      <c r="H474" s="116"/>
    </row>
    <row r="475" spans="1:8" x14ac:dyDescent="0.2">
      <c r="A475" s="21"/>
      <c r="B475" s="21"/>
      <c r="C475" s="21"/>
      <c r="D475" s="21"/>
      <c r="E475" s="21"/>
      <c r="F475" s="21"/>
      <c r="G475" s="116"/>
      <c r="H475" s="116"/>
    </row>
    <row r="476" spans="1:8" x14ac:dyDescent="0.2">
      <c r="A476" s="21"/>
      <c r="B476" s="21"/>
      <c r="C476" s="21"/>
      <c r="D476" s="21"/>
      <c r="E476" s="21"/>
      <c r="F476" s="21"/>
      <c r="G476" s="116"/>
      <c r="H476" s="116"/>
    </row>
    <row r="477" spans="1:8" x14ac:dyDescent="0.2">
      <c r="A477" s="21"/>
      <c r="B477" s="21"/>
      <c r="C477" s="21"/>
      <c r="D477" s="21"/>
      <c r="E477" s="21"/>
      <c r="F477" s="21"/>
      <c r="G477" s="116"/>
      <c r="H477" s="116"/>
    </row>
    <row r="478" spans="1:8" x14ac:dyDescent="0.2">
      <c r="A478" s="21"/>
      <c r="B478" s="21"/>
      <c r="C478" s="21"/>
      <c r="D478" s="21"/>
      <c r="E478" s="21"/>
      <c r="F478" s="21"/>
      <c r="G478" s="116"/>
      <c r="H478" s="116"/>
    </row>
    <row r="479" spans="1:8" x14ac:dyDescent="0.2">
      <c r="A479" s="21"/>
      <c r="B479" s="21"/>
      <c r="C479" s="21"/>
      <c r="D479" s="21"/>
      <c r="E479" s="21"/>
      <c r="F479" s="21"/>
      <c r="G479" s="116"/>
      <c r="H479" s="116"/>
    </row>
    <row r="480" spans="1:8" x14ac:dyDescent="0.2">
      <c r="A480" s="21"/>
      <c r="B480" s="21"/>
      <c r="C480" s="21"/>
      <c r="D480" s="21"/>
      <c r="E480" s="21"/>
      <c r="F480" s="21"/>
      <c r="G480" s="116"/>
      <c r="H480" s="116"/>
    </row>
    <row r="481" spans="1:8" x14ac:dyDescent="0.2">
      <c r="A481" s="21"/>
      <c r="B481" s="21"/>
      <c r="C481" s="21"/>
      <c r="D481" s="21"/>
      <c r="E481" s="21"/>
      <c r="F481" s="21"/>
      <c r="G481" s="116"/>
      <c r="H481" s="116"/>
    </row>
    <row r="482" spans="1:8" x14ac:dyDescent="0.2">
      <c r="A482" s="21"/>
      <c r="B482" s="21"/>
      <c r="C482" s="21"/>
      <c r="D482" s="21"/>
      <c r="E482" s="21"/>
      <c r="F482" s="21"/>
      <c r="G482" s="116"/>
      <c r="H482" s="116"/>
    </row>
    <row r="483" spans="1:8" x14ac:dyDescent="0.2">
      <c r="A483" s="21"/>
      <c r="B483" s="21"/>
      <c r="C483" s="21"/>
      <c r="D483" s="21"/>
      <c r="E483" s="21"/>
      <c r="F483" s="21"/>
      <c r="G483" s="116"/>
      <c r="H483" s="116"/>
    </row>
    <row r="484" spans="1:8" x14ac:dyDescent="0.2">
      <c r="A484" s="21"/>
      <c r="B484" s="21"/>
      <c r="C484" s="21"/>
      <c r="D484" s="21"/>
      <c r="E484" s="21"/>
      <c r="F484" s="21"/>
      <c r="G484" s="116"/>
      <c r="H484" s="116"/>
    </row>
    <row r="485" spans="1:8" x14ac:dyDescent="0.2">
      <c r="A485" s="21"/>
      <c r="B485" s="21"/>
      <c r="C485" s="21"/>
      <c r="D485" s="21"/>
      <c r="E485" s="21"/>
      <c r="F485" s="21"/>
      <c r="G485" s="116"/>
      <c r="H485" s="116"/>
    </row>
    <row r="486" spans="1:8" x14ac:dyDescent="0.2">
      <c r="A486" s="21"/>
      <c r="B486" s="21"/>
      <c r="C486" s="21"/>
      <c r="D486" s="21"/>
      <c r="E486" s="21"/>
      <c r="F486" s="21"/>
      <c r="G486" s="116"/>
      <c r="H486" s="116"/>
    </row>
    <row r="487" spans="1:8" x14ac:dyDescent="0.2">
      <c r="A487" s="21"/>
      <c r="B487" s="21"/>
      <c r="C487" s="21"/>
      <c r="D487" s="21"/>
      <c r="E487" s="21"/>
      <c r="F487" s="21"/>
      <c r="G487" s="116"/>
      <c r="H487" s="116"/>
    </row>
    <row r="488" spans="1:8" x14ac:dyDescent="0.2">
      <c r="A488" s="21"/>
      <c r="B488" s="21"/>
      <c r="C488" s="21"/>
      <c r="D488" s="21"/>
      <c r="E488" s="21"/>
      <c r="F488" s="21"/>
      <c r="G488" s="116"/>
      <c r="H488" s="116"/>
    </row>
    <row r="489" spans="1:8" x14ac:dyDescent="0.2">
      <c r="A489" s="21"/>
      <c r="B489" s="21"/>
      <c r="C489" s="21"/>
      <c r="D489" s="21"/>
      <c r="E489" s="21"/>
      <c r="F489" s="21"/>
      <c r="G489" s="116"/>
      <c r="H489" s="116"/>
    </row>
    <row r="490" spans="1:8" x14ac:dyDescent="0.2">
      <c r="A490" s="21"/>
      <c r="B490" s="21"/>
      <c r="C490" s="21"/>
      <c r="D490" s="21"/>
      <c r="E490" s="21"/>
      <c r="F490" s="21"/>
      <c r="G490" s="116"/>
      <c r="H490" s="116"/>
    </row>
    <row r="491" spans="1:8" x14ac:dyDescent="0.2">
      <c r="A491" s="21"/>
      <c r="B491" s="21"/>
      <c r="C491" s="21"/>
      <c r="D491" s="21"/>
      <c r="E491" s="21"/>
      <c r="F491" s="21"/>
      <c r="G491" s="116"/>
      <c r="H491" s="116"/>
    </row>
    <row r="492" spans="1:8" x14ac:dyDescent="0.2">
      <c r="A492" s="21"/>
      <c r="B492" s="21"/>
      <c r="C492" s="21"/>
      <c r="D492" s="21"/>
      <c r="E492" s="21"/>
      <c r="F492" s="21"/>
      <c r="G492" s="116"/>
      <c r="H492" s="116"/>
    </row>
    <row r="493" spans="1:8" x14ac:dyDescent="0.2">
      <c r="A493" s="21"/>
      <c r="B493" s="21"/>
      <c r="C493" s="21"/>
      <c r="D493" s="21"/>
      <c r="E493" s="21"/>
      <c r="F493" s="21"/>
      <c r="G493" s="116"/>
      <c r="H493" s="116"/>
    </row>
    <row r="494" spans="1:8" x14ac:dyDescent="0.2">
      <c r="A494" s="21"/>
      <c r="B494" s="21"/>
      <c r="C494" s="21"/>
      <c r="D494" s="21"/>
      <c r="E494" s="21"/>
      <c r="F494" s="21"/>
      <c r="G494" s="116"/>
      <c r="H494" s="116"/>
    </row>
    <row r="495" spans="1:8" x14ac:dyDescent="0.2">
      <c r="A495" s="21"/>
      <c r="B495" s="21"/>
      <c r="C495" s="21"/>
      <c r="D495" s="21"/>
      <c r="E495" s="21"/>
      <c r="F495" s="21"/>
      <c r="G495" s="116"/>
      <c r="H495" s="116"/>
    </row>
    <row r="496" spans="1:8" x14ac:dyDescent="0.2">
      <c r="A496" s="21"/>
      <c r="B496" s="21"/>
      <c r="C496" s="21"/>
      <c r="D496" s="21"/>
      <c r="E496" s="21"/>
      <c r="F496" s="21"/>
      <c r="G496" s="116"/>
      <c r="H496" s="116"/>
    </row>
    <row r="497" spans="1:8" x14ac:dyDescent="0.2">
      <c r="A497" s="21"/>
      <c r="B497" s="21"/>
      <c r="C497" s="21"/>
      <c r="D497" s="21"/>
      <c r="E497" s="21"/>
      <c r="F497" s="21"/>
      <c r="G497" s="116"/>
      <c r="H497" s="116"/>
    </row>
    <row r="498" spans="1:8" x14ac:dyDescent="0.2">
      <c r="A498" s="21"/>
      <c r="B498" s="21"/>
      <c r="C498" s="21"/>
      <c r="D498" s="21"/>
      <c r="E498" s="21"/>
      <c r="F498" s="21"/>
      <c r="G498" s="116"/>
      <c r="H498" s="116"/>
    </row>
    <row r="499" spans="1:8" x14ac:dyDescent="0.2">
      <c r="A499" s="21"/>
      <c r="B499" s="21"/>
      <c r="C499" s="21"/>
      <c r="D499" s="21"/>
      <c r="E499" s="21"/>
      <c r="F499" s="21"/>
      <c r="G499" s="116"/>
      <c r="H499" s="116"/>
    </row>
    <row r="500" spans="1:8" x14ac:dyDescent="0.2">
      <c r="A500" s="21"/>
      <c r="B500" s="21"/>
      <c r="C500" s="21"/>
      <c r="D500" s="21"/>
      <c r="E500" s="21"/>
      <c r="F500" s="21"/>
      <c r="G500" s="116"/>
      <c r="H500" s="116"/>
    </row>
    <row r="501" spans="1:8" x14ac:dyDescent="0.2">
      <c r="A501" s="21"/>
      <c r="B501" s="21"/>
      <c r="C501" s="21"/>
      <c r="D501" s="21"/>
      <c r="E501" s="21"/>
      <c r="F501" s="21"/>
      <c r="G501" s="116"/>
      <c r="H501" s="116"/>
    </row>
    <row r="502" spans="1:8" x14ac:dyDescent="0.2">
      <c r="A502" s="21"/>
      <c r="B502" s="21"/>
      <c r="C502" s="21"/>
      <c r="D502" s="21"/>
      <c r="E502" s="21"/>
      <c r="F502" s="21"/>
      <c r="G502" s="116"/>
      <c r="H502" s="116"/>
    </row>
    <row r="503" spans="1:8" x14ac:dyDescent="0.2">
      <c r="A503" s="21"/>
      <c r="B503" s="21"/>
      <c r="C503" s="21"/>
      <c r="D503" s="21"/>
      <c r="E503" s="21"/>
      <c r="F503" s="21"/>
      <c r="G503" s="116"/>
      <c r="H503" s="116"/>
    </row>
    <row r="504" spans="1:8" x14ac:dyDescent="0.2">
      <c r="A504" s="21"/>
      <c r="B504" s="21"/>
      <c r="C504" s="21"/>
      <c r="D504" s="21"/>
      <c r="E504" s="21"/>
      <c r="F504" s="21"/>
      <c r="G504" s="116"/>
      <c r="H504" s="116"/>
    </row>
    <row r="505" spans="1:8" x14ac:dyDescent="0.2">
      <c r="A505" s="21"/>
      <c r="B505" s="21"/>
      <c r="C505" s="21"/>
      <c r="D505" s="21"/>
      <c r="E505" s="21"/>
      <c r="F505" s="21"/>
      <c r="G505" s="116"/>
      <c r="H505" s="116"/>
    </row>
    <row r="506" spans="1:8" x14ac:dyDescent="0.2">
      <c r="A506" s="21"/>
      <c r="B506" s="21"/>
      <c r="C506" s="21"/>
      <c r="D506" s="21"/>
      <c r="E506" s="21"/>
      <c r="F506" s="21"/>
      <c r="G506" s="116"/>
      <c r="H506" s="116"/>
    </row>
    <row r="507" spans="1:8" x14ac:dyDescent="0.2">
      <c r="A507" s="21"/>
      <c r="B507" s="21"/>
      <c r="C507" s="21"/>
      <c r="D507" s="21"/>
      <c r="E507" s="21"/>
      <c r="F507" s="21"/>
      <c r="G507" s="116"/>
      <c r="H507" s="116"/>
    </row>
    <row r="508" spans="1:8" x14ac:dyDescent="0.2">
      <c r="A508" s="21"/>
      <c r="B508" s="21"/>
      <c r="C508" s="21"/>
      <c r="D508" s="21"/>
      <c r="E508" s="21"/>
      <c r="F508" s="21"/>
      <c r="G508" s="116"/>
      <c r="H508" s="116"/>
    </row>
    <row r="509" spans="1:8" x14ac:dyDescent="0.2">
      <c r="A509" s="21"/>
      <c r="B509" s="21"/>
      <c r="C509" s="21"/>
      <c r="D509" s="21"/>
      <c r="E509" s="21"/>
      <c r="F509" s="21"/>
      <c r="G509" s="116"/>
      <c r="H509" s="116"/>
    </row>
    <row r="510" spans="1:8" x14ac:dyDescent="0.2">
      <c r="A510" s="21"/>
      <c r="B510" s="21"/>
      <c r="C510" s="21"/>
      <c r="D510" s="21"/>
      <c r="E510" s="21"/>
      <c r="F510" s="21"/>
      <c r="G510" s="116"/>
      <c r="H510" s="116"/>
    </row>
    <row r="511" spans="1:8" x14ac:dyDescent="0.2">
      <c r="A511" s="21"/>
      <c r="B511" s="21"/>
      <c r="C511" s="21"/>
      <c r="D511" s="21"/>
      <c r="E511" s="21"/>
      <c r="F511" s="21"/>
      <c r="G511" s="116"/>
      <c r="H511" s="116"/>
    </row>
    <row r="512" spans="1:8" x14ac:dyDescent="0.2">
      <c r="A512" s="21"/>
      <c r="B512" s="21"/>
      <c r="C512" s="21"/>
      <c r="D512" s="21"/>
      <c r="E512" s="21"/>
      <c r="F512" s="21"/>
      <c r="G512" s="116"/>
      <c r="H512" s="116"/>
    </row>
    <row r="513" spans="1:8" x14ac:dyDescent="0.2">
      <c r="A513" s="21"/>
      <c r="B513" s="21"/>
      <c r="C513" s="21"/>
      <c r="D513" s="21"/>
      <c r="E513" s="21"/>
      <c r="F513" s="21"/>
      <c r="G513" s="116"/>
      <c r="H513" s="116"/>
    </row>
    <row r="514" spans="1:8" x14ac:dyDescent="0.2">
      <c r="A514" s="21"/>
      <c r="B514" s="21"/>
      <c r="C514" s="21"/>
      <c r="D514" s="21"/>
      <c r="E514" s="21"/>
      <c r="F514" s="21"/>
      <c r="G514" s="116"/>
      <c r="H514" s="116"/>
    </row>
    <row r="515" spans="1:8" x14ac:dyDescent="0.2">
      <c r="A515" s="21"/>
      <c r="B515" s="21"/>
      <c r="C515" s="21"/>
      <c r="D515" s="21"/>
      <c r="E515" s="21"/>
      <c r="F515" s="21"/>
      <c r="G515" s="116"/>
      <c r="H515" s="116"/>
    </row>
    <row r="516" spans="1:8" x14ac:dyDescent="0.2">
      <c r="A516" s="21"/>
      <c r="B516" s="21"/>
      <c r="C516" s="21"/>
      <c r="D516" s="21"/>
      <c r="E516" s="21"/>
      <c r="F516" s="21"/>
      <c r="G516" s="116"/>
      <c r="H516" s="116"/>
    </row>
    <row r="517" spans="1:8" x14ac:dyDescent="0.2">
      <c r="A517" s="21"/>
      <c r="B517" s="21"/>
      <c r="C517" s="21"/>
      <c r="D517" s="21"/>
      <c r="E517" s="21"/>
      <c r="F517" s="21"/>
      <c r="G517" s="116"/>
      <c r="H517" s="116"/>
    </row>
    <row r="518" spans="1:8" x14ac:dyDescent="0.2">
      <c r="A518" s="21"/>
      <c r="B518" s="21"/>
      <c r="C518" s="21"/>
      <c r="D518" s="21"/>
      <c r="E518" s="21"/>
      <c r="F518" s="21"/>
      <c r="G518" s="116"/>
      <c r="H518" s="116"/>
    </row>
    <row r="519" spans="1:8" x14ac:dyDescent="0.2">
      <c r="A519" s="21"/>
      <c r="B519" s="21"/>
      <c r="C519" s="21"/>
      <c r="D519" s="21"/>
      <c r="E519" s="21"/>
      <c r="F519" s="21"/>
      <c r="G519" s="116"/>
      <c r="H519" s="116"/>
    </row>
    <row r="520" spans="1:8" x14ac:dyDescent="0.2">
      <c r="A520" s="21"/>
      <c r="B520" s="21"/>
      <c r="C520" s="21"/>
      <c r="D520" s="21"/>
      <c r="E520" s="21"/>
      <c r="F520" s="21"/>
      <c r="G520" s="116"/>
      <c r="H520" s="116"/>
    </row>
    <row r="521" spans="1:8" x14ac:dyDescent="0.2">
      <c r="A521" s="21"/>
      <c r="B521" s="21"/>
      <c r="C521" s="21"/>
      <c r="D521" s="21"/>
      <c r="E521" s="21"/>
      <c r="F521" s="21"/>
      <c r="G521" s="116"/>
      <c r="H521" s="116"/>
    </row>
    <row r="522" spans="1:8" x14ac:dyDescent="0.2">
      <c r="A522" s="21"/>
      <c r="B522" s="21"/>
      <c r="C522" s="21"/>
      <c r="D522" s="21"/>
      <c r="E522" s="21"/>
      <c r="F522" s="21"/>
      <c r="G522" s="116"/>
      <c r="H522" s="116"/>
    </row>
    <row r="523" spans="1:8" x14ac:dyDescent="0.2">
      <c r="A523" s="21"/>
      <c r="B523" s="21"/>
      <c r="C523" s="21"/>
      <c r="D523" s="21"/>
      <c r="E523" s="21"/>
      <c r="F523" s="21"/>
      <c r="G523" s="116"/>
      <c r="H523" s="116"/>
    </row>
    <row r="524" spans="1:8" x14ac:dyDescent="0.2">
      <c r="A524" s="21"/>
      <c r="B524" s="21"/>
      <c r="C524" s="21"/>
      <c r="D524" s="21"/>
      <c r="E524" s="21"/>
      <c r="F524" s="21"/>
      <c r="G524" s="116"/>
      <c r="H524" s="116"/>
    </row>
    <row r="525" spans="1:8" x14ac:dyDescent="0.2">
      <c r="A525" s="21"/>
      <c r="B525" s="21"/>
      <c r="C525" s="21"/>
      <c r="D525" s="21"/>
      <c r="E525" s="21"/>
      <c r="F525" s="21"/>
      <c r="G525" s="116"/>
      <c r="H525" s="116"/>
    </row>
    <row r="526" spans="1:8" x14ac:dyDescent="0.2">
      <c r="A526" s="21"/>
      <c r="B526" s="21"/>
      <c r="C526" s="21"/>
      <c r="D526" s="21"/>
      <c r="E526" s="21"/>
      <c r="F526" s="21"/>
      <c r="G526" s="116"/>
      <c r="H526" s="116"/>
    </row>
    <row r="527" spans="1:8" x14ac:dyDescent="0.2">
      <c r="A527" s="21"/>
      <c r="B527" s="21"/>
      <c r="C527" s="21"/>
      <c r="D527" s="21"/>
      <c r="E527" s="21"/>
      <c r="F527" s="21"/>
      <c r="G527" s="116"/>
      <c r="H527" s="116"/>
    </row>
    <row r="528" spans="1:8" x14ac:dyDescent="0.2">
      <c r="A528" s="21"/>
      <c r="B528" s="21"/>
      <c r="C528" s="21"/>
      <c r="D528" s="21"/>
      <c r="E528" s="21"/>
      <c r="F528" s="21"/>
      <c r="G528" s="116"/>
      <c r="H528" s="116"/>
    </row>
    <row r="529" spans="1:8" x14ac:dyDescent="0.2">
      <c r="A529" s="21"/>
      <c r="B529" s="21"/>
      <c r="C529" s="21"/>
      <c r="D529" s="21"/>
      <c r="E529" s="21"/>
      <c r="F529" s="21"/>
      <c r="G529" s="116"/>
      <c r="H529" s="116"/>
    </row>
    <row r="530" spans="1:8" x14ac:dyDescent="0.2">
      <c r="A530" s="21"/>
      <c r="B530" s="21"/>
      <c r="C530" s="21"/>
      <c r="D530" s="21"/>
      <c r="E530" s="21"/>
      <c r="F530" s="21"/>
      <c r="G530" s="116"/>
      <c r="H530" s="116"/>
    </row>
    <row r="531" spans="1:8" x14ac:dyDescent="0.2">
      <c r="A531" s="21"/>
      <c r="B531" s="21"/>
      <c r="C531" s="21"/>
      <c r="D531" s="21"/>
      <c r="E531" s="21"/>
      <c r="F531" s="21"/>
      <c r="G531" s="116"/>
      <c r="H531" s="116"/>
    </row>
    <row r="532" spans="1:8" x14ac:dyDescent="0.2">
      <c r="A532" s="21"/>
      <c r="B532" s="21"/>
      <c r="C532" s="21"/>
      <c r="D532" s="21"/>
      <c r="E532" s="21"/>
      <c r="F532" s="21"/>
      <c r="G532" s="116"/>
      <c r="H532" s="116"/>
    </row>
    <row r="533" spans="1:8" x14ac:dyDescent="0.2">
      <c r="A533" s="21"/>
      <c r="B533" s="21"/>
      <c r="C533" s="21"/>
      <c r="D533" s="21"/>
      <c r="E533" s="21"/>
      <c r="F533" s="21"/>
      <c r="G533" s="116"/>
      <c r="H533" s="116"/>
    </row>
    <row r="534" spans="1:8" x14ac:dyDescent="0.2">
      <c r="A534" s="21"/>
      <c r="B534" s="21"/>
      <c r="C534" s="21"/>
      <c r="D534" s="21"/>
      <c r="E534" s="21"/>
      <c r="F534" s="21"/>
      <c r="G534" s="116"/>
      <c r="H534" s="116"/>
    </row>
    <row r="535" spans="1:8" x14ac:dyDescent="0.2">
      <c r="A535" s="21"/>
      <c r="B535" s="21"/>
      <c r="C535" s="21"/>
      <c r="D535" s="21"/>
      <c r="E535" s="21"/>
      <c r="F535" s="21"/>
      <c r="G535" s="116"/>
      <c r="H535" s="116"/>
    </row>
    <row r="536" spans="1:8" x14ac:dyDescent="0.2">
      <c r="A536" s="21"/>
      <c r="B536" s="21"/>
      <c r="C536" s="21"/>
      <c r="D536" s="21"/>
      <c r="E536" s="21"/>
      <c r="F536" s="21"/>
      <c r="G536" s="116"/>
      <c r="H536" s="116"/>
    </row>
    <row r="537" spans="1:8" x14ac:dyDescent="0.2">
      <c r="A537" s="21"/>
      <c r="B537" s="21"/>
      <c r="C537" s="21"/>
      <c r="D537" s="21"/>
      <c r="E537" s="21"/>
      <c r="F537" s="21"/>
      <c r="G537" s="116"/>
      <c r="H537" s="116"/>
    </row>
    <row r="538" spans="1:8" x14ac:dyDescent="0.2">
      <c r="A538" s="21"/>
      <c r="B538" s="21"/>
      <c r="C538" s="21"/>
      <c r="D538" s="21"/>
      <c r="E538" s="21"/>
      <c r="F538" s="21"/>
      <c r="G538" s="116"/>
      <c r="H538" s="116"/>
    </row>
    <row r="539" spans="1:8" x14ac:dyDescent="0.2">
      <c r="A539" s="21"/>
      <c r="B539" s="21"/>
      <c r="C539" s="21"/>
      <c r="D539" s="21"/>
      <c r="E539" s="21"/>
      <c r="F539" s="21"/>
      <c r="G539" s="116"/>
      <c r="H539" s="116"/>
    </row>
    <row r="540" spans="1:8" x14ac:dyDescent="0.2">
      <c r="A540" s="21"/>
      <c r="B540" s="21"/>
      <c r="C540" s="21"/>
      <c r="D540" s="21"/>
      <c r="E540" s="21"/>
      <c r="F540" s="21"/>
      <c r="G540" s="116"/>
      <c r="H540" s="116"/>
    </row>
    <row r="541" spans="1:8" x14ac:dyDescent="0.2">
      <c r="A541" s="21"/>
      <c r="B541" s="21"/>
      <c r="C541" s="21"/>
      <c r="D541" s="21"/>
      <c r="E541" s="21"/>
      <c r="F541" s="21"/>
      <c r="G541" s="116"/>
      <c r="H541" s="116"/>
    </row>
    <row r="542" spans="1:8" x14ac:dyDescent="0.2">
      <c r="A542" s="21"/>
      <c r="B542" s="21"/>
      <c r="C542" s="21"/>
      <c r="D542" s="21"/>
      <c r="E542" s="21"/>
      <c r="F542" s="21"/>
      <c r="G542" s="116"/>
      <c r="H542" s="116"/>
    </row>
    <row r="543" spans="1:8" x14ac:dyDescent="0.2">
      <c r="A543" s="21"/>
      <c r="B543" s="21"/>
      <c r="C543" s="21"/>
      <c r="D543" s="21"/>
      <c r="E543" s="21"/>
      <c r="F543" s="21"/>
      <c r="G543" s="116"/>
      <c r="H543" s="116"/>
    </row>
    <row r="544" spans="1:8" x14ac:dyDescent="0.2">
      <c r="A544" s="21"/>
      <c r="B544" s="21"/>
      <c r="C544" s="21"/>
      <c r="D544" s="21"/>
      <c r="E544" s="21"/>
      <c r="F544" s="21"/>
      <c r="G544" s="116"/>
      <c r="H544" s="116"/>
    </row>
    <row r="545" spans="1:8" x14ac:dyDescent="0.2">
      <c r="A545" s="21"/>
      <c r="B545" s="21"/>
      <c r="C545" s="21"/>
      <c r="D545" s="21"/>
      <c r="E545" s="21"/>
      <c r="F545" s="21"/>
      <c r="G545" s="116"/>
      <c r="H545" s="116"/>
    </row>
    <row r="546" spans="1:8" x14ac:dyDescent="0.2">
      <c r="A546" s="21"/>
      <c r="B546" s="21"/>
      <c r="C546" s="21"/>
      <c r="D546" s="21"/>
      <c r="E546" s="21"/>
      <c r="F546" s="21"/>
      <c r="G546" s="116"/>
      <c r="H546" s="116"/>
    </row>
    <row r="547" spans="1:8" x14ac:dyDescent="0.2">
      <c r="A547" s="21"/>
      <c r="B547" s="21"/>
      <c r="C547" s="21"/>
      <c r="D547" s="21"/>
      <c r="E547" s="21"/>
      <c r="F547" s="21"/>
      <c r="G547" s="116"/>
      <c r="H547" s="116"/>
    </row>
    <row r="548" spans="1:8" x14ac:dyDescent="0.2">
      <c r="A548" s="21"/>
      <c r="B548" s="21"/>
      <c r="C548" s="21"/>
      <c r="D548" s="21"/>
      <c r="E548" s="21"/>
      <c r="F548" s="21"/>
      <c r="G548" s="116"/>
      <c r="H548" s="116"/>
    </row>
    <row r="549" spans="1:8" x14ac:dyDescent="0.2">
      <c r="A549" s="21"/>
      <c r="B549" s="21"/>
      <c r="C549" s="21"/>
      <c r="D549" s="21"/>
      <c r="E549" s="21"/>
      <c r="F549" s="21"/>
      <c r="G549" s="116"/>
      <c r="H549" s="116"/>
    </row>
    <row r="550" spans="1:8" x14ac:dyDescent="0.2">
      <c r="A550" s="21"/>
      <c r="B550" s="21"/>
      <c r="C550" s="21"/>
      <c r="D550" s="21"/>
      <c r="E550" s="21"/>
      <c r="F550" s="21"/>
      <c r="G550" s="116"/>
      <c r="H550" s="116"/>
    </row>
    <row r="551" spans="1:8" x14ac:dyDescent="0.2">
      <c r="A551" s="21"/>
      <c r="B551" s="21"/>
      <c r="C551" s="21"/>
      <c r="D551" s="21"/>
      <c r="E551" s="21"/>
      <c r="F551" s="21"/>
      <c r="G551" s="116"/>
      <c r="H551" s="116"/>
    </row>
    <row r="552" spans="1:8" x14ac:dyDescent="0.2">
      <c r="A552" s="21"/>
      <c r="B552" s="21"/>
      <c r="C552" s="21"/>
      <c r="D552" s="21"/>
      <c r="E552" s="21"/>
      <c r="F552" s="21"/>
      <c r="G552" s="116"/>
      <c r="H552" s="116"/>
    </row>
    <row r="553" spans="1:8" x14ac:dyDescent="0.2">
      <c r="A553" s="21"/>
      <c r="B553" s="21"/>
      <c r="C553" s="21"/>
      <c r="D553" s="21"/>
      <c r="E553" s="21"/>
      <c r="F553" s="21"/>
      <c r="G553" s="116"/>
      <c r="H553" s="116"/>
    </row>
    <row r="554" spans="1:8" x14ac:dyDescent="0.2">
      <c r="A554" s="21"/>
      <c r="B554" s="21"/>
      <c r="C554" s="21"/>
      <c r="D554" s="21"/>
      <c r="E554" s="21"/>
      <c r="F554" s="21"/>
      <c r="G554" s="116"/>
      <c r="H554" s="116"/>
    </row>
    <row r="555" spans="1:8" x14ac:dyDescent="0.2">
      <c r="A555" s="21"/>
      <c r="B555" s="21"/>
      <c r="C555" s="21"/>
      <c r="D555" s="21"/>
      <c r="E555" s="21"/>
      <c r="F555" s="21"/>
      <c r="G555" s="116"/>
      <c r="H555" s="116"/>
    </row>
    <row r="556" spans="1:8" x14ac:dyDescent="0.2">
      <c r="A556" s="21"/>
      <c r="B556" s="21"/>
      <c r="C556" s="21"/>
      <c r="D556" s="21"/>
      <c r="E556" s="21"/>
      <c r="F556" s="21"/>
      <c r="G556" s="116"/>
      <c r="H556" s="116"/>
    </row>
    <row r="557" spans="1:8" x14ac:dyDescent="0.2">
      <c r="A557" s="21"/>
      <c r="B557" s="21"/>
      <c r="C557" s="21"/>
      <c r="D557" s="21"/>
      <c r="E557" s="21"/>
      <c r="F557" s="21"/>
      <c r="G557" s="116"/>
      <c r="H557" s="116"/>
    </row>
    <row r="558" spans="1:8" x14ac:dyDescent="0.2">
      <c r="A558" s="21"/>
      <c r="B558" s="21"/>
      <c r="C558" s="21"/>
      <c r="D558" s="21"/>
      <c r="E558" s="21"/>
      <c r="F558" s="21"/>
      <c r="G558" s="116"/>
      <c r="H558" s="116"/>
    </row>
    <row r="559" spans="1:8" x14ac:dyDescent="0.2">
      <c r="A559" s="21"/>
      <c r="B559" s="21"/>
      <c r="C559" s="21"/>
      <c r="D559" s="21"/>
      <c r="E559" s="21"/>
      <c r="F559" s="21"/>
      <c r="G559" s="116"/>
      <c r="H559" s="116"/>
    </row>
    <row r="560" spans="1:8" x14ac:dyDescent="0.2">
      <c r="A560" s="21"/>
      <c r="B560" s="21"/>
      <c r="C560" s="21"/>
      <c r="D560" s="21"/>
      <c r="E560" s="21"/>
      <c r="F560" s="21"/>
      <c r="G560" s="116"/>
      <c r="H560" s="116"/>
    </row>
    <row r="561" spans="1:8" x14ac:dyDescent="0.2">
      <c r="A561" s="21"/>
      <c r="B561" s="21"/>
      <c r="C561" s="21"/>
      <c r="D561" s="21"/>
      <c r="E561" s="21"/>
      <c r="F561" s="21"/>
      <c r="G561" s="116"/>
      <c r="H561" s="116"/>
    </row>
    <row r="562" spans="1:8" x14ac:dyDescent="0.2">
      <c r="A562" s="21"/>
      <c r="B562" s="21"/>
      <c r="C562" s="21"/>
      <c r="D562" s="21"/>
      <c r="E562" s="21"/>
      <c r="F562" s="21"/>
      <c r="G562" s="116"/>
      <c r="H562" s="116"/>
    </row>
    <row r="563" spans="1:8" x14ac:dyDescent="0.2">
      <c r="A563" s="21"/>
      <c r="B563" s="21"/>
      <c r="C563" s="21"/>
      <c r="D563" s="21"/>
      <c r="E563" s="21"/>
      <c r="F563" s="21"/>
      <c r="G563" s="116"/>
      <c r="H563" s="116"/>
    </row>
    <row r="564" spans="1:8" x14ac:dyDescent="0.2">
      <c r="A564" s="21"/>
      <c r="B564" s="21"/>
      <c r="C564" s="21"/>
      <c r="D564" s="21"/>
      <c r="E564" s="21"/>
      <c r="F564" s="21"/>
      <c r="G564" s="116"/>
      <c r="H564" s="116"/>
    </row>
    <row r="565" spans="1:8" x14ac:dyDescent="0.2">
      <c r="A565" s="21"/>
      <c r="B565" s="21"/>
      <c r="C565" s="21"/>
      <c r="D565" s="21"/>
      <c r="E565" s="21"/>
      <c r="F565" s="21"/>
      <c r="G565" s="116"/>
      <c r="H565" s="116"/>
    </row>
    <row r="566" spans="1:8" x14ac:dyDescent="0.2">
      <c r="A566" s="21"/>
      <c r="B566" s="21"/>
      <c r="C566" s="21"/>
      <c r="D566" s="21"/>
      <c r="E566" s="21"/>
      <c r="F566" s="21"/>
      <c r="G566" s="116"/>
      <c r="H566" s="116"/>
    </row>
    <row r="567" spans="1:8" x14ac:dyDescent="0.2">
      <c r="A567" s="21"/>
      <c r="B567" s="21"/>
      <c r="C567" s="21"/>
      <c r="D567" s="21"/>
      <c r="E567" s="21"/>
      <c r="F567" s="21"/>
      <c r="G567" s="116"/>
      <c r="H567" s="116"/>
    </row>
    <row r="568" spans="1:8" x14ac:dyDescent="0.2">
      <c r="A568" s="21"/>
      <c r="B568" s="21"/>
      <c r="C568" s="21"/>
      <c r="D568" s="21"/>
      <c r="E568" s="21"/>
      <c r="F568" s="21"/>
      <c r="G568" s="116"/>
      <c r="H568" s="116"/>
    </row>
    <row r="569" spans="1:8" x14ac:dyDescent="0.2">
      <c r="A569" s="21"/>
      <c r="B569" s="21"/>
      <c r="C569" s="21"/>
      <c r="D569" s="21"/>
      <c r="E569" s="21"/>
      <c r="F569" s="21"/>
      <c r="G569" s="116"/>
      <c r="H569" s="116"/>
    </row>
    <row r="570" spans="1:8" x14ac:dyDescent="0.2">
      <c r="A570" s="21"/>
      <c r="B570" s="21"/>
      <c r="C570" s="21"/>
      <c r="D570" s="21"/>
      <c r="E570" s="21"/>
      <c r="F570" s="21"/>
      <c r="G570" s="116"/>
      <c r="H570" s="116"/>
    </row>
    <row r="571" spans="1:8" x14ac:dyDescent="0.2">
      <c r="A571" s="21"/>
      <c r="B571" s="21"/>
      <c r="C571" s="21"/>
      <c r="D571" s="21"/>
      <c r="E571" s="21"/>
      <c r="F571" s="21"/>
      <c r="G571" s="116"/>
      <c r="H571" s="116"/>
    </row>
    <row r="572" spans="1:8" x14ac:dyDescent="0.2">
      <c r="A572" s="21"/>
      <c r="B572" s="21"/>
      <c r="C572" s="21"/>
      <c r="D572" s="21"/>
      <c r="E572" s="21"/>
      <c r="F572" s="21"/>
      <c r="G572" s="116"/>
      <c r="H572" s="116"/>
    </row>
    <row r="573" spans="1:8" x14ac:dyDescent="0.2">
      <c r="A573" s="21"/>
      <c r="B573" s="21"/>
      <c r="C573" s="21"/>
      <c r="D573" s="21"/>
      <c r="E573" s="21"/>
      <c r="F573" s="21"/>
      <c r="G573" s="116"/>
      <c r="H573" s="116"/>
    </row>
    <row r="574" spans="1:8" x14ac:dyDescent="0.2">
      <c r="A574" s="21"/>
      <c r="B574" s="21"/>
      <c r="C574" s="21"/>
      <c r="D574" s="21"/>
      <c r="E574" s="21"/>
      <c r="F574" s="21"/>
      <c r="G574" s="116"/>
      <c r="H574" s="116"/>
    </row>
    <row r="575" spans="1:8" x14ac:dyDescent="0.2">
      <c r="A575" s="21"/>
      <c r="B575" s="21"/>
      <c r="C575" s="21"/>
      <c r="D575" s="21"/>
      <c r="E575" s="21"/>
      <c r="F575" s="21"/>
      <c r="G575" s="116"/>
      <c r="H575" s="116"/>
    </row>
    <row r="576" spans="1:8" x14ac:dyDescent="0.2">
      <c r="A576" s="21"/>
      <c r="B576" s="21"/>
      <c r="C576" s="21"/>
      <c r="D576" s="21"/>
      <c r="E576" s="21"/>
      <c r="F576" s="21"/>
      <c r="G576" s="116"/>
      <c r="H576" s="116"/>
    </row>
    <row r="577" spans="1:8" x14ac:dyDescent="0.2">
      <c r="A577" s="21"/>
      <c r="B577" s="21"/>
      <c r="C577" s="21"/>
      <c r="D577" s="21"/>
      <c r="E577" s="21"/>
      <c r="F577" s="21"/>
      <c r="G577" s="116"/>
      <c r="H577" s="116"/>
    </row>
    <row r="578" spans="1:8" x14ac:dyDescent="0.2">
      <c r="A578" s="21"/>
      <c r="B578" s="21"/>
      <c r="C578" s="21"/>
      <c r="D578" s="21"/>
      <c r="E578" s="21"/>
      <c r="F578" s="21"/>
      <c r="G578" s="116"/>
      <c r="H578" s="116"/>
    </row>
    <row r="579" spans="1:8" x14ac:dyDescent="0.2">
      <c r="A579" s="21"/>
      <c r="B579" s="21"/>
      <c r="C579" s="21"/>
      <c r="D579" s="21"/>
      <c r="E579" s="21"/>
      <c r="F579" s="21"/>
      <c r="G579" s="116"/>
      <c r="H579" s="116"/>
    </row>
    <row r="580" spans="1:8" x14ac:dyDescent="0.2">
      <c r="A580" s="21"/>
      <c r="B580" s="21"/>
      <c r="C580" s="21"/>
      <c r="D580" s="21"/>
      <c r="E580" s="21"/>
      <c r="F580" s="21"/>
      <c r="G580" s="116"/>
      <c r="H580" s="116"/>
    </row>
    <row r="581" spans="1:8" x14ac:dyDescent="0.2">
      <c r="A581" s="21"/>
      <c r="B581" s="21"/>
      <c r="C581" s="21"/>
      <c r="D581" s="21"/>
      <c r="E581" s="21"/>
      <c r="F581" s="21"/>
      <c r="G581" s="116"/>
      <c r="H581" s="116"/>
    </row>
    <row r="582" spans="1:8" x14ac:dyDescent="0.2">
      <c r="A582" s="21"/>
      <c r="B582" s="21"/>
      <c r="C582" s="21"/>
      <c r="D582" s="21"/>
      <c r="E582" s="21"/>
      <c r="F582" s="21"/>
      <c r="G582" s="116"/>
      <c r="H582" s="116"/>
    </row>
    <row r="583" spans="1:8" x14ac:dyDescent="0.2">
      <c r="A583" s="21"/>
      <c r="B583" s="21"/>
      <c r="C583" s="21"/>
      <c r="D583" s="21"/>
      <c r="E583" s="21"/>
      <c r="F583" s="21"/>
      <c r="G583" s="116"/>
      <c r="H583" s="116"/>
    </row>
    <row r="584" spans="1:8" x14ac:dyDescent="0.2">
      <c r="A584" s="21"/>
      <c r="B584" s="21"/>
      <c r="C584" s="21"/>
      <c r="D584" s="21"/>
      <c r="E584" s="21"/>
      <c r="F584" s="21"/>
      <c r="G584" s="116"/>
      <c r="H584" s="116"/>
    </row>
    <row r="585" spans="1:8" x14ac:dyDescent="0.2">
      <c r="A585" s="21"/>
      <c r="B585" s="21"/>
      <c r="C585" s="21"/>
      <c r="D585" s="21"/>
      <c r="E585" s="21"/>
      <c r="F585" s="21"/>
      <c r="G585" s="116"/>
      <c r="H585" s="116"/>
    </row>
    <row r="586" spans="1:8" x14ac:dyDescent="0.2">
      <c r="A586" s="21"/>
      <c r="B586" s="21"/>
      <c r="C586" s="21"/>
      <c r="D586" s="21"/>
      <c r="E586" s="21"/>
      <c r="F586" s="21"/>
      <c r="G586" s="116"/>
      <c r="H586" s="116"/>
    </row>
    <row r="587" spans="1:8" x14ac:dyDescent="0.2">
      <c r="A587" s="21"/>
      <c r="B587" s="21"/>
      <c r="C587" s="21"/>
      <c r="D587" s="21"/>
      <c r="E587" s="21"/>
      <c r="F587" s="21"/>
      <c r="G587" s="116"/>
      <c r="H587" s="116"/>
    </row>
    <row r="588" spans="1:8" x14ac:dyDescent="0.2">
      <c r="A588" s="21"/>
      <c r="B588" s="21"/>
      <c r="C588" s="21"/>
      <c r="D588" s="21"/>
      <c r="E588" s="21"/>
      <c r="F588" s="21"/>
      <c r="G588" s="116"/>
      <c r="H588" s="116"/>
    </row>
    <row r="589" spans="1:8" x14ac:dyDescent="0.2">
      <c r="A589" s="21"/>
      <c r="B589" s="21"/>
      <c r="C589" s="21"/>
      <c r="D589" s="21"/>
      <c r="E589" s="21"/>
      <c r="F589" s="21"/>
      <c r="G589" s="116"/>
      <c r="H589" s="116"/>
    </row>
    <row r="590" spans="1:8" x14ac:dyDescent="0.2">
      <c r="A590" s="21"/>
      <c r="B590" s="21"/>
      <c r="C590" s="21"/>
      <c r="D590" s="21"/>
      <c r="E590" s="21"/>
      <c r="F590" s="21"/>
      <c r="G590" s="116"/>
      <c r="H590" s="116"/>
    </row>
    <row r="591" spans="1:8" x14ac:dyDescent="0.2">
      <c r="A591" s="21"/>
      <c r="B591" s="21"/>
      <c r="C591" s="21"/>
      <c r="D591" s="21"/>
      <c r="E591" s="21"/>
      <c r="F591" s="21"/>
      <c r="G591" s="116"/>
      <c r="H591" s="116"/>
    </row>
    <row r="592" spans="1:8" x14ac:dyDescent="0.2">
      <c r="A592" s="21"/>
      <c r="B592" s="21"/>
      <c r="C592" s="21"/>
      <c r="D592" s="21"/>
      <c r="E592" s="21"/>
      <c r="F592" s="21"/>
      <c r="G592" s="116"/>
      <c r="H592" s="116"/>
    </row>
    <row r="593" spans="1:8" x14ac:dyDescent="0.2">
      <c r="A593" s="21"/>
      <c r="B593" s="21"/>
      <c r="C593" s="21"/>
      <c r="D593" s="21"/>
      <c r="E593" s="21"/>
      <c r="F593" s="21"/>
      <c r="G593" s="116"/>
      <c r="H593" s="116"/>
    </row>
    <row r="594" spans="1:8" x14ac:dyDescent="0.2">
      <c r="A594" s="21"/>
      <c r="B594" s="21"/>
      <c r="C594" s="21"/>
      <c r="D594" s="21"/>
      <c r="E594" s="21"/>
      <c r="F594" s="21"/>
      <c r="G594" s="116"/>
      <c r="H594" s="116"/>
    </row>
    <row r="595" spans="1:8" x14ac:dyDescent="0.2">
      <c r="A595" s="21"/>
      <c r="B595" s="21"/>
      <c r="C595" s="21"/>
      <c r="D595" s="21"/>
      <c r="E595" s="21"/>
      <c r="F595" s="21"/>
      <c r="G595" s="116"/>
      <c r="H595" s="116"/>
    </row>
    <row r="596" spans="1:8" x14ac:dyDescent="0.2">
      <c r="A596" s="21"/>
      <c r="B596" s="21"/>
      <c r="C596" s="21"/>
      <c r="D596" s="21"/>
      <c r="E596" s="21"/>
      <c r="F596" s="21"/>
      <c r="G596" s="116"/>
      <c r="H596" s="116"/>
    </row>
    <row r="597" spans="1:8" x14ac:dyDescent="0.2">
      <c r="A597" s="21"/>
      <c r="B597" s="21"/>
      <c r="C597" s="21"/>
      <c r="D597" s="21"/>
      <c r="E597" s="21"/>
      <c r="F597" s="21"/>
      <c r="G597" s="116"/>
      <c r="H597" s="116"/>
    </row>
    <row r="598" spans="1:8" x14ac:dyDescent="0.2">
      <c r="A598" s="21"/>
      <c r="B598" s="21"/>
      <c r="C598" s="21"/>
      <c r="D598" s="21"/>
      <c r="E598" s="21"/>
      <c r="F598" s="21"/>
      <c r="G598" s="116"/>
      <c r="H598" s="116"/>
    </row>
    <row r="599" spans="1:8" x14ac:dyDescent="0.2">
      <c r="A599" s="21"/>
      <c r="B599" s="21"/>
      <c r="C599" s="21"/>
      <c r="D599" s="21"/>
      <c r="E599" s="21"/>
      <c r="F599" s="21"/>
      <c r="G599" s="116"/>
      <c r="H599" s="116"/>
    </row>
    <row r="600" spans="1:8" x14ac:dyDescent="0.2">
      <c r="A600" s="21"/>
      <c r="B600" s="21"/>
      <c r="C600" s="21"/>
      <c r="D600" s="21"/>
      <c r="E600" s="21"/>
      <c r="F600" s="21"/>
      <c r="G600" s="116"/>
      <c r="H600" s="116"/>
    </row>
    <row r="601" spans="1:8" x14ac:dyDescent="0.2">
      <c r="A601" s="21"/>
      <c r="B601" s="21"/>
      <c r="C601" s="21"/>
      <c r="D601" s="21"/>
      <c r="E601" s="21"/>
      <c r="F601" s="21"/>
      <c r="G601" s="116"/>
      <c r="H601" s="116"/>
    </row>
    <row r="602" spans="1:8" x14ac:dyDescent="0.2">
      <c r="A602" s="21"/>
      <c r="B602" s="21"/>
      <c r="C602" s="21"/>
      <c r="D602" s="21"/>
      <c r="E602" s="21"/>
      <c r="F602" s="21"/>
      <c r="G602" s="116"/>
      <c r="H602" s="116"/>
    </row>
    <row r="603" spans="1:8" x14ac:dyDescent="0.2">
      <c r="A603" s="21"/>
      <c r="B603" s="21"/>
      <c r="C603" s="21"/>
      <c r="D603" s="21"/>
      <c r="E603" s="21"/>
      <c r="F603" s="21"/>
      <c r="G603" s="116"/>
      <c r="H603" s="116"/>
    </row>
    <row r="604" spans="1:8" x14ac:dyDescent="0.2">
      <c r="A604" s="21"/>
      <c r="B604" s="21"/>
      <c r="C604" s="21"/>
      <c r="D604" s="21"/>
      <c r="E604" s="21"/>
      <c r="F604" s="21"/>
      <c r="G604" s="116"/>
      <c r="H604" s="116"/>
    </row>
    <row r="605" spans="1:8" x14ac:dyDescent="0.2">
      <c r="A605" s="21"/>
      <c r="B605" s="21"/>
      <c r="C605" s="21"/>
      <c r="D605" s="21"/>
      <c r="E605" s="21"/>
      <c r="F605" s="21"/>
      <c r="G605" s="116"/>
      <c r="H605" s="116"/>
    </row>
    <row r="606" spans="1:8" x14ac:dyDescent="0.2">
      <c r="A606" s="21"/>
      <c r="B606" s="21"/>
      <c r="C606" s="21"/>
      <c r="D606" s="21"/>
      <c r="E606" s="21"/>
      <c r="F606" s="21"/>
      <c r="G606" s="116"/>
      <c r="H606" s="116"/>
    </row>
    <row r="607" spans="1:8" x14ac:dyDescent="0.2">
      <c r="A607" s="21"/>
      <c r="B607" s="21"/>
      <c r="C607" s="21"/>
      <c r="D607" s="21"/>
      <c r="E607" s="21"/>
      <c r="F607" s="21"/>
      <c r="G607" s="116"/>
      <c r="H607" s="116"/>
    </row>
    <row r="608" spans="1:8" x14ac:dyDescent="0.2">
      <c r="A608" s="21"/>
      <c r="B608" s="21"/>
      <c r="C608" s="21"/>
      <c r="D608" s="21"/>
      <c r="E608" s="21"/>
      <c r="F608" s="21"/>
      <c r="G608" s="116"/>
      <c r="H608" s="116"/>
    </row>
    <row r="609" spans="1:8" x14ac:dyDescent="0.2">
      <c r="A609" s="21"/>
      <c r="B609" s="21"/>
      <c r="C609" s="21"/>
      <c r="D609" s="21"/>
      <c r="E609" s="21"/>
      <c r="F609" s="21"/>
      <c r="G609" s="116"/>
      <c r="H609" s="116"/>
    </row>
    <row r="610" spans="1:8" x14ac:dyDescent="0.2">
      <c r="A610" s="21"/>
      <c r="B610" s="21"/>
      <c r="C610" s="21"/>
      <c r="D610" s="21"/>
      <c r="E610" s="21"/>
      <c r="F610" s="21"/>
      <c r="G610" s="116"/>
      <c r="H610" s="116"/>
    </row>
    <row r="611" spans="1:8" x14ac:dyDescent="0.2">
      <c r="A611" s="21"/>
      <c r="B611" s="21"/>
      <c r="C611" s="21"/>
      <c r="D611" s="21"/>
      <c r="E611" s="21"/>
      <c r="F611" s="21"/>
      <c r="G611" s="116"/>
      <c r="H611" s="116"/>
    </row>
    <row r="612" spans="1:8" x14ac:dyDescent="0.2">
      <c r="A612" s="21"/>
      <c r="B612" s="21"/>
      <c r="C612" s="21"/>
      <c r="D612" s="21"/>
      <c r="E612" s="21"/>
      <c r="F612" s="21"/>
      <c r="G612" s="116"/>
      <c r="H612" s="116"/>
    </row>
    <row r="613" spans="1:8" x14ac:dyDescent="0.2">
      <c r="A613" s="21"/>
      <c r="B613" s="21"/>
      <c r="C613" s="21"/>
      <c r="D613" s="21"/>
      <c r="E613" s="21"/>
      <c r="F613" s="21"/>
      <c r="G613" s="116"/>
      <c r="H613" s="116"/>
    </row>
    <row r="614" spans="1:8" x14ac:dyDescent="0.2">
      <c r="A614" s="21"/>
      <c r="B614" s="21"/>
      <c r="C614" s="21"/>
      <c r="D614" s="21"/>
      <c r="E614" s="21"/>
      <c r="F614" s="21"/>
      <c r="G614" s="116"/>
      <c r="H614" s="116"/>
    </row>
    <row r="615" spans="1:8" x14ac:dyDescent="0.2">
      <c r="A615" s="21"/>
      <c r="B615" s="21"/>
      <c r="C615" s="21"/>
      <c r="D615" s="21"/>
      <c r="E615" s="21"/>
      <c r="F615" s="21"/>
      <c r="G615" s="116"/>
      <c r="H615" s="116"/>
    </row>
    <row r="616" spans="1:8" x14ac:dyDescent="0.2">
      <c r="A616" s="21"/>
      <c r="B616" s="21"/>
      <c r="C616" s="21"/>
      <c r="D616" s="21"/>
      <c r="E616" s="21"/>
      <c r="F616" s="21"/>
      <c r="G616" s="116"/>
      <c r="H616" s="116"/>
    </row>
    <row r="617" spans="1:8" x14ac:dyDescent="0.2">
      <c r="A617" s="21"/>
      <c r="B617" s="21"/>
      <c r="C617" s="21"/>
      <c r="D617" s="21"/>
      <c r="E617" s="21"/>
      <c r="F617" s="21"/>
      <c r="G617" s="116"/>
      <c r="H617" s="116"/>
    </row>
    <row r="618" spans="1:8" x14ac:dyDescent="0.2">
      <c r="A618" s="21"/>
      <c r="B618" s="21"/>
      <c r="C618" s="21"/>
      <c r="D618" s="21"/>
      <c r="E618" s="21"/>
      <c r="F618" s="21"/>
      <c r="G618" s="116"/>
      <c r="H618" s="116"/>
    </row>
    <row r="619" spans="1:8" x14ac:dyDescent="0.2">
      <c r="A619" s="21"/>
      <c r="B619" s="21"/>
      <c r="C619" s="21"/>
      <c r="D619" s="21"/>
      <c r="E619" s="21"/>
      <c r="F619" s="21"/>
      <c r="G619" s="116"/>
      <c r="H619" s="116"/>
    </row>
    <row r="620" spans="1:8" x14ac:dyDescent="0.2">
      <c r="A620" s="21"/>
      <c r="B620" s="21"/>
      <c r="C620" s="21"/>
      <c r="D620" s="21"/>
      <c r="E620" s="21"/>
      <c r="F620" s="21"/>
      <c r="G620" s="116"/>
      <c r="H620" s="116"/>
    </row>
    <row r="621" spans="1:8" x14ac:dyDescent="0.2">
      <c r="A621" s="21"/>
      <c r="B621" s="21"/>
      <c r="C621" s="21"/>
      <c r="D621" s="21"/>
      <c r="E621" s="21"/>
      <c r="F621" s="21"/>
      <c r="G621" s="116"/>
      <c r="H621" s="116"/>
    </row>
    <row r="622" spans="1:8" x14ac:dyDescent="0.2">
      <c r="A622" s="21"/>
      <c r="B622" s="21"/>
      <c r="C622" s="21"/>
      <c r="D622" s="21"/>
      <c r="E622" s="21"/>
      <c r="F622" s="21"/>
      <c r="G622" s="116"/>
      <c r="H622" s="116"/>
    </row>
    <row r="623" spans="1:8" x14ac:dyDescent="0.2">
      <c r="A623" s="21"/>
      <c r="B623" s="21"/>
      <c r="C623" s="21"/>
      <c r="D623" s="21"/>
      <c r="E623" s="21"/>
      <c r="F623" s="21"/>
      <c r="G623" s="116"/>
      <c r="H623" s="116"/>
    </row>
    <row r="624" spans="1:8" x14ac:dyDescent="0.2">
      <c r="A624" s="21"/>
      <c r="B624" s="21"/>
      <c r="C624" s="21"/>
      <c r="D624" s="21"/>
      <c r="E624" s="21"/>
      <c r="F624" s="21"/>
      <c r="G624" s="116"/>
      <c r="H624" s="116"/>
    </row>
    <row r="625" spans="1:8" x14ac:dyDescent="0.2">
      <c r="A625" s="21"/>
      <c r="B625" s="21"/>
      <c r="C625" s="21"/>
      <c r="D625" s="21"/>
      <c r="E625" s="21"/>
      <c r="F625" s="21"/>
      <c r="G625" s="116"/>
      <c r="H625" s="116"/>
    </row>
    <row r="626" spans="1:8" x14ac:dyDescent="0.2">
      <c r="A626" s="21"/>
      <c r="B626" s="21"/>
      <c r="C626" s="21"/>
      <c r="D626" s="21"/>
      <c r="E626" s="21"/>
      <c r="F626" s="21"/>
      <c r="G626" s="116"/>
      <c r="H626" s="116"/>
    </row>
    <row r="627" spans="1:8" x14ac:dyDescent="0.2">
      <c r="A627" s="21"/>
      <c r="B627" s="21"/>
      <c r="C627" s="21"/>
      <c r="D627" s="21"/>
      <c r="E627" s="21"/>
      <c r="F627" s="21"/>
      <c r="G627" s="116"/>
      <c r="H627" s="116"/>
    </row>
    <row r="628" spans="1:8" x14ac:dyDescent="0.2">
      <c r="A628" s="21"/>
      <c r="B628" s="21"/>
      <c r="C628" s="21"/>
      <c r="D628" s="21"/>
      <c r="E628" s="21"/>
      <c r="F628" s="21"/>
      <c r="G628" s="116"/>
      <c r="H628" s="116"/>
    </row>
    <row r="629" spans="1:8" x14ac:dyDescent="0.2">
      <c r="A629" s="21"/>
      <c r="B629" s="21"/>
      <c r="C629" s="21"/>
      <c r="D629" s="21"/>
      <c r="E629" s="21"/>
      <c r="F629" s="21"/>
      <c r="G629" s="116"/>
      <c r="H629" s="116"/>
    </row>
    <row r="630" spans="1:8" x14ac:dyDescent="0.2">
      <c r="A630" s="21"/>
      <c r="B630" s="21"/>
      <c r="C630" s="21"/>
      <c r="D630" s="21"/>
      <c r="E630" s="21"/>
      <c r="F630" s="21"/>
      <c r="G630" s="116"/>
      <c r="H630" s="116"/>
    </row>
    <row r="631" spans="1:8" x14ac:dyDescent="0.2">
      <c r="A631" s="21"/>
      <c r="B631" s="21"/>
      <c r="C631" s="21"/>
      <c r="D631" s="21"/>
      <c r="E631" s="21"/>
      <c r="F631" s="21"/>
      <c r="G631" s="116"/>
      <c r="H631" s="116"/>
    </row>
    <row r="632" spans="1:8" x14ac:dyDescent="0.2">
      <c r="A632" s="21"/>
      <c r="B632" s="21"/>
      <c r="C632" s="21"/>
      <c r="D632" s="21"/>
      <c r="E632" s="21"/>
      <c r="F632" s="21"/>
      <c r="G632" s="116"/>
      <c r="H632" s="116"/>
    </row>
    <row r="633" spans="1:8" x14ac:dyDescent="0.2">
      <c r="A633" s="21"/>
      <c r="B633" s="21"/>
      <c r="C633" s="21"/>
      <c r="D633" s="21"/>
      <c r="E633" s="21"/>
      <c r="F633" s="21"/>
      <c r="G633" s="116"/>
      <c r="H633" s="116"/>
    </row>
    <row r="634" spans="1:8" x14ac:dyDescent="0.2">
      <c r="A634" s="21"/>
      <c r="B634" s="21"/>
      <c r="C634" s="21"/>
      <c r="D634" s="21"/>
      <c r="E634" s="21"/>
      <c r="F634" s="21"/>
      <c r="G634" s="116"/>
      <c r="H634" s="116"/>
    </row>
    <row r="635" spans="1:8" x14ac:dyDescent="0.2">
      <c r="A635" s="21"/>
      <c r="B635" s="21"/>
      <c r="C635" s="21"/>
      <c r="D635" s="21"/>
      <c r="E635" s="21"/>
      <c r="F635" s="21"/>
      <c r="G635" s="116"/>
      <c r="H635" s="116"/>
    </row>
    <row r="636" spans="1:8" x14ac:dyDescent="0.2">
      <c r="A636" s="21"/>
      <c r="B636" s="21"/>
      <c r="C636" s="21"/>
      <c r="D636" s="21"/>
      <c r="E636" s="21"/>
      <c r="F636" s="21"/>
      <c r="G636" s="116"/>
      <c r="H636" s="116"/>
    </row>
    <row r="637" spans="1:8" x14ac:dyDescent="0.2">
      <c r="A637" s="21"/>
      <c r="B637" s="21"/>
      <c r="C637" s="21"/>
      <c r="D637" s="21"/>
      <c r="E637" s="21"/>
      <c r="F637" s="21"/>
      <c r="G637" s="116"/>
      <c r="H637" s="116"/>
    </row>
    <row r="638" spans="1:8" x14ac:dyDescent="0.2">
      <c r="A638" s="21"/>
      <c r="B638" s="21"/>
      <c r="C638" s="21"/>
      <c r="D638" s="21"/>
      <c r="E638" s="21"/>
      <c r="F638" s="21"/>
      <c r="G638" s="116"/>
      <c r="H638" s="116"/>
    </row>
    <row r="639" spans="1:8" x14ac:dyDescent="0.2">
      <c r="A639" s="21"/>
      <c r="B639" s="21"/>
      <c r="C639" s="21"/>
      <c r="D639" s="21"/>
      <c r="E639" s="21"/>
      <c r="F639" s="21"/>
      <c r="G639" s="116"/>
      <c r="H639" s="116"/>
    </row>
    <row r="640" spans="1:8" x14ac:dyDescent="0.2">
      <c r="A640" s="21"/>
      <c r="B640" s="21"/>
      <c r="C640" s="21"/>
      <c r="D640" s="21"/>
      <c r="E640" s="21"/>
      <c r="F640" s="21"/>
      <c r="G640" s="116"/>
      <c r="H640" s="116"/>
    </row>
    <row r="641" spans="1:8" x14ac:dyDescent="0.2">
      <c r="A641" s="21"/>
      <c r="B641" s="21"/>
      <c r="C641" s="21"/>
      <c r="D641" s="21"/>
      <c r="E641" s="21"/>
      <c r="F641" s="21"/>
      <c r="G641" s="116"/>
      <c r="H641" s="116"/>
    </row>
    <row r="642" spans="1:8" x14ac:dyDescent="0.2">
      <c r="A642" s="21"/>
      <c r="B642" s="21"/>
      <c r="C642" s="21"/>
      <c r="D642" s="21"/>
      <c r="E642" s="21"/>
      <c r="F642" s="21"/>
      <c r="G642" s="116"/>
      <c r="H642" s="116"/>
    </row>
    <row r="643" spans="1:8" x14ac:dyDescent="0.2">
      <c r="A643" s="21"/>
      <c r="B643" s="21"/>
      <c r="C643" s="21"/>
      <c r="D643" s="21"/>
      <c r="E643" s="21"/>
      <c r="F643" s="21"/>
      <c r="G643" s="116"/>
      <c r="H643" s="116"/>
    </row>
    <row r="644" spans="1:8" x14ac:dyDescent="0.2">
      <c r="A644" s="21"/>
      <c r="B644" s="21"/>
      <c r="C644" s="21"/>
      <c r="D644" s="21"/>
      <c r="E644" s="21"/>
      <c r="F644" s="21"/>
      <c r="G644" s="116"/>
      <c r="H644" s="116"/>
    </row>
    <row r="645" spans="1:8" x14ac:dyDescent="0.2">
      <c r="A645" s="21"/>
      <c r="B645" s="21"/>
      <c r="C645" s="21"/>
      <c r="D645" s="21"/>
      <c r="E645" s="21"/>
      <c r="F645" s="21"/>
      <c r="G645" s="116"/>
      <c r="H645" s="116"/>
    </row>
    <row r="646" spans="1:8" x14ac:dyDescent="0.2">
      <c r="A646" s="21"/>
      <c r="B646" s="21"/>
      <c r="C646" s="21"/>
      <c r="D646" s="21"/>
      <c r="E646" s="21"/>
      <c r="F646" s="21"/>
      <c r="G646" s="116"/>
      <c r="H646" s="116"/>
    </row>
    <row r="647" spans="1:8" x14ac:dyDescent="0.2">
      <c r="A647" s="21"/>
      <c r="B647" s="21"/>
      <c r="C647" s="21"/>
      <c r="D647" s="21"/>
      <c r="E647" s="21"/>
      <c r="F647" s="21"/>
      <c r="G647" s="116"/>
      <c r="H647" s="116"/>
    </row>
    <row r="648" spans="1:8" x14ac:dyDescent="0.2">
      <c r="A648" s="21"/>
      <c r="B648" s="21"/>
      <c r="C648" s="21"/>
      <c r="D648" s="21"/>
      <c r="E648" s="21"/>
      <c r="F648" s="21"/>
      <c r="G648" s="116"/>
      <c r="H648" s="116"/>
    </row>
    <row r="649" spans="1:8" x14ac:dyDescent="0.2">
      <c r="A649" s="21"/>
      <c r="B649" s="21"/>
      <c r="C649" s="21"/>
      <c r="D649" s="21"/>
      <c r="E649" s="21"/>
      <c r="F649" s="21"/>
      <c r="G649" s="116"/>
      <c r="H649" s="116"/>
    </row>
    <row r="650" spans="1:8" x14ac:dyDescent="0.2">
      <c r="A650" s="21"/>
      <c r="B650" s="21"/>
      <c r="C650" s="21"/>
      <c r="D650" s="21"/>
      <c r="E650" s="21"/>
      <c r="F650" s="21"/>
      <c r="G650" s="116"/>
      <c r="H650" s="116"/>
    </row>
    <row r="651" spans="1:8" x14ac:dyDescent="0.2">
      <c r="A651" s="21"/>
      <c r="B651" s="21"/>
      <c r="C651" s="21"/>
      <c r="D651" s="21"/>
      <c r="E651" s="21"/>
      <c r="F651" s="21"/>
      <c r="G651" s="116"/>
      <c r="H651" s="116"/>
    </row>
    <row r="652" spans="1:8" x14ac:dyDescent="0.2">
      <c r="A652" s="21"/>
      <c r="B652" s="21"/>
      <c r="C652" s="21"/>
      <c r="D652" s="21"/>
      <c r="E652" s="21"/>
      <c r="F652" s="21"/>
      <c r="G652" s="116"/>
      <c r="H652" s="116"/>
    </row>
    <row r="653" spans="1:8" x14ac:dyDescent="0.2">
      <c r="A653" s="21"/>
      <c r="B653" s="21"/>
      <c r="C653" s="21"/>
      <c r="D653" s="21"/>
      <c r="E653" s="21"/>
      <c r="F653" s="21"/>
      <c r="G653" s="116"/>
      <c r="H653" s="116"/>
    </row>
    <row r="654" spans="1:8" x14ac:dyDescent="0.2">
      <c r="A654" s="21"/>
      <c r="B654" s="21"/>
      <c r="C654" s="21"/>
      <c r="D654" s="21"/>
      <c r="E654" s="21"/>
      <c r="F654" s="21"/>
      <c r="G654" s="116"/>
      <c r="H654" s="116"/>
    </row>
    <row r="655" spans="1:8" x14ac:dyDescent="0.2">
      <c r="A655" s="21"/>
      <c r="B655" s="21"/>
      <c r="C655" s="21"/>
      <c r="D655" s="21"/>
      <c r="E655" s="21"/>
      <c r="F655" s="21"/>
      <c r="G655" s="116"/>
      <c r="H655" s="116"/>
    </row>
    <row r="656" spans="1:8" x14ac:dyDescent="0.2">
      <c r="A656" s="21"/>
      <c r="B656" s="21"/>
      <c r="C656" s="21"/>
      <c r="D656" s="21"/>
      <c r="E656" s="21"/>
      <c r="F656" s="21"/>
      <c r="G656" s="116"/>
      <c r="H656" s="116"/>
    </row>
    <row r="657" spans="1:8" x14ac:dyDescent="0.2">
      <c r="A657" s="21"/>
      <c r="B657" s="21"/>
      <c r="C657" s="21"/>
      <c r="D657" s="21"/>
      <c r="E657" s="21"/>
      <c r="F657" s="21"/>
      <c r="G657" s="116"/>
      <c r="H657" s="116"/>
    </row>
    <row r="658" spans="1:8" x14ac:dyDescent="0.2">
      <c r="A658" s="21"/>
      <c r="B658" s="21"/>
      <c r="C658" s="21"/>
      <c r="D658" s="21"/>
      <c r="E658" s="21"/>
      <c r="F658" s="21"/>
      <c r="G658" s="116"/>
      <c r="H658" s="116"/>
    </row>
    <row r="659" spans="1:8" x14ac:dyDescent="0.2">
      <c r="A659" s="21"/>
      <c r="B659" s="21"/>
      <c r="C659" s="21"/>
      <c r="D659" s="21"/>
      <c r="E659" s="21"/>
      <c r="F659" s="21"/>
      <c r="G659" s="116"/>
      <c r="H659" s="116"/>
    </row>
    <row r="660" spans="1:8" x14ac:dyDescent="0.2">
      <c r="A660" s="21"/>
      <c r="B660" s="21"/>
      <c r="C660" s="21"/>
      <c r="D660" s="21"/>
      <c r="E660" s="21"/>
      <c r="F660" s="21"/>
      <c r="G660" s="116"/>
      <c r="H660" s="116"/>
    </row>
    <row r="661" spans="1:8" x14ac:dyDescent="0.2">
      <c r="A661" s="21"/>
      <c r="B661" s="21"/>
      <c r="C661" s="21"/>
      <c r="D661" s="21"/>
      <c r="E661" s="21"/>
      <c r="F661" s="21"/>
      <c r="G661" s="116"/>
      <c r="H661" s="116"/>
    </row>
    <row r="662" spans="1:8" x14ac:dyDescent="0.2">
      <c r="A662" s="21"/>
      <c r="B662" s="21"/>
      <c r="C662" s="21"/>
      <c r="D662" s="21"/>
      <c r="E662" s="21"/>
      <c r="F662" s="21"/>
      <c r="G662" s="116"/>
      <c r="H662" s="116"/>
    </row>
    <row r="663" spans="1:8" x14ac:dyDescent="0.2">
      <c r="A663" s="21"/>
      <c r="B663" s="21"/>
      <c r="C663" s="21"/>
      <c r="D663" s="21"/>
      <c r="E663" s="21"/>
      <c r="F663" s="21"/>
      <c r="G663" s="116"/>
      <c r="H663" s="116"/>
    </row>
    <row r="664" spans="1:8" x14ac:dyDescent="0.2">
      <c r="A664" s="21"/>
      <c r="B664" s="21"/>
      <c r="C664" s="21"/>
      <c r="D664" s="21"/>
      <c r="E664" s="21"/>
      <c r="F664" s="21"/>
      <c r="G664" s="116"/>
      <c r="H664" s="116"/>
    </row>
    <row r="665" spans="1:8" x14ac:dyDescent="0.2">
      <c r="A665" s="21"/>
      <c r="B665" s="21"/>
      <c r="C665" s="21"/>
      <c r="D665" s="21"/>
      <c r="E665" s="21"/>
      <c r="F665" s="21"/>
      <c r="G665" s="116"/>
      <c r="H665" s="116"/>
    </row>
    <row r="666" spans="1:8" x14ac:dyDescent="0.2">
      <c r="A666" s="21"/>
      <c r="B666" s="21"/>
      <c r="C666" s="21"/>
      <c r="D666" s="21"/>
      <c r="E666" s="21"/>
      <c r="F666" s="21"/>
      <c r="G666" s="116"/>
      <c r="H666" s="116"/>
    </row>
    <row r="667" spans="1:8" x14ac:dyDescent="0.2">
      <c r="A667" s="21"/>
      <c r="B667" s="21"/>
      <c r="C667" s="21"/>
      <c r="D667" s="21"/>
      <c r="E667" s="21"/>
      <c r="F667" s="21"/>
      <c r="G667" s="116"/>
      <c r="H667" s="116"/>
    </row>
    <row r="668" spans="1:8" x14ac:dyDescent="0.2">
      <c r="A668" s="21"/>
      <c r="B668" s="21"/>
      <c r="C668" s="21"/>
      <c r="D668" s="21"/>
      <c r="E668" s="21"/>
      <c r="F668" s="21"/>
      <c r="G668" s="116"/>
      <c r="H668" s="116"/>
    </row>
    <row r="669" spans="1:8" x14ac:dyDescent="0.2">
      <c r="A669" s="21"/>
      <c r="B669" s="21"/>
      <c r="C669" s="21"/>
      <c r="D669" s="21"/>
      <c r="E669" s="21"/>
      <c r="F669" s="21"/>
      <c r="G669" s="116"/>
      <c r="H669" s="116"/>
    </row>
    <row r="670" spans="1:8" x14ac:dyDescent="0.2">
      <c r="A670" s="21"/>
      <c r="B670" s="21"/>
      <c r="C670" s="21"/>
      <c r="D670" s="21"/>
      <c r="E670" s="21"/>
      <c r="F670" s="21"/>
      <c r="G670" s="116"/>
      <c r="H670" s="116"/>
    </row>
    <row r="671" spans="1:8" x14ac:dyDescent="0.2">
      <c r="A671" s="21"/>
      <c r="B671" s="21"/>
      <c r="C671" s="21"/>
      <c r="D671" s="21"/>
      <c r="E671" s="21"/>
      <c r="F671" s="21"/>
      <c r="G671" s="116"/>
      <c r="H671" s="116"/>
    </row>
    <row r="672" spans="1:8" x14ac:dyDescent="0.2">
      <c r="A672" s="21"/>
      <c r="B672" s="21"/>
      <c r="C672" s="21"/>
      <c r="D672" s="21"/>
      <c r="E672" s="21"/>
      <c r="F672" s="21"/>
      <c r="G672" s="116"/>
      <c r="H672" s="116"/>
    </row>
    <row r="673" spans="1:8" x14ac:dyDescent="0.2">
      <c r="A673" s="21"/>
      <c r="B673" s="21"/>
      <c r="C673" s="21"/>
      <c r="D673" s="21"/>
      <c r="E673" s="21"/>
      <c r="F673" s="21"/>
      <c r="G673" s="116"/>
      <c r="H673" s="116"/>
    </row>
    <row r="674" spans="1:8" x14ac:dyDescent="0.2">
      <c r="A674" s="21"/>
      <c r="B674" s="21"/>
      <c r="C674" s="21"/>
      <c r="D674" s="21"/>
      <c r="E674" s="21"/>
      <c r="F674" s="21"/>
      <c r="G674" s="116"/>
      <c r="H674" s="116"/>
    </row>
    <row r="675" spans="1:8" x14ac:dyDescent="0.2">
      <c r="A675" s="21"/>
      <c r="B675" s="21"/>
      <c r="C675" s="21"/>
      <c r="D675" s="21"/>
      <c r="E675" s="21"/>
      <c r="F675" s="21"/>
      <c r="G675" s="116"/>
      <c r="H675" s="116"/>
    </row>
    <row r="676" spans="1:8" x14ac:dyDescent="0.2">
      <c r="A676" s="21"/>
      <c r="B676" s="21"/>
      <c r="C676" s="21"/>
      <c r="D676" s="21"/>
      <c r="E676" s="21"/>
      <c r="F676" s="21"/>
      <c r="G676" s="116"/>
      <c r="H676" s="116"/>
    </row>
    <row r="677" spans="1:8" x14ac:dyDescent="0.2">
      <c r="A677" s="21"/>
      <c r="B677" s="21"/>
      <c r="C677" s="21"/>
      <c r="D677" s="21"/>
      <c r="E677" s="21"/>
      <c r="F677" s="21"/>
      <c r="G677" s="116"/>
      <c r="H677" s="116"/>
    </row>
    <row r="678" spans="1:8" x14ac:dyDescent="0.2">
      <c r="A678" s="21"/>
      <c r="B678" s="21"/>
      <c r="C678" s="21"/>
      <c r="D678" s="21"/>
      <c r="E678" s="21"/>
      <c r="F678" s="21"/>
      <c r="G678" s="116"/>
      <c r="H678" s="116"/>
    </row>
    <row r="679" spans="1:8" x14ac:dyDescent="0.2">
      <c r="A679" s="21"/>
      <c r="B679" s="21"/>
      <c r="C679" s="21"/>
      <c r="D679" s="21"/>
      <c r="E679" s="21"/>
      <c r="F679" s="21"/>
      <c r="G679" s="116"/>
      <c r="H679" s="116"/>
    </row>
    <row r="680" spans="1:8" x14ac:dyDescent="0.2">
      <c r="A680" s="21"/>
      <c r="B680" s="21"/>
      <c r="C680" s="21"/>
      <c r="D680" s="21"/>
      <c r="E680" s="21"/>
      <c r="F680" s="21"/>
      <c r="G680" s="116"/>
      <c r="H680" s="116"/>
    </row>
    <row r="681" spans="1:8" x14ac:dyDescent="0.2">
      <c r="A681" s="21"/>
      <c r="B681" s="21"/>
      <c r="C681" s="21"/>
      <c r="D681" s="21"/>
      <c r="E681" s="21"/>
      <c r="F681" s="21"/>
      <c r="G681" s="116"/>
      <c r="H681" s="116"/>
    </row>
    <row r="682" spans="1:8" x14ac:dyDescent="0.2">
      <c r="A682" s="21"/>
      <c r="B682" s="21"/>
      <c r="C682" s="21"/>
      <c r="D682" s="21"/>
      <c r="E682" s="21"/>
      <c r="F682" s="21"/>
      <c r="G682" s="116"/>
      <c r="H682" s="116"/>
    </row>
    <row r="683" spans="1:8" x14ac:dyDescent="0.2">
      <c r="A683" s="21"/>
      <c r="B683" s="21"/>
      <c r="C683" s="21"/>
      <c r="D683" s="21"/>
      <c r="E683" s="21"/>
      <c r="F683" s="21"/>
      <c r="G683" s="116"/>
      <c r="H683" s="116"/>
    </row>
    <row r="684" spans="1:8" x14ac:dyDescent="0.2">
      <c r="A684" s="21"/>
      <c r="B684" s="21"/>
      <c r="C684" s="21"/>
      <c r="D684" s="21"/>
      <c r="E684" s="21"/>
      <c r="F684" s="21"/>
      <c r="G684" s="116"/>
      <c r="H684" s="116"/>
    </row>
    <row r="685" spans="1:8" x14ac:dyDescent="0.2">
      <c r="A685" s="21"/>
      <c r="B685" s="21"/>
      <c r="C685" s="21"/>
      <c r="D685" s="21"/>
      <c r="E685" s="21"/>
      <c r="F685" s="21"/>
      <c r="G685" s="116"/>
      <c r="H685" s="116"/>
    </row>
    <row r="686" spans="1:8" x14ac:dyDescent="0.2">
      <c r="A686" s="21"/>
      <c r="B686" s="21"/>
      <c r="C686" s="21"/>
      <c r="D686" s="21"/>
      <c r="E686" s="21"/>
      <c r="F686" s="21"/>
      <c r="G686" s="116"/>
      <c r="H686" s="116"/>
    </row>
    <row r="687" spans="1:8" x14ac:dyDescent="0.2">
      <c r="A687" s="21"/>
      <c r="B687" s="21"/>
      <c r="C687" s="21"/>
      <c r="D687" s="21"/>
      <c r="E687" s="21"/>
      <c r="F687" s="21"/>
      <c r="G687" s="116"/>
      <c r="H687" s="116"/>
    </row>
    <row r="688" spans="1:8" x14ac:dyDescent="0.2">
      <c r="A688" s="21"/>
      <c r="B688" s="21"/>
      <c r="C688" s="21"/>
      <c r="D688" s="21"/>
      <c r="E688" s="21"/>
      <c r="F688" s="21"/>
      <c r="G688" s="116"/>
      <c r="H688" s="116"/>
    </row>
    <row r="689" spans="1:8" x14ac:dyDescent="0.2">
      <c r="A689" s="21"/>
      <c r="B689" s="21"/>
      <c r="C689" s="21"/>
      <c r="D689" s="21"/>
      <c r="E689" s="21"/>
      <c r="F689" s="21"/>
      <c r="G689" s="116"/>
      <c r="H689" s="116"/>
    </row>
    <row r="690" spans="1:8" x14ac:dyDescent="0.2">
      <c r="A690" s="21"/>
      <c r="B690" s="21"/>
      <c r="C690" s="21"/>
      <c r="D690" s="21"/>
      <c r="E690" s="21"/>
      <c r="F690" s="21"/>
      <c r="G690" s="116"/>
      <c r="H690" s="116"/>
    </row>
    <row r="691" spans="1:8" x14ac:dyDescent="0.2">
      <c r="A691" s="21"/>
      <c r="B691" s="21"/>
      <c r="C691" s="21"/>
      <c r="D691" s="21"/>
      <c r="E691" s="21"/>
      <c r="F691" s="21"/>
      <c r="G691" s="116"/>
      <c r="H691" s="116"/>
    </row>
    <row r="692" spans="1:8" x14ac:dyDescent="0.2">
      <c r="A692" s="21"/>
      <c r="B692" s="21"/>
      <c r="C692" s="21"/>
      <c r="D692" s="21"/>
      <c r="E692" s="21"/>
      <c r="F692" s="21"/>
      <c r="G692" s="116"/>
      <c r="H692" s="116"/>
    </row>
    <row r="693" spans="1:8" x14ac:dyDescent="0.2">
      <c r="A693" s="21"/>
      <c r="B693" s="21"/>
      <c r="C693" s="21"/>
      <c r="D693" s="21"/>
      <c r="E693" s="21"/>
      <c r="F693" s="21"/>
      <c r="G693" s="116"/>
      <c r="H693" s="116"/>
    </row>
    <row r="694" spans="1:8" x14ac:dyDescent="0.2">
      <c r="A694" s="21"/>
      <c r="B694" s="21"/>
      <c r="C694" s="21"/>
      <c r="D694" s="21"/>
      <c r="E694" s="21"/>
      <c r="F694" s="21"/>
      <c r="G694" s="116"/>
      <c r="H694" s="116"/>
    </row>
    <row r="695" spans="1:8" x14ac:dyDescent="0.2">
      <c r="A695" s="21"/>
      <c r="B695" s="21"/>
      <c r="C695" s="21"/>
      <c r="D695" s="21"/>
      <c r="E695" s="21"/>
      <c r="F695" s="21"/>
      <c r="G695" s="116"/>
      <c r="H695" s="116"/>
    </row>
    <row r="696" spans="1:8" x14ac:dyDescent="0.2">
      <c r="A696" s="21"/>
      <c r="B696" s="21"/>
      <c r="C696" s="21"/>
      <c r="D696" s="21"/>
      <c r="E696" s="21"/>
      <c r="F696" s="21"/>
      <c r="G696" s="116"/>
      <c r="H696" s="116"/>
    </row>
    <row r="697" spans="1:8" x14ac:dyDescent="0.2">
      <c r="A697" s="21"/>
      <c r="B697" s="21"/>
      <c r="C697" s="21"/>
      <c r="D697" s="21"/>
      <c r="E697" s="21"/>
      <c r="F697" s="21"/>
      <c r="G697" s="116"/>
      <c r="H697" s="116"/>
    </row>
    <row r="698" spans="1:8" x14ac:dyDescent="0.2">
      <c r="A698" s="21"/>
      <c r="B698" s="21"/>
      <c r="C698" s="21"/>
      <c r="D698" s="21"/>
      <c r="E698" s="21"/>
      <c r="F698" s="21"/>
      <c r="G698" s="116"/>
      <c r="H698" s="116"/>
    </row>
    <row r="699" spans="1:8" x14ac:dyDescent="0.2">
      <c r="A699" s="21"/>
      <c r="B699" s="21"/>
      <c r="C699" s="21"/>
      <c r="D699" s="21"/>
      <c r="E699" s="21"/>
      <c r="F699" s="21"/>
      <c r="G699" s="116"/>
      <c r="H699" s="116"/>
    </row>
    <row r="700" spans="1:8" x14ac:dyDescent="0.2">
      <c r="A700" s="21"/>
      <c r="B700" s="21"/>
      <c r="C700" s="21"/>
      <c r="D700" s="21"/>
      <c r="E700" s="21"/>
      <c r="F700" s="21"/>
      <c r="G700" s="116"/>
      <c r="H700" s="116"/>
    </row>
    <row r="701" spans="1:8" x14ac:dyDescent="0.2">
      <c r="A701" s="21"/>
      <c r="B701" s="21"/>
      <c r="C701" s="21"/>
      <c r="D701" s="21"/>
      <c r="E701" s="21"/>
      <c r="F701" s="21"/>
      <c r="G701" s="116"/>
      <c r="H701" s="116"/>
    </row>
    <row r="702" spans="1:8" x14ac:dyDescent="0.2">
      <c r="A702" s="21"/>
      <c r="B702" s="21"/>
      <c r="C702" s="21"/>
      <c r="D702" s="21"/>
      <c r="E702" s="21"/>
      <c r="F702" s="21"/>
      <c r="G702" s="116"/>
      <c r="H702" s="116"/>
    </row>
    <row r="703" spans="1:8" x14ac:dyDescent="0.2">
      <c r="A703" s="21"/>
      <c r="B703" s="21"/>
      <c r="C703" s="21"/>
      <c r="D703" s="21"/>
      <c r="E703" s="21"/>
      <c r="F703" s="21"/>
      <c r="G703" s="116"/>
      <c r="H703" s="116"/>
    </row>
    <row r="704" spans="1:8" x14ac:dyDescent="0.2">
      <c r="A704" s="21"/>
      <c r="B704" s="21"/>
      <c r="C704" s="21"/>
      <c r="D704" s="21"/>
      <c r="E704" s="21"/>
      <c r="F704" s="21"/>
      <c r="G704" s="116"/>
      <c r="H704" s="116"/>
    </row>
    <row r="705" spans="1:8" x14ac:dyDescent="0.2">
      <c r="A705" s="21"/>
      <c r="B705" s="21"/>
      <c r="C705" s="21"/>
      <c r="D705" s="21"/>
      <c r="E705" s="21"/>
      <c r="F705" s="21"/>
      <c r="G705" s="116"/>
      <c r="H705" s="116"/>
    </row>
    <row r="706" spans="1:8" x14ac:dyDescent="0.2">
      <c r="A706" s="21"/>
      <c r="B706" s="21"/>
      <c r="C706" s="21"/>
      <c r="D706" s="21"/>
      <c r="E706" s="21"/>
      <c r="F706" s="21"/>
      <c r="G706" s="116"/>
      <c r="H706" s="116"/>
    </row>
    <row r="707" spans="1:8" x14ac:dyDescent="0.2">
      <c r="A707" s="21"/>
      <c r="B707" s="21"/>
      <c r="C707" s="21"/>
      <c r="D707" s="21"/>
      <c r="E707" s="21"/>
      <c r="F707" s="21"/>
      <c r="G707" s="116"/>
      <c r="H707" s="116"/>
    </row>
    <row r="708" spans="1:8" x14ac:dyDescent="0.2">
      <c r="A708" s="21"/>
      <c r="B708" s="21"/>
      <c r="C708" s="21"/>
      <c r="D708" s="21"/>
      <c r="E708" s="21"/>
      <c r="F708" s="21"/>
      <c r="G708" s="116"/>
      <c r="H708" s="116"/>
    </row>
    <row r="709" spans="1:8" x14ac:dyDescent="0.2">
      <c r="A709" s="21"/>
      <c r="B709" s="21"/>
      <c r="C709" s="21"/>
      <c r="D709" s="21"/>
      <c r="E709" s="21"/>
      <c r="F709" s="21"/>
      <c r="G709" s="116"/>
      <c r="H709" s="116"/>
    </row>
    <row r="710" spans="1:8" x14ac:dyDescent="0.2">
      <c r="A710" s="21"/>
      <c r="B710" s="21"/>
      <c r="C710" s="21"/>
      <c r="D710" s="21"/>
      <c r="E710" s="21"/>
      <c r="F710" s="21"/>
      <c r="G710" s="116"/>
      <c r="H710" s="116"/>
    </row>
    <row r="711" spans="1:8" x14ac:dyDescent="0.2">
      <c r="A711" s="21"/>
      <c r="B711" s="21"/>
      <c r="C711" s="21"/>
      <c r="D711" s="21"/>
      <c r="E711" s="21"/>
      <c r="F711" s="21"/>
      <c r="G711" s="116"/>
      <c r="H711" s="116"/>
    </row>
    <row r="712" spans="1:8" x14ac:dyDescent="0.2">
      <c r="A712" s="21"/>
      <c r="B712" s="21"/>
      <c r="C712" s="21"/>
      <c r="D712" s="21"/>
      <c r="E712" s="21"/>
      <c r="F712" s="21"/>
      <c r="G712" s="116"/>
      <c r="H712" s="116"/>
    </row>
    <row r="713" spans="1:8" x14ac:dyDescent="0.2">
      <c r="A713" s="21"/>
      <c r="B713" s="21"/>
      <c r="C713" s="21"/>
      <c r="D713" s="21"/>
      <c r="E713" s="21"/>
      <c r="F713" s="21"/>
      <c r="G713" s="116"/>
      <c r="H713" s="116"/>
    </row>
    <row r="714" spans="1:8" x14ac:dyDescent="0.2">
      <c r="A714" s="21"/>
      <c r="B714" s="21"/>
      <c r="C714" s="21"/>
      <c r="D714" s="21"/>
      <c r="E714" s="21"/>
      <c r="F714" s="21"/>
      <c r="G714" s="116"/>
      <c r="H714" s="116"/>
    </row>
    <row r="715" spans="1:8" x14ac:dyDescent="0.2">
      <c r="A715" s="21"/>
      <c r="B715" s="21"/>
      <c r="C715" s="21"/>
      <c r="D715" s="21"/>
      <c r="E715" s="21"/>
      <c r="F715" s="21"/>
      <c r="G715" s="116"/>
      <c r="H715" s="116"/>
    </row>
    <row r="716" spans="1:8" x14ac:dyDescent="0.2">
      <c r="A716" s="21"/>
      <c r="B716" s="21"/>
      <c r="C716" s="21"/>
      <c r="D716" s="21"/>
      <c r="E716" s="21"/>
      <c r="F716" s="21"/>
      <c r="G716" s="116"/>
      <c r="H716" s="116"/>
    </row>
    <row r="717" spans="1:8" x14ac:dyDescent="0.2">
      <c r="A717" s="21"/>
      <c r="B717" s="21"/>
      <c r="C717" s="21"/>
      <c r="D717" s="21"/>
      <c r="E717" s="21"/>
      <c r="F717" s="21"/>
      <c r="G717" s="116"/>
      <c r="H717" s="116"/>
    </row>
    <row r="718" spans="1:8" x14ac:dyDescent="0.2">
      <c r="A718" s="21"/>
      <c r="B718" s="21"/>
      <c r="C718" s="21"/>
      <c r="D718" s="21"/>
      <c r="E718" s="21"/>
      <c r="F718" s="21"/>
      <c r="G718" s="116"/>
      <c r="H718" s="116"/>
    </row>
    <row r="719" spans="1:8" x14ac:dyDescent="0.2">
      <c r="A719" s="21"/>
      <c r="B719" s="21"/>
      <c r="C719" s="21"/>
      <c r="D719" s="21"/>
      <c r="E719" s="21"/>
      <c r="F719" s="21"/>
      <c r="G719" s="116"/>
      <c r="H719" s="116"/>
    </row>
    <row r="720" spans="1:8" x14ac:dyDescent="0.2">
      <c r="A720" s="21"/>
      <c r="B720" s="21"/>
      <c r="C720" s="21"/>
      <c r="D720" s="21"/>
      <c r="E720" s="21"/>
      <c r="F720" s="21"/>
      <c r="G720" s="116"/>
      <c r="H720" s="116"/>
    </row>
    <row r="721" spans="1:8" x14ac:dyDescent="0.2">
      <c r="A721" s="21"/>
      <c r="B721" s="21"/>
      <c r="C721" s="21"/>
      <c r="D721" s="21"/>
      <c r="E721" s="21"/>
      <c r="F721" s="21"/>
      <c r="G721" s="116"/>
      <c r="H721" s="116"/>
    </row>
    <row r="722" spans="1:8" x14ac:dyDescent="0.2">
      <c r="A722" s="21"/>
      <c r="B722" s="21"/>
      <c r="C722" s="21"/>
      <c r="D722" s="21"/>
      <c r="E722" s="21"/>
      <c r="F722" s="21"/>
      <c r="G722" s="116"/>
      <c r="H722" s="116"/>
    </row>
    <row r="723" spans="1:8" x14ac:dyDescent="0.2">
      <c r="A723" s="21"/>
      <c r="B723" s="21"/>
      <c r="C723" s="21"/>
      <c r="D723" s="21"/>
      <c r="E723" s="21"/>
      <c r="F723" s="21"/>
      <c r="G723" s="116"/>
      <c r="H723" s="116"/>
    </row>
    <row r="724" spans="1:8" x14ac:dyDescent="0.2">
      <c r="A724" s="21"/>
      <c r="B724" s="21"/>
      <c r="C724" s="21"/>
      <c r="D724" s="21"/>
      <c r="E724" s="21"/>
      <c r="F724" s="21"/>
      <c r="G724" s="116"/>
      <c r="H724" s="116"/>
    </row>
    <row r="725" spans="1:8" x14ac:dyDescent="0.2">
      <c r="A725" s="21"/>
      <c r="B725" s="21"/>
      <c r="C725" s="21"/>
      <c r="D725" s="21"/>
      <c r="E725" s="21"/>
      <c r="F725" s="21"/>
      <c r="G725" s="116"/>
      <c r="H725" s="116"/>
    </row>
    <row r="726" spans="1:8" x14ac:dyDescent="0.2">
      <c r="A726" s="21"/>
      <c r="B726" s="21"/>
      <c r="C726" s="21"/>
      <c r="D726" s="21"/>
      <c r="E726" s="21"/>
      <c r="F726" s="21"/>
      <c r="G726" s="116"/>
      <c r="H726" s="116"/>
    </row>
    <row r="727" spans="1:8" x14ac:dyDescent="0.2">
      <c r="A727" s="21"/>
      <c r="B727" s="21"/>
      <c r="C727" s="21"/>
      <c r="D727" s="21"/>
      <c r="E727" s="21"/>
      <c r="F727" s="21"/>
      <c r="G727" s="116"/>
      <c r="H727" s="116"/>
    </row>
    <row r="728" spans="1:8" x14ac:dyDescent="0.2">
      <c r="A728" s="21"/>
      <c r="B728" s="21"/>
      <c r="C728" s="21"/>
      <c r="D728" s="21"/>
      <c r="E728" s="21"/>
      <c r="F728" s="21"/>
      <c r="G728" s="116"/>
      <c r="H728" s="116"/>
    </row>
    <row r="729" spans="1:8" x14ac:dyDescent="0.2">
      <c r="A729" s="21"/>
      <c r="B729" s="21"/>
      <c r="C729" s="21"/>
      <c r="D729" s="21"/>
      <c r="E729" s="21"/>
      <c r="F729" s="21"/>
      <c r="G729" s="116"/>
      <c r="H729" s="116"/>
    </row>
    <row r="730" spans="1:8" x14ac:dyDescent="0.2">
      <c r="A730" s="21"/>
      <c r="B730" s="21"/>
      <c r="C730" s="21"/>
      <c r="D730" s="21"/>
      <c r="E730" s="21"/>
      <c r="F730" s="21"/>
      <c r="G730" s="116"/>
      <c r="H730" s="116"/>
    </row>
    <row r="731" spans="1:8" x14ac:dyDescent="0.2">
      <c r="A731" s="21"/>
      <c r="B731" s="21"/>
      <c r="C731" s="21"/>
      <c r="D731" s="21"/>
      <c r="E731" s="21"/>
      <c r="F731" s="21"/>
      <c r="G731" s="116"/>
      <c r="H731" s="116"/>
    </row>
    <row r="732" spans="1:8" x14ac:dyDescent="0.2">
      <c r="A732" s="21"/>
      <c r="B732" s="21"/>
      <c r="C732" s="21"/>
      <c r="D732" s="21"/>
      <c r="E732" s="21"/>
      <c r="F732" s="21"/>
      <c r="G732" s="116"/>
      <c r="H732" s="116"/>
    </row>
    <row r="733" spans="1:8" x14ac:dyDescent="0.2">
      <c r="A733" s="21"/>
      <c r="B733" s="21"/>
      <c r="C733" s="21"/>
      <c r="D733" s="21"/>
      <c r="E733" s="21"/>
      <c r="F733" s="21"/>
      <c r="G733" s="116"/>
      <c r="H733" s="116"/>
    </row>
    <row r="734" spans="1:8" x14ac:dyDescent="0.2">
      <c r="A734" s="21"/>
      <c r="B734" s="21"/>
      <c r="C734" s="21"/>
      <c r="D734" s="21"/>
      <c r="E734" s="21"/>
      <c r="F734" s="21"/>
      <c r="G734" s="116"/>
      <c r="H734" s="116"/>
    </row>
    <row r="735" spans="1:8" x14ac:dyDescent="0.2">
      <c r="A735" s="21"/>
      <c r="B735" s="21"/>
      <c r="C735" s="21"/>
      <c r="D735" s="21"/>
      <c r="E735" s="21"/>
      <c r="F735" s="21"/>
      <c r="G735" s="116"/>
      <c r="H735" s="116"/>
    </row>
    <row r="736" spans="1:8" x14ac:dyDescent="0.2">
      <c r="A736" s="21"/>
      <c r="B736" s="21"/>
      <c r="C736" s="21"/>
      <c r="D736" s="21"/>
      <c r="E736" s="21"/>
      <c r="F736" s="21"/>
      <c r="G736" s="116"/>
      <c r="H736" s="116"/>
    </row>
    <row r="737" spans="1:8" x14ac:dyDescent="0.2">
      <c r="A737" s="21"/>
      <c r="B737" s="21"/>
      <c r="C737" s="21"/>
      <c r="D737" s="21"/>
      <c r="E737" s="21"/>
      <c r="F737" s="21"/>
      <c r="G737" s="116"/>
      <c r="H737" s="116"/>
    </row>
    <row r="738" spans="1:8" x14ac:dyDescent="0.2">
      <c r="A738" s="21"/>
      <c r="B738" s="21"/>
      <c r="C738" s="21"/>
      <c r="D738" s="21"/>
      <c r="E738" s="21"/>
      <c r="F738" s="21"/>
      <c r="G738" s="116"/>
      <c r="H738" s="116"/>
    </row>
    <row r="739" spans="1:8" x14ac:dyDescent="0.2">
      <c r="A739" s="21"/>
      <c r="B739" s="21"/>
      <c r="C739" s="21"/>
      <c r="D739" s="21"/>
      <c r="E739" s="21"/>
      <c r="F739" s="21"/>
      <c r="G739" s="116"/>
      <c r="H739" s="116"/>
    </row>
    <row r="740" spans="1:8" x14ac:dyDescent="0.2">
      <c r="A740" s="21"/>
      <c r="B740" s="21"/>
      <c r="C740" s="21"/>
      <c r="D740" s="21"/>
      <c r="E740" s="21"/>
      <c r="F740" s="21"/>
      <c r="G740" s="116"/>
      <c r="H740" s="116"/>
    </row>
    <row r="741" spans="1:8" x14ac:dyDescent="0.2">
      <c r="A741" s="21"/>
      <c r="B741" s="21"/>
      <c r="C741" s="21"/>
      <c r="D741" s="21"/>
      <c r="E741" s="21"/>
      <c r="F741" s="21"/>
      <c r="G741" s="116"/>
      <c r="H741" s="116"/>
    </row>
    <row r="742" spans="1:8" x14ac:dyDescent="0.2">
      <c r="A742" s="21"/>
      <c r="B742" s="21"/>
      <c r="C742" s="21"/>
      <c r="D742" s="21"/>
      <c r="E742" s="21"/>
      <c r="F742" s="21"/>
      <c r="G742" s="116"/>
      <c r="H742" s="116"/>
    </row>
    <row r="743" spans="1:8" x14ac:dyDescent="0.2">
      <c r="A743" s="21"/>
      <c r="B743" s="21"/>
      <c r="C743" s="21"/>
      <c r="D743" s="21"/>
      <c r="E743" s="21"/>
      <c r="F743" s="21"/>
      <c r="G743" s="116"/>
      <c r="H743" s="116"/>
    </row>
    <row r="744" spans="1:8" x14ac:dyDescent="0.2">
      <c r="A744" s="21"/>
      <c r="B744" s="21"/>
      <c r="C744" s="21"/>
      <c r="D744" s="21"/>
      <c r="E744" s="21"/>
      <c r="F744" s="21"/>
      <c r="G744" s="116"/>
      <c r="H744" s="116"/>
    </row>
    <row r="745" spans="1:8" x14ac:dyDescent="0.2">
      <c r="A745" s="21"/>
      <c r="B745" s="21"/>
      <c r="C745" s="21"/>
      <c r="D745" s="21"/>
      <c r="E745" s="21"/>
      <c r="F745" s="21"/>
      <c r="G745" s="116"/>
      <c r="H745" s="116"/>
    </row>
    <row r="746" spans="1:8" x14ac:dyDescent="0.2">
      <c r="A746" s="21"/>
      <c r="B746" s="21"/>
      <c r="C746" s="21"/>
      <c r="D746" s="21"/>
      <c r="E746" s="21"/>
      <c r="F746" s="21"/>
      <c r="G746" s="116"/>
      <c r="H746" s="116"/>
    </row>
    <row r="747" spans="1:8" x14ac:dyDescent="0.2">
      <c r="A747" s="21"/>
      <c r="B747" s="21"/>
      <c r="C747" s="21"/>
      <c r="D747" s="21"/>
      <c r="E747" s="21"/>
      <c r="F747" s="21"/>
      <c r="G747" s="116"/>
      <c r="H747" s="116"/>
    </row>
    <row r="748" spans="1:8" x14ac:dyDescent="0.2">
      <c r="A748" s="21"/>
      <c r="B748" s="21"/>
      <c r="C748" s="21"/>
      <c r="D748" s="21"/>
      <c r="E748" s="21"/>
      <c r="F748" s="21"/>
      <c r="G748" s="116"/>
      <c r="H748" s="116"/>
    </row>
    <row r="749" spans="1:8" x14ac:dyDescent="0.2">
      <c r="A749" s="21"/>
      <c r="B749" s="21"/>
      <c r="C749" s="21"/>
      <c r="D749" s="21"/>
      <c r="E749" s="21"/>
      <c r="F749" s="21"/>
      <c r="G749" s="116"/>
      <c r="H749" s="116"/>
    </row>
    <row r="750" spans="1:8" x14ac:dyDescent="0.2">
      <c r="A750" s="21"/>
      <c r="B750" s="21"/>
      <c r="C750" s="21"/>
      <c r="D750" s="21"/>
      <c r="E750" s="21"/>
      <c r="F750" s="21"/>
      <c r="G750" s="116"/>
      <c r="H750" s="116"/>
    </row>
    <row r="751" spans="1:8" x14ac:dyDescent="0.2">
      <c r="A751" s="21"/>
      <c r="B751" s="21"/>
      <c r="C751" s="21"/>
      <c r="D751" s="21"/>
      <c r="E751" s="21"/>
      <c r="F751" s="21"/>
      <c r="G751" s="116"/>
      <c r="H751" s="116"/>
    </row>
    <row r="752" spans="1:8" x14ac:dyDescent="0.2">
      <c r="A752" s="21"/>
      <c r="B752" s="21"/>
      <c r="C752" s="21"/>
      <c r="D752" s="21"/>
      <c r="E752" s="21"/>
      <c r="F752" s="21"/>
      <c r="G752" s="116"/>
      <c r="H752" s="116"/>
    </row>
    <row r="753" spans="1:8" x14ac:dyDescent="0.2">
      <c r="A753" s="21"/>
      <c r="B753" s="21"/>
      <c r="C753" s="21"/>
      <c r="D753" s="21"/>
      <c r="E753" s="21"/>
      <c r="F753" s="21"/>
      <c r="G753" s="116"/>
      <c r="H753" s="116"/>
    </row>
    <row r="754" spans="1:8" x14ac:dyDescent="0.2">
      <c r="A754" s="21"/>
      <c r="B754" s="21"/>
      <c r="C754" s="21"/>
      <c r="D754" s="21"/>
      <c r="E754" s="21"/>
      <c r="F754" s="21"/>
      <c r="G754" s="116"/>
      <c r="H754" s="116"/>
    </row>
    <row r="755" spans="1:8" x14ac:dyDescent="0.2">
      <c r="A755" s="21"/>
      <c r="B755" s="21"/>
      <c r="C755" s="21"/>
      <c r="D755" s="21"/>
      <c r="E755" s="21"/>
      <c r="F755" s="21"/>
      <c r="G755" s="116"/>
      <c r="H755" s="116"/>
    </row>
    <row r="756" spans="1:8" x14ac:dyDescent="0.2">
      <c r="A756" s="21"/>
      <c r="B756" s="21"/>
      <c r="C756" s="21"/>
      <c r="D756" s="21"/>
      <c r="E756" s="21"/>
      <c r="F756" s="21"/>
      <c r="G756" s="116"/>
      <c r="H756" s="116"/>
    </row>
    <row r="757" spans="1:8" x14ac:dyDescent="0.2">
      <c r="A757" s="21"/>
      <c r="B757" s="21"/>
      <c r="C757" s="21"/>
      <c r="D757" s="21"/>
      <c r="E757" s="21"/>
      <c r="F757" s="21"/>
      <c r="G757" s="116"/>
      <c r="H757" s="116"/>
    </row>
    <row r="758" spans="1:8" x14ac:dyDescent="0.2">
      <c r="A758" s="21"/>
      <c r="B758" s="21"/>
      <c r="C758" s="21"/>
      <c r="D758" s="21"/>
      <c r="E758" s="21"/>
      <c r="F758" s="21"/>
      <c r="G758" s="116"/>
      <c r="H758" s="116"/>
    </row>
    <row r="759" spans="1:8" x14ac:dyDescent="0.2">
      <c r="A759" s="21"/>
      <c r="B759" s="21"/>
      <c r="C759" s="21"/>
      <c r="D759" s="21"/>
      <c r="E759" s="21"/>
      <c r="F759" s="21"/>
      <c r="G759" s="116"/>
      <c r="H759" s="116"/>
    </row>
    <row r="760" spans="1:8" x14ac:dyDescent="0.2">
      <c r="A760" s="21"/>
      <c r="B760" s="21"/>
      <c r="C760" s="21"/>
      <c r="D760" s="21"/>
      <c r="E760" s="21"/>
      <c r="F760" s="21"/>
      <c r="G760" s="116"/>
      <c r="H760" s="116"/>
    </row>
    <row r="761" spans="1:8" x14ac:dyDescent="0.2">
      <c r="A761" s="21"/>
      <c r="B761" s="21"/>
      <c r="C761" s="21"/>
      <c r="D761" s="21"/>
      <c r="E761" s="21"/>
      <c r="F761" s="21"/>
      <c r="G761" s="116"/>
      <c r="H761" s="116"/>
    </row>
    <row r="762" spans="1:8" x14ac:dyDescent="0.2">
      <c r="A762" s="21"/>
      <c r="B762" s="21"/>
      <c r="C762" s="21"/>
      <c r="D762" s="21"/>
      <c r="E762" s="21"/>
      <c r="F762" s="21"/>
      <c r="G762" s="116"/>
      <c r="H762" s="116"/>
    </row>
    <row r="763" spans="1:8" x14ac:dyDescent="0.2">
      <c r="A763" s="21"/>
      <c r="B763" s="21"/>
      <c r="C763" s="21"/>
      <c r="D763" s="21"/>
      <c r="E763" s="21"/>
      <c r="F763" s="21"/>
      <c r="G763" s="116"/>
      <c r="H763" s="116"/>
    </row>
    <row r="764" spans="1:8" x14ac:dyDescent="0.2">
      <c r="A764" s="21"/>
      <c r="B764" s="21"/>
      <c r="C764" s="21"/>
      <c r="D764" s="21"/>
      <c r="E764" s="21"/>
      <c r="F764" s="21"/>
      <c r="G764" s="116"/>
      <c r="H764" s="116"/>
    </row>
    <row r="765" spans="1:8" x14ac:dyDescent="0.2">
      <c r="A765" s="21"/>
      <c r="B765" s="21"/>
      <c r="C765" s="21"/>
      <c r="D765" s="21"/>
      <c r="E765" s="21"/>
      <c r="F765" s="21"/>
      <c r="G765" s="116"/>
      <c r="H765" s="116"/>
    </row>
    <row r="766" spans="1:8" x14ac:dyDescent="0.2">
      <c r="A766" s="21"/>
      <c r="B766" s="21"/>
      <c r="C766" s="21"/>
      <c r="D766" s="21"/>
      <c r="E766" s="21"/>
      <c r="F766" s="21"/>
      <c r="G766" s="116"/>
      <c r="H766" s="116"/>
    </row>
    <row r="767" spans="1:8" x14ac:dyDescent="0.2">
      <c r="A767" s="21"/>
      <c r="B767" s="21"/>
      <c r="C767" s="21"/>
      <c r="D767" s="21"/>
      <c r="E767" s="21"/>
      <c r="F767" s="21"/>
      <c r="G767" s="116"/>
      <c r="H767" s="116"/>
    </row>
    <row r="768" spans="1:8" x14ac:dyDescent="0.2">
      <c r="A768" s="21"/>
      <c r="B768" s="21"/>
      <c r="C768" s="21"/>
      <c r="D768" s="21"/>
      <c r="E768" s="21"/>
      <c r="F768" s="21"/>
      <c r="G768" s="116"/>
      <c r="H768" s="116"/>
    </row>
    <row r="769" spans="1:8" x14ac:dyDescent="0.2">
      <c r="A769" s="21"/>
      <c r="B769" s="21"/>
      <c r="C769" s="21"/>
      <c r="D769" s="21"/>
      <c r="E769" s="21"/>
      <c r="F769" s="21"/>
      <c r="G769" s="116"/>
      <c r="H769" s="116"/>
    </row>
    <row r="770" spans="1:8" x14ac:dyDescent="0.2">
      <c r="A770" s="21"/>
      <c r="B770" s="21"/>
      <c r="C770" s="21"/>
      <c r="D770" s="21"/>
      <c r="E770" s="21"/>
      <c r="F770" s="21"/>
      <c r="G770" s="116"/>
      <c r="H770" s="116"/>
    </row>
    <row r="771" spans="1:8" x14ac:dyDescent="0.2">
      <c r="A771" s="21"/>
      <c r="B771" s="21"/>
      <c r="C771" s="21"/>
      <c r="D771" s="21"/>
      <c r="E771" s="21"/>
      <c r="F771" s="21"/>
      <c r="G771" s="116"/>
      <c r="H771" s="116"/>
    </row>
    <row r="772" spans="1:8" x14ac:dyDescent="0.2">
      <c r="A772" s="21"/>
      <c r="B772" s="21"/>
      <c r="C772" s="21"/>
      <c r="D772" s="21"/>
      <c r="E772" s="21"/>
      <c r="F772" s="21"/>
      <c r="G772" s="116"/>
      <c r="H772" s="116"/>
    </row>
    <row r="773" spans="1:8" x14ac:dyDescent="0.2">
      <c r="A773" s="21"/>
      <c r="B773" s="21"/>
      <c r="C773" s="21"/>
      <c r="D773" s="21"/>
      <c r="E773" s="21"/>
      <c r="F773" s="21"/>
      <c r="G773" s="116"/>
      <c r="H773" s="116"/>
    </row>
    <row r="774" spans="1:8" x14ac:dyDescent="0.2">
      <c r="A774" s="21"/>
      <c r="B774" s="21"/>
      <c r="C774" s="21"/>
      <c r="D774" s="21"/>
      <c r="E774" s="21"/>
      <c r="F774" s="21"/>
      <c r="G774" s="116"/>
      <c r="H774" s="116"/>
    </row>
    <row r="775" spans="1:8" x14ac:dyDescent="0.2">
      <c r="A775" s="21"/>
      <c r="B775" s="21"/>
      <c r="C775" s="21"/>
      <c r="D775" s="21"/>
      <c r="E775" s="21"/>
      <c r="F775" s="21"/>
      <c r="G775" s="116"/>
      <c r="H775" s="116"/>
    </row>
    <row r="776" spans="1:8" x14ac:dyDescent="0.2">
      <c r="A776" s="21"/>
      <c r="B776" s="21"/>
      <c r="C776" s="21"/>
      <c r="D776" s="21"/>
      <c r="E776" s="21"/>
      <c r="F776" s="21"/>
      <c r="G776" s="116"/>
      <c r="H776" s="116"/>
    </row>
    <row r="777" spans="1:8" x14ac:dyDescent="0.2">
      <c r="A777" s="21"/>
      <c r="B777" s="21"/>
      <c r="C777" s="21"/>
      <c r="D777" s="21"/>
      <c r="E777" s="21"/>
      <c r="F777" s="21"/>
      <c r="G777" s="116"/>
      <c r="H777" s="116"/>
    </row>
    <row r="778" spans="1:8" x14ac:dyDescent="0.2">
      <c r="A778" s="21"/>
      <c r="B778" s="21"/>
      <c r="C778" s="21"/>
      <c r="D778" s="21"/>
      <c r="E778" s="21"/>
      <c r="F778" s="21"/>
      <c r="G778" s="116"/>
      <c r="H778" s="116"/>
    </row>
    <row r="779" spans="1:8" x14ac:dyDescent="0.2">
      <c r="A779" s="21"/>
      <c r="B779" s="21"/>
      <c r="C779" s="21"/>
      <c r="D779" s="21"/>
      <c r="E779" s="21"/>
      <c r="F779" s="21"/>
      <c r="G779" s="116"/>
      <c r="H779" s="116"/>
    </row>
    <row r="780" spans="1:8" x14ac:dyDescent="0.2">
      <c r="A780" s="21"/>
      <c r="B780" s="21"/>
      <c r="C780" s="21"/>
      <c r="D780" s="21"/>
      <c r="E780" s="21"/>
      <c r="F780" s="21"/>
      <c r="G780" s="116"/>
      <c r="H780" s="116"/>
    </row>
    <row r="781" spans="1:8" x14ac:dyDescent="0.2">
      <c r="A781" s="21"/>
      <c r="B781" s="21"/>
      <c r="C781" s="21"/>
      <c r="D781" s="21"/>
      <c r="E781" s="21"/>
      <c r="F781" s="21"/>
      <c r="G781" s="116"/>
      <c r="H781" s="116"/>
    </row>
    <row r="782" spans="1:8" x14ac:dyDescent="0.2">
      <c r="A782" s="21"/>
      <c r="B782" s="21"/>
      <c r="C782" s="21"/>
      <c r="D782" s="21"/>
      <c r="E782" s="21"/>
      <c r="F782" s="21"/>
      <c r="G782" s="116"/>
      <c r="H782" s="116"/>
    </row>
    <row r="783" spans="1:8" x14ac:dyDescent="0.2">
      <c r="A783" s="21"/>
      <c r="B783" s="21"/>
      <c r="C783" s="21"/>
      <c r="D783" s="21"/>
      <c r="E783" s="21"/>
      <c r="F783" s="21"/>
      <c r="G783" s="116"/>
      <c r="H783" s="116"/>
    </row>
    <row r="784" spans="1:8" x14ac:dyDescent="0.2">
      <c r="A784" s="21"/>
      <c r="B784" s="21"/>
      <c r="C784" s="21"/>
      <c r="D784" s="21"/>
      <c r="E784" s="21"/>
      <c r="F784" s="21"/>
      <c r="G784" s="116"/>
      <c r="H784" s="116"/>
    </row>
    <row r="785" spans="1:8" x14ac:dyDescent="0.2">
      <c r="A785" s="21"/>
      <c r="B785" s="21"/>
      <c r="C785" s="21"/>
      <c r="D785" s="21"/>
      <c r="E785" s="21"/>
      <c r="F785" s="21"/>
      <c r="G785" s="116"/>
      <c r="H785" s="116"/>
    </row>
    <row r="786" spans="1:8" x14ac:dyDescent="0.2">
      <c r="A786" s="21"/>
      <c r="B786" s="21"/>
      <c r="C786" s="21"/>
      <c r="D786" s="21"/>
      <c r="E786" s="21"/>
      <c r="F786" s="21"/>
      <c r="G786" s="116"/>
      <c r="H786" s="116"/>
    </row>
    <row r="787" spans="1:8" x14ac:dyDescent="0.2">
      <c r="A787" s="21"/>
      <c r="B787" s="21"/>
      <c r="C787" s="21"/>
      <c r="D787" s="21"/>
      <c r="E787" s="21"/>
      <c r="F787" s="21"/>
      <c r="G787" s="116"/>
      <c r="H787" s="116"/>
    </row>
    <row r="788" spans="1:8" x14ac:dyDescent="0.2">
      <c r="A788" s="21"/>
      <c r="B788" s="21"/>
      <c r="C788" s="21"/>
      <c r="D788" s="21"/>
      <c r="E788" s="21"/>
      <c r="F788" s="21"/>
      <c r="G788" s="116"/>
      <c r="H788" s="116"/>
    </row>
    <row r="789" spans="1:8" x14ac:dyDescent="0.2">
      <c r="A789" s="21"/>
      <c r="B789" s="21"/>
      <c r="C789" s="21"/>
      <c r="D789" s="21"/>
      <c r="E789" s="21"/>
      <c r="F789" s="21"/>
      <c r="G789" s="116"/>
      <c r="H789" s="116"/>
    </row>
    <row r="790" spans="1:8" x14ac:dyDescent="0.2">
      <c r="A790" s="21"/>
      <c r="B790" s="21"/>
      <c r="C790" s="21"/>
      <c r="D790" s="21"/>
      <c r="E790" s="21"/>
      <c r="F790" s="21"/>
      <c r="G790" s="116"/>
      <c r="H790" s="116"/>
    </row>
    <row r="791" spans="1:8" x14ac:dyDescent="0.2">
      <c r="A791" s="21"/>
      <c r="B791" s="21"/>
      <c r="C791" s="21"/>
      <c r="D791" s="21"/>
      <c r="E791" s="21"/>
      <c r="F791" s="21"/>
      <c r="G791" s="116"/>
      <c r="H791" s="116"/>
    </row>
    <row r="792" spans="1:8" x14ac:dyDescent="0.2">
      <c r="A792" s="21"/>
      <c r="B792" s="21"/>
      <c r="C792" s="21"/>
      <c r="D792" s="21"/>
      <c r="E792" s="21"/>
      <c r="F792" s="21"/>
      <c r="G792" s="116"/>
      <c r="H792" s="116"/>
    </row>
    <row r="793" spans="1:8" x14ac:dyDescent="0.2">
      <c r="A793" s="21"/>
      <c r="B793" s="21"/>
      <c r="C793" s="21"/>
      <c r="D793" s="21"/>
      <c r="E793" s="21"/>
      <c r="F793" s="21"/>
      <c r="G793" s="116"/>
      <c r="H793" s="116"/>
    </row>
    <row r="794" spans="1:8" x14ac:dyDescent="0.2">
      <c r="A794" s="21"/>
      <c r="B794" s="21"/>
      <c r="C794" s="21"/>
      <c r="D794" s="21"/>
      <c r="E794" s="21"/>
      <c r="F794" s="21"/>
      <c r="G794" s="116"/>
      <c r="H794" s="116"/>
    </row>
    <row r="795" spans="1:8" x14ac:dyDescent="0.2">
      <c r="A795" s="21"/>
      <c r="B795" s="21"/>
      <c r="C795" s="21"/>
      <c r="D795" s="21"/>
      <c r="E795" s="21"/>
      <c r="F795" s="21"/>
      <c r="G795" s="116"/>
      <c r="H795" s="116"/>
    </row>
    <row r="796" spans="1:8" x14ac:dyDescent="0.2">
      <c r="A796" s="21"/>
      <c r="B796" s="21"/>
      <c r="C796" s="21"/>
      <c r="D796" s="21"/>
      <c r="E796" s="21"/>
      <c r="F796" s="21"/>
      <c r="G796" s="116"/>
      <c r="H796" s="116"/>
    </row>
    <row r="797" spans="1:8" x14ac:dyDescent="0.2">
      <c r="A797" s="21"/>
      <c r="B797" s="21"/>
      <c r="C797" s="21"/>
      <c r="D797" s="21"/>
      <c r="E797" s="21"/>
      <c r="F797" s="21"/>
      <c r="G797" s="116"/>
      <c r="H797" s="116"/>
    </row>
    <row r="798" spans="1:8" x14ac:dyDescent="0.2">
      <c r="A798" s="21"/>
      <c r="B798" s="21"/>
      <c r="C798" s="21"/>
      <c r="D798" s="21"/>
      <c r="E798" s="21"/>
      <c r="F798" s="21"/>
      <c r="G798" s="116"/>
      <c r="H798" s="116"/>
    </row>
    <row r="799" spans="1:8" x14ac:dyDescent="0.2">
      <c r="A799" s="21"/>
      <c r="B799" s="21"/>
      <c r="C799" s="21"/>
      <c r="D799" s="21"/>
      <c r="E799" s="21"/>
      <c r="F799" s="21"/>
      <c r="G799" s="116"/>
      <c r="H799" s="116"/>
    </row>
    <row r="800" spans="1:8" x14ac:dyDescent="0.2">
      <c r="A800" s="21"/>
      <c r="B800" s="21"/>
      <c r="C800" s="21"/>
      <c r="D800" s="21"/>
      <c r="E800" s="21"/>
      <c r="F800" s="21"/>
      <c r="G800" s="116"/>
      <c r="H800" s="116"/>
    </row>
    <row r="801" spans="1:8" x14ac:dyDescent="0.2">
      <c r="A801" s="21"/>
      <c r="B801" s="21"/>
      <c r="C801" s="21"/>
      <c r="D801" s="21"/>
      <c r="E801" s="21"/>
      <c r="F801" s="21"/>
      <c r="G801" s="116"/>
      <c r="H801" s="116"/>
    </row>
    <row r="802" spans="1:8" x14ac:dyDescent="0.2">
      <c r="A802" s="21"/>
      <c r="B802" s="21"/>
      <c r="C802" s="21"/>
      <c r="D802" s="21"/>
      <c r="E802" s="21"/>
      <c r="F802" s="21"/>
      <c r="G802" s="116"/>
      <c r="H802" s="116"/>
    </row>
    <row r="803" spans="1:8" x14ac:dyDescent="0.2">
      <c r="A803" s="21"/>
      <c r="B803" s="21"/>
      <c r="C803" s="21"/>
      <c r="D803" s="21"/>
      <c r="E803" s="21"/>
      <c r="F803" s="21"/>
      <c r="G803" s="116"/>
      <c r="H803" s="116"/>
    </row>
    <row r="804" spans="1:8" x14ac:dyDescent="0.2">
      <c r="A804" s="21"/>
      <c r="B804" s="21"/>
      <c r="C804" s="21"/>
      <c r="D804" s="21"/>
      <c r="E804" s="21"/>
      <c r="F804" s="21"/>
      <c r="G804" s="116"/>
      <c r="H804" s="116"/>
    </row>
    <row r="805" spans="1:8" x14ac:dyDescent="0.2">
      <c r="A805" s="21"/>
      <c r="B805" s="21"/>
      <c r="C805" s="21"/>
      <c r="D805" s="21"/>
      <c r="E805" s="21"/>
      <c r="F805" s="21"/>
      <c r="G805" s="116"/>
      <c r="H805" s="116"/>
    </row>
    <row r="806" spans="1:8" x14ac:dyDescent="0.2">
      <c r="A806" s="21"/>
      <c r="B806" s="21"/>
      <c r="C806" s="21"/>
      <c r="D806" s="21"/>
      <c r="E806" s="21"/>
      <c r="F806" s="21"/>
      <c r="G806" s="116"/>
      <c r="H806" s="116"/>
    </row>
    <row r="807" spans="1:8" x14ac:dyDescent="0.2">
      <c r="A807" s="21"/>
      <c r="B807" s="21"/>
      <c r="C807" s="21"/>
      <c r="D807" s="21"/>
      <c r="E807" s="21"/>
      <c r="F807" s="21"/>
      <c r="G807" s="116"/>
      <c r="H807" s="116"/>
    </row>
    <row r="808" spans="1:8" x14ac:dyDescent="0.2">
      <c r="A808" s="21"/>
      <c r="B808" s="21"/>
      <c r="C808" s="21"/>
      <c r="D808" s="21"/>
      <c r="E808" s="21"/>
      <c r="F808" s="21"/>
      <c r="G808" s="116"/>
      <c r="H808" s="116"/>
    </row>
    <row r="809" spans="1:8" x14ac:dyDescent="0.2">
      <c r="A809" s="21"/>
      <c r="B809" s="21"/>
      <c r="C809" s="21"/>
      <c r="D809" s="21"/>
      <c r="E809" s="21"/>
      <c r="F809" s="21"/>
      <c r="G809" s="116"/>
      <c r="H809" s="116"/>
    </row>
    <row r="810" spans="1:8" x14ac:dyDescent="0.2">
      <c r="A810" s="21"/>
      <c r="B810" s="21"/>
      <c r="C810" s="21"/>
      <c r="D810" s="21"/>
      <c r="E810" s="21"/>
      <c r="F810" s="21"/>
      <c r="G810" s="116"/>
      <c r="H810" s="116"/>
    </row>
    <row r="811" spans="1:8" x14ac:dyDescent="0.2">
      <c r="A811" s="21"/>
      <c r="B811" s="21"/>
      <c r="C811" s="21"/>
      <c r="D811" s="21"/>
      <c r="E811" s="21"/>
      <c r="F811" s="21"/>
      <c r="G811" s="116"/>
      <c r="H811" s="116"/>
    </row>
    <row r="812" spans="1:8" x14ac:dyDescent="0.2">
      <c r="A812" s="21"/>
      <c r="B812" s="21"/>
      <c r="C812" s="21"/>
      <c r="D812" s="21"/>
      <c r="E812" s="21"/>
      <c r="F812" s="21"/>
      <c r="G812" s="116"/>
      <c r="H812" s="116"/>
    </row>
    <row r="813" spans="1:8" x14ac:dyDescent="0.2">
      <c r="A813" s="21"/>
      <c r="B813" s="21"/>
      <c r="C813" s="21"/>
      <c r="D813" s="21"/>
      <c r="E813" s="21"/>
      <c r="F813" s="21"/>
      <c r="G813" s="116"/>
      <c r="H813" s="116"/>
    </row>
    <row r="814" spans="1:8" x14ac:dyDescent="0.2">
      <c r="A814" s="21"/>
      <c r="B814" s="21"/>
      <c r="C814" s="21"/>
      <c r="D814" s="21"/>
      <c r="E814" s="21"/>
      <c r="F814" s="21"/>
      <c r="G814" s="116"/>
      <c r="H814" s="116"/>
    </row>
    <row r="815" spans="1:8" x14ac:dyDescent="0.2">
      <c r="A815" s="21"/>
      <c r="B815" s="21"/>
      <c r="C815" s="21"/>
      <c r="D815" s="21"/>
      <c r="E815" s="21"/>
      <c r="F815" s="21"/>
      <c r="G815" s="116"/>
      <c r="H815" s="116"/>
    </row>
    <row r="816" spans="1:8" x14ac:dyDescent="0.2">
      <c r="A816" s="21"/>
      <c r="B816" s="21"/>
      <c r="C816" s="21"/>
      <c r="D816" s="21"/>
      <c r="E816" s="21"/>
      <c r="F816" s="21"/>
      <c r="G816" s="116"/>
      <c r="H816" s="116"/>
    </row>
    <row r="817" spans="1:8" x14ac:dyDescent="0.2">
      <c r="A817" s="21"/>
      <c r="B817" s="21"/>
      <c r="C817" s="21"/>
      <c r="D817" s="21"/>
      <c r="E817" s="21"/>
      <c r="F817" s="21"/>
      <c r="G817" s="116"/>
      <c r="H817" s="116"/>
    </row>
    <row r="818" spans="1:8" x14ac:dyDescent="0.2">
      <c r="A818" s="21"/>
      <c r="B818" s="21"/>
      <c r="C818" s="21"/>
      <c r="D818" s="21"/>
      <c r="E818" s="21"/>
      <c r="F818" s="21"/>
      <c r="G818" s="116"/>
      <c r="H818" s="116"/>
    </row>
    <row r="819" spans="1:8" x14ac:dyDescent="0.2">
      <c r="A819" s="21"/>
      <c r="B819" s="21"/>
      <c r="C819" s="21"/>
      <c r="D819" s="21"/>
      <c r="E819" s="21"/>
      <c r="F819" s="21"/>
      <c r="G819" s="116"/>
      <c r="H819" s="116"/>
    </row>
    <row r="820" spans="1:8" x14ac:dyDescent="0.2">
      <c r="A820" s="21"/>
      <c r="B820" s="21"/>
      <c r="C820" s="21"/>
      <c r="D820" s="21"/>
      <c r="E820" s="21"/>
      <c r="F820" s="21"/>
      <c r="G820" s="116"/>
      <c r="H820" s="116"/>
    </row>
    <row r="821" spans="1:8" x14ac:dyDescent="0.2">
      <c r="A821" s="21"/>
      <c r="B821" s="21"/>
      <c r="C821" s="21"/>
      <c r="D821" s="21"/>
      <c r="E821" s="21"/>
      <c r="F821" s="21"/>
      <c r="G821" s="116"/>
      <c r="H821" s="116"/>
    </row>
    <row r="822" spans="1:8" x14ac:dyDescent="0.2">
      <c r="A822" s="21"/>
      <c r="B822" s="21"/>
      <c r="C822" s="21"/>
      <c r="D822" s="21"/>
      <c r="E822" s="21"/>
      <c r="F822" s="21"/>
      <c r="G822" s="116"/>
      <c r="H822" s="116"/>
    </row>
    <row r="823" spans="1:8" x14ac:dyDescent="0.2">
      <c r="A823" s="21"/>
      <c r="B823" s="21"/>
      <c r="C823" s="21"/>
      <c r="D823" s="21"/>
      <c r="E823" s="21"/>
      <c r="F823" s="21"/>
      <c r="G823" s="116"/>
      <c r="H823" s="116"/>
    </row>
    <row r="824" spans="1:8" x14ac:dyDescent="0.2">
      <c r="A824" s="21"/>
      <c r="B824" s="21"/>
      <c r="C824" s="21"/>
      <c r="D824" s="21"/>
      <c r="E824" s="21"/>
      <c r="F824" s="21"/>
      <c r="G824" s="116"/>
      <c r="H824" s="116"/>
    </row>
    <row r="825" spans="1:8" x14ac:dyDescent="0.2">
      <c r="A825" s="21"/>
      <c r="B825" s="21"/>
      <c r="C825" s="21"/>
      <c r="D825" s="21"/>
      <c r="E825" s="21"/>
      <c r="F825" s="21"/>
      <c r="G825" s="116"/>
      <c r="H825" s="116"/>
    </row>
    <row r="826" spans="1:8" x14ac:dyDescent="0.2">
      <c r="A826" s="21"/>
      <c r="B826" s="21"/>
      <c r="C826" s="21"/>
      <c r="D826" s="21"/>
      <c r="E826" s="21"/>
      <c r="F826" s="21"/>
      <c r="G826" s="116"/>
      <c r="H826" s="116"/>
    </row>
    <row r="827" spans="1:8" x14ac:dyDescent="0.2">
      <c r="A827" s="21"/>
      <c r="B827" s="21"/>
      <c r="C827" s="21"/>
      <c r="D827" s="21"/>
      <c r="E827" s="21"/>
      <c r="F827" s="21"/>
      <c r="G827" s="116"/>
      <c r="H827" s="116"/>
    </row>
    <row r="828" spans="1:8" x14ac:dyDescent="0.2">
      <c r="A828" s="21"/>
      <c r="B828" s="21"/>
      <c r="C828" s="21"/>
      <c r="D828" s="21"/>
      <c r="E828" s="21"/>
      <c r="F828" s="21"/>
      <c r="G828" s="116"/>
      <c r="H828" s="116"/>
    </row>
    <row r="829" spans="1:8" x14ac:dyDescent="0.2">
      <c r="A829" s="21"/>
      <c r="B829" s="21"/>
      <c r="C829" s="21"/>
      <c r="D829" s="21"/>
      <c r="E829" s="21"/>
      <c r="F829" s="21"/>
      <c r="G829" s="116"/>
      <c r="H829" s="116"/>
    </row>
    <row r="830" spans="1:8" x14ac:dyDescent="0.2">
      <c r="A830" s="21"/>
      <c r="B830" s="21"/>
      <c r="C830" s="21"/>
      <c r="D830" s="21"/>
      <c r="E830" s="21"/>
      <c r="F830" s="21"/>
      <c r="G830" s="116"/>
      <c r="H830" s="116"/>
    </row>
    <row r="831" spans="1:8" x14ac:dyDescent="0.2">
      <c r="A831" s="21"/>
      <c r="B831" s="21"/>
      <c r="C831" s="21"/>
      <c r="D831" s="21"/>
      <c r="E831" s="21"/>
      <c r="F831" s="21"/>
      <c r="G831" s="116"/>
      <c r="H831" s="116"/>
    </row>
    <row r="832" spans="1:8" x14ac:dyDescent="0.2">
      <c r="A832" s="21"/>
      <c r="B832" s="21"/>
      <c r="C832" s="21"/>
      <c r="D832" s="21"/>
      <c r="E832" s="21"/>
      <c r="F832" s="21"/>
      <c r="G832" s="116"/>
      <c r="H832" s="116"/>
    </row>
    <row r="833" spans="1:8" x14ac:dyDescent="0.2">
      <c r="A833" s="21"/>
      <c r="B833" s="21"/>
      <c r="C833" s="21"/>
      <c r="D833" s="21"/>
      <c r="E833" s="21"/>
      <c r="F833" s="21"/>
      <c r="G833" s="116"/>
      <c r="H833" s="116"/>
    </row>
    <row r="834" spans="1:8" x14ac:dyDescent="0.2">
      <c r="A834" s="21"/>
      <c r="B834" s="21"/>
      <c r="C834" s="21"/>
      <c r="D834" s="21"/>
      <c r="E834" s="21"/>
      <c r="F834" s="21"/>
      <c r="G834" s="116"/>
      <c r="H834" s="116"/>
    </row>
    <row r="835" spans="1:8" x14ac:dyDescent="0.2">
      <c r="A835" s="21"/>
      <c r="B835" s="21"/>
      <c r="C835" s="21"/>
      <c r="D835" s="21"/>
      <c r="E835" s="21"/>
      <c r="F835" s="21"/>
      <c r="G835" s="116"/>
      <c r="H835" s="116"/>
    </row>
    <row r="836" spans="1:8" x14ac:dyDescent="0.2">
      <c r="A836" s="21"/>
      <c r="B836" s="21"/>
      <c r="C836" s="21"/>
      <c r="D836" s="21"/>
      <c r="E836" s="21"/>
      <c r="F836" s="21"/>
      <c r="G836" s="116"/>
      <c r="H836" s="116"/>
    </row>
    <row r="837" spans="1:8" x14ac:dyDescent="0.2">
      <c r="A837" s="21"/>
      <c r="B837" s="21"/>
      <c r="C837" s="21"/>
      <c r="D837" s="21"/>
      <c r="E837" s="21"/>
      <c r="F837" s="21"/>
      <c r="G837" s="116"/>
      <c r="H837" s="116"/>
    </row>
    <row r="838" spans="1:8" x14ac:dyDescent="0.2">
      <c r="A838" s="21"/>
      <c r="B838" s="21"/>
      <c r="C838" s="21"/>
      <c r="D838" s="21"/>
      <c r="E838" s="21"/>
      <c r="F838" s="21"/>
      <c r="G838" s="116"/>
      <c r="H838" s="116"/>
    </row>
    <row r="839" spans="1:8" x14ac:dyDescent="0.2">
      <c r="A839" s="21"/>
      <c r="B839" s="21"/>
      <c r="C839" s="21"/>
      <c r="D839" s="21"/>
      <c r="E839" s="21"/>
      <c r="F839" s="21"/>
      <c r="G839" s="116"/>
      <c r="H839" s="116"/>
    </row>
    <row r="840" spans="1:8" x14ac:dyDescent="0.2">
      <c r="A840" s="21"/>
      <c r="B840" s="21"/>
      <c r="C840" s="21"/>
      <c r="D840" s="21"/>
      <c r="E840" s="21"/>
      <c r="F840" s="21"/>
      <c r="G840" s="116"/>
      <c r="H840" s="116"/>
    </row>
    <row r="841" spans="1:8" x14ac:dyDescent="0.2">
      <c r="A841" s="21"/>
      <c r="B841" s="21"/>
      <c r="C841" s="21"/>
      <c r="D841" s="21"/>
      <c r="E841" s="21"/>
      <c r="F841" s="21"/>
      <c r="G841" s="116"/>
      <c r="H841" s="116"/>
    </row>
    <row r="842" spans="1:8" x14ac:dyDescent="0.2">
      <c r="A842" s="21"/>
      <c r="B842" s="21"/>
      <c r="C842" s="21"/>
      <c r="D842" s="21"/>
      <c r="E842" s="21"/>
      <c r="F842" s="21"/>
      <c r="G842" s="116"/>
      <c r="H842" s="116"/>
    </row>
    <row r="843" spans="1:8" x14ac:dyDescent="0.2">
      <c r="A843" s="21"/>
      <c r="B843" s="21"/>
      <c r="C843" s="21"/>
      <c r="D843" s="21"/>
      <c r="E843" s="21"/>
      <c r="F843" s="21"/>
      <c r="G843" s="116"/>
      <c r="H843" s="116"/>
    </row>
    <row r="844" spans="1:8" x14ac:dyDescent="0.2">
      <c r="A844" s="21"/>
      <c r="B844" s="21"/>
      <c r="C844" s="21"/>
      <c r="D844" s="21"/>
      <c r="E844" s="21"/>
      <c r="F844" s="21"/>
      <c r="G844" s="116"/>
      <c r="H844" s="116"/>
    </row>
    <row r="845" spans="1:8" x14ac:dyDescent="0.2">
      <c r="A845" s="21"/>
      <c r="B845" s="21"/>
      <c r="C845" s="21"/>
      <c r="D845" s="21"/>
      <c r="E845" s="21"/>
      <c r="F845" s="21"/>
      <c r="G845" s="116"/>
      <c r="H845" s="116"/>
    </row>
    <row r="846" spans="1:8" x14ac:dyDescent="0.2">
      <c r="A846" s="21"/>
      <c r="B846" s="21"/>
      <c r="C846" s="21"/>
      <c r="D846" s="21"/>
      <c r="E846" s="21"/>
      <c r="F846" s="21"/>
      <c r="G846" s="116"/>
      <c r="H846" s="116"/>
    </row>
    <row r="847" spans="1:8" x14ac:dyDescent="0.2">
      <c r="A847" s="21"/>
      <c r="B847" s="21"/>
      <c r="C847" s="21"/>
      <c r="D847" s="21"/>
      <c r="E847" s="21"/>
      <c r="F847" s="21"/>
      <c r="G847" s="116"/>
      <c r="H847" s="116"/>
    </row>
    <row r="848" spans="1:8" x14ac:dyDescent="0.2">
      <c r="A848" s="21"/>
      <c r="B848" s="21"/>
      <c r="C848" s="21"/>
      <c r="D848" s="21"/>
      <c r="E848" s="21"/>
      <c r="F848" s="21"/>
      <c r="G848" s="116"/>
      <c r="H848" s="116"/>
    </row>
    <row r="849" spans="1:8" x14ac:dyDescent="0.2">
      <c r="A849" s="21"/>
      <c r="B849" s="21"/>
      <c r="C849" s="21"/>
      <c r="D849" s="21"/>
      <c r="E849" s="21"/>
      <c r="F849" s="21"/>
      <c r="G849" s="116"/>
      <c r="H849" s="116"/>
    </row>
    <row r="850" spans="1:8" x14ac:dyDescent="0.2">
      <c r="A850" s="21"/>
      <c r="B850" s="21"/>
      <c r="C850" s="21"/>
      <c r="D850" s="21"/>
      <c r="E850" s="21"/>
      <c r="F850" s="21"/>
      <c r="G850" s="116"/>
      <c r="H850" s="116"/>
    </row>
    <row r="851" spans="1:8" x14ac:dyDescent="0.2">
      <c r="A851" s="21"/>
      <c r="B851" s="21"/>
      <c r="C851" s="21"/>
      <c r="D851" s="21"/>
      <c r="E851" s="21"/>
      <c r="F851" s="21"/>
      <c r="G851" s="116"/>
      <c r="H851" s="116"/>
    </row>
    <row r="852" spans="1:8" x14ac:dyDescent="0.2">
      <c r="A852" s="21"/>
      <c r="B852" s="21"/>
      <c r="C852" s="21"/>
      <c r="D852" s="21"/>
      <c r="E852" s="21"/>
      <c r="F852" s="21"/>
      <c r="G852" s="116"/>
      <c r="H852" s="116"/>
    </row>
    <row r="853" spans="1:8" x14ac:dyDescent="0.2">
      <c r="A853" s="21"/>
      <c r="B853" s="21"/>
      <c r="C853" s="21"/>
      <c r="D853" s="21"/>
      <c r="E853" s="21"/>
      <c r="F853" s="21"/>
      <c r="G853" s="116"/>
      <c r="H853" s="116"/>
    </row>
    <row r="854" spans="1:8" x14ac:dyDescent="0.2">
      <c r="A854" s="21"/>
      <c r="B854" s="21"/>
      <c r="C854" s="21"/>
      <c r="D854" s="21"/>
      <c r="E854" s="21"/>
      <c r="F854" s="21"/>
      <c r="G854" s="116"/>
      <c r="H854" s="116"/>
    </row>
    <row r="855" spans="1:8" x14ac:dyDescent="0.2">
      <c r="A855" s="21"/>
      <c r="B855" s="21"/>
      <c r="C855" s="21"/>
      <c r="D855" s="21"/>
      <c r="E855" s="21"/>
      <c r="F855" s="21"/>
      <c r="G855" s="116"/>
      <c r="H855" s="116"/>
    </row>
    <row r="856" spans="1:8" x14ac:dyDescent="0.2">
      <c r="A856" s="21"/>
      <c r="B856" s="21"/>
      <c r="C856" s="21"/>
      <c r="D856" s="21"/>
      <c r="E856" s="21"/>
      <c r="F856" s="21"/>
      <c r="G856" s="116"/>
      <c r="H856" s="116"/>
    </row>
    <row r="857" spans="1:8" x14ac:dyDescent="0.2">
      <c r="A857" s="21"/>
      <c r="B857" s="21"/>
      <c r="C857" s="21"/>
      <c r="D857" s="21"/>
      <c r="E857" s="21"/>
      <c r="F857" s="21"/>
      <c r="G857" s="116"/>
      <c r="H857" s="116"/>
    </row>
    <row r="858" spans="1:8" x14ac:dyDescent="0.2">
      <c r="A858" s="21"/>
      <c r="B858" s="21"/>
      <c r="C858" s="21"/>
      <c r="D858" s="21"/>
      <c r="E858" s="21"/>
      <c r="F858" s="21"/>
      <c r="G858" s="116"/>
      <c r="H858" s="116"/>
    </row>
    <row r="859" spans="1:8" x14ac:dyDescent="0.2">
      <c r="A859" s="21"/>
      <c r="B859" s="21"/>
      <c r="C859" s="21"/>
      <c r="D859" s="21"/>
      <c r="E859" s="21"/>
      <c r="F859" s="21"/>
      <c r="G859" s="116"/>
      <c r="H859" s="116"/>
    </row>
    <row r="860" spans="1:8" x14ac:dyDescent="0.2">
      <c r="A860" s="21"/>
      <c r="B860" s="21"/>
      <c r="C860" s="21"/>
      <c r="D860" s="21"/>
      <c r="E860" s="21"/>
      <c r="F860" s="21"/>
      <c r="G860" s="116"/>
      <c r="H860" s="116"/>
    </row>
    <row r="861" spans="1:8" x14ac:dyDescent="0.2">
      <c r="A861" s="21"/>
      <c r="B861" s="21"/>
      <c r="C861" s="21"/>
      <c r="D861" s="21"/>
      <c r="E861" s="21"/>
      <c r="F861" s="21"/>
      <c r="G861" s="116"/>
      <c r="H861" s="116"/>
    </row>
    <row r="862" spans="1:8" x14ac:dyDescent="0.2">
      <c r="A862" s="21"/>
      <c r="B862" s="21"/>
      <c r="C862" s="21"/>
      <c r="D862" s="21"/>
      <c r="E862" s="21"/>
      <c r="F862" s="21"/>
      <c r="G862" s="116"/>
      <c r="H862" s="116"/>
    </row>
    <row r="863" spans="1:8" x14ac:dyDescent="0.2">
      <c r="A863" s="21"/>
      <c r="B863" s="21"/>
      <c r="C863" s="21"/>
      <c r="D863" s="21"/>
      <c r="E863" s="21"/>
      <c r="F863" s="21"/>
      <c r="G863" s="116"/>
      <c r="H863" s="116"/>
    </row>
    <row r="864" spans="1:8" x14ac:dyDescent="0.2">
      <c r="A864" s="21"/>
      <c r="B864" s="21"/>
      <c r="C864" s="21"/>
      <c r="D864" s="21"/>
      <c r="E864" s="21"/>
      <c r="F864" s="21"/>
      <c r="G864" s="116"/>
      <c r="H864" s="116"/>
    </row>
    <row r="865" spans="1:8" x14ac:dyDescent="0.2">
      <c r="A865" s="21"/>
      <c r="B865" s="21"/>
      <c r="C865" s="21"/>
      <c r="D865" s="21"/>
      <c r="E865" s="21"/>
      <c r="F865" s="21"/>
      <c r="G865" s="116"/>
      <c r="H865" s="116"/>
    </row>
    <row r="866" spans="1:8" x14ac:dyDescent="0.2">
      <c r="A866" s="21"/>
      <c r="B866" s="21"/>
      <c r="C866" s="21"/>
      <c r="D866" s="21"/>
      <c r="E866" s="21"/>
      <c r="F866" s="21"/>
      <c r="G866" s="116"/>
      <c r="H866" s="116"/>
    </row>
    <row r="867" spans="1:8" x14ac:dyDescent="0.2">
      <c r="A867" s="21"/>
      <c r="B867" s="21"/>
      <c r="C867" s="21"/>
      <c r="D867" s="21"/>
      <c r="E867" s="21"/>
      <c r="F867" s="21"/>
      <c r="G867" s="116"/>
      <c r="H867" s="116"/>
    </row>
    <row r="868" spans="1:8" x14ac:dyDescent="0.2">
      <c r="A868" s="21"/>
      <c r="B868" s="21"/>
      <c r="C868" s="21"/>
      <c r="D868" s="21"/>
      <c r="E868" s="21"/>
      <c r="F868" s="21"/>
      <c r="G868" s="116"/>
      <c r="H868" s="116"/>
    </row>
    <row r="869" spans="1:8" x14ac:dyDescent="0.2">
      <c r="A869" s="21"/>
      <c r="B869" s="21"/>
      <c r="C869" s="21"/>
      <c r="D869" s="21"/>
      <c r="E869" s="21"/>
      <c r="F869" s="21"/>
      <c r="G869" s="116"/>
      <c r="H869" s="116"/>
    </row>
    <row r="870" spans="1:8" x14ac:dyDescent="0.2">
      <c r="A870" s="21"/>
      <c r="B870" s="21"/>
      <c r="C870" s="21"/>
      <c r="D870" s="21"/>
      <c r="E870" s="21"/>
      <c r="F870" s="21"/>
      <c r="G870" s="116"/>
      <c r="H870" s="116"/>
    </row>
    <row r="871" spans="1:8" x14ac:dyDescent="0.2">
      <c r="A871" s="21"/>
      <c r="B871" s="21"/>
      <c r="C871" s="21"/>
      <c r="D871" s="21"/>
      <c r="E871" s="21"/>
      <c r="F871" s="21"/>
      <c r="G871" s="116"/>
      <c r="H871" s="116"/>
    </row>
    <row r="872" spans="1:8" x14ac:dyDescent="0.2">
      <c r="A872" s="21"/>
      <c r="B872" s="21"/>
      <c r="C872" s="21"/>
      <c r="D872" s="21"/>
      <c r="E872" s="21"/>
      <c r="F872" s="21"/>
      <c r="G872" s="116"/>
      <c r="H872" s="116"/>
    </row>
    <row r="873" spans="1:8" x14ac:dyDescent="0.2">
      <c r="A873" s="21"/>
      <c r="B873" s="21"/>
      <c r="C873" s="21"/>
      <c r="D873" s="21"/>
      <c r="E873" s="21"/>
      <c r="F873" s="21"/>
      <c r="G873" s="116"/>
      <c r="H873" s="116"/>
    </row>
    <row r="874" spans="1:8" x14ac:dyDescent="0.2">
      <c r="A874" s="21"/>
      <c r="B874" s="21"/>
      <c r="C874" s="21"/>
      <c r="D874" s="21"/>
      <c r="E874" s="21"/>
      <c r="F874" s="21"/>
      <c r="G874" s="116"/>
      <c r="H874" s="116"/>
    </row>
    <row r="875" spans="1:8" x14ac:dyDescent="0.2">
      <c r="A875" s="21"/>
      <c r="B875" s="21"/>
      <c r="C875" s="21"/>
      <c r="D875" s="21"/>
      <c r="E875" s="21"/>
      <c r="F875" s="21"/>
      <c r="G875" s="116"/>
      <c r="H875" s="116"/>
    </row>
    <row r="876" spans="1:8" x14ac:dyDescent="0.2">
      <c r="A876" s="21"/>
      <c r="B876" s="21"/>
      <c r="C876" s="21"/>
      <c r="D876" s="21"/>
      <c r="E876" s="21"/>
      <c r="F876" s="21"/>
      <c r="G876" s="116"/>
      <c r="H876" s="116"/>
    </row>
    <row r="877" spans="1:8" x14ac:dyDescent="0.2">
      <c r="A877" s="21"/>
      <c r="B877" s="21"/>
      <c r="C877" s="21"/>
      <c r="D877" s="21"/>
      <c r="E877" s="21"/>
      <c r="F877" s="21"/>
      <c r="G877" s="116"/>
      <c r="H877" s="116"/>
    </row>
    <row r="878" spans="1:8" x14ac:dyDescent="0.2">
      <c r="A878" s="21"/>
      <c r="B878" s="21"/>
      <c r="C878" s="21"/>
      <c r="D878" s="21"/>
      <c r="E878" s="21"/>
      <c r="F878" s="21"/>
      <c r="G878" s="116"/>
      <c r="H878" s="116"/>
    </row>
    <row r="879" spans="1:8" x14ac:dyDescent="0.2">
      <c r="A879" s="21"/>
      <c r="B879" s="21"/>
      <c r="C879" s="21"/>
      <c r="D879" s="21"/>
      <c r="E879" s="21"/>
      <c r="F879" s="21"/>
      <c r="G879" s="116"/>
      <c r="H879" s="116"/>
    </row>
    <row r="880" spans="1:8" x14ac:dyDescent="0.2">
      <c r="A880" s="21"/>
      <c r="B880" s="21"/>
      <c r="C880" s="21"/>
      <c r="D880" s="21"/>
      <c r="E880" s="21"/>
      <c r="F880" s="21"/>
      <c r="G880" s="116"/>
      <c r="H880" s="116"/>
    </row>
    <row r="881" spans="1:8" x14ac:dyDescent="0.2">
      <c r="A881" s="21"/>
      <c r="B881" s="21"/>
      <c r="C881" s="21"/>
      <c r="D881" s="21"/>
      <c r="E881" s="21"/>
      <c r="F881" s="21"/>
      <c r="G881" s="116"/>
      <c r="H881" s="116"/>
    </row>
    <row r="882" spans="1:8" x14ac:dyDescent="0.2">
      <c r="A882" s="21"/>
      <c r="B882" s="21"/>
      <c r="C882" s="21"/>
      <c r="D882" s="21"/>
      <c r="E882" s="21"/>
      <c r="F882" s="21"/>
      <c r="G882" s="116"/>
      <c r="H882" s="116"/>
    </row>
    <row r="883" spans="1:8" x14ac:dyDescent="0.2">
      <c r="A883" s="21"/>
      <c r="B883" s="21"/>
      <c r="C883" s="21"/>
      <c r="D883" s="21"/>
      <c r="E883" s="21"/>
      <c r="F883" s="21"/>
      <c r="G883" s="116"/>
      <c r="H883" s="116"/>
    </row>
    <row r="884" spans="1:8" x14ac:dyDescent="0.2">
      <c r="A884" s="21"/>
      <c r="B884" s="21"/>
      <c r="C884" s="21"/>
      <c r="D884" s="21"/>
      <c r="E884" s="21"/>
      <c r="F884" s="21"/>
      <c r="G884" s="116"/>
      <c r="H884" s="116"/>
    </row>
    <row r="885" spans="1:8" x14ac:dyDescent="0.2">
      <c r="A885" s="21"/>
      <c r="B885" s="21"/>
      <c r="C885" s="21"/>
      <c r="D885" s="21"/>
      <c r="E885" s="21"/>
      <c r="F885" s="21"/>
      <c r="G885" s="116"/>
      <c r="H885" s="116"/>
    </row>
    <row r="886" spans="1:8" x14ac:dyDescent="0.2">
      <c r="A886" s="21"/>
      <c r="B886" s="21"/>
      <c r="C886" s="21"/>
      <c r="D886" s="21"/>
      <c r="E886" s="21"/>
      <c r="F886" s="21"/>
      <c r="G886" s="116"/>
      <c r="H886" s="116"/>
    </row>
    <row r="887" spans="1:8" x14ac:dyDescent="0.2">
      <c r="A887" s="21"/>
      <c r="B887" s="21"/>
      <c r="C887" s="21"/>
      <c r="D887" s="21"/>
      <c r="E887" s="21"/>
      <c r="F887" s="21"/>
      <c r="G887" s="116"/>
      <c r="H887" s="116"/>
    </row>
    <row r="888" spans="1:8" x14ac:dyDescent="0.2">
      <c r="A888" s="21"/>
      <c r="B888" s="21"/>
      <c r="C888" s="21"/>
      <c r="D888" s="21"/>
      <c r="E888" s="21"/>
      <c r="F888" s="21"/>
      <c r="G888" s="116"/>
      <c r="H888" s="116"/>
    </row>
    <row r="889" spans="1:8" x14ac:dyDescent="0.2">
      <c r="A889" s="21"/>
      <c r="B889" s="21"/>
      <c r="C889" s="21"/>
      <c r="D889" s="21"/>
      <c r="E889" s="21"/>
      <c r="F889" s="21"/>
      <c r="G889" s="116"/>
      <c r="H889" s="116"/>
    </row>
    <row r="890" spans="1:8" x14ac:dyDescent="0.2">
      <c r="A890" s="21"/>
      <c r="B890" s="21"/>
      <c r="C890" s="21"/>
      <c r="D890" s="21"/>
      <c r="E890" s="21"/>
      <c r="F890" s="21"/>
      <c r="G890" s="116"/>
      <c r="H890" s="116"/>
    </row>
    <row r="891" spans="1:8" x14ac:dyDescent="0.2">
      <c r="A891" s="21"/>
      <c r="B891" s="21"/>
      <c r="C891" s="21"/>
      <c r="D891" s="21"/>
      <c r="E891" s="21"/>
      <c r="F891" s="21"/>
      <c r="G891" s="116"/>
      <c r="H891" s="116"/>
    </row>
    <row r="892" spans="1:8" x14ac:dyDescent="0.2">
      <c r="A892" s="21"/>
      <c r="B892" s="21"/>
      <c r="C892" s="21"/>
      <c r="D892" s="21"/>
      <c r="E892" s="21"/>
      <c r="F892" s="21"/>
      <c r="G892" s="116"/>
      <c r="H892" s="116"/>
    </row>
    <row r="893" spans="1:8" x14ac:dyDescent="0.2">
      <c r="A893" s="21"/>
      <c r="B893" s="21"/>
      <c r="C893" s="21"/>
      <c r="D893" s="21"/>
      <c r="E893" s="21"/>
      <c r="F893" s="21"/>
      <c r="G893" s="116"/>
      <c r="H893" s="116"/>
    </row>
    <row r="894" spans="1:8" x14ac:dyDescent="0.2">
      <c r="A894" s="21"/>
      <c r="B894" s="21"/>
      <c r="C894" s="21"/>
      <c r="D894" s="21"/>
      <c r="E894" s="21"/>
      <c r="F894" s="21"/>
      <c r="G894" s="116"/>
      <c r="H894" s="116"/>
    </row>
    <row r="895" spans="1:8" x14ac:dyDescent="0.2">
      <c r="A895" s="21"/>
      <c r="B895" s="21"/>
      <c r="C895" s="21"/>
      <c r="D895" s="21"/>
      <c r="E895" s="21"/>
      <c r="F895" s="21"/>
      <c r="G895" s="116"/>
      <c r="H895" s="116"/>
    </row>
    <row r="896" spans="1:8" x14ac:dyDescent="0.2">
      <c r="A896" s="21"/>
      <c r="B896" s="21"/>
      <c r="C896" s="21"/>
      <c r="D896" s="21"/>
      <c r="E896" s="21"/>
      <c r="F896" s="21"/>
      <c r="G896" s="116"/>
      <c r="H896" s="116"/>
    </row>
    <row r="897" spans="1:8" x14ac:dyDescent="0.2">
      <c r="A897" s="21"/>
      <c r="B897" s="21"/>
      <c r="C897" s="21"/>
      <c r="D897" s="21"/>
      <c r="E897" s="21"/>
      <c r="F897" s="21"/>
      <c r="G897" s="116"/>
      <c r="H897" s="116"/>
    </row>
    <row r="898" spans="1:8" x14ac:dyDescent="0.2">
      <c r="A898" s="21"/>
      <c r="B898" s="21"/>
      <c r="C898" s="21"/>
      <c r="D898" s="21"/>
      <c r="E898" s="21"/>
      <c r="F898" s="21"/>
      <c r="G898" s="116"/>
      <c r="H898" s="116"/>
    </row>
    <row r="899" spans="1:8" x14ac:dyDescent="0.2">
      <c r="A899" s="21"/>
      <c r="B899" s="21"/>
      <c r="C899" s="21"/>
      <c r="D899" s="21"/>
      <c r="E899" s="21"/>
      <c r="F899" s="21"/>
      <c r="G899" s="116"/>
      <c r="H899" s="116"/>
    </row>
    <row r="900" spans="1:8" x14ac:dyDescent="0.2">
      <c r="A900" s="21"/>
      <c r="B900" s="21"/>
      <c r="C900" s="21"/>
      <c r="D900" s="21"/>
      <c r="E900" s="21"/>
      <c r="F900" s="21"/>
      <c r="G900" s="116"/>
      <c r="H900" s="116"/>
    </row>
    <row r="901" spans="1:8" x14ac:dyDescent="0.2">
      <c r="A901" s="21"/>
      <c r="B901" s="21"/>
      <c r="C901" s="21"/>
      <c r="D901" s="21"/>
      <c r="E901" s="21"/>
      <c r="F901" s="21"/>
      <c r="G901" s="116"/>
      <c r="H901" s="116"/>
    </row>
    <row r="902" spans="1:8" x14ac:dyDescent="0.2">
      <c r="A902" s="21"/>
      <c r="B902" s="21"/>
      <c r="C902" s="21"/>
      <c r="D902" s="21"/>
      <c r="E902" s="21"/>
      <c r="F902" s="21"/>
      <c r="G902" s="116"/>
      <c r="H902" s="116"/>
    </row>
    <row r="903" spans="1:8" x14ac:dyDescent="0.2">
      <c r="A903" s="21"/>
      <c r="B903" s="21"/>
      <c r="C903" s="21"/>
      <c r="D903" s="21"/>
      <c r="E903" s="21"/>
      <c r="F903" s="21"/>
      <c r="G903" s="116"/>
      <c r="H903" s="116"/>
    </row>
    <row r="904" spans="1:8" x14ac:dyDescent="0.2">
      <c r="A904" s="21"/>
      <c r="B904" s="21"/>
      <c r="C904" s="21"/>
      <c r="D904" s="21"/>
      <c r="E904" s="21"/>
      <c r="F904" s="21"/>
      <c r="G904" s="116"/>
      <c r="H904" s="116"/>
    </row>
    <row r="905" spans="1:8" x14ac:dyDescent="0.2">
      <c r="A905" s="21"/>
      <c r="B905" s="21"/>
      <c r="C905" s="21"/>
      <c r="D905" s="21"/>
      <c r="E905" s="21"/>
      <c r="F905" s="21"/>
      <c r="G905" s="116"/>
      <c r="H905" s="116"/>
    </row>
    <row r="906" spans="1:8" x14ac:dyDescent="0.2">
      <c r="A906" s="21"/>
      <c r="B906" s="21"/>
      <c r="C906" s="21"/>
      <c r="D906" s="21"/>
      <c r="E906" s="21"/>
      <c r="F906" s="21"/>
      <c r="G906" s="116"/>
      <c r="H906" s="116"/>
    </row>
    <row r="907" spans="1:8" x14ac:dyDescent="0.2">
      <c r="A907" s="21"/>
      <c r="B907" s="21"/>
      <c r="C907" s="21"/>
      <c r="D907" s="21"/>
      <c r="E907" s="21"/>
      <c r="F907" s="21"/>
      <c r="G907" s="116"/>
      <c r="H907" s="116"/>
    </row>
    <row r="908" spans="1:8" x14ac:dyDescent="0.2">
      <c r="A908" s="21"/>
      <c r="B908" s="21"/>
      <c r="C908" s="21"/>
      <c r="D908" s="21"/>
      <c r="E908" s="21"/>
      <c r="F908" s="21"/>
      <c r="G908" s="116"/>
      <c r="H908" s="116"/>
    </row>
    <row r="909" spans="1:8" x14ac:dyDescent="0.2">
      <c r="A909" s="21"/>
      <c r="B909" s="21"/>
      <c r="C909" s="21"/>
      <c r="D909" s="21"/>
      <c r="E909" s="21"/>
      <c r="F909" s="21"/>
      <c r="G909" s="116"/>
      <c r="H909" s="116"/>
    </row>
    <row r="910" spans="1:8" x14ac:dyDescent="0.2">
      <c r="A910" s="21"/>
      <c r="B910" s="21"/>
      <c r="C910" s="21"/>
      <c r="D910" s="21"/>
      <c r="E910" s="21"/>
      <c r="F910" s="21"/>
      <c r="G910" s="116"/>
      <c r="H910" s="116"/>
    </row>
    <row r="911" spans="1:8" x14ac:dyDescent="0.2">
      <c r="A911" s="21"/>
      <c r="B911" s="21"/>
      <c r="C911" s="21"/>
      <c r="D911" s="21"/>
      <c r="E911" s="21"/>
      <c r="F911" s="21"/>
      <c r="G911" s="116"/>
      <c r="H911" s="116"/>
    </row>
    <row r="912" spans="1:8" x14ac:dyDescent="0.2">
      <c r="A912" s="21"/>
      <c r="B912" s="21"/>
      <c r="C912" s="21"/>
      <c r="D912" s="21"/>
      <c r="E912" s="21"/>
      <c r="F912" s="21"/>
      <c r="G912" s="116"/>
      <c r="H912" s="116"/>
    </row>
    <row r="913" spans="1:8" x14ac:dyDescent="0.2">
      <c r="A913" s="21"/>
      <c r="B913" s="21"/>
      <c r="C913" s="21"/>
      <c r="D913" s="21"/>
      <c r="E913" s="21"/>
      <c r="F913" s="21"/>
      <c r="G913" s="116"/>
      <c r="H913" s="116"/>
    </row>
    <row r="914" spans="1:8" x14ac:dyDescent="0.2">
      <c r="A914" s="21"/>
      <c r="B914" s="21"/>
      <c r="C914" s="21"/>
      <c r="D914" s="21"/>
      <c r="E914" s="21"/>
      <c r="F914" s="21"/>
      <c r="G914" s="116"/>
      <c r="H914" s="116"/>
    </row>
    <row r="915" spans="1:8" x14ac:dyDescent="0.2">
      <c r="A915" s="21"/>
      <c r="B915" s="21"/>
      <c r="C915" s="21"/>
      <c r="D915" s="21"/>
      <c r="E915" s="21"/>
      <c r="F915" s="21"/>
      <c r="G915" s="116"/>
      <c r="H915" s="116"/>
    </row>
    <row r="916" spans="1:8" x14ac:dyDescent="0.2">
      <c r="A916" s="21"/>
      <c r="B916" s="21"/>
      <c r="C916" s="21"/>
      <c r="D916" s="21"/>
      <c r="E916" s="21"/>
      <c r="F916" s="21"/>
      <c r="G916" s="116"/>
      <c r="H916" s="116"/>
    </row>
    <row r="917" spans="1:8" x14ac:dyDescent="0.2">
      <c r="A917" s="21"/>
      <c r="B917" s="21"/>
      <c r="C917" s="21"/>
      <c r="D917" s="21"/>
      <c r="E917" s="21"/>
      <c r="F917" s="21"/>
      <c r="G917" s="116"/>
      <c r="H917" s="116"/>
    </row>
    <row r="918" spans="1:8" x14ac:dyDescent="0.2">
      <c r="A918" s="21"/>
      <c r="B918" s="21"/>
      <c r="C918" s="21"/>
      <c r="D918" s="21"/>
      <c r="E918" s="21"/>
      <c r="F918" s="21"/>
      <c r="G918" s="116"/>
      <c r="H918" s="116"/>
    </row>
    <row r="919" spans="1:8" x14ac:dyDescent="0.2">
      <c r="A919" s="21"/>
      <c r="B919" s="21"/>
      <c r="C919" s="21"/>
      <c r="D919" s="21"/>
      <c r="E919" s="21"/>
      <c r="F919" s="21"/>
      <c r="G919" s="116"/>
      <c r="H919" s="116"/>
    </row>
    <row r="920" spans="1:8" x14ac:dyDescent="0.2">
      <c r="A920" s="21"/>
      <c r="B920" s="21"/>
      <c r="C920" s="21"/>
      <c r="D920" s="21"/>
      <c r="E920" s="21"/>
      <c r="F920" s="21"/>
      <c r="G920" s="116"/>
      <c r="H920" s="116"/>
    </row>
    <row r="921" spans="1:8" x14ac:dyDescent="0.2">
      <c r="A921" s="21"/>
      <c r="B921" s="21"/>
      <c r="C921" s="21"/>
      <c r="D921" s="21"/>
      <c r="E921" s="21"/>
      <c r="F921" s="21"/>
      <c r="G921" s="116"/>
      <c r="H921" s="116"/>
    </row>
    <row r="922" spans="1:8" x14ac:dyDescent="0.2">
      <c r="A922" s="21"/>
      <c r="B922" s="21"/>
      <c r="C922" s="21"/>
      <c r="D922" s="21"/>
      <c r="E922" s="21"/>
      <c r="F922" s="21"/>
      <c r="G922" s="116"/>
      <c r="H922" s="116"/>
    </row>
    <row r="923" spans="1:8" x14ac:dyDescent="0.2">
      <c r="A923" s="21"/>
      <c r="B923" s="21"/>
      <c r="C923" s="21"/>
      <c r="D923" s="21"/>
      <c r="E923" s="21"/>
      <c r="F923" s="21"/>
      <c r="G923" s="116"/>
      <c r="H923" s="116"/>
    </row>
    <row r="924" spans="1:8" x14ac:dyDescent="0.2">
      <c r="A924" s="21"/>
      <c r="B924" s="21"/>
      <c r="C924" s="21"/>
      <c r="D924" s="21"/>
      <c r="E924" s="21"/>
      <c r="F924" s="21"/>
      <c r="G924" s="116"/>
      <c r="H924" s="116"/>
    </row>
    <row r="925" spans="1:8" x14ac:dyDescent="0.2">
      <c r="A925" s="21"/>
      <c r="B925" s="21"/>
      <c r="C925" s="21"/>
      <c r="D925" s="21"/>
      <c r="E925" s="21"/>
      <c r="F925" s="21"/>
      <c r="G925" s="116"/>
      <c r="H925" s="116"/>
    </row>
    <row r="926" spans="1:8" x14ac:dyDescent="0.2">
      <c r="A926" s="21"/>
      <c r="B926" s="21"/>
      <c r="C926" s="21"/>
      <c r="D926" s="21"/>
      <c r="E926" s="21"/>
      <c r="F926" s="21"/>
      <c r="G926" s="116"/>
      <c r="H926" s="116"/>
    </row>
    <row r="927" spans="1:8" x14ac:dyDescent="0.2">
      <c r="A927" s="21"/>
      <c r="B927" s="21"/>
      <c r="C927" s="21"/>
      <c r="D927" s="21"/>
      <c r="E927" s="21"/>
      <c r="F927" s="21"/>
      <c r="G927" s="116"/>
      <c r="H927" s="116"/>
    </row>
  </sheetData>
  <sheetProtection password="AFD8" sheet="1" objects="1" scenarios="1" selectLockedCells="1"/>
  <mergeCells count="5">
    <mergeCell ref="A10:F10"/>
    <mergeCell ref="A4:Q4"/>
    <mergeCell ref="A1:Q1"/>
    <mergeCell ref="A2:Q2"/>
    <mergeCell ref="A3:Q3"/>
  </mergeCells>
  <phoneticPr fontId="2" type="noConversion"/>
  <dataValidations count="2">
    <dataValidation type="decimal" allowBlank="1" showInputMessage="1" showErrorMessage="1" error="Invalid data is entered!" sqref="I74:P74 I70:P72 I68:P68 I66:P66 I64:P64 I58:P58 I56:L56 I78:P78 I80:P83 I47:P47 I18:L20 I23:P24 I27:P28 I31:P32 I35:P36 I38:P39 I41:P41 I43:P43 I45:P45 I12:P14 I49:P52 I76:P76">
      <formula1>0</formula1>
      <formula2>99999999999999900</formula2>
    </dataValidation>
    <dataValidation type="decimal" allowBlank="1" showInputMessage="1" showErrorMessage="1" sqref="I62:P62 I60:P60">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39&amp;10&amp;U
&amp;8Page &amp;P of &amp;N Pages&amp;C&amp;"Arial,Bold"&amp;8 NEW RURAL BANK OF SAN LEONARDO, INC  [ 04-040656 ]
 As of: September 30, 2017</oddHeader>
  </headerFooter>
  <rowBreaks count="1" manualBreakCount="1">
    <brk id="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C87"/>
  <sheetViews>
    <sheetView zoomScaleNormal="100" workbookViewId="0">
      <pane xSplit="8" ySplit="10" topLeftCell="I12" activePane="bottomRight" state="frozen"/>
      <selection pane="topRight" activeCell="I1" sqref="I1"/>
      <selection pane="bottomLeft" activeCell="A11" sqref="A11"/>
      <selection pane="bottomRight" activeCell="I12" sqref="I12"/>
    </sheetView>
  </sheetViews>
  <sheetFormatPr defaultRowHeight="11.25" x14ac:dyDescent="0.2"/>
  <cols>
    <col min="1" max="1" width="3.28515625" style="21" customWidth="1"/>
    <col min="2" max="5" width="3.28515625" style="21" hidden="1" customWidth="1"/>
    <col min="6" max="6" width="40.28515625" style="21" customWidth="1"/>
    <col min="7" max="7" width="20" style="128" bestFit="1" customWidth="1"/>
    <col min="8" max="8" width="20" style="116" hidden="1" customWidth="1"/>
    <col min="9" max="17" width="25.7109375" style="48" customWidth="1"/>
    <col min="18" max="16384" width="9.140625" style="5"/>
  </cols>
  <sheetData>
    <row r="1" spans="1:29" s="243" customFormat="1" ht="12.75" x14ac:dyDescent="0.2">
      <c r="A1" s="669" t="s">
        <v>584</v>
      </c>
      <c r="B1" s="669"/>
      <c r="C1" s="669"/>
      <c r="D1" s="669"/>
      <c r="E1" s="669"/>
      <c r="F1" s="669"/>
      <c r="G1" s="669"/>
      <c r="H1" s="669"/>
      <c r="I1" s="669"/>
      <c r="J1" s="669"/>
      <c r="K1" s="669"/>
      <c r="L1" s="669"/>
      <c r="M1" s="669"/>
      <c r="N1" s="669"/>
      <c r="O1" s="669"/>
      <c r="P1" s="669"/>
      <c r="Q1" s="669"/>
      <c r="R1" s="242"/>
      <c r="S1" s="242"/>
      <c r="T1" s="242"/>
      <c r="U1" s="242"/>
      <c r="V1" s="242"/>
      <c r="W1" s="242"/>
      <c r="X1" s="242"/>
      <c r="Y1" s="242"/>
      <c r="Z1" s="242"/>
      <c r="AA1" s="242"/>
      <c r="AB1" s="242"/>
      <c r="AC1" s="242"/>
    </row>
    <row r="2" spans="1:29" s="243" customFormat="1" ht="12.75" x14ac:dyDescent="0.2">
      <c r="A2" s="697" t="s">
        <v>451</v>
      </c>
      <c r="B2" s="697"/>
      <c r="C2" s="697"/>
      <c r="D2" s="697"/>
      <c r="E2" s="697"/>
      <c r="F2" s="697"/>
      <c r="G2" s="697"/>
      <c r="H2" s="697"/>
      <c r="I2" s="697"/>
      <c r="J2" s="697"/>
      <c r="K2" s="697"/>
      <c r="L2" s="697"/>
      <c r="M2" s="697"/>
      <c r="N2" s="697"/>
      <c r="O2" s="697"/>
      <c r="P2" s="697"/>
      <c r="Q2" s="697"/>
      <c r="R2" s="248"/>
      <c r="S2" s="248"/>
      <c r="T2" s="248"/>
      <c r="U2" s="248"/>
      <c r="V2" s="248"/>
      <c r="W2" s="248"/>
      <c r="X2" s="248"/>
      <c r="Y2" s="248"/>
      <c r="Z2" s="248"/>
      <c r="AA2" s="248"/>
      <c r="AB2" s="248"/>
      <c r="AC2" s="248"/>
    </row>
    <row r="3" spans="1:29" s="243" customFormat="1" ht="12.75" x14ac:dyDescent="0.2">
      <c r="A3" s="697" t="s">
        <v>53</v>
      </c>
      <c r="B3" s="697"/>
      <c r="C3" s="697"/>
      <c r="D3" s="697"/>
      <c r="E3" s="697"/>
      <c r="F3" s="697"/>
      <c r="G3" s="697"/>
      <c r="H3" s="697"/>
      <c r="I3" s="697"/>
      <c r="J3" s="697"/>
      <c r="K3" s="697"/>
      <c r="L3" s="697"/>
      <c r="M3" s="697"/>
      <c r="N3" s="697"/>
      <c r="O3" s="697"/>
      <c r="P3" s="697"/>
      <c r="Q3" s="697"/>
      <c r="R3" s="248"/>
      <c r="S3" s="248"/>
      <c r="T3" s="248"/>
      <c r="U3" s="248"/>
      <c r="V3" s="248"/>
      <c r="W3" s="248"/>
      <c r="X3" s="248"/>
      <c r="Y3" s="248"/>
      <c r="Z3" s="248"/>
      <c r="AA3" s="248"/>
      <c r="AB3" s="248"/>
      <c r="AC3" s="248"/>
    </row>
    <row r="4" spans="1:29" s="243" customFormat="1" ht="12" customHeight="1" x14ac:dyDescent="0.2">
      <c r="A4" s="697" t="s">
        <v>581</v>
      </c>
      <c r="B4" s="697"/>
      <c r="C4" s="697"/>
      <c r="D4" s="697"/>
      <c r="E4" s="697"/>
      <c r="F4" s="697"/>
      <c r="G4" s="697"/>
      <c r="H4" s="697"/>
      <c r="I4" s="697"/>
      <c r="J4" s="697"/>
      <c r="K4" s="697"/>
      <c r="L4" s="697"/>
      <c r="M4" s="697"/>
      <c r="N4" s="697"/>
      <c r="O4" s="697"/>
      <c r="P4" s="697"/>
      <c r="Q4" s="697"/>
      <c r="R4" s="248"/>
      <c r="S4" s="248"/>
      <c r="T4" s="248"/>
      <c r="U4" s="248"/>
      <c r="V4" s="248"/>
      <c r="W4" s="248"/>
      <c r="X4" s="248"/>
      <c r="Y4" s="248"/>
      <c r="Z4" s="248"/>
      <c r="AA4" s="248"/>
      <c r="AB4" s="248"/>
      <c r="AC4" s="248"/>
    </row>
    <row r="5" spans="1:29" hidden="1" x14ac:dyDescent="0.2">
      <c r="A5" s="8"/>
      <c r="B5" s="8"/>
      <c r="C5" s="8"/>
      <c r="D5" s="8"/>
      <c r="E5" s="8"/>
      <c r="F5" s="8"/>
      <c r="G5" s="8"/>
      <c r="H5" s="214"/>
      <c r="I5" s="53"/>
      <c r="J5" s="53"/>
      <c r="K5" s="53"/>
      <c r="L5" s="53"/>
      <c r="M5" s="53"/>
      <c r="N5" s="53"/>
      <c r="O5" s="53"/>
      <c r="P5" s="53"/>
      <c r="Q5" s="169"/>
      <c r="R5" s="7"/>
      <c r="S5" s="7"/>
      <c r="T5" s="7"/>
      <c r="U5" s="7"/>
      <c r="V5" s="7"/>
      <c r="W5" s="7"/>
      <c r="X5" s="7"/>
      <c r="Y5" s="7"/>
      <c r="Z5" s="7"/>
      <c r="AA5" s="7"/>
      <c r="AB5" s="7"/>
      <c r="AC5" s="7"/>
    </row>
    <row r="6" spans="1:29" hidden="1" x14ac:dyDescent="0.2">
      <c r="A6" s="8"/>
      <c r="B6" s="8"/>
      <c r="C6" s="8"/>
      <c r="D6" s="8"/>
      <c r="E6" s="8"/>
      <c r="F6" s="8"/>
      <c r="G6" s="8"/>
      <c r="H6" s="214"/>
      <c r="I6" s="53"/>
      <c r="J6" s="53"/>
      <c r="K6" s="53"/>
      <c r="L6" s="53"/>
      <c r="M6" s="53"/>
      <c r="N6" s="53"/>
      <c r="O6" s="53"/>
      <c r="P6" s="53"/>
      <c r="Q6" s="169"/>
      <c r="R6" s="7"/>
      <c r="S6" s="7"/>
      <c r="T6" s="7"/>
      <c r="U6" s="7"/>
      <c r="V6" s="7"/>
      <c r="W6" s="7"/>
      <c r="X6" s="7"/>
      <c r="Y6" s="7"/>
      <c r="Z6" s="7"/>
      <c r="AA6" s="7"/>
      <c r="AB6" s="7"/>
      <c r="AC6" s="7"/>
    </row>
    <row r="7" spans="1:29" hidden="1" x14ac:dyDescent="0.2">
      <c r="A7" s="8"/>
      <c r="B7" s="8"/>
      <c r="C7" s="8"/>
      <c r="D7" s="8"/>
      <c r="E7" s="8"/>
      <c r="F7" s="8"/>
      <c r="G7" s="8"/>
      <c r="H7" s="214"/>
      <c r="I7" s="53"/>
      <c r="J7" s="53"/>
      <c r="K7" s="53"/>
      <c r="L7" s="53"/>
      <c r="M7" s="53"/>
      <c r="N7" s="53"/>
      <c r="O7" s="53"/>
      <c r="P7" s="53"/>
      <c r="Q7" s="169"/>
      <c r="R7" s="7"/>
      <c r="S7" s="7"/>
      <c r="T7" s="7"/>
      <c r="U7" s="7"/>
      <c r="V7" s="7"/>
      <c r="W7" s="7"/>
      <c r="X7" s="7"/>
      <c r="Y7" s="7"/>
      <c r="Z7" s="7"/>
      <c r="AA7" s="7"/>
      <c r="AB7" s="7"/>
      <c r="AC7" s="7"/>
    </row>
    <row r="8" spans="1:29" hidden="1" x14ac:dyDescent="0.2">
      <c r="A8" s="8"/>
      <c r="B8" s="8"/>
      <c r="C8" s="8"/>
      <c r="D8" s="8"/>
      <c r="E8" s="8"/>
      <c r="F8" s="8"/>
      <c r="G8" s="8"/>
      <c r="H8" s="214"/>
      <c r="I8" s="53"/>
      <c r="J8" s="53"/>
      <c r="K8" s="53"/>
      <c r="L8" s="53"/>
      <c r="M8" s="53"/>
      <c r="N8" s="53"/>
      <c r="O8" s="53"/>
      <c r="P8" s="53"/>
      <c r="Q8" s="169"/>
      <c r="R8" s="7"/>
      <c r="S8" s="7"/>
      <c r="T8" s="7"/>
      <c r="U8" s="7"/>
      <c r="V8" s="7"/>
      <c r="W8" s="7"/>
      <c r="X8" s="7"/>
      <c r="Y8" s="7"/>
      <c r="Z8" s="7"/>
      <c r="AA8" s="7"/>
      <c r="AB8" s="7"/>
      <c r="AC8" s="7"/>
    </row>
    <row r="9" spans="1:29" x14ac:dyDescent="0.2">
      <c r="A9" s="8"/>
      <c r="B9" s="8"/>
      <c r="C9" s="8"/>
      <c r="D9" s="8"/>
      <c r="E9" s="8"/>
      <c r="F9" s="8"/>
      <c r="G9" s="8"/>
      <c r="H9" s="214"/>
      <c r="I9" s="53"/>
      <c r="J9" s="53"/>
      <c r="K9" s="53"/>
      <c r="L9" s="53"/>
      <c r="M9" s="53"/>
      <c r="N9" s="53"/>
      <c r="O9" s="53"/>
      <c r="P9" s="53"/>
      <c r="Q9" s="169"/>
      <c r="R9" s="7"/>
      <c r="S9" s="7"/>
      <c r="T9" s="7"/>
      <c r="U9" s="7"/>
      <c r="V9" s="7"/>
      <c r="W9" s="7"/>
      <c r="X9" s="7"/>
      <c r="Y9" s="7"/>
      <c r="Z9" s="7"/>
      <c r="AA9" s="7"/>
      <c r="AB9" s="7"/>
      <c r="AC9" s="7"/>
    </row>
    <row r="10" spans="1:29" s="174" customFormat="1" ht="45" customHeight="1" x14ac:dyDescent="0.2">
      <c r="A10" s="649" t="s">
        <v>452</v>
      </c>
      <c r="B10" s="649"/>
      <c r="C10" s="649"/>
      <c r="D10" s="649"/>
      <c r="E10" s="649"/>
      <c r="F10" s="649"/>
      <c r="G10" s="389" t="s">
        <v>46</v>
      </c>
      <c r="H10" s="150"/>
      <c r="I10" s="95" t="s">
        <v>453</v>
      </c>
      <c r="J10" s="95" t="s">
        <v>454</v>
      </c>
      <c r="K10" s="624" t="s">
        <v>1476</v>
      </c>
      <c r="L10" s="624" t="s">
        <v>1478</v>
      </c>
      <c r="M10" s="95" t="s">
        <v>455</v>
      </c>
      <c r="N10" s="95" t="s">
        <v>456</v>
      </c>
      <c r="O10" s="95" t="s">
        <v>457</v>
      </c>
      <c r="P10" s="95" t="s">
        <v>458</v>
      </c>
      <c r="Q10" s="95" t="s">
        <v>144</v>
      </c>
      <c r="R10" s="173"/>
      <c r="S10" s="173"/>
      <c r="T10" s="173"/>
      <c r="U10" s="173"/>
      <c r="V10" s="173"/>
      <c r="W10" s="173"/>
      <c r="X10" s="173"/>
      <c r="Y10" s="173"/>
      <c r="Z10" s="173"/>
      <c r="AA10" s="173"/>
      <c r="AB10" s="173"/>
      <c r="AC10" s="173"/>
    </row>
    <row r="11" spans="1:29" x14ac:dyDescent="0.2">
      <c r="A11" s="406" t="s">
        <v>459</v>
      </c>
      <c r="B11" s="406"/>
      <c r="C11" s="406"/>
      <c r="D11" s="406"/>
      <c r="E11" s="406"/>
      <c r="F11" s="407"/>
      <c r="G11" s="404"/>
      <c r="H11" s="175"/>
      <c r="I11" s="238"/>
      <c r="J11" s="238"/>
      <c r="K11" s="238"/>
      <c r="L11" s="239"/>
      <c r="M11" s="239"/>
      <c r="N11" s="239"/>
      <c r="O11" s="239"/>
      <c r="P11" s="239"/>
      <c r="Q11" s="239"/>
      <c r="R11" s="9"/>
      <c r="S11" s="9"/>
      <c r="T11" s="9"/>
      <c r="U11" s="9"/>
      <c r="V11" s="9"/>
      <c r="W11" s="9"/>
      <c r="X11" s="9"/>
      <c r="Y11" s="9"/>
      <c r="Z11" s="9"/>
      <c r="AA11" s="9"/>
      <c r="AB11" s="9"/>
      <c r="AC11" s="9"/>
    </row>
    <row r="12" spans="1:29" x14ac:dyDescent="0.2">
      <c r="A12" s="268" t="s">
        <v>161</v>
      </c>
      <c r="B12" s="268"/>
      <c r="C12" s="268"/>
      <c r="D12" s="268"/>
      <c r="E12" s="268"/>
      <c r="F12" s="269" t="s">
        <v>648</v>
      </c>
      <c r="G12" s="282" t="s">
        <v>649</v>
      </c>
      <c r="H12" s="175"/>
      <c r="I12" s="182"/>
      <c r="J12" s="182"/>
      <c r="K12" s="182"/>
      <c r="L12" s="183"/>
      <c r="M12" s="183"/>
      <c r="N12" s="183"/>
      <c r="O12" s="183"/>
      <c r="P12" s="183"/>
      <c r="Q12" s="216">
        <f>I12+J12+K12+L12+M12+N12+O12+P12</f>
        <v>0</v>
      </c>
      <c r="R12" s="9"/>
      <c r="S12" s="9"/>
      <c r="T12" s="9"/>
      <c r="U12" s="9"/>
      <c r="V12" s="9"/>
      <c r="W12" s="9"/>
      <c r="X12" s="9"/>
      <c r="Y12" s="9"/>
      <c r="Z12" s="9"/>
      <c r="AA12" s="9"/>
      <c r="AB12" s="9"/>
      <c r="AC12" s="9"/>
    </row>
    <row r="13" spans="1:29" x14ac:dyDescent="0.2">
      <c r="A13" s="268"/>
      <c r="B13" s="268"/>
      <c r="C13" s="268"/>
      <c r="D13" s="268"/>
      <c r="E13" s="268"/>
      <c r="F13" s="269"/>
      <c r="G13" s="282"/>
      <c r="H13" s="267"/>
      <c r="I13" s="270"/>
      <c r="J13" s="270"/>
      <c r="K13" s="270"/>
      <c r="L13" s="271"/>
      <c r="M13" s="271"/>
      <c r="N13" s="271"/>
      <c r="O13" s="271"/>
      <c r="P13" s="271"/>
      <c r="Q13" s="216"/>
      <c r="R13" s="9"/>
      <c r="S13" s="9"/>
      <c r="T13" s="9"/>
      <c r="U13" s="9"/>
      <c r="V13" s="9"/>
      <c r="W13" s="9"/>
      <c r="X13" s="9"/>
      <c r="Y13" s="9"/>
      <c r="Z13" s="9"/>
      <c r="AA13" s="9"/>
      <c r="AB13" s="9"/>
      <c r="AC13" s="9"/>
    </row>
    <row r="14" spans="1:29" x14ac:dyDescent="0.2">
      <c r="A14" s="268" t="s">
        <v>164</v>
      </c>
      <c r="B14" s="268"/>
      <c r="C14" s="268"/>
      <c r="D14" s="268"/>
      <c r="E14" s="268"/>
      <c r="F14" s="399" t="s">
        <v>460</v>
      </c>
      <c r="G14" s="282" t="s">
        <v>588</v>
      </c>
      <c r="H14" s="175"/>
      <c r="I14" s="182"/>
      <c r="J14" s="182"/>
      <c r="K14" s="182"/>
      <c r="L14" s="183"/>
      <c r="M14" s="183"/>
      <c r="N14" s="183"/>
      <c r="O14" s="183"/>
      <c r="P14" s="183"/>
      <c r="Q14" s="216">
        <f>I14+J14+K14+L14+M14+N14+O14+P14</f>
        <v>0</v>
      </c>
      <c r="R14" s="9"/>
      <c r="S14" s="9"/>
      <c r="T14" s="9"/>
      <c r="U14" s="9"/>
      <c r="V14" s="9"/>
      <c r="W14" s="9"/>
      <c r="X14" s="9"/>
      <c r="Y14" s="9"/>
      <c r="Z14" s="9"/>
      <c r="AA14" s="9"/>
      <c r="AB14" s="9"/>
      <c r="AC14" s="9"/>
    </row>
    <row r="15" spans="1:29" ht="11.25" customHeight="1" x14ac:dyDescent="0.2">
      <c r="A15" s="387"/>
      <c r="B15" s="387"/>
      <c r="C15" s="387"/>
      <c r="D15" s="387"/>
      <c r="E15" s="387"/>
      <c r="F15" s="387"/>
      <c r="G15" s="392"/>
      <c r="H15" s="177"/>
      <c r="I15" s="143"/>
      <c r="J15" s="143"/>
      <c r="K15" s="143"/>
      <c r="L15" s="143"/>
      <c r="M15" s="143"/>
      <c r="N15" s="143"/>
      <c r="O15" s="143"/>
      <c r="P15" s="143"/>
      <c r="Q15" s="217"/>
    </row>
    <row r="16" spans="1:29" ht="22.5" x14ac:dyDescent="0.2">
      <c r="A16" s="311" t="s">
        <v>207</v>
      </c>
      <c r="B16" s="388"/>
      <c r="C16" s="388"/>
      <c r="D16" s="388"/>
      <c r="E16" s="388"/>
      <c r="F16" s="401" t="s">
        <v>461</v>
      </c>
      <c r="G16" s="283" t="s">
        <v>589</v>
      </c>
      <c r="H16" s="178"/>
      <c r="I16" s="56">
        <f>I17+I20</f>
        <v>0</v>
      </c>
      <c r="J16" s="56">
        <f>J17+J20</f>
        <v>0</v>
      </c>
      <c r="K16" s="56">
        <f>K17+K20</f>
        <v>0</v>
      </c>
      <c r="L16" s="56">
        <f>L17+L20</f>
        <v>0</v>
      </c>
      <c r="M16" s="139"/>
      <c r="N16" s="139"/>
      <c r="O16" s="139"/>
      <c r="P16" s="139"/>
      <c r="Q16" s="216">
        <f>I16+J16+K16+L16+M16+N16+O16+P16</f>
        <v>0</v>
      </c>
    </row>
    <row r="17" spans="1:17" x14ac:dyDescent="0.2">
      <c r="A17" s="311"/>
      <c r="B17" s="388"/>
      <c r="C17" s="388"/>
      <c r="D17" s="388"/>
      <c r="E17" s="388"/>
      <c r="F17" s="400" t="s">
        <v>667</v>
      </c>
      <c r="G17" s="317" t="s">
        <v>655</v>
      </c>
      <c r="H17" s="178"/>
      <c r="I17" s="56">
        <f>I18+I19</f>
        <v>0</v>
      </c>
      <c r="J17" s="56">
        <f>J18+J19</f>
        <v>0</v>
      </c>
      <c r="K17" s="56">
        <f>K18+K19</f>
        <v>0</v>
      </c>
      <c r="L17" s="56">
        <f>L18+L19</f>
        <v>0</v>
      </c>
      <c r="M17" s="139"/>
      <c r="N17" s="139"/>
      <c r="O17" s="139"/>
      <c r="P17" s="139"/>
      <c r="Q17" s="216">
        <f>I17+J17+K17+L17+M17+N17+O17+P17</f>
        <v>0</v>
      </c>
    </row>
    <row r="18" spans="1:17" x14ac:dyDescent="0.2">
      <c r="A18" s="388"/>
      <c r="B18" s="388"/>
      <c r="C18" s="388"/>
      <c r="D18" s="388"/>
      <c r="E18" s="388"/>
      <c r="F18" s="387" t="s">
        <v>668</v>
      </c>
      <c r="G18" s="317" t="s">
        <v>656</v>
      </c>
      <c r="H18" s="178"/>
      <c r="I18" s="58"/>
      <c r="J18" s="58"/>
      <c r="K18" s="58"/>
      <c r="L18" s="58"/>
      <c r="M18" s="139"/>
      <c r="N18" s="139"/>
      <c r="O18" s="139"/>
      <c r="P18" s="139"/>
      <c r="Q18" s="216">
        <f>I18+J18+K18+L18+M18+N18+O18+P18</f>
        <v>0</v>
      </c>
    </row>
    <row r="19" spans="1:17" x14ac:dyDescent="0.2">
      <c r="A19" s="388"/>
      <c r="B19" s="388"/>
      <c r="C19" s="388"/>
      <c r="D19" s="388"/>
      <c r="E19" s="388"/>
      <c r="F19" s="387" t="s">
        <v>669</v>
      </c>
      <c r="G19" s="317" t="s">
        <v>657</v>
      </c>
      <c r="H19" s="178"/>
      <c r="I19" s="58"/>
      <c r="J19" s="58"/>
      <c r="K19" s="58"/>
      <c r="L19" s="58"/>
      <c r="M19" s="139"/>
      <c r="N19" s="139"/>
      <c r="O19" s="139"/>
      <c r="P19" s="139"/>
      <c r="Q19" s="216">
        <f>I19+J19+K19+L19+M19+N19+O19+P19</f>
        <v>0</v>
      </c>
    </row>
    <row r="20" spans="1:17" x14ac:dyDescent="0.2">
      <c r="A20" s="388"/>
      <c r="B20" s="388"/>
      <c r="C20" s="388"/>
      <c r="D20" s="388"/>
      <c r="E20" s="388"/>
      <c r="F20" s="387" t="s">
        <v>653</v>
      </c>
      <c r="G20" s="317" t="s">
        <v>658</v>
      </c>
      <c r="H20" s="178"/>
      <c r="I20" s="58"/>
      <c r="J20" s="58"/>
      <c r="K20" s="58"/>
      <c r="L20" s="58"/>
      <c r="M20" s="139"/>
      <c r="N20" s="139"/>
      <c r="O20" s="139"/>
      <c r="P20" s="139"/>
      <c r="Q20" s="216">
        <f>I20+J20+K20+L20+M20+N20+O20+P20</f>
        <v>0</v>
      </c>
    </row>
    <row r="21" spans="1:17" x14ac:dyDescent="0.2">
      <c r="A21" s="387"/>
      <c r="B21" s="387"/>
      <c r="C21" s="387"/>
      <c r="D21" s="387"/>
      <c r="E21" s="387"/>
      <c r="F21" s="387"/>
      <c r="G21" s="282"/>
      <c r="H21" s="177"/>
      <c r="I21" s="143"/>
      <c r="J21" s="143"/>
      <c r="K21" s="143"/>
      <c r="L21" s="143"/>
      <c r="M21" s="143"/>
      <c r="N21" s="143"/>
      <c r="O21" s="143"/>
      <c r="P21" s="143"/>
      <c r="Q21" s="217"/>
    </row>
    <row r="22" spans="1:17" ht="22.5" x14ac:dyDescent="0.2">
      <c r="A22" s="311" t="s">
        <v>209</v>
      </c>
      <c r="B22" s="311"/>
      <c r="C22" s="311"/>
      <c r="D22" s="311"/>
      <c r="E22" s="311"/>
      <c r="F22" s="401" t="s">
        <v>464</v>
      </c>
      <c r="G22" s="283" t="s">
        <v>590</v>
      </c>
      <c r="H22" s="179"/>
      <c r="I22" s="56">
        <f t="shared" ref="I22:P22" si="0">I23+I24</f>
        <v>0</v>
      </c>
      <c r="J22" s="56">
        <f t="shared" si="0"/>
        <v>0</v>
      </c>
      <c r="K22" s="56">
        <f>K23+K24</f>
        <v>0</v>
      </c>
      <c r="L22" s="56">
        <f t="shared" si="0"/>
        <v>0</v>
      </c>
      <c r="M22" s="56">
        <f t="shared" si="0"/>
        <v>0</v>
      </c>
      <c r="N22" s="56">
        <f t="shared" si="0"/>
        <v>0</v>
      </c>
      <c r="O22" s="56">
        <f t="shared" si="0"/>
        <v>0</v>
      </c>
      <c r="P22" s="56">
        <f t="shared" si="0"/>
        <v>0</v>
      </c>
      <c r="Q22" s="216">
        <f>I22+J22+K22+L22+M22+N22+O22+P22</f>
        <v>0</v>
      </c>
    </row>
    <row r="23" spans="1:17" x14ac:dyDescent="0.2">
      <c r="A23" s="311"/>
      <c r="B23" s="311"/>
      <c r="C23" s="311"/>
      <c r="D23" s="311"/>
      <c r="E23" s="311"/>
      <c r="F23" s="387" t="s">
        <v>462</v>
      </c>
      <c r="G23" s="282" t="s">
        <v>591</v>
      </c>
      <c r="H23" s="178"/>
      <c r="I23" s="58"/>
      <c r="J23" s="58"/>
      <c r="K23" s="58"/>
      <c r="L23" s="58"/>
      <c r="M23" s="58"/>
      <c r="N23" s="58"/>
      <c r="O23" s="58"/>
      <c r="P23" s="58"/>
      <c r="Q23" s="216">
        <f>I23+J23+K23+L23+M23+N23+O23+P23</f>
        <v>0</v>
      </c>
    </row>
    <row r="24" spans="1:17" x14ac:dyDescent="0.2">
      <c r="A24" s="311"/>
      <c r="B24" s="311"/>
      <c r="C24" s="311"/>
      <c r="D24" s="311"/>
      <c r="E24" s="311"/>
      <c r="F24" s="387" t="s">
        <v>463</v>
      </c>
      <c r="G24" s="282" t="s">
        <v>619</v>
      </c>
      <c r="H24" s="178"/>
      <c r="I24" s="58"/>
      <c r="J24" s="58"/>
      <c r="K24" s="58"/>
      <c r="L24" s="58"/>
      <c r="M24" s="58"/>
      <c r="N24" s="58"/>
      <c r="O24" s="58"/>
      <c r="P24" s="58"/>
      <c r="Q24" s="216">
        <f>I24+J24+K24+L24+M24+N24+O24+P24</f>
        <v>0</v>
      </c>
    </row>
    <row r="25" spans="1:17" x14ac:dyDescent="0.2">
      <c r="A25" s="387"/>
      <c r="B25" s="387"/>
      <c r="C25" s="387"/>
      <c r="D25" s="387"/>
      <c r="E25" s="387"/>
      <c r="F25" s="387"/>
      <c r="G25" s="282"/>
      <c r="H25" s="177"/>
      <c r="I25" s="143"/>
      <c r="J25" s="143"/>
      <c r="K25" s="143"/>
      <c r="L25" s="143"/>
      <c r="M25" s="143"/>
      <c r="N25" s="143"/>
      <c r="O25" s="143"/>
      <c r="P25" s="143"/>
      <c r="Q25" s="217"/>
    </row>
    <row r="26" spans="1:17" ht="22.5" x14ac:dyDescent="0.2">
      <c r="A26" s="272" t="s">
        <v>465</v>
      </c>
      <c r="B26" s="273"/>
      <c r="C26" s="273"/>
      <c r="D26" s="273"/>
      <c r="E26" s="273"/>
      <c r="F26" s="274" t="s">
        <v>659</v>
      </c>
      <c r="G26" s="283" t="s">
        <v>592</v>
      </c>
      <c r="H26" s="175"/>
      <c r="I26" s="56">
        <f t="shared" ref="I26:P26" si="1">I27+I28</f>
        <v>0</v>
      </c>
      <c r="J26" s="56">
        <f t="shared" si="1"/>
        <v>0</v>
      </c>
      <c r="K26" s="56">
        <f>K27+K28</f>
        <v>0</v>
      </c>
      <c r="L26" s="56">
        <f t="shared" si="1"/>
        <v>0</v>
      </c>
      <c r="M26" s="56">
        <f t="shared" si="1"/>
        <v>0</v>
      </c>
      <c r="N26" s="56">
        <f t="shared" si="1"/>
        <v>0</v>
      </c>
      <c r="O26" s="56">
        <f t="shared" si="1"/>
        <v>0</v>
      </c>
      <c r="P26" s="56">
        <f t="shared" si="1"/>
        <v>0</v>
      </c>
      <c r="Q26" s="216">
        <f>I26+J26+K26+L26+M26+N26+O26+P26</f>
        <v>0</v>
      </c>
    </row>
    <row r="27" spans="1:17" x14ac:dyDescent="0.2">
      <c r="A27" s="273"/>
      <c r="B27" s="273"/>
      <c r="C27" s="273"/>
      <c r="D27" s="273"/>
      <c r="E27" s="273"/>
      <c r="F27" s="387" t="s">
        <v>462</v>
      </c>
      <c r="G27" s="282" t="s">
        <v>593</v>
      </c>
      <c r="H27" s="178"/>
      <c r="I27" s="58"/>
      <c r="J27" s="58"/>
      <c r="K27" s="58"/>
      <c r="L27" s="58"/>
      <c r="M27" s="58"/>
      <c r="N27" s="58"/>
      <c r="O27" s="58"/>
      <c r="P27" s="58"/>
      <c r="Q27" s="216">
        <f>I27+J27+K27+L27+M27+N27+O27+P27</f>
        <v>0</v>
      </c>
    </row>
    <row r="28" spans="1:17" x14ac:dyDescent="0.2">
      <c r="A28" s="273"/>
      <c r="B28" s="273"/>
      <c r="C28" s="273"/>
      <c r="D28" s="273"/>
      <c r="E28" s="273"/>
      <c r="F28" s="387" t="s">
        <v>463</v>
      </c>
      <c r="G28" s="282" t="s">
        <v>594</v>
      </c>
      <c r="H28" s="178"/>
      <c r="I28" s="58"/>
      <c r="J28" s="58"/>
      <c r="K28" s="58"/>
      <c r="L28" s="58"/>
      <c r="M28" s="58"/>
      <c r="N28" s="58"/>
      <c r="O28" s="58"/>
      <c r="P28" s="58"/>
      <c r="Q28" s="216">
        <f>I28+J28+K28+L28+M28+N28+O28+P28</f>
        <v>0</v>
      </c>
    </row>
    <row r="29" spans="1:17" x14ac:dyDescent="0.2">
      <c r="A29" s="276"/>
      <c r="B29" s="276"/>
      <c r="C29" s="276"/>
      <c r="D29" s="276"/>
      <c r="E29" s="276"/>
      <c r="F29" s="276"/>
      <c r="G29" s="282"/>
      <c r="H29" s="180"/>
      <c r="I29" s="143"/>
      <c r="J29" s="143"/>
      <c r="K29" s="143"/>
      <c r="L29" s="143"/>
      <c r="M29" s="143"/>
      <c r="N29" s="143"/>
      <c r="O29" s="143"/>
      <c r="P29" s="143"/>
      <c r="Q29" s="217"/>
    </row>
    <row r="30" spans="1:17" x14ac:dyDescent="0.2">
      <c r="A30" s="273" t="s">
        <v>467</v>
      </c>
      <c r="B30" s="273"/>
      <c r="C30" s="273"/>
      <c r="D30" s="273"/>
      <c r="E30" s="273"/>
      <c r="F30" s="387" t="s">
        <v>466</v>
      </c>
      <c r="G30" s="282" t="s">
        <v>595</v>
      </c>
      <c r="H30" s="178"/>
      <c r="I30" s="56">
        <f t="shared" ref="I30:P30" si="2">I31+I32</f>
        <v>0</v>
      </c>
      <c r="J30" s="56">
        <f t="shared" si="2"/>
        <v>0</v>
      </c>
      <c r="K30" s="56">
        <f>K31+K32</f>
        <v>0</v>
      </c>
      <c r="L30" s="56">
        <f t="shared" si="2"/>
        <v>0</v>
      </c>
      <c r="M30" s="56">
        <f t="shared" si="2"/>
        <v>0</v>
      </c>
      <c r="N30" s="56">
        <f t="shared" si="2"/>
        <v>0</v>
      </c>
      <c r="O30" s="56">
        <f t="shared" si="2"/>
        <v>0</v>
      </c>
      <c r="P30" s="56">
        <f t="shared" si="2"/>
        <v>0</v>
      </c>
      <c r="Q30" s="216">
        <f>I30+J30+K30+L30+M30+N30+O30+P30</f>
        <v>0</v>
      </c>
    </row>
    <row r="31" spans="1:17" x14ac:dyDescent="0.2">
      <c r="A31" s="273"/>
      <c r="B31" s="273"/>
      <c r="C31" s="273"/>
      <c r="D31" s="273"/>
      <c r="E31" s="273"/>
      <c r="F31" s="387" t="s">
        <v>462</v>
      </c>
      <c r="G31" s="282" t="s">
        <v>620</v>
      </c>
      <c r="H31" s="178"/>
      <c r="I31" s="58"/>
      <c r="J31" s="58"/>
      <c r="K31" s="58"/>
      <c r="L31" s="58"/>
      <c r="M31" s="58"/>
      <c r="N31" s="58"/>
      <c r="O31" s="58"/>
      <c r="P31" s="58"/>
      <c r="Q31" s="216">
        <f>I31+J31+K31+L31+M31+N31+O31+P31</f>
        <v>0</v>
      </c>
    </row>
    <row r="32" spans="1:17" x14ac:dyDescent="0.2">
      <c r="A32" s="273"/>
      <c r="B32" s="273"/>
      <c r="C32" s="273"/>
      <c r="D32" s="273"/>
      <c r="E32" s="273"/>
      <c r="F32" s="387" t="s">
        <v>463</v>
      </c>
      <c r="G32" s="282" t="s">
        <v>596</v>
      </c>
      <c r="H32" s="178"/>
      <c r="I32" s="58"/>
      <c r="J32" s="58"/>
      <c r="K32" s="58"/>
      <c r="L32" s="58"/>
      <c r="M32" s="58"/>
      <c r="N32" s="58"/>
      <c r="O32" s="58"/>
      <c r="P32" s="58"/>
      <c r="Q32" s="216">
        <f>I32+J32+K32+L32+M32+N32+O32+P32</f>
        <v>0</v>
      </c>
    </row>
    <row r="33" spans="1:17" x14ac:dyDescent="0.2">
      <c r="A33" s="276"/>
      <c r="B33" s="276"/>
      <c r="C33" s="276"/>
      <c r="D33" s="276"/>
      <c r="E33" s="276"/>
      <c r="F33" s="387"/>
      <c r="G33" s="282"/>
      <c r="H33" s="177"/>
      <c r="I33" s="143"/>
      <c r="J33" s="143"/>
      <c r="K33" s="143"/>
      <c r="L33" s="143"/>
      <c r="M33" s="143"/>
      <c r="N33" s="143"/>
      <c r="O33" s="143"/>
      <c r="P33" s="143"/>
      <c r="Q33" s="217"/>
    </row>
    <row r="34" spans="1:17" x14ac:dyDescent="0.2">
      <c r="A34" s="273" t="s">
        <v>469</v>
      </c>
      <c r="B34" s="273"/>
      <c r="C34" s="273"/>
      <c r="D34" s="273"/>
      <c r="E34" s="273"/>
      <c r="F34" s="387" t="s">
        <v>468</v>
      </c>
      <c r="G34" s="282" t="s">
        <v>597</v>
      </c>
      <c r="H34" s="178"/>
      <c r="I34" s="56">
        <f t="shared" ref="I34:P34" si="3">I35+I36</f>
        <v>0</v>
      </c>
      <c r="J34" s="56">
        <f t="shared" si="3"/>
        <v>0</v>
      </c>
      <c r="K34" s="56">
        <f>K35+K36</f>
        <v>0</v>
      </c>
      <c r="L34" s="56">
        <f t="shared" si="3"/>
        <v>0</v>
      </c>
      <c r="M34" s="56">
        <f t="shared" si="3"/>
        <v>0</v>
      </c>
      <c r="N34" s="56">
        <f t="shared" si="3"/>
        <v>0</v>
      </c>
      <c r="O34" s="56">
        <f t="shared" si="3"/>
        <v>0</v>
      </c>
      <c r="P34" s="56">
        <f t="shared" si="3"/>
        <v>0</v>
      </c>
      <c r="Q34" s="216">
        <f>I34+J34+K34+L34+M34+N34+O34+P34</f>
        <v>0</v>
      </c>
    </row>
    <row r="35" spans="1:17" x14ac:dyDescent="0.2">
      <c r="A35" s="276"/>
      <c r="B35" s="276"/>
      <c r="C35" s="276"/>
      <c r="D35" s="276"/>
      <c r="E35" s="276"/>
      <c r="F35" s="387" t="s">
        <v>462</v>
      </c>
      <c r="G35" s="282" t="s">
        <v>598</v>
      </c>
      <c r="H35" s="178"/>
      <c r="I35" s="58"/>
      <c r="J35" s="58"/>
      <c r="K35" s="58"/>
      <c r="L35" s="58"/>
      <c r="M35" s="58"/>
      <c r="N35" s="58"/>
      <c r="O35" s="58"/>
      <c r="P35" s="58"/>
      <c r="Q35" s="216">
        <f>I35+J35+K35+L35+M35+N35+O35+P35</f>
        <v>0</v>
      </c>
    </row>
    <row r="36" spans="1:17" x14ac:dyDescent="0.2">
      <c r="A36" s="276"/>
      <c r="B36" s="276"/>
      <c r="C36" s="276"/>
      <c r="D36" s="276"/>
      <c r="E36" s="276"/>
      <c r="F36" s="387" t="s">
        <v>463</v>
      </c>
      <c r="G36" s="282" t="s">
        <v>599</v>
      </c>
      <c r="H36" s="178"/>
      <c r="I36" s="58"/>
      <c r="J36" s="58"/>
      <c r="K36" s="58"/>
      <c r="L36" s="58"/>
      <c r="M36" s="58"/>
      <c r="N36" s="58"/>
      <c r="O36" s="58"/>
      <c r="P36" s="58"/>
      <c r="Q36" s="216">
        <f>I36+J36+K36+L36+M36+N36+O36+P36</f>
        <v>0</v>
      </c>
    </row>
    <row r="37" spans="1:17" x14ac:dyDescent="0.2">
      <c r="A37" s="276"/>
      <c r="B37" s="276"/>
      <c r="C37" s="276"/>
      <c r="D37" s="276"/>
      <c r="E37" s="276"/>
      <c r="F37" s="387"/>
      <c r="G37" s="282"/>
      <c r="H37" s="177"/>
      <c r="I37" s="143"/>
      <c r="J37" s="143"/>
      <c r="K37" s="143"/>
      <c r="L37" s="143"/>
      <c r="M37" s="143"/>
      <c r="N37" s="143"/>
      <c r="O37" s="143"/>
      <c r="P37" s="143"/>
      <c r="Q37" s="217"/>
    </row>
    <row r="38" spans="1:17" x14ac:dyDescent="0.2">
      <c r="A38" s="273" t="s">
        <v>471</v>
      </c>
      <c r="B38" s="273"/>
      <c r="C38" s="273"/>
      <c r="D38" s="273"/>
      <c r="E38" s="273"/>
      <c r="F38" s="276" t="s">
        <v>470</v>
      </c>
      <c r="G38" s="282" t="s">
        <v>600</v>
      </c>
      <c r="H38" s="175"/>
      <c r="I38" s="58"/>
      <c r="J38" s="58"/>
      <c r="K38" s="58"/>
      <c r="L38" s="58"/>
      <c r="M38" s="58"/>
      <c r="N38" s="58"/>
      <c r="O38" s="58"/>
      <c r="P38" s="58"/>
      <c r="Q38" s="216">
        <f>I38+J38+K38+L38+M38+N38+O38+P38</f>
        <v>0</v>
      </c>
    </row>
    <row r="39" spans="1:17" x14ac:dyDescent="0.2">
      <c r="A39" s="273"/>
      <c r="B39" s="273"/>
      <c r="C39" s="273"/>
      <c r="D39" s="273"/>
      <c r="E39" s="273"/>
      <c r="F39" s="276" t="s">
        <v>725</v>
      </c>
      <c r="G39" s="282" t="s">
        <v>726</v>
      </c>
      <c r="H39" s="175"/>
      <c r="I39" s="58"/>
      <c r="J39" s="58"/>
      <c r="K39" s="58"/>
      <c r="L39" s="58"/>
      <c r="M39" s="58"/>
      <c r="N39" s="58"/>
      <c r="O39" s="58"/>
      <c r="P39" s="58"/>
      <c r="Q39" s="216">
        <f>I39+J39+K39+L39+M39+N39+O39+P39</f>
        <v>0</v>
      </c>
    </row>
    <row r="40" spans="1:17" x14ac:dyDescent="0.2">
      <c r="A40" s="276"/>
      <c r="B40" s="276"/>
      <c r="C40" s="276"/>
      <c r="D40" s="276"/>
      <c r="E40" s="276"/>
      <c r="F40" s="276"/>
      <c r="G40" s="282"/>
      <c r="H40" s="180"/>
      <c r="I40" s="143"/>
      <c r="J40" s="143"/>
      <c r="K40" s="143"/>
      <c r="L40" s="143"/>
      <c r="M40" s="143"/>
      <c r="N40" s="143"/>
      <c r="O40" s="143"/>
      <c r="P40" s="143"/>
      <c r="Q40" s="217"/>
    </row>
    <row r="41" spans="1:17" ht="22.5" customHeight="1" x14ac:dyDescent="0.2">
      <c r="A41" s="272" t="s">
        <v>473</v>
      </c>
      <c r="B41" s="272"/>
      <c r="C41" s="272"/>
      <c r="D41" s="272"/>
      <c r="E41" s="272"/>
      <c r="F41" s="401" t="s">
        <v>472</v>
      </c>
      <c r="G41" s="283" t="s">
        <v>601</v>
      </c>
      <c r="H41" s="179"/>
      <c r="I41" s="183"/>
      <c r="J41" s="183"/>
      <c r="K41" s="183"/>
      <c r="L41" s="183"/>
      <c r="M41" s="58"/>
      <c r="N41" s="58"/>
      <c r="O41" s="58"/>
      <c r="P41" s="58"/>
      <c r="Q41" s="216">
        <f>I41+J41+K41+L41+M41+N41+O41+P41</f>
        <v>0</v>
      </c>
    </row>
    <row r="42" spans="1:17" x14ac:dyDescent="0.2">
      <c r="A42" s="347"/>
      <c r="B42" s="347"/>
      <c r="C42" s="347"/>
      <c r="D42" s="347"/>
      <c r="E42" s="347"/>
      <c r="F42" s="401"/>
      <c r="G42" s="282"/>
      <c r="H42" s="181"/>
      <c r="I42" s="187"/>
      <c r="J42" s="187"/>
      <c r="K42" s="187"/>
      <c r="L42" s="187"/>
      <c r="M42" s="143"/>
      <c r="N42" s="143"/>
      <c r="O42" s="143"/>
      <c r="P42" s="143"/>
      <c r="Q42" s="217"/>
    </row>
    <row r="43" spans="1:17" x14ac:dyDescent="0.2">
      <c r="A43" s="272" t="s">
        <v>476</v>
      </c>
      <c r="B43" s="272"/>
      <c r="C43" s="272"/>
      <c r="D43" s="272"/>
      <c r="E43" s="272"/>
      <c r="F43" s="401" t="s">
        <v>475</v>
      </c>
      <c r="G43" s="282" t="s">
        <v>602</v>
      </c>
      <c r="H43" s="179"/>
      <c r="I43" s="183"/>
      <c r="J43" s="183"/>
      <c r="K43" s="183"/>
      <c r="L43" s="183"/>
      <c r="M43" s="58"/>
      <c r="N43" s="58"/>
      <c r="O43" s="58"/>
      <c r="P43" s="58"/>
      <c r="Q43" s="216">
        <f>I43+J43+K43+L43+M43+N43+O43+P43</f>
        <v>0</v>
      </c>
    </row>
    <row r="44" spans="1:17" x14ac:dyDescent="0.2">
      <c r="A44" s="347"/>
      <c r="B44" s="347"/>
      <c r="C44" s="347"/>
      <c r="D44" s="347"/>
      <c r="E44" s="347"/>
      <c r="F44" s="408"/>
      <c r="G44" s="404"/>
      <c r="H44" s="181"/>
      <c r="I44" s="187"/>
      <c r="J44" s="187"/>
      <c r="K44" s="187"/>
      <c r="L44" s="187"/>
      <c r="M44" s="143"/>
      <c r="N44" s="143"/>
      <c r="O44" s="143"/>
      <c r="P44" s="143"/>
      <c r="Q44" s="217"/>
    </row>
    <row r="45" spans="1:17" x14ac:dyDescent="0.2">
      <c r="A45" s="272" t="s">
        <v>478</v>
      </c>
      <c r="B45" s="272"/>
      <c r="C45" s="272"/>
      <c r="D45" s="272"/>
      <c r="E45" s="272"/>
      <c r="F45" s="276" t="s">
        <v>479</v>
      </c>
      <c r="G45" s="282" t="s">
        <v>621</v>
      </c>
      <c r="H45" s="179"/>
      <c r="I45" s="183"/>
      <c r="J45" s="183"/>
      <c r="K45" s="183"/>
      <c r="L45" s="183"/>
      <c r="M45" s="58"/>
      <c r="N45" s="58"/>
      <c r="O45" s="58"/>
      <c r="P45" s="58"/>
      <c r="Q45" s="216">
        <f>I45+J45+K45+L45+M45+N45+O45+P45</f>
        <v>0</v>
      </c>
    </row>
    <row r="46" spans="1:17" x14ac:dyDescent="0.2">
      <c r="A46" s="272"/>
      <c r="B46" s="272"/>
      <c r="C46" s="272"/>
      <c r="D46" s="272"/>
      <c r="E46" s="272"/>
      <c r="F46" s="401"/>
      <c r="G46" s="282"/>
      <c r="H46" s="181"/>
      <c r="I46" s="187"/>
      <c r="J46" s="187"/>
      <c r="K46" s="187"/>
      <c r="L46" s="187"/>
      <c r="M46" s="143"/>
      <c r="N46" s="143"/>
      <c r="O46" s="143"/>
      <c r="P46" s="143"/>
      <c r="Q46" s="217"/>
    </row>
    <row r="47" spans="1:17" x14ac:dyDescent="0.2">
      <c r="A47" s="273" t="s">
        <v>552</v>
      </c>
      <c r="B47" s="273"/>
      <c r="C47" s="273"/>
      <c r="D47" s="273"/>
      <c r="E47" s="273"/>
      <c r="F47" s="401" t="s">
        <v>477</v>
      </c>
      <c r="G47" s="282" t="s">
        <v>604</v>
      </c>
      <c r="H47" s="175"/>
      <c r="I47" s="58"/>
      <c r="J47" s="58"/>
      <c r="K47" s="58"/>
      <c r="L47" s="58"/>
      <c r="M47" s="58"/>
      <c r="N47" s="58"/>
      <c r="O47" s="58"/>
      <c r="P47" s="58"/>
      <c r="Q47" s="216">
        <f>I47+J47+K47+L47+M47+N47+O47+P47</f>
        <v>0</v>
      </c>
    </row>
    <row r="48" spans="1:17" x14ac:dyDescent="0.2">
      <c r="A48" s="272"/>
      <c r="B48" s="272"/>
      <c r="C48" s="272"/>
      <c r="D48" s="272"/>
      <c r="E48" s="272"/>
      <c r="F48" s="401"/>
      <c r="G48" s="282"/>
      <c r="H48" s="181"/>
      <c r="I48" s="187"/>
      <c r="J48" s="187"/>
      <c r="K48" s="187"/>
      <c r="L48" s="187"/>
      <c r="M48" s="143"/>
      <c r="N48" s="143"/>
      <c r="O48" s="143"/>
      <c r="P48" s="143"/>
      <c r="Q48" s="217"/>
    </row>
    <row r="49" spans="1:17" ht="22.5" x14ac:dyDescent="0.2">
      <c r="A49" s="272" t="s">
        <v>654</v>
      </c>
      <c r="B49" s="273"/>
      <c r="C49" s="273"/>
      <c r="D49" s="273"/>
      <c r="E49" s="273"/>
      <c r="F49" s="275" t="s">
        <v>617</v>
      </c>
      <c r="G49" s="283" t="s">
        <v>605</v>
      </c>
      <c r="H49" s="175"/>
      <c r="I49" s="58"/>
      <c r="J49" s="58"/>
      <c r="K49" s="58"/>
      <c r="L49" s="58"/>
      <c r="M49" s="58"/>
      <c r="N49" s="58"/>
      <c r="O49" s="58"/>
      <c r="P49" s="58"/>
      <c r="Q49" s="216">
        <f>I49+J49+K49+L49+M49+N49+O49+P49</f>
        <v>0</v>
      </c>
    </row>
    <row r="50" spans="1:17" x14ac:dyDescent="0.2">
      <c r="A50" s="272"/>
      <c r="B50" s="273"/>
      <c r="C50" s="273"/>
      <c r="D50" s="273"/>
      <c r="E50" s="273"/>
      <c r="F50" s="275"/>
      <c r="G50" s="283"/>
      <c r="H50" s="267"/>
      <c r="I50" s="266"/>
      <c r="J50" s="266"/>
      <c r="K50" s="266"/>
      <c r="L50" s="266"/>
      <c r="M50" s="266"/>
      <c r="N50" s="266"/>
      <c r="O50" s="266"/>
      <c r="P50" s="266"/>
      <c r="Q50" s="216"/>
    </row>
    <row r="51" spans="1:17" x14ac:dyDescent="0.2">
      <c r="A51" s="272" t="s">
        <v>660</v>
      </c>
      <c r="B51" s="273"/>
      <c r="C51" s="273"/>
      <c r="D51" s="273"/>
      <c r="E51" s="273"/>
      <c r="F51" s="274" t="s">
        <v>52</v>
      </c>
      <c r="G51" s="283" t="s">
        <v>661</v>
      </c>
      <c r="H51" s="175"/>
      <c r="I51" s="58"/>
      <c r="J51" s="58"/>
      <c r="K51" s="58"/>
      <c r="L51" s="58"/>
      <c r="M51" s="58"/>
      <c r="N51" s="58"/>
      <c r="O51" s="58"/>
      <c r="P51" s="58"/>
      <c r="Q51" s="216">
        <f>I51+J51+K51+L51+M51+N51+O51+P51</f>
        <v>0</v>
      </c>
    </row>
    <row r="52" spans="1:17" x14ac:dyDescent="0.2">
      <c r="A52" s="272"/>
      <c r="B52" s="273"/>
      <c r="C52" s="273"/>
      <c r="D52" s="273"/>
      <c r="E52" s="273"/>
      <c r="F52" s="275"/>
      <c r="G52" s="283"/>
      <c r="H52" s="267"/>
      <c r="I52" s="266"/>
      <c r="J52" s="266"/>
      <c r="K52" s="266"/>
      <c r="L52" s="266"/>
      <c r="M52" s="266"/>
      <c r="N52" s="266"/>
      <c r="O52" s="266"/>
      <c r="P52" s="266"/>
      <c r="Q52" s="216"/>
    </row>
    <row r="53" spans="1:17" x14ac:dyDescent="0.2">
      <c r="A53" s="403" t="s">
        <v>480</v>
      </c>
      <c r="B53" s="403"/>
      <c r="C53" s="403"/>
      <c r="D53" s="403"/>
      <c r="E53" s="403"/>
      <c r="F53" s="276"/>
      <c r="G53" s="282" t="s">
        <v>585</v>
      </c>
      <c r="H53" s="175"/>
      <c r="I53" s="56">
        <f>I12+I14+I16+I22+I26+I30+I34+I38+I41+I43+I45+I47+I49+I51</f>
        <v>0</v>
      </c>
      <c r="J53" s="56">
        <f t="shared" ref="J53:P53" si="4">J12+J14+J16+J22+J26+J30+J34+J38+J41+J43+J45+J47+J49+J51</f>
        <v>0</v>
      </c>
      <c r="K53" s="56">
        <f>K12+K14+K16+K22+K26+K30+K34+K38+K41+K43+K45+K47+K49+K51</f>
        <v>0</v>
      </c>
      <c r="L53" s="56">
        <f t="shared" si="4"/>
        <v>0</v>
      </c>
      <c r="M53" s="56">
        <f t="shared" si="4"/>
        <v>0</v>
      </c>
      <c r="N53" s="56">
        <f t="shared" si="4"/>
        <v>0</v>
      </c>
      <c r="O53" s="56">
        <f t="shared" si="4"/>
        <v>0</v>
      </c>
      <c r="P53" s="56">
        <f t="shared" si="4"/>
        <v>0</v>
      </c>
      <c r="Q53" s="216">
        <f>I53+J53+K53+L53+M53+N53+O53+P53</f>
        <v>0</v>
      </c>
    </row>
    <row r="54" spans="1:17" x14ac:dyDescent="0.2">
      <c r="A54" s="403" t="s">
        <v>482</v>
      </c>
      <c r="B54" s="403"/>
      <c r="C54" s="403"/>
      <c r="D54" s="403"/>
      <c r="E54" s="403"/>
      <c r="F54" s="276"/>
      <c r="G54" s="404"/>
      <c r="H54" s="175"/>
      <c r="I54" s="164"/>
      <c r="J54" s="164"/>
      <c r="K54" s="164"/>
      <c r="L54" s="164"/>
      <c r="M54" s="164"/>
      <c r="N54" s="164"/>
      <c r="O54" s="164"/>
      <c r="P54" s="164"/>
      <c r="Q54" s="222"/>
    </row>
    <row r="55" spans="1:17" x14ac:dyDescent="0.2">
      <c r="A55" s="403"/>
      <c r="B55" s="403"/>
      <c r="C55" s="403"/>
      <c r="D55" s="403"/>
      <c r="E55" s="403"/>
      <c r="F55" s="276"/>
      <c r="G55" s="404"/>
      <c r="H55" s="180"/>
      <c r="I55" s="143"/>
      <c r="J55" s="143"/>
      <c r="K55" s="143"/>
      <c r="L55" s="143"/>
      <c r="M55" s="143"/>
      <c r="N55" s="143"/>
      <c r="O55" s="143"/>
      <c r="P55" s="143"/>
      <c r="Q55" s="217"/>
    </row>
    <row r="56" spans="1:17" x14ac:dyDescent="0.2">
      <c r="A56" s="273" t="s">
        <v>161</v>
      </c>
      <c r="B56" s="273"/>
      <c r="C56" s="273"/>
      <c r="D56" s="273"/>
      <c r="E56" s="273"/>
      <c r="F56" s="276" t="s">
        <v>483</v>
      </c>
      <c r="G56" s="282" t="s">
        <v>606</v>
      </c>
      <c r="H56" s="175"/>
      <c r="I56" s="58"/>
      <c r="J56" s="58"/>
      <c r="K56" s="58"/>
      <c r="L56" s="58"/>
      <c r="M56" s="164"/>
      <c r="N56" s="164"/>
      <c r="O56" s="164"/>
      <c r="P56" s="164"/>
      <c r="Q56" s="216">
        <f>I56+J56+K56+L56+M56+N56+O56+P56</f>
        <v>0</v>
      </c>
    </row>
    <row r="57" spans="1:17" x14ac:dyDescent="0.2">
      <c r="A57" s="403"/>
      <c r="B57" s="403"/>
      <c r="C57" s="403"/>
      <c r="D57" s="403"/>
      <c r="E57" s="403"/>
      <c r="F57" s="276"/>
      <c r="G57" s="404"/>
      <c r="H57" s="180"/>
      <c r="I57" s="143"/>
      <c r="J57" s="143"/>
      <c r="K57" s="143"/>
      <c r="L57" s="143"/>
      <c r="M57" s="143"/>
      <c r="N57" s="143"/>
      <c r="O57" s="143"/>
      <c r="P57" s="143"/>
      <c r="Q57" s="217"/>
    </row>
    <row r="58" spans="1:17" ht="22.5" x14ac:dyDescent="0.2">
      <c r="A58" s="272" t="s">
        <v>164</v>
      </c>
      <c r="B58" s="272"/>
      <c r="C58" s="272"/>
      <c r="D58" s="272"/>
      <c r="E58" s="272"/>
      <c r="F58" s="401" t="s">
        <v>484</v>
      </c>
      <c r="G58" s="283" t="s">
        <v>607</v>
      </c>
      <c r="H58" s="179"/>
      <c r="I58" s="58"/>
      <c r="J58" s="58"/>
      <c r="K58" s="58"/>
      <c r="L58" s="58"/>
      <c r="M58" s="58"/>
      <c r="N58" s="58"/>
      <c r="O58" s="58"/>
      <c r="P58" s="58"/>
      <c r="Q58" s="216">
        <f>I58+J58+K58+L58+M58+N58+O58+P58</f>
        <v>0</v>
      </c>
    </row>
    <row r="59" spans="1:17" x14ac:dyDescent="0.2">
      <c r="A59" s="403"/>
      <c r="B59" s="403"/>
      <c r="C59" s="403"/>
      <c r="D59" s="403"/>
      <c r="E59" s="403"/>
      <c r="F59" s="276"/>
      <c r="G59" s="282"/>
      <c r="H59" s="180"/>
      <c r="I59" s="143"/>
      <c r="J59" s="143"/>
      <c r="K59" s="143"/>
      <c r="L59" s="143"/>
      <c r="M59" s="143"/>
      <c r="N59" s="143"/>
      <c r="O59" s="143"/>
      <c r="P59" s="143"/>
      <c r="Q59" s="217"/>
    </row>
    <row r="60" spans="1:17" x14ac:dyDescent="0.2">
      <c r="A60" s="273" t="s">
        <v>207</v>
      </c>
      <c r="B60" s="273"/>
      <c r="C60" s="273"/>
      <c r="D60" s="273"/>
      <c r="E60" s="273"/>
      <c r="F60" s="276" t="s">
        <v>485</v>
      </c>
      <c r="G60" s="282" t="s">
        <v>608</v>
      </c>
      <c r="H60" s="175"/>
      <c r="I60" s="58"/>
      <c r="J60" s="58"/>
      <c r="K60" s="58"/>
      <c r="L60" s="58"/>
      <c r="M60" s="58"/>
      <c r="N60" s="58"/>
      <c r="O60" s="58"/>
      <c r="P60" s="58"/>
      <c r="Q60" s="216">
        <f>I60+J60+K60+L60+M60+N60+O60+P60</f>
        <v>0</v>
      </c>
    </row>
    <row r="61" spans="1:17" x14ac:dyDescent="0.2">
      <c r="A61" s="276"/>
      <c r="B61" s="276"/>
      <c r="C61" s="276"/>
      <c r="D61" s="276"/>
      <c r="E61" s="276"/>
      <c r="F61" s="276"/>
      <c r="G61" s="282"/>
      <c r="H61" s="267"/>
      <c r="I61" s="266"/>
      <c r="J61" s="266"/>
      <c r="K61" s="266"/>
      <c r="L61" s="266"/>
      <c r="M61" s="266"/>
      <c r="N61" s="266"/>
      <c r="O61" s="266"/>
      <c r="P61" s="266"/>
      <c r="Q61" s="216"/>
    </row>
    <row r="62" spans="1:17" x14ac:dyDescent="0.2">
      <c r="A62" s="273" t="s">
        <v>209</v>
      </c>
      <c r="B62" s="276"/>
      <c r="C62" s="276"/>
      <c r="D62" s="276"/>
      <c r="E62" s="276"/>
      <c r="F62" s="276" t="s">
        <v>662</v>
      </c>
      <c r="G62" s="282" t="s">
        <v>663</v>
      </c>
      <c r="H62" s="180"/>
      <c r="I62" s="58"/>
      <c r="J62" s="58"/>
      <c r="K62" s="58"/>
      <c r="L62" s="58"/>
      <c r="M62" s="58"/>
      <c r="N62" s="58"/>
      <c r="O62" s="58"/>
      <c r="P62" s="58"/>
      <c r="Q62" s="216">
        <f>I62+J62+K62+L62+M62+N62+O62+P62</f>
        <v>0</v>
      </c>
    </row>
    <row r="63" spans="1:17" x14ac:dyDescent="0.2">
      <c r="A63" s="276"/>
      <c r="B63" s="276"/>
      <c r="C63" s="276"/>
      <c r="D63" s="276"/>
      <c r="E63" s="276"/>
      <c r="F63" s="276"/>
      <c r="G63" s="282"/>
      <c r="H63" s="180"/>
      <c r="I63" s="143"/>
      <c r="J63" s="143"/>
      <c r="K63" s="143"/>
      <c r="L63" s="143"/>
      <c r="M63" s="143"/>
      <c r="N63" s="143"/>
      <c r="O63" s="143"/>
      <c r="P63" s="143"/>
      <c r="Q63" s="217"/>
    </row>
    <row r="64" spans="1:17" x14ac:dyDescent="0.2">
      <c r="A64" s="273" t="s">
        <v>465</v>
      </c>
      <c r="B64" s="273"/>
      <c r="C64" s="273"/>
      <c r="D64" s="273"/>
      <c r="E64" s="273"/>
      <c r="F64" s="276" t="s">
        <v>486</v>
      </c>
      <c r="G64" s="282" t="s">
        <v>609</v>
      </c>
      <c r="H64" s="175"/>
      <c r="I64" s="58"/>
      <c r="J64" s="58"/>
      <c r="K64" s="58"/>
      <c r="L64" s="58"/>
      <c r="M64" s="58"/>
      <c r="N64" s="58"/>
      <c r="O64" s="58"/>
      <c r="P64" s="58"/>
      <c r="Q64" s="216">
        <f>I64+J64+K64+L64+M64+N64+O64+P64</f>
        <v>0</v>
      </c>
    </row>
    <row r="65" spans="1:17" x14ac:dyDescent="0.2">
      <c r="A65" s="276"/>
      <c r="B65" s="276"/>
      <c r="C65" s="276"/>
      <c r="D65" s="276"/>
      <c r="E65" s="276"/>
      <c r="F65" s="276"/>
      <c r="G65" s="282"/>
      <c r="H65" s="180"/>
      <c r="I65" s="143"/>
      <c r="J65" s="143"/>
      <c r="K65" s="143"/>
      <c r="L65" s="143"/>
      <c r="M65" s="143"/>
      <c r="N65" s="143"/>
      <c r="O65" s="143"/>
      <c r="P65" s="143"/>
      <c r="Q65" s="217"/>
    </row>
    <row r="66" spans="1:17" x14ac:dyDescent="0.2">
      <c r="A66" s="273" t="s">
        <v>467</v>
      </c>
      <c r="B66" s="273"/>
      <c r="C66" s="273"/>
      <c r="D66" s="273"/>
      <c r="E66" s="273"/>
      <c r="F66" s="276" t="s">
        <v>487</v>
      </c>
      <c r="G66" s="282" t="s">
        <v>610</v>
      </c>
      <c r="H66" s="175"/>
      <c r="I66" s="58"/>
      <c r="J66" s="58"/>
      <c r="K66" s="58"/>
      <c r="L66" s="58"/>
      <c r="M66" s="58"/>
      <c r="N66" s="58"/>
      <c r="O66" s="58"/>
      <c r="P66" s="58"/>
      <c r="Q66" s="216">
        <f>I66+J66+K66+L66+M66+N66+O66+P66</f>
        <v>0</v>
      </c>
    </row>
    <row r="67" spans="1:17" x14ac:dyDescent="0.2">
      <c r="A67" s="276"/>
      <c r="B67" s="276"/>
      <c r="C67" s="276"/>
      <c r="D67" s="276"/>
      <c r="E67" s="276"/>
      <c r="F67" s="276"/>
      <c r="G67" s="282"/>
      <c r="H67" s="180"/>
      <c r="I67" s="143"/>
      <c r="J67" s="143"/>
      <c r="K67" s="143"/>
      <c r="L67" s="143"/>
      <c r="M67" s="143"/>
      <c r="N67" s="143"/>
      <c r="O67" s="143"/>
      <c r="P67" s="143"/>
      <c r="Q67" s="217"/>
    </row>
    <row r="68" spans="1:17" x14ac:dyDescent="0.2">
      <c r="A68" s="273" t="s">
        <v>469</v>
      </c>
      <c r="B68" s="273"/>
      <c r="C68" s="273"/>
      <c r="D68" s="273"/>
      <c r="E68" s="273"/>
      <c r="F68" s="276" t="s">
        <v>488</v>
      </c>
      <c r="G68" s="282" t="s">
        <v>611</v>
      </c>
      <c r="H68" s="175"/>
      <c r="I68" s="58"/>
      <c r="J68" s="58"/>
      <c r="K68" s="58"/>
      <c r="L68" s="58"/>
      <c r="M68" s="58"/>
      <c r="N68" s="58"/>
      <c r="O68" s="58"/>
      <c r="P68" s="58"/>
      <c r="Q68" s="216">
        <f>I68+J68+K68+L68+M68+N68+O68+P68</f>
        <v>0</v>
      </c>
    </row>
    <row r="69" spans="1:17" x14ac:dyDescent="0.2">
      <c r="A69" s="276"/>
      <c r="B69" s="276"/>
      <c r="C69" s="276"/>
      <c r="D69" s="276"/>
      <c r="E69" s="276"/>
      <c r="F69" s="276"/>
      <c r="G69" s="282"/>
      <c r="H69" s="180"/>
      <c r="I69" s="143"/>
      <c r="J69" s="143"/>
      <c r="K69" s="143"/>
      <c r="L69" s="143"/>
      <c r="M69" s="143"/>
      <c r="N69" s="143"/>
      <c r="O69" s="143"/>
      <c r="P69" s="143"/>
      <c r="Q69" s="217"/>
    </row>
    <row r="70" spans="1:17" x14ac:dyDescent="0.2">
      <c r="A70" s="273" t="s">
        <v>471</v>
      </c>
      <c r="B70" s="273"/>
      <c r="C70" s="273"/>
      <c r="D70" s="273"/>
      <c r="E70" s="273"/>
      <c r="F70" s="276" t="s">
        <v>489</v>
      </c>
      <c r="G70" s="282" t="s">
        <v>612</v>
      </c>
      <c r="H70" s="175"/>
      <c r="I70" s="58"/>
      <c r="J70" s="58"/>
      <c r="K70" s="58"/>
      <c r="L70" s="58"/>
      <c r="M70" s="58"/>
      <c r="N70" s="58"/>
      <c r="O70" s="58"/>
      <c r="P70" s="58"/>
      <c r="Q70" s="216">
        <f>I70+J70+K70+L70+M70+N70+O70+P70</f>
        <v>0</v>
      </c>
    </row>
    <row r="71" spans="1:17" x14ac:dyDescent="0.2">
      <c r="A71" s="273"/>
      <c r="B71" s="273"/>
      <c r="C71" s="273"/>
      <c r="D71" s="273"/>
      <c r="E71" s="273"/>
      <c r="F71" s="276"/>
      <c r="G71" s="282"/>
      <c r="H71" s="180"/>
      <c r="I71" s="143"/>
      <c r="J71" s="143"/>
      <c r="K71" s="143"/>
      <c r="L71" s="143"/>
      <c r="M71" s="143"/>
      <c r="N71" s="143"/>
      <c r="O71" s="143"/>
      <c r="P71" s="143"/>
      <c r="Q71" s="217"/>
    </row>
    <row r="72" spans="1:17" x14ac:dyDescent="0.2">
      <c r="A72" s="273" t="s">
        <v>473</v>
      </c>
      <c r="B72" s="276"/>
      <c r="C72" s="276"/>
      <c r="D72" s="276"/>
      <c r="E72" s="276"/>
      <c r="F72" s="276" t="s">
        <v>664</v>
      </c>
      <c r="G72" s="282" t="s">
        <v>665</v>
      </c>
      <c r="H72" s="175"/>
      <c r="I72" s="58"/>
      <c r="J72" s="58"/>
      <c r="K72" s="58"/>
      <c r="L72" s="58"/>
      <c r="M72" s="58"/>
      <c r="N72" s="58"/>
      <c r="O72" s="58"/>
      <c r="P72" s="58"/>
      <c r="Q72" s="216">
        <f>I72+J72+K72+L72+M72+N72+O72+P72</f>
        <v>0</v>
      </c>
    </row>
    <row r="73" spans="1:17" x14ac:dyDescent="0.2">
      <c r="A73" s="276"/>
      <c r="B73" s="276"/>
      <c r="C73" s="276"/>
      <c r="D73" s="276"/>
      <c r="E73" s="276"/>
      <c r="F73" s="276"/>
      <c r="G73" s="282"/>
      <c r="H73" s="180"/>
      <c r="I73" s="143"/>
      <c r="J73" s="143"/>
      <c r="K73" s="143"/>
      <c r="L73" s="143"/>
      <c r="M73" s="143"/>
      <c r="N73" s="143"/>
      <c r="O73" s="143"/>
      <c r="P73" s="143"/>
      <c r="Q73" s="217"/>
    </row>
    <row r="74" spans="1:17" x14ac:dyDescent="0.2">
      <c r="A74" s="273" t="s">
        <v>476</v>
      </c>
      <c r="B74" s="273"/>
      <c r="C74" s="273"/>
      <c r="D74" s="273"/>
      <c r="E74" s="273"/>
      <c r="F74" s="276" t="s">
        <v>490</v>
      </c>
      <c r="G74" s="282" t="s">
        <v>613</v>
      </c>
      <c r="H74" s="175"/>
      <c r="I74" s="58"/>
      <c r="J74" s="58"/>
      <c r="K74" s="58"/>
      <c r="L74" s="58"/>
      <c r="M74" s="58"/>
      <c r="N74" s="58"/>
      <c r="O74" s="58"/>
      <c r="P74" s="58"/>
      <c r="Q74" s="216">
        <f>I74+J74+K74+L74+M74+N74+O74+P74</f>
        <v>0</v>
      </c>
    </row>
    <row r="75" spans="1:17" x14ac:dyDescent="0.2">
      <c r="A75" s="273"/>
      <c r="B75" s="276"/>
      <c r="C75" s="276"/>
      <c r="D75" s="276"/>
      <c r="E75" s="276"/>
      <c r="F75" s="276"/>
      <c r="G75" s="282"/>
      <c r="H75" s="180"/>
      <c r="I75" s="143"/>
      <c r="J75" s="143"/>
      <c r="K75" s="143"/>
      <c r="L75" s="143"/>
      <c r="M75" s="143"/>
      <c r="N75" s="143"/>
      <c r="O75" s="143"/>
      <c r="P75" s="143"/>
      <c r="Q75" s="217"/>
    </row>
    <row r="76" spans="1:17" x14ac:dyDescent="0.2">
      <c r="A76" s="273" t="s">
        <v>478</v>
      </c>
      <c r="B76" s="273"/>
      <c r="C76" s="273"/>
      <c r="D76" s="273"/>
      <c r="E76" s="273"/>
      <c r="F76" s="276" t="s">
        <v>491</v>
      </c>
      <c r="G76" s="282" t="s">
        <v>614</v>
      </c>
      <c r="H76" s="175"/>
      <c r="I76" s="58"/>
      <c r="J76" s="58"/>
      <c r="K76" s="58"/>
      <c r="L76" s="58"/>
      <c r="M76" s="58"/>
      <c r="N76" s="58"/>
      <c r="O76" s="58"/>
      <c r="P76" s="58"/>
      <c r="Q76" s="216">
        <f>I76+J76+K76+L76+M76+N76+O76+P76</f>
        <v>0</v>
      </c>
    </row>
    <row r="77" spans="1:17" x14ac:dyDescent="0.2">
      <c r="A77" s="273"/>
      <c r="B77" s="273"/>
      <c r="C77" s="273"/>
      <c r="D77" s="273"/>
      <c r="E77" s="273"/>
      <c r="F77" s="276"/>
      <c r="G77" s="282"/>
      <c r="H77" s="180"/>
      <c r="I77" s="143"/>
      <c r="J77" s="143"/>
      <c r="K77" s="143"/>
      <c r="L77" s="143"/>
      <c r="M77" s="143"/>
      <c r="N77" s="143"/>
      <c r="O77" s="143"/>
      <c r="P77" s="143"/>
      <c r="Q77" s="217"/>
    </row>
    <row r="78" spans="1:17" x14ac:dyDescent="0.2">
      <c r="A78" s="272" t="s">
        <v>552</v>
      </c>
      <c r="B78" s="273"/>
      <c r="C78" s="273"/>
      <c r="D78" s="273"/>
      <c r="E78" s="273"/>
      <c r="F78" s="276" t="s">
        <v>492</v>
      </c>
      <c r="G78" s="282" t="s">
        <v>615</v>
      </c>
      <c r="H78" s="175"/>
      <c r="I78" s="58"/>
      <c r="J78" s="58"/>
      <c r="K78" s="58"/>
      <c r="L78" s="58"/>
      <c r="M78" s="58"/>
      <c r="N78" s="58"/>
      <c r="O78" s="58"/>
      <c r="P78" s="58"/>
      <c r="Q78" s="216">
        <f>I78+J78+K78+L78+M78+N78+O78+P78</f>
        <v>0</v>
      </c>
    </row>
    <row r="79" spans="1:17" x14ac:dyDescent="0.2">
      <c r="A79" s="273"/>
      <c r="B79" s="273"/>
      <c r="C79" s="273"/>
      <c r="D79" s="273"/>
      <c r="E79" s="273"/>
      <c r="F79" s="276"/>
      <c r="G79" s="282"/>
      <c r="H79" s="180"/>
      <c r="I79" s="143"/>
      <c r="J79" s="143"/>
      <c r="K79" s="143"/>
      <c r="L79" s="143"/>
      <c r="M79" s="143"/>
      <c r="N79" s="143"/>
      <c r="O79" s="143"/>
      <c r="P79" s="143"/>
      <c r="Q79" s="217"/>
    </row>
    <row r="80" spans="1:17" ht="22.5" x14ac:dyDescent="0.2">
      <c r="A80" s="272" t="s">
        <v>654</v>
      </c>
      <c r="B80" s="273"/>
      <c r="C80" s="273"/>
      <c r="D80" s="273"/>
      <c r="E80" s="273"/>
      <c r="F80" s="275" t="s">
        <v>618</v>
      </c>
      <c r="G80" s="283" t="s">
        <v>616</v>
      </c>
      <c r="H80" s="175"/>
      <c r="I80" s="58"/>
      <c r="J80" s="58"/>
      <c r="K80" s="58"/>
      <c r="L80" s="58"/>
      <c r="M80" s="58"/>
      <c r="N80" s="58"/>
      <c r="O80" s="58"/>
      <c r="P80" s="58"/>
      <c r="Q80" s="216">
        <f>I80+J80+K80+L80+M80+N80+O80+P80</f>
        <v>0</v>
      </c>
    </row>
    <row r="81" spans="1:17" x14ac:dyDescent="0.2">
      <c r="A81" s="272"/>
      <c r="B81" s="273"/>
      <c r="C81" s="273"/>
      <c r="D81" s="273"/>
      <c r="E81" s="273"/>
      <c r="F81" s="275"/>
      <c r="G81" s="283"/>
      <c r="H81" s="267"/>
      <c r="I81" s="266"/>
      <c r="J81" s="266"/>
      <c r="K81" s="266"/>
      <c r="L81" s="266"/>
      <c r="M81" s="266"/>
      <c r="N81" s="266"/>
      <c r="O81" s="266"/>
      <c r="P81" s="266"/>
      <c r="Q81" s="216"/>
    </row>
    <row r="82" spans="1:17" x14ac:dyDescent="0.2">
      <c r="A82" s="272" t="s">
        <v>660</v>
      </c>
      <c r="B82" s="273"/>
      <c r="C82" s="273"/>
      <c r="D82" s="273"/>
      <c r="E82" s="273"/>
      <c r="F82" s="274" t="s">
        <v>52</v>
      </c>
      <c r="G82" s="283" t="s">
        <v>666</v>
      </c>
      <c r="H82" s="175"/>
      <c r="I82" s="58"/>
      <c r="J82" s="58"/>
      <c r="K82" s="58"/>
      <c r="L82" s="58"/>
      <c r="M82" s="58"/>
      <c r="N82" s="58"/>
      <c r="O82" s="58"/>
      <c r="P82" s="58"/>
      <c r="Q82" s="216">
        <f>I82+J82+K82+L82+M82+N82+O82+P82</f>
        <v>0</v>
      </c>
    </row>
    <row r="83" spans="1:17" x14ac:dyDescent="0.2">
      <c r="A83" s="272"/>
      <c r="B83" s="273"/>
      <c r="C83" s="273"/>
      <c r="D83" s="273"/>
      <c r="E83" s="273"/>
      <c r="F83" s="275"/>
      <c r="G83" s="283"/>
      <c r="H83" s="267"/>
      <c r="I83" s="266"/>
      <c r="J83" s="266"/>
      <c r="K83" s="266"/>
      <c r="L83" s="266"/>
      <c r="M83" s="266"/>
      <c r="N83" s="266"/>
      <c r="O83" s="266"/>
      <c r="P83" s="266"/>
      <c r="Q83" s="216"/>
    </row>
    <row r="84" spans="1:17" x14ac:dyDescent="0.2">
      <c r="A84" s="403" t="s">
        <v>493</v>
      </c>
      <c r="B84" s="403"/>
      <c r="C84" s="403"/>
      <c r="D84" s="403"/>
      <c r="E84" s="403"/>
      <c r="F84" s="276"/>
      <c r="G84" s="282" t="s">
        <v>586</v>
      </c>
      <c r="H84" s="175"/>
      <c r="I84" s="56">
        <f>I56+I58+I60+I62+I64+I66+I68+I70+I72+I74+I76+I78+I80+I82</f>
        <v>0</v>
      </c>
      <c r="J84" s="56">
        <f t="shared" ref="J84:P84" si="5">J56+J58+J60+J62+J64+J66+J68+J70+J72+J74+J76+J78+J80+J82</f>
        <v>0</v>
      </c>
      <c r="K84" s="56">
        <f>K56+K58+K60+K62+K64+K66+K68+K70+K72+K74+K76+K78+K80+K82</f>
        <v>0</v>
      </c>
      <c r="L84" s="56">
        <f t="shared" si="5"/>
        <v>0</v>
      </c>
      <c r="M84" s="56">
        <f t="shared" si="5"/>
        <v>0</v>
      </c>
      <c r="N84" s="56">
        <f t="shared" si="5"/>
        <v>0</v>
      </c>
      <c r="O84" s="56">
        <f t="shared" si="5"/>
        <v>0</v>
      </c>
      <c r="P84" s="56">
        <f t="shared" si="5"/>
        <v>0</v>
      </c>
      <c r="Q84" s="216">
        <f>I84+J84+K84+L84+M84+N84+O84+P84</f>
        <v>0</v>
      </c>
    </row>
    <row r="85" spans="1:17" x14ac:dyDescent="0.2">
      <c r="A85" s="405"/>
      <c r="B85" s="405"/>
      <c r="C85" s="405"/>
      <c r="D85" s="405"/>
      <c r="E85" s="405"/>
      <c r="F85" s="387"/>
      <c r="G85" s="392"/>
      <c r="H85" s="177"/>
      <c r="I85" s="143"/>
      <c r="J85" s="143"/>
      <c r="K85" s="143"/>
      <c r="L85" s="143"/>
      <c r="M85" s="143"/>
      <c r="N85" s="143"/>
      <c r="O85" s="143"/>
      <c r="P85" s="143"/>
      <c r="Q85" s="217"/>
    </row>
    <row r="86" spans="1:17" x14ac:dyDescent="0.2">
      <c r="A86" s="403" t="s">
        <v>495</v>
      </c>
      <c r="B86" s="403"/>
      <c r="C86" s="403"/>
      <c r="D86" s="403"/>
      <c r="E86" s="403"/>
      <c r="F86" s="403"/>
      <c r="G86" s="282" t="s">
        <v>587</v>
      </c>
      <c r="H86" s="194"/>
      <c r="I86" s="56">
        <f t="shared" ref="I86:P86" si="6">I53-I84</f>
        <v>0</v>
      </c>
      <c r="J86" s="56">
        <f t="shared" si="6"/>
        <v>0</v>
      </c>
      <c r="K86" s="56">
        <f>K53-K84</f>
        <v>0</v>
      </c>
      <c r="L86" s="56">
        <f t="shared" si="6"/>
        <v>0</v>
      </c>
      <c r="M86" s="56">
        <f t="shared" si="6"/>
        <v>0</v>
      </c>
      <c r="N86" s="56">
        <f t="shared" si="6"/>
        <v>0</v>
      </c>
      <c r="O86" s="56">
        <f t="shared" si="6"/>
        <v>0</v>
      </c>
      <c r="P86" s="56">
        <f t="shared" si="6"/>
        <v>0</v>
      </c>
      <c r="Q86" s="216">
        <f>I86+J86+K86+L86+M86+N86+O86+P86</f>
        <v>0</v>
      </c>
    </row>
    <row r="87" spans="1:17" x14ac:dyDescent="0.2">
      <c r="G87" s="228" t="s">
        <v>108</v>
      </c>
    </row>
  </sheetData>
  <sheetProtection password="DDC5" sheet="1" objects="1" scenarios="1" selectLockedCells="1"/>
  <mergeCells count="5">
    <mergeCell ref="A10:F10"/>
    <mergeCell ref="A1:Q1"/>
    <mergeCell ref="A2:Q2"/>
    <mergeCell ref="A3:Q3"/>
    <mergeCell ref="A4:Q4"/>
  </mergeCells>
  <phoneticPr fontId="2" type="noConversion"/>
  <dataValidations count="3">
    <dataValidation type="decimal" allowBlank="1" showInputMessage="1" showErrorMessage="1" error="Invalid data is entered!" sqref="I56:L56 I66:P66 I68:P68 I70:P72 I74:P74 I49:P52 I23:P24 I27:P28 I31:P32 I35:P36 I38:P39 I41:P41 I43:P43 I45:P45 I47:P47 I18:L20 I12:P14 I76:P76">
      <formula1>0</formula1>
      <formula2>99999999999999900</formula2>
    </dataValidation>
    <dataValidation type="decimal" allowBlank="1" showInputMessage="1" showErrorMessage="1" sqref="I62:P62 I60:P60 I64:P64 I58:P58">
      <formula1>0</formula1>
      <formula2>99999999999999900</formula2>
    </dataValidation>
    <dataValidation type="decimal" allowBlank="1" showInputMessage="1" showErrorMessage="1" error="Invalid data is entered" sqref="I80:P83 I78:P7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39a&amp;10&amp;U
&amp;8Page &amp;P of &amp;N Pages&amp;C&amp;"Arial,Bold"&amp;8 NEW RURAL BANK OF SAN LEONARDO, INC  [ 04-040656 ]
 As of: September 30, 2017</oddHeader>
  </headerFooter>
  <rowBreaks count="1" manualBreakCount="1">
    <brk id="53"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86"/>
  <sheetViews>
    <sheetView zoomScaleNormal="100" workbookViewId="0">
      <pane xSplit="8" ySplit="11" topLeftCell="I12" activePane="bottomRight" state="frozen"/>
      <selection pane="topRight" activeCell="I1" sqref="I1"/>
      <selection pane="bottomLeft" activeCell="A12" sqref="A12"/>
      <selection pane="bottomRight" activeCell="I12" sqref="I12"/>
    </sheetView>
  </sheetViews>
  <sheetFormatPr defaultRowHeight="11.25" x14ac:dyDescent="0.2"/>
  <cols>
    <col min="1" max="1" width="3.28515625" style="21" customWidth="1"/>
    <col min="2" max="5" width="3.28515625" style="21" hidden="1" customWidth="1"/>
    <col min="6" max="6" width="40.28515625" style="21" customWidth="1"/>
    <col min="7" max="7" width="18.28515625" style="128" customWidth="1"/>
    <col min="8" max="8" width="16.7109375" style="116" hidden="1" customWidth="1"/>
    <col min="9" max="17" width="25.7109375" style="48" customWidth="1"/>
    <col min="18" max="16384" width="9.140625" style="5"/>
  </cols>
  <sheetData>
    <row r="1" spans="1:29" s="243" customFormat="1" ht="12.75" x14ac:dyDescent="0.2">
      <c r="A1" s="669" t="s">
        <v>450</v>
      </c>
      <c r="B1" s="669"/>
      <c r="C1" s="669"/>
      <c r="D1" s="669"/>
      <c r="E1" s="669"/>
      <c r="F1" s="669"/>
      <c r="G1" s="669"/>
      <c r="H1" s="669"/>
      <c r="I1" s="669"/>
      <c r="J1" s="669"/>
      <c r="K1" s="669"/>
      <c r="L1" s="669"/>
      <c r="M1" s="669"/>
      <c r="N1" s="669"/>
      <c r="O1" s="669"/>
      <c r="P1" s="669"/>
      <c r="Q1" s="669"/>
      <c r="R1" s="242"/>
      <c r="S1" s="242"/>
      <c r="T1" s="242"/>
      <c r="U1" s="242"/>
      <c r="V1" s="242"/>
      <c r="W1" s="242"/>
      <c r="X1" s="242"/>
      <c r="Y1" s="242"/>
      <c r="Z1" s="242"/>
      <c r="AA1" s="242"/>
      <c r="AB1" s="242"/>
      <c r="AC1" s="242"/>
    </row>
    <row r="2" spans="1:29" s="243" customFormat="1" ht="12.75" x14ac:dyDescent="0.2">
      <c r="A2" s="697" t="s">
        <v>451</v>
      </c>
      <c r="B2" s="697"/>
      <c r="C2" s="697"/>
      <c r="D2" s="697"/>
      <c r="E2" s="697"/>
      <c r="F2" s="697"/>
      <c r="G2" s="697"/>
      <c r="H2" s="697"/>
      <c r="I2" s="697"/>
      <c r="J2" s="697"/>
      <c r="K2" s="697"/>
      <c r="L2" s="697"/>
      <c r="M2" s="697"/>
      <c r="N2" s="697"/>
      <c r="O2" s="697"/>
      <c r="P2" s="697"/>
      <c r="Q2" s="697"/>
      <c r="R2" s="248"/>
      <c r="S2" s="248"/>
      <c r="T2" s="248"/>
      <c r="U2" s="248"/>
      <c r="V2" s="248"/>
      <c r="W2" s="248"/>
      <c r="X2" s="248"/>
      <c r="Y2" s="248"/>
      <c r="Z2" s="248"/>
      <c r="AA2" s="248"/>
      <c r="AB2" s="248"/>
      <c r="AC2" s="248"/>
    </row>
    <row r="3" spans="1:29" s="243" customFormat="1" ht="12.75" x14ac:dyDescent="0.2">
      <c r="A3" s="697" t="s">
        <v>727</v>
      </c>
      <c r="B3" s="697"/>
      <c r="C3" s="697"/>
      <c r="D3" s="697"/>
      <c r="E3" s="697"/>
      <c r="F3" s="697"/>
      <c r="G3" s="697"/>
      <c r="H3" s="697"/>
      <c r="I3" s="697"/>
      <c r="J3" s="697"/>
      <c r="K3" s="697"/>
      <c r="L3" s="697"/>
      <c r="M3" s="697"/>
      <c r="N3" s="697"/>
      <c r="O3" s="697"/>
      <c r="P3" s="697"/>
      <c r="Q3" s="697"/>
      <c r="R3" s="248"/>
      <c r="S3" s="248"/>
      <c r="T3" s="248"/>
      <c r="U3" s="248"/>
      <c r="V3" s="248"/>
      <c r="W3" s="248"/>
      <c r="X3" s="248"/>
      <c r="Y3" s="248"/>
      <c r="Z3" s="248"/>
      <c r="AA3" s="248"/>
      <c r="AB3" s="248"/>
      <c r="AC3" s="248"/>
    </row>
    <row r="4" spans="1:29" s="243" customFormat="1" ht="12.75" x14ac:dyDescent="0.2">
      <c r="A4" s="697" t="s">
        <v>551</v>
      </c>
      <c r="B4" s="697"/>
      <c r="C4" s="697"/>
      <c r="D4" s="697"/>
      <c r="E4" s="697"/>
      <c r="F4" s="697"/>
      <c r="G4" s="697"/>
      <c r="H4" s="697"/>
      <c r="I4" s="697"/>
      <c r="J4" s="697"/>
      <c r="K4" s="697"/>
      <c r="L4" s="697"/>
      <c r="M4" s="697"/>
      <c r="N4" s="697"/>
      <c r="O4" s="697"/>
      <c r="P4" s="697"/>
      <c r="Q4" s="697"/>
      <c r="R4" s="248"/>
      <c r="S4" s="248"/>
      <c r="T4" s="248"/>
      <c r="U4" s="248"/>
      <c r="V4" s="248"/>
      <c r="W4" s="248"/>
      <c r="X4" s="248"/>
      <c r="Y4" s="248"/>
      <c r="Z4" s="248"/>
      <c r="AA4" s="248"/>
      <c r="AB4" s="248"/>
      <c r="AC4" s="248"/>
    </row>
    <row r="5" spans="1:29" x14ac:dyDescent="0.2">
      <c r="A5" s="170"/>
      <c r="B5" s="170"/>
      <c r="C5" s="170"/>
      <c r="D5" s="170"/>
      <c r="E5" s="170"/>
      <c r="F5" s="170"/>
      <c r="G5" s="170"/>
      <c r="H5" s="171"/>
      <c r="I5" s="172"/>
      <c r="J5" s="172"/>
      <c r="K5" s="172"/>
      <c r="L5" s="172"/>
      <c r="M5" s="172"/>
      <c r="N5" s="172"/>
      <c r="O5" s="172"/>
      <c r="P5" s="172"/>
      <c r="Q5" s="169"/>
      <c r="R5" s="7"/>
      <c r="S5" s="7"/>
      <c r="T5" s="7"/>
      <c r="U5" s="7"/>
      <c r="V5" s="7"/>
      <c r="W5" s="7"/>
      <c r="X5" s="7"/>
      <c r="Y5" s="7"/>
      <c r="Z5" s="7"/>
      <c r="AA5" s="7"/>
      <c r="AB5" s="7"/>
      <c r="AC5" s="7"/>
    </row>
    <row r="6" spans="1:29" s="174" customFormat="1" ht="22.5" x14ac:dyDescent="0.2">
      <c r="A6" s="649" t="s">
        <v>452</v>
      </c>
      <c r="B6" s="649"/>
      <c r="C6" s="649"/>
      <c r="D6" s="649"/>
      <c r="E6" s="649"/>
      <c r="F6" s="649"/>
      <c r="G6" s="389" t="s">
        <v>46</v>
      </c>
      <c r="H6" s="150"/>
      <c r="I6" s="95" t="s">
        <v>453</v>
      </c>
      <c r="J6" s="95" t="s">
        <v>454</v>
      </c>
      <c r="K6" s="624" t="s">
        <v>1476</v>
      </c>
      <c r="L6" s="624" t="s">
        <v>1478</v>
      </c>
      <c r="M6" s="95" t="s">
        <v>455</v>
      </c>
      <c r="N6" s="95" t="s">
        <v>456</v>
      </c>
      <c r="O6" s="95" t="s">
        <v>457</v>
      </c>
      <c r="P6" s="95" t="s">
        <v>458</v>
      </c>
      <c r="Q6" s="95" t="s">
        <v>144</v>
      </c>
      <c r="R6" s="173"/>
      <c r="S6" s="173"/>
      <c r="T6" s="173"/>
      <c r="U6" s="173"/>
      <c r="V6" s="173"/>
      <c r="W6" s="173"/>
      <c r="X6" s="173"/>
      <c r="Y6" s="173"/>
      <c r="Z6" s="173"/>
      <c r="AA6" s="173"/>
      <c r="AB6" s="173"/>
      <c r="AC6" s="173"/>
    </row>
    <row r="7" spans="1:29" s="174" customFormat="1" hidden="1" x14ac:dyDescent="0.2">
      <c r="A7" s="294"/>
      <c r="B7" s="294"/>
      <c r="C7" s="294"/>
      <c r="D7" s="294"/>
      <c r="E7" s="294"/>
      <c r="F7" s="294"/>
      <c r="G7" s="389"/>
      <c r="H7" s="150"/>
      <c r="I7" s="95"/>
      <c r="J7" s="95"/>
      <c r="K7" s="95"/>
      <c r="L7" s="95"/>
      <c r="M7" s="95"/>
      <c r="N7" s="95"/>
      <c r="O7" s="95"/>
      <c r="P7" s="95"/>
      <c r="Q7" s="95"/>
      <c r="R7" s="173"/>
      <c r="S7" s="173"/>
      <c r="T7" s="173"/>
      <c r="U7" s="173"/>
      <c r="V7" s="173"/>
      <c r="W7" s="173"/>
      <c r="X7" s="173"/>
      <c r="Y7" s="173"/>
      <c r="Z7" s="173"/>
      <c r="AA7" s="173"/>
      <c r="AB7" s="173"/>
      <c r="AC7" s="173"/>
    </row>
    <row r="8" spans="1:29" s="174" customFormat="1" hidden="1" x14ac:dyDescent="0.2">
      <c r="A8" s="294"/>
      <c r="B8" s="294"/>
      <c r="C8" s="294"/>
      <c r="D8" s="294"/>
      <c r="E8" s="294"/>
      <c r="F8" s="294"/>
      <c r="G8" s="389"/>
      <c r="H8" s="150"/>
      <c r="I8" s="95"/>
      <c r="J8" s="95"/>
      <c r="K8" s="95"/>
      <c r="L8" s="95"/>
      <c r="M8" s="95"/>
      <c r="N8" s="95"/>
      <c r="O8" s="95"/>
      <c r="P8" s="95"/>
      <c r="Q8" s="95"/>
      <c r="R8" s="173"/>
      <c r="S8" s="173"/>
      <c r="T8" s="173"/>
      <c r="U8" s="173"/>
      <c r="V8" s="173"/>
      <c r="W8" s="173"/>
      <c r="X8" s="173"/>
      <c r="Y8" s="173"/>
      <c r="Z8" s="173"/>
      <c r="AA8" s="173"/>
      <c r="AB8" s="173"/>
      <c r="AC8" s="173"/>
    </row>
    <row r="9" spans="1:29" s="174" customFormat="1" hidden="1" x14ac:dyDescent="0.2">
      <c r="A9" s="294"/>
      <c r="B9" s="294"/>
      <c r="C9" s="294"/>
      <c r="D9" s="294"/>
      <c r="E9" s="294"/>
      <c r="F9" s="294"/>
      <c r="G9" s="389"/>
      <c r="H9" s="150"/>
      <c r="I9" s="95"/>
      <c r="J9" s="95"/>
      <c r="K9" s="95"/>
      <c r="L9" s="95"/>
      <c r="M9" s="95"/>
      <c r="N9" s="95"/>
      <c r="O9" s="95"/>
      <c r="P9" s="95"/>
      <c r="Q9" s="95"/>
      <c r="R9" s="173"/>
      <c r="S9" s="173"/>
      <c r="T9" s="173"/>
      <c r="U9" s="173"/>
      <c r="V9" s="173"/>
      <c r="W9" s="173"/>
      <c r="X9" s="173"/>
      <c r="Y9" s="173"/>
      <c r="Z9" s="173"/>
      <c r="AA9" s="173"/>
      <c r="AB9" s="173"/>
      <c r="AC9" s="173"/>
    </row>
    <row r="10" spans="1:29" s="174" customFormat="1" hidden="1" x14ac:dyDescent="0.2">
      <c r="A10" s="294"/>
      <c r="B10" s="294"/>
      <c r="C10" s="294"/>
      <c r="D10" s="294"/>
      <c r="E10" s="294"/>
      <c r="F10" s="294"/>
      <c r="G10" s="389"/>
      <c r="H10" s="150"/>
      <c r="I10" s="95"/>
      <c r="J10" s="95"/>
      <c r="K10" s="95"/>
      <c r="L10" s="95"/>
      <c r="M10" s="95"/>
      <c r="N10" s="95"/>
      <c r="O10" s="95"/>
      <c r="P10" s="95"/>
      <c r="Q10" s="95"/>
      <c r="R10" s="173"/>
      <c r="S10" s="173"/>
      <c r="T10" s="173"/>
      <c r="U10" s="173"/>
      <c r="V10" s="173"/>
      <c r="W10" s="173"/>
      <c r="X10" s="173"/>
      <c r="Y10" s="173"/>
      <c r="Z10" s="173"/>
      <c r="AA10" s="173"/>
      <c r="AB10" s="173"/>
      <c r="AC10" s="173"/>
    </row>
    <row r="11" spans="1:29" x14ac:dyDescent="0.2">
      <c r="A11" s="397" t="s">
        <v>459</v>
      </c>
      <c r="B11" s="397"/>
      <c r="C11" s="397"/>
      <c r="D11" s="397"/>
      <c r="E11" s="397"/>
      <c r="F11" s="398"/>
      <c r="G11" s="300"/>
      <c r="H11" s="175"/>
      <c r="I11" s="235"/>
      <c r="J11" s="235"/>
      <c r="K11" s="235"/>
      <c r="L11" s="236"/>
      <c r="M11" s="236"/>
      <c r="N11" s="236"/>
      <c r="O11" s="236"/>
      <c r="P11" s="236"/>
      <c r="Q11" s="236"/>
      <c r="R11" s="9"/>
      <c r="S11" s="9"/>
      <c r="T11" s="9"/>
      <c r="U11" s="9"/>
      <c r="V11" s="9"/>
      <c r="W11" s="9"/>
      <c r="X11" s="9"/>
      <c r="Y11" s="9"/>
      <c r="Z11" s="9"/>
      <c r="AA11" s="9"/>
      <c r="AB11" s="9"/>
      <c r="AC11" s="9"/>
    </row>
    <row r="12" spans="1:29" x14ac:dyDescent="0.2">
      <c r="A12" s="268" t="s">
        <v>161</v>
      </c>
      <c r="B12" s="268"/>
      <c r="C12" s="268"/>
      <c r="D12" s="268"/>
      <c r="E12" s="268"/>
      <c r="F12" s="269" t="s">
        <v>648</v>
      </c>
      <c r="G12" s="282" t="s">
        <v>670</v>
      </c>
      <c r="H12" s="175"/>
      <c r="I12" s="182"/>
      <c r="J12" s="182"/>
      <c r="K12" s="182"/>
      <c r="L12" s="183"/>
      <c r="M12" s="183"/>
      <c r="N12" s="183"/>
      <c r="O12" s="183"/>
      <c r="P12" s="183"/>
      <c r="Q12" s="147">
        <f>I12+J12+K12+L12+M12+N12+O12+P12</f>
        <v>0</v>
      </c>
      <c r="R12" s="9"/>
      <c r="S12" s="9"/>
      <c r="T12" s="9"/>
      <c r="U12" s="9"/>
      <c r="V12" s="9"/>
      <c r="W12" s="9"/>
      <c r="X12" s="9"/>
      <c r="Y12" s="9"/>
      <c r="Z12" s="9"/>
      <c r="AA12" s="9"/>
      <c r="AB12" s="9"/>
      <c r="AC12" s="9"/>
    </row>
    <row r="13" spans="1:29" x14ac:dyDescent="0.2">
      <c r="A13" s="268"/>
      <c r="B13" s="268"/>
      <c r="C13" s="268"/>
      <c r="D13" s="268"/>
      <c r="E13" s="268"/>
      <c r="F13" s="269"/>
      <c r="G13" s="282"/>
      <c r="H13" s="267"/>
      <c r="I13" s="270"/>
      <c r="J13" s="270"/>
      <c r="K13" s="270"/>
      <c r="L13" s="271"/>
      <c r="M13" s="271"/>
      <c r="N13" s="271"/>
      <c r="O13" s="271"/>
      <c r="P13" s="271"/>
      <c r="Q13" s="147"/>
      <c r="R13" s="9"/>
      <c r="S13" s="9"/>
      <c r="T13" s="9"/>
      <c r="U13" s="9"/>
      <c r="V13" s="9"/>
      <c r="W13" s="9"/>
      <c r="X13" s="9"/>
      <c r="Y13" s="9"/>
      <c r="Z13" s="9"/>
      <c r="AA13" s="9"/>
      <c r="AB13" s="9"/>
      <c r="AC13" s="9"/>
    </row>
    <row r="14" spans="1:29" x14ac:dyDescent="0.2">
      <c r="A14" s="268" t="s">
        <v>164</v>
      </c>
      <c r="B14" s="268"/>
      <c r="C14" s="268"/>
      <c r="D14" s="268"/>
      <c r="E14" s="268"/>
      <c r="F14" s="399" t="s">
        <v>460</v>
      </c>
      <c r="G14" s="282" t="s">
        <v>570</v>
      </c>
      <c r="H14" s="175"/>
      <c r="I14" s="182"/>
      <c r="J14" s="182"/>
      <c r="K14" s="182"/>
      <c r="L14" s="183"/>
      <c r="M14" s="183"/>
      <c r="N14" s="183"/>
      <c r="O14" s="183"/>
      <c r="P14" s="183"/>
      <c r="Q14" s="147">
        <f>I14+J14+K14+L14+M14+N14+O14+P14</f>
        <v>0</v>
      </c>
      <c r="R14" s="9"/>
      <c r="S14" s="9"/>
      <c r="T14" s="9"/>
      <c r="U14" s="9"/>
      <c r="V14" s="9"/>
      <c r="W14" s="9"/>
      <c r="X14" s="9"/>
      <c r="Y14" s="9"/>
      <c r="Z14" s="9"/>
      <c r="AA14" s="9"/>
      <c r="AB14" s="9"/>
      <c r="AC14" s="9"/>
    </row>
    <row r="15" spans="1:29" ht="11.25" customHeight="1" x14ac:dyDescent="0.2">
      <c r="A15" s="387"/>
      <c r="B15" s="387"/>
      <c r="C15" s="387"/>
      <c r="D15" s="387"/>
      <c r="E15" s="387"/>
      <c r="F15" s="387"/>
      <c r="G15" s="392"/>
      <c r="H15" s="177"/>
      <c r="I15" s="184"/>
      <c r="J15" s="184"/>
      <c r="K15" s="184"/>
      <c r="L15" s="184"/>
      <c r="M15" s="184"/>
      <c r="N15" s="184"/>
      <c r="O15" s="184"/>
      <c r="P15" s="184"/>
      <c r="Q15" s="185"/>
    </row>
    <row r="16" spans="1:29" ht="22.5" x14ac:dyDescent="0.2">
      <c r="A16" s="311" t="s">
        <v>207</v>
      </c>
      <c r="B16" s="388"/>
      <c r="C16" s="388"/>
      <c r="D16" s="388"/>
      <c r="E16" s="388"/>
      <c r="F16" s="401" t="s">
        <v>461</v>
      </c>
      <c r="G16" s="283" t="s">
        <v>553</v>
      </c>
      <c r="H16" s="178"/>
      <c r="I16" s="176">
        <f>I17+I20</f>
        <v>0</v>
      </c>
      <c r="J16" s="176">
        <f>J17+J20</f>
        <v>0</v>
      </c>
      <c r="K16" s="176">
        <f>K17+K20</f>
        <v>0</v>
      </c>
      <c r="L16" s="176">
        <f>L17+L20</f>
        <v>0</v>
      </c>
      <c r="M16" s="186"/>
      <c r="N16" s="186"/>
      <c r="O16" s="186"/>
      <c r="P16" s="186"/>
      <c r="Q16" s="147">
        <f>I16+J16+K16+L16+M16+N16+O16+P16</f>
        <v>0</v>
      </c>
    </row>
    <row r="17" spans="1:17" x14ac:dyDescent="0.2">
      <c r="A17" s="311"/>
      <c r="B17" s="388"/>
      <c r="C17" s="388"/>
      <c r="D17" s="388"/>
      <c r="E17" s="388"/>
      <c r="F17" s="400" t="s">
        <v>667</v>
      </c>
      <c r="G17" s="317" t="s">
        <v>671</v>
      </c>
      <c r="H17" s="178"/>
      <c r="I17" s="176">
        <f>I18+I19</f>
        <v>0</v>
      </c>
      <c r="J17" s="176">
        <f>J18+J19</f>
        <v>0</v>
      </c>
      <c r="K17" s="176">
        <f>K18+K19</f>
        <v>0</v>
      </c>
      <c r="L17" s="176">
        <f>L18+L19</f>
        <v>0</v>
      </c>
      <c r="M17" s="186"/>
      <c r="N17" s="186"/>
      <c r="O17" s="186"/>
      <c r="P17" s="186"/>
      <c r="Q17" s="147">
        <f>I17+J17+K17+L17+M17+N17+O17+P17</f>
        <v>0</v>
      </c>
    </row>
    <row r="18" spans="1:17" x14ac:dyDescent="0.2">
      <c r="A18" s="388"/>
      <c r="B18" s="388"/>
      <c r="C18" s="388"/>
      <c r="D18" s="388"/>
      <c r="E18" s="388"/>
      <c r="F18" s="387" t="s">
        <v>668</v>
      </c>
      <c r="G18" s="317" t="s">
        <v>672</v>
      </c>
      <c r="H18" s="178"/>
      <c r="I18" s="182"/>
      <c r="J18" s="182"/>
      <c r="K18" s="182"/>
      <c r="L18" s="182"/>
      <c r="M18" s="186"/>
      <c r="N18" s="186"/>
      <c r="O18" s="186"/>
      <c r="P18" s="186"/>
      <c r="Q18" s="147">
        <f>I18+J18+K18+L18+M18+N18+O18+P18</f>
        <v>0</v>
      </c>
    </row>
    <row r="19" spans="1:17" x14ac:dyDescent="0.2">
      <c r="A19" s="388"/>
      <c r="B19" s="388"/>
      <c r="C19" s="388"/>
      <c r="D19" s="388"/>
      <c r="E19" s="388"/>
      <c r="F19" s="387" t="s">
        <v>669</v>
      </c>
      <c r="G19" s="317" t="s">
        <v>673</v>
      </c>
      <c r="H19" s="178"/>
      <c r="I19" s="182"/>
      <c r="J19" s="182"/>
      <c r="K19" s="182"/>
      <c r="L19" s="182"/>
      <c r="M19" s="186"/>
      <c r="N19" s="186"/>
      <c r="O19" s="186"/>
      <c r="P19" s="186"/>
      <c r="Q19" s="147">
        <f>I19+J19+K19+L19+M19+N19+O19+P19</f>
        <v>0</v>
      </c>
    </row>
    <row r="20" spans="1:17" x14ac:dyDescent="0.2">
      <c r="A20" s="388"/>
      <c r="B20" s="388"/>
      <c r="C20" s="388"/>
      <c r="D20" s="388"/>
      <c r="E20" s="388"/>
      <c r="F20" s="387" t="s">
        <v>653</v>
      </c>
      <c r="G20" s="317" t="s">
        <v>674</v>
      </c>
      <c r="H20" s="178"/>
      <c r="I20" s="182"/>
      <c r="J20" s="182"/>
      <c r="K20" s="182"/>
      <c r="L20" s="182"/>
      <c r="M20" s="186"/>
      <c r="N20" s="186"/>
      <c r="O20" s="186"/>
      <c r="P20" s="186"/>
      <c r="Q20" s="147">
        <f>I20+J20+K20+L20+M20+N20+O20+P20</f>
        <v>0</v>
      </c>
    </row>
    <row r="21" spans="1:17" x14ac:dyDescent="0.2">
      <c r="A21" s="387"/>
      <c r="B21" s="387"/>
      <c r="C21" s="387"/>
      <c r="D21" s="387"/>
      <c r="E21" s="387"/>
      <c r="F21" s="387"/>
      <c r="G21" s="392"/>
      <c r="H21" s="177"/>
      <c r="I21" s="184"/>
      <c r="J21" s="184"/>
      <c r="K21" s="184"/>
      <c r="L21" s="184"/>
      <c r="M21" s="184"/>
      <c r="N21" s="184"/>
      <c r="O21" s="184"/>
      <c r="P21" s="184"/>
      <c r="Q21" s="185"/>
    </row>
    <row r="22" spans="1:17" ht="22.5" x14ac:dyDescent="0.2">
      <c r="A22" s="311" t="s">
        <v>209</v>
      </c>
      <c r="B22" s="311"/>
      <c r="C22" s="311"/>
      <c r="D22" s="311"/>
      <c r="E22" s="311"/>
      <c r="F22" s="401" t="s">
        <v>464</v>
      </c>
      <c r="G22" s="283" t="s">
        <v>554</v>
      </c>
      <c r="H22" s="179"/>
      <c r="I22" s="176">
        <f t="shared" ref="I22:P22" si="0">I23+I24</f>
        <v>0</v>
      </c>
      <c r="J22" s="176">
        <f t="shared" si="0"/>
        <v>0</v>
      </c>
      <c r="K22" s="176">
        <f>K23+K24</f>
        <v>0</v>
      </c>
      <c r="L22" s="176">
        <f t="shared" si="0"/>
        <v>0</v>
      </c>
      <c r="M22" s="176">
        <f t="shared" si="0"/>
        <v>0</v>
      </c>
      <c r="N22" s="176">
        <f t="shared" si="0"/>
        <v>0</v>
      </c>
      <c r="O22" s="176">
        <f t="shared" si="0"/>
        <v>0</v>
      </c>
      <c r="P22" s="176">
        <f t="shared" si="0"/>
        <v>0</v>
      </c>
      <c r="Q22" s="147">
        <f>I22+J22+K22+L22+M22+N22+O22+P22</f>
        <v>0</v>
      </c>
    </row>
    <row r="23" spans="1:17" x14ac:dyDescent="0.2">
      <c r="A23" s="311"/>
      <c r="B23" s="311"/>
      <c r="C23" s="311"/>
      <c r="D23" s="311"/>
      <c r="E23" s="311"/>
      <c r="F23" s="387" t="s">
        <v>462</v>
      </c>
      <c r="G23" s="282" t="s">
        <v>555</v>
      </c>
      <c r="H23" s="178"/>
      <c r="I23" s="182"/>
      <c r="J23" s="182"/>
      <c r="K23" s="182"/>
      <c r="L23" s="182"/>
      <c r="M23" s="182"/>
      <c r="N23" s="182"/>
      <c r="O23" s="182"/>
      <c r="P23" s="182"/>
      <c r="Q23" s="147">
        <f>I23+J23+K23+L23+M23+N23+O23+P23</f>
        <v>0</v>
      </c>
    </row>
    <row r="24" spans="1:17" x14ac:dyDescent="0.2">
      <c r="A24" s="311"/>
      <c r="B24" s="311"/>
      <c r="C24" s="311"/>
      <c r="D24" s="311"/>
      <c r="E24" s="311"/>
      <c r="F24" s="387" t="s">
        <v>463</v>
      </c>
      <c r="G24" s="282" t="s">
        <v>556</v>
      </c>
      <c r="H24" s="178"/>
      <c r="I24" s="182"/>
      <c r="J24" s="182"/>
      <c r="K24" s="182"/>
      <c r="L24" s="182"/>
      <c r="M24" s="182"/>
      <c r="N24" s="182"/>
      <c r="O24" s="182"/>
      <c r="P24" s="182"/>
      <c r="Q24" s="147">
        <f>I24+J24+K24+L24+M24+N24+O24+P24</f>
        <v>0</v>
      </c>
    </row>
    <row r="25" spans="1:17" x14ac:dyDescent="0.2">
      <c r="A25" s="387"/>
      <c r="B25" s="387"/>
      <c r="C25" s="387"/>
      <c r="D25" s="387"/>
      <c r="E25" s="387"/>
      <c r="F25" s="387"/>
      <c r="G25" s="404"/>
      <c r="H25" s="177"/>
      <c r="I25" s="184"/>
      <c r="J25" s="184"/>
      <c r="K25" s="184"/>
      <c r="L25" s="184"/>
      <c r="M25" s="184"/>
      <c r="N25" s="184"/>
      <c r="O25" s="184"/>
      <c r="P25" s="184"/>
      <c r="Q25" s="185"/>
    </row>
    <row r="26" spans="1:17" ht="22.5" x14ac:dyDescent="0.2">
      <c r="A26" s="272" t="s">
        <v>465</v>
      </c>
      <c r="B26" s="273"/>
      <c r="C26" s="273"/>
      <c r="D26" s="273"/>
      <c r="E26" s="273"/>
      <c r="F26" s="274" t="s">
        <v>659</v>
      </c>
      <c r="G26" s="283" t="s">
        <v>557</v>
      </c>
      <c r="H26" s="175"/>
      <c r="I26" s="176">
        <f t="shared" ref="I26:P26" si="1">I27+I28</f>
        <v>0</v>
      </c>
      <c r="J26" s="176">
        <f t="shared" si="1"/>
        <v>0</v>
      </c>
      <c r="K26" s="176">
        <f>K27+K28</f>
        <v>0</v>
      </c>
      <c r="L26" s="176">
        <f t="shared" si="1"/>
        <v>0</v>
      </c>
      <c r="M26" s="176">
        <f t="shared" si="1"/>
        <v>0</v>
      </c>
      <c r="N26" s="176">
        <f t="shared" si="1"/>
        <v>0</v>
      </c>
      <c r="O26" s="176">
        <f t="shared" si="1"/>
        <v>0</v>
      </c>
      <c r="P26" s="176">
        <f t="shared" si="1"/>
        <v>0</v>
      </c>
      <c r="Q26" s="147">
        <f>I26+J26+K26+L26+M26+N26+O26+P26</f>
        <v>0</v>
      </c>
    </row>
    <row r="27" spans="1:17" x14ac:dyDescent="0.2">
      <c r="A27" s="273"/>
      <c r="B27" s="273"/>
      <c r="C27" s="273"/>
      <c r="D27" s="273"/>
      <c r="E27" s="273"/>
      <c r="F27" s="387" t="s">
        <v>462</v>
      </c>
      <c r="G27" s="282" t="s">
        <v>558</v>
      </c>
      <c r="H27" s="178"/>
      <c r="I27" s="182"/>
      <c r="J27" s="182"/>
      <c r="K27" s="182"/>
      <c r="L27" s="182"/>
      <c r="M27" s="182"/>
      <c r="N27" s="182"/>
      <c r="O27" s="182"/>
      <c r="P27" s="182"/>
      <c r="Q27" s="147">
        <f>I27+J27+K27+L27+M27+N27+O27+P27</f>
        <v>0</v>
      </c>
    </row>
    <row r="28" spans="1:17" x14ac:dyDescent="0.2">
      <c r="A28" s="273"/>
      <c r="B28" s="273"/>
      <c r="C28" s="273"/>
      <c r="D28" s="273"/>
      <c r="E28" s="273"/>
      <c r="F28" s="387" t="s">
        <v>463</v>
      </c>
      <c r="G28" s="282" t="s">
        <v>559</v>
      </c>
      <c r="H28" s="178"/>
      <c r="I28" s="182"/>
      <c r="J28" s="182"/>
      <c r="K28" s="182"/>
      <c r="L28" s="182"/>
      <c r="M28" s="182"/>
      <c r="N28" s="182"/>
      <c r="O28" s="182"/>
      <c r="P28" s="182"/>
      <c r="Q28" s="147">
        <f>I28+J28+K28+L28+M28+N28+O28+P28</f>
        <v>0</v>
      </c>
    </row>
    <row r="29" spans="1:17" x14ac:dyDescent="0.2">
      <c r="A29" s="276"/>
      <c r="B29" s="276"/>
      <c r="C29" s="276"/>
      <c r="D29" s="276"/>
      <c r="E29" s="276"/>
      <c r="F29" s="276"/>
      <c r="G29" s="404"/>
      <c r="H29" s="180"/>
      <c r="I29" s="184"/>
      <c r="J29" s="184"/>
      <c r="K29" s="184"/>
      <c r="L29" s="184"/>
      <c r="M29" s="184"/>
      <c r="N29" s="184"/>
      <c r="O29" s="184"/>
      <c r="P29" s="184"/>
      <c r="Q29" s="185"/>
    </row>
    <row r="30" spans="1:17" x14ac:dyDescent="0.2">
      <c r="A30" s="273" t="s">
        <v>467</v>
      </c>
      <c r="B30" s="273"/>
      <c r="C30" s="273"/>
      <c r="D30" s="273"/>
      <c r="E30" s="273"/>
      <c r="F30" s="387" t="s">
        <v>466</v>
      </c>
      <c r="G30" s="282" t="s">
        <v>560</v>
      </c>
      <c r="H30" s="178"/>
      <c r="I30" s="176">
        <f t="shared" ref="I30:P30" si="2">I31+I32</f>
        <v>0</v>
      </c>
      <c r="J30" s="176">
        <f t="shared" si="2"/>
        <v>0</v>
      </c>
      <c r="K30" s="176">
        <f>K31+K32</f>
        <v>0</v>
      </c>
      <c r="L30" s="176">
        <f t="shared" si="2"/>
        <v>0</v>
      </c>
      <c r="M30" s="176">
        <f t="shared" si="2"/>
        <v>0</v>
      </c>
      <c r="N30" s="176">
        <f t="shared" si="2"/>
        <v>0</v>
      </c>
      <c r="O30" s="176">
        <f t="shared" si="2"/>
        <v>0</v>
      </c>
      <c r="P30" s="176">
        <f t="shared" si="2"/>
        <v>0</v>
      </c>
      <c r="Q30" s="147">
        <f>I30+J30+K30+L30+M30+N30+O30+P30</f>
        <v>0</v>
      </c>
    </row>
    <row r="31" spans="1:17" x14ac:dyDescent="0.2">
      <c r="A31" s="273"/>
      <c r="B31" s="273"/>
      <c r="C31" s="273"/>
      <c r="D31" s="273"/>
      <c r="E31" s="273"/>
      <c r="F31" s="387" t="s">
        <v>462</v>
      </c>
      <c r="G31" s="282" t="s">
        <v>561</v>
      </c>
      <c r="H31" s="178"/>
      <c r="I31" s="182"/>
      <c r="J31" s="182"/>
      <c r="K31" s="182"/>
      <c r="L31" s="182"/>
      <c r="M31" s="182"/>
      <c r="N31" s="182"/>
      <c r="O31" s="182"/>
      <c r="P31" s="182"/>
      <c r="Q31" s="147">
        <f>I31+J31+K31+L31+M31+N31+O31+P31</f>
        <v>0</v>
      </c>
    </row>
    <row r="32" spans="1:17" x14ac:dyDescent="0.2">
      <c r="A32" s="273"/>
      <c r="B32" s="273"/>
      <c r="C32" s="273"/>
      <c r="D32" s="273"/>
      <c r="E32" s="273"/>
      <c r="F32" s="387" t="s">
        <v>463</v>
      </c>
      <c r="G32" s="282" t="s">
        <v>562</v>
      </c>
      <c r="H32" s="178"/>
      <c r="I32" s="182"/>
      <c r="J32" s="182"/>
      <c r="K32" s="182"/>
      <c r="L32" s="182"/>
      <c r="M32" s="182"/>
      <c r="N32" s="182"/>
      <c r="O32" s="182"/>
      <c r="P32" s="182"/>
      <c r="Q32" s="147">
        <f>I32+J32+K32+L32+M32+N32+O32+P32</f>
        <v>0</v>
      </c>
    </row>
    <row r="33" spans="1:17" x14ac:dyDescent="0.2">
      <c r="A33" s="276"/>
      <c r="B33" s="276"/>
      <c r="C33" s="276"/>
      <c r="D33" s="276"/>
      <c r="E33" s="276"/>
      <c r="F33" s="387"/>
      <c r="G33" s="404"/>
      <c r="H33" s="177"/>
      <c r="I33" s="184"/>
      <c r="J33" s="184"/>
      <c r="K33" s="184"/>
      <c r="L33" s="184"/>
      <c r="M33" s="184"/>
      <c r="N33" s="184"/>
      <c r="O33" s="184"/>
      <c r="P33" s="184"/>
      <c r="Q33" s="185"/>
    </row>
    <row r="34" spans="1:17" x14ac:dyDescent="0.2">
      <c r="A34" s="273" t="s">
        <v>469</v>
      </c>
      <c r="B34" s="273"/>
      <c r="C34" s="273"/>
      <c r="D34" s="273"/>
      <c r="E34" s="273"/>
      <c r="F34" s="387" t="s">
        <v>468</v>
      </c>
      <c r="G34" s="282" t="s">
        <v>563</v>
      </c>
      <c r="H34" s="178"/>
      <c r="I34" s="176">
        <f t="shared" ref="I34:P34" si="3">I35+I36</f>
        <v>0</v>
      </c>
      <c r="J34" s="176">
        <f t="shared" si="3"/>
        <v>0</v>
      </c>
      <c r="K34" s="176">
        <f>K35+K36</f>
        <v>0</v>
      </c>
      <c r="L34" s="176">
        <f t="shared" si="3"/>
        <v>0</v>
      </c>
      <c r="M34" s="176">
        <f t="shared" si="3"/>
        <v>0</v>
      </c>
      <c r="N34" s="176">
        <f t="shared" si="3"/>
        <v>0</v>
      </c>
      <c r="O34" s="176">
        <f t="shared" si="3"/>
        <v>0</v>
      </c>
      <c r="P34" s="176">
        <f t="shared" si="3"/>
        <v>0</v>
      </c>
      <c r="Q34" s="147">
        <f>I34+J34+K34+L34+M34+N34+O34+P34</f>
        <v>0</v>
      </c>
    </row>
    <row r="35" spans="1:17" x14ac:dyDescent="0.2">
      <c r="A35" s="276"/>
      <c r="B35" s="276"/>
      <c r="C35" s="276"/>
      <c r="D35" s="276"/>
      <c r="E35" s="276"/>
      <c r="F35" s="387" t="s">
        <v>462</v>
      </c>
      <c r="G35" s="282" t="s">
        <v>564</v>
      </c>
      <c r="H35" s="178"/>
      <c r="I35" s="182"/>
      <c r="J35" s="182"/>
      <c r="K35" s="182"/>
      <c r="L35" s="182"/>
      <c r="M35" s="182"/>
      <c r="N35" s="182"/>
      <c r="O35" s="182"/>
      <c r="P35" s="182"/>
      <c r="Q35" s="147">
        <f>I35+J35+K35+L35+M35+N35+O35+P35</f>
        <v>0</v>
      </c>
    </row>
    <row r="36" spans="1:17" x14ac:dyDescent="0.2">
      <c r="A36" s="276"/>
      <c r="B36" s="276"/>
      <c r="C36" s="276"/>
      <c r="D36" s="276"/>
      <c r="E36" s="276"/>
      <c r="F36" s="387" t="s">
        <v>463</v>
      </c>
      <c r="G36" s="282" t="s">
        <v>565</v>
      </c>
      <c r="H36" s="178"/>
      <c r="I36" s="182"/>
      <c r="J36" s="182"/>
      <c r="K36" s="182"/>
      <c r="L36" s="182"/>
      <c r="M36" s="182"/>
      <c r="N36" s="182"/>
      <c r="O36" s="182"/>
      <c r="P36" s="182"/>
      <c r="Q36" s="147">
        <f>I36+J36+K36+L36+M36+N36+O36+P36</f>
        <v>0</v>
      </c>
    </row>
    <row r="37" spans="1:17" x14ac:dyDescent="0.2">
      <c r="A37" s="276"/>
      <c r="B37" s="276"/>
      <c r="C37" s="276"/>
      <c r="D37" s="276"/>
      <c r="E37" s="276"/>
      <c r="F37" s="387"/>
      <c r="G37" s="404"/>
      <c r="H37" s="177"/>
      <c r="I37" s="184"/>
      <c r="J37" s="184"/>
      <c r="K37" s="184"/>
      <c r="L37" s="184"/>
      <c r="M37" s="184"/>
      <c r="N37" s="184"/>
      <c r="O37" s="184"/>
      <c r="P37" s="184"/>
      <c r="Q37" s="185"/>
    </row>
    <row r="38" spans="1:17" x14ac:dyDescent="0.2">
      <c r="A38" s="273" t="s">
        <v>471</v>
      </c>
      <c r="B38" s="273"/>
      <c r="C38" s="273"/>
      <c r="D38" s="273"/>
      <c r="E38" s="273"/>
      <c r="F38" s="276" t="s">
        <v>470</v>
      </c>
      <c r="G38" s="282" t="s">
        <v>566</v>
      </c>
      <c r="H38" s="175"/>
      <c r="I38" s="182"/>
      <c r="J38" s="182"/>
      <c r="K38" s="182"/>
      <c r="L38" s="182"/>
      <c r="M38" s="182"/>
      <c r="N38" s="182"/>
      <c r="O38" s="182"/>
      <c r="P38" s="182"/>
      <c r="Q38" s="147">
        <f>I38+J38+K38+L38+M38+N38+O38+P38</f>
        <v>0</v>
      </c>
    </row>
    <row r="39" spans="1:17" x14ac:dyDescent="0.2">
      <c r="A39" s="276"/>
      <c r="B39" s="276"/>
      <c r="C39" s="276"/>
      <c r="D39" s="276"/>
      <c r="E39" s="276"/>
      <c r="F39" s="276"/>
      <c r="G39" s="404"/>
      <c r="H39" s="180"/>
      <c r="I39" s="184"/>
      <c r="J39" s="184"/>
      <c r="K39" s="184"/>
      <c r="L39" s="184"/>
      <c r="M39" s="184"/>
      <c r="N39" s="184"/>
      <c r="O39" s="184"/>
      <c r="P39" s="184"/>
      <c r="Q39" s="185"/>
    </row>
    <row r="40" spans="1:17" ht="22.5" customHeight="1" x14ac:dyDescent="0.2">
      <c r="A40" s="272" t="s">
        <v>473</v>
      </c>
      <c r="B40" s="272"/>
      <c r="C40" s="272"/>
      <c r="D40" s="272"/>
      <c r="E40" s="272"/>
      <c r="F40" s="401" t="s">
        <v>472</v>
      </c>
      <c r="G40" s="283" t="s">
        <v>567</v>
      </c>
      <c r="H40" s="179"/>
      <c r="I40" s="183"/>
      <c r="J40" s="183"/>
      <c r="K40" s="183"/>
      <c r="L40" s="183"/>
      <c r="M40" s="182"/>
      <c r="N40" s="182"/>
      <c r="O40" s="182"/>
      <c r="P40" s="182"/>
      <c r="Q40" s="147">
        <f>I40+J40+K40+L40+M40+N40+O40+P40</f>
        <v>0</v>
      </c>
    </row>
    <row r="41" spans="1:17" x14ac:dyDescent="0.2">
      <c r="A41" s="347"/>
      <c r="B41" s="347"/>
      <c r="C41" s="347"/>
      <c r="D41" s="347"/>
      <c r="E41" s="347"/>
      <c r="F41" s="401"/>
      <c r="G41" s="404"/>
      <c r="H41" s="181"/>
      <c r="I41" s="187"/>
      <c r="J41" s="187"/>
      <c r="K41" s="187"/>
      <c r="L41" s="187"/>
      <c r="M41" s="184"/>
      <c r="N41" s="184"/>
      <c r="O41" s="184"/>
      <c r="P41" s="184"/>
      <c r="Q41" s="185"/>
    </row>
    <row r="42" spans="1:17" x14ac:dyDescent="0.2">
      <c r="A42" s="272" t="s">
        <v>476</v>
      </c>
      <c r="B42" s="272"/>
      <c r="C42" s="272"/>
      <c r="D42" s="272"/>
      <c r="E42" s="272"/>
      <c r="F42" s="401" t="s">
        <v>475</v>
      </c>
      <c r="G42" s="282" t="s">
        <v>568</v>
      </c>
      <c r="H42" s="179"/>
      <c r="I42" s="183"/>
      <c r="J42" s="183"/>
      <c r="K42" s="183"/>
      <c r="L42" s="183"/>
      <c r="M42" s="182"/>
      <c r="N42" s="182"/>
      <c r="O42" s="182"/>
      <c r="P42" s="182"/>
      <c r="Q42" s="147">
        <f>I42+J42+K42+L42+M42+N42+O42+P42</f>
        <v>0</v>
      </c>
    </row>
    <row r="43" spans="1:17" x14ac:dyDescent="0.2">
      <c r="A43" s="347"/>
      <c r="B43" s="347"/>
      <c r="C43" s="347"/>
      <c r="D43" s="347"/>
      <c r="E43" s="347"/>
      <c r="F43" s="298"/>
      <c r="G43" s="404"/>
      <c r="H43" s="181"/>
      <c r="I43" s="187"/>
      <c r="J43" s="187"/>
      <c r="K43" s="187"/>
      <c r="L43" s="187"/>
      <c r="M43" s="184"/>
      <c r="N43" s="184"/>
      <c r="O43" s="184"/>
      <c r="P43" s="184"/>
      <c r="Q43" s="185"/>
    </row>
    <row r="44" spans="1:17" x14ac:dyDescent="0.2">
      <c r="A44" s="273" t="s">
        <v>478</v>
      </c>
      <c r="B44" s="272"/>
      <c r="C44" s="272"/>
      <c r="D44" s="272"/>
      <c r="E44" s="272"/>
      <c r="F44" s="276" t="s">
        <v>479</v>
      </c>
      <c r="G44" s="282" t="s">
        <v>622</v>
      </c>
      <c r="H44" s="179"/>
      <c r="I44" s="183"/>
      <c r="J44" s="183"/>
      <c r="K44" s="183"/>
      <c r="L44" s="183"/>
      <c r="M44" s="182"/>
      <c r="N44" s="182"/>
      <c r="O44" s="182"/>
      <c r="P44" s="182"/>
      <c r="Q44" s="147">
        <f>I44+J44+K44+L44+M44+N44+O44+P44</f>
        <v>0</v>
      </c>
    </row>
    <row r="45" spans="1:17" x14ac:dyDescent="0.2">
      <c r="A45" s="273"/>
      <c r="B45" s="272"/>
      <c r="C45" s="272"/>
      <c r="D45" s="272"/>
      <c r="E45" s="272"/>
      <c r="F45" s="401"/>
      <c r="G45" s="404"/>
      <c r="H45" s="181"/>
      <c r="I45" s="187"/>
      <c r="J45" s="187"/>
      <c r="K45" s="187"/>
      <c r="L45" s="187"/>
      <c r="M45" s="184"/>
      <c r="N45" s="184"/>
      <c r="O45" s="184"/>
      <c r="P45" s="184"/>
      <c r="Q45" s="185"/>
    </row>
    <row r="46" spans="1:17" x14ac:dyDescent="0.2">
      <c r="A46" s="272" t="s">
        <v>552</v>
      </c>
      <c r="B46" s="273"/>
      <c r="C46" s="273"/>
      <c r="D46" s="273"/>
      <c r="E46" s="273"/>
      <c r="F46" s="401" t="s">
        <v>477</v>
      </c>
      <c r="G46" s="282" t="s">
        <v>569</v>
      </c>
      <c r="H46" s="175"/>
      <c r="I46" s="182"/>
      <c r="J46" s="182"/>
      <c r="K46" s="182"/>
      <c r="L46" s="182"/>
      <c r="M46" s="182"/>
      <c r="N46" s="182"/>
      <c r="O46" s="182"/>
      <c r="P46" s="182"/>
      <c r="Q46" s="147">
        <f>I46+J46+K46+L46+M46+N46+O46+P46</f>
        <v>0</v>
      </c>
    </row>
    <row r="47" spans="1:17" x14ac:dyDescent="0.2">
      <c r="A47" s="272"/>
      <c r="B47" s="272"/>
      <c r="C47" s="272"/>
      <c r="D47" s="272"/>
      <c r="E47" s="272"/>
      <c r="F47" s="401"/>
      <c r="G47" s="402"/>
      <c r="H47" s="181"/>
      <c r="I47" s="187"/>
      <c r="J47" s="187"/>
      <c r="K47" s="187"/>
      <c r="L47" s="187"/>
      <c r="M47" s="184"/>
      <c r="N47" s="184"/>
      <c r="O47" s="184"/>
      <c r="P47" s="184"/>
      <c r="Q47" s="185"/>
    </row>
    <row r="48" spans="1:17" ht="22.5" x14ac:dyDescent="0.2">
      <c r="A48" s="272" t="s">
        <v>654</v>
      </c>
      <c r="B48" s="273"/>
      <c r="C48" s="273"/>
      <c r="D48" s="273"/>
      <c r="E48" s="273"/>
      <c r="F48" s="275" t="s">
        <v>617</v>
      </c>
      <c r="G48" s="283" t="s">
        <v>582</v>
      </c>
      <c r="H48" s="175"/>
      <c r="I48" s="182"/>
      <c r="J48" s="182"/>
      <c r="K48" s="182"/>
      <c r="L48" s="182"/>
      <c r="M48" s="182"/>
      <c r="N48" s="182"/>
      <c r="O48" s="182"/>
      <c r="P48" s="182"/>
      <c r="Q48" s="147">
        <f>I48+J48+K48+L48+M48+N48+O48+P48</f>
        <v>0</v>
      </c>
    </row>
    <row r="49" spans="1:17" x14ac:dyDescent="0.2">
      <c r="A49" s="277"/>
      <c r="B49" s="273"/>
      <c r="C49" s="273"/>
      <c r="D49" s="273"/>
      <c r="E49" s="273"/>
      <c r="F49" s="275"/>
      <c r="G49" s="283"/>
      <c r="H49" s="267"/>
      <c r="I49" s="270"/>
      <c r="J49" s="270"/>
      <c r="K49" s="270"/>
      <c r="L49" s="270"/>
      <c r="M49" s="270"/>
      <c r="N49" s="270"/>
      <c r="O49" s="270"/>
      <c r="P49" s="270"/>
      <c r="Q49" s="147"/>
    </row>
    <row r="50" spans="1:17" x14ac:dyDescent="0.2">
      <c r="A50" s="272" t="s">
        <v>660</v>
      </c>
      <c r="B50" s="273"/>
      <c r="C50" s="273"/>
      <c r="D50" s="273"/>
      <c r="E50" s="273"/>
      <c r="F50" s="274" t="s">
        <v>52</v>
      </c>
      <c r="G50" s="283" t="s">
        <v>675</v>
      </c>
      <c r="H50" s="175"/>
      <c r="I50" s="182"/>
      <c r="J50" s="182"/>
      <c r="K50" s="182"/>
      <c r="L50" s="182"/>
      <c r="M50" s="182"/>
      <c r="N50" s="182"/>
      <c r="O50" s="182"/>
      <c r="P50" s="182"/>
      <c r="Q50" s="147">
        <f>I50+J50+K50+L50+M50+N50+O50+P50</f>
        <v>0</v>
      </c>
    </row>
    <row r="51" spans="1:17" x14ac:dyDescent="0.2">
      <c r="A51" s="277"/>
      <c r="B51" s="273"/>
      <c r="C51" s="273"/>
      <c r="D51" s="273"/>
      <c r="E51" s="273"/>
      <c r="F51" s="274"/>
      <c r="G51" s="282"/>
      <c r="H51" s="267"/>
      <c r="I51" s="270"/>
      <c r="J51" s="270"/>
      <c r="K51" s="270"/>
      <c r="L51" s="270"/>
      <c r="M51" s="270"/>
      <c r="N51" s="270"/>
      <c r="O51" s="270"/>
      <c r="P51" s="270"/>
      <c r="Q51" s="147"/>
    </row>
    <row r="52" spans="1:17" x14ac:dyDescent="0.2">
      <c r="A52" s="403" t="s">
        <v>480</v>
      </c>
      <c r="B52" s="403"/>
      <c r="C52" s="403"/>
      <c r="D52" s="403"/>
      <c r="E52" s="403"/>
      <c r="F52" s="276"/>
      <c r="G52" s="282" t="s">
        <v>481</v>
      </c>
      <c r="H52" s="175"/>
      <c r="I52" s="176">
        <f>I12+I14+I16+I22+I26+I30+I34+I38+I40+I42+I44+I46+I48+I50</f>
        <v>0</v>
      </c>
      <c r="J52" s="176">
        <f t="shared" ref="J52:P52" si="4">J12+J14+J16+J22+J26+J30+J34+J38+J40+J42+J44+J46+J48+J50</f>
        <v>0</v>
      </c>
      <c r="K52" s="176">
        <f>K12+K14+K16+K22+K26+K30+K34+K38+K40+K42+K44+K46+K48+K50</f>
        <v>0</v>
      </c>
      <c r="L52" s="176">
        <f t="shared" si="4"/>
        <v>0</v>
      </c>
      <c r="M52" s="176">
        <f t="shared" si="4"/>
        <v>0</v>
      </c>
      <c r="N52" s="176">
        <f t="shared" si="4"/>
        <v>0</v>
      </c>
      <c r="O52" s="176">
        <f t="shared" si="4"/>
        <v>0</v>
      </c>
      <c r="P52" s="176">
        <f t="shared" si="4"/>
        <v>0</v>
      </c>
      <c r="Q52" s="147">
        <f>I52+J52+K52+L52+M52+N52+O52+P52</f>
        <v>0</v>
      </c>
    </row>
    <row r="53" spans="1:17" x14ac:dyDescent="0.2">
      <c r="A53" s="403" t="s">
        <v>482</v>
      </c>
      <c r="B53" s="403"/>
      <c r="C53" s="403"/>
      <c r="D53" s="403"/>
      <c r="E53" s="403"/>
      <c r="F53" s="276"/>
      <c r="G53" s="404"/>
      <c r="H53" s="175"/>
      <c r="I53" s="188"/>
      <c r="J53" s="188"/>
      <c r="K53" s="188"/>
      <c r="L53" s="188"/>
      <c r="M53" s="188"/>
      <c r="N53" s="188"/>
      <c r="O53" s="188"/>
      <c r="P53" s="188"/>
      <c r="Q53" s="189"/>
    </row>
    <row r="54" spans="1:17" x14ac:dyDescent="0.2">
      <c r="A54" s="403"/>
      <c r="B54" s="403"/>
      <c r="C54" s="403"/>
      <c r="D54" s="403"/>
      <c r="E54" s="403"/>
      <c r="F54" s="276"/>
      <c r="G54" s="404"/>
      <c r="H54" s="180"/>
      <c r="I54" s="184"/>
      <c r="J54" s="184"/>
      <c r="K54" s="184"/>
      <c r="L54" s="184"/>
      <c r="M54" s="184"/>
      <c r="N54" s="184"/>
      <c r="O54" s="184"/>
      <c r="P54" s="184"/>
      <c r="Q54" s="185"/>
    </row>
    <row r="55" spans="1:17" x14ac:dyDescent="0.2">
      <c r="A55" s="273" t="s">
        <v>161</v>
      </c>
      <c r="B55" s="273"/>
      <c r="C55" s="273"/>
      <c r="D55" s="273"/>
      <c r="E55" s="273"/>
      <c r="F55" s="276" t="s">
        <v>483</v>
      </c>
      <c r="G55" s="282" t="s">
        <v>571</v>
      </c>
      <c r="H55" s="175"/>
      <c r="I55" s="182"/>
      <c r="J55" s="182"/>
      <c r="K55" s="182"/>
      <c r="L55" s="190"/>
      <c r="M55" s="188"/>
      <c r="N55" s="188"/>
      <c r="O55" s="188"/>
      <c r="P55" s="188"/>
      <c r="Q55" s="147">
        <f>I55+J55+K55+L55+M55+N55+O55+P55</f>
        <v>0</v>
      </c>
    </row>
    <row r="56" spans="1:17" x14ac:dyDescent="0.2">
      <c r="A56" s="403"/>
      <c r="B56" s="403"/>
      <c r="C56" s="403"/>
      <c r="D56" s="403"/>
      <c r="E56" s="403"/>
      <c r="F56" s="276"/>
      <c r="G56" s="282"/>
      <c r="H56" s="180"/>
      <c r="I56" s="184"/>
      <c r="J56" s="184"/>
      <c r="K56" s="184"/>
      <c r="L56" s="184"/>
      <c r="M56" s="184"/>
      <c r="N56" s="184"/>
      <c r="O56" s="184"/>
      <c r="P56" s="184"/>
      <c r="Q56" s="185"/>
    </row>
    <row r="57" spans="1:17" ht="22.5" x14ac:dyDescent="0.2">
      <c r="A57" s="272" t="s">
        <v>164</v>
      </c>
      <c r="B57" s="272"/>
      <c r="C57" s="272"/>
      <c r="D57" s="272"/>
      <c r="E57" s="272"/>
      <c r="F57" s="401" t="s">
        <v>484</v>
      </c>
      <c r="G57" s="283" t="s">
        <v>572</v>
      </c>
      <c r="H57" s="179"/>
      <c r="I57" s="182"/>
      <c r="J57" s="182"/>
      <c r="K57" s="182"/>
      <c r="L57" s="182"/>
      <c r="M57" s="182"/>
      <c r="N57" s="182"/>
      <c r="O57" s="182"/>
      <c r="P57" s="182"/>
      <c r="Q57" s="147">
        <f>I57+J57+K57+L57+M57+N57+O57+P57</f>
        <v>0</v>
      </c>
    </row>
    <row r="58" spans="1:17" x14ac:dyDescent="0.2">
      <c r="A58" s="403"/>
      <c r="B58" s="403"/>
      <c r="C58" s="403"/>
      <c r="D58" s="403"/>
      <c r="E58" s="403"/>
      <c r="F58" s="276"/>
      <c r="G58" s="282"/>
      <c r="H58" s="180"/>
      <c r="I58" s="184"/>
      <c r="J58" s="184"/>
      <c r="K58" s="184"/>
      <c r="L58" s="184"/>
      <c r="M58" s="184"/>
      <c r="N58" s="184"/>
      <c r="O58" s="184"/>
      <c r="P58" s="184"/>
      <c r="Q58" s="185"/>
    </row>
    <row r="59" spans="1:17" x14ac:dyDescent="0.2">
      <c r="A59" s="273" t="s">
        <v>207</v>
      </c>
      <c r="B59" s="273"/>
      <c r="C59" s="273"/>
      <c r="D59" s="273"/>
      <c r="E59" s="273"/>
      <c r="F59" s="276" t="s">
        <v>485</v>
      </c>
      <c r="G59" s="282" t="s">
        <v>573</v>
      </c>
      <c r="H59" s="175"/>
      <c r="I59" s="182"/>
      <c r="J59" s="182"/>
      <c r="K59" s="182"/>
      <c r="L59" s="182"/>
      <c r="M59" s="182"/>
      <c r="N59" s="182"/>
      <c r="O59" s="182"/>
      <c r="P59" s="182"/>
      <c r="Q59" s="147">
        <f>I59+J59+K59+L59+M59+N59+O59+P59</f>
        <v>0</v>
      </c>
    </row>
    <row r="60" spans="1:17" x14ac:dyDescent="0.2">
      <c r="A60" s="273"/>
      <c r="B60" s="273"/>
      <c r="C60" s="273"/>
      <c r="D60" s="273"/>
      <c r="E60" s="273"/>
      <c r="F60" s="276"/>
      <c r="G60" s="282"/>
      <c r="H60" s="267"/>
      <c r="I60" s="270"/>
      <c r="J60" s="270"/>
      <c r="K60" s="270"/>
      <c r="L60" s="270"/>
      <c r="M60" s="270"/>
      <c r="N60" s="270"/>
      <c r="O60" s="270"/>
      <c r="P60" s="270"/>
      <c r="Q60" s="147"/>
    </row>
    <row r="61" spans="1:17" x14ac:dyDescent="0.2">
      <c r="A61" s="273" t="s">
        <v>209</v>
      </c>
      <c r="B61" s="276"/>
      <c r="C61" s="276"/>
      <c r="D61" s="276"/>
      <c r="E61" s="276"/>
      <c r="F61" s="276" t="s">
        <v>662</v>
      </c>
      <c r="G61" s="282" t="s">
        <v>676</v>
      </c>
      <c r="H61" s="175"/>
      <c r="I61" s="182"/>
      <c r="J61" s="182"/>
      <c r="K61" s="182"/>
      <c r="L61" s="182"/>
      <c r="M61" s="182"/>
      <c r="N61" s="182"/>
      <c r="O61" s="182"/>
      <c r="P61" s="182"/>
      <c r="Q61" s="147">
        <f>I61+J61+K61+L61+M61+N61+O61+P61</f>
        <v>0</v>
      </c>
    </row>
    <row r="62" spans="1:17" x14ac:dyDescent="0.2">
      <c r="A62" s="276"/>
      <c r="B62" s="276"/>
      <c r="C62" s="276"/>
      <c r="D62" s="276"/>
      <c r="E62" s="276"/>
      <c r="F62" s="276"/>
      <c r="G62" s="282"/>
      <c r="H62" s="180"/>
      <c r="I62" s="184"/>
      <c r="J62" s="184"/>
      <c r="K62" s="184"/>
      <c r="L62" s="184"/>
      <c r="M62" s="184"/>
      <c r="N62" s="184"/>
      <c r="O62" s="184"/>
      <c r="P62" s="184"/>
      <c r="Q62" s="185"/>
    </row>
    <row r="63" spans="1:17" x14ac:dyDescent="0.2">
      <c r="A63" s="273" t="s">
        <v>465</v>
      </c>
      <c r="B63" s="273"/>
      <c r="C63" s="273"/>
      <c r="D63" s="273"/>
      <c r="E63" s="273"/>
      <c r="F63" s="276" t="s">
        <v>486</v>
      </c>
      <c r="G63" s="282" t="s">
        <v>574</v>
      </c>
      <c r="H63" s="175"/>
      <c r="I63" s="182"/>
      <c r="J63" s="182"/>
      <c r="K63" s="182"/>
      <c r="L63" s="182"/>
      <c r="M63" s="182"/>
      <c r="N63" s="182"/>
      <c r="O63" s="182"/>
      <c r="P63" s="182"/>
      <c r="Q63" s="147">
        <f>I63+J63+K63+L63+M63+N63+O63+P63</f>
        <v>0</v>
      </c>
    </row>
    <row r="64" spans="1:17" x14ac:dyDescent="0.2">
      <c r="A64" s="276"/>
      <c r="B64" s="276"/>
      <c r="C64" s="276"/>
      <c r="D64" s="276"/>
      <c r="E64" s="276"/>
      <c r="F64" s="276"/>
      <c r="G64" s="282"/>
      <c r="H64" s="180"/>
      <c r="I64" s="184"/>
      <c r="J64" s="184"/>
      <c r="K64" s="184"/>
      <c r="L64" s="184"/>
      <c r="M64" s="184"/>
      <c r="N64" s="184"/>
      <c r="O64" s="184"/>
      <c r="P64" s="184"/>
      <c r="Q64" s="185"/>
    </row>
    <row r="65" spans="1:17" x14ac:dyDescent="0.2">
      <c r="A65" s="273" t="s">
        <v>467</v>
      </c>
      <c r="B65" s="273"/>
      <c r="C65" s="273"/>
      <c r="D65" s="273"/>
      <c r="E65" s="273"/>
      <c r="F65" s="276" t="s">
        <v>487</v>
      </c>
      <c r="G65" s="282" t="s">
        <v>575</v>
      </c>
      <c r="H65" s="175"/>
      <c r="I65" s="182"/>
      <c r="J65" s="182"/>
      <c r="K65" s="182"/>
      <c r="L65" s="182"/>
      <c r="M65" s="182"/>
      <c r="N65" s="182"/>
      <c r="O65" s="182"/>
      <c r="P65" s="182"/>
      <c r="Q65" s="147">
        <f>I65+J65+K65+L65+M65+N65+O65+P65</f>
        <v>0</v>
      </c>
    </row>
    <row r="66" spans="1:17" x14ac:dyDescent="0.2">
      <c r="A66" s="276"/>
      <c r="B66" s="276"/>
      <c r="C66" s="276"/>
      <c r="D66" s="276"/>
      <c r="E66" s="276"/>
      <c r="F66" s="276"/>
      <c r="G66" s="282"/>
      <c r="H66" s="180"/>
      <c r="I66" s="184"/>
      <c r="J66" s="184"/>
      <c r="K66" s="184"/>
      <c r="L66" s="184"/>
      <c r="M66" s="184"/>
      <c r="N66" s="184"/>
      <c r="O66" s="184"/>
      <c r="P66" s="184"/>
      <c r="Q66" s="185"/>
    </row>
    <row r="67" spans="1:17" x14ac:dyDescent="0.2">
      <c r="A67" s="273" t="s">
        <v>469</v>
      </c>
      <c r="B67" s="273"/>
      <c r="C67" s="273"/>
      <c r="D67" s="273"/>
      <c r="E67" s="273"/>
      <c r="F67" s="276" t="s">
        <v>488</v>
      </c>
      <c r="G67" s="282" t="s">
        <v>576</v>
      </c>
      <c r="H67" s="175"/>
      <c r="I67" s="182"/>
      <c r="J67" s="182"/>
      <c r="K67" s="182"/>
      <c r="L67" s="182"/>
      <c r="M67" s="182"/>
      <c r="N67" s="182"/>
      <c r="O67" s="182"/>
      <c r="P67" s="182"/>
      <c r="Q67" s="147">
        <f>I67+J67+K67+L67+M67+N67+O67+P67</f>
        <v>0</v>
      </c>
    </row>
    <row r="68" spans="1:17" x14ac:dyDescent="0.2">
      <c r="A68" s="276"/>
      <c r="B68" s="276"/>
      <c r="C68" s="276"/>
      <c r="D68" s="276"/>
      <c r="E68" s="276"/>
      <c r="F68" s="276"/>
      <c r="G68" s="282"/>
      <c r="H68" s="180"/>
      <c r="I68" s="184"/>
      <c r="J68" s="184"/>
      <c r="K68" s="184"/>
      <c r="L68" s="184"/>
      <c r="M68" s="184"/>
      <c r="N68" s="184"/>
      <c r="O68" s="184"/>
      <c r="P68" s="184"/>
      <c r="Q68" s="185"/>
    </row>
    <row r="69" spans="1:17" x14ac:dyDescent="0.2">
      <c r="A69" s="273" t="s">
        <v>471</v>
      </c>
      <c r="B69" s="273"/>
      <c r="C69" s="273"/>
      <c r="D69" s="273"/>
      <c r="E69" s="273"/>
      <c r="F69" s="276" t="s">
        <v>489</v>
      </c>
      <c r="G69" s="282" t="s">
        <v>577</v>
      </c>
      <c r="H69" s="175"/>
      <c r="I69" s="182"/>
      <c r="J69" s="182"/>
      <c r="K69" s="182"/>
      <c r="L69" s="182"/>
      <c r="M69" s="182"/>
      <c r="N69" s="182"/>
      <c r="O69" s="182"/>
      <c r="P69" s="182"/>
      <c r="Q69" s="147">
        <f>I69+J69+K69+L69+M69+N69+O69+P69</f>
        <v>0</v>
      </c>
    </row>
    <row r="70" spans="1:17" x14ac:dyDescent="0.2">
      <c r="A70" s="273"/>
      <c r="B70" s="273"/>
      <c r="C70" s="273"/>
      <c r="D70" s="273"/>
      <c r="E70" s="273"/>
      <c r="F70" s="276"/>
      <c r="G70" s="282"/>
      <c r="H70" s="180"/>
      <c r="I70" s="184"/>
      <c r="J70" s="184"/>
      <c r="K70" s="184"/>
      <c r="L70" s="184"/>
      <c r="M70" s="184"/>
      <c r="N70" s="184"/>
      <c r="O70" s="184"/>
      <c r="P70" s="184"/>
      <c r="Q70" s="185"/>
    </row>
    <row r="71" spans="1:17" x14ac:dyDescent="0.2">
      <c r="A71" s="273" t="s">
        <v>473</v>
      </c>
      <c r="B71" s="276"/>
      <c r="C71" s="276"/>
      <c r="D71" s="276"/>
      <c r="E71" s="276"/>
      <c r="F71" s="276" t="s">
        <v>664</v>
      </c>
      <c r="G71" s="282" t="s">
        <v>677</v>
      </c>
      <c r="H71" s="175"/>
      <c r="I71" s="182"/>
      <c r="J71" s="182"/>
      <c r="K71" s="182"/>
      <c r="L71" s="182"/>
      <c r="M71" s="182"/>
      <c r="N71" s="182"/>
      <c r="O71" s="182"/>
      <c r="P71" s="182"/>
      <c r="Q71" s="147">
        <f>I71+J71+K71+L71+M71+N71+O71+P71</f>
        <v>0</v>
      </c>
    </row>
    <row r="72" spans="1:17" x14ac:dyDescent="0.2">
      <c r="A72" s="276"/>
      <c r="B72" s="276"/>
      <c r="C72" s="276"/>
      <c r="D72" s="276"/>
      <c r="E72" s="276"/>
      <c r="F72" s="276"/>
      <c r="G72" s="282"/>
      <c r="H72" s="180"/>
      <c r="I72" s="184"/>
      <c r="J72" s="184"/>
      <c r="K72" s="184"/>
      <c r="L72" s="184"/>
      <c r="M72" s="184"/>
      <c r="N72" s="184"/>
      <c r="O72" s="184"/>
      <c r="P72" s="184"/>
      <c r="Q72" s="185"/>
    </row>
    <row r="73" spans="1:17" x14ac:dyDescent="0.2">
      <c r="A73" s="273" t="s">
        <v>476</v>
      </c>
      <c r="B73" s="273"/>
      <c r="C73" s="273"/>
      <c r="D73" s="273"/>
      <c r="E73" s="273"/>
      <c r="F73" s="276" t="s">
        <v>490</v>
      </c>
      <c r="G73" s="282" t="s">
        <v>578</v>
      </c>
      <c r="H73" s="175"/>
      <c r="I73" s="182"/>
      <c r="J73" s="182"/>
      <c r="K73" s="182"/>
      <c r="L73" s="182"/>
      <c r="M73" s="182"/>
      <c r="N73" s="182"/>
      <c r="O73" s="182"/>
      <c r="P73" s="182"/>
      <c r="Q73" s="147">
        <f>I73+J73+K73+L73+M73+N73+O73+P73</f>
        <v>0</v>
      </c>
    </row>
    <row r="74" spans="1:17" x14ac:dyDescent="0.2">
      <c r="A74" s="273"/>
      <c r="B74" s="276"/>
      <c r="C74" s="276"/>
      <c r="D74" s="276"/>
      <c r="E74" s="276"/>
      <c r="F74" s="276"/>
      <c r="G74" s="282"/>
      <c r="H74" s="180"/>
      <c r="I74" s="184"/>
      <c r="J74" s="184"/>
      <c r="K74" s="184"/>
      <c r="L74" s="184"/>
      <c r="M74" s="184"/>
      <c r="N74" s="184"/>
      <c r="O74" s="184"/>
      <c r="P74" s="184"/>
      <c r="Q74" s="185"/>
    </row>
    <row r="75" spans="1:17" x14ac:dyDescent="0.2">
      <c r="A75" s="273" t="s">
        <v>478</v>
      </c>
      <c r="B75" s="273"/>
      <c r="C75" s="273"/>
      <c r="D75" s="273"/>
      <c r="E75" s="273"/>
      <c r="F75" s="276" t="s">
        <v>491</v>
      </c>
      <c r="G75" s="282" t="s">
        <v>579</v>
      </c>
      <c r="H75" s="175"/>
      <c r="I75" s="182"/>
      <c r="J75" s="182"/>
      <c r="K75" s="182"/>
      <c r="L75" s="182"/>
      <c r="M75" s="182"/>
      <c r="N75" s="182"/>
      <c r="O75" s="182"/>
      <c r="P75" s="182"/>
      <c r="Q75" s="147">
        <f>I75+J75+K75+L75+M75+N75+O75+P75</f>
        <v>0</v>
      </c>
    </row>
    <row r="76" spans="1:17" x14ac:dyDescent="0.2">
      <c r="A76" s="273"/>
      <c r="B76" s="273"/>
      <c r="C76" s="273"/>
      <c r="D76" s="273"/>
      <c r="E76" s="273"/>
      <c r="F76" s="276"/>
      <c r="G76" s="282"/>
      <c r="H76" s="180"/>
      <c r="I76" s="184"/>
      <c r="J76" s="184"/>
      <c r="K76" s="184"/>
      <c r="L76" s="184"/>
      <c r="M76" s="184"/>
      <c r="N76" s="184"/>
      <c r="O76" s="184"/>
      <c r="P76" s="184"/>
      <c r="Q76" s="185"/>
    </row>
    <row r="77" spans="1:17" x14ac:dyDescent="0.2">
      <c r="A77" s="272" t="s">
        <v>552</v>
      </c>
      <c r="B77" s="273"/>
      <c r="C77" s="273"/>
      <c r="D77" s="273"/>
      <c r="E77" s="273"/>
      <c r="F77" s="276" t="s">
        <v>492</v>
      </c>
      <c r="G77" s="282" t="s">
        <v>580</v>
      </c>
      <c r="H77" s="175"/>
      <c r="I77" s="182"/>
      <c r="J77" s="182"/>
      <c r="K77" s="182"/>
      <c r="L77" s="182"/>
      <c r="M77" s="182"/>
      <c r="N77" s="182"/>
      <c r="O77" s="182"/>
      <c r="P77" s="182"/>
      <c r="Q77" s="147">
        <f>I77+J77+K77+L77+M77+N77+O77+P77</f>
        <v>0</v>
      </c>
    </row>
    <row r="78" spans="1:17" x14ac:dyDescent="0.2">
      <c r="A78" s="273"/>
      <c r="B78" s="273"/>
      <c r="C78" s="273"/>
      <c r="D78" s="273"/>
      <c r="E78" s="273"/>
      <c r="F78" s="276"/>
      <c r="G78" s="404"/>
      <c r="H78" s="180"/>
      <c r="I78" s="184"/>
      <c r="J78" s="184"/>
      <c r="K78" s="184"/>
      <c r="L78" s="184"/>
      <c r="M78" s="184"/>
      <c r="N78" s="184"/>
      <c r="O78" s="184"/>
      <c r="P78" s="184"/>
      <c r="Q78" s="185"/>
    </row>
    <row r="79" spans="1:17" ht="22.5" x14ac:dyDescent="0.2">
      <c r="A79" s="272" t="s">
        <v>654</v>
      </c>
      <c r="B79" s="273"/>
      <c r="C79" s="273"/>
      <c r="D79" s="273"/>
      <c r="E79" s="273"/>
      <c r="F79" s="275" t="s">
        <v>618</v>
      </c>
      <c r="G79" s="283" t="s">
        <v>583</v>
      </c>
      <c r="H79" s="175"/>
      <c r="I79" s="182"/>
      <c r="J79" s="182"/>
      <c r="K79" s="182"/>
      <c r="L79" s="182"/>
      <c r="M79" s="182"/>
      <c r="N79" s="182"/>
      <c r="O79" s="182"/>
      <c r="P79" s="182"/>
      <c r="Q79" s="147">
        <f>I79+J79+K79+L79+M79+N79+O79+P79</f>
        <v>0</v>
      </c>
    </row>
    <row r="80" spans="1:17" x14ac:dyDescent="0.2">
      <c r="A80" s="272"/>
      <c r="B80" s="273"/>
      <c r="C80" s="273"/>
      <c r="D80" s="273"/>
      <c r="E80" s="273"/>
      <c r="F80" s="275"/>
      <c r="G80" s="283"/>
      <c r="H80" s="267"/>
      <c r="I80" s="270"/>
      <c r="J80" s="270"/>
      <c r="K80" s="270"/>
      <c r="L80" s="270"/>
      <c r="M80" s="270"/>
      <c r="N80" s="270"/>
      <c r="O80" s="270"/>
      <c r="P80" s="270"/>
      <c r="Q80" s="147"/>
    </row>
    <row r="81" spans="1:17" x14ac:dyDescent="0.2">
      <c r="A81" s="272" t="s">
        <v>660</v>
      </c>
      <c r="B81" s="273"/>
      <c r="C81" s="273"/>
      <c r="D81" s="273"/>
      <c r="E81" s="273"/>
      <c r="F81" s="274" t="s">
        <v>52</v>
      </c>
      <c r="G81" s="283" t="s">
        <v>678</v>
      </c>
      <c r="H81" s="175"/>
      <c r="I81" s="182"/>
      <c r="J81" s="182"/>
      <c r="K81" s="182"/>
      <c r="L81" s="182"/>
      <c r="M81" s="182"/>
      <c r="N81" s="182"/>
      <c r="O81" s="182"/>
      <c r="P81" s="182"/>
      <c r="Q81" s="147">
        <f>I81+J81+K81+L81+M81+N81+O81+P81</f>
        <v>0</v>
      </c>
    </row>
    <row r="82" spans="1:17" x14ac:dyDescent="0.2">
      <c r="A82" s="272"/>
      <c r="B82" s="273"/>
      <c r="C82" s="273"/>
      <c r="D82" s="273"/>
      <c r="E82" s="273"/>
      <c r="F82" s="275"/>
      <c r="G82" s="283"/>
      <c r="H82" s="267"/>
      <c r="I82" s="270"/>
      <c r="J82" s="270"/>
      <c r="K82" s="270"/>
      <c r="L82" s="270"/>
      <c r="M82" s="270"/>
      <c r="N82" s="270"/>
      <c r="O82" s="270"/>
      <c r="P82" s="270"/>
      <c r="Q82" s="147"/>
    </row>
    <row r="83" spans="1:17" x14ac:dyDescent="0.2">
      <c r="A83" s="403" t="s">
        <v>493</v>
      </c>
      <c r="B83" s="403"/>
      <c r="C83" s="403"/>
      <c r="D83" s="403"/>
      <c r="E83" s="403"/>
      <c r="F83" s="276"/>
      <c r="G83" s="282" t="s">
        <v>494</v>
      </c>
      <c r="H83" s="175"/>
      <c r="I83" s="176">
        <f>I55+I57+I59+I61+I63+I65+I67+I69+I71+I73+I75+I77+I79+I81</f>
        <v>0</v>
      </c>
      <c r="J83" s="176">
        <f t="shared" ref="J83:P83" si="5">J55+J57+J59+J61+J63+J65+J67+J69+J71+J73+J75+J77+J79+J81</f>
        <v>0</v>
      </c>
      <c r="K83" s="176">
        <f>K55+K57+K59+K61+K63+K65+K67+K69+K71+K73+K75+K77+K79+K81</f>
        <v>0</v>
      </c>
      <c r="L83" s="176">
        <f t="shared" si="5"/>
        <v>0</v>
      </c>
      <c r="M83" s="176">
        <f t="shared" si="5"/>
        <v>0</v>
      </c>
      <c r="N83" s="176">
        <f t="shared" si="5"/>
        <v>0</v>
      </c>
      <c r="O83" s="176">
        <f t="shared" si="5"/>
        <v>0</v>
      </c>
      <c r="P83" s="176">
        <f t="shared" si="5"/>
        <v>0</v>
      </c>
      <c r="Q83" s="147">
        <f>I83+J83+K83+L83+M83+N83+O83+P83</f>
        <v>0</v>
      </c>
    </row>
    <row r="84" spans="1:17" x14ac:dyDescent="0.2">
      <c r="A84" s="405"/>
      <c r="B84" s="405"/>
      <c r="C84" s="405"/>
      <c r="D84" s="405"/>
      <c r="E84" s="405"/>
      <c r="F84" s="387"/>
      <c r="G84" s="392"/>
      <c r="H84" s="177"/>
      <c r="I84" s="184"/>
      <c r="J84" s="184"/>
      <c r="K84" s="184"/>
      <c r="L84" s="184"/>
      <c r="M84" s="184"/>
      <c r="N84" s="184"/>
      <c r="O84" s="184"/>
      <c r="P84" s="184"/>
      <c r="Q84" s="185"/>
    </row>
    <row r="85" spans="1:17" x14ac:dyDescent="0.2">
      <c r="A85" s="409" t="s">
        <v>495</v>
      </c>
      <c r="B85" s="409"/>
      <c r="C85" s="409"/>
      <c r="D85" s="409"/>
      <c r="E85" s="409"/>
      <c r="F85" s="403"/>
      <c r="G85" s="282" t="s">
        <v>496</v>
      </c>
      <c r="H85" s="175"/>
      <c r="I85" s="176">
        <f t="shared" ref="I85:P85" si="6">I52-I83</f>
        <v>0</v>
      </c>
      <c r="J85" s="176">
        <f t="shared" si="6"/>
        <v>0</v>
      </c>
      <c r="K85" s="176">
        <f>K52-K83</f>
        <v>0</v>
      </c>
      <c r="L85" s="176">
        <f t="shared" si="6"/>
        <v>0</v>
      </c>
      <c r="M85" s="176">
        <f t="shared" si="6"/>
        <v>0</v>
      </c>
      <c r="N85" s="176">
        <f t="shared" si="6"/>
        <v>0</v>
      </c>
      <c r="O85" s="176">
        <f t="shared" si="6"/>
        <v>0</v>
      </c>
      <c r="P85" s="176">
        <f t="shared" si="6"/>
        <v>0</v>
      </c>
      <c r="Q85" s="147">
        <f>I85+J85+K85+L85+M85+N85+O85+P85</f>
        <v>0</v>
      </c>
    </row>
    <row r="86" spans="1:17" x14ac:dyDescent="0.2">
      <c r="G86" s="228" t="s">
        <v>108</v>
      </c>
    </row>
  </sheetData>
  <sheetProtection password="A558" sheet="1" objects="1" scenarios="1" selectLockedCells="1"/>
  <mergeCells count="5">
    <mergeCell ref="A6:F6"/>
    <mergeCell ref="A1:Q1"/>
    <mergeCell ref="A2:Q2"/>
    <mergeCell ref="A3:Q3"/>
    <mergeCell ref="A4:Q4"/>
  </mergeCells>
  <phoneticPr fontId="2" type="noConversion"/>
  <dataValidations count="2">
    <dataValidation type="decimal" allowBlank="1" showInputMessage="1" showErrorMessage="1" error="Invalid data is entered!" sqref="I79:P82 I75:P75 I73:P73 I69:P71 I67:P67 I65:P65 I63:P63 I59:P61 I57:P57 I55:L55 I48:P52 I46:P46 I12:P14 I44:P44 I42:P42 I27:P28 I23:P24 I18:L20 I77:P77">
      <formula1>0</formula1>
      <formula2>99999999999999900</formula2>
    </dataValidation>
    <dataValidation type="decimal" allowBlank="1" showInputMessage="1" showErrorMessage="1" sqref="I40:P40 I38:P38 I35:P36 I31:P32">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40&amp;10&amp;U
&amp;8Page &amp;P of &amp;N Pages&amp;C&amp;"Arial,Bold"&amp;8 NEW RURAL BANK OF SAN LEONARDO, INC  [ 04-040656 ]
 As of: September 30, 2017</oddHeader>
  </headerFooter>
  <rowBreaks count="1" manualBreakCount="1">
    <brk id="52"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86"/>
  <sheetViews>
    <sheetView zoomScaleNormal="100" workbookViewId="0">
      <pane xSplit="8" ySplit="11" topLeftCell="I12" activePane="bottomRight" state="frozen"/>
      <selection pane="topRight" activeCell="I1" sqref="I1"/>
      <selection pane="bottomLeft" activeCell="A12" sqref="A12"/>
      <selection pane="bottomRight" activeCell="I12" sqref="I12"/>
    </sheetView>
  </sheetViews>
  <sheetFormatPr defaultRowHeight="11.25" x14ac:dyDescent="0.2"/>
  <cols>
    <col min="1" max="1" width="3.28515625" style="21" customWidth="1"/>
    <col min="2" max="5" width="3.28515625" style="21" hidden="1" customWidth="1"/>
    <col min="6" max="6" width="40.28515625" style="21" customWidth="1"/>
    <col min="7" max="7" width="18.28515625" style="128" customWidth="1"/>
    <col min="8" max="8" width="1.28515625" style="116" hidden="1" customWidth="1"/>
    <col min="9" max="17" width="25.7109375" style="48" customWidth="1"/>
    <col min="18" max="16384" width="9.140625" style="5"/>
  </cols>
  <sheetData>
    <row r="1" spans="1:29" s="243" customFormat="1" ht="12.75" x14ac:dyDescent="0.2">
      <c r="A1" s="669" t="s">
        <v>450</v>
      </c>
      <c r="B1" s="669"/>
      <c r="C1" s="669"/>
      <c r="D1" s="669"/>
      <c r="E1" s="669"/>
      <c r="F1" s="669"/>
      <c r="G1" s="669"/>
      <c r="H1" s="669"/>
      <c r="I1" s="669"/>
      <c r="J1" s="669"/>
      <c r="K1" s="669"/>
      <c r="L1" s="669"/>
      <c r="M1" s="669"/>
      <c r="N1" s="669"/>
      <c r="O1" s="669"/>
      <c r="P1" s="669"/>
      <c r="Q1" s="669"/>
      <c r="R1" s="242"/>
      <c r="S1" s="242"/>
      <c r="T1" s="242"/>
      <c r="U1" s="242"/>
      <c r="V1" s="242"/>
      <c r="W1" s="242"/>
      <c r="X1" s="242"/>
      <c r="Y1" s="242"/>
      <c r="Z1" s="242"/>
      <c r="AA1" s="242"/>
      <c r="AB1" s="242"/>
      <c r="AC1" s="242"/>
    </row>
    <row r="2" spans="1:29" s="243" customFormat="1" ht="12.75" x14ac:dyDescent="0.2">
      <c r="A2" s="697" t="s">
        <v>451</v>
      </c>
      <c r="B2" s="697"/>
      <c r="C2" s="697"/>
      <c r="D2" s="697"/>
      <c r="E2" s="697"/>
      <c r="F2" s="697"/>
      <c r="G2" s="697"/>
      <c r="H2" s="697"/>
      <c r="I2" s="697"/>
      <c r="J2" s="697"/>
      <c r="K2" s="697"/>
      <c r="L2" s="697"/>
      <c r="M2" s="697"/>
      <c r="N2" s="697"/>
      <c r="O2" s="697"/>
      <c r="P2" s="697"/>
      <c r="Q2" s="697"/>
      <c r="R2" s="248"/>
      <c r="S2" s="248"/>
      <c r="T2" s="248"/>
      <c r="U2" s="248"/>
      <c r="V2" s="248"/>
      <c r="W2" s="248"/>
      <c r="X2" s="248"/>
      <c r="Y2" s="248"/>
      <c r="Z2" s="248"/>
      <c r="AA2" s="248"/>
      <c r="AB2" s="248"/>
      <c r="AC2" s="248"/>
    </row>
    <row r="3" spans="1:29" s="243" customFormat="1" ht="12.75" x14ac:dyDescent="0.2">
      <c r="A3" s="697" t="s">
        <v>53</v>
      </c>
      <c r="B3" s="697"/>
      <c r="C3" s="697"/>
      <c r="D3" s="697"/>
      <c r="E3" s="697"/>
      <c r="F3" s="697"/>
      <c r="G3" s="697"/>
      <c r="H3" s="697"/>
      <c r="I3" s="697"/>
      <c r="J3" s="697"/>
      <c r="K3" s="697"/>
      <c r="L3" s="697"/>
      <c r="M3" s="697"/>
      <c r="N3" s="697"/>
      <c r="O3" s="697"/>
      <c r="P3" s="697"/>
      <c r="Q3" s="697"/>
      <c r="R3" s="248"/>
      <c r="S3" s="248"/>
      <c r="T3" s="248"/>
      <c r="U3" s="248"/>
      <c r="V3" s="248"/>
      <c r="W3" s="248"/>
      <c r="X3" s="248"/>
      <c r="Y3" s="248"/>
      <c r="Z3" s="248"/>
      <c r="AA3" s="248"/>
      <c r="AB3" s="248"/>
      <c r="AC3" s="248"/>
    </row>
    <row r="4" spans="1:29" s="243" customFormat="1" ht="12.75" x14ac:dyDescent="0.2">
      <c r="A4" s="697" t="s">
        <v>581</v>
      </c>
      <c r="B4" s="697"/>
      <c r="C4" s="697"/>
      <c r="D4" s="697"/>
      <c r="E4" s="697"/>
      <c r="F4" s="697"/>
      <c r="G4" s="697"/>
      <c r="H4" s="697"/>
      <c r="I4" s="697"/>
      <c r="J4" s="697"/>
      <c r="K4" s="697"/>
      <c r="L4" s="697"/>
      <c r="M4" s="697"/>
      <c r="N4" s="697"/>
      <c r="O4" s="697"/>
      <c r="P4" s="697"/>
      <c r="Q4" s="697"/>
      <c r="R4" s="248"/>
      <c r="S4" s="248"/>
      <c r="T4" s="248"/>
      <c r="U4" s="248"/>
      <c r="V4" s="248"/>
      <c r="W4" s="248"/>
      <c r="X4" s="248"/>
      <c r="Y4" s="248"/>
      <c r="Z4" s="248"/>
      <c r="AA4" s="248"/>
      <c r="AB4" s="248"/>
      <c r="AC4" s="248"/>
    </row>
    <row r="5" spans="1:29" ht="12.75" x14ac:dyDescent="0.2">
      <c r="A5" s="66"/>
      <c r="B5" s="66"/>
      <c r="C5" s="66"/>
      <c r="D5" s="66"/>
      <c r="E5" s="66"/>
      <c r="F5" s="66"/>
      <c r="G5" s="66"/>
      <c r="H5" s="66"/>
      <c r="I5" s="66"/>
      <c r="J5" s="66"/>
      <c r="K5" s="66"/>
      <c r="L5" s="66"/>
      <c r="M5" s="66"/>
      <c r="N5" s="66"/>
      <c r="O5" s="66"/>
      <c r="P5" s="66"/>
      <c r="Q5" s="169"/>
      <c r="R5" s="7"/>
      <c r="S5" s="7"/>
      <c r="T5" s="7"/>
      <c r="U5" s="7"/>
      <c r="V5" s="7"/>
      <c r="W5" s="7"/>
      <c r="X5" s="7"/>
      <c r="Y5" s="7"/>
      <c r="Z5" s="7"/>
      <c r="AA5" s="7"/>
      <c r="AB5" s="7"/>
      <c r="AC5" s="7"/>
    </row>
    <row r="6" spans="1:29" ht="12.75" hidden="1" x14ac:dyDescent="0.2">
      <c r="A6" s="66"/>
      <c r="B6" s="66"/>
      <c r="C6" s="66"/>
      <c r="D6" s="66"/>
      <c r="E6" s="66"/>
      <c r="F6" s="66"/>
      <c r="G6" s="66"/>
      <c r="H6" s="66"/>
      <c r="I6" s="66"/>
      <c r="J6" s="66"/>
      <c r="K6" s="66"/>
      <c r="L6" s="66"/>
      <c r="M6" s="66"/>
      <c r="N6" s="66"/>
      <c r="O6" s="66"/>
      <c r="P6" s="66"/>
      <c r="Q6" s="169"/>
      <c r="R6" s="7"/>
      <c r="S6" s="7"/>
      <c r="T6" s="7"/>
      <c r="U6" s="7"/>
      <c r="V6" s="7"/>
      <c r="W6" s="7"/>
      <c r="X6" s="7"/>
      <c r="Y6" s="7"/>
      <c r="Z6" s="7"/>
      <c r="AA6" s="7"/>
      <c r="AB6" s="7"/>
      <c r="AC6" s="7"/>
    </row>
    <row r="7" spans="1:29" ht="12.75" hidden="1" x14ac:dyDescent="0.2">
      <c r="A7" s="66"/>
      <c r="B7" s="66"/>
      <c r="C7" s="66"/>
      <c r="D7" s="66"/>
      <c r="E7" s="66"/>
      <c r="F7" s="66"/>
      <c r="G7" s="66"/>
      <c r="H7" s="66"/>
      <c r="I7" s="66"/>
      <c r="J7" s="66"/>
      <c r="K7" s="66"/>
      <c r="L7" s="66"/>
      <c r="M7" s="66"/>
      <c r="N7" s="66"/>
      <c r="O7" s="66"/>
      <c r="P7" s="66"/>
      <c r="Q7" s="169"/>
      <c r="R7" s="7"/>
      <c r="S7" s="7"/>
      <c r="T7" s="7"/>
      <c r="U7" s="7"/>
      <c r="V7" s="7"/>
      <c r="W7" s="7"/>
      <c r="X7" s="7"/>
      <c r="Y7" s="7"/>
      <c r="Z7" s="7"/>
      <c r="AA7" s="7"/>
      <c r="AB7" s="7"/>
      <c r="AC7" s="7"/>
    </row>
    <row r="8" spans="1:29" hidden="1" x14ac:dyDescent="0.2">
      <c r="A8" s="191"/>
      <c r="B8" s="191"/>
      <c r="C8" s="191"/>
      <c r="D8" s="191"/>
      <c r="E8" s="191"/>
      <c r="F8" s="191"/>
      <c r="G8" s="191"/>
      <c r="H8" s="192"/>
      <c r="I8" s="53"/>
      <c r="J8" s="53"/>
      <c r="K8" s="53"/>
      <c r="L8" s="53"/>
      <c r="M8" s="53"/>
      <c r="N8" s="53"/>
      <c r="O8" s="53"/>
      <c r="P8" s="53"/>
      <c r="Q8" s="169"/>
      <c r="R8" s="7"/>
      <c r="S8" s="7"/>
      <c r="T8" s="7"/>
      <c r="U8" s="7"/>
      <c r="V8" s="7"/>
      <c r="W8" s="7"/>
      <c r="X8" s="7"/>
      <c r="Y8" s="7"/>
      <c r="Z8" s="7"/>
      <c r="AA8" s="7"/>
      <c r="AB8" s="7"/>
      <c r="AC8" s="7"/>
    </row>
    <row r="9" spans="1:29" hidden="1" x14ac:dyDescent="0.2">
      <c r="A9" s="191"/>
      <c r="B9" s="191"/>
      <c r="C9" s="191"/>
      <c r="D9" s="191"/>
      <c r="E9" s="191"/>
      <c r="F9" s="191"/>
      <c r="G9" s="191"/>
      <c r="H9" s="192"/>
      <c r="I9" s="53"/>
      <c r="J9" s="53"/>
      <c r="K9" s="53"/>
      <c r="L9" s="53"/>
      <c r="M9" s="53"/>
      <c r="N9" s="53"/>
      <c r="O9" s="53"/>
      <c r="P9" s="53"/>
      <c r="Q9" s="169"/>
      <c r="R9" s="7"/>
      <c r="S9" s="7"/>
      <c r="T9" s="7"/>
      <c r="U9" s="7"/>
      <c r="V9" s="7"/>
      <c r="W9" s="7"/>
      <c r="X9" s="7"/>
      <c r="Y9" s="7"/>
      <c r="Z9" s="7"/>
      <c r="AA9" s="7"/>
      <c r="AB9" s="7"/>
      <c r="AC9" s="7"/>
    </row>
    <row r="10" spans="1:29" s="193" customFormat="1" ht="22.5" x14ac:dyDescent="0.2">
      <c r="A10" s="649" t="s">
        <v>452</v>
      </c>
      <c r="B10" s="649"/>
      <c r="C10" s="649"/>
      <c r="D10" s="649"/>
      <c r="E10" s="649"/>
      <c r="F10" s="649"/>
      <c r="G10" s="389" t="s">
        <v>46</v>
      </c>
      <c r="H10" s="150"/>
      <c r="I10" s="95" t="s">
        <v>453</v>
      </c>
      <c r="J10" s="95" t="s">
        <v>454</v>
      </c>
      <c r="K10" s="624" t="s">
        <v>1476</v>
      </c>
      <c r="L10" s="624" t="s">
        <v>1478</v>
      </c>
      <c r="M10" s="95" t="s">
        <v>455</v>
      </c>
      <c r="N10" s="95" t="s">
        <v>456</v>
      </c>
      <c r="O10" s="95" t="s">
        <v>457</v>
      </c>
      <c r="P10" s="95" t="s">
        <v>458</v>
      </c>
      <c r="Q10" s="95" t="s">
        <v>144</v>
      </c>
    </row>
    <row r="11" spans="1:29" x14ac:dyDescent="0.2">
      <c r="A11" s="406" t="s">
        <v>459</v>
      </c>
      <c r="B11" s="406"/>
      <c r="C11" s="406"/>
      <c r="D11" s="406"/>
      <c r="E11" s="406"/>
      <c r="F11" s="407"/>
      <c r="G11" s="300"/>
      <c r="H11" s="175"/>
      <c r="I11" s="238"/>
      <c r="J11" s="238"/>
      <c r="K11" s="238"/>
      <c r="L11" s="239"/>
      <c r="M11" s="239"/>
      <c r="N11" s="239"/>
      <c r="O11" s="239"/>
      <c r="P11" s="239"/>
      <c r="Q11" s="239"/>
      <c r="R11" s="9"/>
      <c r="S11" s="9"/>
      <c r="T11" s="9"/>
      <c r="U11" s="9"/>
      <c r="V11" s="9"/>
      <c r="W11" s="9"/>
      <c r="X11" s="9"/>
      <c r="Y11" s="9"/>
      <c r="Z11" s="9"/>
      <c r="AA11" s="9"/>
      <c r="AB11" s="9"/>
      <c r="AC11" s="9"/>
    </row>
    <row r="12" spans="1:29" x14ac:dyDescent="0.2">
      <c r="A12" s="268" t="s">
        <v>161</v>
      </c>
      <c r="B12" s="268"/>
      <c r="C12" s="268"/>
      <c r="D12" s="268"/>
      <c r="E12" s="268"/>
      <c r="F12" s="269" t="s">
        <v>648</v>
      </c>
      <c r="G12" s="282" t="s">
        <v>670</v>
      </c>
      <c r="H12" s="175"/>
      <c r="I12" s="182"/>
      <c r="J12" s="182"/>
      <c r="K12" s="182"/>
      <c r="L12" s="183"/>
      <c r="M12" s="183"/>
      <c r="N12" s="183"/>
      <c r="O12" s="183"/>
      <c r="P12" s="183"/>
      <c r="Q12" s="147">
        <f>I12+K12+J12+L12+M12+N12+O12+P12</f>
        <v>0</v>
      </c>
      <c r="R12" s="9"/>
      <c r="S12" s="9"/>
      <c r="T12" s="9"/>
      <c r="U12" s="9"/>
      <c r="V12" s="9"/>
      <c r="W12" s="9"/>
      <c r="X12" s="9"/>
      <c r="Y12" s="9"/>
      <c r="Z12" s="9"/>
      <c r="AA12" s="9"/>
      <c r="AB12" s="9"/>
      <c r="AC12" s="9"/>
    </row>
    <row r="13" spans="1:29" x14ac:dyDescent="0.2">
      <c r="A13" s="268"/>
      <c r="B13" s="268"/>
      <c r="C13" s="268"/>
      <c r="D13" s="268"/>
      <c r="E13" s="268"/>
      <c r="F13" s="269"/>
      <c r="G13" s="282"/>
      <c r="H13" s="267"/>
      <c r="I13" s="270"/>
      <c r="J13" s="270"/>
      <c r="K13" s="270"/>
      <c r="L13" s="271"/>
      <c r="M13" s="271"/>
      <c r="N13" s="271"/>
      <c r="O13" s="271"/>
      <c r="P13" s="271"/>
      <c r="Q13" s="147"/>
      <c r="R13" s="9"/>
      <c r="S13" s="9"/>
      <c r="T13" s="9"/>
      <c r="U13" s="9"/>
      <c r="V13" s="9"/>
      <c r="W13" s="9"/>
      <c r="X13" s="9"/>
      <c r="Y13" s="9"/>
      <c r="Z13" s="9"/>
      <c r="AA13" s="9"/>
      <c r="AB13" s="9"/>
      <c r="AC13" s="9"/>
    </row>
    <row r="14" spans="1:29" x14ac:dyDescent="0.2">
      <c r="A14" s="268" t="s">
        <v>164</v>
      </c>
      <c r="B14" s="268"/>
      <c r="C14" s="268"/>
      <c r="D14" s="268"/>
      <c r="E14" s="268"/>
      <c r="F14" s="399" t="s">
        <v>460</v>
      </c>
      <c r="G14" s="282" t="s">
        <v>570</v>
      </c>
      <c r="H14" s="175"/>
      <c r="I14" s="182"/>
      <c r="J14" s="182"/>
      <c r="K14" s="182"/>
      <c r="L14" s="183"/>
      <c r="M14" s="183"/>
      <c r="N14" s="183"/>
      <c r="O14" s="183"/>
      <c r="P14" s="183"/>
      <c r="Q14" s="147">
        <f>I14+K14+J14+L14+M14+N14+O14+P14</f>
        <v>0</v>
      </c>
      <c r="R14" s="9"/>
      <c r="S14" s="9"/>
      <c r="T14" s="9"/>
      <c r="U14" s="9"/>
      <c r="V14" s="9"/>
      <c r="W14" s="9"/>
      <c r="X14" s="9"/>
      <c r="Y14" s="9"/>
      <c r="Z14" s="9"/>
      <c r="AA14" s="9"/>
      <c r="AB14" s="9"/>
      <c r="AC14" s="9"/>
    </row>
    <row r="15" spans="1:29" ht="11.25" customHeight="1" x14ac:dyDescent="0.2">
      <c r="A15" s="387"/>
      <c r="B15" s="387"/>
      <c r="C15" s="387"/>
      <c r="D15" s="387"/>
      <c r="E15" s="387"/>
      <c r="F15" s="387"/>
      <c r="G15" s="392"/>
      <c r="H15" s="177"/>
      <c r="I15" s="184"/>
      <c r="J15" s="184"/>
      <c r="K15" s="184"/>
      <c r="L15" s="184"/>
      <c r="M15" s="184"/>
      <c r="N15" s="184"/>
      <c r="O15" s="184"/>
      <c r="P15" s="184"/>
      <c r="Q15" s="185"/>
    </row>
    <row r="16" spans="1:29" ht="22.5" x14ac:dyDescent="0.2">
      <c r="A16" s="311" t="s">
        <v>207</v>
      </c>
      <c r="B16" s="388"/>
      <c r="C16" s="388"/>
      <c r="D16" s="388"/>
      <c r="E16" s="388"/>
      <c r="F16" s="401" t="s">
        <v>461</v>
      </c>
      <c r="G16" s="283" t="s">
        <v>553</v>
      </c>
      <c r="H16" s="178"/>
      <c r="I16" s="176">
        <f>I17+I20</f>
        <v>0</v>
      </c>
      <c r="J16" s="176">
        <f>J17+J20</f>
        <v>0</v>
      </c>
      <c r="K16" s="176">
        <f>K17+K20</f>
        <v>0</v>
      </c>
      <c r="L16" s="176">
        <f>L17+L20</f>
        <v>0</v>
      </c>
      <c r="M16" s="186"/>
      <c r="N16" s="186"/>
      <c r="O16" s="186"/>
      <c r="P16" s="186"/>
      <c r="Q16" s="147">
        <f>I16+K16+J16+L16+M16+N16+O16+P16</f>
        <v>0</v>
      </c>
    </row>
    <row r="17" spans="1:17" x14ac:dyDescent="0.2">
      <c r="A17" s="311"/>
      <c r="B17" s="388"/>
      <c r="C17" s="388"/>
      <c r="D17" s="388"/>
      <c r="E17" s="388"/>
      <c r="F17" s="400" t="s">
        <v>667</v>
      </c>
      <c r="G17" s="317" t="s">
        <v>671</v>
      </c>
      <c r="H17" s="178"/>
      <c r="I17" s="176">
        <f>I18+I19</f>
        <v>0</v>
      </c>
      <c r="J17" s="176">
        <f>J18+J19</f>
        <v>0</v>
      </c>
      <c r="K17" s="176">
        <f>K18+K19</f>
        <v>0</v>
      </c>
      <c r="L17" s="176">
        <f>L18+L19</f>
        <v>0</v>
      </c>
      <c r="M17" s="186"/>
      <c r="N17" s="186"/>
      <c r="O17" s="186"/>
      <c r="P17" s="186"/>
      <c r="Q17" s="147">
        <f>I17+K17+J17+L17+M17+N17+O17+P17</f>
        <v>0</v>
      </c>
    </row>
    <row r="18" spans="1:17" x14ac:dyDescent="0.2">
      <c r="A18" s="388"/>
      <c r="B18" s="388"/>
      <c r="C18" s="388"/>
      <c r="D18" s="388"/>
      <c r="E18" s="388"/>
      <c r="F18" s="387" t="s">
        <v>668</v>
      </c>
      <c r="G18" s="317" t="s">
        <v>672</v>
      </c>
      <c r="H18" s="178"/>
      <c r="I18" s="182"/>
      <c r="J18" s="182"/>
      <c r="K18" s="182"/>
      <c r="L18" s="182"/>
      <c r="M18" s="186"/>
      <c r="N18" s="186"/>
      <c r="O18" s="186"/>
      <c r="P18" s="186"/>
      <c r="Q18" s="147">
        <f>I18+K18+J18+L18+M18+N18+O18+P18</f>
        <v>0</v>
      </c>
    </row>
    <row r="19" spans="1:17" x14ac:dyDescent="0.2">
      <c r="A19" s="388"/>
      <c r="B19" s="388"/>
      <c r="C19" s="388"/>
      <c r="D19" s="388"/>
      <c r="E19" s="388"/>
      <c r="F19" s="387" t="s">
        <v>669</v>
      </c>
      <c r="G19" s="317" t="s">
        <v>673</v>
      </c>
      <c r="H19" s="178"/>
      <c r="I19" s="182"/>
      <c r="J19" s="182"/>
      <c r="K19" s="182"/>
      <c r="L19" s="182"/>
      <c r="M19" s="186"/>
      <c r="N19" s="186"/>
      <c r="O19" s="186"/>
      <c r="P19" s="186"/>
      <c r="Q19" s="147">
        <f>I19+K19+J19+L19+M19+N19+O19+P19</f>
        <v>0</v>
      </c>
    </row>
    <row r="20" spans="1:17" x14ac:dyDescent="0.2">
      <c r="A20" s="388"/>
      <c r="B20" s="388"/>
      <c r="C20" s="388"/>
      <c r="D20" s="388"/>
      <c r="E20" s="388"/>
      <c r="F20" s="387" t="s">
        <v>653</v>
      </c>
      <c r="G20" s="317" t="s">
        <v>674</v>
      </c>
      <c r="H20" s="178"/>
      <c r="I20" s="182"/>
      <c r="J20" s="182"/>
      <c r="K20" s="182"/>
      <c r="L20" s="182"/>
      <c r="M20" s="186"/>
      <c r="N20" s="186"/>
      <c r="O20" s="186"/>
      <c r="P20" s="186"/>
      <c r="Q20" s="147">
        <f>I20+K20+J20+L20+M20+N20+O20+P20</f>
        <v>0</v>
      </c>
    </row>
    <row r="21" spans="1:17" x14ac:dyDescent="0.2">
      <c r="A21" s="387"/>
      <c r="B21" s="387"/>
      <c r="C21" s="387"/>
      <c r="D21" s="387"/>
      <c r="E21" s="387"/>
      <c r="F21" s="387"/>
      <c r="G21" s="282"/>
      <c r="H21" s="177"/>
      <c r="I21" s="184"/>
      <c r="J21" s="184"/>
      <c r="K21" s="184"/>
      <c r="L21" s="184"/>
      <c r="M21" s="184"/>
      <c r="N21" s="184"/>
      <c r="O21" s="184"/>
      <c r="P21" s="184"/>
      <c r="Q21" s="185"/>
    </row>
    <row r="22" spans="1:17" ht="22.5" x14ac:dyDescent="0.2">
      <c r="A22" s="311" t="s">
        <v>209</v>
      </c>
      <c r="B22" s="311"/>
      <c r="C22" s="311"/>
      <c r="D22" s="311"/>
      <c r="E22" s="311"/>
      <c r="F22" s="401" t="s">
        <v>464</v>
      </c>
      <c r="G22" s="283" t="s">
        <v>554</v>
      </c>
      <c r="H22" s="179"/>
      <c r="I22" s="176">
        <f t="shared" ref="I22:P22" si="0">I23+I24</f>
        <v>0</v>
      </c>
      <c r="J22" s="176">
        <f t="shared" si="0"/>
        <v>0</v>
      </c>
      <c r="K22" s="176">
        <f>K23+K24</f>
        <v>0</v>
      </c>
      <c r="L22" s="176">
        <f t="shared" si="0"/>
        <v>0</v>
      </c>
      <c r="M22" s="176">
        <f t="shared" si="0"/>
        <v>0</v>
      </c>
      <c r="N22" s="176">
        <f t="shared" si="0"/>
        <v>0</v>
      </c>
      <c r="O22" s="176">
        <f t="shared" si="0"/>
        <v>0</v>
      </c>
      <c r="P22" s="176">
        <f t="shared" si="0"/>
        <v>0</v>
      </c>
      <c r="Q22" s="147">
        <f>I22+K22+J22+L22+M22+N22+O22+P22</f>
        <v>0</v>
      </c>
    </row>
    <row r="23" spans="1:17" x14ac:dyDescent="0.2">
      <c r="A23" s="311"/>
      <c r="B23" s="311"/>
      <c r="C23" s="311"/>
      <c r="D23" s="311"/>
      <c r="E23" s="311"/>
      <c r="F23" s="387" t="s">
        <v>462</v>
      </c>
      <c r="G23" s="282" t="s">
        <v>555</v>
      </c>
      <c r="H23" s="178"/>
      <c r="I23" s="182"/>
      <c r="J23" s="182"/>
      <c r="K23" s="182"/>
      <c r="L23" s="182"/>
      <c r="M23" s="182"/>
      <c r="N23" s="182"/>
      <c r="O23" s="182"/>
      <c r="P23" s="182"/>
      <c r="Q23" s="147">
        <f>I23+K23+J23+L23+M23+N23+O23+P23</f>
        <v>0</v>
      </c>
    </row>
    <row r="24" spans="1:17" x14ac:dyDescent="0.2">
      <c r="A24" s="311"/>
      <c r="B24" s="311"/>
      <c r="C24" s="311"/>
      <c r="D24" s="311"/>
      <c r="E24" s="311"/>
      <c r="F24" s="387" t="s">
        <v>463</v>
      </c>
      <c r="G24" s="282" t="s">
        <v>556</v>
      </c>
      <c r="H24" s="178"/>
      <c r="I24" s="182"/>
      <c r="J24" s="182"/>
      <c r="K24" s="182"/>
      <c r="L24" s="182"/>
      <c r="M24" s="182"/>
      <c r="N24" s="182"/>
      <c r="O24" s="182"/>
      <c r="P24" s="182"/>
      <c r="Q24" s="147">
        <f>I24+K24+J24+L24+M24+N24+O24+P24</f>
        <v>0</v>
      </c>
    </row>
    <row r="25" spans="1:17" x14ac:dyDescent="0.2">
      <c r="A25" s="387"/>
      <c r="B25" s="387"/>
      <c r="C25" s="387"/>
      <c r="D25" s="387"/>
      <c r="E25" s="387"/>
      <c r="F25" s="387"/>
      <c r="G25" s="282"/>
      <c r="H25" s="177"/>
      <c r="I25" s="184"/>
      <c r="J25" s="184"/>
      <c r="K25" s="184"/>
      <c r="L25" s="184"/>
      <c r="M25" s="184"/>
      <c r="N25" s="184"/>
      <c r="O25" s="184"/>
      <c r="P25" s="184"/>
      <c r="Q25" s="185"/>
    </row>
    <row r="26" spans="1:17" ht="22.5" x14ac:dyDescent="0.2">
      <c r="A26" s="272" t="s">
        <v>465</v>
      </c>
      <c r="B26" s="272"/>
      <c r="C26" s="272"/>
      <c r="D26" s="272"/>
      <c r="E26" s="272"/>
      <c r="F26" s="274" t="s">
        <v>659</v>
      </c>
      <c r="G26" s="283" t="s">
        <v>557</v>
      </c>
      <c r="H26" s="175"/>
      <c r="I26" s="176">
        <f t="shared" ref="I26:P26" si="1">I27+I28</f>
        <v>0</v>
      </c>
      <c r="J26" s="176">
        <f t="shared" si="1"/>
        <v>0</v>
      </c>
      <c r="K26" s="176">
        <f>K27+K28</f>
        <v>0</v>
      </c>
      <c r="L26" s="176">
        <f t="shared" si="1"/>
        <v>0</v>
      </c>
      <c r="M26" s="176">
        <f t="shared" si="1"/>
        <v>0</v>
      </c>
      <c r="N26" s="176">
        <f t="shared" si="1"/>
        <v>0</v>
      </c>
      <c r="O26" s="176">
        <f t="shared" si="1"/>
        <v>0</v>
      </c>
      <c r="P26" s="176">
        <f t="shared" si="1"/>
        <v>0</v>
      </c>
      <c r="Q26" s="147">
        <f>I26+K26+J26+L26+M26+N26+O26+P26</f>
        <v>0</v>
      </c>
    </row>
    <row r="27" spans="1:17" x14ac:dyDescent="0.2">
      <c r="A27" s="273"/>
      <c r="B27" s="273"/>
      <c r="C27" s="273"/>
      <c r="D27" s="273"/>
      <c r="E27" s="273"/>
      <c r="F27" s="387" t="s">
        <v>462</v>
      </c>
      <c r="G27" s="282" t="s">
        <v>558</v>
      </c>
      <c r="H27" s="178"/>
      <c r="I27" s="182"/>
      <c r="J27" s="182"/>
      <c r="K27" s="182"/>
      <c r="L27" s="182"/>
      <c r="M27" s="182"/>
      <c r="N27" s="182"/>
      <c r="O27" s="182"/>
      <c r="P27" s="182"/>
      <c r="Q27" s="147">
        <f>I27+K27+J27+L27+M27+N27+O27+P27</f>
        <v>0</v>
      </c>
    </row>
    <row r="28" spans="1:17" x14ac:dyDescent="0.2">
      <c r="A28" s="273"/>
      <c r="B28" s="273"/>
      <c r="C28" s="273"/>
      <c r="D28" s="273"/>
      <c r="E28" s="273"/>
      <c r="F28" s="387" t="s">
        <v>463</v>
      </c>
      <c r="G28" s="282" t="s">
        <v>559</v>
      </c>
      <c r="H28" s="178"/>
      <c r="I28" s="182"/>
      <c r="J28" s="182"/>
      <c r="K28" s="182"/>
      <c r="L28" s="182"/>
      <c r="M28" s="182"/>
      <c r="N28" s="182"/>
      <c r="O28" s="182"/>
      <c r="P28" s="182"/>
      <c r="Q28" s="147">
        <f>I28+K28+J28+L28+M28+N28+O28+P28</f>
        <v>0</v>
      </c>
    </row>
    <row r="29" spans="1:17" x14ac:dyDescent="0.2">
      <c r="A29" s="276"/>
      <c r="B29" s="276"/>
      <c r="C29" s="276"/>
      <c r="D29" s="276"/>
      <c r="E29" s="276"/>
      <c r="F29" s="276"/>
      <c r="G29" s="282"/>
      <c r="H29" s="180"/>
      <c r="I29" s="184"/>
      <c r="J29" s="184"/>
      <c r="K29" s="184"/>
      <c r="L29" s="184"/>
      <c r="M29" s="184"/>
      <c r="N29" s="184"/>
      <c r="O29" s="184"/>
      <c r="P29" s="184"/>
      <c r="Q29" s="185"/>
    </row>
    <row r="30" spans="1:17" x14ac:dyDescent="0.2">
      <c r="A30" s="273" t="s">
        <v>467</v>
      </c>
      <c r="B30" s="273"/>
      <c r="C30" s="273"/>
      <c r="D30" s="273"/>
      <c r="E30" s="273"/>
      <c r="F30" s="387" t="s">
        <v>466</v>
      </c>
      <c r="G30" s="282" t="s">
        <v>560</v>
      </c>
      <c r="H30" s="178"/>
      <c r="I30" s="176">
        <f t="shared" ref="I30:P30" si="2">I31+I32</f>
        <v>0</v>
      </c>
      <c r="J30" s="176">
        <f t="shared" si="2"/>
        <v>0</v>
      </c>
      <c r="K30" s="176">
        <f>K31+K32</f>
        <v>0</v>
      </c>
      <c r="L30" s="176">
        <f t="shared" si="2"/>
        <v>0</v>
      </c>
      <c r="M30" s="176">
        <f t="shared" si="2"/>
        <v>0</v>
      </c>
      <c r="N30" s="176">
        <f t="shared" si="2"/>
        <v>0</v>
      </c>
      <c r="O30" s="176">
        <f t="shared" si="2"/>
        <v>0</v>
      </c>
      <c r="P30" s="176">
        <f t="shared" si="2"/>
        <v>0</v>
      </c>
      <c r="Q30" s="147">
        <f>I30+K30+J30+L30+M30+N30+O30+P30</f>
        <v>0</v>
      </c>
    </row>
    <row r="31" spans="1:17" x14ac:dyDescent="0.2">
      <c r="A31" s="273"/>
      <c r="B31" s="273"/>
      <c r="C31" s="273"/>
      <c r="D31" s="273"/>
      <c r="E31" s="273"/>
      <c r="F31" s="387" t="s">
        <v>462</v>
      </c>
      <c r="G31" s="282" t="s">
        <v>561</v>
      </c>
      <c r="H31" s="178"/>
      <c r="I31" s="182"/>
      <c r="J31" s="182"/>
      <c r="K31" s="182"/>
      <c r="L31" s="182"/>
      <c r="M31" s="182"/>
      <c r="N31" s="182"/>
      <c r="O31" s="182"/>
      <c r="P31" s="182"/>
      <c r="Q31" s="147">
        <f>I31+K31+J31+L31+M31+N31+O31+P31</f>
        <v>0</v>
      </c>
    </row>
    <row r="32" spans="1:17" x14ac:dyDescent="0.2">
      <c r="A32" s="273"/>
      <c r="B32" s="273"/>
      <c r="C32" s="273"/>
      <c r="D32" s="273"/>
      <c r="E32" s="273"/>
      <c r="F32" s="387" t="s">
        <v>463</v>
      </c>
      <c r="G32" s="282" t="s">
        <v>562</v>
      </c>
      <c r="H32" s="178"/>
      <c r="I32" s="182"/>
      <c r="J32" s="182"/>
      <c r="K32" s="182"/>
      <c r="L32" s="182"/>
      <c r="M32" s="182"/>
      <c r="N32" s="182"/>
      <c r="O32" s="182"/>
      <c r="P32" s="182"/>
      <c r="Q32" s="147">
        <f>I32+K32+J32+L32+M32+N32+O32+P32</f>
        <v>0</v>
      </c>
    </row>
    <row r="33" spans="1:17" x14ac:dyDescent="0.2">
      <c r="A33" s="276"/>
      <c r="B33" s="276"/>
      <c r="C33" s="276"/>
      <c r="D33" s="276"/>
      <c r="E33" s="276"/>
      <c r="F33" s="387"/>
      <c r="G33" s="282"/>
      <c r="H33" s="177"/>
      <c r="I33" s="184"/>
      <c r="J33" s="184"/>
      <c r="K33" s="184"/>
      <c r="L33" s="184"/>
      <c r="M33" s="184"/>
      <c r="N33" s="184"/>
      <c r="O33" s="184"/>
      <c r="P33" s="184"/>
      <c r="Q33" s="185"/>
    </row>
    <row r="34" spans="1:17" x14ac:dyDescent="0.2">
      <c r="A34" s="273" t="s">
        <v>469</v>
      </c>
      <c r="B34" s="273"/>
      <c r="C34" s="273"/>
      <c r="D34" s="273"/>
      <c r="E34" s="273"/>
      <c r="F34" s="387" t="s">
        <v>468</v>
      </c>
      <c r="G34" s="282" t="s">
        <v>563</v>
      </c>
      <c r="H34" s="178"/>
      <c r="I34" s="176">
        <f t="shared" ref="I34:P34" si="3">I35+I36</f>
        <v>0</v>
      </c>
      <c r="J34" s="176">
        <f t="shared" si="3"/>
        <v>0</v>
      </c>
      <c r="K34" s="176">
        <f>K35+K36</f>
        <v>0</v>
      </c>
      <c r="L34" s="176">
        <f t="shared" si="3"/>
        <v>0</v>
      </c>
      <c r="M34" s="176">
        <f t="shared" si="3"/>
        <v>0</v>
      </c>
      <c r="N34" s="176">
        <f t="shared" si="3"/>
        <v>0</v>
      </c>
      <c r="O34" s="176">
        <f t="shared" si="3"/>
        <v>0</v>
      </c>
      <c r="P34" s="176">
        <f t="shared" si="3"/>
        <v>0</v>
      </c>
      <c r="Q34" s="147">
        <f>I34+K34+J34+L34+M34+N34+O34+P34</f>
        <v>0</v>
      </c>
    </row>
    <row r="35" spans="1:17" x14ac:dyDescent="0.2">
      <c r="A35" s="276"/>
      <c r="B35" s="276"/>
      <c r="C35" s="276"/>
      <c r="D35" s="276"/>
      <c r="E35" s="276"/>
      <c r="F35" s="387" t="s">
        <v>462</v>
      </c>
      <c r="G35" s="282" t="s">
        <v>564</v>
      </c>
      <c r="H35" s="178"/>
      <c r="I35" s="182"/>
      <c r="J35" s="182"/>
      <c r="K35" s="182"/>
      <c r="L35" s="182"/>
      <c r="M35" s="182"/>
      <c r="N35" s="182"/>
      <c r="O35" s="182"/>
      <c r="P35" s="182"/>
      <c r="Q35" s="147">
        <f>I35+K35+J35+L35+M35+N35+O35+P35</f>
        <v>0</v>
      </c>
    </row>
    <row r="36" spans="1:17" x14ac:dyDescent="0.2">
      <c r="A36" s="276"/>
      <c r="B36" s="276"/>
      <c r="C36" s="276"/>
      <c r="D36" s="276"/>
      <c r="E36" s="276"/>
      <c r="F36" s="387" t="s">
        <v>463</v>
      </c>
      <c r="G36" s="282" t="s">
        <v>565</v>
      </c>
      <c r="H36" s="178"/>
      <c r="I36" s="182"/>
      <c r="J36" s="182"/>
      <c r="K36" s="182"/>
      <c r="L36" s="182"/>
      <c r="M36" s="182"/>
      <c r="N36" s="182"/>
      <c r="O36" s="182"/>
      <c r="P36" s="182"/>
      <c r="Q36" s="147">
        <f>I36+K36+J36+L36+M36+N36+O36+P36</f>
        <v>0</v>
      </c>
    </row>
    <row r="37" spans="1:17" x14ac:dyDescent="0.2">
      <c r="A37" s="276"/>
      <c r="B37" s="276"/>
      <c r="C37" s="276"/>
      <c r="D37" s="276"/>
      <c r="E37" s="276"/>
      <c r="F37" s="387"/>
      <c r="G37" s="282"/>
      <c r="H37" s="177"/>
      <c r="I37" s="184"/>
      <c r="J37" s="184"/>
      <c r="K37" s="184"/>
      <c r="L37" s="184"/>
      <c r="M37" s="184"/>
      <c r="N37" s="184"/>
      <c r="O37" s="184"/>
      <c r="P37" s="184"/>
      <c r="Q37" s="185"/>
    </row>
    <row r="38" spans="1:17" x14ac:dyDescent="0.2">
      <c r="A38" s="273" t="s">
        <v>471</v>
      </c>
      <c r="B38" s="273"/>
      <c r="C38" s="273"/>
      <c r="D38" s="273"/>
      <c r="E38" s="273"/>
      <c r="F38" s="276" t="s">
        <v>470</v>
      </c>
      <c r="G38" s="282" t="s">
        <v>566</v>
      </c>
      <c r="H38" s="175"/>
      <c r="I38" s="182"/>
      <c r="J38" s="182"/>
      <c r="K38" s="182"/>
      <c r="L38" s="182"/>
      <c r="M38" s="182"/>
      <c r="N38" s="182"/>
      <c r="O38" s="182"/>
      <c r="P38" s="182"/>
      <c r="Q38" s="147">
        <f>I38+K38+J38+L38+M38+N38+O38+P38</f>
        <v>0</v>
      </c>
    </row>
    <row r="39" spans="1:17" x14ac:dyDescent="0.2">
      <c r="A39" s="276"/>
      <c r="B39" s="276"/>
      <c r="C39" s="276"/>
      <c r="D39" s="276"/>
      <c r="E39" s="276"/>
      <c r="F39" s="276"/>
      <c r="G39" s="282"/>
      <c r="H39" s="180"/>
      <c r="I39" s="184"/>
      <c r="J39" s="184"/>
      <c r="K39" s="184"/>
      <c r="L39" s="184"/>
      <c r="M39" s="184"/>
      <c r="N39" s="184"/>
      <c r="O39" s="184"/>
      <c r="P39" s="184"/>
      <c r="Q39" s="185"/>
    </row>
    <row r="40" spans="1:17" ht="22.5" customHeight="1" x14ac:dyDescent="0.2">
      <c r="A40" s="272" t="s">
        <v>473</v>
      </c>
      <c r="B40" s="272"/>
      <c r="C40" s="272"/>
      <c r="D40" s="272"/>
      <c r="E40" s="272"/>
      <c r="F40" s="401" t="s">
        <v>472</v>
      </c>
      <c r="G40" s="283" t="s">
        <v>567</v>
      </c>
      <c r="H40" s="179"/>
      <c r="I40" s="183"/>
      <c r="J40" s="183"/>
      <c r="K40" s="183"/>
      <c r="L40" s="183"/>
      <c r="M40" s="182"/>
      <c r="N40" s="182"/>
      <c r="O40" s="182"/>
      <c r="P40" s="182"/>
      <c r="Q40" s="147">
        <f>I40+K40+J40+L40+M40+N40+O40+P40</f>
        <v>0</v>
      </c>
    </row>
    <row r="41" spans="1:17" x14ac:dyDescent="0.2">
      <c r="A41" s="347"/>
      <c r="B41" s="347"/>
      <c r="C41" s="347"/>
      <c r="D41" s="347"/>
      <c r="E41" s="347"/>
      <c r="F41" s="401"/>
      <c r="G41" s="282"/>
      <c r="H41" s="181"/>
      <c r="I41" s="187"/>
      <c r="J41" s="187"/>
      <c r="K41" s="187"/>
      <c r="L41" s="187"/>
      <c r="M41" s="184"/>
      <c r="N41" s="184"/>
      <c r="O41" s="184"/>
      <c r="P41" s="184"/>
      <c r="Q41" s="185"/>
    </row>
    <row r="42" spans="1:17" x14ac:dyDescent="0.2">
      <c r="A42" s="272" t="s">
        <v>476</v>
      </c>
      <c r="B42" s="272"/>
      <c r="C42" s="272"/>
      <c r="D42" s="272"/>
      <c r="E42" s="272"/>
      <c r="F42" s="401" t="s">
        <v>475</v>
      </c>
      <c r="G42" s="282" t="s">
        <v>568</v>
      </c>
      <c r="H42" s="179"/>
      <c r="I42" s="183"/>
      <c r="J42" s="183"/>
      <c r="K42" s="183"/>
      <c r="L42" s="183"/>
      <c r="M42" s="182"/>
      <c r="N42" s="182"/>
      <c r="O42" s="182"/>
      <c r="P42" s="182"/>
      <c r="Q42" s="147">
        <f>I42+K42+J42+L42+M42+N42+O42+P42</f>
        <v>0</v>
      </c>
    </row>
    <row r="43" spans="1:17" x14ac:dyDescent="0.2">
      <c r="A43" s="347"/>
      <c r="B43" s="347"/>
      <c r="C43" s="347"/>
      <c r="D43" s="347"/>
      <c r="E43" s="347"/>
      <c r="F43" s="298"/>
      <c r="G43" s="404"/>
      <c r="H43" s="181"/>
      <c r="I43" s="187"/>
      <c r="J43" s="187"/>
      <c r="K43" s="187"/>
      <c r="L43" s="187"/>
      <c r="M43" s="184"/>
      <c r="N43" s="184"/>
      <c r="O43" s="184"/>
      <c r="P43" s="184"/>
      <c r="Q43" s="185"/>
    </row>
    <row r="44" spans="1:17" x14ac:dyDescent="0.2">
      <c r="A44" s="273" t="s">
        <v>478</v>
      </c>
      <c r="B44" s="272"/>
      <c r="C44" s="272"/>
      <c r="D44" s="272"/>
      <c r="E44" s="272"/>
      <c r="F44" s="276" t="s">
        <v>479</v>
      </c>
      <c r="G44" s="282" t="s">
        <v>622</v>
      </c>
      <c r="H44" s="179"/>
      <c r="I44" s="183"/>
      <c r="J44" s="183"/>
      <c r="K44" s="183"/>
      <c r="L44" s="183"/>
      <c r="M44" s="182"/>
      <c r="N44" s="182"/>
      <c r="O44" s="182"/>
      <c r="P44" s="182"/>
      <c r="Q44" s="147">
        <f>I44+K44+J44+L44+M44+N44+O44+P44</f>
        <v>0</v>
      </c>
    </row>
    <row r="45" spans="1:17" x14ac:dyDescent="0.2">
      <c r="A45" s="273"/>
      <c r="B45" s="272"/>
      <c r="C45" s="272"/>
      <c r="D45" s="272"/>
      <c r="E45" s="272"/>
      <c r="F45" s="401"/>
      <c r="G45" s="282"/>
      <c r="H45" s="181"/>
      <c r="I45" s="187"/>
      <c r="J45" s="187"/>
      <c r="K45" s="187"/>
      <c r="L45" s="187"/>
      <c r="M45" s="184"/>
      <c r="N45" s="184"/>
      <c r="O45" s="184"/>
      <c r="P45" s="184"/>
      <c r="Q45" s="185"/>
    </row>
    <row r="46" spans="1:17" x14ac:dyDescent="0.2">
      <c r="A46" s="272" t="s">
        <v>552</v>
      </c>
      <c r="B46" s="273"/>
      <c r="C46" s="273"/>
      <c r="D46" s="273"/>
      <c r="E46" s="273"/>
      <c r="F46" s="401" t="s">
        <v>477</v>
      </c>
      <c r="G46" s="282" t="s">
        <v>569</v>
      </c>
      <c r="H46" s="175"/>
      <c r="I46" s="182"/>
      <c r="J46" s="182"/>
      <c r="K46" s="182"/>
      <c r="L46" s="182"/>
      <c r="M46" s="182"/>
      <c r="N46" s="182"/>
      <c r="O46" s="182"/>
      <c r="P46" s="182"/>
      <c r="Q46" s="147">
        <f>I46+K46+J46+L46+M46+N46+O46+P46</f>
        <v>0</v>
      </c>
    </row>
    <row r="47" spans="1:17" x14ac:dyDescent="0.2">
      <c r="A47" s="272"/>
      <c r="B47" s="272"/>
      <c r="C47" s="272"/>
      <c r="D47" s="272"/>
      <c r="E47" s="272"/>
      <c r="F47" s="401"/>
      <c r="G47" s="402"/>
      <c r="H47" s="181"/>
      <c r="I47" s="187"/>
      <c r="J47" s="187"/>
      <c r="K47" s="187"/>
      <c r="L47" s="187"/>
      <c r="M47" s="184"/>
      <c r="N47" s="184"/>
      <c r="O47" s="184"/>
      <c r="P47" s="184"/>
      <c r="Q47" s="185"/>
    </row>
    <row r="48" spans="1:17" ht="22.5" x14ac:dyDescent="0.2">
      <c r="A48" s="272" t="s">
        <v>654</v>
      </c>
      <c r="B48" s="273"/>
      <c r="C48" s="273"/>
      <c r="D48" s="273"/>
      <c r="E48" s="273"/>
      <c r="F48" s="275" t="s">
        <v>617</v>
      </c>
      <c r="G48" s="283" t="s">
        <v>582</v>
      </c>
      <c r="H48" s="175"/>
      <c r="I48" s="182"/>
      <c r="J48" s="182"/>
      <c r="K48" s="182"/>
      <c r="L48" s="182"/>
      <c r="M48" s="182"/>
      <c r="N48" s="182"/>
      <c r="O48" s="182"/>
      <c r="P48" s="182"/>
      <c r="Q48" s="147">
        <f>I48+K48+J48+L48+M48+N48+O48+P48</f>
        <v>0</v>
      </c>
    </row>
    <row r="49" spans="1:17" x14ac:dyDescent="0.2">
      <c r="A49" s="277"/>
      <c r="B49" s="273"/>
      <c r="C49" s="273"/>
      <c r="D49" s="273"/>
      <c r="E49" s="273"/>
      <c r="F49" s="275"/>
      <c r="G49" s="283"/>
      <c r="H49" s="267"/>
      <c r="I49" s="270"/>
      <c r="J49" s="270"/>
      <c r="K49" s="270"/>
      <c r="L49" s="270"/>
      <c r="M49" s="270"/>
      <c r="N49" s="270"/>
      <c r="O49" s="270"/>
      <c r="P49" s="270"/>
      <c r="Q49" s="147"/>
    </row>
    <row r="50" spans="1:17" x14ac:dyDescent="0.2">
      <c r="A50" s="272" t="s">
        <v>660</v>
      </c>
      <c r="B50" s="273"/>
      <c r="C50" s="273"/>
      <c r="D50" s="273"/>
      <c r="E50" s="273"/>
      <c r="F50" s="274" t="s">
        <v>52</v>
      </c>
      <c r="G50" s="283" t="s">
        <v>675</v>
      </c>
      <c r="H50" s="175"/>
      <c r="I50" s="182"/>
      <c r="J50" s="182"/>
      <c r="K50" s="182"/>
      <c r="L50" s="182"/>
      <c r="M50" s="182"/>
      <c r="N50" s="182"/>
      <c r="O50" s="182"/>
      <c r="P50" s="182"/>
      <c r="Q50" s="147">
        <f>I50+K50+J50+L50+M50+N50+O50+P50</f>
        <v>0</v>
      </c>
    </row>
    <row r="51" spans="1:17" x14ac:dyDescent="0.2">
      <c r="A51" s="272"/>
      <c r="B51" s="273"/>
      <c r="C51" s="273"/>
      <c r="D51" s="273"/>
      <c r="E51" s="273"/>
      <c r="F51" s="274"/>
      <c r="G51" s="282"/>
      <c r="H51" s="267"/>
      <c r="I51" s="270"/>
      <c r="J51" s="270"/>
      <c r="K51" s="270"/>
      <c r="L51" s="270"/>
      <c r="M51" s="270"/>
      <c r="N51" s="270"/>
      <c r="O51" s="270"/>
      <c r="P51" s="270"/>
      <c r="Q51" s="147"/>
    </row>
    <row r="52" spans="1:17" x14ac:dyDescent="0.2">
      <c r="A52" s="403" t="s">
        <v>480</v>
      </c>
      <c r="B52" s="403"/>
      <c r="C52" s="403"/>
      <c r="D52" s="403"/>
      <c r="E52" s="403"/>
      <c r="F52" s="401"/>
      <c r="G52" s="282" t="s">
        <v>481</v>
      </c>
      <c r="H52" s="175"/>
      <c r="I52" s="176">
        <f>I12+I14+I16+I22+I26+I30+I34+I38+I40+I42+I44+I46+I48+I50</f>
        <v>0</v>
      </c>
      <c r="J52" s="176">
        <f t="shared" ref="J52:P52" si="4">J12+J14+J16+J22+J26+J30+J34+J38+J40+J42+J44+J46+J48+J50</f>
        <v>0</v>
      </c>
      <c r="K52" s="176">
        <f>K12+K14+K16+K22+K26+K30+K34+K38+K40+K42+K44+K46+K48+K50</f>
        <v>0</v>
      </c>
      <c r="L52" s="176">
        <f t="shared" si="4"/>
        <v>0</v>
      </c>
      <c r="M52" s="176">
        <f t="shared" si="4"/>
        <v>0</v>
      </c>
      <c r="N52" s="176">
        <f t="shared" si="4"/>
        <v>0</v>
      </c>
      <c r="O52" s="176">
        <f t="shared" si="4"/>
        <v>0</v>
      </c>
      <c r="P52" s="176">
        <f t="shared" si="4"/>
        <v>0</v>
      </c>
      <c r="Q52" s="147">
        <f>I52+K52+J52+L52+M52+N52+O52+P52</f>
        <v>0</v>
      </c>
    </row>
    <row r="53" spans="1:17" x14ac:dyDescent="0.2">
      <c r="A53" s="403" t="s">
        <v>482</v>
      </c>
      <c r="B53" s="403"/>
      <c r="C53" s="403"/>
      <c r="D53" s="403"/>
      <c r="E53" s="403"/>
      <c r="F53" s="276"/>
      <c r="G53" s="404"/>
      <c r="H53" s="175"/>
      <c r="I53" s="188"/>
      <c r="J53" s="188"/>
      <c r="K53" s="188"/>
      <c r="L53" s="188"/>
      <c r="M53" s="188"/>
      <c r="N53" s="188"/>
      <c r="O53" s="188"/>
      <c r="P53" s="188"/>
      <c r="Q53" s="189"/>
    </row>
    <row r="54" spans="1:17" x14ac:dyDescent="0.2">
      <c r="A54" s="403"/>
      <c r="B54" s="403"/>
      <c r="C54" s="403"/>
      <c r="D54" s="403"/>
      <c r="E54" s="403"/>
      <c r="F54" s="276"/>
      <c r="G54" s="404"/>
      <c r="H54" s="180"/>
      <c r="I54" s="184"/>
      <c r="J54" s="184"/>
      <c r="K54" s="184"/>
      <c r="L54" s="184"/>
      <c r="M54" s="184"/>
      <c r="N54" s="184"/>
      <c r="O54" s="184"/>
      <c r="P54" s="184"/>
      <c r="Q54" s="185"/>
    </row>
    <row r="55" spans="1:17" x14ac:dyDescent="0.2">
      <c r="A55" s="273" t="s">
        <v>161</v>
      </c>
      <c r="B55" s="273"/>
      <c r="C55" s="273"/>
      <c r="D55" s="273"/>
      <c r="E55" s="273"/>
      <c r="F55" s="276" t="s">
        <v>483</v>
      </c>
      <c r="G55" s="282" t="s">
        <v>571</v>
      </c>
      <c r="H55" s="175"/>
      <c r="I55" s="182"/>
      <c r="J55" s="182"/>
      <c r="K55" s="182"/>
      <c r="L55" s="190"/>
      <c r="M55" s="186"/>
      <c r="N55" s="186"/>
      <c r="O55" s="186"/>
      <c r="P55" s="186"/>
      <c r="Q55" s="147">
        <f>I55+K55+J55+L55+M55+N55+O55+P55</f>
        <v>0</v>
      </c>
    </row>
    <row r="56" spans="1:17" x14ac:dyDescent="0.2">
      <c r="A56" s="403"/>
      <c r="B56" s="403"/>
      <c r="C56" s="403"/>
      <c r="D56" s="403"/>
      <c r="E56" s="403"/>
      <c r="F56" s="276"/>
      <c r="G56" s="282"/>
      <c r="H56" s="180"/>
      <c r="I56" s="184"/>
      <c r="J56" s="184"/>
      <c r="K56" s="184"/>
      <c r="L56" s="184"/>
      <c r="M56" s="184"/>
      <c r="N56" s="184"/>
      <c r="O56" s="184"/>
      <c r="P56" s="184"/>
      <c r="Q56" s="185"/>
    </row>
    <row r="57" spans="1:17" ht="22.5" x14ac:dyDescent="0.2">
      <c r="A57" s="272" t="s">
        <v>164</v>
      </c>
      <c r="B57" s="272"/>
      <c r="C57" s="272"/>
      <c r="D57" s="272"/>
      <c r="E57" s="272"/>
      <c r="F57" s="401" t="s">
        <v>484</v>
      </c>
      <c r="G57" s="283" t="s">
        <v>572</v>
      </c>
      <c r="H57" s="179"/>
      <c r="I57" s="182"/>
      <c r="J57" s="182"/>
      <c r="K57" s="182"/>
      <c r="L57" s="182"/>
      <c r="M57" s="182"/>
      <c r="N57" s="182"/>
      <c r="O57" s="182"/>
      <c r="P57" s="182"/>
      <c r="Q57" s="147">
        <f>I57+K57+J57+L57+M57+N57+O57+P57</f>
        <v>0</v>
      </c>
    </row>
    <row r="58" spans="1:17" x14ac:dyDescent="0.2">
      <c r="A58" s="403"/>
      <c r="B58" s="403"/>
      <c r="C58" s="403"/>
      <c r="D58" s="403"/>
      <c r="E58" s="403"/>
      <c r="F58" s="276"/>
      <c r="G58" s="282"/>
      <c r="H58" s="180"/>
      <c r="I58" s="184"/>
      <c r="J58" s="184"/>
      <c r="K58" s="184"/>
      <c r="L58" s="184"/>
      <c r="M58" s="184"/>
      <c r="N58" s="184"/>
      <c r="O58" s="184"/>
      <c r="P58" s="184"/>
      <c r="Q58" s="185"/>
    </row>
    <row r="59" spans="1:17" x14ac:dyDescent="0.2">
      <c r="A59" s="273" t="s">
        <v>207</v>
      </c>
      <c r="B59" s="273"/>
      <c r="C59" s="273"/>
      <c r="D59" s="273"/>
      <c r="E59" s="273"/>
      <c r="F59" s="276" t="s">
        <v>485</v>
      </c>
      <c r="G59" s="282" t="s">
        <v>573</v>
      </c>
      <c r="H59" s="175"/>
      <c r="I59" s="182"/>
      <c r="J59" s="182"/>
      <c r="K59" s="182"/>
      <c r="L59" s="182"/>
      <c r="M59" s="182"/>
      <c r="N59" s="182"/>
      <c r="O59" s="182"/>
      <c r="P59" s="182"/>
      <c r="Q59" s="147">
        <f>I59+K59+J59+L59+M59+N59+O59+P59</f>
        <v>0</v>
      </c>
    </row>
    <row r="60" spans="1:17" x14ac:dyDescent="0.2">
      <c r="A60" s="273"/>
      <c r="B60" s="273"/>
      <c r="C60" s="273"/>
      <c r="D60" s="273"/>
      <c r="E60" s="273"/>
      <c r="F60" s="276"/>
      <c r="G60" s="282"/>
      <c r="H60" s="267"/>
      <c r="I60" s="270"/>
      <c r="J60" s="270"/>
      <c r="K60" s="270"/>
      <c r="L60" s="270"/>
      <c r="M60" s="270"/>
      <c r="N60" s="270"/>
      <c r="O60" s="270"/>
      <c r="P60" s="270"/>
      <c r="Q60" s="147"/>
    </row>
    <row r="61" spans="1:17" x14ac:dyDescent="0.2">
      <c r="A61" s="273" t="s">
        <v>209</v>
      </c>
      <c r="B61" s="276"/>
      <c r="C61" s="276"/>
      <c r="D61" s="276"/>
      <c r="E61" s="276"/>
      <c r="F61" s="276" t="s">
        <v>662</v>
      </c>
      <c r="G61" s="282" t="s">
        <v>676</v>
      </c>
      <c r="H61" s="175"/>
      <c r="I61" s="182"/>
      <c r="J61" s="182"/>
      <c r="K61" s="182"/>
      <c r="L61" s="182"/>
      <c r="M61" s="182"/>
      <c r="N61" s="182"/>
      <c r="O61" s="182"/>
      <c r="P61" s="182"/>
      <c r="Q61" s="147">
        <f>I61+K61+J61+L61+M61+N61+O61+P61</f>
        <v>0</v>
      </c>
    </row>
    <row r="62" spans="1:17" x14ac:dyDescent="0.2">
      <c r="A62" s="276"/>
      <c r="B62" s="276"/>
      <c r="C62" s="276"/>
      <c r="D62" s="276"/>
      <c r="E62" s="276"/>
      <c r="F62" s="276"/>
      <c r="G62" s="282"/>
      <c r="H62" s="180"/>
      <c r="I62" s="184"/>
      <c r="J62" s="184"/>
      <c r="K62" s="184"/>
      <c r="L62" s="184"/>
      <c r="M62" s="184"/>
      <c r="N62" s="184"/>
      <c r="O62" s="184"/>
      <c r="P62" s="184"/>
      <c r="Q62" s="185"/>
    </row>
    <row r="63" spans="1:17" x14ac:dyDescent="0.2">
      <c r="A63" s="273" t="s">
        <v>465</v>
      </c>
      <c r="B63" s="273"/>
      <c r="C63" s="273"/>
      <c r="D63" s="273"/>
      <c r="E63" s="273"/>
      <c r="F63" s="276" t="s">
        <v>486</v>
      </c>
      <c r="G63" s="282" t="s">
        <v>574</v>
      </c>
      <c r="H63" s="175"/>
      <c r="I63" s="182"/>
      <c r="J63" s="182"/>
      <c r="K63" s="182"/>
      <c r="L63" s="182"/>
      <c r="M63" s="182"/>
      <c r="N63" s="182"/>
      <c r="O63" s="182"/>
      <c r="P63" s="182"/>
      <c r="Q63" s="147">
        <f>I63+K63+J63+L63+M63+N63+O63+P63</f>
        <v>0</v>
      </c>
    </row>
    <row r="64" spans="1:17" x14ac:dyDescent="0.2">
      <c r="A64" s="276"/>
      <c r="B64" s="276"/>
      <c r="C64" s="276"/>
      <c r="D64" s="276"/>
      <c r="E64" s="276"/>
      <c r="F64" s="276"/>
      <c r="G64" s="282"/>
      <c r="H64" s="180"/>
      <c r="I64" s="184"/>
      <c r="J64" s="184"/>
      <c r="K64" s="184"/>
      <c r="L64" s="184"/>
      <c r="M64" s="184"/>
      <c r="N64" s="184"/>
      <c r="O64" s="184"/>
      <c r="P64" s="184"/>
      <c r="Q64" s="185"/>
    </row>
    <row r="65" spans="1:17" x14ac:dyDescent="0.2">
      <c r="A65" s="273" t="s">
        <v>467</v>
      </c>
      <c r="B65" s="273"/>
      <c r="C65" s="273"/>
      <c r="D65" s="273"/>
      <c r="E65" s="273"/>
      <c r="F65" s="276" t="s">
        <v>487</v>
      </c>
      <c r="G65" s="282" t="s">
        <v>575</v>
      </c>
      <c r="H65" s="175"/>
      <c r="I65" s="182"/>
      <c r="J65" s="182"/>
      <c r="K65" s="182"/>
      <c r="L65" s="182"/>
      <c r="M65" s="182"/>
      <c r="N65" s="182"/>
      <c r="O65" s="182"/>
      <c r="P65" s="182"/>
      <c r="Q65" s="147">
        <f>I65+K65+J65+L65+M65+N65+O65+P65</f>
        <v>0</v>
      </c>
    </row>
    <row r="66" spans="1:17" x14ac:dyDescent="0.2">
      <c r="A66" s="276"/>
      <c r="B66" s="276"/>
      <c r="C66" s="276"/>
      <c r="D66" s="276"/>
      <c r="E66" s="276"/>
      <c r="F66" s="276"/>
      <c r="G66" s="282"/>
      <c r="H66" s="180"/>
      <c r="I66" s="184"/>
      <c r="J66" s="184"/>
      <c r="K66" s="184"/>
      <c r="L66" s="184"/>
      <c r="M66" s="184"/>
      <c r="N66" s="184"/>
      <c r="O66" s="184"/>
      <c r="P66" s="184"/>
      <c r="Q66" s="185"/>
    </row>
    <row r="67" spans="1:17" x14ac:dyDescent="0.2">
      <c r="A67" s="273" t="s">
        <v>469</v>
      </c>
      <c r="B67" s="273"/>
      <c r="C67" s="273"/>
      <c r="D67" s="273"/>
      <c r="E67" s="273"/>
      <c r="F67" s="276" t="s">
        <v>488</v>
      </c>
      <c r="G67" s="282" t="s">
        <v>576</v>
      </c>
      <c r="H67" s="175"/>
      <c r="I67" s="182"/>
      <c r="J67" s="182"/>
      <c r="K67" s="182"/>
      <c r="L67" s="182"/>
      <c r="M67" s="182"/>
      <c r="N67" s="182"/>
      <c r="O67" s="182"/>
      <c r="P67" s="182"/>
      <c r="Q67" s="147">
        <f>I67+K67+J67+L67+M67+N67+O67+P67</f>
        <v>0</v>
      </c>
    </row>
    <row r="68" spans="1:17" x14ac:dyDescent="0.2">
      <c r="A68" s="276"/>
      <c r="B68" s="276"/>
      <c r="C68" s="276"/>
      <c r="D68" s="276"/>
      <c r="E68" s="276"/>
      <c r="F68" s="276"/>
      <c r="G68" s="282"/>
      <c r="H68" s="180"/>
      <c r="I68" s="184"/>
      <c r="J68" s="184"/>
      <c r="K68" s="184"/>
      <c r="L68" s="184"/>
      <c r="M68" s="184"/>
      <c r="N68" s="184"/>
      <c r="O68" s="184"/>
      <c r="P68" s="184"/>
      <c r="Q68" s="185"/>
    </row>
    <row r="69" spans="1:17" x14ac:dyDescent="0.2">
      <c r="A69" s="273" t="s">
        <v>471</v>
      </c>
      <c r="B69" s="273"/>
      <c r="C69" s="273"/>
      <c r="D69" s="273"/>
      <c r="E69" s="273"/>
      <c r="F69" s="276" t="s">
        <v>489</v>
      </c>
      <c r="G69" s="282" t="s">
        <v>577</v>
      </c>
      <c r="H69" s="175"/>
      <c r="I69" s="182"/>
      <c r="J69" s="182"/>
      <c r="K69" s="182"/>
      <c r="L69" s="182"/>
      <c r="M69" s="182"/>
      <c r="N69" s="182"/>
      <c r="O69" s="182"/>
      <c r="P69" s="182"/>
      <c r="Q69" s="147">
        <f>I69+K69+J69+L69+M69+N69+O69+P69</f>
        <v>0</v>
      </c>
    </row>
    <row r="70" spans="1:17" x14ac:dyDescent="0.2">
      <c r="A70" s="276"/>
      <c r="B70" s="276"/>
      <c r="C70" s="276"/>
      <c r="D70" s="276"/>
      <c r="E70" s="276"/>
      <c r="F70" s="276"/>
      <c r="G70" s="282"/>
      <c r="H70" s="180"/>
      <c r="I70" s="184"/>
      <c r="J70" s="184"/>
      <c r="K70" s="184"/>
      <c r="L70" s="184"/>
      <c r="M70" s="184"/>
      <c r="N70" s="184"/>
      <c r="O70" s="184"/>
      <c r="P70" s="184"/>
      <c r="Q70" s="185"/>
    </row>
    <row r="71" spans="1:17" x14ac:dyDescent="0.2">
      <c r="A71" s="273" t="s">
        <v>473</v>
      </c>
      <c r="B71" s="276"/>
      <c r="C71" s="276"/>
      <c r="D71" s="276"/>
      <c r="E71" s="276"/>
      <c r="F71" s="276" t="s">
        <v>664</v>
      </c>
      <c r="G71" s="282" t="s">
        <v>677</v>
      </c>
      <c r="H71" s="180"/>
      <c r="I71" s="182"/>
      <c r="J71" s="182"/>
      <c r="K71" s="182"/>
      <c r="L71" s="182"/>
      <c r="M71" s="182"/>
      <c r="N71" s="182"/>
      <c r="O71" s="182"/>
      <c r="P71" s="182"/>
      <c r="Q71" s="147">
        <f>I71+K71+J71+L71+M71+N71+O71+P71</f>
        <v>0</v>
      </c>
    </row>
    <row r="72" spans="1:17" x14ac:dyDescent="0.2">
      <c r="A72" s="276"/>
      <c r="B72" s="276"/>
      <c r="C72" s="276"/>
      <c r="D72" s="276"/>
      <c r="E72" s="276"/>
      <c r="F72" s="276"/>
      <c r="G72" s="282"/>
      <c r="H72" s="180"/>
      <c r="I72" s="184"/>
      <c r="J72" s="184"/>
      <c r="K72" s="184"/>
      <c r="L72" s="184"/>
      <c r="M72" s="184"/>
      <c r="N72" s="184"/>
      <c r="O72" s="184"/>
      <c r="P72" s="184"/>
      <c r="Q72" s="185"/>
    </row>
    <row r="73" spans="1:17" x14ac:dyDescent="0.2">
      <c r="A73" s="273" t="s">
        <v>476</v>
      </c>
      <c r="B73" s="273"/>
      <c r="C73" s="273"/>
      <c r="D73" s="273"/>
      <c r="E73" s="273"/>
      <c r="F73" s="276" t="s">
        <v>490</v>
      </c>
      <c r="G73" s="282" t="s">
        <v>578</v>
      </c>
      <c r="H73" s="175"/>
      <c r="I73" s="182"/>
      <c r="J73" s="182"/>
      <c r="K73" s="182"/>
      <c r="L73" s="182"/>
      <c r="M73" s="182"/>
      <c r="N73" s="182"/>
      <c r="O73" s="182"/>
      <c r="P73" s="182"/>
      <c r="Q73" s="147">
        <f>I73+K73+J73+L73+M73+N73+O73+P73</f>
        <v>0</v>
      </c>
    </row>
    <row r="74" spans="1:17" x14ac:dyDescent="0.2">
      <c r="A74" s="273"/>
      <c r="B74" s="276"/>
      <c r="C74" s="276"/>
      <c r="D74" s="276"/>
      <c r="E74" s="276"/>
      <c r="F74" s="276"/>
      <c r="G74" s="282"/>
      <c r="H74" s="180"/>
      <c r="I74" s="184"/>
      <c r="J74" s="184"/>
      <c r="K74" s="184"/>
      <c r="L74" s="184"/>
      <c r="M74" s="184"/>
      <c r="N74" s="184"/>
      <c r="O74" s="184"/>
      <c r="P74" s="184"/>
      <c r="Q74" s="185"/>
    </row>
    <row r="75" spans="1:17" x14ac:dyDescent="0.2">
      <c r="A75" s="273" t="s">
        <v>478</v>
      </c>
      <c r="B75" s="273"/>
      <c r="C75" s="273"/>
      <c r="D75" s="273"/>
      <c r="E75" s="273"/>
      <c r="F75" s="276" t="s">
        <v>491</v>
      </c>
      <c r="G75" s="282" t="s">
        <v>579</v>
      </c>
      <c r="H75" s="175"/>
      <c r="I75" s="182"/>
      <c r="J75" s="182"/>
      <c r="K75" s="182"/>
      <c r="L75" s="182"/>
      <c r="M75" s="182"/>
      <c r="N75" s="182"/>
      <c r="O75" s="182"/>
      <c r="P75" s="182"/>
      <c r="Q75" s="147">
        <f>I75+K75+J75+L75+M75+N75+O75+P75</f>
        <v>0</v>
      </c>
    </row>
    <row r="76" spans="1:17" x14ac:dyDescent="0.2">
      <c r="A76" s="273"/>
      <c r="B76" s="273"/>
      <c r="C76" s="273"/>
      <c r="D76" s="273"/>
      <c r="E76" s="273"/>
      <c r="F76" s="276"/>
      <c r="G76" s="282"/>
      <c r="H76" s="180"/>
      <c r="I76" s="184"/>
      <c r="J76" s="184"/>
      <c r="K76" s="184"/>
      <c r="L76" s="184"/>
      <c r="M76" s="184"/>
      <c r="N76" s="184"/>
      <c r="O76" s="184"/>
      <c r="P76" s="184"/>
      <c r="Q76" s="185"/>
    </row>
    <row r="77" spans="1:17" x14ac:dyDescent="0.2">
      <c r="A77" s="272" t="s">
        <v>552</v>
      </c>
      <c r="B77" s="273"/>
      <c r="C77" s="273"/>
      <c r="D77" s="273"/>
      <c r="E77" s="273"/>
      <c r="F77" s="276" t="s">
        <v>492</v>
      </c>
      <c r="G77" s="282" t="s">
        <v>580</v>
      </c>
      <c r="H77" s="175"/>
      <c r="I77" s="182"/>
      <c r="J77" s="182"/>
      <c r="K77" s="182"/>
      <c r="L77" s="182"/>
      <c r="M77" s="182"/>
      <c r="N77" s="182"/>
      <c r="O77" s="182"/>
      <c r="P77" s="182"/>
      <c r="Q77" s="147">
        <f>I77+K77+J77+L77+M77+N77+O77+P77</f>
        <v>0</v>
      </c>
    </row>
    <row r="78" spans="1:17" x14ac:dyDescent="0.2">
      <c r="A78" s="273"/>
      <c r="B78" s="273"/>
      <c r="C78" s="273"/>
      <c r="D78" s="273"/>
      <c r="E78" s="273"/>
      <c r="F78" s="276"/>
      <c r="G78" s="404"/>
      <c r="H78" s="180"/>
      <c r="I78" s="184"/>
      <c r="J78" s="184"/>
      <c r="K78" s="184"/>
      <c r="L78" s="184"/>
      <c r="M78" s="184"/>
      <c r="N78" s="184"/>
      <c r="O78" s="184"/>
      <c r="P78" s="184"/>
      <c r="Q78" s="185"/>
    </row>
    <row r="79" spans="1:17" ht="22.5" x14ac:dyDescent="0.2">
      <c r="A79" s="272" t="s">
        <v>654</v>
      </c>
      <c r="B79" s="273"/>
      <c r="C79" s="273"/>
      <c r="D79" s="273"/>
      <c r="E79" s="273"/>
      <c r="F79" s="275" t="s">
        <v>618</v>
      </c>
      <c r="G79" s="283" t="s">
        <v>583</v>
      </c>
      <c r="H79" s="175"/>
      <c r="I79" s="182"/>
      <c r="J79" s="182"/>
      <c r="K79" s="182"/>
      <c r="L79" s="182"/>
      <c r="M79" s="182"/>
      <c r="N79" s="182"/>
      <c r="O79" s="182"/>
      <c r="P79" s="182"/>
      <c r="Q79" s="147">
        <f>I79+K79+J79+L79+M79+N79+O79+P79</f>
        <v>0</v>
      </c>
    </row>
    <row r="80" spans="1:17" x14ac:dyDescent="0.2">
      <c r="A80" s="272"/>
      <c r="B80" s="273"/>
      <c r="C80" s="273"/>
      <c r="D80" s="273"/>
      <c r="E80" s="273"/>
      <c r="F80" s="275"/>
      <c r="G80" s="283"/>
      <c r="H80" s="267"/>
      <c r="I80" s="270"/>
      <c r="J80" s="270"/>
      <c r="K80" s="270"/>
      <c r="L80" s="270"/>
      <c r="M80" s="270"/>
      <c r="N80" s="270"/>
      <c r="O80" s="270"/>
      <c r="P80" s="270"/>
      <c r="Q80" s="147"/>
    </row>
    <row r="81" spans="1:17" x14ac:dyDescent="0.2">
      <c r="A81" s="272" t="s">
        <v>660</v>
      </c>
      <c r="B81" s="273"/>
      <c r="C81" s="273"/>
      <c r="D81" s="273"/>
      <c r="E81" s="273"/>
      <c r="F81" s="274" t="s">
        <v>52</v>
      </c>
      <c r="G81" s="283" t="s">
        <v>678</v>
      </c>
      <c r="H81" s="175"/>
      <c r="I81" s="182"/>
      <c r="J81" s="182"/>
      <c r="K81" s="182"/>
      <c r="L81" s="182"/>
      <c r="M81" s="182"/>
      <c r="N81" s="182"/>
      <c r="O81" s="182"/>
      <c r="P81" s="182"/>
      <c r="Q81" s="147">
        <f>I81+K81+J81+L81+M81+N81+O81+P81</f>
        <v>0</v>
      </c>
    </row>
    <row r="82" spans="1:17" x14ac:dyDescent="0.2">
      <c r="A82" s="272"/>
      <c r="B82" s="273"/>
      <c r="C82" s="273"/>
      <c r="D82" s="273"/>
      <c r="E82" s="273"/>
      <c r="F82" s="275"/>
      <c r="G82" s="283"/>
      <c r="H82" s="267"/>
      <c r="I82" s="270"/>
      <c r="J82" s="270"/>
      <c r="K82" s="270"/>
      <c r="L82" s="270"/>
      <c r="M82" s="270"/>
      <c r="N82" s="270"/>
      <c r="O82" s="270"/>
      <c r="P82" s="270"/>
      <c r="Q82" s="147"/>
    </row>
    <row r="83" spans="1:17" x14ac:dyDescent="0.2">
      <c r="A83" s="403" t="s">
        <v>493</v>
      </c>
      <c r="B83" s="403"/>
      <c r="C83" s="403"/>
      <c r="D83" s="403"/>
      <c r="E83" s="403"/>
      <c r="F83" s="276"/>
      <c r="G83" s="282" t="s">
        <v>494</v>
      </c>
      <c r="H83" s="175"/>
      <c r="I83" s="176">
        <f>I55+I57+I59+I61+I63+I65+I67+I69+I71+I73+I75+I77+I79+I81</f>
        <v>0</v>
      </c>
      <c r="J83" s="176">
        <f t="shared" ref="J83:P83" si="5">J55+J57+J59+J61+J63+J65+J67+J69+J71+J73+J75+J77+J79+J81</f>
        <v>0</v>
      </c>
      <c r="K83" s="176">
        <f>K55+K57+K59+K61+K63+K65+K67+K69+K71+K73+K75+K77+K79+K81</f>
        <v>0</v>
      </c>
      <c r="L83" s="176">
        <f t="shared" si="5"/>
        <v>0</v>
      </c>
      <c r="M83" s="176">
        <f t="shared" si="5"/>
        <v>0</v>
      </c>
      <c r="N83" s="176">
        <f t="shared" si="5"/>
        <v>0</v>
      </c>
      <c r="O83" s="176">
        <f t="shared" si="5"/>
        <v>0</v>
      </c>
      <c r="P83" s="176">
        <f t="shared" si="5"/>
        <v>0</v>
      </c>
      <c r="Q83" s="147">
        <f>I83+K83+J83+L83+M83+N83+O83+P83</f>
        <v>0</v>
      </c>
    </row>
    <row r="84" spans="1:17" x14ac:dyDescent="0.2">
      <c r="A84" s="405"/>
      <c r="B84" s="405"/>
      <c r="C84" s="405"/>
      <c r="D84" s="405"/>
      <c r="E84" s="405"/>
      <c r="F84" s="387"/>
      <c r="G84" s="392"/>
      <c r="H84" s="177"/>
      <c r="I84" s="184"/>
      <c r="J84" s="184"/>
      <c r="K84" s="184"/>
      <c r="L84" s="184"/>
      <c r="M84" s="184"/>
      <c r="N84" s="184"/>
      <c r="O84" s="184"/>
      <c r="P84" s="184"/>
      <c r="Q84" s="185"/>
    </row>
    <row r="85" spans="1:17" x14ac:dyDescent="0.2">
      <c r="A85" s="409" t="s">
        <v>497</v>
      </c>
      <c r="B85" s="409"/>
      <c r="C85" s="409"/>
      <c r="D85" s="409"/>
      <c r="E85" s="409"/>
      <c r="F85" s="403"/>
      <c r="G85" s="282" t="s">
        <v>496</v>
      </c>
      <c r="H85" s="194"/>
      <c r="I85" s="176">
        <f t="shared" ref="I85:P85" si="6">I52-I83</f>
        <v>0</v>
      </c>
      <c r="J85" s="176">
        <f t="shared" si="6"/>
        <v>0</v>
      </c>
      <c r="K85" s="176">
        <f>K52-K83</f>
        <v>0</v>
      </c>
      <c r="L85" s="176">
        <f t="shared" si="6"/>
        <v>0</v>
      </c>
      <c r="M85" s="176">
        <f t="shared" si="6"/>
        <v>0</v>
      </c>
      <c r="N85" s="176">
        <f t="shared" si="6"/>
        <v>0</v>
      </c>
      <c r="O85" s="176">
        <f t="shared" si="6"/>
        <v>0</v>
      </c>
      <c r="P85" s="176">
        <f t="shared" si="6"/>
        <v>0</v>
      </c>
      <c r="Q85" s="147">
        <f>I85+K85+J85+L85+M85+N85+O85+P85</f>
        <v>0</v>
      </c>
    </row>
    <row r="86" spans="1:17" x14ac:dyDescent="0.2">
      <c r="G86" s="228" t="s">
        <v>108</v>
      </c>
    </row>
  </sheetData>
  <sheetProtection password="D745" sheet="1" objects="1" scenarios="1" selectLockedCells="1"/>
  <mergeCells count="5">
    <mergeCell ref="A10:F10"/>
    <mergeCell ref="A1:Q1"/>
    <mergeCell ref="A2:Q2"/>
    <mergeCell ref="A3:Q3"/>
    <mergeCell ref="A4:Q4"/>
  </mergeCells>
  <phoneticPr fontId="2" type="noConversion"/>
  <dataValidations count="1">
    <dataValidation type="decimal" allowBlank="1" showInputMessage="1" showErrorMessage="1" error="Invalid data is entered!" sqref="I71:P71 I79:P82 I77:P77 I75:P75 I73:P73 I69:P69 I67:P67 I65:P65 I63:P63 I59:P61 I57:P57 I55:L55 I48:P51 I23:P24 I27:P28 I31:P32 I35:P36 I38:P38 I40:P40 I42:P42 I44:P44 I18:L20 I46:P46 I12:P14">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40a&amp;10&amp;U
&amp;8Page &amp;P of &amp;N Pages&amp;C&amp;"Arial,Bold"&amp;8 NEW RURAL BANK OF SAN LEONARDO, INC  [ 04-040656 ]
 As of: September 30, 2017</oddHeader>
  </headerFooter>
  <rowBreaks count="1" manualBreakCount="1">
    <brk id="52"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4"/>
  </sheetPr>
  <dimension ref="A1:A784"/>
  <sheetViews>
    <sheetView topLeftCell="B1" workbookViewId="0"/>
  </sheetViews>
  <sheetFormatPr defaultRowHeight="12.75" x14ac:dyDescent="0.2"/>
  <cols>
    <col min="1" max="1" width="43.42578125" style="64" hidden="1" customWidth="1"/>
    <col min="2" max="16384" width="9.140625" style="63"/>
  </cols>
  <sheetData>
    <row r="1" spans="1:1" x14ac:dyDescent="0.2">
      <c r="A1" s="284" t="s">
        <v>1479</v>
      </c>
    </row>
    <row r="2" spans="1:1" x14ac:dyDescent="0.2">
      <c r="A2" s="284">
        <v>4</v>
      </c>
    </row>
    <row r="3" spans="1:1" x14ac:dyDescent="0.2">
      <c r="A3" s="284">
        <v>40656</v>
      </c>
    </row>
    <row r="4" spans="1:1" x14ac:dyDescent="0.2">
      <c r="A4" s="284">
        <v>8888</v>
      </c>
    </row>
    <row r="5" spans="1:1" x14ac:dyDescent="0.2">
      <c r="A5" s="284">
        <v>8</v>
      </c>
    </row>
    <row r="6" spans="1:1" x14ac:dyDescent="0.2">
      <c r="A6" s="284">
        <v>2017</v>
      </c>
    </row>
    <row r="7" spans="1:1" x14ac:dyDescent="0.2">
      <c r="A7" s="284">
        <v>20170930</v>
      </c>
    </row>
    <row r="8" spans="1:1" x14ac:dyDescent="0.2">
      <c r="A8" s="285" t="s">
        <v>623</v>
      </c>
    </row>
    <row r="9" spans="1:1" x14ac:dyDescent="0.2">
      <c r="A9" s="285" t="s">
        <v>1470</v>
      </c>
    </row>
    <row r="10" spans="1:1" x14ac:dyDescent="0.2">
      <c r="A10" s="286">
        <v>1</v>
      </c>
    </row>
    <row r="11" spans="1:1" x14ac:dyDescent="0.2">
      <c r="A11" s="285" t="s">
        <v>1299</v>
      </c>
    </row>
    <row r="12" spans="1:1" x14ac:dyDescent="0.2">
      <c r="A12" s="285"/>
    </row>
    <row r="13" spans="1:1" x14ac:dyDescent="0.2">
      <c r="A13" s="285"/>
    </row>
    <row r="14" spans="1:1" x14ac:dyDescent="0.2">
      <c r="A14" s="285"/>
    </row>
    <row r="15" spans="1:1" x14ac:dyDescent="0.2">
      <c r="A15" s="285"/>
    </row>
    <row r="16" spans="1:1" x14ac:dyDescent="0.2">
      <c r="A16" s="285"/>
    </row>
    <row r="17" spans="1:1" x14ac:dyDescent="0.2">
      <c r="A17" s="285"/>
    </row>
    <row r="18" spans="1:1" x14ac:dyDescent="0.2">
      <c r="A18" s="285"/>
    </row>
    <row r="19" spans="1:1" x14ac:dyDescent="0.2">
      <c r="A19" s="285"/>
    </row>
    <row r="20" spans="1:1" x14ac:dyDescent="0.2">
      <c r="A20" s="285">
        <v>9</v>
      </c>
    </row>
    <row r="21" spans="1:1" x14ac:dyDescent="0.2">
      <c r="A21" s="285">
        <v>2017</v>
      </c>
    </row>
    <row r="22" spans="1:1" x14ac:dyDescent="0.2">
      <c r="A22" s="285"/>
    </row>
    <row r="23" spans="1:1" x14ac:dyDescent="0.2">
      <c r="A23" s="285"/>
    </row>
    <row r="24" spans="1:1" x14ac:dyDescent="0.2">
      <c r="A24" s="285"/>
    </row>
    <row r="25" spans="1:1" x14ac:dyDescent="0.2">
      <c r="A25" s="285"/>
    </row>
    <row r="26" spans="1:1" x14ac:dyDescent="0.2">
      <c r="A26" s="285"/>
    </row>
    <row r="27" spans="1:1" x14ac:dyDescent="0.2">
      <c r="A27" s="285"/>
    </row>
    <row r="28" spans="1:1" x14ac:dyDescent="0.2">
      <c r="A28" s="285"/>
    </row>
    <row r="29" spans="1:1" x14ac:dyDescent="0.2">
      <c r="A29" s="285"/>
    </row>
    <row r="30" spans="1:1" x14ac:dyDescent="0.2">
      <c r="A30" s="285"/>
    </row>
    <row r="31" spans="1:1" x14ac:dyDescent="0.2">
      <c r="A31" s="285"/>
    </row>
    <row r="32" spans="1:1" x14ac:dyDescent="0.2">
      <c r="A32" s="285"/>
    </row>
    <row r="33" spans="1:1" x14ac:dyDescent="0.2">
      <c r="A33" s="285"/>
    </row>
    <row r="34" spans="1:1" x14ac:dyDescent="0.2">
      <c r="A34" s="285"/>
    </row>
    <row r="35" spans="1:1" x14ac:dyDescent="0.2">
      <c r="A35" s="285"/>
    </row>
    <row r="36" spans="1:1" x14ac:dyDescent="0.2">
      <c r="A36" s="285"/>
    </row>
    <row r="37" spans="1:1" x14ac:dyDescent="0.2">
      <c r="A37" s="285"/>
    </row>
    <row r="38" spans="1:1" x14ac:dyDescent="0.2">
      <c r="A38" s="285"/>
    </row>
    <row r="39" spans="1:1" x14ac:dyDescent="0.2">
      <c r="A39" s="285"/>
    </row>
    <row r="40" spans="1:1" x14ac:dyDescent="0.2">
      <c r="A40" s="285"/>
    </row>
    <row r="41" spans="1:1" x14ac:dyDescent="0.2">
      <c r="A41" s="285"/>
    </row>
    <row r="42" spans="1:1" x14ac:dyDescent="0.2">
      <c r="A42" s="285"/>
    </row>
    <row r="43" spans="1:1" x14ac:dyDescent="0.2">
      <c r="A43" s="285"/>
    </row>
    <row r="44" spans="1:1" x14ac:dyDescent="0.2">
      <c r="A44" s="285"/>
    </row>
    <row r="45" spans="1:1" x14ac:dyDescent="0.2">
      <c r="A45" s="285"/>
    </row>
    <row r="46" spans="1:1" x14ac:dyDescent="0.2">
      <c r="A46" s="285"/>
    </row>
    <row r="47" spans="1:1" x14ac:dyDescent="0.2">
      <c r="A47" s="285"/>
    </row>
    <row r="48" spans="1:1" x14ac:dyDescent="0.2">
      <c r="A48" s="285"/>
    </row>
    <row r="49" spans="1:1" x14ac:dyDescent="0.2">
      <c r="A49" s="285"/>
    </row>
    <row r="50" spans="1:1" x14ac:dyDescent="0.2">
      <c r="A50" s="285" t="s">
        <v>933</v>
      </c>
    </row>
    <row r="51" spans="1:1" x14ac:dyDescent="0.2">
      <c r="A51" s="285" t="s">
        <v>43</v>
      </c>
    </row>
    <row r="52" spans="1:1" x14ac:dyDescent="0.2">
      <c r="A52" s="285" t="s">
        <v>44</v>
      </c>
    </row>
    <row r="53" spans="1:1" x14ac:dyDescent="0.2">
      <c r="A53" s="285" t="s">
        <v>184</v>
      </c>
    </row>
    <row r="54" spans="1:1" x14ac:dyDescent="0.2">
      <c r="A54" s="285" t="s">
        <v>998</v>
      </c>
    </row>
    <row r="55" spans="1:1" x14ac:dyDescent="0.2">
      <c r="A55" s="285" t="s">
        <v>999</v>
      </c>
    </row>
    <row r="56" spans="1:1" x14ac:dyDescent="0.2">
      <c r="A56" s="285" t="s">
        <v>1302</v>
      </c>
    </row>
    <row r="57" spans="1:1" x14ac:dyDescent="0.2">
      <c r="A57" s="285" t="s">
        <v>1000</v>
      </c>
    </row>
    <row r="58" spans="1:1" x14ac:dyDescent="0.2">
      <c r="A58" s="285" t="s">
        <v>1001</v>
      </c>
    </row>
    <row r="59" spans="1:1" x14ac:dyDescent="0.2">
      <c r="A59" s="285" t="s">
        <v>185</v>
      </c>
    </row>
    <row r="60" spans="1:1" x14ac:dyDescent="0.2">
      <c r="A60" s="285" t="s">
        <v>1002</v>
      </c>
    </row>
    <row r="61" spans="1:1" x14ac:dyDescent="0.2">
      <c r="A61" s="285" t="s">
        <v>728</v>
      </c>
    </row>
    <row r="62" spans="1:1" x14ac:dyDescent="0.2">
      <c r="A62" s="285" t="s">
        <v>830</v>
      </c>
    </row>
    <row r="63" spans="1:1" x14ac:dyDescent="0.2">
      <c r="A63" s="285" t="s">
        <v>729</v>
      </c>
    </row>
    <row r="64" spans="1:1" x14ac:dyDescent="0.2">
      <c r="A64" s="285" t="s">
        <v>1003</v>
      </c>
    </row>
    <row r="65" spans="1:1" x14ac:dyDescent="0.2">
      <c r="A65" s="285" t="s">
        <v>730</v>
      </c>
    </row>
    <row r="66" spans="1:1" x14ac:dyDescent="0.2">
      <c r="A66" s="285" t="s">
        <v>731</v>
      </c>
    </row>
    <row r="67" spans="1:1" x14ac:dyDescent="0.2">
      <c r="A67" s="285" t="s">
        <v>186</v>
      </c>
    </row>
    <row r="68" spans="1:1" x14ac:dyDescent="0.2">
      <c r="A68" s="285" t="s">
        <v>732</v>
      </c>
    </row>
    <row r="69" spans="1:1" x14ac:dyDescent="0.2">
      <c r="A69" s="285" t="s">
        <v>733</v>
      </c>
    </row>
    <row r="70" spans="1:1" x14ac:dyDescent="0.2">
      <c r="A70" s="285" t="s">
        <v>922</v>
      </c>
    </row>
    <row r="71" spans="1:1" x14ac:dyDescent="0.2">
      <c r="A71" s="285" t="s">
        <v>986</v>
      </c>
    </row>
    <row r="72" spans="1:1" x14ac:dyDescent="0.2">
      <c r="A72" s="285" t="s">
        <v>923</v>
      </c>
    </row>
    <row r="73" spans="1:1" x14ac:dyDescent="0.2">
      <c r="A73" s="285" t="s">
        <v>1305</v>
      </c>
    </row>
    <row r="74" spans="1:1" x14ac:dyDescent="0.2">
      <c r="A74" s="285" t="s">
        <v>934</v>
      </c>
    </row>
    <row r="75" spans="1:1" x14ac:dyDescent="0.2">
      <c r="A75" s="285" t="s">
        <v>978</v>
      </c>
    </row>
    <row r="76" spans="1:1" x14ac:dyDescent="0.2">
      <c r="A76" s="285" t="s">
        <v>1279</v>
      </c>
    </row>
    <row r="77" spans="1:1" x14ac:dyDescent="0.2">
      <c r="A77" s="285" t="s">
        <v>734</v>
      </c>
    </row>
    <row r="78" spans="1:1" x14ac:dyDescent="0.2">
      <c r="A78" s="285" t="s">
        <v>735</v>
      </c>
    </row>
    <row r="79" spans="1:1" x14ac:dyDescent="0.2">
      <c r="A79" s="285" t="s">
        <v>1006</v>
      </c>
    </row>
    <row r="80" spans="1:1" x14ac:dyDescent="0.2">
      <c r="A80" s="285" t="s">
        <v>1007</v>
      </c>
    </row>
    <row r="81" spans="1:1" x14ac:dyDescent="0.2">
      <c r="A81" s="285" t="s">
        <v>1230</v>
      </c>
    </row>
    <row r="82" spans="1:1" x14ac:dyDescent="0.2">
      <c r="A82" s="285" t="s">
        <v>924</v>
      </c>
    </row>
    <row r="83" spans="1:1" x14ac:dyDescent="0.2">
      <c r="A83" s="285" t="s">
        <v>187</v>
      </c>
    </row>
    <row r="84" spans="1:1" x14ac:dyDescent="0.2">
      <c r="A84" s="285" t="s">
        <v>736</v>
      </c>
    </row>
    <row r="85" spans="1:1" x14ac:dyDescent="0.2">
      <c r="A85" s="285" t="s">
        <v>737</v>
      </c>
    </row>
    <row r="86" spans="1:1" x14ac:dyDescent="0.2">
      <c r="A86" s="285" t="s">
        <v>925</v>
      </c>
    </row>
    <row r="87" spans="1:1" x14ac:dyDescent="0.2">
      <c r="A87" s="285" t="s">
        <v>1311</v>
      </c>
    </row>
    <row r="88" spans="1:1" x14ac:dyDescent="0.2">
      <c r="A88" s="285" t="s">
        <v>1010</v>
      </c>
    </row>
    <row r="89" spans="1:1" x14ac:dyDescent="0.2">
      <c r="A89" s="285" t="s">
        <v>738</v>
      </c>
    </row>
    <row r="90" spans="1:1" x14ac:dyDescent="0.2">
      <c r="A90" s="285" t="s">
        <v>739</v>
      </c>
    </row>
    <row r="91" spans="1:1" x14ac:dyDescent="0.2">
      <c r="A91" s="285" t="s">
        <v>740</v>
      </c>
    </row>
    <row r="92" spans="1:1" x14ac:dyDescent="0.2">
      <c r="A92" s="285" t="s">
        <v>1011</v>
      </c>
    </row>
    <row r="93" spans="1:1" x14ac:dyDescent="0.2">
      <c r="A93" s="285" t="s">
        <v>935</v>
      </c>
    </row>
    <row r="94" spans="1:1" x14ac:dyDescent="0.2">
      <c r="A94" s="285" t="s">
        <v>1012</v>
      </c>
    </row>
    <row r="95" spans="1:1" x14ac:dyDescent="0.2">
      <c r="A95" s="285" t="s">
        <v>741</v>
      </c>
    </row>
    <row r="96" spans="1:1" x14ac:dyDescent="0.2">
      <c r="A96" s="285" t="s">
        <v>1278</v>
      </c>
    </row>
    <row r="97" spans="1:1" x14ac:dyDescent="0.2">
      <c r="A97" s="285" t="s">
        <v>742</v>
      </c>
    </row>
    <row r="98" spans="1:1" x14ac:dyDescent="0.2">
      <c r="A98" s="285" t="s">
        <v>991</v>
      </c>
    </row>
    <row r="99" spans="1:1" x14ac:dyDescent="0.2">
      <c r="A99" s="285" t="s">
        <v>1013</v>
      </c>
    </row>
    <row r="100" spans="1:1" x14ac:dyDescent="0.2">
      <c r="A100" s="285" t="s">
        <v>1307</v>
      </c>
    </row>
    <row r="101" spans="1:1" x14ac:dyDescent="0.2">
      <c r="A101" s="285" t="s">
        <v>1014</v>
      </c>
    </row>
    <row r="102" spans="1:1" x14ac:dyDescent="0.2">
      <c r="A102" s="285" t="s">
        <v>743</v>
      </c>
    </row>
    <row r="103" spans="1:1" x14ac:dyDescent="0.2">
      <c r="A103" s="285" t="s">
        <v>744</v>
      </c>
    </row>
    <row r="104" spans="1:1" x14ac:dyDescent="0.2">
      <c r="A104" s="285" t="s">
        <v>474</v>
      </c>
    </row>
    <row r="105" spans="1:1" x14ac:dyDescent="0.2">
      <c r="A105" s="285" t="s">
        <v>745</v>
      </c>
    </row>
    <row r="106" spans="1:1" x14ac:dyDescent="0.2">
      <c r="A106" s="285" t="s">
        <v>746</v>
      </c>
    </row>
    <row r="107" spans="1:1" x14ac:dyDescent="0.2">
      <c r="A107" s="285" t="s">
        <v>747</v>
      </c>
    </row>
    <row r="108" spans="1:1" x14ac:dyDescent="0.2">
      <c r="A108" s="285" t="s">
        <v>748</v>
      </c>
    </row>
    <row r="109" spans="1:1" x14ac:dyDescent="0.2">
      <c r="A109" s="285" t="s">
        <v>749</v>
      </c>
    </row>
    <row r="110" spans="1:1" x14ac:dyDescent="0.2">
      <c r="A110" s="285" t="s">
        <v>520</v>
      </c>
    </row>
    <row r="111" spans="1:1" x14ac:dyDescent="0.2">
      <c r="A111" s="285" t="s">
        <v>1015</v>
      </c>
    </row>
    <row r="112" spans="1:1" x14ac:dyDescent="0.2">
      <c r="A112" s="285" t="s">
        <v>1016</v>
      </c>
    </row>
    <row r="113" spans="1:1" x14ac:dyDescent="0.2">
      <c r="A113" s="285" t="s">
        <v>1033</v>
      </c>
    </row>
    <row r="114" spans="1:1" x14ac:dyDescent="0.2">
      <c r="A114" s="285" t="s">
        <v>750</v>
      </c>
    </row>
    <row r="115" spans="1:1" x14ac:dyDescent="0.2">
      <c r="A115" s="285" t="s">
        <v>751</v>
      </c>
    </row>
    <row r="116" spans="1:1" x14ac:dyDescent="0.2">
      <c r="A116" s="285" t="s">
        <v>752</v>
      </c>
    </row>
    <row r="117" spans="1:1" x14ac:dyDescent="0.2">
      <c r="A117" s="285" t="s">
        <v>753</v>
      </c>
    </row>
    <row r="118" spans="1:1" x14ac:dyDescent="0.2">
      <c r="A118" s="285" t="s">
        <v>926</v>
      </c>
    </row>
    <row r="119" spans="1:1" x14ac:dyDescent="0.2">
      <c r="A119" s="285" t="s">
        <v>927</v>
      </c>
    </row>
    <row r="120" spans="1:1" x14ac:dyDescent="0.2">
      <c r="A120" s="285" t="s">
        <v>754</v>
      </c>
    </row>
    <row r="121" spans="1:1" x14ac:dyDescent="0.2">
      <c r="A121" s="285" t="s">
        <v>928</v>
      </c>
    </row>
    <row r="122" spans="1:1" x14ac:dyDescent="0.2">
      <c r="A122" s="285" t="s">
        <v>1303</v>
      </c>
    </row>
    <row r="123" spans="1:1" x14ac:dyDescent="0.2">
      <c r="A123" s="285" t="s">
        <v>755</v>
      </c>
    </row>
    <row r="124" spans="1:1" x14ac:dyDescent="0.2">
      <c r="A124" s="285" t="s">
        <v>996</v>
      </c>
    </row>
    <row r="125" spans="1:1" x14ac:dyDescent="0.2">
      <c r="A125" s="285" t="s">
        <v>756</v>
      </c>
    </row>
    <row r="126" spans="1:1" x14ac:dyDescent="0.2">
      <c r="A126" s="285" t="s">
        <v>757</v>
      </c>
    </row>
    <row r="127" spans="1:1" x14ac:dyDescent="0.2">
      <c r="A127" s="285" t="s">
        <v>1017</v>
      </c>
    </row>
    <row r="128" spans="1:1" x14ac:dyDescent="0.2">
      <c r="A128" s="285" t="s">
        <v>758</v>
      </c>
    </row>
    <row r="129" spans="1:1" x14ac:dyDescent="0.2">
      <c r="A129" s="285" t="s">
        <v>759</v>
      </c>
    </row>
    <row r="130" spans="1:1" x14ac:dyDescent="0.2">
      <c r="A130" s="285" t="s">
        <v>979</v>
      </c>
    </row>
    <row r="131" spans="1:1" x14ac:dyDescent="0.2">
      <c r="A131" s="285" t="s">
        <v>1018</v>
      </c>
    </row>
    <row r="132" spans="1:1" x14ac:dyDescent="0.2">
      <c r="A132" s="285" t="s">
        <v>1019</v>
      </c>
    </row>
    <row r="133" spans="1:1" x14ac:dyDescent="0.2">
      <c r="A133" s="285" t="s">
        <v>1020</v>
      </c>
    </row>
    <row r="134" spans="1:1" x14ac:dyDescent="0.2">
      <c r="A134" s="285" t="s">
        <v>1004</v>
      </c>
    </row>
    <row r="135" spans="1:1" x14ac:dyDescent="0.2">
      <c r="A135" s="285" t="s">
        <v>1021</v>
      </c>
    </row>
    <row r="136" spans="1:1" x14ac:dyDescent="0.2">
      <c r="A136" s="285" t="s">
        <v>1022</v>
      </c>
    </row>
    <row r="137" spans="1:1" x14ac:dyDescent="0.2">
      <c r="A137" s="285" t="s">
        <v>1023</v>
      </c>
    </row>
    <row r="138" spans="1:1" x14ac:dyDescent="0.2">
      <c r="A138" s="285" t="s">
        <v>1025</v>
      </c>
    </row>
    <row r="139" spans="1:1" x14ac:dyDescent="0.2">
      <c r="A139" s="285" t="s">
        <v>1026</v>
      </c>
    </row>
    <row r="140" spans="1:1" x14ac:dyDescent="0.2">
      <c r="A140" s="285" t="s">
        <v>1027</v>
      </c>
    </row>
    <row r="141" spans="1:1" x14ac:dyDescent="0.2">
      <c r="A141" s="285" t="s">
        <v>1028</v>
      </c>
    </row>
    <row r="142" spans="1:1" x14ac:dyDescent="0.2">
      <c r="A142" s="285" t="s">
        <v>1300</v>
      </c>
    </row>
    <row r="143" spans="1:1" x14ac:dyDescent="0.2">
      <c r="A143" s="285" t="s">
        <v>760</v>
      </c>
    </row>
    <row r="144" spans="1:1" x14ac:dyDescent="0.2">
      <c r="A144" s="285" t="s">
        <v>761</v>
      </c>
    </row>
    <row r="145" spans="1:1" x14ac:dyDescent="0.2">
      <c r="A145" s="285" t="s">
        <v>1029</v>
      </c>
    </row>
    <row r="146" spans="1:1" x14ac:dyDescent="0.2">
      <c r="A146" s="285" t="s">
        <v>1030</v>
      </c>
    </row>
    <row r="147" spans="1:1" x14ac:dyDescent="0.2">
      <c r="A147" s="285" t="s">
        <v>762</v>
      </c>
    </row>
    <row r="148" spans="1:1" x14ac:dyDescent="0.2">
      <c r="A148" s="285" t="s">
        <v>763</v>
      </c>
    </row>
    <row r="149" spans="1:1" x14ac:dyDescent="0.2">
      <c r="A149" s="285" t="s">
        <v>929</v>
      </c>
    </row>
    <row r="150" spans="1:1" x14ac:dyDescent="0.2">
      <c r="A150" s="285" t="s">
        <v>1034</v>
      </c>
    </row>
    <row r="151" spans="1:1" x14ac:dyDescent="0.2">
      <c r="A151" s="285" t="s">
        <v>764</v>
      </c>
    </row>
    <row r="152" spans="1:1" x14ac:dyDescent="0.2">
      <c r="A152" s="285" t="s">
        <v>4</v>
      </c>
    </row>
    <row r="153" spans="1:1" x14ac:dyDescent="0.2">
      <c r="A153" s="285" t="s">
        <v>765</v>
      </c>
    </row>
    <row r="154" spans="1:1" x14ac:dyDescent="0.2">
      <c r="A154" s="285" t="s">
        <v>766</v>
      </c>
    </row>
    <row r="155" spans="1:1" x14ac:dyDescent="0.2">
      <c r="A155" s="285" t="s">
        <v>767</v>
      </c>
    </row>
    <row r="156" spans="1:1" x14ac:dyDescent="0.2">
      <c r="A156" s="285" t="s">
        <v>1036</v>
      </c>
    </row>
    <row r="157" spans="1:1" x14ac:dyDescent="0.2">
      <c r="A157" s="285" t="s">
        <v>768</v>
      </c>
    </row>
    <row r="158" spans="1:1" x14ac:dyDescent="0.2">
      <c r="A158" s="285" t="s">
        <v>769</v>
      </c>
    </row>
    <row r="159" spans="1:1" x14ac:dyDescent="0.2">
      <c r="A159" s="285" t="s">
        <v>770</v>
      </c>
    </row>
    <row r="160" spans="1:1" x14ac:dyDescent="0.2">
      <c r="A160" s="285" t="s">
        <v>771</v>
      </c>
    </row>
    <row r="161" spans="1:1" x14ac:dyDescent="0.2">
      <c r="A161" s="285" t="s">
        <v>993</v>
      </c>
    </row>
    <row r="162" spans="1:1" x14ac:dyDescent="0.2">
      <c r="A162" s="285" t="s">
        <v>772</v>
      </c>
    </row>
    <row r="163" spans="1:1" x14ac:dyDescent="0.2">
      <c r="A163" s="285" t="s">
        <v>1032</v>
      </c>
    </row>
    <row r="164" spans="1:1" x14ac:dyDescent="0.2">
      <c r="A164" s="285" t="s">
        <v>1031</v>
      </c>
    </row>
    <row r="165" spans="1:1" x14ac:dyDescent="0.2">
      <c r="A165" s="285" t="s">
        <v>930</v>
      </c>
    </row>
    <row r="166" spans="1:1" x14ac:dyDescent="0.2">
      <c r="A166" s="285" t="s">
        <v>931</v>
      </c>
    </row>
    <row r="167" spans="1:1" x14ac:dyDescent="0.2">
      <c r="A167" s="285" t="s">
        <v>994</v>
      </c>
    </row>
    <row r="168" spans="1:1" x14ac:dyDescent="0.2">
      <c r="A168" s="285" t="s">
        <v>1037</v>
      </c>
    </row>
    <row r="169" spans="1:1" x14ac:dyDescent="0.2">
      <c r="A169" s="285" t="s">
        <v>1304</v>
      </c>
    </row>
    <row r="170" spans="1:1" x14ac:dyDescent="0.2">
      <c r="A170" s="285" t="s">
        <v>1038</v>
      </c>
    </row>
    <row r="171" spans="1:1" x14ac:dyDescent="0.2">
      <c r="A171" s="285" t="s">
        <v>995</v>
      </c>
    </row>
    <row r="172" spans="1:1" x14ac:dyDescent="0.2">
      <c r="A172" s="285" t="s">
        <v>932</v>
      </c>
    </row>
    <row r="173" spans="1:1" x14ac:dyDescent="0.2">
      <c r="A173" s="285" t="s">
        <v>773</v>
      </c>
    </row>
    <row r="174" spans="1:1" x14ac:dyDescent="0.2">
      <c r="A174" s="285" t="s">
        <v>936</v>
      </c>
    </row>
    <row r="175" spans="1:1" x14ac:dyDescent="0.2">
      <c r="A175" s="285" t="s">
        <v>774</v>
      </c>
    </row>
    <row r="176" spans="1:1" x14ac:dyDescent="0.2">
      <c r="A176" s="285" t="s">
        <v>937</v>
      </c>
    </row>
    <row r="177" spans="1:1" x14ac:dyDescent="0.2">
      <c r="A177" s="285" t="s">
        <v>775</v>
      </c>
    </row>
    <row r="178" spans="1:1" x14ac:dyDescent="0.2">
      <c r="A178" s="285" t="s">
        <v>776</v>
      </c>
    </row>
    <row r="179" spans="1:1" x14ac:dyDescent="0.2">
      <c r="A179" s="285" t="s">
        <v>777</v>
      </c>
    </row>
    <row r="180" spans="1:1" x14ac:dyDescent="0.2">
      <c r="A180" s="285" t="s">
        <v>1040</v>
      </c>
    </row>
    <row r="181" spans="1:1" x14ac:dyDescent="0.2">
      <c r="A181" s="285" t="s">
        <v>1308</v>
      </c>
    </row>
    <row r="182" spans="1:1" x14ac:dyDescent="0.2">
      <c r="A182" s="285" t="s">
        <v>1041</v>
      </c>
    </row>
    <row r="183" spans="1:1" x14ac:dyDescent="0.2">
      <c r="A183" s="285" t="s">
        <v>778</v>
      </c>
    </row>
    <row r="184" spans="1:1" x14ac:dyDescent="0.2">
      <c r="A184" s="285" t="s">
        <v>779</v>
      </c>
    </row>
    <row r="185" spans="1:1" x14ac:dyDescent="0.2">
      <c r="A185" s="285" t="s">
        <v>1042</v>
      </c>
    </row>
    <row r="186" spans="1:1" x14ac:dyDescent="0.2">
      <c r="A186" s="285" t="s">
        <v>780</v>
      </c>
    </row>
    <row r="187" spans="1:1" x14ac:dyDescent="0.2">
      <c r="A187" s="285" t="s">
        <v>188</v>
      </c>
    </row>
    <row r="188" spans="1:1" x14ac:dyDescent="0.2">
      <c r="A188" s="285" t="s">
        <v>1043</v>
      </c>
    </row>
    <row r="189" spans="1:1" x14ac:dyDescent="0.2">
      <c r="A189" s="285" t="s">
        <v>781</v>
      </c>
    </row>
    <row r="190" spans="1:1" x14ac:dyDescent="0.2">
      <c r="A190" s="285" t="s">
        <v>782</v>
      </c>
    </row>
    <row r="191" spans="1:1" x14ac:dyDescent="0.2">
      <c r="A191" s="285" t="s">
        <v>1044</v>
      </c>
    </row>
    <row r="192" spans="1:1" x14ac:dyDescent="0.2">
      <c r="A192" s="285" t="s">
        <v>783</v>
      </c>
    </row>
    <row r="193" spans="1:1" x14ac:dyDescent="0.2">
      <c r="A193" s="285" t="s">
        <v>784</v>
      </c>
    </row>
    <row r="194" spans="1:1" x14ac:dyDescent="0.2">
      <c r="A194" s="285" t="s">
        <v>785</v>
      </c>
    </row>
    <row r="195" spans="1:1" x14ac:dyDescent="0.2">
      <c r="A195" s="285" t="s">
        <v>1057</v>
      </c>
    </row>
    <row r="196" spans="1:1" x14ac:dyDescent="0.2">
      <c r="A196" s="285" t="s">
        <v>938</v>
      </c>
    </row>
    <row r="197" spans="1:1" x14ac:dyDescent="0.2">
      <c r="A197" s="285" t="s">
        <v>1045</v>
      </c>
    </row>
    <row r="198" spans="1:1" x14ac:dyDescent="0.2">
      <c r="A198" s="285" t="s">
        <v>786</v>
      </c>
    </row>
    <row r="199" spans="1:1" x14ac:dyDescent="0.2">
      <c r="A199" s="285" t="s">
        <v>787</v>
      </c>
    </row>
    <row r="200" spans="1:1" x14ac:dyDescent="0.2">
      <c r="A200" s="285" t="s">
        <v>1046</v>
      </c>
    </row>
    <row r="201" spans="1:1" x14ac:dyDescent="0.2">
      <c r="A201" s="285" t="s">
        <v>940</v>
      </c>
    </row>
    <row r="202" spans="1:1" x14ac:dyDescent="0.2">
      <c r="A202" s="285" t="s">
        <v>788</v>
      </c>
    </row>
    <row r="203" spans="1:1" x14ac:dyDescent="0.2">
      <c r="A203" s="285" t="s">
        <v>846</v>
      </c>
    </row>
    <row r="204" spans="1:1" x14ac:dyDescent="0.2">
      <c r="A204" s="285" t="s">
        <v>789</v>
      </c>
    </row>
    <row r="205" spans="1:1" x14ac:dyDescent="0.2">
      <c r="A205" s="285" t="s">
        <v>790</v>
      </c>
    </row>
    <row r="206" spans="1:1" x14ac:dyDescent="0.2">
      <c r="A206" s="285" t="s">
        <v>791</v>
      </c>
    </row>
    <row r="207" spans="1:1" x14ac:dyDescent="0.2">
      <c r="A207" s="285" t="s">
        <v>939</v>
      </c>
    </row>
    <row r="208" spans="1:1" x14ac:dyDescent="0.2">
      <c r="A208" s="285" t="s">
        <v>792</v>
      </c>
    </row>
    <row r="209" spans="1:1" x14ac:dyDescent="0.2">
      <c r="A209" s="285" t="s">
        <v>793</v>
      </c>
    </row>
    <row r="210" spans="1:1" x14ac:dyDescent="0.2">
      <c r="A210" s="285" t="s">
        <v>1047</v>
      </c>
    </row>
    <row r="211" spans="1:1" x14ac:dyDescent="0.2">
      <c r="A211" s="285" t="s">
        <v>794</v>
      </c>
    </row>
    <row r="212" spans="1:1" x14ac:dyDescent="0.2">
      <c r="A212" s="285" t="s">
        <v>795</v>
      </c>
    </row>
    <row r="213" spans="1:1" x14ac:dyDescent="0.2">
      <c r="A213" s="285" t="s">
        <v>1048</v>
      </c>
    </row>
    <row r="214" spans="1:1" x14ac:dyDescent="0.2">
      <c r="A214" s="285" t="s">
        <v>1049</v>
      </c>
    </row>
    <row r="215" spans="1:1" x14ac:dyDescent="0.2">
      <c r="A215" s="285" t="s">
        <v>796</v>
      </c>
    </row>
    <row r="216" spans="1:1" x14ac:dyDescent="0.2">
      <c r="A216" s="285" t="s">
        <v>797</v>
      </c>
    </row>
    <row r="217" spans="1:1" x14ac:dyDescent="0.2">
      <c r="A217" s="285" t="s">
        <v>941</v>
      </c>
    </row>
    <row r="218" spans="1:1" x14ac:dyDescent="0.2">
      <c r="A218" s="285" t="s">
        <v>798</v>
      </c>
    </row>
    <row r="219" spans="1:1" x14ac:dyDescent="0.2">
      <c r="A219" s="285" t="s">
        <v>799</v>
      </c>
    </row>
    <row r="220" spans="1:1" x14ac:dyDescent="0.2">
      <c r="A220" s="285" t="s">
        <v>800</v>
      </c>
    </row>
    <row r="221" spans="1:1" x14ac:dyDescent="0.2">
      <c r="A221" s="285" t="s">
        <v>1050</v>
      </c>
    </row>
    <row r="222" spans="1:1" x14ac:dyDescent="0.2">
      <c r="A222" s="285" t="s">
        <v>801</v>
      </c>
    </row>
    <row r="223" spans="1:1" x14ac:dyDescent="0.2">
      <c r="A223" s="285" t="s">
        <v>942</v>
      </c>
    </row>
    <row r="224" spans="1:1" x14ac:dyDescent="0.2">
      <c r="A224" s="285" t="s">
        <v>1051</v>
      </c>
    </row>
    <row r="225" spans="1:1" x14ac:dyDescent="0.2">
      <c r="A225" s="285" t="s">
        <v>802</v>
      </c>
    </row>
    <row r="226" spans="1:1" x14ac:dyDescent="0.2">
      <c r="A226" s="285" t="s">
        <v>189</v>
      </c>
    </row>
    <row r="227" spans="1:1" x14ac:dyDescent="0.2">
      <c r="A227" s="285" t="s">
        <v>803</v>
      </c>
    </row>
    <row r="228" spans="1:1" x14ac:dyDescent="0.2">
      <c r="A228" s="285" t="s">
        <v>987</v>
      </c>
    </row>
    <row r="229" spans="1:1" x14ac:dyDescent="0.2">
      <c r="A229" s="285" t="s">
        <v>1312</v>
      </c>
    </row>
    <row r="230" spans="1:1" x14ac:dyDescent="0.2">
      <c r="A230" s="285" t="s">
        <v>804</v>
      </c>
    </row>
    <row r="231" spans="1:1" x14ac:dyDescent="0.2">
      <c r="A231" s="285" t="s">
        <v>805</v>
      </c>
    </row>
    <row r="232" spans="1:1" x14ac:dyDescent="0.2">
      <c r="A232" s="285" t="s">
        <v>806</v>
      </c>
    </row>
    <row r="233" spans="1:1" x14ac:dyDescent="0.2">
      <c r="A233" s="285" t="s">
        <v>1052</v>
      </c>
    </row>
    <row r="234" spans="1:1" x14ac:dyDescent="0.2">
      <c r="A234" s="285" t="s">
        <v>807</v>
      </c>
    </row>
    <row r="235" spans="1:1" x14ac:dyDescent="0.2">
      <c r="A235" s="285" t="s">
        <v>808</v>
      </c>
    </row>
    <row r="236" spans="1:1" x14ac:dyDescent="0.2">
      <c r="A236" s="285" t="s">
        <v>809</v>
      </c>
    </row>
    <row r="237" spans="1:1" x14ac:dyDescent="0.2">
      <c r="A237" s="285" t="s">
        <v>1053</v>
      </c>
    </row>
    <row r="238" spans="1:1" x14ac:dyDescent="0.2">
      <c r="A238" s="285" t="s">
        <v>1310</v>
      </c>
    </row>
    <row r="239" spans="1:1" x14ac:dyDescent="0.2">
      <c r="A239" s="285" t="s">
        <v>1054</v>
      </c>
    </row>
    <row r="240" spans="1:1" x14ac:dyDescent="0.2">
      <c r="A240" s="285" t="s">
        <v>943</v>
      </c>
    </row>
    <row r="241" spans="1:1" x14ac:dyDescent="0.2">
      <c r="A241" s="285" t="s">
        <v>1055</v>
      </c>
    </row>
    <row r="242" spans="1:1" x14ac:dyDescent="0.2">
      <c r="A242" s="285" t="s">
        <v>1056</v>
      </c>
    </row>
    <row r="243" spans="1:1" x14ac:dyDescent="0.2">
      <c r="A243" s="285" t="s">
        <v>810</v>
      </c>
    </row>
    <row r="244" spans="1:1" x14ac:dyDescent="0.2">
      <c r="A244" s="285" t="s">
        <v>1263</v>
      </c>
    </row>
    <row r="245" spans="1:1" x14ac:dyDescent="0.2">
      <c r="A245" s="285" t="s">
        <v>811</v>
      </c>
    </row>
    <row r="246" spans="1:1" x14ac:dyDescent="0.2">
      <c r="A246" s="285" t="s">
        <v>981</v>
      </c>
    </row>
    <row r="247" spans="1:1" x14ac:dyDescent="0.2">
      <c r="A247" s="285" t="s">
        <v>812</v>
      </c>
    </row>
    <row r="248" spans="1:1" x14ac:dyDescent="0.2">
      <c r="A248" s="285" t="s">
        <v>1005</v>
      </c>
    </row>
    <row r="249" spans="1:1" x14ac:dyDescent="0.2">
      <c r="A249" s="285" t="s">
        <v>944</v>
      </c>
    </row>
    <row r="250" spans="1:1" x14ac:dyDescent="0.2">
      <c r="A250" s="285" t="s">
        <v>1058</v>
      </c>
    </row>
    <row r="251" spans="1:1" x14ac:dyDescent="0.2">
      <c r="A251" s="285" t="s">
        <v>1059</v>
      </c>
    </row>
    <row r="252" spans="1:1" x14ac:dyDescent="0.2">
      <c r="A252" s="285" t="s">
        <v>945</v>
      </c>
    </row>
    <row r="253" spans="1:1" x14ac:dyDescent="0.2">
      <c r="A253" s="285" t="s">
        <v>1024</v>
      </c>
    </row>
    <row r="254" spans="1:1" x14ac:dyDescent="0.2">
      <c r="A254" s="285" t="s">
        <v>813</v>
      </c>
    </row>
    <row r="255" spans="1:1" x14ac:dyDescent="0.2">
      <c r="A255" s="285" t="s">
        <v>542</v>
      </c>
    </row>
    <row r="256" spans="1:1" x14ac:dyDescent="0.2">
      <c r="A256" s="285" t="s">
        <v>946</v>
      </c>
    </row>
    <row r="257" spans="1:1" x14ac:dyDescent="0.2">
      <c r="A257" s="285" t="s">
        <v>814</v>
      </c>
    </row>
    <row r="258" spans="1:1" x14ac:dyDescent="0.2">
      <c r="A258" s="285" t="s">
        <v>1060</v>
      </c>
    </row>
    <row r="259" spans="1:1" x14ac:dyDescent="0.2">
      <c r="A259" s="285" t="s">
        <v>815</v>
      </c>
    </row>
    <row r="260" spans="1:1" x14ac:dyDescent="0.2">
      <c r="A260" s="285" t="s">
        <v>816</v>
      </c>
    </row>
    <row r="261" spans="1:1" x14ac:dyDescent="0.2">
      <c r="A261" s="285" t="s">
        <v>947</v>
      </c>
    </row>
    <row r="262" spans="1:1" x14ac:dyDescent="0.2">
      <c r="A262" s="285" t="s">
        <v>817</v>
      </c>
    </row>
    <row r="263" spans="1:1" x14ac:dyDescent="0.2">
      <c r="A263" s="285" t="s">
        <v>1061</v>
      </c>
    </row>
    <row r="264" spans="1:1" x14ac:dyDescent="0.2">
      <c r="A264" s="285" t="s">
        <v>818</v>
      </c>
    </row>
    <row r="265" spans="1:1" x14ac:dyDescent="0.2">
      <c r="A265" s="285" t="s">
        <v>980</v>
      </c>
    </row>
    <row r="266" spans="1:1" x14ac:dyDescent="0.2">
      <c r="A266" s="285" t="s">
        <v>1062</v>
      </c>
    </row>
    <row r="267" spans="1:1" x14ac:dyDescent="0.2">
      <c r="A267" s="285" t="s">
        <v>1063</v>
      </c>
    </row>
    <row r="268" spans="1:1" x14ac:dyDescent="0.2">
      <c r="A268" s="285" t="s">
        <v>190</v>
      </c>
    </row>
    <row r="269" spans="1:1" x14ac:dyDescent="0.2">
      <c r="A269" s="285" t="s">
        <v>1309</v>
      </c>
    </row>
    <row r="270" spans="1:1" x14ac:dyDescent="0.2">
      <c r="A270" s="285" t="s">
        <v>819</v>
      </c>
    </row>
    <row r="271" spans="1:1" x14ac:dyDescent="0.2">
      <c r="A271" s="285" t="s">
        <v>1064</v>
      </c>
    </row>
    <row r="272" spans="1:1" x14ac:dyDescent="0.2">
      <c r="A272" s="285" t="s">
        <v>948</v>
      </c>
    </row>
    <row r="273" spans="1:1" x14ac:dyDescent="0.2">
      <c r="A273" s="285" t="s">
        <v>1065</v>
      </c>
    </row>
    <row r="274" spans="1:1" x14ac:dyDescent="0.2">
      <c r="A274" s="285" t="s">
        <v>992</v>
      </c>
    </row>
    <row r="275" spans="1:1" x14ac:dyDescent="0.2">
      <c r="A275" s="285" t="s">
        <v>820</v>
      </c>
    </row>
    <row r="276" spans="1:1" x14ac:dyDescent="0.2">
      <c r="A276" s="285" t="s">
        <v>949</v>
      </c>
    </row>
    <row r="277" spans="1:1" x14ac:dyDescent="0.2">
      <c r="A277" s="285" t="s">
        <v>1066</v>
      </c>
    </row>
    <row r="278" spans="1:1" x14ac:dyDescent="0.2">
      <c r="A278" s="285" t="s">
        <v>1067</v>
      </c>
    </row>
    <row r="279" spans="1:1" x14ac:dyDescent="0.2">
      <c r="A279" s="285" t="s">
        <v>821</v>
      </c>
    </row>
    <row r="280" spans="1:1" x14ac:dyDescent="0.2">
      <c r="A280" s="285" t="s">
        <v>950</v>
      </c>
    </row>
    <row r="281" spans="1:1" x14ac:dyDescent="0.2">
      <c r="A281" s="285" t="s">
        <v>822</v>
      </c>
    </row>
    <row r="282" spans="1:1" x14ac:dyDescent="0.2">
      <c r="A282" s="285" t="s">
        <v>1068</v>
      </c>
    </row>
    <row r="283" spans="1:1" x14ac:dyDescent="0.2">
      <c r="A283" s="285" t="s">
        <v>823</v>
      </c>
    </row>
    <row r="284" spans="1:1" x14ac:dyDescent="0.2">
      <c r="A284" s="285" t="s">
        <v>824</v>
      </c>
    </row>
    <row r="285" spans="1:1" x14ac:dyDescent="0.2">
      <c r="A285" s="285" t="s">
        <v>839</v>
      </c>
    </row>
    <row r="286" spans="1:1" x14ac:dyDescent="0.2">
      <c r="A286" s="285" t="s">
        <v>1069</v>
      </c>
    </row>
    <row r="287" spans="1:1" x14ac:dyDescent="0.2">
      <c r="A287" s="285" t="s">
        <v>1070</v>
      </c>
    </row>
    <row r="288" spans="1:1" x14ac:dyDescent="0.2">
      <c r="A288" s="285" t="s">
        <v>825</v>
      </c>
    </row>
    <row r="289" spans="1:1" x14ac:dyDescent="0.2">
      <c r="A289" s="285" t="s">
        <v>1071</v>
      </c>
    </row>
    <row r="290" spans="1:1" x14ac:dyDescent="0.2">
      <c r="A290" s="285" t="s">
        <v>1072</v>
      </c>
    </row>
    <row r="291" spans="1:1" x14ac:dyDescent="0.2">
      <c r="A291" s="285" t="s">
        <v>826</v>
      </c>
    </row>
    <row r="292" spans="1:1" x14ac:dyDescent="0.2">
      <c r="A292" s="285" t="s">
        <v>827</v>
      </c>
    </row>
    <row r="293" spans="1:1" x14ac:dyDescent="0.2">
      <c r="A293" s="285" t="s">
        <v>1073</v>
      </c>
    </row>
    <row r="294" spans="1:1" x14ac:dyDescent="0.2">
      <c r="A294" s="285" t="s">
        <v>1074</v>
      </c>
    </row>
    <row r="295" spans="1:1" x14ac:dyDescent="0.2">
      <c r="A295" s="285" t="s">
        <v>828</v>
      </c>
    </row>
    <row r="296" spans="1:1" x14ac:dyDescent="0.2">
      <c r="A296" s="285" t="s">
        <v>1075</v>
      </c>
    </row>
    <row r="297" spans="1:1" x14ac:dyDescent="0.2">
      <c r="A297" s="285" t="s">
        <v>829</v>
      </c>
    </row>
    <row r="298" spans="1:1" x14ac:dyDescent="0.2">
      <c r="A298" s="285" t="s">
        <v>1076</v>
      </c>
    </row>
    <row r="299" spans="1:1" x14ac:dyDescent="0.2">
      <c r="A299" s="285" t="s">
        <v>1077</v>
      </c>
    </row>
    <row r="300" spans="1:1" x14ac:dyDescent="0.2">
      <c r="A300" s="285" t="s">
        <v>1078</v>
      </c>
    </row>
    <row r="301" spans="1:1" x14ac:dyDescent="0.2">
      <c r="A301" s="285" t="s">
        <v>831</v>
      </c>
    </row>
    <row r="302" spans="1:1" x14ac:dyDescent="0.2">
      <c r="A302" s="285" t="s">
        <v>832</v>
      </c>
    </row>
    <row r="303" spans="1:1" x14ac:dyDescent="0.2">
      <c r="A303" s="285" t="s">
        <v>833</v>
      </c>
    </row>
    <row r="304" spans="1:1" x14ac:dyDescent="0.2">
      <c r="A304" s="285" t="s">
        <v>834</v>
      </c>
    </row>
    <row r="305" spans="1:1" x14ac:dyDescent="0.2">
      <c r="A305" s="285" t="s">
        <v>835</v>
      </c>
    </row>
    <row r="306" spans="1:1" x14ac:dyDescent="0.2">
      <c r="A306" s="285" t="s">
        <v>836</v>
      </c>
    </row>
    <row r="307" spans="1:1" x14ac:dyDescent="0.2">
      <c r="A307" s="285" t="s">
        <v>837</v>
      </c>
    </row>
    <row r="308" spans="1:1" x14ac:dyDescent="0.2">
      <c r="A308" s="285" t="s">
        <v>1079</v>
      </c>
    </row>
    <row r="309" spans="1:1" x14ac:dyDescent="0.2">
      <c r="A309" s="285" t="s">
        <v>838</v>
      </c>
    </row>
    <row r="310" spans="1:1" x14ac:dyDescent="0.2">
      <c r="A310" s="285" t="s">
        <v>1080</v>
      </c>
    </row>
    <row r="311" spans="1:1" x14ac:dyDescent="0.2">
      <c r="A311" s="285" t="s">
        <v>1081</v>
      </c>
    </row>
    <row r="312" spans="1:1" x14ac:dyDescent="0.2">
      <c r="A312" s="285" t="s">
        <v>1082</v>
      </c>
    </row>
    <row r="313" spans="1:1" x14ac:dyDescent="0.2">
      <c r="A313" s="285" t="s">
        <v>1083</v>
      </c>
    </row>
    <row r="314" spans="1:1" x14ac:dyDescent="0.2">
      <c r="A314" s="285" t="s">
        <v>840</v>
      </c>
    </row>
    <row r="315" spans="1:1" x14ac:dyDescent="0.2">
      <c r="A315" s="285" t="s">
        <v>1084</v>
      </c>
    </row>
    <row r="316" spans="1:1" x14ac:dyDescent="0.2">
      <c r="A316" s="285" t="s">
        <v>1085</v>
      </c>
    </row>
    <row r="317" spans="1:1" x14ac:dyDescent="0.2">
      <c r="A317" s="285" t="s">
        <v>1086</v>
      </c>
    </row>
    <row r="318" spans="1:1" x14ac:dyDescent="0.2">
      <c r="A318" s="285" t="s">
        <v>1087</v>
      </c>
    </row>
    <row r="319" spans="1:1" x14ac:dyDescent="0.2">
      <c r="A319" s="285" t="s">
        <v>1088</v>
      </c>
    </row>
    <row r="320" spans="1:1" x14ac:dyDescent="0.2">
      <c r="A320" s="285" t="s">
        <v>1089</v>
      </c>
    </row>
    <row r="321" spans="1:1" x14ac:dyDescent="0.2">
      <c r="A321" s="285" t="s">
        <v>1090</v>
      </c>
    </row>
    <row r="322" spans="1:1" x14ac:dyDescent="0.2">
      <c r="A322" s="285" t="s">
        <v>1091</v>
      </c>
    </row>
    <row r="323" spans="1:1" x14ac:dyDescent="0.2">
      <c r="A323" s="285" t="s">
        <v>1092</v>
      </c>
    </row>
    <row r="324" spans="1:1" x14ac:dyDescent="0.2">
      <c r="A324" s="285" t="s">
        <v>841</v>
      </c>
    </row>
    <row r="325" spans="1:1" x14ac:dyDescent="0.2">
      <c r="A325" s="285" t="s">
        <v>1093</v>
      </c>
    </row>
    <row r="326" spans="1:1" x14ac:dyDescent="0.2">
      <c r="A326" s="285" t="s">
        <v>1094</v>
      </c>
    </row>
    <row r="327" spans="1:1" x14ac:dyDescent="0.2">
      <c r="A327" s="285" t="s">
        <v>1095</v>
      </c>
    </row>
    <row r="328" spans="1:1" x14ac:dyDescent="0.2">
      <c r="A328" s="285" t="s">
        <v>842</v>
      </c>
    </row>
    <row r="329" spans="1:1" x14ac:dyDescent="0.2">
      <c r="A329" s="285" t="s">
        <v>1096</v>
      </c>
    </row>
    <row r="330" spans="1:1" x14ac:dyDescent="0.2">
      <c r="A330" s="285" t="s">
        <v>843</v>
      </c>
    </row>
    <row r="331" spans="1:1" x14ac:dyDescent="0.2">
      <c r="A331" s="285" t="s">
        <v>844</v>
      </c>
    </row>
    <row r="332" spans="1:1" x14ac:dyDescent="0.2">
      <c r="A332" s="285" t="s">
        <v>1097</v>
      </c>
    </row>
    <row r="333" spans="1:1" x14ac:dyDescent="0.2">
      <c r="A333" s="285" t="s">
        <v>1098</v>
      </c>
    </row>
    <row r="334" spans="1:1" x14ac:dyDescent="0.2">
      <c r="A334" s="285" t="s">
        <v>845</v>
      </c>
    </row>
    <row r="335" spans="1:1" x14ac:dyDescent="0.2">
      <c r="A335" s="285" t="s">
        <v>1099</v>
      </c>
    </row>
    <row r="336" spans="1:1" x14ac:dyDescent="0.2">
      <c r="A336" s="285" t="s">
        <v>1100</v>
      </c>
    </row>
    <row r="337" spans="1:1" x14ac:dyDescent="0.2">
      <c r="A337" s="285" t="s">
        <v>1276</v>
      </c>
    </row>
    <row r="338" spans="1:1" x14ac:dyDescent="0.2">
      <c r="A338" s="285" t="s">
        <v>1101</v>
      </c>
    </row>
    <row r="339" spans="1:1" x14ac:dyDescent="0.2">
      <c r="A339" s="285" t="s">
        <v>1102</v>
      </c>
    </row>
    <row r="340" spans="1:1" x14ac:dyDescent="0.2">
      <c r="A340" s="285" t="s">
        <v>1103</v>
      </c>
    </row>
    <row r="341" spans="1:1" x14ac:dyDescent="0.2">
      <c r="A341" s="285" t="s">
        <v>1104</v>
      </c>
    </row>
    <row r="342" spans="1:1" x14ac:dyDescent="0.2">
      <c r="A342" s="285" t="s">
        <v>1105</v>
      </c>
    </row>
    <row r="343" spans="1:1" x14ac:dyDescent="0.2">
      <c r="A343" s="285" t="s">
        <v>1106</v>
      </c>
    </row>
    <row r="344" spans="1:1" x14ac:dyDescent="0.2">
      <c r="A344" s="285" t="s">
        <v>1107</v>
      </c>
    </row>
    <row r="345" spans="1:1" x14ac:dyDescent="0.2">
      <c r="A345" s="285" t="s">
        <v>1108</v>
      </c>
    </row>
    <row r="346" spans="1:1" x14ac:dyDescent="0.2">
      <c r="A346" s="285" t="s">
        <v>847</v>
      </c>
    </row>
    <row r="347" spans="1:1" x14ac:dyDescent="0.2">
      <c r="A347" s="285" t="s">
        <v>848</v>
      </c>
    </row>
    <row r="348" spans="1:1" x14ac:dyDescent="0.2">
      <c r="A348" s="285" t="s">
        <v>1109</v>
      </c>
    </row>
    <row r="349" spans="1:1" x14ac:dyDescent="0.2">
      <c r="A349" s="285" t="s">
        <v>1110</v>
      </c>
    </row>
    <row r="350" spans="1:1" x14ac:dyDescent="0.2">
      <c r="A350" s="285" t="s">
        <v>1111</v>
      </c>
    </row>
    <row r="351" spans="1:1" x14ac:dyDescent="0.2">
      <c r="A351" s="285" t="s">
        <v>849</v>
      </c>
    </row>
    <row r="352" spans="1:1" x14ac:dyDescent="0.2">
      <c r="A352" s="285" t="s">
        <v>1112</v>
      </c>
    </row>
    <row r="353" spans="1:1" x14ac:dyDescent="0.2">
      <c r="A353" s="285" t="s">
        <v>850</v>
      </c>
    </row>
    <row r="354" spans="1:1" x14ac:dyDescent="0.2">
      <c r="A354" s="285" t="s">
        <v>851</v>
      </c>
    </row>
    <row r="355" spans="1:1" x14ac:dyDescent="0.2">
      <c r="A355" s="285" t="s">
        <v>852</v>
      </c>
    </row>
    <row r="356" spans="1:1" x14ac:dyDescent="0.2">
      <c r="A356" s="285" t="s">
        <v>1113</v>
      </c>
    </row>
    <row r="357" spans="1:1" x14ac:dyDescent="0.2">
      <c r="A357" s="285" t="s">
        <v>853</v>
      </c>
    </row>
    <row r="358" spans="1:1" x14ac:dyDescent="0.2">
      <c r="A358" s="285" t="s">
        <v>854</v>
      </c>
    </row>
    <row r="359" spans="1:1" x14ac:dyDescent="0.2">
      <c r="A359" s="285" t="s">
        <v>855</v>
      </c>
    </row>
    <row r="360" spans="1:1" x14ac:dyDescent="0.2">
      <c r="A360" s="285" t="s">
        <v>1114</v>
      </c>
    </row>
    <row r="361" spans="1:1" x14ac:dyDescent="0.2">
      <c r="A361" s="285" t="s">
        <v>856</v>
      </c>
    </row>
    <row r="362" spans="1:1" x14ac:dyDescent="0.2">
      <c r="A362" s="285" t="s">
        <v>1115</v>
      </c>
    </row>
    <row r="363" spans="1:1" x14ac:dyDescent="0.2">
      <c r="A363" s="285" t="s">
        <v>1116</v>
      </c>
    </row>
    <row r="364" spans="1:1" x14ac:dyDescent="0.2">
      <c r="A364" s="285" t="s">
        <v>1117</v>
      </c>
    </row>
    <row r="365" spans="1:1" x14ac:dyDescent="0.2">
      <c r="A365" s="285" t="s">
        <v>1118</v>
      </c>
    </row>
    <row r="366" spans="1:1" x14ac:dyDescent="0.2">
      <c r="A366" s="285" t="s">
        <v>1119</v>
      </c>
    </row>
    <row r="367" spans="1:1" x14ac:dyDescent="0.2">
      <c r="A367" s="285" t="s">
        <v>1120</v>
      </c>
    </row>
    <row r="368" spans="1:1" x14ac:dyDescent="0.2">
      <c r="A368" s="285" t="s">
        <v>1121</v>
      </c>
    </row>
    <row r="369" spans="1:1" x14ac:dyDescent="0.2">
      <c r="A369" s="285" t="s">
        <v>1122</v>
      </c>
    </row>
    <row r="370" spans="1:1" x14ac:dyDescent="0.2">
      <c r="A370" s="285" t="s">
        <v>1123</v>
      </c>
    </row>
    <row r="371" spans="1:1" x14ac:dyDescent="0.2">
      <c r="A371" s="285" t="s">
        <v>1124</v>
      </c>
    </row>
    <row r="372" spans="1:1" x14ac:dyDescent="0.2">
      <c r="A372" s="285" t="s">
        <v>1125</v>
      </c>
    </row>
    <row r="373" spans="1:1" x14ac:dyDescent="0.2">
      <c r="A373" s="285" t="s">
        <v>857</v>
      </c>
    </row>
    <row r="374" spans="1:1" x14ac:dyDescent="0.2">
      <c r="A374" s="285" t="s">
        <v>1126</v>
      </c>
    </row>
    <row r="375" spans="1:1" x14ac:dyDescent="0.2">
      <c r="A375" s="285" t="s">
        <v>858</v>
      </c>
    </row>
    <row r="376" spans="1:1" x14ac:dyDescent="0.2">
      <c r="A376" s="285" t="s">
        <v>1127</v>
      </c>
    </row>
    <row r="377" spans="1:1" x14ac:dyDescent="0.2">
      <c r="A377" s="285" t="s">
        <v>859</v>
      </c>
    </row>
    <row r="378" spans="1:1" x14ac:dyDescent="0.2">
      <c r="A378" s="285" t="s">
        <v>860</v>
      </c>
    </row>
    <row r="379" spans="1:1" x14ac:dyDescent="0.2">
      <c r="A379" s="285" t="s">
        <v>861</v>
      </c>
    </row>
    <row r="380" spans="1:1" x14ac:dyDescent="0.2">
      <c r="A380" s="285" t="s">
        <v>862</v>
      </c>
    </row>
    <row r="381" spans="1:1" x14ac:dyDescent="0.2">
      <c r="A381" s="285" t="s">
        <v>1128</v>
      </c>
    </row>
    <row r="382" spans="1:1" x14ac:dyDescent="0.2">
      <c r="A382" s="285" t="s">
        <v>1129</v>
      </c>
    </row>
    <row r="383" spans="1:1" x14ac:dyDescent="0.2">
      <c r="A383" s="285" t="s">
        <v>1130</v>
      </c>
    </row>
    <row r="384" spans="1:1" x14ac:dyDescent="0.2">
      <c r="A384" s="285" t="s">
        <v>863</v>
      </c>
    </row>
    <row r="385" spans="1:1" x14ac:dyDescent="0.2">
      <c r="A385" s="285" t="s">
        <v>1131</v>
      </c>
    </row>
    <row r="386" spans="1:1" x14ac:dyDescent="0.2">
      <c r="A386" s="285" t="s">
        <v>1132</v>
      </c>
    </row>
    <row r="387" spans="1:1" x14ac:dyDescent="0.2">
      <c r="A387" s="285" t="s">
        <v>1133</v>
      </c>
    </row>
    <row r="388" spans="1:1" x14ac:dyDescent="0.2">
      <c r="A388" s="285" t="s">
        <v>1134</v>
      </c>
    </row>
    <row r="389" spans="1:1" x14ac:dyDescent="0.2">
      <c r="A389" s="285" t="s">
        <v>1135</v>
      </c>
    </row>
    <row r="390" spans="1:1" x14ac:dyDescent="0.2">
      <c r="A390" s="285" t="s">
        <v>1136</v>
      </c>
    </row>
    <row r="391" spans="1:1" x14ac:dyDescent="0.2">
      <c r="A391" s="285" t="s">
        <v>1137</v>
      </c>
    </row>
    <row r="392" spans="1:1" x14ac:dyDescent="0.2">
      <c r="A392" s="285" t="s">
        <v>1138</v>
      </c>
    </row>
    <row r="393" spans="1:1" x14ac:dyDescent="0.2">
      <c r="A393" s="285" t="s">
        <v>864</v>
      </c>
    </row>
    <row r="394" spans="1:1" x14ac:dyDescent="0.2">
      <c r="A394" s="285" t="s">
        <v>865</v>
      </c>
    </row>
    <row r="395" spans="1:1" x14ac:dyDescent="0.2">
      <c r="A395" s="285" t="s">
        <v>1139</v>
      </c>
    </row>
    <row r="396" spans="1:1" x14ac:dyDescent="0.2">
      <c r="A396" s="285" t="s">
        <v>1140</v>
      </c>
    </row>
    <row r="397" spans="1:1" x14ac:dyDescent="0.2">
      <c r="A397" s="285" t="s">
        <v>866</v>
      </c>
    </row>
    <row r="398" spans="1:1" x14ac:dyDescent="0.2">
      <c r="A398" s="285" t="s">
        <v>1141</v>
      </c>
    </row>
    <row r="399" spans="1:1" x14ac:dyDescent="0.2">
      <c r="A399" s="285" t="s">
        <v>867</v>
      </c>
    </row>
    <row r="400" spans="1:1" x14ac:dyDescent="0.2">
      <c r="A400" s="285" t="s">
        <v>1142</v>
      </c>
    </row>
    <row r="401" spans="1:1" x14ac:dyDescent="0.2">
      <c r="A401" s="285" t="s">
        <v>1143</v>
      </c>
    </row>
    <row r="402" spans="1:1" x14ac:dyDescent="0.2">
      <c r="A402" s="285" t="s">
        <v>1144</v>
      </c>
    </row>
    <row r="403" spans="1:1" x14ac:dyDescent="0.2">
      <c r="A403" s="285" t="s">
        <v>868</v>
      </c>
    </row>
    <row r="404" spans="1:1" x14ac:dyDescent="0.2">
      <c r="A404" s="285" t="s">
        <v>1145</v>
      </c>
    </row>
    <row r="405" spans="1:1" x14ac:dyDescent="0.2">
      <c r="A405" s="285" t="s">
        <v>1146</v>
      </c>
    </row>
    <row r="406" spans="1:1" x14ac:dyDescent="0.2">
      <c r="A406" s="285" t="s">
        <v>869</v>
      </c>
    </row>
    <row r="407" spans="1:1" x14ac:dyDescent="0.2">
      <c r="A407" s="285" t="s">
        <v>870</v>
      </c>
    </row>
    <row r="408" spans="1:1" x14ac:dyDescent="0.2">
      <c r="A408" s="285" t="s">
        <v>1147</v>
      </c>
    </row>
    <row r="409" spans="1:1" x14ac:dyDescent="0.2">
      <c r="A409" s="285" t="s">
        <v>871</v>
      </c>
    </row>
    <row r="410" spans="1:1" x14ac:dyDescent="0.2">
      <c r="A410" s="285" t="s">
        <v>872</v>
      </c>
    </row>
    <row r="411" spans="1:1" x14ac:dyDescent="0.2">
      <c r="A411" s="285" t="s">
        <v>1148</v>
      </c>
    </row>
    <row r="412" spans="1:1" x14ac:dyDescent="0.2">
      <c r="A412" s="285" t="s">
        <v>873</v>
      </c>
    </row>
    <row r="413" spans="1:1" x14ac:dyDescent="0.2">
      <c r="A413" s="285" t="s">
        <v>1149</v>
      </c>
    </row>
    <row r="414" spans="1:1" x14ac:dyDescent="0.2">
      <c r="A414" s="285" t="s">
        <v>874</v>
      </c>
    </row>
    <row r="415" spans="1:1" x14ac:dyDescent="0.2">
      <c r="A415" s="285" t="s">
        <v>1150</v>
      </c>
    </row>
    <row r="416" spans="1:1" x14ac:dyDescent="0.2">
      <c r="A416" s="285" t="s">
        <v>1151</v>
      </c>
    </row>
    <row r="417" spans="1:1" x14ac:dyDescent="0.2">
      <c r="A417" s="285" t="s">
        <v>1152</v>
      </c>
    </row>
    <row r="418" spans="1:1" x14ac:dyDescent="0.2">
      <c r="A418" s="285" t="s">
        <v>1153</v>
      </c>
    </row>
    <row r="419" spans="1:1" x14ac:dyDescent="0.2">
      <c r="A419" s="285" t="s">
        <v>1154</v>
      </c>
    </row>
    <row r="420" spans="1:1" x14ac:dyDescent="0.2">
      <c r="A420" s="285" t="s">
        <v>1155</v>
      </c>
    </row>
    <row r="421" spans="1:1" x14ac:dyDescent="0.2">
      <c r="A421" s="285" t="s">
        <v>1156</v>
      </c>
    </row>
    <row r="422" spans="1:1" x14ac:dyDescent="0.2">
      <c r="A422" s="285" t="s">
        <v>875</v>
      </c>
    </row>
    <row r="423" spans="1:1" x14ac:dyDescent="0.2">
      <c r="A423" s="285" t="s">
        <v>1157</v>
      </c>
    </row>
    <row r="424" spans="1:1" x14ac:dyDescent="0.2">
      <c r="A424" s="285" t="s">
        <v>1158</v>
      </c>
    </row>
    <row r="425" spans="1:1" x14ac:dyDescent="0.2">
      <c r="A425" s="285" t="s">
        <v>1159</v>
      </c>
    </row>
    <row r="426" spans="1:1" x14ac:dyDescent="0.2">
      <c r="A426" s="285" t="s">
        <v>1160</v>
      </c>
    </row>
    <row r="427" spans="1:1" x14ac:dyDescent="0.2">
      <c r="A427" s="285" t="s">
        <v>876</v>
      </c>
    </row>
    <row r="428" spans="1:1" x14ac:dyDescent="0.2">
      <c r="A428" s="285" t="s">
        <v>1161</v>
      </c>
    </row>
    <row r="429" spans="1:1" x14ac:dyDescent="0.2">
      <c r="A429" s="285" t="s">
        <v>877</v>
      </c>
    </row>
    <row r="430" spans="1:1" x14ac:dyDescent="0.2">
      <c r="A430" s="285" t="s">
        <v>1162</v>
      </c>
    </row>
    <row r="431" spans="1:1" x14ac:dyDescent="0.2">
      <c r="A431" s="285" t="s">
        <v>1163</v>
      </c>
    </row>
    <row r="432" spans="1:1" x14ac:dyDescent="0.2">
      <c r="A432" s="285" t="s">
        <v>1164</v>
      </c>
    </row>
    <row r="433" spans="1:1" x14ac:dyDescent="0.2">
      <c r="A433" s="285" t="s">
        <v>1165</v>
      </c>
    </row>
    <row r="434" spans="1:1" x14ac:dyDescent="0.2">
      <c r="A434" s="285" t="s">
        <v>1166</v>
      </c>
    </row>
    <row r="435" spans="1:1" x14ac:dyDescent="0.2">
      <c r="A435" s="285" t="s">
        <v>1167</v>
      </c>
    </row>
    <row r="436" spans="1:1" x14ac:dyDescent="0.2">
      <c r="A436" s="285" t="s">
        <v>1168</v>
      </c>
    </row>
    <row r="437" spans="1:1" x14ac:dyDescent="0.2">
      <c r="A437" s="285" t="s">
        <v>1169</v>
      </c>
    </row>
    <row r="438" spans="1:1" x14ac:dyDescent="0.2">
      <c r="A438" s="285" t="s">
        <v>878</v>
      </c>
    </row>
    <row r="439" spans="1:1" x14ac:dyDescent="0.2">
      <c r="A439" s="285" t="s">
        <v>1170</v>
      </c>
    </row>
    <row r="440" spans="1:1" x14ac:dyDescent="0.2">
      <c r="A440" s="285" t="s">
        <v>1171</v>
      </c>
    </row>
    <row r="441" spans="1:1" x14ac:dyDescent="0.2">
      <c r="A441" s="285" t="s">
        <v>1172</v>
      </c>
    </row>
    <row r="442" spans="1:1" x14ac:dyDescent="0.2">
      <c r="A442" s="285" t="s">
        <v>1173</v>
      </c>
    </row>
    <row r="443" spans="1:1" x14ac:dyDescent="0.2">
      <c r="A443" s="285" t="s">
        <v>1174</v>
      </c>
    </row>
    <row r="444" spans="1:1" x14ac:dyDescent="0.2">
      <c r="A444" s="285" t="s">
        <v>1175</v>
      </c>
    </row>
    <row r="445" spans="1:1" x14ac:dyDescent="0.2">
      <c r="A445" s="285" t="s">
        <v>879</v>
      </c>
    </row>
    <row r="446" spans="1:1" x14ac:dyDescent="0.2">
      <c r="A446" s="285" t="s">
        <v>880</v>
      </c>
    </row>
    <row r="447" spans="1:1" x14ac:dyDescent="0.2">
      <c r="A447" s="285" t="s">
        <v>881</v>
      </c>
    </row>
    <row r="448" spans="1:1" x14ac:dyDescent="0.2">
      <c r="A448" s="285" t="s">
        <v>882</v>
      </c>
    </row>
    <row r="449" spans="1:1" x14ac:dyDescent="0.2">
      <c r="A449" s="285" t="s">
        <v>883</v>
      </c>
    </row>
    <row r="450" spans="1:1" x14ac:dyDescent="0.2">
      <c r="A450" s="285" t="s">
        <v>1176</v>
      </c>
    </row>
    <row r="451" spans="1:1" x14ac:dyDescent="0.2">
      <c r="A451" s="285" t="s">
        <v>1177</v>
      </c>
    </row>
    <row r="452" spans="1:1" x14ac:dyDescent="0.2">
      <c r="A452" s="285" t="s">
        <v>1178</v>
      </c>
    </row>
    <row r="453" spans="1:1" x14ac:dyDescent="0.2">
      <c r="A453" s="285" t="s">
        <v>1179</v>
      </c>
    </row>
    <row r="454" spans="1:1" x14ac:dyDescent="0.2">
      <c r="A454" s="285" t="s">
        <v>1180</v>
      </c>
    </row>
    <row r="455" spans="1:1" x14ac:dyDescent="0.2">
      <c r="A455" s="285" t="s">
        <v>1181</v>
      </c>
    </row>
    <row r="456" spans="1:1" x14ac:dyDescent="0.2">
      <c r="A456" s="285" t="s">
        <v>1182</v>
      </c>
    </row>
    <row r="457" spans="1:1" x14ac:dyDescent="0.2">
      <c r="A457" s="285" t="s">
        <v>884</v>
      </c>
    </row>
    <row r="458" spans="1:1" x14ac:dyDescent="0.2">
      <c r="A458" s="285" t="s">
        <v>1183</v>
      </c>
    </row>
    <row r="459" spans="1:1" x14ac:dyDescent="0.2">
      <c r="A459" s="285" t="s">
        <v>885</v>
      </c>
    </row>
    <row r="460" spans="1:1" x14ac:dyDescent="0.2">
      <c r="A460" s="285" t="s">
        <v>1184</v>
      </c>
    </row>
    <row r="461" spans="1:1" x14ac:dyDescent="0.2">
      <c r="A461" s="285" t="s">
        <v>886</v>
      </c>
    </row>
    <row r="462" spans="1:1" x14ac:dyDescent="0.2">
      <c r="A462" s="285" t="s">
        <v>887</v>
      </c>
    </row>
    <row r="463" spans="1:1" x14ac:dyDescent="0.2">
      <c r="A463" s="285" t="s">
        <v>1185</v>
      </c>
    </row>
    <row r="464" spans="1:1" x14ac:dyDescent="0.2">
      <c r="A464" s="285" t="s">
        <v>964</v>
      </c>
    </row>
    <row r="465" spans="1:1" x14ac:dyDescent="0.2">
      <c r="A465" s="285" t="s">
        <v>1186</v>
      </c>
    </row>
    <row r="466" spans="1:1" x14ac:dyDescent="0.2">
      <c r="A466" s="285" t="s">
        <v>1187</v>
      </c>
    </row>
    <row r="467" spans="1:1" x14ac:dyDescent="0.2">
      <c r="A467" s="285" t="s">
        <v>1188</v>
      </c>
    </row>
    <row r="468" spans="1:1" x14ac:dyDescent="0.2">
      <c r="A468" s="285" t="s">
        <v>888</v>
      </c>
    </row>
    <row r="469" spans="1:1" x14ac:dyDescent="0.2">
      <c r="A469" s="285" t="s">
        <v>1189</v>
      </c>
    </row>
    <row r="470" spans="1:1" x14ac:dyDescent="0.2">
      <c r="A470" s="285" t="s">
        <v>889</v>
      </c>
    </row>
    <row r="471" spans="1:1" x14ac:dyDescent="0.2">
      <c r="A471" s="285" t="s">
        <v>1190</v>
      </c>
    </row>
    <row r="472" spans="1:1" x14ac:dyDescent="0.2">
      <c r="A472" s="285" t="s">
        <v>890</v>
      </c>
    </row>
    <row r="473" spans="1:1" x14ac:dyDescent="0.2">
      <c r="A473" s="285" t="s">
        <v>891</v>
      </c>
    </row>
    <row r="474" spans="1:1" x14ac:dyDescent="0.2">
      <c r="A474" s="285" t="s">
        <v>1191</v>
      </c>
    </row>
    <row r="475" spans="1:1" x14ac:dyDescent="0.2">
      <c r="A475" s="285" t="s">
        <v>892</v>
      </c>
    </row>
    <row r="476" spans="1:1" x14ac:dyDescent="0.2">
      <c r="A476" s="285" t="s">
        <v>893</v>
      </c>
    </row>
    <row r="477" spans="1:1" x14ac:dyDescent="0.2">
      <c r="A477" s="285" t="s">
        <v>1192</v>
      </c>
    </row>
    <row r="478" spans="1:1" x14ac:dyDescent="0.2">
      <c r="A478" s="285" t="s">
        <v>894</v>
      </c>
    </row>
    <row r="479" spans="1:1" x14ac:dyDescent="0.2">
      <c r="A479" s="285" t="s">
        <v>1193</v>
      </c>
    </row>
    <row r="480" spans="1:1" x14ac:dyDescent="0.2">
      <c r="A480" s="285" t="s">
        <v>895</v>
      </c>
    </row>
    <row r="481" spans="1:1" x14ac:dyDescent="0.2">
      <c r="A481" s="285" t="s">
        <v>1194</v>
      </c>
    </row>
    <row r="482" spans="1:1" x14ac:dyDescent="0.2">
      <c r="A482" s="285" t="s">
        <v>1195</v>
      </c>
    </row>
    <row r="483" spans="1:1" x14ac:dyDescent="0.2">
      <c r="A483" s="285" t="s">
        <v>896</v>
      </c>
    </row>
    <row r="484" spans="1:1" x14ac:dyDescent="0.2">
      <c r="A484" s="285" t="s">
        <v>897</v>
      </c>
    </row>
    <row r="485" spans="1:1" x14ac:dyDescent="0.2">
      <c r="A485" s="285" t="s">
        <v>898</v>
      </c>
    </row>
    <row r="486" spans="1:1" x14ac:dyDescent="0.2">
      <c r="A486" s="285" t="s">
        <v>899</v>
      </c>
    </row>
    <row r="487" spans="1:1" x14ac:dyDescent="0.2">
      <c r="A487" s="285" t="s">
        <v>1196</v>
      </c>
    </row>
    <row r="488" spans="1:1" x14ac:dyDescent="0.2">
      <c r="A488" s="285" t="s">
        <v>1197</v>
      </c>
    </row>
    <row r="489" spans="1:1" x14ac:dyDescent="0.2">
      <c r="A489" s="285" t="s">
        <v>1198</v>
      </c>
    </row>
    <row r="490" spans="1:1" x14ac:dyDescent="0.2">
      <c r="A490" s="285" t="s">
        <v>900</v>
      </c>
    </row>
    <row r="491" spans="1:1" x14ac:dyDescent="0.2">
      <c r="A491" s="285" t="s">
        <v>1199</v>
      </c>
    </row>
    <row r="492" spans="1:1" x14ac:dyDescent="0.2">
      <c r="A492" s="285" t="s">
        <v>1200</v>
      </c>
    </row>
    <row r="493" spans="1:1" x14ac:dyDescent="0.2">
      <c r="A493" s="285" t="s">
        <v>1201</v>
      </c>
    </row>
    <row r="494" spans="1:1" x14ac:dyDescent="0.2">
      <c r="A494" s="285" t="s">
        <v>901</v>
      </c>
    </row>
    <row r="495" spans="1:1" x14ac:dyDescent="0.2">
      <c r="A495" s="285" t="s">
        <v>1301</v>
      </c>
    </row>
    <row r="496" spans="1:1" x14ac:dyDescent="0.2">
      <c r="A496" s="285" t="s">
        <v>902</v>
      </c>
    </row>
    <row r="497" spans="1:1" x14ac:dyDescent="0.2">
      <c r="A497" s="285" t="s">
        <v>903</v>
      </c>
    </row>
    <row r="498" spans="1:1" x14ac:dyDescent="0.2">
      <c r="A498" s="285" t="s">
        <v>904</v>
      </c>
    </row>
    <row r="499" spans="1:1" x14ac:dyDescent="0.2">
      <c r="A499" s="285" t="s">
        <v>905</v>
      </c>
    </row>
    <row r="500" spans="1:1" x14ac:dyDescent="0.2">
      <c r="A500" s="285" t="s">
        <v>906</v>
      </c>
    </row>
    <row r="501" spans="1:1" x14ac:dyDescent="0.2">
      <c r="A501" s="285" t="s">
        <v>1202</v>
      </c>
    </row>
    <row r="502" spans="1:1" x14ac:dyDescent="0.2">
      <c r="A502" s="285" t="s">
        <v>907</v>
      </c>
    </row>
    <row r="503" spans="1:1" x14ac:dyDescent="0.2">
      <c r="A503" s="285" t="s">
        <v>1203</v>
      </c>
    </row>
    <row r="504" spans="1:1" x14ac:dyDescent="0.2">
      <c r="A504" s="285" t="s">
        <v>1204</v>
      </c>
    </row>
    <row r="505" spans="1:1" x14ac:dyDescent="0.2">
      <c r="A505" s="285" t="s">
        <v>1205</v>
      </c>
    </row>
    <row r="506" spans="1:1" x14ac:dyDescent="0.2">
      <c r="A506" s="285" t="s">
        <v>1206</v>
      </c>
    </row>
    <row r="507" spans="1:1" x14ac:dyDescent="0.2">
      <c r="A507" s="285" t="s">
        <v>908</v>
      </c>
    </row>
    <row r="508" spans="1:1" x14ac:dyDescent="0.2">
      <c r="A508" s="285" t="s">
        <v>909</v>
      </c>
    </row>
    <row r="509" spans="1:1" x14ac:dyDescent="0.2">
      <c r="A509" s="285" t="s">
        <v>910</v>
      </c>
    </row>
    <row r="510" spans="1:1" x14ac:dyDescent="0.2">
      <c r="A510" s="285" t="s">
        <v>951</v>
      </c>
    </row>
    <row r="511" spans="1:1" x14ac:dyDescent="0.2">
      <c r="A511" s="285" t="s">
        <v>911</v>
      </c>
    </row>
    <row r="512" spans="1:1" x14ac:dyDescent="0.2">
      <c r="A512" s="285" t="s">
        <v>912</v>
      </c>
    </row>
    <row r="513" spans="1:1" x14ac:dyDescent="0.2">
      <c r="A513" s="285" t="s">
        <v>1207</v>
      </c>
    </row>
    <row r="514" spans="1:1" x14ac:dyDescent="0.2">
      <c r="A514" s="285" t="s">
        <v>1208</v>
      </c>
    </row>
    <row r="515" spans="1:1" x14ac:dyDescent="0.2">
      <c r="A515" s="285" t="s">
        <v>1209</v>
      </c>
    </row>
    <row r="516" spans="1:1" x14ac:dyDescent="0.2">
      <c r="A516" s="285" t="s">
        <v>913</v>
      </c>
    </row>
    <row r="517" spans="1:1" x14ac:dyDescent="0.2">
      <c r="A517" s="285" t="s">
        <v>914</v>
      </c>
    </row>
    <row r="518" spans="1:1" x14ac:dyDescent="0.2">
      <c r="A518" s="285" t="s">
        <v>1210</v>
      </c>
    </row>
    <row r="519" spans="1:1" x14ac:dyDescent="0.2">
      <c r="A519" s="285" t="s">
        <v>1211</v>
      </c>
    </row>
    <row r="520" spans="1:1" x14ac:dyDescent="0.2">
      <c r="A520" s="285" t="s">
        <v>1212</v>
      </c>
    </row>
    <row r="521" spans="1:1" x14ac:dyDescent="0.2">
      <c r="A521" s="285" t="s">
        <v>915</v>
      </c>
    </row>
    <row r="522" spans="1:1" x14ac:dyDescent="0.2">
      <c r="A522" s="285" t="s">
        <v>916</v>
      </c>
    </row>
    <row r="523" spans="1:1" x14ac:dyDescent="0.2">
      <c r="A523" s="285" t="s">
        <v>1213</v>
      </c>
    </row>
    <row r="524" spans="1:1" x14ac:dyDescent="0.2">
      <c r="A524" s="285" t="s">
        <v>1214</v>
      </c>
    </row>
    <row r="525" spans="1:1" x14ac:dyDescent="0.2">
      <c r="A525" s="285" t="s">
        <v>1215</v>
      </c>
    </row>
    <row r="526" spans="1:1" x14ac:dyDescent="0.2">
      <c r="A526" s="285" t="s">
        <v>1216</v>
      </c>
    </row>
    <row r="527" spans="1:1" x14ac:dyDescent="0.2">
      <c r="A527" s="285" t="s">
        <v>917</v>
      </c>
    </row>
    <row r="528" spans="1:1" x14ac:dyDescent="0.2">
      <c r="A528" s="285" t="s">
        <v>918</v>
      </c>
    </row>
    <row r="529" spans="1:1" x14ac:dyDescent="0.2">
      <c r="A529" s="285" t="s">
        <v>919</v>
      </c>
    </row>
    <row r="530" spans="1:1" x14ac:dyDescent="0.2">
      <c r="A530" s="285" t="s">
        <v>920</v>
      </c>
    </row>
    <row r="531" spans="1:1" x14ac:dyDescent="0.2">
      <c r="A531" s="285" t="s">
        <v>1217</v>
      </c>
    </row>
    <row r="532" spans="1:1" x14ac:dyDescent="0.2">
      <c r="A532" s="285" t="s">
        <v>1218</v>
      </c>
    </row>
    <row r="533" spans="1:1" x14ac:dyDescent="0.2">
      <c r="A533" s="285" t="s">
        <v>1219</v>
      </c>
    </row>
    <row r="534" spans="1:1" x14ac:dyDescent="0.2">
      <c r="A534" s="285" t="s">
        <v>921</v>
      </c>
    </row>
    <row r="535" spans="1:1" x14ac:dyDescent="0.2">
      <c r="A535" s="285" t="s">
        <v>1220</v>
      </c>
    </row>
    <row r="536" spans="1:1" x14ac:dyDescent="0.2">
      <c r="A536" s="285" t="s">
        <v>1221</v>
      </c>
    </row>
    <row r="537" spans="1:1" x14ac:dyDescent="0.2">
      <c r="A537" s="285" t="s">
        <v>1222</v>
      </c>
    </row>
    <row r="538" spans="1:1" x14ac:dyDescent="0.2">
      <c r="A538" s="285" t="s">
        <v>956</v>
      </c>
    </row>
    <row r="539" spans="1:1" x14ac:dyDescent="0.2">
      <c r="A539" s="285" t="s">
        <v>1223</v>
      </c>
    </row>
    <row r="540" spans="1:1" x14ac:dyDescent="0.2">
      <c r="A540" s="285" t="s">
        <v>1224</v>
      </c>
    </row>
    <row r="541" spans="1:1" x14ac:dyDescent="0.2">
      <c r="A541" s="285" t="s">
        <v>957</v>
      </c>
    </row>
    <row r="542" spans="1:1" x14ac:dyDescent="0.2">
      <c r="A542" s="285" t="s">
        <v>958</v>
      </c>
    </row>
    <row r="543" spans="1:1" x14ac:dyDescent="0.2">
      <c r="A543" s="285" t="s">
        <v>1225</v>
      </c>
    </row>
    <row r="544" spans="1:1" x14ac:dyDescent="0.2">
      <c r="A544" s="285" t="s">
        <v>959</v>
      </c>
    </row>
    <row r="545" spans="1:1" x14ac:dyDescent="0.2">
      <c r="A545" s="285" t="s">
        <v>960</v>
      </c>
    </row>
    <row r="546" spans="1:1" x14ac:dyDescent="0.2">
      <c r="A546" s="285" t="s">
        <v>961</v>
      </c>
    </row>
    <row r="547" spans="1:1" x14ac:dyDescent="0.2">
      <c r="A547" s="285" t="s">
        <v>962</v>
      </c>
    </row>
    <row r="548" spans="1:1" x14ac:dyDescent="0.2">
      <c r="A548" s="285" t="s">
        <v>963</v>
      </c>
    </row>
    <row r="549" spans="1:1" x14ac:dyDescent="0.2">
      <c r="A549" s="285" t="s">
        <v>965</v>
      </c>
    </row>
    <row r="550" spans="1:1" x14ac:dyDescent="0.2">
      <c r="A550" s="285" t="s">
        <v>966</v>
      </c>
    </row>
    <row r="551" spans="1:1" x14ac:dyDescent="0.2">
      <c r="A551" s="285" t="s">
        <v>967</v>
      </c>
    </row>
    <row r="552" spans="1:1" x14ac:dyDescent="0.2">
      <c r="A552" s="285" t="s">
        <v>968</v>
      </c>
    </row>
    <row r="553" spans="1:1" x14ac:dyDescent="0.2">
      <c r="A553" s="285" t="s">
        <v>1226</v>
      </c>
    </row>
    <row r="554" spans="1:1" x14ac:dyDescent="0.2">
      <c r="A554" s="285" t="s">
        <v>969</v>
      </c>
    </row>
    <row r="555" spans="1:1" x14ac:dyDescent="0.2">
      <c r="A555" s="285" t="s">
        <v>1227</v>
      </c>
    </row>
    <row r="556" spans="1:1" x14ac:dyDescent="0.2">
      <c r="A556" s="285" t="s">
        <v>970</v>
      </c>
    </row>
    <row r="557" spans="1:1" x14ac:dyDescent="0.2">
      <c r="A557" s="285" t="s">
        <v>971</v>
      </c>
    </row>
    <row r="558" spans="1:1" x14ac:dyDescent="0.2">
      <c r="A558" s="285" t="s">
        <v>1228</v>
      </c>
    </row>
    <row r="559" spans="1:1" x14ac:dyDescent="0.2">
      <c r="A559" s="285" t="s">
        <v>1229</v>
      </c>
    </row>
    <row r="560" spans="1:1" x14ac:dyDescent="0.2">
      <c r="A560" s="285" t="s">
        <v>1242</v>
      </c>
    </row>
    <row r="561" spans="1:1" x14ac:dyDescent="0.2">
      <c r="A561" s="285" t="s">
        <v>972</v>
      </c>
    </row>
    <row r="562" spans="1:1" x14ac:dyDescent="0.2">
      <c r="A562" s="285" t="s">
        <v>1231</v>
      </c>
    </row>
    <row r="563" spans="1:1" x14ac:dyDescent="0.2">
      <c r="A563" s="285" t="s">
        <v>1232</v>
      </c>
    </row>
    <row r="564" spans="1:1" x14ac:dyDescent="0.2">
      <c r="A564" s="285" t="s">
        <v>1233</v>
      </c>
    </row>
    <row r="565" spans="1:1" x14ac:dyDescent="0.2">
      <c r="A565" s="285" t="s">
        <v>1234</v>
      </c>
    </row>
    <row r="566" spans="1:1" x14ac:dyDescent="0.2">
      <c r="A566" s="285" t="s">
        <v>1235</v>
      </c>
    </row>
    <row r="567" spans="1:1" x14ac:dyDescent="0.2">
      <c r="A567" s="285" t="s">
        <v>973</v>
      </c>
    </row>
    <row r="568" spans="1:1" x14ac:dyDescent="0.2">
      <c r="A568" s="285" t="s">
        <v>1236</v>
      </c>
    </row>
    <row r="569" spans="1:1" x14ac:dyDescent="0.2">
      <c r="A569" s="285" t="s">
        <v>1237</v>
      </c>
    </row>
    <row r="570" spans="1:1" x14ac:dyDescent="0.2">
      <c r="A570" s="285" t="s">
        <v>1238</v>
      </c>
    </row>
    <row r="571" spans="1:1" x14ac:dyDescent="0.2">
      <c r="A571" s="285" t="s">
        <v>1239</v>
      </c>
    </row>
    <row r="572" spans="1:1" x14ac:dyDescent="0.2">
      <c r="A572" s="285" t="s">
        <v>974</v>
      </c>
    </row>
    <row r="573" spans="1:1" x14ac:dyDescent="0.2">
      <c r="A573" s="285" t="s">
        <v>1240</v>
      </c>
    </row>
    <row r="574" spans="1:1" x14ac:dyDescent="0.2">
      <c r="A574" s="285" t="s">
        <v>1241</v>
      </c>
    </row>
    <row r="575" spans="1:1" x14ac:dyDescent="0.2">
      <c r="A575" s="285" t="s">
        <v>1243</v>
      </c>
    </row>
    <row r="576" spans="1:1" x14ac:dyDescent="0.2">
      <c r="A576" s="285" t="s">
        <v>1244</v>
      </c>
    </row>
    <row r="577" spans="1:1" x14ac:dyDescent="0.2">
      <c r="A577" s="285" t="s">
        <v>975</v>
      </c>
    </row>
    <row r="578" spans="1:1" x14ac:dyDescent="0.2">
      <c r="A578" s="285" t="s">
        <v>976</v>
      </c>
    </row>
    <row r="579" spans="1:1" x14ac:dyDescent="0.2">
      <c r="A579" s="285" t="s">
        <v>1245</v>
      </c>
    </row>
    <row r="580" spans="1:1" x14ac:dyDescent="0.2">
      <c r="A580" s="285" t="s">
        <v>1306</v>
      </c>
    </row>
    <row r="581" spans="1:1" x14ac:dyDescent="0.2">
      <c r="A581" s="285" t="s">
        <v>977</v>
      </c>
    </row>
    <row r="582" spans="1:1" x14ac:dyDescent="0.2">
      <c r="A582" s="285" t="s">
        <v>1246</v>
      </c>
    </row>
    <row r="583" spans="1:1" x14ac:dyDescent="0.2">
      <c r="A583" s="285" t="s">
        <v>0</v>
      </c>
    </row>
    <row r="584" spans="1:1" x14ac:dyDescent="0.2">
      <c r="A584" s="285" t="s">
        <v>1247</v>
      </c>
    </row>
    <row r="585" spans="1:1" x14ac:dyDescent="0.2">
      <c r="A585" s="285" t="s">
        <v>1248</v>
      </c>
    </row>
    <row r="586" spans="1:1" x14ac:dyDescent="0.2">
      <c r="A586" s="285" t="s">
        <v>1</v>
      </c>
    </row>
    <row r="587" spans="1:1" x14ac:dyDescent="0.2">
      <c r="A587" s="285" t="s">
        <v>2</v>
      </c>
    </row>
    <row r="588" spans="1:1" x14ac:dyDescent="0.2">
      <c r="A588" s="285" t="s">
        <v>3</v>
      </c>
    </row>
    <row r="589" spans="1:1" x14ac:dyDescent="0.2">
      <c r="A589" s="285" t="s">
        <v>989</v>
      </c>
    </row>
    <row r="590" spans="1:1" x14ac:dyDescent="0.2">
      <c r="A590" s="285" t="s">
        <v>1250</v>
      </c>
    </row>
    <row r="591" spans="1:1" x14ac:dyDescent="0.2">
      <c r="A591" s="285" t="s">
        <v>1251</v>
      </c>
    </row>
    <row r="592" spans="1:1" x14ac:dyDescent="0.2">
      <c r="A592" s="285" t="s">
        <v>5</v>
      </c>
    </row>
    <row r="593" spans="1:1" x14ac:dyDescent="0.2">
      <c r="A593" s="285" t="s">
        <v>6</v>
      </c>
    </row>
    <row r="594" spans="1:1" x14ac:dyDescent="0.2">
      <c r="A594" s="285" t="s">
        <v>1252</v>
      </c>
    </row>
    <row r="595" spans="1:1" x14ac:dyDescent="0.2">
      <c r="A595" s="285" t="s">
        <v>1253</v>
      </c>
    </row>
    <row r="596" spans="1:1" x14ac:dyDescent="0.2">
      <c r="A596" s="285" t="s">
        <v>1254</v>
      </c>
    </row>
    <row r="597" spans="1:1" x14ac:dyDescent="0.2">
      <c r="A597" s="285" t="s">
        <v>1255</v>
      </c>
    </row>
    <row r="598" spans="1:1" x14ac:dyDescent="0.2">
      <c r="A598" s="285" t="s">
        <v>1256</v>
      </c>
    </row>
    <row r="599" spans="1:1" x14ac:dyDescent="0.2">
      <c r="A599" s="285" t="s">
        <v>1257</v>
      </c>
    </row>
    <row r="600" spans="1:1" x14ac:dyDescent="0.2">
      <c r="A600" s="285" t="s">
        <v>7</v>
      </c>
    </row>
    <row r="601" spans="1:1" x14ac:dyDescent="0.2">
      <c r="A601" s="285" t="s">
        <v>8</v>
      </c>
    </row>
    <row r="602" spans="1:1" x14ac:dyDescent="0.2">
      <c r="A602" s="285" t="s">
        <v>9</v>
      </c>
    </row>
    <row r="603" spans="1:1" x14ac:dyDescent="0.2">
      <c r="A603" s="285" t="s">
        <v>1258</v>
      </c>
    </row>
    <row r="604" spans="1:1" x14ac:dyDescent="0.2">
      <c r="A604" s="285" t="s">
        <v>1259</v>
      </c>
    </row>
    <row r="605" spans="1:1" x14ac:dyDescent="0.2">
      <c r="A605" s="285" t="s">
        <v>1260</v>
      </c>
    </row>
    <row r="606" spans="1:1" x14ac:dyDescent="0.2">
      <c r="A606" s="285" t="s">
        <v>603</v>
      </c>
    </row>
    <row r="607" spans="1:1" x14ac:dyDescent="0.2">
      <c r="A607" s="285" t="s">
        <v>952</v>
      </c>
    </row>
    <row r="608" spans="1:1" x14ac:dyDescent="0.2">
      <c r="A608" s="285" t="s">
        <v>1261</v>
      </c>
    </row>
    <row r="609" spans="1:1" x14ac:dyDescent="0.2">
      <c r="A609" s="285" t="s">
        <v>953</v>
      </c>
    </row>
    <row r="610" spans="1:1" x14ac:dyDescent="0.2">
      <c r="A610" s="285" t="s">
        <v>10</v>
      </c>
    </row>
    <row r="611" spans="1:1" x14ac:dyDescent="0.2">
      <c r="A611" s="285" t="s">
        <v>988</v>
      </c>
    </row>
    <row r="612" spans="1:1" x14ac:dyDescent="0.2">
      <c r="A612" s="285" t="s">
        <v>954</v>
      </c>
    </row>
    <row r="613" spans="1:1" x14ac:dyDescent="0.2">
      <c r="A613" s="285" t="s">
        <v>955</v>
      </c>
    </row>
    <row r="614" spans="1:1" x14ac:dyDescent="0.2">
      <c r="A614" s="285" t="s">
        <v>985</v>
      </c>
    </row>
    <row r="615" spans="1:1" x14ac:dyDescent="0.2">
      <c r="A615" s="285" t="s">
        <v>1008</v>
      </c>
    </row>
    <row r="616" spans="1:1" x14ac:dyDescent="0.2">
      <c r="A616" s="285" t="s">
        <v>1009</v>
      </c>
    </row>
    <row r="617" spans="1:1" x14ac:dyDescent="0.2">
      <c r="A617" s="285" t="s">
        <v>1039</v>
      </c>
    </row>
    <row r="618" spans="1:1" x14ac:dyDescent="0.2">
      <c r="A618" s="285" t="s">
        <v>1262</v>
      </c>
    </row>
    <row r="619" spans="1:1" x14ac:dyDescent="0.2">
      <c r="A619" s="285" t="s">
        <v>11</v>
      </c>
    </row>
    <row r="620" spans="1:1" x14ac:dyDescent="0.2">
      <c r="A620" s="285" t="s">
        <v>12</v>
      </c>
    </row>
    <row r="621" spans="1:1" x14ac:dyDescent="0.2">
      <c r="A621" s="285" t="s">
        <v>13</v>
      </c>
    </row>
    <row r="622" spans="1:1" x14ac:dyDescent="0.2">
      <c r="A622" s="285" t="s">
        <v>14</v>
      </c>
    </row>
    <row r="623" spans="1:1" x14ac:dyDescent="0.2">
      <c r="A623" s="285" t="s">
        <v>15</v>
      </c>
    </row>
    <row r="624" spans="1:1" x14ac:dyDescent="0.2">
      <c r="A624" s="285" t="s">
        <v>16</v>
      </c>
    </row>
    <row r="625" spans="1:1" x14ac:dyDescent="0.2">
      <c r="A625" s="285" t="s">
        <v>1264</v>
      </c>
    </row>
    <row r="626" spans="1:1" x14ac:dyDescent="0.2">
      <c r="A626" s="285" t="s">
        <v>1265</v>
      </c>
    </row>
    <row r="627" spans="1:1" x14ac:dyDescent="0.2">
      <c r="A627" s="285" t="s">
        <v>17</v>
      </c>
    </row>
    <row r="628" spans="1:1" x14ac:dyDescent="0.2">
      <c r="A628" s="285" t="s">
        <v>997</v>
      </c>
    </row>
    <row r="629" spans="1:1" x14ac:dyDescent="0.2">
      <c r="A629" s="285" t="s">
        <v>1266</v>
      </c>
    </row>
    <row r="630" spans="1:1" x14ac:dyDescent="0.2">
      <c r="A630" s="285" t="s">
        <v>1267</v>
      </c>
    </row>
    <row r="631" spans="1:1" x14ac:dyDescent="0.2">
      <c r="A631" s="285" t="s">
        <v>1268</v>
      </c>
    </row>
    <row r="632" spans="1:1" x14ac:dyDescent="0.2">
      <c r="A632" s="285" t="s">
        <v>18</v>
      </c>
    </row>
    <row r="633" spans="1:1" x14ac:dyDescent="0.2">
      <c r="A633" s="285" t="s">
        <v>19</v>
      </c>
    </row>
    <row r="634" spans="1:1" x14ac:dyDescent="0.2">
      <c r="A634" s="285" t="s">
        <v>1269</v>
      </c>
    </row>
    <row r="635" spans="1:1" x14ac:dyDescent="0.2">
      <c r="A635" s="285" t="s">
        <v>1270</v>
      </c>
    </row>
    <row r="636" spans="1:1" x14ac:dyDescent="0.2">
      <c r="A636" s="285" t="s">
        <v>20</v>
      </c>
    </row>
    <row r="637" spans="1:1" x14ac:dyDescent="0.2">
      <c r="A637" s="285" t="s">
        <v>1271</v>
      </c>
    </row>
    <row r="638" spans="1:1" x14ac:dyDescent="0.2">
      <c r="A638" s="285" t="s">
        <v>1272</v>
      </c>
    </row>
    <row r="639" spans="1:1" x14ac:dyDescent="0.2">
      <c r="A639" s="285" t="s">
        <v>1273</v>
      </c>
    </row>
    <row r="640" spans="1:1" x14ac:dyDescent="0.2">
      <c r="A640" s="285" t="s">
        <v>1274</v>
      </c>
    </row>
    <row r="641" spans="1:1" x14ac:dyDescent="0.2">
      <c r="A641" s="285" t="s">
        <v>21</v>
      </c>
    </row>
    <row r="642" spans="1:1" x14ac:dyDescent="0.2">
      <c r="A642" s="285" t="s">
        <v>22</v>
      </c>
    </row>
    <row r="643" spans="1:1" x14ac:dyDescent="0.2">
      <c r="A643" s="285" t="s">
        <v>23</v>
      </c>
    </row>
    <row r="644" spans="1:1" x14ac:dyDescent="0.2">
      <c r="A644" s="285" t="s">
        <v>1275</v>
      </c>
    </row>
    <row r="645" spans="1:1" x14ac:dyDescent="0.2">
      <c r="A645" s="285" t="s">
        <v>24</v>
      </c>
    </row>
    <row r="646" spans="1:1" x14ac:dyDescent="0.2">
      <c r="A646" s="285" t="s">
        <v>25</v>
      </c>
    </row>
    <row r="647" spans="1:1" x14ac:dyDescent="0.2">
      <c r="A647" s="285" t="s">
        <v>26</v>
      </c>
    </row>
    <row r="648" spans="1:1" x14ac:dyDescent="0.2">
      <c r="A648" s="285" t="s">
        <v>1249</v>
      </c>
    </row>
    <row r="649" spans="1:1" x14ac:dyDescent="0.2">
      <c r="A649" s="285" t="s">
        <v>27</v>
      </c>
    </row>
    <row r="650" spans="1:1" x14ac:dyDescent="0.2">
      <c r="A650" s="285" t="s">
        <v>28</v>
      </c>
    </row>
    <row r="651" spans="1:1" x14ac:dyDescent="0.2">
      <c r="A651" s="285" t="s">
        <v>29</v>
      </c>
    </row>
    <row r="652" spans="1:1" x14ac:dyDescent="0.2">
      <c r="A652" s="285" t="s">
        <v>1280</v>
      </c>
    </row>
    <row r="653" spans="1:1" x14ac:dyDescent="0.2">
      <c r="A653" s="285" t="s">
        <v>30</v>
      </c>
    </row>
    <row r="654" spans="1:1" x14ac:dyDescent="0.2">
      <c r="A654" s="285" t="s">
        <v>31</v>
      </c>
    </row>
    <row r="655" spans="1:1" x14ac:dyDescent="0.2">
      <c r="A655" s="285" t="s">
        <v>32</v>
      </c>
    </row>
    <row r="656" spans="1:1" x14ac:dyDescent="0.2">
      <c r="A656" s="285" t="s">
        <v>33</v>
      </c>
    </row>
    <row r="657" spans="1:1" x14ac:dyDescent="0.2">
      <c r="A657" s="285" t="s">
        <v>34</v>
      </c>
    </row>
    <row r="658" spans="1:1" x14ac:dyDescent="0.2">
      <c r="A658" s="285" t="s">
        <v>1281</v>
      </c>
    </row>
    <row r="659" spans="1:1" x14ac:dyDescent="0.2">
      <c r="A659" s="285" t="s">
        <v>35</v>
      </c>
    </row>
    <row r="660" spans="1:1" x14ac:dyDescent="0.2">
      <c r="A660" s="285" t="s">
        <v>36</v>
      </c>
    </row>
    <row r="661" spans="1:1" x14ac:dyDescent="0.2">
      <c r="A661" s="285" t="s">
        <v>990</v>
      </c>
    </row>
    <row r="662" spans="1:1" x14ac:dyDescent="0.2">
      <c r="A662" s="285" t="s">
        <v>37</v>
      </c>
    </row>
    <row r="663" spans="1:1" x14ac:dyDescent="0.2">
      <c r="A663" s="285" t="s">
        <v>38</v>
      </c>
    </row>
    <row r="664" spans="1:1" x14ac:dyDescent="0.2">
      <c r="A664" s="285" t="s">
        <v>1282</v>
      </c>
    </row>
    <row r="665" spans="1:1" x14ac:dyDescent="0.2">
      <c r="A665" s="285" t="s">
        <v>39</v>
      </c>
    </row>
    <row r="666" spans="1:1" x14ac:dyDescent="0.2">
      <c r="A666" s="285" t="s">
        <v>40</v>
      </c>
    </row>
    <row r="667" spans="1:1" x14ac:dyDescent="0.2">
      <c r="A667" s="285" t="s">
        <v>1277</v>
      </c>
    </row>
    <row r="668" spans="1:1" x14ac:dyDescent="0.2">
      <c r="A668" s="285" t="s">
        <v>41</v>
      </c>
    </row>
    <row r="669" spans="1:1" x14ac:dyDescent="0.2">
      <c r="A669" s="285" t="s">
        <v>1283</v>
      </c>
    </row>
    <row r="670" spans="1:1" x14ac:dyDescent="0.2">
      <c r="A670" s="285" t="s">
        <v>42</v>
      </c>
    </row>
    <row r="671" spans="1:1" x14ac:dyDescent="0.2">
      <c r="A671" s="285" t="s">
        <v>1035</v>
      </c>
    </row>
    <row r="672" spans="1:1" x14ac:dyDescent="0.2">
      <c r="A672" s="285" t="s">
        <v>679</v>
      </c>
    </row>
    <row r="673" spans="1:1" x14ac:dyDescent="0.2">
      <c r="A673" s="285"/>
    </row>
    <row r="674" spans="1:1" x14ac:dyDescent="0.2">
      <c r="A674" s="285"/>
    </row>
    <row r="675" spans="1:1" x14ac:dyDescent="0.2">
      <c r="A675" s="285"/>
    </row>
    <row r="676" spans="1:1" x14ac:dyDescent="0.2">
      <c r="A676" s="285"/>
    </row>
    <row r="677" spans="1:1" x14ac:dyDescent="0.2">
      <c r="A677" s="285"/>
    </row>
    <row r="678" spans="1:1" x14ac:dyDescent="0.2">
      <c r="A678" s="285"/>
    </row>
    <row r="679" spans="1:1" x14ac:dyDescent="0.2">
      <c r="A679" s="285"/>
    </row>
    <row r="680" spans="1:1" x14ac:dyDescent="0.2">
      <c r="A680" s="285"/>
    </row>
    <row r="681" spans="1:1" x14ac:dyDescent="0.2">
      <c r="A681" s="285"/>
    </row>
    <row r="682" spans="1:1" x14ac:dyDescent="0.2">
      <c r="A682" s="285"/>
    </row>
    <row r="683" spans="1:1" x14ac:dyDescent="0.2">
      <c r="A683" s="285"/>
    </row>
    <row r="684" spans="1:1" x14ac:dyDescent="0.2">
      <c r="A684" s="285"/>
    </row>
    <row r="685" spans="1:1" x14ac:dyDescent="0.2">
      <c r="A685" s="285"/>
    </row>
    <row r="686" spans="1:1" x14ac:dyDescent="0.2">
      <c r="A686" s="285"/>
    </row>
    <row r="687" spans="1:1" x14ac:dyDescent="0.2">
      <c r="A687" s="285"/>
    </row>
    <row r="688" spans="1:1" x14ac:dyDescent="0.2">
      <c r="A688" s="285"/>
    </row>
    <row r="689" spans="1:1" x14ac:dyDescent="0.2">
      <c r="A689" s="285"/>
    </row>
    <row r="690" spans="1:1" x14ac:dyDescent="0.2">
      <c r="A690" s="285"/>
    </row>
    <row r="691" spans="1:1" x14ac:dyDescent="0.2">
      <c r="A691" s="285"/>
    </row>
    <row r="692" spans="1:1" x14ac:dyDescent="0.2">
      <c r="A692" s="285"/>
    </row>
    <row r="693" spans="1:1" x14ac:dyDescent="0.2">
      <c r="A693" s="285"/>
    </row>
    <row r="694" spans="1:1" x14ac:dyDescent="0.2">
      <c r="A694" s="285"/>
    </row>
    <row r="695" spans="1:1" x14ac:dyDescent="0.2">
      <c r="A695" s="285"/>
    </row>
    <row r="696" spans="1:1" x14ac:dyDescent="0.2">
      <c r="A696" s="285"/>
    </row>
    <row r="697" spans="1:1" x14ac:dyDescent="0.2">
      <c r="A697" s="285"/>
    </row>
    <row r="698" spans="1:1" x14ac:dyDescent="0.2">
      <c r="A698" s="285"/>
    </row>
    <row r="699" spans="1:1" x14ac:dyDescent="0.2">
      <c r="A699" s="285"/>
    </row>
    <row r="700" spans="1:1" x14ac:dyDescent="0.2">
      <c r="A700" s="285"/>
    </row>
    <row r="701" spans="1:1" x14ac:dyDescent="0.2">
      <c r="A701" s="285"/>
    </row>
    <row r="702" spans="1:1" x14ac:dyDescent="0.2">
      <c r="A702" s="285"/>
    </row>
    <row r="703" spans="1:1" x14ac:dyDescent="0.2">
      <c r="A703" s="285"/>
    </row>
    <row r="704" spans="1:1" x14ac:dyDescent="0.2">
      <c r="A704" s="285"/>
    </row>
    <row r="705" spans="1:1" x14ac:dyDescent="0.2">
      <c r="A705" s="285"/>
    </row>
    <row r="706" spans="1:1" x14ac:dyDescent="0.2">
      <c r="A706" s="285"/>
    </row>
    <row r="707" spans="1:1" x14ac:dyDescent="0.2">
      <c r="A707" s="285"/>
    </row>
    <row r="708" spans="1:1" x14ac:dyDescent="0.2">
      <c r="A708" s="285"/>
    </row>
    <row r="709" spans="1:1" x14ac:dyDescent="0.2">
      <c r="A709" s="285"/>
    </row>
    <row r="710" spans="1:1" x14ac:dyDescent="0.2">
      <c r="A710" s="285"/>
    </row>
    <row r="711" spans="1:1" x14ac:dyDescent="0.2">
      <c r="A711" s="285"/>
    </row>
    <row r="712" spans="1:1" x14ac:dyDescent="0.2">
      <c r="A712" s="285"/>
    </row>
    <row r="713" spans="1:1" x14ac:dyDescent="0.2">
      <c r="A713" s="285"/>
    </row>
    <row r="714" spans="1:1" x14ac:dyDescent="0.2">
      <c r="A714" s="285"/>
    </row>
    <row r="715" spans="1:1" x14ac:dyDescent="0.2">
      <c r="A715" s="285"/>
    </row>
    <row r="716" spans="1:1" x14ac:dyDescent="0.2">
      <c r="A716" s="285"/>
    </row>
    <row r="717" spans="1:1" x14ac:dyDescent="0.2">
      <c r="A717" s="285"/>
    </row>
    <row r="718" spans="1:1" x14ac:dyDescent="0.2">
      <c r="A718" s="285"/>
    </row>
    <row r="719" spans="1:1" x14ac:dyDescent="0.2">
      <c r="A719" s="285"/>
    </row>
    <row r="720" spans="1:1" x14ac:dyDescent="0.2">
      <c r="A720" s="285"/>
    </row>
    <row r="721" spans="1:1" x14ac:dyDescent="0.2">
      <c r="A721" s="285"/>
    </row>
    <row r="722" spans="1:1" x14ac:dyDescent="0.2">
      <c r="A722" s="285"/>
    </row>
    <row r="723" spans="1:1" x14ac:dyDescent="0.2">
      <c r="A723" s="285"/>
    </row>
    <row r="724" spans="1:1" x14ac:dyDescent="0.2">
      <c r="A724" s="285"/>
    </row>
    <row r="725" spans="1:1" x14ac:dyDescent="0.2">
      <c r="A725" s="285"/>
    </row>
    <row r="726" spans="1:1" x14ac:dyDescent="0.2">
      <c r="A726" s="285"/>
    </row>
    <row r="727" spans="1:1" x14ac:dyDescent="0.2">
      <c r="A727" s="285"/>
    </row>
    <row r="728" spans="1:1" x14ac:dyDescent="0.2">
      <c r="A728" s="285"/>
    </row>
    <row r="729" spans="1:1" x14ac:dyDescent="0.2">
      <c r="A729" s="285"/>
    </row>
    <row r="730" spans="1:1" x14ac:dyDescent="0.2">
      <c r="A730" s="285"/>
    </row>
    <row r="731" spans="1:1" x14ac:dyDescent="0.2">
      <c r="A731" s="285"/>
    </row>
    <row r="732" spans="1:1" x14ac:dyDescent="0.2">
      <c r="A732" s="285"/>
    </row>
    <row r="733" spans="1:1" x14ac:dyDescent="0.2">
      <c r="A733" s="285"/>
    </row>
    <row r="734" spans="1:1" x14ac:dyDescent="0.2">
      <c r="A734" s="285"/>
    </row>
    <row r="735" spans="1:1" x14ac:dyDescent="0.2">
      <c r="A735" s="285"/>
    </row>
    <row r="736" spans="1:1" x14ac:dyDescent="0.2">
      <c r="A736" s="285"/>
    </row>
    <row r="737" spans="1:1" x14ac:dyDescent="0.2">
      <c r="A737" s="285"/>
    </row>
    <row r="738" spans="1:1" x14ac:dyDescent="0.2">
      <c r="A738" s="285"/>
    </row>
    <row r="739" spans="1:1" x14ac:dyDescent="0.2">
      <c r="A739" s="285"/>
    </row>
    <row r="740" spans="1:1" x14ac:dyDescent="0.2">
      <c r="A740" s="285"/>
    </row>
    <row r="741" spans="1:1" x14ac:dyDescent="0.2">
      <c r="A741" s="285"/>
    </row>
    <row r="742" spans="1:1" x14ac:dyDescent="0.2">
      <c r="A742" s="285"/>
    </row>
    <row r="743" spans="1:1" x14ac:dyDescent="0.2">
      <c r="A743" s="285"/>
    </row>
    <row r="744" spans="1:1" x14ac:dyDescent="0.2">
      <c r="A744" s="285"/>
    </row>
    <row r="745" spans="1:1" x14ac:dyDescent="0.2">
      <c r="A745" s="285"/>
    </row>
    <row r="746" spans="1:1" x14ac:dyDescent="0.2">
      <c r="A746" s="285"/>
    </row>
    <row r="747" spans="1:1" x14ac:dyDescent="0.2">
      <c r="A747" s="285"/>
    </row>
    <row r="748" spans="1:1" x14ac:dyDescent="0.2">
      <c r="A748" s="285"/>
    </row>
    <row r="749" spans="1:1" x14ac:dyDescent="0.2">
      <c r="A749" s="285"/>
    </row>
    <row r="750" spans="1:1" x14ac:dyDescent="0.2">
      <c r="A750" s="285"/>
    </row>
    <row r="751" spans="1:1" x14ac:dyDescent="0.2">
      <c r="A751" s="285"/>
    </row>
    <row r="752" spans="1:1" x14ac:dyDescent="0.2">
      <c r="A752" s="285"/>
    </row>
    <row r="753" spans="1:1" x14ac:dyDescent="0.2">
      <c r="A753" s="285"/>
    </row>
    <row r="754" spans="1:1" x14ac:dyDescent="0.2">
      <c r="A754" s="285"/>
    </row>
    <row r="755" spans="1:1" x14ac:dyDescent="0.2">
      <c r="A755" s="285"/>
    </row>
    <row r="756" spans="1:1" x14ac:dyDescent="0.2">
      <c r="A756" s="285"/>
    </row>
    <row r="757" spans="1:1" x14ac:dyDescent="0.2">
      <c r="A757" s="285"/>
    </row>
    <row r="758" spans="1:1" x14ac:dyDescent="0.2">
      <c r="A758" s="285"/>
    </row>
    <row r="759" spans="1:1" x14ac:dyDescent="0.2">
      <c r="A759" s="285"/>
    </row>
    <row r="760" spans="1:1" x14ac:dyDescent="0.2">
      <c r="A760" s="285"/>
    </row>
    <row r="761" spans="1:1" x14ac:dyDescent="0.2">
      <c r="A761" s="285"/>
    </row>
    <row r="762" spans="1:1" x14ac:dyDescent="0.2">
      <c r="A762" s="285"/>
    </row>
    <row r="763" spans="1:1" x14ac:dyDescent="0.2">
      <c r="A763" s="285"/>
    </row>
    <row r="764" spans="1:1" x14ac:dyDescent="0.2">
      <c r="A764" s="285"/>
    </row>
    <row r="765" spans="1:1" x14ac:dyDescent="0.2">
      <c r="A765" s="285"/>
    </row>
    <row r="766" spans="1:1" x14ac:dyDescent="0.2">
      <c r="A766" s="285"/>
    </row>
    <row r="767" spans="1:1" x14ac:dyDescent="0.2">
      <c r="A767" s="285"/>
    </row>
    <row r="768" spans="1:1" x14ac:dyDescent="0.2">
      <c r="A768" s="285"/>
    </row>
    <row r="769" spans="1:1" x14ac:dyDescent="0.2">
      <c r="A769" s="285"/>
    </row>
    <row r="770" spans="1:1" x14ac:dyDescent="0.2">
      <c r="A770" s="285"/>
    </row>
    <row r="771" spans="1:1" x14ac:dyDescent="0.2">
      <c r="A771" s="285"/>
    </row>
    <row r="772" spans="1:1" x14ac:dyDescent="0.2">
      <c r="A772" s="285"/>
    </row>
    <row r="773" spans="1:1" x14ac:dyDescent="0.2">
      <c r="A773" s="285"/>
    </row>
    <row r="774" spans="1:1" x14ac:dyDescent="0.2">
      <c r="A774" s="285"/>
    </row>
    <row r="775" spans="1:1" x14ac:dyDescent="0.2">
      <c r="A775" s="285"/>
    </row>
    <row r="776" spans="1:1" x14ac:dyDescent="0.2">
      <c r="A776" s="285"/>
    </row>
    <row r="777" spans="1:1" x14ac:dyDescent="0.2">
      <c r="A777" s="285"/>
    </row>
    <row r="778" spans="1:1" x14ac:dyDescent="0.2">
      <c r="A778" s="285"/>
    </row>
    <row r="779" spans="1:1" x14ac:dyDescent="0.2">
      <c r="A779" s="285"/>
    </row>
    <row r="780" spans="1:1" x14ac:dyDescent="0.2">
      <c r="A780" s="285"/>
    </row>
    <row r="781" spans="1:1" x14ac:dyDescent="0.2">
      <c r="A781" s="285"/>
    </row>
    <row r="782" spans="1:1" x14ac:dyDescent="0.2">
      <c r="A782" s="285"/>
    </row>
    <row r="783" spans="1:1" x14ac:dyDescent="0.2">
      <c r="A783" s="285"/>
    </row>
    <row r="784" spans="1:1" x14ac:dyDescent="0.2">
      <c r="A784" s="285"/>
    </row>
  </sheetData>
  <sheetProtection password="AF78" sheet="1" objects="1" scenarios="1" selectLockedCells="1"/>
  <phoneticPr fontId="2" type="noConversion"/>
  <pageMargins left="0.75" right="0.75" top="1" bottom="1" header="0.5" footer="0.5"/>
  <pageSetup orientation="portrait" verticalDpi="2"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65</vt:i4>
      </vt:variant>
    </vt:vector>
  </HeadingPairs>
  <TitlesOfParts>
    <vt:vector size="101" baseType="lpstr">
      <vt:lpstr>10</vt:lpstr>
      <vt:lpstr>11</vt:lpstr>
      <vt:lpstr>11A</vt:lpstr>
      <vt:lpstr>11A1</vt:lpstr>
      <vt:lpstr>11A2</vt:lpstr>
      <vt:lpstr>11A3</vt:lpstr>
      <vt:lpstr>11A4</vt:lpstr>
      <vt:lpstr>11B</vt:lpstr>
      <vt:lpstr>11B1</vt:lpstr>
      <vt:lpstr>11B2</vt:lpstr>
      <vt:lpstr>11B3</vt:lpstr>
      <vt:lpstr>11B4</vt:lpstr>
      <vt:lpstr>11C</vt:lpstr>
      <vt:lpstr>11C1</vt:lpstr>
      <vt:lpstr>11C2</vt:lpstr>
      <vt:lpstr>11C3</vt:lpstr>
      <vt:lpstr>11C4</vt:lpstr>
      <vt:lpstr>11D</vt:lpstr>
      <vt:lpstr>11D1</vt:lpstr>
      <vt:lpstr>11D2</vt:lpstr>
      <vt:lpstr>11D3</vt:lpstr>
      <vt:lpstr>11D4</vt:lpstr>
      <vt:lpstr>11F</vt:lpstr>
      <vt:lpstr>11H1</vt:lpstr>
      <vt:lpstr>11H2</vt:lpstr>
      <vt:lpstr>12</vt:lpstr>
      <vt:lpstr>12A</vt:lpstr>
      <vt:lpstr>12A1</vt:lpstr>
      <vt:lpstr>12A2</vt:lpstr>
      <vt:lpstr>12A3</vt:lpstr>
      <vt:lpstr>12A4</vt:lpstr>
      <vt:lpstr>39</vt:lpstr>
      <vt:lpstr>39A</vt:lpstr>
      <vt:lpstr>40</vt:lpstr>
      <vt:lpstr>40A</vt:lpstr>
      <vt:lpstr>Bank</vt:lpstr>
      <vt:lpstr>'10'!Print_Area</vt:lpstr>
      <vt:lpstr>'11'!Print_Area</vt:lpstr>
      <vt:lpstr>'11A'!Print_Area</vt:lpstr>
      <vt:lpstr>'11A1'!Print_Area</vt:lpstr>
      <vt:lpstr>'11A2'!Print_Area</vt:lpstr>
      <vt:lpstr>'11A3'!Print_Area</vt:lpstr>
      <vt:lpstr>'11A4'!Print_Area</vt:lpstr>
      <vt:lpstr>'11B'!Print_Area</vt:lpstr>
      <vt:lpstr>'11B1'!Print_Area</vt:lpstr>
      <vt:lpstr>'11B2'!Print_Area</vt:lpstr>
      <vt:lpstr>'11B3'!Print_Area</vt:lpstr>
      <vt:lpstr>'11B4'!Print_Area</vt:lpstr>
      <vt:lpstr>'11C'!Print_Area</vt:lpstr>
      <vt:lpstr>'11C1'!Print_Area</vt:lpstr>
      <vt:lpstr>'11C2'!Print_Area</vt:lpstr>
      <vt:lpstr>'11C3'!Print_Area</vt:lpstr>
      <vt:lpstr>'11C4'!Print_Area</vt:lpstr>
      <vt:lpstr>'11D'!Print_Area</vt:lpstr>
      <vt:lpstr>'11D1'!Print_Area</vt:lpstr>
      <vt:lpstr>'11D2'!Print_Area</vt:lpstr>
      <vt:lpstr>'11D3'!Print_Area</vt:lpstr>
      <vt:lpstr>'11D4'!Print_Area</vt:lpstr>
      <vt:lpstr>'11F'!Print_Area</vt:lpstr>
      <vt:lpstr>'12'!Print_Area</vt:lpstr>
      <vt:lpstr>'12A'!Print_Area</vt:lpstr>
      <vt:lpstr>'12A1'!Print_Area</vt:lpstr>
      <vt:lpstr>'12A2'!Print_Area</vt:lpstr>
      <vt:lpstr>'12A3'!Print_Area</vt:lpstr>
      <vt:lpstr>'12A4'!Print_Area</vt:lpstr>
      <vt:lpstr>'39'!Print_Area</vt:lpstr>
      <vt:lpstr>'39A'!Print_Area</vt:lpstr>
      <vt:lpstr>'40'!Print_Area</vt:lpstr>
      <vt:lpstr>'40A'!Print_Area</vt:lpstr>
      <vt:lpstr>'10'!Print_Titles</vt:lpstr>
      <vt:lpstr>'11'!Print_Titles</vt:lpstr>
      <vt:lpstr>'11A'!Print_Titles</vt:lpstr>
      <vt:lpstr>'11A1'!Print_Titles</vt:lpstr>
      <vt:lpstr>'11A2'!Print_Titles</vt:lpstr>
      <vt:lpstr>'11A3'!Print_Titles</vt:lpstr>
      <vt:lpstr>'11A4'!Print_Titles</vt:lpstr>
      <vt:lpstr>'11B'!Print_Titles</vt:lpstr>
      <vt:lpstr>'11B1'!Print_Titles</vt:lpstr>
      <vt:lpstr>'11B2'!Print_Titles</vt:lpstr>
      <vt:lpstr>'11B3'!Print_Titles</vt:lpstr>
      <vt:lpstr>'11B4'!Print_Titles</vt:lpstr>
      <vt:lpstr>'11C'!Print_Titles</vt:lpstr>
      <vt:lpstr>'11C1'!Print_Titles</vt:lpstr>
      <vt:lpstr>'11C2'!Print_Titles</vt:lpstr>
      <vt:lpstr>'11C3'!Print_Titles</vt:lpstr>
      <vt:lpstr>'11C4'!Print_Titles</vt:lpstr>
      <vt:lpstr>'11D'!Print_Titles</vt:lpstr>
      <vt:lpstr>'11D1'!Print_Titles</vt:lpstr>
      <vt:lpstr>'11D2'!Print_Titles</vt:lpstr>
      <vt:lpstr>'11D3'!Print_Titles</vt:lpstr>
      <vt:lpstr>'11D4'!Print_Titles</vt:lpstr>
      <vt:lpstr>'12'!Print_Titles</vt:lpstr>
      <vt:lpstr>'12A'!Print_Titles</vt:lpstr>
      <vt:lpstr>'12A1'!Print_Titles</vt:lpstr>
      <vt:lpstr>'12A2'!Print_Titles</vt:lpstr>
      <vt:lpstr>'12A3'!Print_Titles</vt:lpstr>
      <vt:lpstr>'12A4'!Print_Titles</vt:lpstr>
      <vt:lpstr>'39'!Print_Titles</vt:lpstr>
      <vt:lpstr>'39A'!Print_Titles</vt:lpstr>
      <vt:lpstr>'40'!Print_Titles</vt:lpstr>
      <vt:lpstr>'40A'!Print_Titles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Lala Villangca</dc:creator>
  <cp:lastModifiedBy>Aldrin</cp:lastModifiedBy>
  <cp:lastPrinted>2007-05-11T01:20:00Z</cp:lastPrinted>
  <dcterms:created xsi:type="dcterms:W3CDTF">2005-10-26T00:34:21Z</dcterms:created>
  <dcterms:modified xsi:type="dcterms:W3CDTF">2017-10-12T17:37:21Z</dcterms:modified>
</cp:coreProperties>
</file>