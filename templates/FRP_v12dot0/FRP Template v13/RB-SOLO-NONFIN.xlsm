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drin\Desktop\EDITED\"/>
    </mc:Choice>
  </mc:AlternateContent>
  <workbookProtection workbookAlgorithmName="SHA-512" workbookHashValue="NSgMY0L6XYfr2N1+MG5HXIkzwrQHANa+oCT2BmBfngwRo1RojU+fvb41af9jdaEBl527CyJ6pLn94rkTxAyDUw==" workbookSaltValue="6bzzQ9ujSgenmZO3W1Lcnw==" workbookSpinCount="100000" lockStructure="1"/>
  <bookViews>
    <workbookView xWindow="-15" yWindow="3870" windowWidth="15330" windowHeight="4230"/>
  </bookViews>
  <sheets>
    <sheet name="16" sheetId="6" r:id="rId1"/>
    <sheet name="17" sheetId="2" r:id="rId2"/>
    <sheet name="19" sheetId="7" r:id="rId3"/>
    <sheet name="20" sheetId="4" r:id="rId4"/>
    <sheet name="42" sheetId="8" r:id="rId5"/>
    <sheet name="Bank" sheetId="5" state="hidden" r:id="rId6"/>
  </sheets>
  <definedNames>
    <definedName name="_xlnm.Print_Area" localSheetId="0">'16'!$A$1:$AN$39</definedName>
    <definedName name="_xlnm.Print_Area" localSheetId="2">'19'!$A$1:$P$44</definedName>
    <definedName name="_xlnm.Print_Area" localSheetId="3">'20'!$A$1:$P$23</definedName>
    <definedName name="_xlnm.Print_Area" localSheetId="4">'42'!$A$1:$P$22</definedName>
    <definedName name="_xlnm.Print_Titles" localSheetId="0">'16'!$A:$H,'16'!$1:$9</definedName>
    <definedName name="_xlnm.Print_Titles" localSheetId="1">'17'!$A:$H,'17'!$1:$9</definedName>
    <definedName name="_xlnm.Print_Titles" localSheetId="2">'19'!$A:$H,'19'!$1:$9</definedName>
    <definedName name="_xlnm.Print_Titles" localSheetId="3">'20'!$A:$H,'20'!$1:$9</definedName>
  </definedNames>
  <calcPr calcId="162913" fullCalcOnLoad="1"/>
</workbook>
</file>

<file path=xl/calcChain.xml><?xml version="1.0" encoding="utf-8"?>
<calcChain xmlns="http://schemas.openxmlformats.org/spreadsheetml/2006/main">
  <c r="Y19" i="2" l="1"/>
  <c r="AF19" i="2"/>
  <c r="I19" i="2"/>
  <c r="P19" i="2"/>
  <c r="AN19" i="2" s="1"/>
  <c r="X23" i="2"/>
  <c r="AK25" i="2"/>
  <c r="AJ25" i="2"/>
  <c r="AJ24" i="2" s="1"/>
  <c r="AJ21" i="2" s="1"/>
  <c r="AG25" i="2"/>
  <c r="AF18" i="2"/>
  <c r="AF17" i="2"/>
  <c r="P16" i="2"/>
  <c r="AF16" i="2"/>
  <c r="AN16" i="2"/>
  <c r="AK23" i="2"/>
  <c r="AK22" i="2"/>
  <c r="AJ23" i="2"/>
  <c r="AJ22" i="2"/>
  <c r="AG23" i="2"/>
  <c r="AG22" i="2"/>
  <c r="AG21" i="2" s="1"/>
  <c r="AK18" i="2"/>
  <c r="AK17" i="2"/>
  <c r="AK16" i="2"/>
  <c r="AK19" i="2"/>
  <c r="AJ18" i="2"/>
  <c r="AJ17" i="2"/>
  <c r="AJ16" i="2"/>
  <c r="AG18" i="2"/>
  <c r="AG17" i="2"/>
  <c r="AG16" i="2"/>
  <c r="AG19" i="2" s="1"/>
  <c r="AK13" i="2"/>
  <c r="AK14" i="2" s="1"/>
  <c r="AK12" i="2"/>
  <c r="AK11" i="2"/>
  <c r="AJ13" i="2"/>
  <c r="AJ12" i="2"/>
  <c r="AJ11" i="2"/>
  <c r="AG13" i="2"/>
  <c r="AG12" i="2"/>
  <c r="AG11" i="2"/>
  <c r="AG14" i="2" s="1"/>
  <c r="AV25" i="2"/>
  <c r="AF25" i="2"/>
  <c r="X25" i="2"/>
  <c r="P25" i="2"/>
  <c r="AN25" i="2" s="1"/>
  <c r="AN24" i="2" s="1"/>
  <c r="AU24" i="2"/>
  <c r="AU21" i="2"/>
  <c r="AT24" i="2"/>
  <c r="AS24" i="2"/>
  <c r="AS21" i="2" s="1"/>
  <c r="AV21" i="2" s="1"/>
  <c r="AR24" i="2"/>
  <c r="AO24" i="2"/>
  <c r="AV24" i="2"/>
  <c r="AM24" i="2"/>
  <c r="AM21" i="2"/>
  <c r="AL24" i="2"/>
  <c r="AK24" i="2"/>
  <c r="AK21" i="2" s="1"/>
  <c r="AG24" i="2"/>
  <c r="AE24" i="2"/>
  <c r="AD24" i="2"/>
  <c r="AD21" i="2" s="1"/>
  <c r="AC24" i="2"/>
  <c r="AB24" i="2"/>
  <c r="AB21" i="2"/>
  <c r="Y24" i="2"/>
  <c r="AF24" i="2"/>
  <c r="W24" i="2"/>
  <c r="V24" i="2"/>
  <c r="V21" i="2" s="1"/>
  <c r="U24" i="2"/>
  <c r="T24" i="2"/>
  <c r="T21" i="2"/>
  <c r="Q24" i="2"/>
  <c r="X24" i="2"/>
  <c r="O24" i="2"/>
  <c r="N24" i="2"/>
  <c r="N21" i="2" s="1"/>
  <c r="M24" i="2"/>
  <c r="L24" i="2"/>
  <c r="L21" i="2"/>
  <c r="I24" i="2"/>
  <c r="P24" i="2"/>
  <c r="AV23" i="2"/>
  <c r="AF23" i="2"/>
  <c r="AN23" i="2" s="1"/>
  <c r="P23" i="2"/>
  <c r="AV22" i="2"/>
  <c r="AF22" i="2"/>
  <c r="AN22" i="2" s="1"/>
  <c r="P22" i="2"/>
  <c r="AT21" i="2"/>
  <c r="AR21" i="2"/>
  <c r="AL21" i="2"/>
  <c r="AE21" i="2"/>
  <c r="AC21" i="2"/>
  <c r="AF21" i="2" s="1"/>
  <c r="Y21" i="2"/>
  <c r="W21" i="2"/>
  <c r="U21" i="2"/>
  <c r="X21" i="2" s="1"/>
  <c r="Q21" i="2"/>
  <c r="O21" i="2"/>
  <c r="M21" i="2"/>
  <c r="P21" i="2" s="1"/>
  <c r="AN21" i="2" s="1"/>
  <c r="I21" i="2"/>
  <c r="AV16" i="2"/>
  <c r="AV17" i="2"/>
  <c r="AV18" i="2"/>
  <c r="AU19" i="2"/>
  <c r="AT19" i="2"/>
  <c r="AS19" i="2"/>
  <c r="AR19" i="2"/>
  <c r="AO19" i="2"/>
  <c r="AV19" i="2" s="1"/>
  <c r="AM19" i="2"/>
  <c r="AL19" i="2"/>
  <c r="AJ19" i="2"/>
  <c r="AE19" i="2"/>
  <c r="AD19" i="2"/>
  <c r="AC19" i="2"/>
  <c r="AB19" i="2"/>
  <c r="P17" i="2"/>
  <c r="AN17" i="2"/>
  <c r="P18" i="2"/>
  <c r="AN18" i="2"/>
  <c r="O19" i="2"/>
  <c r="N19" i="2"/>
  <c r="M19" i="2"/>
  <c r="L19" i="2"/>
  <c r="AV11" i="2"/>
  <c r="AV12" i="2"/>
  <c r="AV13" i="2"/>
  <c r="AU14" i="2"/>
  <c r="AT14" i="2"/>
  <c r="AS14" i="2"/>
  <c r="AR14" i="2"/>
  <c r="AO14" i="2"/>
  <c r="AV14" i="2" s="1"/>
  <c r="AM14" i="2"/>
  <c r="AL14" i="2"/>
  <c r="AJ14" i="2"/>
  <c r="AF11" i="2"/>
  <c r="AF12" i="2"/>
  <c r="AF13" i="2"/>
  <c r="AE14" i="2"/>
  <c r="AD14" i="2"/>
  <c r="AC14" i="2"/>
  <c r="AB14" i="2"/>
  <c r="Y14" i="2"/>
  <c r="AF14" i="2" s="1"/>
  <c r="X12" i="2"/>
  <c r="X13" i="2"/>
  <c r="W14" i="2"/>
  <c r="V14" i="2"/>
  <c r="U14" i="2"/>
  <c r="T14" i="2"/>
  <c r="Q14" i="2"/>
  <c r="X14" i="2" s="1"/>
  <c r="P11" i="2"/>
  <c r="AN11" i="2" s="1"/>
  <c r="P12" i="2"/>
  <c r="AN12" i="2" s="1"/>
  <c r="P13" i="2"/>
  <c r="AN13" i="2" s="1"/>
  <c r="O14" i="2"/>
  <c r="N14" i="2"/>
  <c r="M14" i="2"/>
  <c r="L14" i="2"/>
  <c r="I14" i="2"/>
  <c r="P14" i="2" s="1"/>
  <c r="AN14" i="2" s="1"/>
  <c r="O18" i="8"/>
  <c r="N18" i="8"/>
  <c r="M18" i="8"/>
  <c r="L18" i="8"/>
  <c r="K18" i="8"/>
  <c r="J18" i="8"/>
  <c r="I18" i="8"/>
  <c r="O13" i="8"/>
  <c r="N13" i="8"/>
  <c r="M13" i="8"/>
  <c r="L13" i="8"/>
  <c r="K13" i="8"/>
  <c r="J13" i="8"/>
  <c r="I13" i="8"/>
  <c r="P11" i="8"/>
  <c r="P13" i="8"/>
  <c r="P12" i="8"/>
  <c r="P16" i="8"/>
  <c r="P18" i="8" s="1"/>
  <c r="P17" i="8"/>
  <c r="M36" i="7"/>
  <c r="P36" i="7" s="1"/>
  <c r="O36" i="7"/>
  <c r="P37" i="7"/>
  <c r="P38" i="7"/>
  <c r="P39" i="7"/>
  <c r="P41" i="7"/>
  <c r="N36" i="7"/>
  <c r="L36" i="7"/>
  <c r="J21" i="7"/>
  <c r="K21" i="7"/>
  <c r="L21" i="7"/>
  <c r="M21" i="7"/>
  <c r="N21" i="7"/>
  <c r="O21" i="7"/>
  <c r="P22" i="7"/>
  <c r="P23" i="7"/>
  <c r="P24" i="7"/>
  <c r="I21" i="7"/>
  <c r="P21" i="7"/>
  <c r="I17" i="6"/>
  <c r="I31" i="6"/>
  <c r="I24" i="6" s="1"/>
  <c r="O17" i="6"/>
  <c r="O39" i="6" s="1"/>
  <c r="O31" i="6"/>
  <c r="O24" i="6"/>
  <c r="Q17" i="6"/>
  <c r="Q31" i="6"/>
  <c r="Q24" i="6" s="1"/>
  <c r="W17" i="6"/>
  <c r="W39" i="6" s="1"/>
  <c r="W31" i="6"/>
  <c r="W24" i="6"/>
  <c r="Y17" i="6"/>
  <c r="Y31" i="6"/>
  <c r="Y24" i="6"/>
  <c r="AE17" i="6"/>
  <c r="AE39" i="6"/>
  <c r="AE31" i="6"/>
  <c r="AE24" i="6"/>
  <c r="N17" i="6"/>
  <c r="N31" i="6"/>
  <c r="AL31" i="6" s="1"/>
  <c r="V17" i="6"/>
  <c r="V31" i="6"/>
  <c r="V24" i="6"/>
  <c r="AD17" i="6"/>
  <c r="AD31" i="6"/>
  <c r="AD24" i="6" s="1"/>
  <c r="AD39" i="6" s="1"/>
  <c r="P38" i="6"/>
  <c r="AN38" i="6" s="1"/>
  <c r="X38" i="6"/>
  <c r="AF38" i="6"/>
  <c r="AM38" i="6"/>
  <c r="AL38" i="6"/>
  <c r="AG38" i="6"/>
  <c r="P37" i="6"/>
  <c r="X37" i="6"/>
  <c r="AN37" i="6" s="1"/>
  <c r="AF37" i="6"/>
  <c r="AM37" i="6"/>
  <c r="AL37" i="6"/>
  <c r="AG37" i="6"/>
  <c r="P36" i="6"/>
  <c r="AN36" i="6" s="1"/>
  <c r="X36" i="6"/>
  <c r="AF36" i="6"/>
  <c r="AM36" i="6"/>
  <c r="AL36" i="6"/>
  <c r="AG36" i="6"/>
  <c r="P35" i="6"/>
  <c r="AN35" i="6" s="1"/>
  <c r="X35" i="6"/>
  <c r="AF35" i="6"/>
  <c r="AM35" i="6"/>
  <c r="AL35" i="6"/>
  <c r="AG35" i="6"/>
  <c r="P34" i="6"/>
  <c r="AN34" i="6" s="1"/>
  <c r="X34" i="6"/>
  <c r="AF34" i="6"/>
  <c r="AM34" i="6"/>
  <c r="AL34" i="6"/>
  <c r="AG34" i="6"/>
  <c r="P33" i="6"/>
  <c r="X33" i="6"/>
  <c r="AN33" i="6" s="1"/>
  <c r="AF33" i="6"/>
  <c r="AM33" i="6"/>
  <c r="AL33" i="6"/>
  <c r="AG33" i="6"/>
  <c r="P32" i="6"/>
  <c r="AN32" i="6" s="1"/>
  <c r="X32" i="6"/>
  <c r="AF32" i="6"/>
  <c r="AM32" i="6"/>
  <c r="AL32" i="6"/>
  <c r="AG32" i="6"/>
  <c r="AM31" i="6"/>
  <c r="P30" i="6"/>
  <c r="AN30" i="6" s="1"/>
  <c r="X30" i="6"/>
  <c r="AF30" i="6"/>
  <c r="AM30" i="6"/>
  <c r="AL30" i="6"/>
  <c r="AG30" i="6"/>
  <c r="P29" i="6"/>
  <c r="X29" i="6"/>
  <c r="AN29" i="6" s="1"/>
  <c r="AF29" i="6"/>
  <c r="AM29" i="6"/>
  <c r="AL29" i="6"/>
  <c r="AG29" i="6"/>
  <c r="P28" i="6"/>
  <c r="AN28" i="6" s="1"/>
  <c r="X28" i="6"/>
  <c r="AF28" i="6"/>
  <c r="AM28" i="6"/>
  <c r="AL28" i="6"/>
  <c r="AG28" i="6"/>
  <c r="P27" i="6"/>
  <c r="AN27" i="6" s="1"/>
  <c r="X27" i="6"/>
  <c r="AF27" i="6"/>
  <c r="AM27" i="6"/>
  <c r="AL27" i="6"/>
  <c r="AG27" i="6"/>
  <c r="P26" i="6"/>
  <c r="AN26" i="6" s="1"/>
  <c r="X26" i="6"/>
  <c r="AF26" i="6"/>
  <c r="AM26" i="6"/>
  <c r="AL26" i="6"/>
  <c r="AG26" i="6"/>
  <c r="P25" i="6"/>
  <c r="X25" i="6"/>
  <c r="AN25" i="6" s="1"/>
  <c r="AF25" i="6"/>
  <c r="AM25" i="6"/>
  <c r="AL25" i="6"/>
  <c r="AG25" i="6"/>
  <c r="P23" i="6"/>
  <c r="AN23" i="6"/>
  <c r="X23" i="6"/>
  <c r="AF23" i="6"/>
  <c r="AM23" i="6"/>
  <c r="AL23" i="6"/>
  <c r="AG23" i="6"/>
  <c r="P22" i="6"/>
  <c r="AN22" i="6" s="1"/>
  <c r="X22" i="6"/>
  <c r="AF22" i="6"/>
  <c r="AM22" i="6"/>
  <c r="AL22" i="6"/>
  <c r="AG22" i="6"/>
  <c r="P21" i="6"/>
  <c r="X21" i="6"/>
  <c r="AF21" i="6"/>
  <c r="AN21" i="6" s="1"/>
  <c r="AM21" i="6"/>
  <c r="AL21" i="6"/>
  <c r="AG21" i="6"/>
  <c r="P20" i="6"/>
  <c r="AN20" i="6" s="1"/>
  <c r="X20" i="6"/>
  <c r="AF20" i="6"/>
  <c r="AM20" i="6"/>
  <c r="AL20" i="6"/>
  <c r="AG20" i="6"/>
  <c r="P19" i="6"/>
  <c r="AN19" i="6"/>
  <c r="X19" i="6"/>
  <c r="AF19" i="6"/>
  <c r="AM19" i="6"/>
  <c r="AL19" i="6"/>
  <c r="AG19" i="6"/>
  <c r="P18" i="6"/>
  <c r="AN18" i="6" s="1"/>
  <c r="X18" i="6"/>
  <c r="AF18" i="6"/>
  <c r="AM18" i="6"/>
  <c r="AL18" i="6"/>
  <c r="AG18" i="6"/>
  <c r="AF17" i="6"/>
  <c r="AG17" i="6"/>
  <c r="P16" i="6"/>
  <c r="AN16" i="6"/>
  <c r="X16" i="6"/>
  <c r="AF16" i="6"/>
  <c r="AM16" i="6"/>
  <c r="AL16" i="6"/>
  <c r="AG16" i="6"/>
  <c r="P15" i="6"/>
  <c r="AN15" i="6" s="1"/>
  <c r="X15" i="6"/>
  <c r="AF15" i="6"/>
  <c r="AM15" i="6"/>
  <c r="AL15" i="6"/>
  <c r="AG15" i="6"/>
  <c r="P14" i="6"/>
  <c r="X14" i="6"/>
  <c r="AF14" i="6"/>
  <c r="AN14" i="6"/>
  <c r="AM14" i="6"/>
  <c r="AL14" i="6"/>
  <c r="AG14" i="6"/>
  <c r="P13" i="6"/>
  <c r="AN13" i="6" s="1"/>
  <c r="X13" i="6"/>
  <c r="AF13" i="6"/>
  <c r="AM13" i="6"/>
  <c r="AL13" i="6"/>
  <c r="AG13" i="6"/>
  <c r="P12" i="6"/>
  <c r="AN12" i="6"/>
  <c r="X12" i="6"/>
  <c r="AF12" i="6"/>
  <c r="AM12" i="6"/>
  <c r="AL12" i="6"/>
  <c r="AG12" i="6"/>
  <c r="P11" i="6"/>
  <c r="AN11" i="6" s="1"/>
  <c r="X11" i="6"/>
  <c r="AF11" i="6"/>
  <c r="AM11" i="6"/>
  <c r="AL11" i="6"/>
  <c r="AG11" i="6"/>
  <c r="P10" i="6"/>
  <c r="X10" i="6"/>
  <c r="AF10" i="6"/>
  <c r="AN10" i="6"/>
  <c r="AM10" i="6"/>
  <c r="AL10" i="6"/>
  <c r="AG10" i="6"/>
  <c r="P30" i="7"/>
  <c r="I12" i="7"/>
  <c r="I15" i="7"/>
  <c r="P15" i="7" s="1"/>
  <c r="I29" i="7"/>
  <c r="I32" i="7"/>
  <c r="K12" i="7"/>
  <c r="K15" i="7"/>
  <c r="K32" i="7" s="1"/>
  <c r="K34" i="7" s="1"/>
  <c r="K29" i="7"/>
  <c r="P29" i="7" s="1"/>
  <c r="M12" i="7"/>
  <c r="M29" i="7"/>
  <c r="M32" i="7" s="1"/>
  <c r="M34" i="7" s="1"/>
  <c r="O12" i="7"/>
  <c r="O32" i="7"/>
  <c r="O34" i="7" s="1"/>
  <c r="O15" i="7"/>
  <c r="O29" i="7"/>
  <c r="N12" i="7"/>
  <c r="N32" i="7" s="1"/>
  <c r="N34" i="7" s="1"/>
  <c r="N15" i="7"/>
  <c r="N29" i="7"/>
  <c r="L12" i="7"/>
  <c r="L29" i="7"/>
  <c r="L32" i="7" s="1"/>
  <c r="L34" i="7" s="1"/>
  <c r="J12" i="7"/>
  <c r="J15" i="7"/>
  <c r="J32" i="7" s="1"/>
  <c r="J34" i="7" s="1"/>
  <c r="J29" i="7"/>
  <c r="P33" i="7"/>
  <c r="P28" i="7"/>
  <c r="P27" i="7"/>
  <c r="P26" i="7"/>
  <c r="P25" i="7"/>
  <c r="P20" i="7"/>
  <c r="P19" i="7"/>
  <c r="P18" i="7"/>
  <c r="P17" i="7"/>
  <c r="P16" i="7"/>
  <c r="P14" i="7"/>
  <c r="P13" i="7"/>
  <c r="P12" i="7"/>
  <c r="P11" i="7"/>
  <c r="P10" i="7"/>
  <c r="P22" i="4"/>
  <c r="P15" i="4"/>
  <c r="P11" i="4"/>
  <c r="P12" i="4"/>
  <c r="P13" i="4"/>
  <c r="O14" i="4"/>
  <c r="O10" i="4"/>
  <c r="I14" i="4"/>
  <c r="P14" i="4" s="1"/>
  <c r="K14" i="4"/>
  <c r="M14" i="4"/>
  <c r="M10" i="4" s="1"/>
  <c r="P10" i="4" s="1"/>
  <c r="I21" i="4"/>
  <c r="I17" i="4" s="1"/>
  <c r="K21" i="4"/>
  <c r="K17" i="4" s="1"/>
  <c r="M21" i="4"/>
  <c r="M17" i="4" s="1"/>
  <c r="O21" i="4"/>
  <c r="O17" i="4" s="1"/>
  <c r="P18" i="4"/>
  <c r="P19" i="4"/>
  <c r="P20" i="4"/>
  <c r="I10" i="4"/>
  <c r="K10" i="4"/>
  <c r="N21" i="4"/>
  <c r="N17" i="4"/>
  <c r="N14" i="4"/>
  <c r="N10" i="4"/>
  <c r="J21" i="4"/>
  <c r="L21" i="4"/>
  <c r="L17" i="4" s="1"/>
  <c r="J14" i="4"/>
  <c r="L14" i="4"/>
  <c r="L10" i="4"/>
  <c r="J17" i="4"/>
  <c r="J10" i="4"/>
  <c r="AM24" i="6"/>
  <c r="I34" i="7"/>
  <c r="V39" i="6"/>
  <c r="Y39" i="6"/>
  <c r="AF39" i="6" s="1"/>
  <c r="AF24" i="6"/>
  <c r="AL17" i="6"/>
  <c r="AF31" i="6"/>
  <c r="AO21" i="2"/>
  <c r="Q39" i="6" l="1"/>
  <c r="X39" i="6" s="1"/>
  <c r="X24" i="6"/>
  <c r="AM39" i="6"/>
  <c r="P34" i="7"/>
  <c r="P32" i="7"/>
  <c r="P24" i="6"/>
  <c r="AN24" i="6" s="1"/>
  <c r="I39" i="6"/>
  <c r="AG24" i="6"/>
  <c r="P17" i="4"/>
  <c r="AG31" i="6"/>
  <c r="AM17" i="6"/>
  <c r="P17" i="6"/>
  <c r="AN17" i="6" s="1"/>
  <c r="X31" i="6"/>
  <c r="N24" i="6"/>
  <c r="P31" i="6"/>
  <c r="P21" i="4"/>
  <c r="X17" i="6"/>
  <c r="AN31" i="6" l="1"/>
  <c r="AG39" i="6"/>
  <c r="P39" i="6"/>
  <c r="AN39" i="6" s="1"/>
  <c r="N39" i="6"/>
  <c r="AL39" i="6" s="1"/>
  <c r="AL24" i="6"/>
</calcChain>
</file>

<file path=xl/sharedStrings.xml><?xml version="1.0" encoding="utf-8"?>
<sst xmlns="http://schemas.openxmlformats.org/spreadsheetml/2006/main" count="1063" uniqueCount="833">
  <si>
    <t>Bank Premises, Furniture, Fixture and Equipment</t>
  </si>
  <si>
    <t>Particulars</t>
  </si>
  <si>
    <t>Account Code</t>
  </si>
  <si>
    <t>Cost</t>
  </si>
  <si>
    <t>Accumulated Depreciation</t>
  </si>
  <si>
    <t>Allowance for Losses</t>
  </si>
  <si>
    <t>Net Carrying Amount</t>
  </si>
  <si>
    <t>Peso Accts.</t>
  </si>
  <si>
    <t>Foreign Regular</t>
  </si>
  <si>
    <t>FCDU/EFCDU</t>
  </si>
  <si>
    <t>Total</t>
  </si>
  <si>
    <t>x</t>
  </si>
  <si>
    <t>In US $</t>
  </si>
  <si>
    <t>Peso Equiv.</t>
  </si>
  <si>
    <t>(1)</t>
  </si>
  <si>
    <t>Land</t>
  </si>
  <si>
    <t>(2)</t>
  </si>
  <si>
    <t>Buildings</t>
  </si>
  <si>
    <t>(3)</t>
  </si>
  <si>
    <t>Furniture and Fixtures</t>
  </si>
  <si>
    <t>(4)</t>
  </si>
  <si>
    <t>IT Equipment</t>
  </si>
  <si>
    <t>(5)</t>
  </si>
  <si>
    <t>Other Office Equipment</t>
  </si>
  <si>
    <t>(6)</t>
  </si>
  <si>
    <t>Transportation Equipment</t>
  </si>
  <si>
    <t>(7)</t>
  </si>
  <si>
    <t>Bank Premises, Furniture, Fixture and Equipment Under Finance Lease</t>
  </si>
  <si>
    <t>(a)</t>
  </si>
  <si>
    <t>(b)</t>
  </si>
  <si>
    <t>(c)</t>
  </si>
  <si>
    <t>(d)</t>
  </si>
  <si>
    <t>(e)</t>
  </si>
  <si>
    <t>(f)</t>
  </si>
  <si>
    <t>(8)</t>
  </si>
  <si>
    <t>Revaluation Increment</t>
  </si>
  <si>
    <t>(g)</t>
  </si>
  <si>
    <t>(9)</t>
  </si>
  <si>
    <t>Building Under Construction</t>
  </si>
  <si>
    <t>Real and Other Properties Acquired</t>
  </si>
  <si>
    <t>Other Properties Acquired</t>
  </si>
  <si>
    <t>Other Assets</t>
  </si>
  <si>
    <t>Peso Accounts</t>
  </si>
  <si>
    <t>Deferred Charges</t>
  </si>
  <si>
    <t xml:space="preserve">Servicing Assets </t>
  </si>
  <si>
    <t>Accounts Receivable</t>
  </si>
  <si>
    <t>a.</t>
  </si>
  <si>
    <t>Resident</t>
  </si>
  <si>
    <t>b.</t>
  </si>
  <si>
    <t>Non-Resident</t>
  </si>
  <si>
    <t>Dividends Receivable</t>
  </si>
  <si>
    <t>Loans to RBU by FCDU/EFCDU</t>
  </si>
  <si>
    <t>Deficiency Judgment Receivable</t>
  </si>
  <si>
    <t>Employee Benefits</t>
  </si>
  <si>
    <t>Prepaid expenses</t>
  </si>
  <si>
    <t>Shortages</t>
  </si>
  <si>
    <t>(10)</t>
  </si>
  <si>
    <t>Sundry Debits</t>
  </si>
  <si>
    <t>(11)</t>
  </si>
  <si>
    <t>Inter-Office Float Items</t>
  </si>
  <si>
    <t>(12)</t>
  </si>
  <si>
    <t>Others*</t>
  </si>
  <si>
    <t>Total Other Assets</t>
  </si>
  <si>
    <t xml:space="preserve">Other Assets - Net </t>
  </si>
  <si>
    <t>Account Description</t>
  </si>
  <si>
    <t>A.</t>
  </si>
  <si>
    <t>Demand Deposits and Working Balances maintained by Philippine Branch of Foreign Bank with its Head Office/Branches/Agencies Abroad</t>
  </si>
  <si>
    <t>Losses in Operation of Philippine Branch of Foreign Banks</t>
  </si>
  <si>
    <t>B.</t>
  </si>
  <si>
    <t>Unremitted Profits not yet approved by BSP</t>
  </si>
  <si>
    <t>150050002000000000</t>
  </si>
  <si>
    <t>150050002500000000</t>
  </si>
  <si>
    <t>150050003000000000</t>
  </si>
  <si>
    <t>150050003500000000</t>
  </si>
  <si>
    <t>150050004000000000</t>
  </si>
  <si>
    <t>150050004500000000</t>
  </si>
  <si>
    <t>150050005000000000</t>
  </si>
  <si>
    <t>150050005005000000</t>
  </si>
  <si>
    <t>150050005010000000</t>
  </si>
  <si>
    <t>150050005015000000</t>
  </si>
  <si>
    <t>150050005020000000</t>
  </si>
  <si>
    <t>150050005025000000</t>
  </si>
  <si>
    <t>150050005030000000</t>
  </si>
  <si>
    <t>150050005500000000</t>
  </si>
  <si>
    <t>150050005505000000</t>
  </si>
  <si>
    <t>150050005510000000</t>
  </si>
  <si>
    <t>150050005515000000</t>
  </si>
  <si>
    <t>150050005520000000</t>
  </si>
  <si>
    <t>150050005525000000</t>
  </si>
  <si>
    <t>150050005530000000</t>
  </si>
  <si>
    <t>150050005535000000</t>
  </si>
  <si>
    <t>150050005540000000</t>
  </si>
  <si>
    <t>150050005545000000</t>
  </si>
  <si>
    <t>150050005550000000</t>
  </si>
  <si>
    <t>150050005555000000</t>
  </si>
  <si>
    <t>150050005560000000</t>
  </si>
  <si>
    <t>150050005565000000</t>
  </si>
  <si>
    <t>150050006000000000</t>
  </si>
  <si>
    <t>150050000000000000</t>
  </si>
  <si>
    <t>$$$</t>
  </si>
  <si>
    <t>150100002000000000</t>
  </si>
  <si>
    <t>150100002500000000</t>
  </si>
  <si>
    <t>150100006000000000</t>
  </si>
  <si>
    <t>150100000000000000</t>
  </si>
  <si>
    <t>155100000500000000</t>
  </si>
  <si>
    <t>155100001000000000</t>
  </si>
  <si>
    <t>155100001500000000</t>
  </si>
  <si>
    <t>155100001500100000</t>
  </si>
  <si>
    <t>155100001500200000</t>
  </si>
  <si>
    <t>155100002000000000</t>
  </si>
  <si>
    <t>155100002000100000</t>
  </si>
  <si>
    <t>155100002000200000</t>
  </si>
  <si>
    <t>155100002500000000</t>
  </si>
  <si>
    <t>155100003000000000</t>
  </si>
  <si>
    <t>155100003500000000</t>
  </si>
  <si>
    <t>155100004000000000</t>
  </si>
  <si>
    <t>155100004500000000</t>
  </si>
  <si>
    <t>155100005000000000</t>
  </si>
  <si>
    <t>155100005500000000</t>
  </si>
  <si>
    <t>155100006000000000</t>
  </si>
  <si>
    <t>155100099500000000</t>
  </si>
  <si>
    <t>155100000000000000</t>
  </si>
  <si>
    <t>180100000000000000</t>
  </si>
  <si>
    <t>195551000000000000</t>
  </si>
  <si>
    <t>155250000000000000</t>
  </si>
  <si>
    <t>155250000005000000</t>
  </si>
  <si>
    <t>155250000010000000</t>
  </si>
  <si>
    <t>155250000015000000</t>
  </si>
  <si>
    <t>155250000095000000</t>
  </si>
  <si>
    <t>230850000000000000</t>
  </si>
  <si>
    <t>230850000005000000</t>
  </si>
  <si>
    <t>230850000010000000</t>
  </si>
  <si>
    <t>230850000015000000</t>
  </si>
  <si>
    <t>230850000095000000</t>
  </si>
  <si>
    <t>Seq. No.</t>
  </si>
  <si>
    <t>-</t>
  </si>
  <si>
    <t>(13)</t>
  </si>
  <si>
    <t xml:space="preserve">Others (indicate nature) </t>
  </si>
  <si>
    <t>Foreign Offices</t>
  </si>
  <si>
    <t>Breakdown of Due from and Due to Head Office/Branches/Agencies Abroad - Philippine Branch of Foreign Banks</t>
  </si>
  <si>
    <t>Due from Head Office/Branches/Agencies Abroad- Philippine Branch of Foreign Banks</t>
  </si>
  <si>
    <t>Placements/Investments/Loans</t>
  </si>
  <si>
    <t>Due to Head Office/Branches/Agencies Abroad- Philippine Branch of Foreign Banks</t>
  </si>
  <si>
    <t>Demand Deposits and Working Balances maintained by Head Office/Branches/Agencies Abroad with Philippine Branch of Foreign Banks</t>
  </si>
  <si>
    <t>Placement/Time Deposits/Borrowings</t>
  </si>
  <si>
    <t>Leasehold Rights &amp; Improvements</t>
  </si>
  <si>
    <t>TOTAL</t>
  </si>
  <si>
    <t>_a</t>
  </si>
  <si>
    <t>_b</t>
  </si>
  <si>
    <t>u</t>
  </si>
  <si>
    <t>Solo Reports</t>
  </si>
  <si>
    <t>Sinking Fund</t>
  </si>
  <si>
    <t>Bond</t>
  </si>
  <si>
    <t>Redeemable Preferred Stock</t>
  </si>
  <si>
    <t>c.</t>
  </si>
  <si>
    <t>Others</t>
  </si>
  <si>
    <t xml:space="preserve">*Specify the type of account under this category that comprise at least 25 percent of total other assets.  </t>
  </si>
  <si>
    <t>Items that do not comprise at least 25 percent of total other assets shall be aggregated and presented as a single line item</t>
  </si>
  <si>
    <t>155100004005000000</t>
  </si>
  <si>
    <t>155100004010000000</t>
  </si>
  <si>
    <t>155100004015000000</t>
  </si>
  <si>
    <t>150050006500000000</t>
  </si>
  <si>
    <t>(c )</t>
  </si>
  <si>
    <t>Others (pls specify)</t>
  </si>
  <si>
    <t>150100009000600000</t>
  </si>
  <si>
    <t>ROPA</t>
  </si>
  <si>
    <t>NCAHS</t>
  </si>
  <si>
    <t>Additional Information</t>
  </si>
  <si>
    <t>ROPAs contributed to a Joint Arrangement</t>
  </si>
  <si>
    <t xml:space="preserve">(a) </t>
  </si>
  <si>
    <t>Building</t>
  </si>
  <si>
    <t>150150002000000000</t>
  </si>
  <si>
    <t>150150002500000000</t>
  </si>
  <si>
    <t>150150006000000000</t>
  </si>
  <si>
    <t>150150000000000000</t>
  </si>
  <si>
    <t>150100000000600000</t>
  </si>
  <si>
    <t>150100002000600000</t>
  </si>
  <si>
    <t>150100002500600000</t>
  </si>
  <si>
    <t>Additional Information:</t>
  </si>
  <si>
    <t>1.</t>
  </si>
  <si>
    <t>Accounts Receivable Arising from Sale of Financial Assets under the Trade Date Accounting</t>
  </si>
  <si>
    <t>Accounts Receivable from Sale of Readily Marketable Debt Instruments</t>
  </si>
  <si>
    <t>Accounts Receivable from Sale of Financial Assets Other than Readily Marketable Debt Instruments</t>
  </si>
  <si>
    <t>2.</t>
  </si>
  <si>
    <t>Loans to RBU by FCDU/EFCDU outstanding for more than one year</t>
  </si>
  <si>
    <t>Disclosure of Inter-Office Float Items</t>
  </si>
  <si>
    <t>Due from Head Office/Branches/Agencies (Abroad)</t>
  </si>
  <si>
    <t>155100001505600000</t>
  </si>
  <si>
    <t>155100001510600000</t>
  </si>
  <si>
    <t>155100001515600000</t>
  </si>
  <si>
    <t>155100002505600000</t>
  </si>
  <si>
    <t>155100006005600000</t>
  </si>
  <si>
    <t>Disclosure of Due from FCDU/RBU and Due to FCDU/RBU</t>
  </si>
  <si>
    <t xml:space="preserve">Disclosure of Due from FCDU/RBU </t>
  </si>
  <si>
    <t>155300500000000000</t>
  </si>
  <si>
    <t>155300000000000000</t>
  </si>
  <si>
    <t xml:space="preserve">Disclosure of Due to FCDU/RBU </t>
  </si>
  <si>
    <t>230900500000000000</t>
  </si>
  <si>
    <t>230900000000000000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</si>
  <si>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</si>
  <si>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</si>
  <si>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</si>
  <si>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</si>
  <si>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</si>
  <si>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</si>
  <si>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</si>
  <si>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</si>
  <si>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</si>
  <si>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</si>
  <si>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</si>
  <si>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</si>
  <si>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</si>
  <si>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</si>
  <si>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</si>
  <si>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</si>
  <si>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</si>
  <si>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</si>
  <si>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</si>
  <si>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</si>
  <si>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</si>
  <si>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</si>
  <si>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</si>
  <si>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</si>
  <si>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</si>
  <si>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</si>
  <si>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</si>
  <si>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</si>
  <si>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</si>
  <si>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</si>
  <si>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</si>
  <si>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</si>
  <si>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</si>
  <si>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</si>
  <si>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</si>
  <si>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</si>
  <si>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</si>
  <si>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</si>
  <si>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</si>
  <si>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</si>
  <si>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</si>
  <si>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</si>
  <si>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</si>
  <si>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</si>
  <si>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</si>
  <si>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</si>
  <si>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</si>
  <si>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</si>
  <si>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</si>
  <si>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</si>
  <si>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</si>
  <si>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</si>
  <si>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</si>
  <si>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</si>
  <si>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</si>
  <si>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</si>
  <si>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</si>
  <si>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</si>
  <si>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</si>
  <si>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</si>
  <si>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</si>
  <si>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</si>
  <si>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</si>
  <si>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</si>
  <si>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</si>
  <si>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</si>
  <si>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</si>
  <si>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</si>
  <si>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</si>
  <si>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</si>
  <si>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</si>
  <si>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</si>
  <si>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</si>
  <si>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</si>
  <si>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</si>
  <si>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</si>
  <si>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</si>
  <si>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</si>
  <si>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</si>
  <si>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</si>
  <si>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</si>
  <si>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</si>
  <si>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</si>
  <si>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</si>
  <si>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</si>
  <si>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</si>
  <si>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</si>
  <si>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</si>
  <si>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</si>
  <si>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</si>
  <si>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</si>
  <si>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</si>
  <si>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</si>
  <si>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</si>
  <si>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</si>
  <si>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</si>
  <si>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</si>
  <si>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</si>
  <si>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</si>
  <si>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</si>
  <si>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</si>
  <si>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</si>
  <si>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</si>
  <si>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</si>
  <si>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</si>
  <si>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</si>
  <si>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</si>
  <si>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</si>
  <si>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</si>
  <si>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</si>
  <si>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</si>
  <si>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</si>
  <si>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</si>
  <si>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</si>
  <si>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</si>
  <si>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</si>
  <si>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</si>
  <si>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</si>
  <si>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</si>
  <si>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</si>
  <si>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</si>
  <si>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</si>
  <si>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</si>
  <si>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</si>
  <si>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</si>
  <si>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</si>
  <si>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</si>
  <si>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</si>
  <si>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</si>
  <si>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</si>
  <si>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</si>
  <si>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</si>
  <si>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</si>
  <si>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</si>
  <si>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</si>
  <si>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</si>
  <si>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</si>
  <si>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</si>
  <si>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</si>
  <si>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</si>
  <si>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</si>
  <si>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</si>
  <si>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</si>
  <si>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</si>
  <si>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</si>
  <si>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</si>
  <si>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</si>
  <si>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</si>
  <si>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</si>
  <si>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</si>
  <si>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</si>
  <si>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</si>
  <si>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</si>
  <si>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</si>
  <si>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</si>
  <si>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</si>
  <si>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</si>
  <si>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</si>
  <si>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</si>
  <si>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</si>
  <si>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</si>
  <si>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</si>
  <si>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</si>
  <si>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</si>
  <si>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</si>
  <si>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</si>
  <si>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</si>
  <si>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</si>
  <si>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</si>
  <si>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</si>
  <si>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</si>
  <si>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</si>
  <si>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</si>
  <si>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</si>
  <si>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</si>
  <si>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</si>
  <si>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</si>
  <si>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</si>
  <si>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</si>
  <si>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</si>
  <si>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</si>
  <si>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</si>
  <si>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</si>
  <si>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</si>
  <si>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</si>
  <si>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</si>
  <si>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</si>
  <si>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</si>
  <si>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</si>
  <si>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</si>
  <si>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</si>
  <si>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</si>
  <si>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</si>
  <si>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</si>
  <si>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</si>
  <si>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</si>
  <si>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</si>
  <si>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</si>
  <si>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</si>
  <si>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</si>
  <si>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</si>
  <si>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</si>
  <si>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</si>
  <si>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</si>
  <si>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</si>
  <si>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</si>
  <si>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</si>
  <si>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</si>
  <si>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</si>
  <si>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</si>
  <si>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</si>
  <si>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</si>
  <si>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</si>
  <si>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</si>
  <si>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</si>
  <si>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</si>
  <si>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</si>
  <si>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</si>
  <si>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</si>
  <si>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</si>
  <si>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</si>
  <si>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</si>
  <si>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</si>
  <si>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</si>
  <si>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</si>
  <si>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</si>
  <si>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</si>
  <si>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</si>
  <si>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</si>
  <si>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</si>
  <si>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</si>
  <si>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</si>
  <si>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</si>
  <si>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</si>
  <si>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</si>
  <si>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</si>
  <si>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</si>
  <si>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</si>
  <si>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</si>
  <si>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</si>
  <si>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</si>
  <si>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</si>
  <si>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</si>
  <si>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</si>
  <si>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</si>
  <si>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</si>
  <si>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</si>
  <si>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</si>
  <si>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</si>
  <si>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</si>
  <si>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</si>
  <si>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</si>
  <si>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</si>
  <si>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</si>
  <si>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</si>
  <si>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</si>
  <si>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</si>
  <si>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</si>
  <si>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FIRST TAGUM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</si>
  <si>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</si>
  <si>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</si>
  <si>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</si>
  <si>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</si>
  <si>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</si>
  <si>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</si>
  <si>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</si>
  <si>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</si>
  <si>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</si>
  <si>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</si>
  <si>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</si>
  <si>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</si>
  <si>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</si>
  <si>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</si>
  <si>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</si>
  <si>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</si>
  <si>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</si>
  <si>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</si>
  <si>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</si>
  <si>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</si>
  <si>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</si>
  <si>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</si>
  <si>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</si>
  <si>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</si>
  <si>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</si>
  <si>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</si>
  <si>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</si>
  <si>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</si>
  <si>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</si>
  <si>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</si>
  <si>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</si>
  <si>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r>
      <t xml:space="preserve">Due from FCDU/EFCDU - FCDU/EFCDU Net Realized/Unrealized Losses Recognized in Profit or Loss and in Equity </t>
    </r>
    <r>
      <rPr>
        <u/>
        <vertAlign val="superscript"/>
        <sz val="8"/>
        <rFont val="Arial"/>
        <family val="2"/>
      </rPr>
      <t>1</t>
    </r>
    <r>
      <rPr>
        <sz val="8"/>
        <rFont val="Arial"/>
        <family val="2"/>
      </rPr>
      <t>/</t>
    </r>
  </si>
  <si>
    <t>155301200000000000</t>
  </si>
  <si>
    <t>230901200000000000</t>
  </si>
  <si>
    <t>1/ This account shall only apply to the RBU book</t>
  </si>
  <si>
    <t>2/ This account shall only apply to the FCDU/EFCDU book</t>
  </si>
  <si>
    <t>AURORABANK (A MF-ORIENTED RB) INC</t>
  </si>
  <si>
    <t>Due from FCDU/RBU - Clearing Account other than those disclosed in item 2.</t>
  </si>
  <si>
    <t>Due to FCDU/RBU - Clearing Account other than those disclosed in item 2.</t>
  </si>
  <si>
    <r>
      <t xml:space="preserve">Due to RBU - FCDU/EFCDU Net Realized/Unrealized Losses Recognized in Profit or Loss and in Equity </t>
    </r>
    <r>
      <rPr>
        <u/>
        <vertAlign val="superscript"/>
        <sz val="8"/>
        <rFont val="Arial"/>
        <family val="2"/>
      </rPr>
      <t>2</t>
    </r>
    <r>
      <rPr>
        <sz val="8"/>
        <rFont val="Arial"/>
        <family val="2"/>
      </rPr>
      <t>/</t>
    </r>
  </si>
  <si>
    <t>Fair Value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</si>
  <si>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</si>
  <si>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</si>
  <si>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</si>
  <si>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</si>
  <si>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</si>
  <si>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</si>
  <si>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</si>
  <si>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</si>
  <si>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</si>
  <si>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</si>
  <si>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</si>
  <si>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</si>
  <si>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</si>
  <si>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</si>
  <si>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</si>
  <si>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</si>
  <si>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</si>
  <si>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</si>
  <si>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</si>
  <si>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</si>
  <si>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</si>
  <si>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</si>
  <si>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</si>
  <si>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</si>
  <si>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</si>
  <si>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</si>
  <si>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</si>
  <si>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</si>
  <si>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</si>
  <si>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</si>
  <si>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</si>
  <si>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</si>
  <si>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</si>
  <si>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</si>
  <si>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</si>
  <si>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</si>
  <si>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</si>
  <si>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</si>
  <si>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</si>
  <si>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</si>
  <si>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</si>
  <si>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</si>
  <si>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</si>
  <si>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</si>
  <si>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</si>
  <si>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</si>
  <si>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</si>
  <si>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</si>
  <si>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</si>
  <si>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</si>
  <si>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</si>
  <si>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</si>
  <si>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</si>
  <si>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</si>
  <si>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</si>
  <si>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</si>
  <si>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</si>
  <si>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</si>
  <si>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</si>
  <si>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</si>
  <si>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</si>
  <si>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</si>
  <si>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</si>
  <si>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</si>
  <si>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</si>
  <si>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</si>
  <si>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</si>
  <si>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</si>
  <si>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</si>
  <si>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</si>
  <si>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</si>
  <si>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</si>
  <si>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</si>
  <si>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</si>
  <si>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</si>
  <si>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</si>
  <si>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</si>
  <si>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</si>
  <si>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</si>
  <si>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</si>
  <si>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</si>
  <si>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</si>
  <si>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</si>
  <si>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</si>
  <si>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</si>
  <si>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</si>
  <si>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</si>
  <si>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</si>
  <si>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</si>
  <si>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</si>
  <si>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</si>
  <si>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</si>
  <si>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</si>
  <si>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</si>
  <si>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</si>
  <si>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</si>
  <si>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</si>
  <si>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</si>
  <si>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</si>
  <si>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</si>
  <si>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</si>
  <si>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</si>
  <si>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</si>
  <si>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</si>
  <si>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</si>
  <si>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</si>
  <si>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</si>
  <si>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</si>
  <si>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</si>
  <si>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</si>
  <si>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</si>
  <si>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</si>
  <si>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</si>
  <si>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</si>
  <si>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</si>
  <si>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</si>
  <si>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</si>
  <si>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</si>
  <si>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</si>
  <si>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</si>
  <si>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</si>
  <si>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</si>
  <si>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</si>
  <si>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</si>
  <si>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</si>
  <si>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</si>
  <si>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</si>
  <si>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</si>
  <si>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</si>
  <si>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</si>
  <si>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</si>
  <si>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</si>
  <si>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</si>
  <si>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</si>
  <si>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</si>
  <si>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</si>
  <si>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</si>
  <si>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</si>
  <si>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</si>
  <si>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</si>
  <si>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</si>
  <si>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</si>
  <si>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</si>
  <si>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</si>
  <si>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</si>
  <si>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</si>
  <si>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</si>
  <si>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</si>
  <si>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</si>
  <si>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</si>
  <si>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</si>
  <si>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</si>
  <si>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</si>
  <si>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</si>
  <si>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</si>
  <si>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</si>
  <si>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</si>
  <si>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</si>
  <si>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</si>
  <si>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</si>
  <si>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</si>
  <si>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</si>
  <si>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</si>
  <si>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</si>
  <si>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</si>
  <si>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</si>
  <si>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</si>
  <si>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</si>
  <si>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</si>
  <si>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</si>
  <si>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</si>
  <si>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</si>
  <si>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</si>
  <si>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</si>
  <si>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</si>
  <si>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</si>
  <si>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</si>
  <si>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</si>
  <si>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</si>
  <si>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</si>
  <si>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</si>
  <si>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</si>
  <si>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</si>
  <si>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</si>
  <si>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</si>
  <si>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</si>
  <si>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</si>
  <si>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</si>
  <si>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</si>
  <si>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</si>
  <si>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</si>
  <si>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</si>
  <si>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</si>
  <si>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</si>
  <si>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</si>
  <si>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</si>
  <si>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</si>
  <si>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</si>
  <si>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</si>
  <si>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</si>
  <si>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</si>
  <si>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</si>
  <si>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</si>
  <si>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</si>
  <si>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</si>
  <si>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</si>
  <si>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</si>
  <si>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</si>
  <si>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</si>
  <si>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</si>
  <si>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</si>
  <si>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</si>
  <si>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</si>
  <si>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</si>
  <si>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</si>
  <si>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</si>
  <si>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</si>
  <si>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</si>
  <si>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</si>
  <si>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</si>
  <si>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</si>
  <si>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</si>
  <si>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</si>
  <si>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</si>
  <si>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</si>
  <si>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</si>
  <si>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</si>
  <si>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</si>
  <si>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</si>
  <si>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</si>
  <si>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</si>
  <si>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</si>
  <si>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</si>
  <si>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</si>
  <si>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</si>
  <si>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</si>
  <si>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</si>
  <si>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</si>
  <si>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</si>
  <si>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</si>
  <si>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</si>
  <si>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</si>
  <si>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</si>
  <si>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</si>
  <si>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</si>
  <si>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</si>
  <si>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</si>
  <si>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</si>
  <si>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</si>
  <si>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</si>
  <si>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</si>
  <si>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</si>
  <si>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</si>
  <si>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</si>
  <si>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</si>
  <si>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</si>
  <si>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</si>
  <si>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</si>
  <si>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</si>
  <si>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</si>
  <si>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</si>
  <si>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</si>
  <si>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</si>
  <si>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</si>
  <si>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</si>
  <si>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</si>
  <si>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</si>
  <si>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</si>
  <si>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</si>
  <si>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</si>
  <si>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</si>
  <si>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</si>
  <si>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</si>
  <si>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</si>
  <si>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</si>
  <si>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</si>
  <si>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</si>
  <si>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</si>
  <si>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</si>
  <si>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</si>
  <si>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</si>
  <si>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</si>
  <si>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</si>
  <si>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</si>
  <si>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</si>
  <si>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</si>
  <si>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</si>
  <si>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</si>
  <si>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</si>
  <si>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</si>
  <si>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</si>
  <si>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</si>
  <si>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</si>
  <si>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</si>
  <si>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</si>
  <si>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</si>
  <si>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</si>
  <si>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</si>
  <si>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</si>
  <si>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</si>
  <si>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</si>
  <si>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</si>
  <si>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</si>
  <si>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</si>
  <si>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</si>
  <si>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</si>
  <si>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</si>
  <si>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</si>
  <si>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</si>
  <si>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</si>
  <si>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</si>
  <si>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</si>
  <si>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</si>
  <si>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</si>
  <si>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</si>
  <si>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</si>
  <si>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</si>
  <si>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</si>
  <si>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NONFIN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</si>
  <si>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</si>
  <si>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</si>
  <si>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</si>
  <si>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</si>
  <si>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</si>
  <si>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</si>
  <si>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</si>
  <si>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</si>
  <si>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</si>
  <si>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</si>
  <si>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</si>
  <si>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</si>
  <si>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</si>
  <si>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v13.0</t>
  </si>
  <si>
    <t>NEW RURAL BANK OF SAN LEONARDO,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</si>
</sst>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0000#"/>
    <numFmt numFmtId="169" formatCode="00000000000#"/>
  </numFmts>
  <fonts count="15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sz val="8"/>
      <color indexed="9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sz val="10"/>
      <color indexed="48"/>
      <name val="Arial"/>
      <family val="2"/>
    </font>
    <font>
      <sz val="8"/>
      <color indexed="9"/>
      <name val="Wingdings 3"/>
      <family val="1"/>
      <charset val="2"/>
    </font>
    <font>
      <sz val="8"/>
      <color indexed="9"/>
      <name val="Arial"/>
      <family val="2"/>
    </font>
    <font>
      <sz val="10"/>
      <color indexed="13"/>
      <name val="Arial"/>
      <family val="2"/>
    </font>
    <font>
      <u/>
      <vertAlign val="superscript"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97">
    <xf numFmtId="0" fontId="0" fillId="0" borderId="0" xfId="0"/>
    <xf numFmtId="0" fontId="2" fillId="0" borderId="0" xfId="0" applyFont="1" applyFill="1" applyAlignment="1">
      <alignment horizontal="center" wrapText="1"/>
    </xf>
    <xf numFmtId="0" fontId="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165" fontId="1" fillId="0" borderId="1" xfId="0" applyNumberFormat="1" applyFont="1" applyFill="1" applyBorder="1" applyAlignment="1">
      <alignment horizontal="center"/>
    </xf>
    <xf numFmtId="165" fontId="1" fillId="0" borderId="1" xfId="0" applyNumberFormat="1" applyFont="1" applyFill="1" applyBorder="1" applyAlignment="1">
      <alignment horizontal="center" wrapText="1"/>
    </xf>
    <xf numFmtId="0" fontId="5" fillId="0" borderId="0" xfId="0" applyFont="1" applyFill="1"/>
    <xf numFmtId="0" fontId="3" fillId="0" borderId="0" xfId="0" applyFont="1" applyFill="1" applyAlignment="1">
      <alignment wrapText="1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0" xfId="0" applyFont="1" applyFill="1" applyBorder="1"/>
    <xf numFmtId="49" fontId="3" fillId="0" borderId="0" xfId="0" applyNumberFormat="1" applyFont="1" applyFill="1" applyBorder="1"/>
    <xf numFmtId="0" fontId="2" fillId="0" borderId="0" xfId="0" applyFont="1" applyFill="1"/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7" fillId="0" borderId="0" xfId="0" applyFont="1"/>
    <xf numFmtId="0" fontId="0" fillId="2" borderId="0" xfId="0" applyFill="1"/>
    <xf numFmtId="4" fontId="9" fillId="0" borderId="1" xfId="0" applyNumberFormat="1" applyFont="1" applyFill="1" applyBorder="1" applyProtection="1">
      <protection hidden="1"/>
    </xf>
    <xf numFmtId="0" fontId="2" fillId="0" borderId="0" xfId="0" applyFont="1" applyFill="1" applyBorder="1"/>
    <xf numFmtId="4" fontId="9" fillId="0" borderId="0" xfId="0" applyNumberFormat="1" applyFont="1" applyFill="1" applyBorder="1" applyProtection="1">
      <protection hidden="1"/>
    </xf>
    <xf numFmtId="0" fontId="2" fillId="0" borderId="0" xfId="0" applyFont="1" applyFill="1" applyBorder="1" applyAlignment="1">
      <alignment horizontal="right"/>
    </xf>
    <xf numFmtId="0" fontId="3" fillId="0" borderId="0" xfId="0" applyFont="1" applyFill="1" applyAlignment="1">
      <alignment horizontal="right" wrapText="1"/>
    </xf>
    <xf numFmtId="0" fontId="0" fillId="0" borderId="0" xfId="0" applyAlignment="1">
      <alignment horizontal="right"/>
    </xf>
    <xf numFmtId="0" fontId="0" fillId="0" borderId="0" xfId="0" applyBorder="1"/>
    <xf numFmtId="0" fontId="10" fillId="2" borderId="0" xfId="0" applyFont="1" applyFill="1"/>
    <xf numFmtId="0" fontId="1" fillId="0" borderId="1" xfId="0" quotePrefix="1" applyFont="1" applyFill="1" applyBorder="1"/>
    <xf numFmtId="0" fontId="1" fillId="0" borderId="1" xfId="0" applyFont="1" applyFill="1" applyBorder="1"/>
    <xf numFmtId="4" fontId="8" fillId="0" borderId="1" xfId="0" applyNumberFormat="1" applyFont="1" applyFill="1" applyBorder="1" applyProtection="1">
      <protection hidden="1"/>
    </xf>
    <xf numFmtId="0" fontId="1" fillId="0" borderId="1" xfId="0" quotePrefix="1" applyFont="1" applyFill="1" applyBorder="1" applyAlignment="1">
      <alignment horizontal="left" wrapText="1"/>
    </xf>
    <xf numFmtId="0" fontId="2" fillId="0" borderId="1" xfId="0" applyFont="1" applyFill="1" applyBorder="1"/>
    <xf numFmtId="0" fontId="3" fillId="0" borderId="5" xfId="0" applyFont="1" applyFill="1" applyBorder="1" applyAlignment="1">
      <alignment horizontal="center" vertical="center"/>
    </xf>
    <xf numFmtId="4" fontId="1" fillId="0" borderId="1" xfId="0" applyNumberFormat="1" applyFont="1" applyFill="1" applyBorder="1" applyProtection="1">
      <protection locked="0"/>
    </xf>
    <xf numFmtId="4" fontId="3" fillId="3" borderId="1" xfId="0" applyNumberFormat="1" applyFont="1" applyFill="1" applyBorder="1" applyProtection="1"/>
    <xf numFmtId="4" fontId="3" fillId="0" borderId="1" xfId="0" applyNumberFormat="1" applyFont="1" applyFill="1" applyBorder="1" applyProtection="1">
      <protection locked="0"/>
    </xf>
    <xf numFmtId="4" fontId="9" fillId="0" borderId="1" xfId="0" applyNumberFormat="1" applyFont="1" applyFill="1" applyBorder="1" applyProtection="1"/>
    <xf numFmtId="4" fontId="1" fillId="3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" fontId="8" fillId="3" borderId="1" xfId="0" applyNumberFormat="1" applyFont="1" applyFill="1" applyBorder="1" applyProtection="1"/>
    <xf numFmtId="49" fontId="3" fillId="0" borderId="1" xfId="0" quotePrefix="1" applyNumberFormat="1" applyFont="1" applyFill="1" applyBorder="1"/>
    <xf numFmtId="0" fontId="3" fillId="0" borderId="1" xfId="0" applyFont="1" applyFill="1" applyBorder="1" applyAlignment="1">
      <alignment horizontal="right"/>
    </xf>
    <xf numFmtId="0" fontId="3" fillId="0" borderId="1" xfId="0" applyFont="1" applyFill="1" applyBorder="1" applyAlignment="1">
      <alignment horizontal="right" vertical="top"/>
    </xf>
    <xf numFmtId="0" fontId="3" fillId="0" borderId="1" xfId="0" applyFont="1" applyFill="1" applyBorder="1" applyAlignment="1">
      <alignment horizontal="right" wrapText="1"/>
    </xf>
    <xf numFmtId="0" fontId="5" fillId="0" borderId="1" xfId="0" applyFont="1" applyFill="1" applyBorder="1" applyAlignment="1">
      <alignment horizontal="right"/>
    </xf>
    <xf numFmtId="49" fontId="3" fillId="0" borderId="1" xfId="0" applyNumberFormat="1" applyFont="1" applyFill="1" applyBorder="1"/>
    <xf numFmtId="0" fontId="2" fillId="0" borderId="1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1" xfId="0" quotePrefix="1" applyFont="1" applyFill="1" applyBorder="1" applyAlignment="1">
      <alignment vertical="top" wrapText="1"/>
    </xf>
    <xf numFmtId="0" fontId="5" fillId="0" borderId="1" xfId="0" applyFont="1" applyFill="1" applyBorder="1" applyAlignment="1">
      <alignment horizontal="right" wrapText="1"/>
    </xf>
    <xf numFmtId="0" fontId="3" fillId="0" borderId="5" xfId="0" applyFont="1" applyFill="1" applyBorder="1" applyAlignment="1">
      <alignment horizontal="center"/>
    </xf>
    <xf numFmtId="4" fontId="3" fillId="0" borderId="1" xfId="0" applyNumberFormat="1" applyFont="1" applyFill="1" applyBorder="1" applyAlignment="1" applyProtection="1">
      <alignment horizontal="right"/>
      <protection locked="0"/>
    </xf>
    <xf numFmtId="0" fontId="3" fillId="0" borderId="1" xfId="0" quotePrefix="1" applyFont="1" applyFill="1" applyBorder="1" applyAlignment="1" applyProtection="1">
      <alignment vertical="top" wrapText="1"/>
    </xf>
    <xf numFmtId="0" fontId="3" fillId="0" borderId="1" xfId="0" quotePrefix="1" applyFont="1" applyFill="1" applyBorder="1" applyAlignment="1" applyProtection="1">
      <alignment wrapText="1"/>
    </xf>
    <xf numFmtId="0" fontId="11" fillId="0" borderId="1" xfId="0" applyFont="1" applyFill="1" applyBorder="1" applyAlignment="1">
      <alignment horizontal="right"/>
    </xf>
    <xf numFmtId="0" fontId="11" fillId="0" borderId="1" xfId="0" applyFont="1" applyFill="1" applyBorder="1" applyAlignment="1">
      <alignment horizontal="right" wrapText="1"/>
    </xf>
    <xf numFmtId="0" fontId="1" fillId="0" borderId="6" xfId="0" applyFont="1" applyBorder="1" applyAlignment="1" applyProtection="1">
      <alignment horizontal="left" vertical="top" wrapText="1"/>
      <protection locked="0"/>
    </xf>
    <xf numFmtId="0" fontId="1" fillId="0" borderId="7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3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4" fontId="3" fillId="0" borderId="1" xfId="0" applyNumberFormat="1" applyFont="1" applyFill="1" applyBorder="1" applyProtection="1"/>
    <xf numFmtId="4" fontId="9" fillId="3" borderId="1" xfId="0" applyNumberFormat="1" applyFont="1" applyFill="1" applyBorder="1" applyProtection="1"/>
    <xf numFmtId="4" fontId="4" fillId="3" borderId="1" xfId="0" applyNumberFormat="1" applyFont="1" applyFill="1" applyBorder="1" applyProtection="1"/>
    <xf numFmtId="4" fontId="8" fillId="0" borderId="1" xfId="0" applyNumberFormat="1" applyFont="1" applyFill="1" applyBorder="1" applyAlignment="1" applyProtection="1">
      <alignment wrapText="1"/>
    </xf>
    <xf numFmtId="4" fontId="8" fillId="3" borderId="1" xfId="0" applyNumberFormat="1" applyFont="1" applyFill="1" applyBorder="1" applyAlignment="1" applyProtection="1">
      <alignment wrapText="1"/>
    </xf>
    <xf numFmtId="4" fontId="1" fillId="0" borderId="1" xfId="0" applyNumberFormat="1" applyFont="1" applyFill="1" applyBorder="1" applyAlignment="1" applyProtection="1">
      <alignment wrapText="1"/>
      <protection locked="0"/>
    </xf>
    <xf numFmtId="4" fontId="8" fillId="0" borderId="1" xfId="0" applyNumberFormat="1" applyFont="1" applyFill="1" applyBorder="1" applyAlignment="1" applyProtection="1">
      <alignment vertical="center"/>
    </xf>
    <xf numFmtId="4" fontId="8" fillId="3" borderId="1" xfId="0" applyNumberFormat="1" applyFont="1" applyFill="1" applyBorder="1" applyAlignment="1" applyProtection="1">
      <alignment vertical="center"/>
    </xf>
    <xf numFmtId="4" fontId="9" fillId="0" borderId="1" xfId="0" applyNumberFormat="1" applyFont="1" applyFill="1" applyBorder="1" applyAlignment="1" applyProtection="1">
      <alignment vertical="center"/>
    </xf>
    <xf numFmtId="4" fontId="9" fillId="3" borderId="1" xfId="0" applyNumberFormat="1" applyFont="1" applyFill="1" applyBorder="1" applyAlignment="1" applyProtection="1">
      <alignment vertical="center"/>
    </xf>
    <xf numFmtId="49" fontId="1" fillId="0" borderId="1" xfId="0" quotePrefix="1" applyNumberFormat="1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165" fontId="12" fillId="0" borderId="1" xfId="0" applyNumberFormat="1" applyFont="1" applyFill="1" applyBorder="1" applyAlignment="1" applyProtection="1">
      <alignment horizontal="center"/>
    </xf>
    <xf numFmtId="0" fontId="1" fillId="0" borderId="1" xfId="0" applyFont="1" applyFill="1" applyBorder="1" applyProtection="1">
      <protection locked="0"/>
    </xf>
    <xf numFmtId="1" fontId="1" fillId="0" borderId="1" xfId="0" quotePrefix="1" applyNumberFormat="1" applyFont="1" applyFill="1" applyBorder="1" applyAlignment="1" applyProtection="1">
      <alignment horizontal="right"/>
    </xf>
    <xf numFmtId="165" fontId="1" fillId="0" borderId="1" xfId="0" applyNumberFormat="1" applyFont="1" applyFill="1" applyBorder="1" applyAlignment="1" applyProtection="1">
      <alignment horizontal="center"/>
    </xf>
    <xf numFmtId="4" fontId="9" fillId="3" borderId="1" xfId="0" applyNumberFormat="1" applyFont="1" applyFill="1" applyBorder="1" applyProtection="1">
      <protection hidden="1"/>
    </xf>
    <xf numFmtId="4" fontId="8" fillId="4" borderId="1" xfId="0" applyNumberFormat="1" applyFont="1" applyFill="1" applyBorder="1" applyProtection="1"/>
    <xf numFmtId="4" fontId="9" fillId="4" borderId="1" xfId="0" applyNumberFormat="1" applyFont="1" applyFill="1" applyBorder="1" applyProtection="1"/>
    <xf numFmtId="4" fontId="1" fillId="4" borderId="1" xfId="0" applyNumberFormat="1" applyFont="1" applyFill="1" applyBorder="1" applyProtection="1"/>
    <xf numFmtId="4" fontId="8" fillId="4" borderId="1" xfId="0" applyNumberFormat="1" applyFont="1" applyFill="1" applyBorder="1" applyProtection="1">
      <protection hidden="1"/>
    </xf>
    <xf numFmtId="0" fontId="13" fillId="2" borderId="0" xfId="0" applyFont="1" applyFill="1" applyProtection="1">
      <protection locked="0"/>
    </xf>
    <xf numFmtId="0" fontId="13" fillId="2" borderId="0" xfId="0" applyFont="1" applyFill="1"/>
    <xf numFmtId="1" fontId="13" fillId="2" borderId="0" xfId="0" applyNumberFormat="1" applyFont="1" applyFill="1"/>
    <xf numFmtId="4" fontId="3" fillId="3" borderId="1" xfId="0" applyNumberFormat="1" applyFont="1" applyFill="1" applyBorder="1" applyProtection="1">
      <protection hidden="1"/>
    </xf>
    <xf numFmtId="4" fontId="3" fillId="4" borderId="1" xfId="0" applyNumberFormat="1" applyFont="1" applyFill="1" applyBorder="1" applyProtection="1"/>
    <xf numFmtId="4" fontId="1" fillId="0" borderId="1" xfId="0" applyNumberFormat="1" applyFont="1" applyFill="1" applyBorder="1" applyProtection="1">
      <protection locked="0" hidden="1"/>
    </xf>
    <xf numFmtId="0" fontId="2" fillId="4" borderId="5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 applyProtection="1">
      <alignment horizontal="center" vertical="center"/>
    </xf>
    <xf numFmtId="0" fontId="3" fillId="4" borderId="2" xfId="0" applyFont="1" applyFill="1" applyBorder="1" applyAlignment="1" applyProtection="1">
      <alignment horizontal="center" vertical="center" wrapText="1"/>
    </xf>
    <xf numFmtId="0" fontId="2" fillId="4" borderId="5" xfId="0" applyFont="1" applyFill="1" applyBorder="1" applyAlignment="1" applyProtection="1">
      <alignment horizontal="center" vertical="center" wrapText="1"/>
    </xf>
    <xf numFmtId="4" fontId="3" fillId="4" borderId="1" xfId="0" applyNumberFormat="1" applyFont="1" applyFill="1" applyBorder="1" applyAlignment="1" applyProtection="1">
      <alignment horizontal="right"/>
    </xf>
    <xf numFmtId="4" fontId="9" fillId="4" borderId="1" xfId="0" applyNumberFormat="1" applyFont="1" applyFill="1" applyBorder="1" applyProtection="1">
      <protection hidden="1"/>
    </xf>
    <xf numFmtId="4" fontId="1" fillId="0" borderId="1" xfId="0" applyNumberFormat="1" applyFont="1" applyFill="1" applyBorder="1" applyProtection="1"/>
    <xf numFmtId="4" fontId="1" fillId="4" borderId="1" xfId="0" applyNumberFormat="1" applyFont="1" applyFill="1" applyBorder="1" applyProtection="1"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49" fontId="3" fillId="0" borderId="1" xfId="0" quotePrefix="1" applyNumberFormat="1" applyFont="1" applyFill="1" applyBorder="1" applyProtection="1">
      <protection hidden="1"/>
    </xf>
    <xf numFmtId="0" fontId="3" fillId="0" borderId="1" xfId="0" applyFont="1" applyFill="1" applyBorder="1" applyAlignment="1" applyProtection="1">
      <alignment horizontal="left"/>
      <protection hidden="1"/>
    </xf>
    <xf numFmtId="49" fontId="3" fillId="0" borderId="1" xfId="0" quotePrefix="1" applyNumberFormat="1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Protection="1">
      <protection hidden="1"/>
    </xf>
    <xf numFmtId="49" fontId="3" fillId="0" borderId="1" xfId="0" quotePrefix="1" applyNumberFormat="1" applyFont="1" applyFill="1" applyBorder="1" applyAlignment="1" applyProtection="1">
      <alignment vertical="top" wrapText="1"/>
      <protection hidden="1"/>
    </xf>
    <xf numFmtId="49" fontId="3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3" fillId="0" borderId="1" xfId="0" applyNumberFormat="1" applyFont="1" applyFill="1" applyBorder="1" applyProtection="1">
      <protection hidden="1"/>
    </xf>
    <xf numFmtId="0" fontId="3" fillId="0" borderId="1" xfId="0" quotePrefix="1" applyFont="1" applyFill="1" applyBorder="1" applyProtection="1">
      <protection hidden="1"/>
    </xf>
    <xf numFmtId="49" fontId="3" fillId="0" borderId="1" xfId="0" applyNumberFormat="1" applyFont="1" applyFill="1" applyBorder="1" applyAlignment="1" applyProtection="1">
      <alignment horizontal="center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49" fontId="2" fillId="0" borderId="1" xfId="0" applyNumberFormat="1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1" fillId="0" borderId="1" xfId="0" quotePrefix="1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0" fontId="1" fillId="0" borderId="1" xfId="0" quotePrefix="1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horizontal="left" wrapText="1"/>
      <protection hidden="1"/>
    </xf>
    <xf numFmtId="49" fontId="1" fillId="0" borderId="1" xfId="0" quotePrefix="1" applyNumberFormat="1" applyFont="1" applyFill="1" applyBorder="1" applyAlignment="1" applyProtection="1">
      <alignment horizontal="center" wrapText="1"/>
      <protection hidden="1"/>
    </xf>
    <xf numFmtId="0" fontId="1" fillId="0" borderId="1" xfId="0" applyFont="1" applyFill="1" applyBorder="1" applyAlignment="1" applyProtection="1">
      <alignment horizontal="left"/>
      <protection hidden="1"/>
    </xf>
    <xf numFmtId="0" fontId="1" fillId="0" borderId="1" xfId="0" quotePrefix="1" applyFont="1" applyFill="1" applyBorder="1" applyAlignment="1" applyProtection="1">
      <alignment horizontal="left" wrapText="1"/>
      <protection hidden="1"/>
    </xf>
    <xf numFmtId="0" fontId="1" fillId="0" borderId="1" xfId="0" quotePrefix="1" applyFont="1" applyFill="1" applyBorder="1" applyAlignment="1" applyProtection="1">
      <alignment horizontal="left"/>
      <protection hidden="1"/>
    </xf>
    <xf numFmtId="0" fontId="1" fillId="0" borderId="1" xfId="0" applyFont="1" applyFill="1" applyBorder="1" applyAlignment="1" applyProtection="1"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wrapText="1"/>
      <protection hidden="1"/>
    </xf>
    <xf numFmtId="0" fontId="2" fillId="0" borderId="1" xfId="0" applyFont="1" applyFill="1" applyBorder="1" applyProtection="1">
      <protection hidden="1"/>
    </xf>
    <xf numFmtId="0" fontId="2" fillId="0" borderId="1" xfId="0" applyFont="1" applyFill="1" applyBorder="1" applyAlignment="1" applyProtection="1">
      <protection hidden="1"/>
    </xf>
    <xf numFmtId="0" fontId="2" fillId="0" borderId="10" xfId="0" applyFont="1" applyFill="1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protection hidden="1"/>
    </xf>
    <xf numFmtId="49" fontId="3" fillId="0" borderId="1" xfId="0" applyNumberFormat="1" applyFont="1" applyFill="1" applyBorder="1" applyAlignment="1" applyProtection="1">
      <alignment vertical="top"/>
      <protection hidden="1"/>
    </xf>
    <xf numFmtId="49" fontId="3" fillId="0" borderId="1" xfId="0" quotePrefix="1" applyNumberFormat="1" applyFont="1" applyFill="1" applyBorder="1" applyAlignment="1" applyProtection="1">
      <alignment vertical="top"/>
      <protection hidden="1"/>
    </xf>
    <xf numFmtId="0" fontId="3" fillId="0" borderId="1" xfId="0" quotePrefix="1" applyFont="1" applyFill="1" applyBorder="1" applyAlignment="1" applyProtection="1">
      <alignment vertical="top" wrapText="1"/>
      <protection hidden="1"/>
    </xf>
    <xf numFmtId="49" fontId="3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1" xfId="0" applyNumberFormat="1" applyFont="1" applyFill="1" applyBorder="1" applyAlignment="1" applyProtection="1">
      <alignment horizontal="center" wrapText="1"/>
      <protection hidden="1"/>
    </xf>
    <xf numFmtId="0" fontId="3" fillId="0" borderId="1" xfId="0" quotePrefix="1" applyFont="1" applyFill="1" applyBorder="1" applyAlignment="1" applyProtection="1">
      <alignment wrapText="1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3" fillId="0" borderId="1" xfId="0" quotePrefix="1" applyFont="1" applyFill="1" applyBorder="1" applyAlignment="1" applyProtection="1">
      <alignment horizontal="center"/>
      <protection hidden="1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left" wrapText="1"/>
    </xf>
    <xf numFmtId="0" fontId="6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13" xfId="0" applyFont="1" applyFill="1" applyBorder="1" applyAlignment="1" applyProtection="1">
      <alignment horizontal="center" vertical="center"/>
      <protection hidden="1"/>
    </xf>
    <xf numFmtId="0" fontId="2" fillId="0" borderId="14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protection hidden="1"/>
    </xf>
    <xf numFmtId="0" fontId="0" fillId="0" borderId="5" xfId="0" applyBorder="1" applyAlignment="1" applyProtection="1">
      <protection hidden="1"/>
    </xf>
    <xf numFmtId="0" fontId="2" fillId="0" borderId="15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left" wrapText="1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2" fillId="0" borderId="15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3" fillId="0" borderId="6" xfId="0" applyFont="1" applyFill="1" applyBorder="1" applyAlignment="1" applyProtection="1">
      <alignment horizontal="left" wrapText="1"/>
      <protection hidden="1"/>
    </xf>
    <xf numFmtId="0" fontId="3" fillId="0" borderId="7" xfId="0" applyFont="1" applyFill="1" applyBorder="1" applyAlignment="1" applyProtection="1">
      <alignment horizontal="left" wrapText="1"/>
      <protection hidden="1"/>
    </xf>
    <xf numFmtId="0" fontId="3" fillId="0" borderId="8" xfId="0" applyFont="1" applyFill="1" applyBorder="1" applyAlignment="1" applyProtection="1">
      <alignment horizontal="left" wrapText="1"/>
      <protection hidden="1"/>
    </xf>
    <xf numFmtId="0" fontId="3" fillId="0" borderId="6" xfId="0" applyFont="1" applyFill="1" applyBorder="1" applyAlignment="1" applyProtection="1">
      <alignment horizontal="left"/>
      <protection hidden="1"/>
    </xf>
    <xf numFmtId="0" fontId="3" fillId="0" borderId="7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Alignment="1" applyProtection="1">
      <alignment horizontal="left"/>
      <protection hidden="1"/>
    </xf>
    <xf numFmtId="0" fontId="6" fillId="0" borderId="0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2" fillId="0" borderId="1" xfId="0" applyFont="1" applyFill="1" applyBorder="1" applyAlignment="1" applyProtection="1">
      <alignment horizontal="center" vertical="center"/>
      <protection hidden="1"/>
    </xf>
    <xf numFmtId="169" fontId="2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left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3" fillId="0" borderId="1" xfId="0" applyFont="1" applyFill="1" applyBorder="1" applyAlignment="1" applyProtection="1">
      <alignment horizontal="left"/>
      <protection locked="0"/>
    </xf>
    <xf numFmtId="169" fontId="2" fillId="0" borderId="3" xfId="0" applyNumberFormat="1" applyFont="1" applyFill="1" applyBorder="1" applyAlignment="1" applyProtection="1">
      <alignment horizontal="center" vertical="center"/>
      <protection hidden="1"/>
    </xf>
    <xf numFmtId="169" fontId="2" fillId="0" borderId="5" xfId="0" applyNumberFormat="1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3" fillId="0" borderId="6" xfId="0" applyFont="1" applyFill="1" applyBorder="1" applyAlignment="1" applyProtection="1">
      <alignment horizontal="center" wrapText="1"/>
      <protection hidden="1"/>
    </xf>
    <xf numFmtId="0" fontId="3" fillId="0" borderId="7" xfId="0" applyFont="1" applyFill="1" applyBorder="1" applyAlignment="1" applyProtection="1">
      <alignment horizontal="center" wrapText="1"/>
      <protection hidden="1"/>
    </xf>
    <xf numFmtId="0" fontId="3" fillId="0" borderId="8" xfId="0" applyFont="1" applyFill="1" applyBorder="1" applyAlignment="1" applyProtection="1">
      <alignment horizontal="center" wrapText="1"/>
      <protection hidden="1"/>
    </xf>
    <xf numFmtId="49" fontId="3" fillId="0" borderId="7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8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6" xfId="0" applyFont="1" applyFill="1" applyBorder="1" applyAlignment="1" applyProtection="1">
      <alignment horizontal="left" vertical="top" wrapText="1"/>
      <protection hidden="1"/>
    </xf>
    <xf numFmtId="0" fontId="3" fillId="0" borderId="7" xfId="0" applyFont="1" applyFill="1" applyBorder="1" applyAlignment="1" applyProtection="1">
      <alignment horizontal="left" vertical="top" wrapText="1"/>
      <protection hidden="1"/>
    </xf>
    <xf numFmtId="0" fontId="3" fillId="0" borderId="8" xfId="0" applyFont="1" applyFill="1" applyBorder="1" applyAlignment="1" applyProtection="1">
      <alignment horizontal="left" vertical="top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1009650</xdr:colOff>
          <xdr:row>25</xdr:row>
          <xdr:rowOff>19050</xdr:rowOff>
        </xdr:from>
        <xdr:to>
          <xdr:col>7</xdr:col>
          <xdr:colOff>333375</xdr:colOff>
          <xdr:row>26</xdr:row>
          <xdr:rowOff>0</xdr:rowOff>
        </xdr:to>
        <xdr:sp macro="" textlink="">
          <xdr:nvSpPr>
            <xdr:cNvPr id="3073" name="Label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30</xdr:row>
          <xdr:rowOff>9525</xdr:rowOff>
        </xdr:from>
        <xdr:to>
          <xdr:col>7</xdr:col>
          <xdr:colOff>381000</xdr:colOff>
          <xdr:row>30</xdr:row>
          <xdr:rowOff>133350</xdr:rowOff>
        </xdr:to>
        <xdr:sp macro="" textlink="">
          <xdr:nvSpPr>
            <xdr:cNvPr id="1027" name="Label_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15</xdr:row>
          <xdr:rowOff>19050</xdr:rowOff>
        </xdr:from>
        <xdr:to>
          <xdr:col>7</xdr:col>
          <xdr:colOff>438150</xdr:colOff>
          <xdr:row>16</xdr:row>
          <xdr:rowOff>9525</xdr:rowOff>
        </xdr:to>
        <xdr:sp macro="" textlink="">
          <xdr:nvSpPr>
            <xdr:cNvPr id="2050" name="Label_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22</xdr:row>
          <xdr:rowOff>19050</xdr:rowOff>
        </xdr:from>
        <xdr:to>
          <xdr:col>7</xdr:col>
          <xdr:colOff>438150</xdr:colOff>
          <xdr:row>23</xdr:row>
          <xdr:rowOff>19050</xdr:rowOff>
        </xdr:to>
        <xdr:sp macro="" textlink="">
          <xdr:nvSpPr>
            <xdr:cNvPr id="2051" name="Label_b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40"/>
  <sheetViews>
    <sheetView tabSelected="1"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x14ac:dyDescent="0.2"/>
  <cols>
    <col min="1" max="1" width="3.140625" style="2" customWidth="1"/>
    <col min="2" max="2" width="3.7109375" style="2" customWidth="1"/>
    <col min="3" max="3" width="3.5703125" style="2" customWidth="1"/>
    <col min="4" max="4" width="24.28515625" style="2" customWidth="1"/>
    <col min="5" max="5" width="0.140625" style="2" hidden="1" customWidth="1"/>
    <col min="6" max="6" width="20.7109375" style="2" hidden="1" customWidth="1"/>
    <col min="7" max="7" width="17.28515625" style="2" customWidth="1"/>
    <col min="8" max="8" width="20.7109375" style="8" hidden="1" customWidth="1"/>
    <col min="9" max="13" width="20.7109375" style="2" customWidth="1"/>
    <col min="14" max="15" width="20.7109375" style="2" hidden="1" customWidth="1"/>
    <col min="16" max="21" width="20.7109375" style="2" customWidth="1"/>
    <col min="22" max="23" width="20.7109375" style="2" hidden="1" customWidth="1"/>
    <col min="24" max="29" width="20.7109375" style="2" customWidth="1"/>
    <col min="30" max="31" width="20.7109375" style="2" hidden="1" customWidth="1"/>
    <col min="32" max="37" width="20.7109375" style="2" customWidth="1"/>
    <col min="38" max="39" width="20.7109375" style="2" hidden="1" customWidth="1"/>
    <col min="40" max="46" width="20.7109375" style="2" customWidth="1"/>
    <col min="47" max="16384" width="9.140625" style="2"/>
  </cols>
  <sheetData>
    <row r="1" spans="1:46" s="59" customFormat="1" ht="12.75" customHeight="1" x14ac:dyDescent="0.2">
      <c r="A1" s="143" t="s">
        <v>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</row>
    <row r="2" spans="1:46" ht="12.75" customHeight="1" x14ac:dyDescent="0.2">
      <c r="A2" s="144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</row>
    <row r="3" spans="1:46" ht="12.75" hidden="1" customHeight="1" x14ac:dyDescent="0.2">
      <c r="A3" s="144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AQ3" s="145"/>
      <c r="AR3" s="145"/>
      <c r="AS3" s="145"/>
      <c r="AT3" s="145"/>
    </row>
    <row r="4" spans="1:46" ht="12.75" hidden="1" customHeight="1" x14ac:dyDescent="0.2">
      <c r="A4" s="144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AQ4" s="145"/>
      <c r="AR4" s="145"/>
      <c r="AS4" s="145"/>
      <c r="AT4" s="145"/>
    </row>
    <row r="5" spans="1:46" ht="12.75" hidden="1" customHeight="1" x14ac:dyDescent="0.2">
      <c r="A5" s="144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</row>
    <row r="6" spans="1:46" ht="12.75" hidden="1" customHeight="1" x14ac:dyDescent="0.2">
      <c r="A6" s="144"/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AQ6" s="145"/>
      <c r="AR6" s="145"/>
      <c r="AS6" s="145"/>
      <c r="AT6" s="145"/>
    </row>
    <row r="7" spans="1:46" ht="12.75" customHeight="1" x14ac:dyDescent="0.2">
      <c r="A7" s="149" t="s">
        <v>1</v>
      </c>
      <c r="B7" s="150"/>
      <c r="C7" s="150"/>
      <c r="D7" s="151"/>
      <c r="E7" s="110"/>
      <c r="F7" s="110"/>
      <c r="G7" s="158" t="s">
        <v>2</v>
      </c>
      <c r="H7" s="141"/>
      <c r="I7" s="138" t="s">
        <v>3</v>
      </c>
      <c r="J7" s="139"/>
      <c r="K7" s="139"/>
      <c r="L7" s="139"/>
      <c r="M7" s="139"/>
      <c r="N7" s="139"/>
      <c r="O7" s="139"/>
      <c r="P7" s="140"/>
      <c r="Q7" s="138" t="s">
        <v>4</v>
      </c>
      <c r="R7" s="139"/>
      <c r="S7" s="139"/>
      <c r="T7" s="139"/>
      <c r="U7" s="139"/>
      <c r="V7" s="139"/>
      <c r="W7" s="139"/>
      <c r="X7" s="140"/>
      <c r="Y7" s="138" t="s">
        <v>5</v>
      </c>
      <c r="Z7" s="139"/>
      <c r="AA7" s="139"/>
      <c r="AB7" s="139"/>
      <c r="AC7" s="139"/>
      <c r="AD7" s="139"/>
      <c r="AE7" s="139"/>
      <c r="AF7" s="140"/>
      <c r="AG7" s="138" t="s">
        <v>6</v>
      </c>
      <c r="AH7" s="139"/>
      <c r="AI7" s="139"/>
      <c r="AJ7" s="139"/>
      <c r="AK7" s="139"/>
      <c r="AL7" s="139"/>
      <c r="AM7" s="139"/>
      <c r="AN7" s="140"/>
    </row>
    <row r="8" spans="1:46" ht="25.5" customHeight="1" x14ac:dyDescent="0.2">
      <c r="A8" s="152"/>
      <c r="B8" s="153"/>
      <c r="C8" s="153"/>
      <c r="D8" s="154"/>
      <c r="E8" s="110"/>
      <c r="F8" s="110"/>
      <c r="G8" s="159"/>
      <c r="H8" s="161"/>
      <c r="I8" s="141" t="s">
        <v>7</v>
      </c>
      <c r="J8" s="146" t="s">
        <v>8</v>
      </c>
      <c r="K8" s="147"/>
      <c r="L8" s="146" t="s">
        <v>9</v>
      </c>
      <c r="M8" s="147"/>
      <c r="N8" s="148" t="s">
        <v>138</v>
      </c>
      <c r="O8" s="148"/>
      <c r="P8" s="141" t="s">
        <v>10</v>
      </c>
      <c r="Q8" s="141" t="s">
        <v>7</v>
      </c>
      <c r="R8" s="146" t="s">
        <v>8</v>
      </c>
      <c r="S8" s="147"/>
      <c r="T8" s="146" t="s">
        <v>9</v>
      </c>
      <c r="U8" s="147"/>
      <c r="V8" s="148" t="s">
        <v>138</v>
      </c>
      <c r="W8" s="148"/>
      <c r="X8" s="141" t="s">
        <v>10</v>
      </c>
      <c r="Y8" s="141" t="s">
        <v>7</v>
      </c>
      <c r="Z8" s="146" t="s">
        <v>8</v>
      </c>
      <c r="AA8" s="147"/>
      <c r="AB8" s="146" t="s">
        <v>9</v>
      </c>
      <c r="AC8" s="147"/>
      <c r="AD8" s="148" t="s">
        <v>138</v>
      </c>
      <c r="AE8" s="148"/>
      <c r="AF8" s="141" t="s">
        <v>10</v>
      </c>
      <c r="AG8" s="141" t="s">
        <v>7</v>
      </c>
      <c r="AH8" s="146" t="s">
        <v>8</v>
      </c>
      <c r="AI8" s="147"/>
      <c r="AJ8" s="146" t="s">
        <v>9</v>
      </c>
      <c r="AK8" s="147"/>
      <c r="AL8" s="148" t="s">
        <v>138</v>
      </c>
      <c r="AM8" s="148"/>
      <c r="AN8" s="141" t="s">
        <v>10</v>
      </c>
    </row>
    <row r="9" spans="1:46" x14ac:dyDescent="0.2">
      <c r="A9" s="155"/>
      <c r="B9" s="156"/>
      <c r="C9" s="156"/>
      <c r="D9" s="157"/>
      <c r="E9" s="111"/>
      <c r="F9" s="111"/>
      <c r="G9" s="160"/>
      <c r="H9" s="142"/>
      <c r="I9" s="142"/>
      <c r="J9" s="3" t="s">
        <v>12</v>
      </c>
      <c r="K9" s="4" t="s">
        <v>13</v>
      </c>
      <c r="L9" s="3" t="s">
        <v>12</v>
      </c>
      <c r="M9" s="4" t="s">
        <v>13</v>
      </c>
      <c r="N9" s="31" t="s">
        <v>12</v>
      </c>
      <c r="O9" s="4" t="s">
        <v>13</v>
      </c>
      <c r="P9" s="142"/>
      <c r="Q9" s="142"/>
      <c r="R9" s="3" t="s">
        <v>12</v>
      </c>
      <c r="S9" s="4" t="s">
        <v>13</v>
      </c>
      <c r="T9" s="3" t="s">
        <v>12</v>
      </c>
      <c r="U9" s="4" t="s">
        <v>13</v>
      </c>
      <c r="V9" s="31" t="s">
        <v>12</v>
      </c>
      <c r="W9" s="4" t="s">
        <v>13</v>
      </c>
      <c r="X9" s="142"/>
      <c r="Y9" s="142"/>
      <c r="Z9" s="3" t="s">
        <v>12</v>
      </c>
      <c r="AA9" s="4" t="s">
        <v>13</v>
      </c>
      <c r="AB9" s="3" t="s">
        <v>12</v>
      </c>
      <c r="AC9" s="4" t="s">
        <v>13</v>
      </c>
      <c r="AD9" s="31" t="s">
        <v>12</v>
      </c>
      <c r="AE9" s="4" t="s">
        <v>13</v>
      </c>
      <c r="AF9" s="142"/>
      <c r="AG9" s="142"/>
      <c r="AH9" s="3" t="s">
        <v>12</v>
      </c>
      <c r="AI9" s="4" t="s">
        <v>13</v>
      </c>
      <c r="AJ9" s="3" t="s">
        <v>12</v>
      </c>
      <c r="AK9" s="4" t="s">
        <v>13</v>
      </c>
      <c r="AL9" s="31" t="s">
        <v>12</v>
      </c>
      <c r="AM9" s="4" t="s">
        <v>13</v>
      </c>
      <c r="AN9" s="142"/>
    </row>
    <row r="10" spans="1:46" ht="11.25" customHeight="1" x14ac:dyDescent="0.2">
      <c r="A10" s="113" t="s">
        <v>14</v>
      </c>
      <c r="B10" s="102" t="s">
        <v>15</v>
      </c>
      <c r="C10" s="102"/>
      <c r="D10" s="114"/>
      <c r="E10" s="114"/>
      <c r="F10" s="114"/>
      <c r="G10" s="115" t="s">
        <v>70</v>
      </c>
      <c r="H10" s="6"/>
      <c r="I10" s="32"/>
      <c r="J10" s="63"/>
      <c r="K10" s="63"/>
      <c r="L10" s="33"/>
      <c r="M10" s="33"/>
      <c r="N10" s="51"/>
      <c r="O10" s="51"/>
      <c r="P10" s="35">
        <f>I10+K10+M10+O10</f>
        <v>0</v>
      </c>
      <c r="Q10" s="36"/>
      <c r="R10" s="33"/>
      <c r="S10" s="33"/>
      <c r="T10" s="33"/>
      <c r="U10" s="33"/>
      <c r="V10" s="51"/>
      <c r="W10" s="51"/>
      <c r="X10" s="35">
        <f>Q10+S10+U10+W10</f>
        <v>0</v>
      </c>
      <c r="Y10" s="32"/>
      <c r="Z10" s="33"/>
      <c r="AA10" s="33"/>
      <c r="AB10" s="33"/>
      <c r="AC10" s="33"/>
      <c r="AD10" s="51"/>
      <c r="AE10" s="51"/>
      <c r="AF10" s="35">
        <f>Y10+AA10+AC10+AE10</f>
        <v>0</v>
      </c>
      <c r="AG10" s="37">
        <f>I10-Q10-Y10</f>
        <v>0</v>
      </c>
      <c r="AH10" s="38"/>
      <c r="AI10" s="38"/>
      <c r="AJ10" s="38"/>
      <c r="AK10" s="38"/>
      <c r="AL10" s="28">
        <f>N10-V10-AD10</f>
        <v>0</v>
      </c>
      <c r="AM10" s="28">
        <f>O10-W10-AE10</f>
        <v>0</v>
      </c>
      <c r="AN10" s="18">
        <f>P10-X10-AF10</f>
        <v>0</v>
      </c>
    </row>
    <row r="11" spans="1:46" ht="11.25" customHeight="1" x14ac:dyDescent="0.2">
      <c r="A11" s="113" t="s">
        <v>16</v>
      </c>
      <c r="B11" s="114" t="s">
        <v>17</v>
      </c>
      <c r="C11" s="114"/>
      <c r="D11" s="114"/>
      <c r="E11" s="114"/>
      <c r="F11" s="114"/>
      <c r="G11" s="115" t="s">
        <v>71</v>
      </c>
      <c r="H11" s="6"/>
      <c r="I11" s="32"/>
      <c r="J11" s="63"/>
      <c r="K11" s="63"/>
      <c r="L11" s="33"/>
      <c r="M11" s="33"/>
      <c r="N11" s="51"/>
      <c r="O11" s="51"/>
      <c r="P11" s="35">
        <f t="shared" ref="P11:P39" si="0">I11+K11+M11+O11</f>
        <v>0</v>
      </c>
      <c r="Q11" s="32"/>
      <c r="R11" s="33"/>
      <c r="S11" s="33"/>
      <c r="T11" s="33"/>
      <c r="U11" s="33"/>
      <c r="V11" s="51"/>
      <c r="W11" s="51"/>
      <c r="X11" s="35">
        <f t="shared" ref="X11:X39" si="1">Q11+S11+U11+W11</f>
        <v>0</v>
      </c>
      <c r="Y11" s="32"/>
      <c r="Z11" s="33"/>
      <c r="AA11" s="33"/>
      <c r="AB11" s="33"/>
      <c r="AC11" s="33"/>
      <c r="AD11" s="51"/>
      <c r="AE11" s="51"/>
      <c r="AF11" s="35">
        <f t="shared" ref="AF11:AF39" si="2">Y11+AA11+AC11+AE11</f>
        <v>0</v>
      </c>
      <c r="AG11" s="37">
        <f t="shared" ref="AG11:AG39" si="3">I11-Q11-Y11</f>
        <v>0</v>
      </c>
      <c r="AH11" s="33"/>
      <c r="AI11" s="33"/>
      <c r="AJ11" s="33"/>
      <c r="AK11" s="33"/>
      <c r="AL11" s="28">
        <f t="shared" ref="AL11:AN38" si="4">N11-V11-AD11</f>
        <v>0</v>
      </c>
      <c r="AM11" s="28">
        <f t="shared" si="4"/>
        <v>0</v>
      </c>
      <c r="AN11" s="18">
        <f t="shared" si="4"/>
        <v>0</v>
      </c>
    </row>
    <row r="12" spans="1:46" ht="11.25" customHeight="1" x14ac:dyDescent="0.2">
      <c r="A12" s="113" t="s">
        <v>18</v>
      </c>
      <c r="B12" s="114" t="s">
        <v>19</v>
      </c>
      <c r="C12" s="114"/>
      <c r="D12" s="114"/>
      <c r="E12" s="114"/>
      <c r="F12" s="114"/>
      <c r="G12" s="115" t="s">
        <v>72</v>
      </c>
      <c r="H12" s="6"/>
      <c r="I12" s="32"/>
      <c r="J12" s="63"/>
      <c r="K12" s="63"/>
      <c r="L12" s="33"/>
      <c r="M12" s="33"/>
      <c r="N12" s="51"/>
      <c r="O12" s="51"/>
      <c r="P12" s="35">
        <f t="shared" si="0"/>
        <v>0</v>
      </c>
      <c r="Q12" s="32"/>
      <c r="R12" s="33"/>
      <c r="S12" s="33"/>
      <c r="T12" s="33"/>
      <c r="U12" s="33"/>
      <c r="V12" s="51"/>
      <c r="W12" s="51"/>
      <c r="X12" s="35">
        <f t="shared" si="1"/>
        <v>0</v>
      </c>
      <c r="Y12" s="32"/>
      <c r="Z12" s="33"/>
      <c r="AA12" s="33"/>
      <c r="AB12" s="33"/>
      <c r="AC12" s="33"/>
      <c r="AD12" s="51"/>
      <c r="AE12" s="51"/>
      <c r="AF12" s="35">
        <f t="shared" si="2"/>
        <v>0</v>
      </c>
      <c r="AG12" s="37">
        <f t="shared" si="3"/>
        <v>0</v>
      </c>
      <c r="AH12" s="33"/>
      <c r="AI12" s="33"/>
      <c r="AJ12" s="33"/>
      <c r="AK12" s="33"/>
      <c r="AL12" s="28">
        <f t="shared" si="4"/>
        <v>0</v>
      </c>
      <c r="AM12" s="28">
        <f t="shared" si="4"/>
        <v>0</v>
      </c>
      <c r="AN12" s="18">
        <f t="shared" si="4"/>
        <v>0</v>
      </c>
    </row>
    <row r="13" spans="1:46" ht="11.25" customHeight="1" x14ac:dyDescent="0.2">
      <c r="A13" s="113" t="s">
        <v>20</v>
      </c>
      <c r="B13" s="114" t="s">
        <v>21</v>
      </c>
      <c r="C13" s="114"/>
      <c r="D13" s="114"/>
      <c r="E13" s="114"/>
      <c r="F13" s="114"/>
      <c r="G13" s="115" t="s">
        <v>73</v>
      </c>
      <c r="H13" s="6"/>
      <c r="I13" s="32"/>
      <c r="J13" s="63"/>
      <c r="K13" s="63"/>
      <c r="L13" s="33"/>
      <c r="M13" s="33"/>
      <c r="N13" s="51"/>
      <c r="O13" s="51"/>
      <c r="P13" s="35">
        <f t="shared" si="0"/>
        <v>0</v>
      </c>
      <c r="Q13" s="32"/>
      <c r="R13" s="33"/>
      <c r="S13" s="33"/>
      <c r="T13" s="33"/>
      <c r="U13" s="33"/>
      <c r="V13" s="51"/>
      <c r="W13" s="51"/>
      <c r="X13" s="35">
        <f t="shared" si="1"/>
        <v>0</v>
      </c>
      <c r="Y13" s="32"/>
      <c r="Z13" s="33"/>
      <c r="AA13" s="33"/>
      <c r="AB13" s="33"/>
      <c r="AC13" s="33"/>
      <c r="AD13" s="51"/>
      <c r="AE13" s="51"/>
      <c r="AF13" s="35">
        <f t="shared" si="2"/>
        <v>0</v>
      </c>
      <c r="AG13" s="37">
        <f t="shared" si="3"/>
        <v>0</v>
      </c>
      <c r="AH13" s="33"/>
      <c r="AI13" s="33"/>
      <c r="AJ13" s="33"/>
      <c r="AK13" s="33"/>
      <c r="AL13" s="28">
        <f t="shared" si="4"/>
        <v>0</v>
      </c>
      <c r="AM13" s="28">
        <f t="shared" si="4"/>
        <v>0</v>
      </c>
      <c r="AN13" s="18">
        <f t="shared" si="4"/>
        <v>0</v>
      </c>
    </row>
    <row r="14" spans="1:46" ht="11.25" customHeight="1" x14ac:dyDescent="0.2">
      <c r="A14" s="113" t="s">
        <v>22</v>
      </c>
      <c r="B14" s="114" t="s">
        <v>23</v>
      </c>
      <c r="C14" s="114"/>
      <c r="D14" s="114"/>
      <c r="E14" s="114"/>
      <c r="F14" s="114"/>
      <c r="G14" s="115" t="s">
        <v>74</v>
      </c>
      <c r="H14" s="6"/>
      <c r="I14" s="32"/>
      <c r="J14" s="63"/>
      <c r="K14" s="63"/>
      <c r="L14" s="33"/>
      <c r="M14" s="33"/>
      <c r="N14" s="51"/>
      <c r="O14" s="51"/>
      <c r="P14" s="35">
        <f t="shared" si="0"/>
        <v>0</v>
      </c>
      <c r="Q14" s="32"/>
      <c r="R14" s="33"/>
      <c r="S14" s="33"/>
      <c r="T14" s="33"/>
      <c r="U14" s="33"/>
      <c r="V14" s="51"/>
      <c r="W14" s="51"/>
      <c r="X14" s="35">
        <f t="shared" si="1"/>
        <v>0</v>
      </c>
      <c r="Y14" s="32"/>
      <c r="Z14" s="33"/>
      <c r="AA14" s="33"/>
      <c r="AB14" s="33"/>
      <c r="AC14" s="33"/>
      <c r="AD14" s="51"/>
      <c r="AE14" s="51"/>
      <c r="AF14" s="35">
        <f t="shared" si="2"/>
        <v>0</v>
      </c>
      <c r="AG14" s="37">
        <f t="shared" si="3"/>
        <v>0</v>
      </c>
      <c r="AH14" s="33"/>
      <c r="AI14" s="33"/>
      <c r="AJ14" s="33"/>
      <c r="AK14" s="33"/>
      <c r="AL14" s="28">
        <f t="shared" si="4"/>
        <v>0</v>
      </c>
      <c r="AM14" s="28">
        <f t="shared" si="4"/>
        <v>0</v>
      </c>
      <c r="AN14" s="18">
        <f t="shared" si="4"/>
        <v>0</v>
      </c>
    </row>
    <row r="15" spans="1:46" ht="11.25" customHeight="1" x14ac:dyDescent="0.2">
      <c r="A15" s="116" t="s">
        <v>24</v>
      </c>
      <c r="B15" s="114" t="s">
        <v>25</v>
      </c>
      <c r="C15" s="114"/>
      <c r="D15" s="114"/>
      <c r="E15" s="114"/>
      <c r="F15" s="114"/>
      <c r="G15" s="115" t="s">
        <v>75</v>
      </c>
      <c r="H15" s="6"/>
      <c r="I15" s="32"/>
      <c r="J15" s="63"/>
      <c r="K15" s="63"/>
      <c r="L15" s="33"/>
      <c r="M15" s="33"/>
      <c r="N15" s="51"/>
      <c r="O15" s="51"/>
      <c r="P15" s="35">
        <f t="shared" si="0"/>
        <v>0</v>
      </c>
      <c r="Q15" s="32"/>
      <c r="R15" s="33"/>
      <c r="S15" s="33"/>
      <c r="T15" s="33"/>
      <c r="U15" s="33"/>
      <c r="V15" s="51"/>
      <c r="W15" s="51"/>
      <c r="X15" s="35">
        <f t="shared" si="1"/>
        <v>0</v>
      </c>
      <c r="Y15" s="32"/>
      <c r="Z15" s="33"/>
      <c r="AA15" s="33"/>
      <c r="AB15" s="33"/>
      <c r="AC15" s="33"/>
      <c r="AD15" s="51"/>
      <c r="AE15" s="51"/>
      <c r="AF15" s="35">
        <f t="shared" si="2"/>
        <v>0</v>
      </c>
      <c r="AG15" s="37">
        <f t="shared" si="3"/>
        <v>0</v>
      </c>
      <c r="AH15" s="33"/>
      <c r="AI15" s="33"/>
      <c r="AJ15" s="33"/>
      <c r="AK15" s="33"/>
      <c r="AL15" s="28">
        <f t="shared" si="4"/>
        <v>0</v>
      </c>
      <c r="AM15" s="28">
        <f t="shared" si="4"/>
        <v>0</v>
      </c>
      <c r="AN15" s="18">
        <f t="shared" si="4"/>
        <v>0</v>
      </c>
    </row>
    <row r="16" spans="1:46" ht="11.25" customHeight="1" x14ac:dyDescent="0.2">
      <c r="A16" s="116" t="s">
        <v>26</v>
      </c>
      <c r="B16" s="162" t="s">
        <v>145</v>
      </c>
      <c r="C16" s="162"/>
      <c r="D16" s="162"/>
      <c r="E16" s="117"/>
      <c r="F16" s="117"/>
      <c r="G16" s="118" t="s">
        <v>161</v>
      </c>
      <c r="H16" s="6"/>
      <c r="I16" s="32"/>
      <c r="J16" s="38"/>
      <c r="K16" s="38"/>
      <c r="L16" s="38"/>
      <c r="M16" s="38"/>
      <c r="N16" s="51"/>
      <c r="O16" s="51"/>
      <c r="P16" s="35">
        <f>I16+K16+M16+O16</f>
        <v>0</v>
      </c>
      <c r="Q16" s="32"/>
      <c r="R16" s="38"/>
      <c r="S16" s="38"/>
      <c r="T16" s="38"/>
      <c r="U16" s="38"/>
      <c r="V16" s="51"/>
      <c r="W16" s="51"/>
      <c r="X16" s="35">
        <f>Q16+S16+U16+W16</f>
        <v>0</v>
      </c>
      <c r="Y16" s="32"/>
      <c r="Z16" s="33"/>
      <c r="AA16" s="33"/>
      <c r="AB16" s="33"/>
      <c r="AC16" s="33"/>
      <c r="AD16" s="51"/>
      <c r="AE16" s="51"/>
      <c r="AF16" s="35">
        <f>Y16+AA16+AC16+AE16</f>
        <v>0</v>
      </c>
      <c r="AG16" s="37">
        <f>I16-Q16-Y16</f>
        <v>0</v>
      </c>
      <c r="AH16" s="33"/>
      <c r="AI16" s="33"/>
      <c r="AJ16" s="33"/>
      <c r="AK16" s="33"/>
      <c r="AL16" s="28">
        <f>N16-V16-AD16</f>
        <v>0</v>
      </c>
      <c r="AM16" s="28">
        <f>O16-W16-AE16</f>
        <v>0</v>
      </c>
      <c r="AN16" s="18">
        <f>P16-X16-AF16</f>
        <v>0</v>
      </c>
    </row>
    <row r="17" spans="1:40" ht="24" customHeight="1" x14ac:dyDescent="0.2">
      <c r="A17" s="116" t="s">
        <v>34</v>
      </c>
      <c r="B17" s="162" t="s">
        <v>27</v>
      </c>
      <c r="C17" s="162"/>
      <c r="D17" s="162"/>
      <c r="E17" s="117"/>
      <c r="F17" s="117"/>
      <c r="G17" s="118" t="s">
        <v>76</v>
      </c>
      <c r="H17" s="6"/>
      <c r="I17" s="37">
        <f xml:space="preserve"> (I18 + I19 + I20 + I21 + I22 + I23)</f>
        <v>0</v>
      </c>
      <c r="J17" s="38"/>
      <c r="K17" s="38"/>
      <c r="L17" s="38"/>
      <c r="M17" s="38"/>
      <c r="N17" s="37">
        <f xml:space="preserve"> (N18 + N19 + N20 + N21 + N22 + N23)</f>
        <v>0</v>
      </c>
      <c r="O17" s="37">
        <f xml:space="preserve"> (O18 + O19 + O20 + O21 + O22 + O23)</f>
        <v>0</v>
      </c>
      <c r="P17" s="35">
        <f t="shared" si="0"/>
        <v>0</v>
      </c>
      <c r="Q17" s="37">
        <f xml:space="preserve"> (Q18 + Q19 + Q20 + Q21 + Q22 + Q23)</f>
        <v>0</v>
      </c>
      <c r="R17" s="38"/>
      <c r="S17" s="38"/>
      <c r="T17" s="38"/>
      <c r="U17" s="38"/>
      <c r="V17" s="37">
        <f xml:space="preserve"> (V18 + V19 + V20 + V21 + V22 + V23)</f>
        <v>0</v>
      </c>
      <c r="W17" s="37">
        <f xml:space="preserve"> (W18 + W19 + W20 + W21 + W22 + W23)</f>
        <v>0</v>
      </c>
      <c r="X17" s="35">
        <f t="shared" si="1"/>
        <v>0</v>
      </c>
      <c r="Y17" s="37">
        <f xml:space="preserve"> (Y18 + Y19 + Y20 + Y21 + Y22 + Y23)</f>
        <v>0</v>
      </c>
      <c r="Z17" s="38"/>
      <c r="AA17" s="38"/>
      <c r="AB17" s="38"/>
      <c r="AC17" s="38"/>
      <c r="AD17" s="37">
        <f xml:space="preserve"> (AD18 + AD19 + AD20 + AD21 + AD22 + AD23)</f>
        <v>0</v>
      </c>
      <c r="AE17" s="37">
        <f xml:space="preserve"> (AE18 + AE19 + AE20 + AE21 + AE22 + AE23)</f>
        <v>0</v>
      </c>
      <c r="AF17" s="35">
        <f t="shared" si="2"/>
        <v>0</v>
      </c>
      <c r="AG17" s="37">
        <f t="shared" si="3"/>
        <v>0</v>
      </c>
      <c r="AH17" s="62"/>
      <c r="AI17" s="62"/>
      <c r="AJ17" s="62"/>
      <c r="AK17" s="62"/>
      <c r="AL17" s="28">
        <f t="shared" si="4"/>
        <v>0</v>
      </c>
      <c r="AM17" s="28">
        <f t="shared" si="4"/>
        <v>0</v>
      </c>
      <c r="AN17" s="18">
        <f t="shared" si="4"/>
        <v>0</v>
      </c>
    </row>
    <row r="18" spans="1:40" ht="11.25" customHeight="1" x14ac:dyDescent="0.2">
      <c r="A18" s="116"/>
      <c r="B18" s="117" t="s">
        <v>28</v>
      </c>
      <c r="C18" s="119" t="s">
        <v>15</v>
      </c>
      <c r="D18" s="117"/>
      <c r="E18" s="117"/>
      <c r="F18" s="117"/>
      <c r="G18" s="118" t="s">
        <v>77</v>
      </c>
      <c r="H18" s="6"/>
      <c r="I18" s="32"/>
      <c r="J18" s="63"/>
      <c r="K18" s="63"/>
      <c r="L18" s="33"/>
      <c r="M18" s="33"/>
      <c r="N18" s="51"/>
      <c r="O18" s="51"/>
      <c r="P18" s="35">
        <f t="shared" si="0"/>
        <v>0</v>
      </c>
      <c r="Q18" s="36"/>
      <c r="R18" s="33"/>
      <c r="S18" s="33"/>
      <c r="T18" s="33"/>
      <c r="U18" s="33"/>
      <c r="V18" s="51"/>
      <c r="W18" s="51"/>
      <c r="X18" s="35">
        <f t="shared" si="1"/>
        <v>0</v>
      </c>
      <c r="Y18" s="32"/>
      <c r="Z18" s="33"/>
      <c r="AA18" s="33"/>
      <c r="AB18" s="33"/>
      <c r="AC18" s="33"/>
      <c r="AD18" s="51"/>
      <c r="AE18" s="51"/>
      <c r="AF18" s="35">
        <f t="shared" si="2"/>
        <v>0</v>
      </c>
      <c r="AG18" s="37">
        <f t="shared" si="3"/>
        <v>0</v>
      </c>
      <c r="AH18" s="33"/>
      <c r="AI18" s="33"/>
      <c r="AJ18" s="33"/>
      <c r="AK18" s="33"/>
      <c r="AL18" s="28">
        <f t="shared" si="4"/>
        <v>0</v>
      </c>
      <c r="AM18" s="28">
        <f t="shared" si="4"/>
        <v>0</v>
      </c>
      <c r="AN18" s="18">
        <f t="shared" si="4"/>
        <v>0</v>
      </c>
    </row>
    <row r="19" spans="1:40" ht="11.25" customHeight="1" x14ac:dyDescent="0.2">
      <c r="A19" s="116"/>
      <c r="B19" s="117" t="s">
        <v>29</v>
      </c>
      <c r="C19" s="119" t="s">
        <v>17</v>
      </c>
      <c r="D19" s="114"/>
      <c r="E19" s="114"/>
      <c r="F19" s="114"/>
      <c r="G19" s="115" t="s">
        <v>78</v>
      </c>
      <c r="H19" s="6"/>
      <c r="I19" s="32"/>
      <c r="J19" s="63"/>
      <c r="K19" s="63"/>
      <c r="L19" s="33"/>
      <c r="M19" s="33"/>
      <c r="N19" s="51"/>
      <c r="O19" s="51"/>
      <c r="P19" s="35">
        <f t="shared" si="0"/>
        <v>0</v>
      </c>
      <c r="Q19" s="32"/>
      <c r="R19" s="33"/>
      <c r="S19" s="33"/>
      <c r="T19" s="33"/>
      <c r="U19" s="33"/>
      <c r="V19" s="51"/>
      <c r="W19" s="51"/>
      <c r="X19" s="35">
        <f t="shared" si="1"/>
        <v>0</v>
      </c>
      <c r="Y19" s="32"/>
      <c r="Z19" s="33"/>
      <c r="AA19" s="33"/>
      <c r="AB19" s="33"/>
      <c r="AC19" s="33"/>
      <c r="AD19" s="51"/>
      <c r="AE19" s="51"/>
      <c r="AF19" s="35">
        <f t="shared" si="2"/>
        <v>0</v>
      </c>
      <c r="AG19" s="37">
        <f t="shared" si="3"/>
        <v>0</v>
      </c>
      <c r="AH19" s="33"/>
      <c r="AI19" s="33"/>
      <c r="AJ19" s="33"/>
      <c r="AK19" s="33"/>
      <c r="AL19" s="28">
        <f t="shared" si="4"/>
        <v>0</v>
      </c>
      <c r="AM19" s="28">
        <f t="shared" si="4"/>
        <v>0</v>
      </c>
      <c r="AN19" s="18">
        <f t="shared" si="4"/>
        <v>0</v>
      </c>
    </row>
    <row r="20" spans="1:40" ht="11.25" customHeight="1" x14ac:dyDescent="0.2">
      <c r="A20" s="116"/>
      <c r="B20" s="120" t="s">
        <v>30</v>
      </c>
      <c r="C20" s="121" t="s">
        <v>19</v>
      </c>
      <c r="D20" s="114"/>
      <c r="E20" s="114"/>
      <c r="F20" s="114"/>
      <c r="G20" s="115" t="s">
        <v>79</v>
      </c>
      <c r="H20" s="6"/>
      <c r="I20" s="32"/>
      <c r="J20" s="63"/>
      <c r="K20" s="63"/>
      <c r="L20" s="33"/>
      <c r="M20" s="33"/>
      <c r="N20" s="51"/>
      <c r="O20" s="51"/>
      <c r="P20" s="35">
        <f t="shared" si="0"/>
        <v>0</v>
      </c>
      <c r="Q20" s="32"/>
      <c r="R20" s="33"/>
      <c r="S20" s="33"/>
      <c r="T20" s="33"/>
      <c r="U20" s="33"/>
      <c r="V20" s="51"/>
      <c r="W20" s="51"/>
      <c r="X20" s="35">
        <f t="shared" si="1"/>
        <v>0</v>
      </c>
      <c r="Y20" s="32"/>
      <c r="Z20" s="33"/>
      <c r="AA20" s="33"/>
      <c r="AB20" s="33"/>
      <c r="AC20" s="33"/>
      <c r="AD20" s="51"/>
      <c r="AE20" s="51"/>
      <c r="AF20" s="35">
        <f t="shared" si="2"/>
        <v>0</v>
      </c>
      <c r="AG20" s="37">
        <f t="shared" si="3"/>
        <v>0</v>
      </c>
      <c r="AH20" s="33"/>
      <c r="AI20" s="33"/>
      <c r="AJ20" s="33"/>
      <c r="AK20" s="33"/>
      <c r="AL20" s="28">
        <f t="shared" si="4"/>
        <v>0</v>
      </c>
      <c r="AM20" s="28">
        <f t="shared" si="4"/>
        <v>0</v>
      </c>
      <c r="AN20" s="18">
        <f t="shared" si="4"/>
        <v>0</v>
      </c>
    </row>
    <row r="21" spans="1:40" ht="11.25" customHeight="1" x14ac:dyDescent="0.2">
      <c r="A21" s="116"/>
      <c r="B21" s="117" t="s">
        <v>31</v>
      </c>
      <c r="C21" s="119" t="s">
        <v>21</v>
      </c>
      <c r="D21" s="114"/>
      <c r="E21" s="114"/>
      <c r="F21" s="114"/>
      <c r="G21" s="115" t="s">
        <v>80</v>
      </c>
      <c r="H21" s="6"/>
      <c r="I21" s="32"/>
      <c r="J21" s="63"/>
      <c r="K21" s="63"/>
      <c r="L21" s="33"/>
      <c r="M21" s="33"/>
      <c r="N21" s="51"/>
      <c r="O21" s="51"/>
      <c r="P21" s="35">
        <f t="shared" si="0"/>
        <v>0</v>
      </c>
      <c r="Q21" s="32"/>
      <c r="R21" s="33"/>
      <c r="S21" s="33"/>
      <c r="T21" s="33"/>
      <c r="U21" s="33"/>
      <c r="V21" s="51"/>
      <c r="W21" s="51"/>
      <c r="X21" s="35">
        <f t="shared" si="1"/>
        <v>0</v>
      </c>
      <c r="Y21" s="32"/>
      <c r="Z21" s="33"/>
      <c r="AA21" s="33"/>
      <c r="AB21" s="33"/>
      <c r="AC21" s="33"/>
      <c r="AD21" s="51"/>
      <c r="AE21" s="51"/>
      <c r="AF21" s="35">
        <f t="shared" si="2"/>
        <v>0</v>
      </c>
      <c r="AG21" s="37">
        <f t="shared" si="3"/>
        <v>0</v>
      </c>
      <c r="AH21" s="33"/>
      <c r="AI21" s="33"/>
      <c r="AJ21" s="33"/>
      <c r="AK21" s="33"/>
      <c r="AL21" s="28">
        <f t="shared" si="4"/>
        <v>0</v>
      </c>
      <c r="AM21" s="28">
        <f t="shared" si="4"/>
        <v>0</v>
      </c>
      <c r="AN21" s="18">
        <f t="shared" si="4"/>
        <v>0</v>
      </c>
    </row>
    <row r="22" spans="1:40" ht="11.25" customHeight="1" x14ac:dyDescent="0.2">
      <c r="A22" s="116"/>
      <c r="B22" s="117" t="s">
        <v>32</v>
      </c>
      <c r="C22" s="119" t="s">
        <v>23</v>
      </c>
      <c r="D22" s="114"/>
      <c r="E22" s="114"/>
      <c r="F22" s="114"/>
      <c r="G22" s="115" t="s">
        <v>81</v>
      </c>
      <c r="H22" s="6"/>
      <c r="I22" s="32"/>
      <c r="J22" s="63"/>
      <c r="K22" s="63"/>
      <c r="L22" s="33"/>
      <c r="M22" s="33"/>
      <c r="N22" s="51"/>
      <c r="O22" s="51"/>
      <c r="P22" s="35">
        <f t="shared" si="0"/>
        <v>0</v>
      </c>
      <c r="Q22" s="32"/>
      <c r="R22" s="33"/>
      <c r="S22" s="33"/>
      <c r="T22" s="33"/>
      <c r="U22" s="33"/>
      <c r="V22" s="51"/>
      <c r="W22" s="51"/>
      <c r="X22" s="35">
        <f t="shared" si="1"/>
        <v>0</v>
      </c>
      <c r="Y22" s="32"/>
      <c r="Z22" s="33"/>
      <c r="AA22" s="33"/>
      <c r="AB22" s="33"/>
      <c r="AC22" s="33"/>
      <c r="AD22" s="51"/>
      <c r="AE22" s="51"/>
      <c r="AF22" s="35">
        <f t="shared" si="2"/>
        <v>0</v>
      </c>
      <c r="AG22" s="37">
        <f t="shared" si="3"/>
        <v>0</v>
      </c>
      <c r="AH22" s="33"/>
      <c r="AI22" s="33"/>
      <c r="AJ22" s="33"/>
      <c r="AK22" s="33"/>
      <c r="AL22" s="28">
        <f t="shared" si="4"/>
        <v>0</v>
      </c>
      <c r="AM22" s="28">
        <f t="shared" si="4"/>
        <v>0</v>
      </c>
      <c r="AN22" s="18">
        <f t="shared" si="4"/>
        <v>0</v>
      </c>
    </row>
    <row r="23" spans="1:40" ht="11.25" customHeight="1" x14ac:dyDescent="0.2">
      <c r="A23" s="116"/>
      <c r="B23" s="117" t="s">
        <v>33</v>
      </c>
      <c r="C23" s="119" t="s">
        <v>25</v>
      </c>
      <c r="D23" s="114"/>
      <c r="E23" s="114"/>
      <c r="F23" s="114"/>
      <c r="G23" s="115" t="s">
        <v>82</v>
      </c>
      <c r="H23" s="6"/>
      <c r="I23" s="32"/>
      <c r="J23" s="63"/>
      <c r="K23" s="63"/>
      <c r="L23" s="33"/>
      <c r="M23" s="33"/>
      <c r="N23" s="51"/>
      <c r="O23" s="51"/>
      <c r="P23" s="35">
        <f t="shared" si="0"/>
        <v>0</v>
      </c>
      <c r="Q23" s="32"/>
      <c r="R23" s="33"/>
      <c r="S23" s="33"/>
      <c r="T23" s="33"/>
      <c r="U23" s="33"/>
      <c r="V23" s="51"/>
      <c r="W23" s="51"/>
      <c r="X23" s="35">
        <f t="shared" si="1"/>
        <v>0</v>
      </c>
      <c r="Y23" s="32"/>
      <c r="Z23" s="33"/>
      <c r="AA23" s="33"/>
      <c r="AB23" s="33"/>
      <c r="AC23" s="33"/>
      <c r="AD23" s="51"/>
      <c r="AE23" s="51"/>
      <c r="AF23" s="35">
        <f t="shared" si="2"/>
        <v>0</v>
      </c>
      <c r="AG23" s="37">
        <f t="shared" si="3"/>
        <v>0</v>
      </c>
      <c r="AH23" s="33"/>
      <c r="AI23" s="33"/>
      <c r="AJ23" s="33"/>
      <c r="AK23" s="33"/>
      <c r="AL23" s="28">
        <f t="shared" si="4"/>
        <v>0</v>
      </c>
      <c r="AM23" s="28">
        <f t="shared" si="4"/>
        <v>0</v>
      </c>
      <c r="AN23" s="18">
        <f t="shared" si="4"/>
        <v>0</v>
      </c>
    </row>
    <row r="24" spans="1:40" ht="11.25" customHeight="1" x14ac:dyDescent="0.2">
      <c r="A24" s="113" t="s">
        <v>37</v>
      </c>
      <c r="B24" s="114" t="s">
        <v>35</v>
      </c>
      <c r="C24" s="122"/>
      <c r="D24" s="114"/>
      <c r="E24" s="114"/>
      <c r="F24" s="114"/>
      <c r="G24" s="115" t="s">
        <v>83</v>
      </c>
      <c r="H24" s="6"/>
      <c r="I24" s="37">
        <f xml:space="preserve"> (I25 + I26 + I27 + I28 + I29 + I30 + I31)</f>
        <v>0</v>
      </c>
      <c r="J24" s="38"/>
      <c r="K24" s="38"/>
      <c r="L24" s="38"/>
      <c r="M24" s="38"/>
      <c r="N24" s="37">
        <f xml:space="preserve"> (N25 + N26 + N27 + N28 + N29 + N30 + N31)</f>
        <v>0</v>
      </c>
      <c r="O24" s="37">
        <f xml:space="preserve"> (O25 + O26 + O27 + O28 + O29 + O30 + O31)</f>
        <v>0</v>
      </c>
      <c r="P24" s="35">
        <f t="shared" si="0"/>
        <v>0</v>
      </c>
      <c r="Q24" s="37">
        <f xml:space="preserve"> (Q25 + Q26 + Q27 + Q28 + Q29 + Q30 + Q31)</f>
        <v>0</v>
      </c>
      <c r="R24" s="38"/>
      <c r="S24" s="38"/>
      <c r="T24" s="38"/>
      <c r="U24" s="38"/>
      <c r="V24" s="37">
        <f xml:space="preserve"> (V25 + V26 + V27 + V28 + V29 + V30 + V31)</f>
        <v>0</v>
      </c>
      <c r="W24" s="37">
        <f xml:space="preserve"> (W25 + W26 + W27 + W28 + W29 + W30 + W31)</f>
        <v>0</v>
      </c>
      <c r="X24" s="35">
        <f t="shared" si="1"/>
        <v>0</v>
      </c>
      <c r="Y24" s="37">
        <f xml:space="preserve"> (Y25 + Y26 + Y27 + Y28 + Y29 + Y30 + Y31)</f>
        <v>0</v>
      </c>
      <c r="Z24" s="38"/>
      <c r="AA24" s="38"/>
      <c r="AB24" s="38"/>
      <c r="AC24" s="38"/>
      <c r="AD24" s="37">
        <f xml:space="preserve"> (AD25 + AD26 + AD27 + AD28 + AD29 + AD30 + AD31)</f>
        <v>0</v>
      </c>
      <c r="AE24" s="37">
        <f xml:space="preserve"> (AE25 + AE26 + AE27 + AE28 + AE29 + AE30 + AE31)</f>
        <v>0</v>
      </c>
      <c r="AF24" s="35">
        <f t="shared" si="2"/>
        <v>0</v>
      </c>
      <c r="AG24" s="37">
        <f t="shared" si="3"/>
        <v>0</v>
      </c>
      <c r="AH24" s="62"/>
      <c r="AI24" s="62"/>
      <c r="AJ24" s="62"/>
      <c r="AK24" s="62"/>
      <c r="AL24" s="28">
        <f t="shared" si="4"/>
        <v>0</v>
      </c>
      <c r="AM24" s="28">
        <f t="shared" si="4"/>
        <v>0</v>
      </c>
      <c r="AN24" s="18">
        <f t="shared" si="4"/>
        <v>0</v>
      </c>
    </row>
    <row r="25" spans="1:40" ht="11.25" customHeight="1" x14ac:dyDescent="0.2">
      <c r="A25" s="113"/>
      <c r="B25" s="117" t="s">
        <v>28</v>
      </c>
      <c r="C25" s="119" t="s">
        <v>15</v>
      </c>
      <c r="D25" s="114"/>
      <c r="E25" s="114"/>
      <c r="F25" s="114"/>
      <c r="G25" s="115" t="s">
        <v>84</v>
      </c>
      <c r="H25" s="6"/>
      <c r="I25" s="32"/>
      <c r="J25" s="63"/>
      <c r="K25" s="63"/>
      <c r="L25" s="33"/>
      <c r="M25" s="33"/>
      <c r="N25" s="51"/>
      <c r="O25" s="51"/>
      <c r="P25" s="35">
        <f t="shared" si="0"/>
        <v>0</v>
      </c>
      <c r="Q25" s="36"/>
      <c r="R25" s="33"/>
      <c r="S25" s="33"/>
      <c r="T25" s="33"/>
      <c r="U25" s="33"/>
      <c r="V25" s="51"/>
      <c r="W25" s="51"/>
      <c r="X25" s="35">
        <f t="shared" si="1"/>
        <v>0</v>
      </c>
      <c r="Y25" s="32"/>
      <c r="Z25" s="33"/>
      <c r="AA25" s="33"/>
      <c r="AB25" s="33"/>
      <c r="AC25" s="33"/>
      <c r="AD25" s="51"/>
      <c r="AE25" s="51"/>
      <c r="AF25" s="35">
        <f t="shared" si="2"/>
        <v>0</v>
      </c>
      <c r="AG25" s="37">
        <f t="shared" si="3"/>
        <v>0</v>
      </c>
      <c r="AH25" s="33"/>
      <c r="AI25" s="33"/>
      <c r="AJ25" s="33"/>
      <c r="AK25" s="33"/>
      <c r="AL25" s="28">
        <f t="shared" si="4"/>
        <v>0</v>
      </c>
      <c r="AM25" s="28">
        <f t="shared" si="4"/>
        <v>0</v>
      </c>
      <c r="AN25" s="18">
        <f t="shared" si="4"/>
        <v>0</v>
      </c>
    </row>
    <row r="26" spans="1:40" ht="11.25" customHeight="1" x14ac:dyDescent="0.2">
      <c r="A26" s="113"/>
      <c r="B26" s="117" t="s">
        <v>29</v>
      </c>
      <c r="C26" s="119" t="s">
        <v>17</v>
      </c>
      <c r="D26" s="114"/>
      <c r="E26" s="114"/>
      <c r="F26" s="114"/>
      <c r="G26" s="115" t="s">
        <v>85</v>
      </c>
      <c r="H26" s="6"/>
      <c r="I26" s="32"/>
      <c r="J26" s="63"/>
      <c r="K26" s="63"/>
      <c r="L26" s="33"/>
      <c r="M26" s="33"/>
      <c r="N26" s="51"/>
      <c r="O26" s="51"/>
      <c r="P26" s="35">
        <f t="shared" si="0"/>
        <v>0</v>
      </c>
      <c r="Q26" s="32"/>
      <c r="R26" s="33"/>
      <c r="S26" s="33"/>
      <c r="T26" s="33"/>
      <c r="U26" s="33"/>
      <c r="V26" s="51"/>
      <c r="W26" s="51"/>
      <c r="X26" s="35">
        <f t="shared" si="1"/>
        <v>0</v>
      </c>
      <c r="Y26" s="32"/>
      <c r="Z26" s="33"/>
      <c r="AA26" s="33"/>
      <c r="AB26" s="33"/>
      <c r="AC26" s="33"/>
      <c r="AD26" s="51"/>
      <c r="AE26" s="51"/>
      <c r="AF26" s="35">
        <f t="shared" si="2"/>
        <v>0</v>
      </c>
      <c r="AG26" s="37">
        <f t="shared" si="3"/>
        <v>0</v>
      </c>
      <c r="AH26" s="33"/>
      <c r="AI26" s="33"/>
      <c r="AJ26" s="33"/>
      <c r="AK26" s="33"/>
      <c r="AL26" s="28">
        <f t="shared" si="4"/>
        <v>0</v>
      </c>
      <c r="AM26" s="28">
        <f t="shared" si="4"/>
        <v>0</v>
      </c>
      <c r="AN26" s="18">
        <f t="shared" si="4"/>
        <v>0</v>
      </c>
    </row>
    <row r="27" spans="1:40" ht="11.25" customHeight="1" x14ac:dyDescent="0.2">
      <c r="A27" s="113"/>
      <c r="B27" s="117" t="s">
        <v>30</v>
      </c>
      <c r="C27" s="119" t="s">
        <v>19</v>
      </c>
      <c r="D27" s="114"/>
      <c r="E27" s="114"/>
      <c r="F27" s="114"/>
      <c r="G27" s="115" t="s">
        <v>86</v>
      </c>
      <c r="H27" s="6"/>
      <c r="I27" s="32"/>
      <c r="J27" s="63"/>
      <c r="K27" s="63"/>
      <c r="L27" s="33"/>
      <c r="M27" s="33"/>
      <c r="N27" s="51"/>
      <c r="O27" s="51"/>
      <c r="P27" s="35">
        <f t="shared" si="0"/>
        <v>0</v>
      </c>
      <c r="Q27" s="32"/>
      <c r="R27" s="33"/>
      <c r="S27" s="33"/>
      <c r="T27" s="33"/>
      <c r="U27" s="33"/>
      <c r="V27" s="51"/>
      <c r="W27" s="51"/>
      <c r="X27" s="35">
        <f t="shared" si="1"/>
        <v>0</v>
      </c>
      <c r="Y27" s="32"/>
      <c r="Z27" s="33"/>
      <c r="AA27" s="33"/>
      <c r="AB27" s="33"/>
      <c r="AC27" s="33"/>
      <c r="AD27" s="51"/>
      <c r="AE27" s="51"/>
      <c r="AF27" s="35">
        <f t="shared" si="2"/>
        <v>0</v>
      </c>
      <c r="AG27" s="37">
        <f t="shared" si="3"/>
        <v>0</v>
      </c>
      <c r="AH27" s="33"/>
      <c r="AI27" s="33"/>
      <c r="AJ27" s="33"/>
      <c r="AK27" s="33"/>
      <c r="AL27" s="28">
        <f t="shared" si="4"/>
        <v>0</v>
      </c>
      <c r="AM27" s="28">
        <f t="shared" si="4"/>
        <v>0</v>
      </c>
      <c r="AN27" s="18">
        <f t="shared" si="4"/>
        <v>0</v>
      </c>
    </row>
    <row r="28" spans="1:40" ht="11.25" customHeight="1" x14ac:dyDescent="0.2">
      <c r="A28" s="113"/>
      <c r="B28" s="117" t="s">
        <v>31</v>
      </c>
      <c r="C28" s="119" t="s">
        <v>21</v>
      </c>
      <c r="D28" s="114"/>
      <c r="E28" s="114"/>
      <c r="F28" s="114"/>
      <c r="G28" s="115" t="s">
        <v>87</v>
      </c>
      <c r="H28" s="6"/>
      <c r="I28" s="32"/>
      <c r="J28" s="63"/>
      <c r="K28" s="63"/>
      <c r="L28" s="33"/>
      <c r="M28" s="33"/>
      <c r="N28" s="51"/>
      <c r="O28" s="51"/>
      <c r="P28" s="35">
        <f t="shared" si="0"/>
        <v>0</v>
      </c>
      <c r="Q28" s="32"/>
      <c r="R28" s="33"/>
      <c r="S28" s="33"/>
      <c r="T28" s="33"/>
      <c r="U28" s="33"/>
      <c r="V28" s="51"/>
      <c r="W28" s="51"/>
      <c r="X28" s="35">
        <f t="shared" si="1"/>
        <v>0</v>
      </c>
      <c r="Y28" s="32"/>
      <c r="Z28" s="33"/>
      <c r="AA28" s="33"/>
      <c r="AB28" s="33"/>
      <c r="AC28" s="33"/>
      <c r="AD28" s="51"/>
      <c r="AE28" s="51"/>
      <c r="AF28" s="35">
        <f t="shared" si="2"/>
        <v>0</v>
      </c>
      <c r="AG28" s="37">
        <f t="shared" si="3"/>
        <v>0</v>
      </c>
      <c r="AH28" s="33"/>
      <c r="AI28" s="33"/>
      <c r="AJ28" s="33"/>
      <c r="AK28" s="33"/>
      <c r="AL28" s="28">
        <f t="shared" si="4"/>
        <v>0</v>
      </c>
      <c r="AM28" s="28">
        <f t="shared" si="4"/>
        <v>0</v>
      </c>
      <c r="AN28" s="18">
        <f t="shared" si="4"/>
        <v>0</v>
      </c>
    </row>
    <row r="29" spans="1:40" ht="11.25" customHeight="1" x14ac:dyDescent="0.2">
      <c r="A29" s="113"/>
      <c r="B29" s="117" t="s">
        <v>32</v>
      </c>
      <c r="C29" s="119" t="s">
        <v>23</v>
      </c>
      <c r="D29" s="114"/>
      <c r="E29" s="114"/>
      <c r="F29" s="114"/>
      <c r="G29" s="115" t="s">
        <v>88</v>
      </c>
      <c r="H29" s="6"/>
      <c r="I29" s="32"/>
      <c r="J29" s="63"/>
      <c r="K29" s="63"/>
      <c r="L29" s="33"/>
      <c r="M29" s="33"/>
      <c r="N29" s="51"/>
      <c r="O29" s="51"/>
      <c r="P29" s="35">
        <f t="shared" si="0"/>
        <v>0</v>
      </c>
      <c r="Q29" s="32"/>
      <c r="R29" s="33"/>
      <c r="S29" s="33"/>
      <c r="T29" s="33"/>
      <c r="U29" s="33"/>
      <c r="V29" s="51"/>
      <c r="W29" s="51"/>
      <c r="X29" s="35">
        <f t="shared" si="1"/>
        <v>0</v>
      </c>
      <c r="Y29" s="32"/>
      <c r="Z29" s="33"/>
      <c r="AA29" s="33"/>
      <c r="AB29" s="33"/>
      <c r="AC29" s="33"/>
      <c r="AD29" s="51"/>
      <c r="AE29" s="51"/>
      <c r="AF29" s="35">
        <f t="shared" si="2"/>
        <v>0</v>
      </c>
      <c r="AG29" s="37">
        <f t="shared" si="3"/>
        <v>0</v>
      </c>
      <c r="AH29" s="33"/>
      <c r="AI29" s="33"/>
      <c r="AJ29" s="33"/>
      <c r="AK29" s="33"/>
      <c r="AL29" s="28">
        <f t="shared" si="4"/>
        <v>0</v>
      </c>
      <c r="AM29" s="28">
        <f t="shared" si="4"/>
        <v>0</v>
      </c>
      <c r="AN29" s="18">
        <f t="shared" si="4"/>
        <v>0</v>
      </c>
    </row>
    <row r="30" spans="1:40" ht="11.25" customHeight="1" x14ac:dyDescent="0.2">
      <c r="A30" s="113"/>
      <c r="B30" s="123" t="s">
        <v>33</v>
      </c>
      <c r="C30" s="123" t="s">
        <v>25</v>
      </c>
      <c r="D30" s="114"/>
      <c r="E30" s="114"/>
      <c r="F30" s="114"/>
      <c r="G30" s="115" t="s">
        <v>89</v>
      </c>
      <c r="H30" s="6"/>
      <c r="I30" s="32"/>
      <c r="J30" s="63"/>
      <c r="K30" s="63"/>
      <c r="L30" s="33"/>
      <c r="M30" s="33"/>
      <c r="N30" s="51"/>
      <c r="O30" s="51"/>
      <c r="P30" s="35">
        <f t="shared" si="0"/>
        <v>0</v>
      </c>
      <c r="Q30" s="32"/>
      <c r="R30" s="33"/>
      <c r="S30" s="33"/>
      <c r="T30" s="33"/>
      <c r="U30" s="33"/>
      <c r="V30" s="51"/>
      <c r="W30" s="51"/>
      <c r="X30" s="35">
        <f t="shared" si="1"/>
        <v>0</v>
      </c>
      <c r="Y30" s="32"/>
      <c r="Z30" s="33"/>
      <c r="AA30" s="33"/>
      <c r="AB30" s="33"/>
      <c r="AC30" s="33"/>
      <c r="AD30" s="51"/>
      <c r="AE30" s="51"/>
      <c r="AF30" s="35">
        <f t="shared" si="2"/>
        <v>0</v>
      </c>
      <c r="AG30" s="37">
        <f t="shared" si="3"/>
        <v>0</v>
      </c>
      <c r="AH30" s="33"/>
      <c r="AI30" s="33"/>
      <c r="AJ30" s="33"/>
      <c r="AK30" s="33"/>
      <c r="AL30" s="28">
        <f t="shared" si="4"/>
        <v>0</v>
      </c>
      <c r="AM30" s="28">
        <f t="shared" si="4"/>
        <v>0</v>
      </c>
      <c r="AN30" s="18">
        <f t="shared" si="4"/>
        <v>0</v>
      </c>
    </row>
    <row r="31" spans="1:40" ht="22.5" customHeight="1" x14ac:dyDescent="0.2">
      <c r="A31" s="113"/>
      <c r="B31" s="123" t="s">
        <v>36</v>
      </c>
      <c r="C31" s="163" t="s">
        <v>27</v>
      </c>
      <c r="D31" s="163"/>
      <c r="E31" s="124"/>
      <c r="F31" s="124"/>
      <c r="G31" s="118" t="s">
        <v>90</v>
      </c>
      <c r="H31" s="6"/>
      <c r="I31" s="64">
        <f xml:space="preserve"> (I32 + I33 + I34 + I35 + I36 + I37)</f>
        <v>0</v>
      </c>
      <c r="J31" s="65"/>
      <c r="K31" s="65"/>
      <c r="L31" s="65"/>
      <c r="M31" s="65"/>
      <c r="N31" s="64">
        <f xml:space="preserve"> (N32 + N33 + N34 + N35 + N36 + N37)</f>
        <v>0</v>
      </c>
      <c r="O31" s="64">
        <f xml:space="preserve"> (O32 + O33 + O34 + O35 + O36 + O37)</f>
        <v>0</v>
      </c>
      <c r="P31" s="35">
        <f t="shared" si="0"/>
        <v>0</v>
      </c>
      <c r="Q31" s="64">
        <f xml:space="preserve"> (Q32 + Q33 + Q34 + Q35 + Q36 + Q37)</f>
        <v>0</v>
      </c>
      <c r="R31" s="65"/>
      <c r="S31" s="65"/>
      <c r="T31" s="65"/>
      <c r="U31" s="65"/>
      <c r="V31" s="64">
        <f xml:space="preserve"> (V32 + V33 + V34 + V35 + V36 + V37)</f>
        <v>0</v>
      </c>
      <c r="W31" s="64">
        <f xml:space="preserve"> (W32 + W33 + W34 + W35 + W36 + W37)</f>
        <v>0</v>
      </c>
      <c r="X31" s="35">
        <f t="shared" si="1"/>
        <v>0</v>
      </c>
      <c r="Y31" s="64">
        <f xml:space="preserve"> (Y32 + Y33 + Y34 + Y35 + Y36 + Y37)</f>
        <v>0</v>
      </c>
      <c r="Z31" s="65"/>
      <c r="AA31" s="65"/>
      <c r="AB31" s="65"/>
      <c r="AC31" s="65"/>
      <c r="AD31" s="64">
        <f xml:space="preserve"> (AD32 + AD33 + AD34 + AD35 + AD36 + AD37)</f>
        <v>0</v>
      </c>
      <c r="AE31" s="64">
        <f xml:space="preserve"> (AE32 + AE33 + AE34 + AE35 + AE36 + AE37)</f>
        <v>0</v>
      </c>
      <c r="AF31" s="35">
        <f t="shared" si="2"/>
        <v>0</v>
      </c>
      <c r="AG31" s="37">
        <f t="shared" si="3"/>
        <v>0</v>
      </c>
      <c r="AH31" s="62"/>
      <c r="AI31" s="62"/>
      <c r="AJ31" s="62"/>
      <c r="AK31" s="62"/>
      <c r="AL31" s="28">
        <f t="shared" si="4"/>
        <v>0</v>
      </c>
      <c r="AM31" s="28">
        <f t="shared" si="4"/>
        <v>0</v>
      </c>
      <c r="AN31" s="18">
        <f t="shared" si="4"/>
        <v>0</v>
      </c>
    </row>
    <row r="32" spans="1:40" ht="11.25" customHeight="1" x14ac:dyDescent="0.2">
      <c r="A32" s="113"/>
      <c r="B32" s="120"/>
      <c r="C32" s="120" t="s">
        <v>14</v>
      </c>
      <c r="D32" s="125" t="s">
        <v>15</v>
      </c>
      <c r="E32" s="125"/>
      <c r="F32" s="125"/>
      <c r="G32" s="118" t="s">
        <v>91</v>
      </c>
      <c r="H32" s="6"/>
      <c r="I32" s="66"/>
      <c r="J32" s="63"/>
      <c r="K32" s="63"/>
      <c r="L32" s="33"/>
      <c r="M32" s="33"/>
      <c r="N32" s="51"/>
      <c r="O32" s="51"/>
      <c r="P32" s="35">
        <f t="shared" si="0"/>
        <v>0</v>
      </c>
      <c r="Q32" s="36"/>
      <c r="R32" s="33"/>
      <c r="S32" s="33"/>
      <c r="T32" s="33"/>
      <c r="U32" s="33"/>
      <c r="V32" s="51"/>
      <c r="W32" s="51"/>
      <c r="X32" s="35">
        <f t="shared" si="1"/>
        <v>0</v>
      </c>
      <c r="Y32" s="66"/>
      <c r="Z32" s="33"/>
      <c r="AA32" s="33"/>
      <c r="AB32" s="33"/>
      <c r="AC32" s="33"/>
      <c r="AD32" s="51"/>
      <c r="AE32" s="51"/>
      <c r="AF32" s="35">
        <f t="shared" si="2"/>
        <v>0</v>
      </c>
      <c r="AG32" s="37">
        <f t="shared" si="3"/>
        <v>0</v>
      </c>
      <c r="AH32" s="33"/>
      <c r="AI32" s="33"/>
      <c r="AJ32" s="33"/>
      <c r="AK32" s="33"/>
      <c r="AL32" s="28">
        <f t="shared" si="4"/>
        <v>0</v>
      </c>
      <c r="AM32" s="28">
        <f t="shared" si="4"/>
        <v>0</v>
      </c>
      <c r="AN32" s="18">
        <f t="shared" si="4"/>
        <v>0</v>
      </c>
    </row>
    <row r="33" spans="1:40" ht="11.25" customHeight="1" x14ac:dyDescent="0.2">
      <c r="A33" s="113"/>
      <c r="B33" s="120"/>
      <c r="C33" s="120" t="s">
        <v>16</v>
      </c>
      <c r="D33" s="114" t="s">
        <v>17</v>
      </c>
      <c r="E33" s="114"/>
      <c r="F33" s="114"/>
      <c r="G33" s="115" t="s">
        <v>92</v>
      </c>
      <c r="H33" s="6"/>
      <c r="I33" s="32"/>
      <c r="J33" s="63"/>
      <c r="K33" s="63"/>
      <c r="L33" s="33"/>
      <c r="M33" s="33"/>
      <c r="N33" s="51"/>
      <c r="O33" s="51"/>
      <c r="P33" s="35">
        <f t="shared" si="0"/>
        <v>0</v>
      </c>
      <c r="Q33" s="32"/>
      <c r="R33" s="33"/>
      <c r="S33" s="33"/>
      <c r="T33" s="33"/>
      <c r="U33" s="33"/>
      <c r="V33" s="51"/>
      <c r="W33" s="51"/>
      <c r="X33" s="35">
        <f t="shared" si="1"/>
        <v>0</v>
      </c>
      <c r="Y33" s="32"/>
      <c r="Z33" s="33"/>
      <c r="AA33" s="33"/>
      <c r="AB33" s="33"/>
      <c r="AC33" s="33"/>
      <c r="AD33" s="51"/>
      <c r="AE33" s="51"/>
      <c r="AF33" s="35">
        <f t="shared" si="2"/>
        <v>0</v>
      </c>
      <c r="AG33" s="37">
        <f t="shared" si="3"/>
        <v>0</v>
      </c>
      <c r="AH33" s="33"/>
      <c r="AI33" s="33"/>
      <c r="AJ33" s="33"/>
      <c r="AK33" s="33"/>
      <c r="AL33" s="28">
        <f t="shared" si="4"/>
        <v>0</v>
      </c>
      <c r="AM33" s="28">
        <f t="shared" si="4"/>
        <v>0</v>
      </c>
      <c r="AN33" s="18">
        <f t="shared" si="4"/>
        <v>0</v>
      </c>
    </row>
    <row r="34" spans="1:40" ht="11.25" customHeight="1" x14ac:dyDescent="0.2">
      <c r="A34" s="113"/>
      <c r="B34" s="120"/>
      <c r="C34" s="120" t="s">
        <v>18</v>
      </c>
      <c r="D34" s="114" t="s">
        <v>19</v>
      </c>
      <c r="E34" s="114"/>
      <c r="F34" s="114"/>
      <c r="G34" s="115" t="s">
        <v>93</v>
      </c>
      <c r="H34" s="6"/>
      <c r="I34" s="32"/>
      <c r="J34" s="63"/>
      <c r="K34" s="63"/>
      <c r="L34" s="33"/>
      <c r="M34" s="33"/>
      <c r="N34" s="51"/>
      <c r="O34" s="51"/>
      <c r="P34" s="35">
        <f t="shared" si="0"/>
        <v>0</v>
      </c>
      <c r="Q34" s="32"/>
      <c r="R34" s="33"/>
      <c r="S34" s="33"/>
      <c r="T34" s="33"/>
      <c r="U34" s="33"/>
      <c r="V34" s="51"/>
      <c r="W34" s="51"/>
      <c r="X34" s="35">
        <f t="shared" si="1"/>
        <v>0</v>
      </c>
      <c r="Y34" s="32"/>
      <c r="Z34" s="33"/>
      <c r="AA34" s="33"/>
      <c r="AB34" s="33"/>
      <c r="AC34" s="33"/>
      <c r="AD34" s="51"/>
      <c r="AE34" s="51"/>
      <c r="AF34" s="35">
        <f t="shared" si="2"/>
        <v>0</v>
      </c>
      <c r="AG34" s="37">
        <f t="shared" si="3"/>
        <v>0</v>
      </c>
      <c r="AH34" s="33"/>
      <c r="AI34" s="33"/>
      <c r="AJ34" s="33"/>
      <c r="AK34" s="33"/>
      <c r="AL34" s="28">
        <f t="shared" si="4"/>
        <v>0</v>
      </c>
      <c r="AM34" s="28">
        <f t="shared" si="4"/>
        <v>0</v>
      </c>
      <c r="AN34" s="18">
        <f t="shared" si="4"/>
        <v>0</v>
      </c>
    </row>
    <row r="35" spans="1:40" ht="11.25" customHeight="1" x14ac:dyDescent="0.2">
      <c r="A35" s="113"/>
      <c r="B35" s="120"/>
      <c r="C35" s="120" t="s">
        <v>20</v>
      </c>
      <c r="D35" s="114" t="s">
        <v>21</v>
      </c>
      <c r="E35" s="114"/>
      <c r="F35" s="114"/>
      <c r="G35" s="115" t="s">
        <v>94</v>
      </c>
      <c r="H35" s="6"/>
      <c r="I35" s="32"/>
      <c r="J35" s="63"/>
      <c r="K35" s="63"/>
      <c r="L35" s="33"/>
      <c r="M35" s="33"/>
      <c r="N35" s="51"/>
      <c r="O35" s="51"/>
      <c r="P35" s="35">
        <f t="shared" si="0"/>
        <v>0</v>
      </c>
      <c r="Q35" s="32"/>
      <c r="R35" s="33"/>
      <c r="S35" s="33"/>
      <c r="T35" s="33"/>
      <c r="U35" s="33"/>
      <c r="V35" s="51"/>
      <c r="W35" s="51"/>
      <c r="X35" s="35">
        <f t="shared" si="1"/>
        <v>0</v>
      </c>
      <c r="Y35" s="32"/>
      <c r="Z35" s="33"/>
      <c r="AA35" s="33"/>
      <c r="AB35" s="33"/>
      <c r="AC35" s="33"/>
      <c r="AD35" s="51"/>
      <c r="AE35" s="51"/>
      <c r="AF35" s="35">
        <f t="shared" si="2"/>
        <v>0</v>
      </c>
      <c r="AG35" s="37">
        <f t="shared" si="3"/>
        <v>0</v>
      </c>
      <c r="AH35" s="33"/>
      <c r="AI35" s="33"/>
      <c r="AJ35" s="33"/>
      <c r="AK35" s="33"/>
      <c r="AL35" s="28">
        <f t="shared" si="4"/>
        <v>0</v>
      </c>
      <c r="AM35" s="28">
        <f t="shared" si="4"/>
        <v>0</v>
      </c>
      <c r="AN35" s="18">
        <f t="shared" si="4"/>
        <v>0</v>
      </c>
    </row>
    <row r="36" spans="1:40" ht="11.25" customHeight="1" x14ac:dyDescent="0.2">
      <c r="A36" s="113"/>
      <c r="B36" s="120"/>
      <c r="C36" s="120" t="s">
        <v>22</v>
      </c>
      <c r="D36" s="114" t="s">
        <v>23</v>
      </c>
      <c r="E36" s="114"/>
      <c r="F36" s="114"/>
      <c r="G36" s="115" t="s">
        <v>95</v>
      </c>
      <c r="H36" s="6"/>
      <c r="I36" s="32"/>
      <c r="J36" s="63"/>
      <c r="K36" s="63"/>
      <c r="L36" s="33"/>
      <c r="M36" s="33"/>
      <c r="N36" s="51"/>
      <c r="O36" s="51"/>
      <c r="P36" s="35">
        <f t="shared" si="0"/>
        <v>0</v>
      </c>
      <c r="Q36" s="32"/>
      <c r="R36" s="33"/>
      <c r="S36" s="33"/>
      <c r="T36" s="33"/>
      <c r="U36" s="33"/>
      <c r="V36" s="51"/>
      <c r="W36" s="51"/>
      <c r="X36" s="35">
        <f t="shared" si="1"/>
        <v>0</v>
      </c>
      <c r="Y36" s="32"/>
      <c r="Z36" s="33"/>
      <c r="AA36" s="33"/>
      <c r="AB36" s="33"/>
      <c r="AC36" s="33"/>
      <c r="AD36" s="51"/>
      <c r="AE36" s="51"/>
      <c r="AF36" s="35">
        <f t="shared" si="2"/>
        <v>0</v>
      </c>
      <c r="AG36" s="37">
        <f t="shared" si="3"/>
        <v>0</v>
      </c>
      <c r="AH36" s="33"/>
      <c r="AI36" s="33"/>
      <c r="AJ36" s="33"/>
      <c r="AK36" s="33"/>
      <c r="AL36" s="28">
        <f t="shared" si="4"/>
        <v>0</v>
      </c>
      <c r="AM36" s="28">
        <f t="shared" si="4"/>
        <v>0</v>
      </c>
      <c r="AN36" s="18">
        <f t="shared" si="4"/>
        <v>0</v>
      </c>
    </row>
    <row r="37" spans="1:40" ht="11.25" customHeight="1" x14ac:dyDescent="0.2">
      <c r="A37" s="113"/>
      <c r="B37" s="120"/>
      <c r="C37" s="120" t="s">
        <v>24</v>
      </c>
      <c r="D37" s="114" t="s">
        <v>25</v>
      </c>
      <c r="E37" s="114"/>
      <c r="F37" s="114"/>
      <c r="G37" s="115" t="s">
        <v>96</v>
      </c>
      <c r="H37" s="6"/>
      <c r="I37" s="32"/>
      <c r="J37" s="63"/>
      <c r="K37" s="63"/>
      <c r="L37" s="33"/>
      <c r="M37" s="33"/>
      <c r="N37" s="51"/>
      <c r="O37" s="51"/>
      <c r="P37" s="35">
        <f t="shared" si="0"/>
        <v>0</v>
      </c>
      <c r="Q37" s="32"/>
      <c r="R37" s="33"/>
      <c r="S37" s="33"/>
      <c r="T37" s="33"/>
      <c r="U37" s="33"/>
      <c r="V37" s="51"/>
      <c r="W37" s="51"/>
      <c r="X37" s="35">
        <f t="shared" si="1"/>
        <v>0</v>
      </c>
      <c r="Y37" s="32"/>
      <c r="Z37" s="33"/>
      <c r="AA37" s="33"/>
      <c r="AB37" s="33"/>
      <c r="AC37" s="33"/>
      <c r="AD37" s="51"/>
      <c r="AE37" s="51"/>
      <c r="AF37" s="35">
        <f t="shared" si="2"/>
        <v>0</v>
      </c>
      <c r="AG37" s="37">
        <f t="shared" si="3"/>
        <v>0</v>
      </c>
      <c r="AH37" s="33"/>
      <c r="AI37" s="33"/>
      <c r="AJ37" s="33"/>
      <c r="AK37" s="33"/>
      <c r="AL37" s="28">
        <f t="shared" si="4"/>
        <v>0</v>
      </c>
      <c r="AM37" s="28">
        <f t="shared" si="4"/>
        <v>0</v>
      </c>
      <c r="AN37" s="18">
        <f t="shared" si="4"/>
        <v>0</v>
      </c>
    </row>
    <row r="38" spans="1:40" ht="11.25" customHeight="1" x14ac:dyDescent="0.2">
      <c r="A38" s="113" t="s">
        <v>56</v>
      </c>
      <c r="B38" s="162" t="s">
        <v>38</v>
      </c>
      <c r="C38" s="162"/>
      <c r="D38" s="162"/>
      <c r="E38" s="117"/>
      <c r="F38" s="117"/>
      <c r="G38" s="101" t="s">
        <v>97</v>
      </c>
      <c r="H38" s="27"/>
      <c r="I38" s="32"/>
      <c r="J38" s="63"/>
      <c r="K38" s="63"/>
      <c r="L38" s="33"/>
      <c r="M38" s="33"/>
      <c r="N38" s="51"/>
      <c r="O38" s="51"/>
      <c r="P38" s="35">
        <f t="shared" si="0"/>
        <v>0</v>
      </c>
      <c r="Q38" s="32"/>
      <c r="R38" s="33"/>
      <c r="S38" s="33"/>
      <c r="T38" s="33"/>
      <c r="U38" s="33"/>
      <c r="V38" s="51"/>
      <c r="W38" s="51"/>
      <c r="X38" s="35">
        <f t="shared" si="1"/>
        <v>0</v>
      </c>
      <c r="Y38" s="32"/>
      <c r="Z38" s="33"/>
      <c r="AA38" s="33"/>
      <c r="AB38" s="33"/>
      <c r="AC38" s="33"/>
      <c r="AD38" s="51"/>
      <c r="AE38" s="51"/>
      <c r="AF38" s="35">
        <f t="shared" si="2"/>
        <v>0</v>
      </c>
      <c r="AG38" s="37">
        <f t="shared" si="3"/>
        <v>0</v>
      </c>
      <c r="AH38" s="33"/>
      <c r="AI38" s="33"/>
      <c r="AJ38" s="33"/>
      <c r="AK38" s="33"/>
      <c r="AL38" s="28">
        <f t="shared" si="4"/>
        <v>0</v>
      </c>
      <c r="AM38" s="28">
        <f t="shared" si="4"/>
        <v>0</v>
      </c>
      <c r="AN38" s="18">
        <f t="shared" si="4"/>
        <v>0</v>
      </c>
    </row>
    <row r="39" spans="1:40" ht="11.25" customHeight="1" x14ac:dyDescent="0.2">
      <c r="A39" s="126" t="s">
        <v>146</v>
      </c>
      <c r="B39" s="120"/>
      <c r="C39" s="120"/>
      <c r="D39" s="114"/>
      <c r="E39" s="114"/>
      <c r="F39" s="114"/>
      <c r="G39" s="115" t="s">
        <v>98</v>
      </c>
      <c r="H39" s="6"/>
      <c r="I39" s="67">
        <f xml:space="preserve"> (I10 + I11 + I12 + I13 + I14 + I15 + I16 + I17 + I24 + I38)</f>
        <v>0</v>
      </c>
      <c r="J39" s="68"/>
      <c r="K39" s="68"/>
      <c r="L39" s="68"/>
      <c r="M39" s="68"/>
      <c r="N39" s="67">
        <f xml:space="preserve"> (N10 + N11 + N12 + N13 + N14 + N15 + N16 + N17 + N24 + N38)</f>
        <v>0</v>
      </c>
      <c r="O39" s="67">
        <f xml:space="preserve"> (O10 + O11 + O12 + O13 + O14 + O15 + O16 + O17 + O24 + O38)</f>
        <v>0</v>
      </c>
      <c r="P39" s="35">
        <f t="shared" si="0"/>
        <v>0</v>
      </c>
      <c r="Q39" s="69">
        <f xml:space="preserve"> (Q10 + Q11 + Q12 + Q13 + Q14 + Q15 + Q16 + Q17 + Q24 + Q38)</f>
        <v>0</v>
      </c>
      <c r="R39" s="70"/>
      <c r="S39" s="70"/>
      <c r="T39" s="70"/>
      <c r="U39" s="70"/>
      <c r="V39" s="69">
        <f xml:space="preserve"> (V10 + V11 + V12 + V13 + V14 + V15 + V16 + V17 + V24 + V38)</f>
        <v>0</v>
      </c>
      <c r="W39" s="69">
        <f xml:space="preserve"> (W10 + W11 + W12 + W13 + W14 + W15 + W16 + W17 + W24 + W38)</f>
        <v>0</v>
      </c>
      <c r="X39" s="35">
        <f t="shared" si="1"/>
        <v>0</v>
      </c>
      <c r="Y39" s="69">
        <f xml:space="preserve"> (Y10 + Y11 + Y12 + Y13 + Y14 + Y15 + Y16 + Y17 + Y24 + Y38)</f>
        <v>0</v>
      </c>
      <c r="Z39" s="70"/>
      <c r="AA39" s="70"/>
      <c r="AB39" s="70"/>
      <c r="AC39" s="70"/>
      <c r="AD39" s="69">
        <f xml:space="preserve"> (AD10 + AD11 + AD12 + AD13 + AD14 + AD15 + AD16 + AD17 + AD24 + AD38)</f>
        <v>0</v>
      </c>
      <c r="AE39" s="69">
        <f xml:space="preserve"> (AE10 + AE11 + AE12 + AE13 + AE14 + AE15 + AE16 + AE17 + AE24 + AE38)</f>
        <v>0</v>
      </c>
      <c r="AF39" s="35">
        <f t="shared" si="2"/>
        <v>0</v>
      </c>
      <c r="AG39" s="37">
        <f t="shared" si="3"/>
        <v>0</v>
      </c>
      <c r="AH39" s="70"/>
      <c r="AI39" s="70"/>
      <c r="AJ39" s="70"/>
      <c r="AK39" s="70"/>
      <c r="AL39" s="28">
        <f>N39-V39-AD39</f>
        <v>0</v>
      </c>
      <c r="AM39" s="28">
        <f>O39-W39-AE39</f>
        <v>0</v>
      </c>
      <c r="AN39" s="18">
        <f>P39-X39-AF39</f>
        <v>0</v>
      </c>
    </row>
    <row r="40" spans="1:40" x14ac:dyDescent="0.2">
      <c r="G40" s="7" t="s">
        <v>99</v>
      </c>
    </row>
  </sheetData>
  <sheetProtection password="A1D8" sheet="1" objects="1" scenarios="1" selectLockedCells="1"/>
  <mergeCells count="37">
    <mergeCell ref="B17:D17"/>
    <mergeCell ref="C31:D31"/>
    <mergeCell ref="B38:D38"/>
    <mergeCell ref="AJ8:AK8"/>
    <mergeCell ref="AB8:AC8"/>
    <mergeCell ref="Q8:Q9"/>
    <mergeCell ref="R8:S8"/>
    <mergeCell ref="T8:U8"/>
    <mergeCell ref="V8:W8"/>
    <mergeCell ref="J8:K8"/>
    <mergeCell ref="B16:D16"/>
    <mergeCell ref="AD8:AE8"/>
    <mergeCell ref="AF8:AF9"/>
    <mergeCell ref="AG8:AG9"/>
    <mergeCell ref="X8:X9"/>
    <mergeCell ref="Y8:Y9"/>
    <mergeCell ref="Z8:AA8"/>
    <mergeCell ref="A5:AT5"/>
    <mergeCell ref="A6:AT6"/>
    <mergeCell ref="A7:D9"/>
    <mergeCell ref="G7:G9"/>
    <mergeCell ref="H7:H9"/>
    <mergeCell ref="I7:P7"/>
    <mergeCell ref="Q7:X7"/>
    <mergeCell ref="AL8:AM8"/>
    <mergeCell ref="AN8:AN9"/>
    <mergeCell ref="AH8:AI8"/>
    <mergeCell ref="Y7:AF7"/>
    <mergeCell ref="AG7:AN7"/>
    <mergeCell ref="I8:I9"/>
    <mergeCell ref="A1:AN1"/>
    <mergeCell ref="A2:AT2"/>
    <mergeCell ref="A3:AT3"/>
    <mergeCell ref="A4:AT4"/>
    <mergeCell ref="L8:M8"/>
    <mergeCell ref="N8:O8"/>
    <mergeCell ref="P8:P9"/>
  </mergeCells>
  <phoneticPr fontId="1" type="noConversion"/>
  <dataValidations count="2">
    <dataValidation type="decimal" operator="greaterThanOrEqual" allowBlank="1" showInputMessage="1" showErrorMessage="1" errorTitle="Invalid Entry" error="The value you entered is not valid." sqref="Q11:Q16 Y10:Y16 I32:I38 I18:I23 Q19:Q23 Y18:Y23 Q33:Q38 I25:I30 Q26:Q30 Y25:Y30 Y32:Y38 AH10:AM10 I10:I16 AG10:AG39 AL11:AM39">
      <formula1>0</formula1>
    </dataValidation>
    <dataValidation allowBlank="1" showInputMessage="1" showErrorMessage="1" sqref="J10:Q10 Z32:AF38 I31:AF31 J32:Q32 J25:Q25 J18:Q18 J33:P38 R10:X15 J19:P23 J26:P30 J11:P15 R32:X38 I24:AF24 I39:AF39 Z10:AF16 R18:X23 R25:X30 Z18:AF23 Z25:AF30 V17:AF17 AN10:AN39 V16:X16 N16:P16 N17:Q17 R16:U17 AH11:AK39 J16:M17 I17"/>
  </dataValidations>
  <pageMargins left="0.25" right="0.25" top="1" bottom="0.5" header="0.5" footer="0.5"/>
  <pageSetup paperSize="9" orientation="landscape" r:id="rId1"/>
  <headerFooter alignWithMargins="0">
    <oddHeader>&amp;R&amp;"Arial,Bold"&amp;9&amp;USchedule 16&amp;U
  &amp;P of &amp;N&amp;C&amp;"Arial,Bold"&amp;8 NEW RURAL BANK OF SAN LEONARDO, INC  [ 04-040656 ]
 As of: September 30, 2017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V27"/>
  <sheetViews>
    <sheetView zoomScale="75" zoomScaleNormal="75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1.25" x14ac:dyDescent="0.2"/>
  <cols>
    <col min="1" max="1" width="3.42578125" style="2" customWidth="1"/>
    <col min="2" max="2" width="3.140625" style="2" customWidth="1"/>
    <col min="3" max="3" width="3" style="2" customWidth="1"/>
    <col min="4" max="4" width="33.140625" style="2" customWidth="1"/>
    <col min="5" max="5" width="4.42578125" style="2" hidden="1" customWidth="1"/>
    <col min="6" max="6" width="4.85546875" style="2" hidden="1" customWidth="1"/>
    <col min="7" max="7" width="16.5703125" style="2" customWidth="1"/>
    <col min="8" max="8" width="5.85546875" style="2" customWidth="1"/>
    <col min="9" max="9" width="18.7109375" style="2" customWidth="1"/>
    <col min="10" max="10" width="15.85546875" style="2" customWidth="1"/>
    <col min="11" max="11" width="18.7109375" style="2" customWidth="1"/>
    <col min="12" max="12" width="15.7109375" style="2" customWidth="1"/>
    <col min="13" max="13" width="18.7109375" style="2" customWidth="1"/>
    <col min="14" max="15" width="18.7109375" style="2" hidden="1" customWidth="1"/>
    <col min="16" max="16" width="20.7109375" style="2" customWidth="1"/>
    <col min="17" max="17" width="18.7109375" style="2" customWidth="1"/>
    <col min="18" max="18" width="15.85546875" style="2" customWidth="1"/>
    <col min="19" max="19" width="18.7109375" style="2" customWidth="1"/>
    <col min="20" max="20" width="15.7109375" style="2" customWidth="1"/>
    <col min="21" max="21" width="18.7109375" style="2" customWidth="1"/>
    <col min="22" max="23" width="18.7109375" style="2" hidden="1" customWidth="1"/>
    <col min="24" max="24" width="20.7109375" style="2" customWidth="1"/>
    <col min="25" max="25" width="18.7109375" style="2" customWidth="1"/>
    <col min="26" max="26" width="15.85546875" style="2" customWidth="1"/>
    <col min="27" max="27" width="18.7109375" style="2" customWidth="1"/>
    <col min="28" max="28" width="15.7109375" style="2" customWidth="1"/>
    <col min="29" max="29" width="18.7109375" style="2" customWidth="1"/>
    <col min="30" max="31" width="18.7109375" style="2" hidden="1" customWidth="1"/>
    <col min="32" max="32" width="20.7109375" style="2" customWidth="1"/>
    <col min="33" max="33" width="18.7109375" style="2" customWidth="1"/>
    <col min="34" max="34" width="15.7109375" style="2" customWidth="1"/>
    <col min="35" max="35" width="18.7109375" style="2" customWidth="1"/>
    <col min="36" max="36" width="15.7109375" style="2" customWidth="1"/>
    <col min="37" max="37" width="18.7109375" style="2" customWidth="1"/>
    <col min="38" max="39" width="18.7109375" style="2" hidden="1" customWidth="1"/>
    <col min="40" max="40" width="20.7109375" style="2" customWidth="1"/>
    <col min="41" max="41" width="18.7109375" style="2" customWidth="1"/>
    <col min="42" max="42" width="15.7109375" style="2" customWidth="1"/>
    <col min="43" max="43" width="18.7109375" style="2" customWidth="1"/>
    <col min="44" max="44" width="15.7109375" style="2" customWidth="1"/>
    <col min="45" max="45" width="18.7109375" style="2" customWidth="1"/>
    <col min="46" max="47" width="18.7109375" style="2" hidden="1" customWidth="1"/>
    <col min="48" max="48" width="20.7109375" style="2" customWidth="1"/>
    <col min="49" max="16384" width="9.140625" style="2"/>
  </cols>
  <sheetData>
    <row r="1" spans="1:48" s="59" customFormat="1" ht="12.75" customHeight="1" x14ac:dyDescent="0.2">
      <c r="A1" s="143" t="s">
        <v>39</v>
      </c>
      <c r="B1" s="143"/>
      <c r="C1" s="143"/>
      <c r="D1" s="143"/>
      <c r="E1" s="143"/>
      <c r="F1" s="143"/>
      <c r="G1" s="143"/>
      <c r="H1" s="143"/>
    </row>
    <row r="2" spans="1:48" ht="12.75" hidden="1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ht="12.75" hidden="1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</row>
    <row r="4" spans="1:48" ht="12.75" hidden="1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</row>
    <row r="5" spans="1:48" ht="12.75" hidden="1" customHeight="1" thickBo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48" ht="12.75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48" ht="11.25" customHeight="1" x14ac:dyDescent="0.2">
      <c r="A7" s="149" t="s">
        <v>1</v>
      </c>
      <c r="B7" s="150"/>
      <c r="C7" s="150"/>
      <c r="D7" s="151"/>
      <c r="E7" s="127"/>
      <c r="F7" s="127"/>
      <c r="G7" s="158" t="s">
        <v>2</v>
      </c>
      <c r="H7" s="166"/>
      <c r="I7" s="138" t="s">
        <v>3</v>
      </c>
      <c r="J7" s="139"/>
      <c r="K7" s="139"/>
      <c r="L7" s="139"/>
      <c r="M7" s="139"/>
      <c r="N7" s="139"/>
      <c r="O7" s="139"/>
      <c r="P7" s="140"/>
      <c r="Q7" s="138" t="s">
        <v>4</v>
      </c>
      <c r="R7" s="139"/>
      <c r="S7" s="139"/>
      <c r="T7" s="139"/>
      <c r="U7" s="139"/>
      <c r="V7" s="139"/>
      <c r="W7" s="139"/>
      <c r="X7" s="140"/>
      <c r="Y7" s="138" t="s">
        <v>5</v>
      </c>
      <c r="Z7" s="139"/>
      <c r="AA7" s="139"/>
      <c r="AB7" s="139"/>
      <c r="AC7" s="139"/>
      <c r="AD7" s="139"/>
      <c r="AE7" s="139"/>
      <c r="AF7" s="140"/>
      <c r="AG7" s="138" t="s">
        <v>6</v>
      </c>
      <c r="AH7" s="139"/>
      <c r="AI7" s="139"/>
      <c r="AJ7" s="139"/>
      <c r="AK7" s="139"/>
      <c r="AL7" s="139"/>
      <c r="AM7" s="139"/>
      <c r="AN7" s="140"/>
      <c r="AO7" s="138" t="s">
        <v>498</v>
      </c>
      <c r="AP7" s="139"/>
      <c r="AQ7" s="139"/>
      <c r="AR7" s="139"/>
      <c r="AS7" s="139"/>
      <c r="AT7" s="139"/>
      <c r="AU7" s="139"/>
      <c r="AV7" s="140"/>
    </row>
    <row r="8" spans="1:48" ht="11.25" customHeight="1" x14ac:dyDescent="0.2">
      <c r="A8" s="152"/>
      <c r="B8" s="153"/>
      <c r="C8" s="153"/>
      <c r="D8" s="154"/>
      <c r="E8" s="98"/>
      <c r="F8" s="98"/>
      <c r="G8" s="164"/>
      <c r="H8" s="167"/>
      <c r="I8" s="141" t="s">
        <v>7</v>
      </c>
      <c r="J8" s="146" t="s">
        <v>8</v>
      </c>
      <c r="K8" s="147"/>
      <c r="L8" s="146" t="s">
        <v>9</v>
      </c>
      <c r="M8" s="147"/>
      <c r="N8" s="146" t="s">
        <v>138</v>
      </c>
      <c r="O8" s="147"/>
      <c r="P8" s="141" t="s">
        <v>10</v>
      </c>
      <c r="Q8" s="141" t="s">
        <v>7</v>
      </c>
      <c r="R8" s="146" t="s">
        <v>8</v>
      </c>
      <c r="S8" s="147"/>
      <c r="T8" s="146" t="s">
        <v>9</v>
      </c>
      <c r="U8" s="147"/>
      <c r="V8" s="146" t="s">
        <v>138</v>
      </c>
      <c r="W8" s="147"/>
      <c r="X8" s="141" t="s">
        <v>10</v>
      </c>
      <c r="Y8" s="141" t="s">
        <v>7</v>
      </c>
      <c r="Z8" s="146" t="s">
        <v>8</v>
      </c>
      <c r="AA8" s="147"/>
      <c r="AB8" s="146" t="s">
        <v>9</v>
      </c>
      <c r="AC8" s="147"/>
      <c r="AD8" s="146" t="s">
        <v>138</v>
      </c>
      <c r="AE8" s="147"/>
      <c r="AF8" s="141" t="s">
        <v>10</v>
      </c>
      <c r="AG8" s="141" t="s">
        <v>7</v>
      </c>
      <c r="AH8" s="146" t="s">
        <v>8</v>
      </c>
      <c r="AI8" s="147"/>
      <c r="AJ8" s="146" t="s">
        <v>9</v>
      </c>
      <c r="AK8" s="147"/>
      <c r="AL8" s="146" t="s">
        <v>138</v>
      </c>
      <c r="AM8" s="147"/>
      <c r="AN8" s="141" t="s">
        <v>10</v>
      </c>
      <c r="AO8" s="141" t="s">
        <v>7</v>
      </c>
      <c r="AP8" s="146" t="s">
        <v>8</v>
      </c>
      <c r="AQ8" s="147"/>
      <c r="AR8" s="146" t="s">
        <v>9</v>
      </c>
      <c r="AS8" s="147"/>
      <c r="AT8" s="146" t="s">
        <v>138</v>
      </c>
      <c r="AU8" s="147"/>
      <c r="AV8" s="141" t="s">
        <v>10</v>
      </c>
    </row>
    <row r="9" spans="1:48" ht="11.25" customHeight="1" x14ac:dyDescent="0.2">
      <c r="A9" s="155"/>
      <c r="B9" s="156"/>
      <c r="C9" s="156"/>
      <c r="D9" s="157"/>
      <c r="E9" s="98"/>
      <c r="F9" s="98"/>
      <c r="G9" s="165"/>
      <c r="H9" s="168"/>
      <c r="I9" s="142"/>
      <c r="J9" s="3" t="s">
        <v>12</v>
      </c>
      <c r="K9" s="4" t="s">
        <v>13</v>
      </c>
      <c r="L9" s="3" t="s">
        <v>12</v>
      </c>
      <c r="M9" s="4" t="s">
        <v>13</v>
      </c>
      <c r="N9" s="3" t="s">
        <v>12</v>
      </c>
      <c r="O9" s="4" t="s">
        <v>13</v>
      </c>
      <c r="P9" s="142"/>
      <c r="Q9" s="142"/>
      <c r="R9" s="3" t="s">
        <v>12</v>
      </c>
      <c r="S9" s="4" t="s">
        <v>13</v>
      </c>
      <c r="T9" s="3" t="s">
        <v>12</v>
      </c>
      <c r="U9" s="4" t="s">
        <v>13</v>
      </c>
      <c r="V9" s="3" t="s">
        <v>12</v>
      </c>
      <c r="W9" s="4" t="s">
        <v>13</v>
      </c>
      <c r="X9" s="142"/>
      <c r="Y9" s="142"/>
      <c r="Z9" s="3" t="s">
        <v>12</v>
      </c>
      <c r="AA9" s="4" t="s">
        <v>13</v>
      </c>
      <c r="AB9" s="3" t="s">
        <v>12</v>
      </c>
      <c r="AC9" s="4" t="s">
        <v>13</v>
      </c>
      <c r="AD9" s="3" t="s">
        <v>12</v>
      </c>
      <c r="AE9" s="4" t="s">
        <v>13</v>
      </c>
      <c r="AF9" s="142"/>
      <c r="AG9" s="142"/>
      <c r="AH9" s="3" t="s">
        <v>12</v>
      </c>
      <c r="AI9" s="4" t="s">
        <v>13</v>
      </c>
      <c r="AJ9" s="3" t="s">
        <v>12</v>
      </c>
      <c r="AK9" s="4" t="s">
        <v>13</v>
      </c>
      <c r="AL9" s="3" t="s">
        <v>12</v>
      </c>
      <c r="AM9" s="4" t="s">
        <v>13</v>
      </c>
      <c r="AN9" s="142"/>
      <c r="AO9" s="142"/>
      <c r="AP9" s="3" t="s">
        <v>12</v>
      </c>
      <c r="AQ9" s="4" t="s">
        <v>13</v>
      </c>
      <c r="AR9" s="3" t="s">
        <v>12</v>
      </c>
      <c r="AS9" s="4" t="s">
        <v>13</v>
      </c>
      <c r="AT9" s="3" t="s">
        <v>12</v>
      </c>
      <c r="AU9" s="4" t="s">
        <v>13</v>
      </c>
      <c r="AV9" s="142"/>
    </row>
    <row r="10" spans="1:48" ht="12.75" x14ac:dyDescent="0.2">
      <c r="A10" s="128" t="s">
        <v>165</v>
      </c>
      <c r="B10" s="111"/>
      <c r="C10" s="111"/>
      <c r="D10" s="112"/>
      <c r="E10" s="98"/>
      <c r="F10" s="98"/>
      <c r="G10" s="129"/>
      <c r="H10" s="72"/>
      <c r="I10" s="88"/>
      <c r="J10" s="89"/>
      <c r="K10" s="90"/>
      <c r="L10" s="89"/>
      <c r="M10" s="90"/>
      <c r="N10" s="89"/>
      <c r="O10" s="90"/>
      <c r="P10" s="88"/>
      <c r="Q10" s="88"/>
      <c r="R10" s="89"/>
      <c r="S10" s="90"/>
      <c r="T10" s="89"/>
      <c r="U10" s="90"/>
      <c r="V10" s="91"/>
      <c r="W10" s="92"/>
      <c r="X10" s="93"/>
      <c r="Y10" s="88"/>
      <c r="Z10" s="89"/>
      <c r="AA10" s="90"/>
      <c r="AB10" s="89"/>
      <c r="AC10" s="90"/>
      <c r="AD10" s="89"/>
      <c r="AE10" s="90"/>
      <c r="AF10" s="88"/>
      <c r="AG10" s="93"/>
      <c r="AH10" s="91"/>
      <c r="AI10" s="92"/>
      <c r="AJ10" s="91"/>
      <c r="AK10" s="92"/>
      <c r="AL10" s="91"/>
      <c r="AM10" s="92"/>
      <c r="AN10" s="93"/>
      <c r="AO10" s="88"/>
      <c r="AP10" s="89"/>
      <c r="AQ10" s="90"/>
      <c r="AR10" s="89"/>
      <c r="AS10" s="90"/>
      <c r="AT10" s="89"/>
      <c r="AU10" s="90"/>
      <c r="AV10" s="88"/>
    </row>
    <row r="11" spans="1:48" x14ac:dyDescent="0.2">
      <c r="A11" s="113" t="s">
        <v>14</v>
      </c>
      <c r="B11" s="114" t="s">
        <v>15</v>
      </c>
      <c r="C11" s="114"/>
      <c r="D11" s="114"/>
      <c r="E11" s="114"/>
      <c r="F11" s="114"/>
      <c r="G11" s="115" t="s">
        <v>100</v>
      </c>
      <c r="H11" s="5"/>
      <c r="I11" s="32"/>
      <c r="J11" s="86"/>
      <c r="K11" s="86"/>
      <c r="L11" s="34"/>
      <c r="M11" s="34"/>
      <c r="N11" s="34"/>
      <c r="O11" s="34"/>
      <c r="P11" s="35">
        <f>I11+K11+M11+O11</f>
        <v>0</v>
      </c>
      <c r="Q11" s="80"/>
      <c r="R11" s="86"/>
      <c r="S11" s="86"/>
      <c r="T11" s="86"/>
      <c r="U11" s="86"/>
      <c r="V11" s="94"/>
      <c r="W11" s="94"/>
      <c r="X11" s="79"/>
      <c r="Y11" s="32"/>
      <c r="Z11" s="86"/>
      <c r="AA11" s="86"/>
      <c r="AB11" s="34"/>
      <c r="AC11" s="34"/>
      <c r="AD11" s="34"/>
      <c r="AE11" s="34"/>
      <c r="AF11" s="35">
        <f>Y11+AA11+AC11+AE11</f>
        <v>0</v>
      </c>
      <c r="AG11" s="37">
        <f>I11-Q11-Y11</f>
        <v>0</v>
      </c>
      <c r="AH11" s="86"/>
      <c r="AI11" s="86"/>
      <c r="AJ11" s="37">
        <f t="shared" ref="AJ11:AK13" si="0">L11-T11-AB11</f>
        <v>0</v>
      </c>
      <c r="AK11" s="37">
        <f t="shared" si="0"/>
        <v>0</v>
      </c>
      <c r="AL11" s="37"/>
      <c r="AM11" s="37"/>
      <c r="AN11" s="37">
        <f>P11-X11-AF11</f>
        <v>0</v>
      </c>
      <c r="AO11" s="32"/>
      <c r="AP11" s="80"/>
      <c r="AQ11" s="80"/>
      <c r="AR11" s="32"/>
      <c r="AS11" s="32"/>
      <c r="AT11" s="37"/>
      <c r="AU11" s="37"/>
      <c r="AV11" s="35">
        <f>AO11+AQ11+AS11+AU11</f>
        <v>0</v>
      </c>
    </row>
    <row r="12" spans="1:48" x14ac:dyDescent="0.2">
      <c r="A12" s="113" t="s">
        <v>16</v>
      </c>
      <c r="B12" s="114" t="s">
        <v>17</v>
      </c>
      <c r="C12" s="114"/>
      <c r="D12" s="114"/>
      <c r="E12" s="114"/>
      <c r="F12" s="114"/>
      <c r="G12" s="115" t="s">
        <v>101</v>
      </c>
      <c r="H12" s="5"/>
      <c r="I12" s="32"/>
      <c r="J12" s="86"/>
      <c r="K12" s="86"/>
      <c r="L12" s="34"/>
      <c r="M12" s="34"/>
      <c r="N12" s="34"/>
      <c r="O12" s="34"/>
      <c r="P12" s="35">
        <f>I12+K12+M12+O12</f>
        <v>0</v>
      </c>
      <c r="Q12" s="32"/>
      <c r="R12" s="86"/>
      <c r="S12" s="86"/>
      <c r="T12" s="34"/>
      <c r="U12" s="34"/>
      <c r="V12" s="34"/>
      <c r="W12" s="34"/>
      <c r="X12" s="35">
        <f>Q12+S12+U12+W12</f>
        <v>0</v>
      </c>
      <c r="Y12" s="32"/>
      <c r="Z12" s="86"/>
      <c r="AA12" s="86"/>
      <c r="AB12" s="34"/>
      <c r="AC12" s="34"/>
      <c r="AD12" s="34"/>
      <c r="AE12" s="34"/>
      <c r="AF12" s="35">
        <f>Y12+AA12+AC12+AE12</f>
        <v>0</v>
      </c>
      <c r="AG12" s="37">
        <f>I12-Q12-Y12</f>
        <v>0</v>
      </c>
      <c r="AH12" s="86"/>
      <c r="AI12" s="86"/>
      <c r="AJ12" s="37">
        <f t="shared" si="0"/>
        <v>0</v>
      </c>
      <c r="AK12" s="37">
        <f t="shared" si="0"/>
        <v>0</v>
      </c>
      <c r="AL12" s="37"/>
      <c r="AM12" s="37"/>
      <c r="AN12" s="37">
        <f>P12-X12-AF12</f>
        <v>0</v>
      </c>
      <c r="AO12" s="32"/>
      <c r="AP12" s="80"/>
      <c r="AQ12" s="80"/>
      <c r="AR12" s="32"/>
      <c r="AS12" s="32"/>
      <c r="AT12" s="37"/>
      <c r="AU12" s="37"/>
      <c r="AV12" s="35">
        <f>AO12+AQ12+AS12+AU12</f>
        <v>0</v>
      </c>
    </row>
    <row r="13" spans="1:48" ht="11.25" customHeight="1" x14ac:dyDescent="0.2">
      <c r="A13" s="113" t="s">
        <v>18</v>
      </c>
      <c r="B13" s="114" t="s">
        <v>40</v>
      </c>
      <c r="C13" s="114"/>
      <c r="D13" s="114"/>
      <c r="E13" s="114"/>
      <c r="F13" s="114"/>
      <c r="G13" s="115" t="s">
        <v>102</v>
      </c>
      <c r="H13" s="5"/>
      <c r="I13" s="32"/>
      <c r="J13" s="86"/>
      <c r="K13" s="86"/>
      <c r="L13" s="34"/>
      <c r="M13" s="34"/>
      <c r="N13" s="34"/>
      <c r="O13" s="34"/>
      <c r="P13" s="35">
        <f>I13+K13+M13+O13</f>
        <v>0</v>
      </c>
      <c r="Q13" s="32"/>
      <c r="R13" s="86"/>
      <c r="S13" s="86"/>
      <c r="T13" s="34"/>
      <c r="U13" s="34"/>
      <c r="V13" s="34"/>
      <c r="W13" s="34"/>
      <c r="X13" s="35">
        <f>Q13+S13+U13+W13</f>
        <v>0</v>
      </c>
      <c r="Y13" s="32"/>
      <c r="Z13" s="86"/>
      <c r="AA13" s="86"/>
      <c r="AB13" s="34"/>
      <c r="AC13" s="34"/>
      <c r="AD13" s="34"/>
      <c r="AE13" s="34"/>
      <c r="AF13" s="35">
        <f>Y13+AA13+AC13+AE13</f>
        <v>0</v>
      </c>
      <c r="AG13" s="37">
        <f>I13-Q13-Y13</f>
        <v>0</v>
      </c>
      <c r="AH13" s="86"/>
      <c r="AI13" s="86"/>
      <c r="AJ13" s="37">
        <f t="shared" si="0"/>
        <v>0</v>
      </c>
      <c r="AK13" s="37">
        <f t="shared" si="0"/>
        <v>0</v>
      </c>
      <c r="AL13" s="37"/>
      <c r="AM13" s="37"/>
      <c r="AN13" s="37">
        <f>P13-X13-AF13</f>
        <v>0</v>
      </c>
      <c r="AO13" s="32"/>
      <c r="AP13" s="80"/>
      <c r="AQ13" s="80"/>
      <c r="AR13" s="32"/>
      <c r="AS13" s="32"/>
      <c r="AT13" s="37"/>
      <c r="AU13" s="37"/>
      <c r="AV13" s="35">
        <f>AO13+AQ13+AS13+AU13</f>
        <v>0</v>
      </c>
    </row>
    <row r="14" spans="1:48" ht="11.25" customHeight="1" x14ac:dyDescent="0.2">
      <c r="A14" s="126" t="s">
        <v>146</v>
      </c>
      <c r="B14" s="120"/>
      <c r="C14" s="114"/>
      <c r="D14" s="114"/>
      <c r="E14" s="114"/>
      <c r="F14" s="114"/>
      <c r="G14" s="115" t="s">
        <v>103</v>
      </c>
      <c r="H14" s="5"/>
      <c r="I14" s="37">
        <f>I11+I12+I13</f>
        <v>0</v>
      </c>
      <c r="J14" s="78"/>
      <c r="K14" s="78"/>
      <c r="L14" s="37">
        <f t="shared" ref="L14:Q14" si="1">L11+L12+L13</f>
        <v>0</v>
      </c>
      <c r="M14" s="37">
        <f t="shared" si="1"/>
        <v>0</v>
      </c>
      <c r="N14" s="37">
        <f t="shared" si="1"/>
        <v>0</v>
      </c>
      <c r="O14" s="37">
        <f t="shared" si="1"/>
        <v>0</v>
      </c>
      <c r="P14" s="35">
        <f>I14+K14+M14+O14</f>
        <v>0</v>
      </c>
      <c r="Q14" s="37">
        <f t="shared" si="1"/>
        <v>0</v>
      </c>
      <c r="R14" s="78"/>
      <c r="S14" s="78"/>
      <c r="T14" s="37">
        <f t="shared" ref="T14:Y14" si="2">T11+T12+T13</f>
        <v>0</v>
      </c>
      <c r="U14" s="37">
        <f t="shared" si="2"/>
        <v>0</v>
      </c>
      <c r="V14" s="37">
        <f t="shared" si="2"/>
        <v>0</v>
      </c>
      <c r="W14" s="37">
        <f t="shared" si="2"/>
        <v>0</v>
      </c>
      <c r="X14" s="35">
        <f>Q14+S14+U14+W14</f>
        <v>0</v>
      </c>
      <c r="Y14" s="37">
        <f t="shared" si="2"/>
        <v>0</v>
      </c>
      <c r="Z14" s="78"/>
      <c r="AA14" s="78"/>
      <c r="AB14" s="37">
        <f t="shared" ref="AB14:AG14" si="3">AB11+AB12+AB13</f>
        <v>0</v>
      </c>
      <c r="AC14" s="37">
        <f t="shared" si="3"/>
        <v>0</v>
      </c>
      <c r="AD14" s="37">
        <f t="shared" si="3"/>
        <v>0</v>
      </c>
      <c r="AE14" s="37">
        <f t="shared" si="3"/>
        <v>0</v>
      </c>
      <c r="AF14" s="35">
        <f>Y14+AA14+AC14+AE14</f>
        <v>0</v>
      </c>
      <c r="AG14" s="37">
        <f t="shared" si="3"/>
        <v>0</v>
      </c>
      <c r="AH14" s="78"/>
      <c r="AI14" s="78"/>
      <c r="AJ14" s="37">
        <f t="shared" ref="AJ14:AO14" si="4">AJ11+AJ12+AJ13</f>
        <v>0</v>
      </c>
      <c r="AK14" s="37">
        <f t="shared" si="4"/>
        <v>0</v>
      </c>
      <c r="AL14" s="37">
        <f t="shared" si="4"/>
        <v>0</v>
      </c>
      <c r="AM14" s="37">
        <f t="shared" si="4"/>
        <v>0</v>
      </c>
      <c r="AN14" s="37">
        <f>P14-X14-AF14</f>
        <v>0</v>
      </c>
      <c r="AO14" s="37">
        <f t="shared" si="4"/>
        <v>0</v>
      </c>
      <c r="AP14" s="78"/>
      <c r="AQ14" s="78"/>
      <c r="AR14" s="37">
        <f>AR11+AR12+AR13</f>
        <v>0</v>
      </c>
      <c r="AS14" s="37">
        <f>AS11+AS12+AS13</f>
        <v>0</v>
      </c>
      <c r="AT14" s="37">
        <f>AT11+AT12+AT13</f>
        <v>0</v>
      </c>
      <c r="AU14" s="37">
        <f>AU11+AU12+AU13</f>
        <v>0</v>
      </c>
      <c r="AV14" s="35">
        <f>AO14+AQ14+AS14+AU14</f>
        <v>0</v>
      </c>
    </row>
    <row r="15" spans="1:48" ht="11.25" customHeight="1" x14ac:dyDescent="0.2">
      <c r="A15" s="126" t="s">
        <v>166</v>
      </c>
      <c r="B15" s="120"/>
      <c r="C15" s="114"/>
      <c r="D15" s="114"/>
      <c r="E15" s="114"/>
      <c r="F15" s="114"/>
      <c r="G15" s="115"/>
      <c r="H15" s="5"/>
      <c r="I15" s="78"/>
      <c r="J15" s="80"/>
      <c r="K15" s="80"/>
      <c r="L15" s="78"/>
      <c r="M15" s="78"/>
      <c r="N15" s="78"/>
      <c r="O15" s="78"/>
      <c r="P15" s="79"/>
      <c r="Q15" s="78"/>
      <c r="R15" s="78"/>
      <c r="S15" s="78"/>
      <c r="T15" s="78"/>
      <c r="U15" s="78"/>
      <c r="V15" s="78"/>
      <c r="W15" s="78"/>
      <c r="X15" s="79"/>
      <c r="Y15" s="81"/>
      <c r="Z15" s="81"/>
      <c r="AA15" s="81"/>
      <c r="AB15" s="81"/>
      <c r="AC15" s="81"/>
      <c r="AD15" s="81"/>
      <c r="AE15" s="81"/>
      <c r="AF15" s="95"/>
      <c r="AG15" s="78"/>
      <c r="AH15" s="80"/>
      <c r="AI15" s="80"/>
      <c r="AJ15" s="78"/>
      <c r="AK15" s="78"/>
      <c r="AL15" s="78"/>
      <c r="AM15" s="78"/>
      <c r="AN15" s="78"/>
      <c r="AO15" s="78"/>
      <c r="AP15" s="80"/>
      <c r="AQ15" s="80"/>
      <c r="AR15" s="78"/>
      <c r="AS15" s="78"/>
      <c r="AT15" s="78"/>
      <c r="AU15" s="78"/>
      <c r="AV15" s="79"/>
    </row>
    <row r="16" spans="1:48" ht="11.25" customHeight="1" x14ac:dyDescent="0.2">
      <c r="A16" s="113" t="s">
        <v>14</v>
      </c>
      <c r="B16" s="114" t="s">
        <v>15</v>
      </c>
      <c r="C16" s="114"/>
      <c r="D16" s="114"/>
      <c r="E16" s="114"/>
      <c r="F16" s="114"/>
      <c r="G16" s="115" t="s">
        <v>171</v>
      </c>
      <c r="H16" s="5"/>
      <c r="I16" s="32"/>
      <c r="J16" s="80"/>
      <c r="K16" s="80"/>
      <c r="L16" s="32"/>
      <c r="M16" s="32"/>
      <c r="N16" s="32"/>
      <c r="O16" s="32"/>
      <c r="P16" s="35">
        <f t="shared" ref="P16:P25" si="5">I16+K16+M16+O16</f>
        <v>0</v>
      </c>
      <c r="Q16" s="80"/>
      <c r="R16" s="78"/>
      <c r="S16" s="78"/>
      <c r="T16" s="80"/>
      <c r="U16" s="80"/>
      <c r="V16" s="80"/>
      <c r="W16" s="80"/>
      <c r="X16" s="79"/>
      <c r="Y16" s="32"/>
      <c r="Z16" s="81"/>
      <c r="AA16" s="81"/>
      <c r="AB16" s="87"/>
      <c r="AC16" s="87"/>
      <c r="AD16" s="87"/>
      <c r="AE16" s="87"/>
      <c r="AF16" s="35">
        <f>Y16+AA16+AC16+AE16</f>
        <v>0</v>
      </c>
      <c r="AG16" s="37">
        <f>I16-Q16-Y16</f>
        <v>0</v>
      </c>
      <c r="AH16" s="81"/>
      <c r="AI16" s="81"/>
      <c r="AJ16" s="37">
        <f t="shared" ref="AJ16:AK18" si="6">L16-T16-AB16</f>
        <v>0</v>
      </c>
      <c r="AK16" s="37">
        <f t="shared" si="6"/>
        <v>0</v>
      </c>
      <c r="AL16" s="28"/>
      <c r="AM16" s="28"/>
      <c r="AN16" s="37">
        <f>P16-X16-AF16</f>
        <v>0</v>
      </c>
      <c r="AO16" s="32"/>
      <c r="AP16" s="97"/>
      <c r="AQ16" s="97"/>
      <c r="AR16" s="32"/>
      <c r="AS16" s="32"/>
      <c r="AT16" s="37"/>
      <c r="AU16" s="37"/>
      <c r="AV16" s="35">
        <f>AO16+AQ16+AS16+AU16</f>
        <v>0</v>
      </c>
    </row>
    <row r="17" spans="1:48" ht="11.25" customHeight="1" x14ac:dyDescent="0.2">
      <c r="A17" s="113" t="s">
        <v>16</v>
      </c>
      <c r="B17" s="114" t="s">
        <v>17</v>
      </c>
      <c r="C17" s="114"/>
      <c r="D17" s="114"/>
      <c r="E17" s="114"/>
      <c r="F17" s="114"/>
      <c r="G17" s="115" t="s">
        <v>172</v>
      </c>
      <c r="H17" s="5"/>
      <c r="I17" s="32"/>
      <c r="J17" s="80"/>
      <c r="K17" s="80"/>
      <c r="L17" s="32"/>
      <c r="M17" s="32"/>
      <c r="N17" s="32"/>
      <c r="O17" s="32"/>
      <c r="P17" s="35">
        <f t="shared" si="5"/>
        <v>0</v>
      </c>
      <c r="Q17" s="80"/>
      <c r="R17" s="78"/>
      <c r="S17" s="78"/>
      <c r="T17" s="80"/>
      <c r="U17" s="80"/>
      <c r="V17" s="80"/>
      <c r="W17" s="80"/>
      <c r="X17" s="79"/>
      <c r="Y17" s="32"/>
      <c r="Z17" s="81"/>
      <c r="AA17" s="81"/>
      <c r="AB17" s="87"/>
      <c r="AC17" s="87"/>
      <c r="AD17" s="87"/>
      <c r="AE17" s="87"/>
      <c r="AF17" s="35">
        <f>Y17+AA17+AC17+AE17</f>
        <v>0</v>
      </c>
      <c r="AG17" s="37">
        <f>I17-Q17-Y17</f>
        <v>0</v>
      </c>
      <c r="AH17" s="81"/>
      <c r="AI17" s="81"/>
      <c r="AJ17" s="37">
        <f t="shared" si="6"/>
        <v>0</v>
      </c>
      <c r="AK17" s="37">
        <f t="shared" si="6"/>
        <v>0</v>
      </c>
      <c r="AL17" s="28"/>
      <c r="AM17" s="28"/>
      <c r="AN17" s="37">
        <f>P17-X17-AF17</f>
        <v>0</v>
      </c>
      <c r="AO17" s="32"/>
      <c r="AP17" s="97"/>
      <c r="AQ17" s="97"/>
      <c r="AR17" s="32"/>
      <c r="AS17" s="32"/>
      <c r="AT17" s="37"/>
      <c r="AU17" s="37"/>
      <c r="AV17" s="35">
        <f>AO17+AQ17+AS17+AU17</f>
        <v>0</v>
      </c>
    </row>
    <row r="18" spans="1:48" ht="11.25" customHeight="1" x14ac:dyDescent="0.2">
      <c r="A18" s="113" t="s">
        <v>18</v>
      </c>
      <c r="B18" s="114" t="s">
        <v>40</v>
      </c>
      <c r="C18" s="114"/>
      <c r="D18" s="114"/>
      <c r="E18" s="114"/>
      <c r="F18" s="114"/>
      <c r="G18" s="115" t="s">
        <v>173</v>
      </c>
      <c r="H18" s="5"/>
      <c r="I18" s="32"/>
      <c r="J18" s="80"/>
      <c r="K18" s="80"/>
      <c r="L18" s="32"/>
      <c r="M18" s="32"/>
      <c r="N18" s="32"/>
      <c r="O18" s="32"/>
      <c r="P18" s="35">
        <f t="shared" si="5"/>
        <v>0</v>
      </c>
      <c r="Q18" s="80"/>
      <c r="R18" s="78"/>
      <c r="S18" s="78"/>
      <c r="T18" s="80"/>
      <c r="U18" s="80"/>
      <c r="V18" s="80"/>
      <c r="W18" s="80"/>
      <c r="X18" s="79"/>
      <c r="Y18" s="32"/>
      <c r="Z18" s="81"/>
      <c r="AA18" s="81"/>
      <c r="AB18" s="87"/>
      <c r="AC18" s="87"/>
      <c r="AD18" s="87"/>
      <c r="AE18" s="87"/>
      <c r="AF18" s="35">
        <f>Y18+AA18+AC18+AE18</f>
        <v>0</v>
      </c>
      <c r="AG18" s="37">
        <f>I18-Q18-Y18</f>
        <v>0</v>
      </c>
      <c r="AH18" s="81"/>
      <c r="AI18" s="81"/>
      <c r="AJ18" s="37">
        <f t="shared" si="6"/>
        <v>0</v>
      </c>
      <c r="AK18" s="37">
        <f t="shared" si="6"/>
        <v>0</v>
      </c>
      <c r="AL18" s="28"/>
      <c r="AM18" s="28"/>
      <c r="AN18" s="37">
        <f>P18-X18-AF18</f>
        <v>0</v>
      </c>
      <c r="AO18" s="32"/>
      <c r="AP18" s="97"/>
      <c r="AQ18" s="97"/>
      <c r="AR18" s="32"/>
      <c r="AS18" s="32"/>
      <c r="AT18" s="37"/>
      <c r="AU18" s="37"/>
      <c r="AV18" s="35">
        <f>AO18+AQ18+AS18+AU18</f>
        <v>0</v>
      </c>
    </row>
    <row r="19" spans="1:48" ht="11.25" customHeight="1" x14ac:dyDescent="0.2">
      <c r="A19" s="126" t="s">
        <v>146</v>
      </c>
      <c r="B19" s="120"/>
      <c r="C19" s="114"/>
      <c r="D19" s="114"/>
      <c r="E19" s="114"/>
      <c r="F19" s="114"/>
      <c r="G19" s="115" t="s">
        <v>174</v>
      </c>
      <c r="H19" s="5"/>
      <c r="I19" s="37">
        <f t="shared" ref="I19:O19" si="7">I16+I17+I18</f>
        <v>0</v>
      </c>
      <c r="J19" s="78"/>
      <c r="K19" s="78"/>
      <c r="L19" s="37">
        <f t="shared" si="7"/>
        <v>0</v>
      </c>
      <c r="M19" s="37">
        <f t="shared" si="7"/>
        <v>0</v>
      </c>
      <c r="N19" s="37">
        <f t="shared" si="7"/>
        <v>0</v>
      </c>
      <c r="O19" s="37">
        <f t="shared" si="7"/>
        <v>0</v>
      </c>
      <c r="P19" s="35">
        <f>I19+K19+M19+O19</f>
        <v>0</v>
      </c>
      <c r="Q19" s="78"/>
      <c r="R19" s="78"/>
      <c r="S19" s="78"/>
      <c r="T19" s="78"/>
      <c r="U19" s="78"/>
      <c r="V19" s="78"/>
      <c r="W19" s="78"/>
      <c r="X19" s="79"/>
      <c r="Y19" s="37">
        <f>Y16+Y17+Y18</f>
        <v>0</v>
      </c>
      <c r="Z19" s="81"/>
      <c r="AA19" s="81"/>
      <c r="AB19" s="37">
        <f t="shared" ref="AB19:AG19" si="8">AB16+AB17+AB18</f>
        <v>0</v>
      </c>
      <c r="AC19" s="37">
        <f t="shared" si="8"/>
        <v>0</v>
      </c>
      <c r="AD19" s="37">
        <f t="shared" si="8"/>
        <v>0</v>
      </c>
      <c r="AE19" s="37">
        <f t="shared" si="8"/>
        <v>0</v>
      </c>
      <c r="AF19" s="35">
        <f>Y19+AA19+AC19+AE19</f>
        <v>0</v>
      </c>
      <c r="AG19" s="37">
        <f t="shared" si="8"/>
        <v>0</v>
      </c>
      <c r="AH19" s="81"/>
      <c r="AI19" s="81"/>
      <c r="AJ19" s="37">
        <f t="shared" ref="AJ19:AO19" si="9">AJ16+AJ17+AJ18</f>
        <v>0</v>
      </c>
      <c r="AK19" s="37">
        <f t="shared" si="9"/>
        <v>0</v>
      </c>
      <c r="AL19" s="37">
        <f t="shared" si="9"/>
        <v>0</v>
      </c>
      <c r="AM19" s="37">
        <f t="shared" si="9"/>
        <v>0</v>
      </c>
      <c r="AN19" s="37">
        <f>P19-X19-AF19</f>
        <v>0</v>
      </c>
      <c r="AO19" s="37">
        <f t="shared" si="9"/>
        <v>0</v>
      </c>
      <c r="AP19" s="81"/>
      <c r="AQ19" s="81"/>
      <c r="AR19" s="37">
        <f>AR16+AR17+AR18</f>
        <v>0</v>
      </c>
      <c r="AS19" s="37">
        <f>AS16+AS17+AS18</f>
        <v>0</v>
      </c>
      <c r="AT19" s="37">
        <f>AT16+AT17+AT18</f>
        <v>0</v>
      </c>
      <c r="AU19" s="37">
        <f>AU16+AU17+AU18</f>
        <v>0</v>
      </c>
      <c r="AV19" s="35">
        <f>AO19+AQ19+AS19+AU19</f>
        <v>0</v>
      </c>
    </row>
    <row r="20" spans="1:48" ht="11.25" customHeight="1" x14ac:dyDescent="0.2">
      <c r="A20" s="126" t="s">
        <v>167</v>
      </c>
      <c r="B20" s="120"/>
      <c r="C20" s="114"/>
      <c r="D20" s="114"/>
      <c r="E20" s="114"/>
      <c r="F20" s="114"/>
      <c r="G20" s="115"/>
      <c r="H20" s="5"/>
      <c r="I20" s="78"/>
      <c r="J20" s="80"/>
      <c r="K20" s="80"/>
      <c r="L20" s="78"/>
      <c r="M20" s="78"/>
      <c r="N20" s="78"/>
      <c r="O20" s="78"/>
      <c r="P20" s="79"/>
      <c r="Q20" s="78"/>
      <c r="R20" s="80"/>
      <c r="S20" s="80"/>
      <c r="T20" s="78"/>
      <c r="U20" s="78"/>
      <c r="V20" s="78"/>
      <c r="W20" s="78"/>
      <c r="X20" s="79"/>
      <c r="Y20" s="78"/>
      <c r="Z20" s="80"/>
      <c r="AA20" s="80"/>
      <c r="AB20" s="78"/>
      <c r="AC20" s="78"/>
      <c r="AD20" s="78"/>
      <c r="AE20" s="78"/>
      <c r="AF20" s="79"/>
      <c r="AG20" s="78"/>
      <c r="AH20" s="80"/>
      <c r="AI20" s="80"/>
      <c r="AJ20" s="78"/>
      <c r="AK20" s="78"/>
      <c r="AL20" s="78"/>
      <c r="AM20" s="78"/>
      <c r="AN20" s="78"/>
      <c r="AO20" s="78"/>
      <c r="AP20" s="80"/>
      <c r="AQ20" s="80"/>
      <c r="AR20" s="78"/>
      <c r="AS20" s="78"/>
      <c r="AT20" s="78"/>
      <c r="AU20" s="78"/>
      <c r="AV20" s="79"/>
    </row>
    <row r="21" spans="1:48" ht="11.25" customHeight="1" x14ac:dyDescent="0.2">
      <c r="A21" s="126" t="s">
        <v>14</v>
      </c>
      <c r="B21" s="121" t="s">
        <v>168</v>
      </c>
      <c r="C21" s="114"/>
      <c r="D21" s="114"/>
      <c r="E21" s="114"/>
      <c r="F21" s="114"/>
      <c r="G21" s="115" t="s">
        <v>175</v>
      </c>
      <c r="H21" s="5"/>
      <c r="I21" s="37">
        <f t="shared" ref="I21:AG21" si="10">I22+I23+I24</f>
        <v>0</v>
      </c>
      <c r="J21" s="78"/>
      <c r="K21" s="78"/>
      <c r="L21" s="37">
        <f t="shared" si="10"/>
        <v>0</v>
      </c>
      <c r="M21" s="37">
        <f t="shared" si="10"/>
        <v>0</v>
      </c>
      <c r="N21" s="37">
        <f t="shared" si="10"/>
        <v>0</v>
      </c>
      <c r="O21" s="37">
        <f t="shared" si="10"/>
        <v>0</v>
      </c>
      <c r="P21" s="35">
        <f>I21+K21+M21+O21</f>
        <v>0</v>
      </c>
      <c r="Q21" s="37">
        <f t="shared" si="10"/>
        <v>0</v>
      </c>
      <c r="R21" s="78"/>
      <c r="S21" s="78"/>
      <c r="T21" s="37">
        <f t="shared" si="10"/>
        <v>0</v>
      </c>
      <c r="U21" s="37">
        <f t="shared" si="10"/>
        <v>0</v>
      </c>
      <c r="V21" s="37">
        <f t="shared" si="10"/>
        <v>0</v>
      </c>
      <c r="W21" s="37">
        <f t="shared" si="10"/>
        <v>0</v>
      </c>
      <c r="X21" s="35">
        <f>Q21+S21+U21+W21</f>
        <v>0</v>
      </c>
      <c r="Y21" s="37">
        <f t="shared" si="10"/>
        <v>0</v>
      </c>
      <c r="Z21" s="78"/>
      <c r="AA21" s="78"/>
      <c r="AB21" s="37">
        <f t="shared" si="10"/>
        <v>0</v>
      </c>
      <c r="AC21" s="37">
        <f t="shared" si="10"/>
        <v>0</v>
      </c>
      <c r="AD21" s="37">
        <f t="shared" si="10"/>
        <v>0</v>
      </c>
      <c r="AE21" s="37">
        <f t="shared" si="10"/>
        <v>0</v>
      </c>
      <c r="AF21" s="35">
        <f>Y21+AA21+AC21+AE21</f>
        <v>0</v>
      </c>
      <c r="AG21" s="37">
        <f t="shared" si="10"/>
        <v>0</v>
      </c>
      <c r="AH21" s="81"/>
      <c r="AI21" s="81"/>
      <c r="AJ21" s="37">
        <f t="shared" ref="AJ21:AO21" si="11">AJ22+AJ23+AJ24</f>
        <v>0</v>
      </c>
      <c r="AK21" s="37">
        <f t="shared" si="11"/>
        <v>0</v>
      </c>
      <c r="AL21" s="37">
        <f t="shared" si="11"/>
        <v>0</v>
      </c>
      <c r="AM21" s="37">
        <f t="shared" si="11"/>
        <v>0</v>
      </c>
      <c r="AN21" s="37">
        <f>P21-X21-AF21</f>
        <v>0</v>
      </c>
      <c r="AO21" s="37">
        <f t="shared" si="11"/>
        <v>0</v>
      </c>
      <c r="AP21" s="81"/>
      <c r="AQ21" s="81"/>
      <c r="AR21" s="37">
        <f>AR22+AR23+AR24</f>
        <v>0</v>
      </c>
      <c r="AS21" s="37">
        <f>AS22+AS23+AS24</f>
        <v>0</v>
      </c>
      <c r="AT21" s="37">
        <f>AT22+AT23+AT24</f>
        <v>0</v>
      </c>
      <c r="AU21" s="37">
        <f>AU22+AU23+AU24</f>
        <v>0</v>
      </c>
      <c r="AV21" s="35">
        <f>AO21+AQ21+AS21+AU21</f>
        <v>0</v>
      </c>
    </row>
    <row r="22" spans="1:48" ht="11.25" customHeight="1" x14ac:dyDescent="0.2">
      <c r="A22" s="126"/>
      <c r="B22" s="120" t="s">
        <v>169</v>
      </c>
      <c r="C22" s="114" t="s">
        <v>15</v>
      </c>
      <c r="D22" s="114"/>
      <c r="E22" s="114"/>
      <c r="F22" s="114"/>
      <c r="G22" s="115" t="s">
        <v>176</v>
      </c>
      <c r="H22" s="5"/>
      <c r="I22" s="32"/>
      <c r="J22" s="80"/>
      <c r="K22" s="80"/>
      <c r="L22" s="32"/>
      <c r="M22" s="32"/>
      <c r="N22" s="32"/>
      <c r="O22" s="32"/>
      <c r="P22" s="35">
        <f t="shared" si="5"/>
        <v>0</v>
      </c>
      <c r="Q22" s="80"/>
      <c r="R22" s="80"/>
      <c r="S22" s="80"/>
      <c r="T22" s="80"/>
      <c r="U22" s="80"/>
      <c r="V22" s="80"/>
      <c r="W22" s="80"/>
      <c r="X22" s="79"/>
      <c r="Y22" s="32"/>
      <c r="Z22" s="80"/>
      <c r="AA22" s="80"/>
      <c r="AB22" s="32"/>
      <c r="AC22" s="32"/>
      <c r="AD22" s="32"/>
      <c r="AE22" s="32"/>
      <c r="AF22" s="35">
        <f>Y22+AA22+AC22+AE22</f>
        <v>0</v>
      </c>
      <c r="AG22" s="37">
        <f>I22-Q22-Y22</f>
        <v>0</v>
      </c>
      <c r="AH22" s="81"/>
      <c r="AI22" s="81"/>
      <c r="AJ22" s="37">
        <f>L22-T22-AB22</f>
        <v>0</v>
      </c>
      <c r="AK22" s="37">
        <f>M22-U22-AC22</f>
        <v>0</v>
      </c>
      <c r="AL22" s="96"/>
      <c r="AM22" s="96"/>
      <c r="AN22" s="37">
        <f>P22-X22-AF22</f>
        <v>0</v>
      </c>
      <c r="AO22" s="32"/>
      <c r="AP22" s="97"/>
      <c r="AQ22" s="97"/>
      <c r="AR22" s="32"/>
      <c r="AS22" s="32"/>
      <c r="AT22" s="37"/>
      <c r="AU22" s="37"/>
      <c r="AV22" s="35">
        <f>AO22+AQ22+AS22+AU22</f>
        <v>0</v>
      </c>
    </row>
    <row r="23" spans="1:48" ht="11.25" customHeight="1" x14ac:dyDescent="0.2">
      <c r="A23" s="126"/>
      <c r="B23" s="120" t="s">
        <v>29</v>
      </c>
      <c r="C23" s="114" t="s">
        <v>170</v>
      </c>
      <c r="D23" s="114"/>
      <c r="E23" s="114"/>
      <c r="F23" s="114"/>
      <c r="G23" s="115" t="s">
        <v>177</v>
      </c>
      <c r="H23" s="5"/>
      <c r="I23" s="32"/>
      <c r="J23" s="80"/>
      <c r="K23" s="80"/>
      <c r="L23" s="32"/>
      <c r="M23" s="32"/>
      <c r="N23" s="32"/>
      <c r="O23" s="32"/>
      <c r="P23" s="35">
        <f t="shared" si="5"/>
        <v>0</v>
      </c>
      <c r="Q23" s="32"/>
      <c r="R23" s="80"/>
      <c r="S23" s="80"/>
      <c r="T23" s="32"/>
      <c r="U23" s="32"/>
      <c r="V23" s="32"/>
      <c r="W23" s="32"/>
      <c r="X23" s="35">
        <f>Q23+S23+U23+W23</f>
        <v>0</v>
      </c>
      <c r="Y23" s="32"/>
      <c r="Z23" s="80"/>
      <c r="AA23" s="80"/>
      <c r="AB23" s="32"/>
      <c r="AC23" s="32"/>
      <c r="AD23" s="32"/>
      <c r="AE23" s="32"/>
      <c r="AF23" s="35">
        <f>Y23+AA23+AC23+AE23</f>
        <v>0</v>
      </c>
      <c r="AG23" s="37">
        <f>I23-Q23-Y23</f>
        <v>0</v>
      </c>
      <c r="AH23" s="81"/>
      <c r="AI23" s="81"/>
      <c r="AJ23" s="37">
        <f>L23-T23-AB23</f>
        <v>0</v>
      </c>
      <c r="AK23" s="37">
        <f>M23-U23-AC23</f>
        <v>0</v>
      </c>
      <c r="AL23" s="96"/>
      <c r="AM23" s="96"/>
      <c r="AN23" s="37">
        <f>P23-X23-AF23</f>
        <v>0</v>
      </c>
      <c r="AO23" s="32"/>
      <c r="AP23" s="97"/>
      <c r="AQ23" s="97"/>
      <c r="AR23" s="32"/>
      <c r="AS23" s="32"/>
      <c r="AT23" s="37"/>
      <c r="AU23" s="37"/>
      <c r="AV23" s="35">
        <f>AO23+AQ23+AS23+AU23</f>
        <v>0</v>
      </c>
    </row>
    <row r="24" spans="1:48" ht="11.25" customHeight="1" x14ac:dyDescent="0.2">
      <c r="A24" s="126"/>
      <c r="B24" s="120" t="s">
        <v>162</v>
      </c>
      <c r="C24" s="114" t="s">
        <v>163</v>
      </c>
      <c r="D24" s="114"/>
      <c r="E24" s="114"/>
      <c r="F24" s="114"/>
      <c r="G24" s="115" t="s">
        <v>164</v>
      </c>
      <c r="H24" s="73" t="s">
        <v>147</v>
      </c>
      <c r="I24" s="37">
        <f t="shared" ref="I24:O24" si="12">SUM(I25:I26)</f>
        <v>0</v>
      </c>
      <c r="J24" s="78"/>
      <c r="K24" s="78"/>
      <c r="L24" s="37">
        <f t="shared" si="12"/>
        <v>0</v>
      </c>
      <c r="M24" s="37">
        <f t="shared" si="12"/>
        <v>0</v>
      </c>
      <c r="N24" s="37">
        <f t="shared" si="12"/>
        <v>0</v>
      </c>
      <c r="O24" s="37">
        <f t="shared" si="12"/>
        <v>0</v>
      </c>
      <c r="P24" s="35">
        <f>I24+K24+M24+O24</f>
        <v>0</v>
      </c>
      <c r="Q24" s="37">
        <f t="shared" ref="Q24:AG24" si="13">SUM(Q25:Q26)</f>
        <v>0</v>
      </c>
      <c r="R24" s="78"/>
      <c r="S24" s="78"/>
      <c r="T24" s="37">
        <f t="shared" si="13"/>
        <v>0</v>
      </c>
      <c r="U24" s="37">
        <f t="shared" si="13"/>
        <v>0</v>
      </c>
      <c r="V24" s="37">
        <f t="shared" si="13"/>
        <v>0</v>
      </c>
      <c r="W24" s="37">
        <f t="shared" si="13"/>
        <v>0</v>
      </c>
      <c r="X24" s="35">
        <f>Q24+S24+U24+W24</f>
        <v>0</v>
      </c>
      <c r="Y24" s="37">
        <f t="shared" si="13"/>
        <v>0</v>
      </c>
      <c r="Z24" s="78"/>
      <c r="AA24" s="78"/>
      <c r="AB24" s="37">
        <f t="shared" si="13"/>
        <v>0</v>
      </c>
      <c r="AC24" s="37">
        <f t="shared" si="13"/>
        <v>0</v>
      </c>
      <c r="AD24" s="37">
        <f t="shared" si="13"/>
        <v>0</v>
      </c>
      <c r="AE24" s="37">
        <f t="shared" si="13"/>
        <v>0</v>
      </c>
      <c r="AF24" s="35">
        <f>Y24+AA24+AC24+AE24</f>
        <v>0</v>
      </c>
      <c r="AG24" s="37">
        <f t="shared" si="13"/>
        <v>0</v>
      </c>
      <c r="AH24" s="81"/>
      <c r="AI24" s="81"/>
      <c r="AJ24" s="37">
        <f t="shared" ref="AJ24:AO24" si="14">SUM(AJ25:AJ26)</f>
        <v>0</v>
      </c>
      <c r="AK24" s="37">
        <f t="shared" si="14"/>
        <v>0</v>
      </c>
      <c r="AL24" s="37">
        <f t="shared" si="14"/>
        <v>0</v>
      </c>
      <c r="AM24" s="37">
        <f t="shared" si="14"/>
        <v>0</v>
      </c>
      <c r="AN24" s="37">
        <f t="shared" si="14"/>
        <v>0</v>
      </c>
      <c r="AO24" s="37">
        <f t="shared" si="14"/>
        <v>0</v>
      </c>
      <c r="AP24" s="81"/>
      <c r="AQ24" s="81"/>
      <c r="AR24" s="37">
        <f>SUM(AR25:AR26)</f>
        <v>0</v>
      </c>
      <c r="AS24" s="37">
        <f>SUM(AS25:AS26)</f>
        <v>0</v>
      </c>
      <c r="AT24" s="37">
        <f>SUM(AT25:AT26)</f>
        <v>0</v>
      </c>
      <c r="AU24" s="37">
        <f>SUM(AU25:AU26)</f>
        <v>0</v>
      </c>
      <c r="AV24" s="35">
        <f>AO24+AQ24+AS24+AU24</f>
        <v>0</v>
      </c>
    </row>
    <row r="25" spans="1:48" ht="11.25" customHeight="1" x14ac:dyDescent="0.2">
      <c r="A25" s="30"/>
      <c r="B25" s="29"/>
      <c r="C25" s="26" t="s">
        <v>135</v>
      </c>
      <c r="D25" s="74"/>
      <c r="E25" s="27"/>
      <c r="F25" s="27"/>
      <c r="G25" s="71"/>
      <c r="H25" s="75">
        <v>1</v>
      </c>
      <c r="I25" s="32"/>
      <c r="J25" s="80"/>
      <c r="K25" s="80"/>
      <c r="L25" s="32"/>
      <c r="M25" s="32"/>
      <c r="N25" s="32"/>
      <c r="O25" s="32"/>
      <c r="P25" s="35">
        <f t="shared" si="5"/>
        <v>0</v>
      </c>
      <c r="Q25" s="32"/>
      <c r="R25" s="80"/>
      <c r="S25" s="80"/>
      <c r="T25" s="32"/>
      <c r="U25" s="32"/>
      <c r="V25" s="32"/>
      <c r="W25" s="32"/>
      <c r="X25" s="35">
        <f>Q25+S25+U25+W25</f>
        <v>0</v>
      </c>
      <c r="Y25" s="32"/>
      <c r="Z25" s="80"/>
      <c r="AA25" s="80"/>
      <c r="AB25" s="32"/>
      <c r="AC25" s="32"/>
      <c r="AD25" s="32"/>
      <c r="AE25" s="32"/>
      <c r="AF25" s="18">
        <f>Y25+AA25+AC25+AE25</f>
        <v>0</v>
      </c>
      <c r="AG25" s="37">
        <f>I25-Q25-Y25</f>
        <v>0</v>
      </c>
      <c r="AH25" s="81"/>
      <c r="AI25" s="81"/>
      <c r="AJ25" s="37">
        <f>L25-T25-AB25</f>
        <v>0</v>
      </c>
      <c r="AK25" s="37">
        <f>M25-U25-AC25</f>
        <v>0</v>
      </c>
      <c r="AL25" s="28"/>
      <c r="AM25" s="28"/>
      <c r="AN25" s="37">
        <f>P25-X25-AF25</f>
        <v>0</v>
      </c>
      <c r="AO25" s="32"/>
      <c r="AP25" s="97"/>
      <c r="AQ25" s="97"/>
      <c r="AR25" s="32"/>
      <c r="AS25" s="32"/>
      <c r="AT25" s="28"/>
      <c r="AU25" s="28"/>
      <c r="AV25" s="35">
        <f>AO25+AQ25+AS25+AU25</f>
        <v>0</v>
      </c>
    </row>
    <row r="26" spans="1:48" ht="11.25" customHeight="1" x14ac:dyDescent="0.2">
      <c r="A26" s="126"/>
      <c r="B26" s="120"/>
      <c r="C26" s="114"/>
      <c r="D26" s="114"/>
      <c r="E26" s="114"/>
      <c r="F26" s="114"/>
      <c r="G26" s="115"/>
      <c r="H26" s="76"/>
      <c r="I26" s="37"/>
      <c r="J26" s="80"/>
      <c r="K26" s="80"/>
      <c r="L26" s="37"/>
      <c r="M26" s="37"/>
      <c r="N26" s="37"/>
      <c r="O26" s="37"/>
      <c r="P26" s="35"/>
      <c r="Q26" s="37"/>
      <c r="R26" s="80"/>
      <c r="S26" s="80"/>
      <c r="T26" s="37"/>
      <c r="U26" s="37"/>
      <c r="V26" s="37"/>
      <c r="W26" s="37"/>
      <c r="X26" s="35"/>
      <c r="Y26" s="37"/>
      <c r="Z26" s="80"/>
      <c r="AA26" s="80"/>
      <c r="AB26" s="37"/>
      <c r="AC26" s="37"/>
      <c r="AD26" s="37"/>
      <c r="AE26" s="37"/>
      <c r="AF26" s="35"/>
      <c r="AG26" s="37"/>
      <c r="AH26" s="80"/>
      <c r="AI26" s="80"/>
      <c r="AJ26" s="37"/>
      <c r="AK26" s="37"/>
      <c r="AL26" s="37"/>
      <c r="AM26" s="37"/>
      <c r="AN26" s="35"/>
      <c r="AO26" s="96"/>
      <c r="AP26" s="80"/>
      <c r="AQ26" s="80"/>
      <c r="AR26" s="96"/>
      <c r="AS26" s="96"/>
      <c r="AT26" s="37"/>
      <c r="AU26" s="37"/>
      <c r="AV26" s="35"/>
    </row>
    <row r="27" spans="1:48" x14ac:dyDescent="0.2">
      <c r="G27" s="7" t="s">
        <v>99</v>
      </c>
    </row>
  </sheetData>
  <sheetProtection password="A0D8" sheet="1" objects="1" scenarios="1" selectLockedCells="1"/>
  <mergeCells count="34">
    <mergeCell ref="P8:P9"/>
    <mergeCell ref="Q8:Q9"/>
    <mergeCell ref="R8:S8"/>
    <mergeCell ref="T8:U8"/>
    <mergeCell ref="V8:W8"/>
    <mergeCell ref="AD8:AE8"/>
    <mergeCell ref="I7:P7"/>
    <mergeCell ref="Q7:X7"/>
    <mergeCell ref="Y7:AF7"/>
    <mergeCell ref="AG7:AN7"/>
    <mergeCell ref="A1:H1"/>
    <mergeCell ref="G7:G9"/>
    <mergeCell ref="A7:D9"/>
    <mergeCell ref="H7:H9"/>
    <mergeCell ref="L8:M8"/>
    <mergeCell ref="N8:O8"/>
    <mergeCell ref="AO7:AV7"/>
    <mergeCell ref="I8:I9"/>
    <mergeCell ref="J8:K8"/>
    <mergeCell ref="X8:X9"/>
    <mergeCell ref="Y8:Y9"/>
    <mergeCell ref="Z8:AA8"/>
    <mergeCell ref="AB8:AC8"/>
    <mergeCell ref="AF8:AF9"/>
    <mergeCell ref="AG8:AG9"/>
    <mergeCell ref="AH8:AI8"/>
    <mergeCell ref="AP8:AQ8"/>
    <mergeCell ref="AR8:AS8"/>
    <mergeCell ref="AT8:AU8"/>
    <mergeCell ref="AV8:AV9"/>
    <mergeCell ref="AJ8:AK8"/>
    <mergeCell ref="AL8:AM8"/>
    <mergeCell ref="AN8:AN9"/>
    <mergeCell ref="AO8:AO9"/>
  </mergeCells>
  <phoneticPr fontId="1" type="noConversion"/>
  <dataValidations count="3">
    <dataValidation type="decimal" operator="greaterThanOrEqual" allowBlank="1" showInputMessage="1" showErrorMessage="1" errorTitle="Invalid Entry" error="The value you entered is not valid." sqref="AT25:AU26 AT22:AU23 AT20:AU20 AT11:AU13 AT15:AU18">
      <formula1>0</formula1>
    </dataValidation>
    <dataValidation allowBlank="1" showInputMessage="1" showErrorMessage="1" sqref="AT21:AU21 AT19:AU19 AT24:AU24 AV11:AV26 AT14:AU14"/>
    <dataValidation type="decimal" operator="greaterThanOrEqual" allowBlank="1" showInputMessage="1" showErrorMessage="1" errorTitle="Invalid entry!" error="Accepts greater than or equal to zero only." sqref="I11:AS26">
      <formula1>0</formula1>
    </dataValidation>
  </dataValidations>
  <pageMargins left="0.25" right="0.25" top="1" bottom="0.5" header="0.5" footer="0.5"/>
  <pageSetup paperSize="9" scale="52" orientation="landscape" horizontalDpi="360" verticalDpi="360" r:id="rId1"/>
  <headerFooter alignWithMargins="0">
    <oddHeader>&amp;R&amp;"Arial,Bold"&amp;9&amp;USchedule 17
&amp;U  &amp;P of &amp;N&amp;C&amp;"Arial,Bold"&amp;8 NEW RURAL BANK OF SAN LEONARDO, INC  [ 04-040656 ]
 As of: September 30, 2017</oddHeader>
  </headerFooter>
  <colBreaks count="4" manualBreakCount="4">
    <brk id="16" max="1048575" man="1"/>
    <brk id="24" max="1048575" man="1"/>
    <brk id="32" max="1048575" man="1"/>
    <brk id="40" max="1048575" man="1"/>
  </colBreaks>
  <drawing r:id="rId2"/>
  <legacyDrawing r:id="rId3"/>
  <controls>
    <mc:AlternateContent xmlns:mc="http://schemas.openxmlformats.org/markup-compatibility/2006">
      <mc:Choice Requires="x14">
        <control shapeId="3073" r:id="rId4" name="Label1">
          <controlPr defaultSize="0" autoLine="0" autoPict="0" r:id="rId5">
            <anchor moveWithCells="1">
              <from>
                <xdr:col>6</xdr:col>
                <xdr:colOff>1009650</xdr:colOff>
                <xdr:row>25</xdr:row>
                <xdr:rowOff>19050</xdr:rowOff>
              </from>
              <to>
                <xdr:col>7</xdr:col>
                <xdr:colOff>333375</xdr:colOff>
                <xdr:row>26</xdr:row>
                <xdr:rowOff>0</xdr:rowOff>
              </to>
            </anchor>
          </controlPr>
        </control>
      </mc:Choice>
      <mc:Fallback>
        <control shapeId="3073" r:id="rId4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54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x14ac:dyDescent="0.2"/>
  <cols>
    <col min="1" max="1" width="4" style="2" customWidth="1"/>
    <col min="2" max="2" width="2.7109375" style="2" customWidth="1"/>
    <col min="3" max="3" width="2.85546875" style="2" customWidth="1"/>
    <col min="4" max="4" width="33.140625" style="2" customWidth="1"/>
    <col min="5" max="5" width="2.85546875" style="2" hidden="1" customWidth="1"/>
    <col min="6" max="6" width="3" style="2" hidden="1" customWidth="1"/>
    <col min="7" max="7" width="16.42578125" style="47" customWidth="1"/>
    <col min="8" max="8" width="5.85546875" style="22" customWidth="1"/>
    <col min="9" max="9" width="18.7109375" style="2" customWidth="1"/>
    <col min="10" max="10" width="15.7109375" style="2" customWidth="1"/>
    <col min="11" max="11" width="18.7109375" style="2" customWidth="1"/>
    <col min="12" max="12" width="15.7109375" style="2" customWidth="1"/>
    <col min="13" max="13" width="18.7109375" style="2" customWidth="1"/>
    <col min="14" max="15" width="18.7109375" style="2" hidden="1" customWidth="1"/>
    <col min="16" max="16" width="20.7109375" style="2" customWidth="1"/>
    <col min="17" max="16384" width="9.140625" style="2"/>
  </cols>
  <sheetData>
    <row r="1" spans="1:16" s="59" customFormat="1" ht="12.75" customHeight="1" x14ac:dyDescent="0.2">
      <c r="A1" s="175" t="s">
        <v>41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</row>
    <row r="2" spans="1:16" ht="12.75" hidden="1" customHeight="1" x14ac:dyDescent="0.2">
      <c r="A2" s="17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</row>
    <row r="3" spans="1:16" ht="12.75" hidden="1" customHeight="1" x14ac:dyDescent="0.2">
      <c r="A3" s="17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</row>
    <row r="4" spans="1:16" ht="12.75" hidden="1" customHeight="1" x14ac:dyDescent="0.2">
      <c r="A4" s="176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</row>
    <row r="5" spans="1:16" ht="12.75" hidden="1" customHeight="1" x14ac:dyDescent="0.2">
      <c r="A5" s="176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</row>
    <row r="6" spans="1:16" ht="12.75" hidden="1" customHeight="1" x14ac:dyDescent="0.2">
      <c r="A6" s="176"/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</row>
    <row r="7" spans="1:16" x14ac:dyDescent="0.2">
      <c r="A7" s="177"/>
      <c r="B7" s="177"/>
      <c r="C7" s="177"/>
      <c r="D7" s="177"/>
      <c r="E7" s="177"/>
      <c r="F7" s="177"/>
      <c r="G7" s="178"/>
      <c r="H7" s="178"/>
      <c r="I7" s="178"/>
      <c r="J7" s="178"/>
      <c r="K7" s="178"/>
      <c r="L7" s="178"/>
      <c r="M7" s="178"/>
      <c r="N7" s="178"/>
      <c r="O7" s="178"/>
      <c r="P7" s="178"/>
    </row>
    <row r="8" spans="1:16" ht="11.25" customHeight="1" x14ac:dyDescent="0.2">
      <c r="A8" s="179" t="s">
        <v>1</v>
      </c>
      <c r="B8" s="179"/>
      <c r="C8" s="179"/>
      <c r="D8" s="179"/>
      <c r="E8" s="179"/>
      <c r="F8" s="179"/>
      <c r="G8" s="180" t="s">
        <v>2</v>
      </c>
      <c r="H8" s="141" t="s">
        <v>134</v>
      </c>
      <c r="I8" s="141" t="s">
        <v>42</v>
      </c>
      <c r="J8" s="146" t="s">
        <v>8</v>
      </c>
      <c r="K8" s="147"/>
      <c r="L8" s="146" t="s">
        <v>9</v>
      </c>
      <c r="M8" s="147"/>
      <c r="N8" s="146" t="s">
        <v>138</v>
      </c>
      <c r="O8" s="147"/>
      <c r="P8" s="141" t="s">
        <v>10</v>
      </c>
    </row>
    <row r="9" spans="1:16" x14ac:dyDescent="0.2">
      <c r="A9" s="179"/>
      <c r="B9" s="179"/>
      <c r="C9" s="179"/>
      <c r="D9" s="179"/>
      <c r="E9" s="179"/>
      <c r="F9" s="179"/>
      <c r="G9" s="180"/>
      <c r="H9" s="142"/>
      <c r="I9" s="161"/>
      <c r="J9" s="9" t="s">
        <v>12</v>
      </c>
      <c r="K9" s="10" t="s">
        <v>13</v>
      </c>
      <c r="L9" s="9" t="s">
        <v>12</v>
      </c>
      <c r="M9" s="10" t="s">
        <v>13</v>
      </c>
      <c r="N9" s="9" t="s">
        <v>12</v>
      </c>
      <c r="O9" s="10" t="s">
        <v>13</v>
      </c>
      <c r="P9" s="142"/>
    </row>
    <row r="10" spans="1:16" ht="11.25" customHeight="1" x14ac:dyDescent="0.2">
      <c r="A10" s="99" t="s">
        <v>14</v>
      </c>
      <c r="B10" s="181" t="s">
        <v>43</v>
      </c>
      <c r="C10" s="181"/>
      <c r="D10" s="181"/>
      <c r="E10" s="181"/>
      <c r="F10" s="181"/>
      <c r="G10" s="101" t="s">
        <v>104</v>
      </c>
      <c r="H10" s="40"/>
      <c r="I10" s="34"/>
      <c r="J10" s="34"/>
      <c r="K10" s="34"/>
      <c r="L10" s="33"/>
      <c r="M10" s="33"/>
      <c r="N10" s="51"/>
      <c r="O10" s="51"/>
      <c r="P10" s="18">
        <f>I10+K10+M10+O10</f>
        <v>0</v>
      </c>
    </row>
    <row r="11" spans="1:16" ht="11.25" customHeight="1" x14ac:dyDescent="0.2">
      <c r="A11" s="99" t="s">
        <v>16</v>
      </c>
      <c r="B11" s="181" t="s">
        <v>44</v>
      </c>
      <c r="C11" s="181"/>
      <c r="D11" s="181"/>
      <c r="E11" s="181"/>
      <c r="F11" s="181"/>
      <c r="G11" s="101" t="s">
        <v>105</v>
      </c>
      <c r="H11" s="40"/>
      <c r="I11" s="34"/>
      <c r="J11" s="34"/>
      <c r="K11" s="34"/>
      <c r="L11" s="33"/>
      <c r="M11" s="33"/>
      <c r="N11" s="51"/>
      <c r="O11" s="51"/>
      <c r="P11" s="18">
        <f t="shared" ref="P11:P39" si="0">I11+K11+M11+O11</f>
        <v>0</v>
      </c>
    </row>
    <row r="12" spans="1:16" ht="11.25" customHeight="1" x14ac:dyDescent="0.2">
      <c r="A12" s="99" t="s">
        <v>18</v>
      </c>
      <c r="B12" s="181" t="s">
        <v>45</v>
      </c>
      <c r="C12" s="181"/>
      <c r="D12" s="181"/>
      <c r="E12" s="181"/>
      <c r="F12" s="181"/>
      <c r="G12" s="101" t="s">
        <v>106</v>
      </c>
      <c r="H12" s="40"/>
      <c r="I12" s="35">
        <f t="shared" ref="I12:O12" si="1" xml:space="preserve"> (I13 + I14)</f>
        <v>0</v>
      </c>
      <c r="J12" s="35">
        <f t="shared" si="1"/>
        <v>0</v>
      </c>
      <c r="K12" s="35">
        <f t="shared" si="1"/>
        <v>0</v>
      </c>
      <c r="L12" s="35">
        <f t="shared" si="1"/>
        <v>0</v>
      </c>
      <c r="M12" s="35">
        <f t="shared" si="1"/>
        <v>0</v>
      </c>
      <c r="N12" s="35">
        <f t="shared" si="1"/>
        <v>0</v>
      </c>
      <c r="O12" s="35">
        <f t="shared" si="1"/>
        <v>0</v>
      </c>
      <c r="P12" s="18">
        <f t="shared" si="0"/>
        <v>0</v>
      </c>
    </row>
    <row r="13" spans="1:16" ht="11.25" customHeight="1" x14ac:dyDescent="0.2">
      <c r="A13" s="99"/>
      <c r="B13" s="102" t="s">
        <v>46</v>
      </c>
      <c r="C13" s="181" t="s">
        <v>47</v>
      </c>
      <c r="D13" s="181"/>
      <c r="E13" s="181"/>
      <c r="F13" s="181"/>
      <c r="G13" s="101" t="s">
        <v>107</v>
      </c>
      <c r="H13" s="41"/>
      <c r="I13" s="34"/>
      <c r="J13" s="34"/>
      <c r="K13" s="34"/>
      <c r="L13" s="34"/>
      <c r="M13" s="34"/>
      <c r="N13" s="34"/>
      <c r="O13" s="34"/>
      <c r="P13" s="18">
        <f t="shared" si="0"/>
        <v>0</v>
      </c>
    </row>
    <row r="14" spans="1:16" ht="11.25" customHeight="1" x14ac:dyDescent="0.2">
      <c r="A14" s="99"/>
      <c r="B14" s="102" t="s">
        <v>48</v>
      </c>
      <c r="C14" s="181" t="s">
        <v>49</v>
      </c>
      <c r="D14" s="181"/>
      <c r="E14" s="181"/>
      <c r="F14" s="181"/>
      <c r="G14" s="101" t="s">
        <v>108</v>
      </c>
      <c r="H14" s="40"/>
      <c r="I14" s="34"/>
      <c r="J14" s="34"/>
      <c r="K14" s="34"/>
      <c r="L14" s="34"/>
      <c r="M14" s="34"/>
      <c r="N14" s="34"/>
      <c r="O14" s="34"/>
      <c r="P14" s="18">
        <f t="shared" si="0"/>
        <v>0</v>
      </c>
    </row>
    <row r="15" spans="1:16" ht="11.25" customHeight="1" x14ac:dyDescent="0.2">
      <c r="A15" s="99" t="s">
        <v>20</v>
      </c>
      <c r="B15" s="181" t="s">
        <v>50</v>
      </c>
      <c r="C15" s="181"/>
      <c r="D15" s="181"/>
      <c r="E15" s="181"/>
      <c r="F15" s="181"/>
      <c r="G15" s="101" t="s">
        <v>109</v>
      </c>
      <c r="H15" s="40"/>
      <c r="I15" s="35">
        <f xml:space="preserve"> (I16 + I17)</f>
        <v>0</v>
      </c>
      <c r="J15" s="35">
        <f xml:space="preserve"> (J16 + J17)</f>
        <v>0</v>
      </c>
      <c r="K15" s="35">
        <f xml:space="preserve"> (K16 + K17)</f>
        <v>0</v>
      </c>
      <c r="L15" s="62"/>
      <c r="M15" s="62"/>
      <c r="N15" s="35">
        <f xml:space="preserve"> (N16 + N17)</f>
        <v>0</v>
      </c>
      <c r="O15" s="35">
        <f xml:space="preserve"> (O16 + O17)</f>
        <v>0</v>
      </c>
      <c r="P15" s="18">
        <f t="shared" si="0"/>
        <v>0</v>
      </c>
    </row>
    <row r="16" spans="1:16" ht="11.25" customHeight="1" x14ac:dyDescent="0.2">
      <c r="A16" s="99"/>
      <c r="B16" s="102" t="s">
        <v>46</v>
      </c>
      <c r="C16" s="181" t="s">
        <v>47</v>
      </c>
      <c r="D16" s="181"/>
      <c r="E16" s="181"/>
      <c r="F16" s="181"/>
      <c r="G16" s="101" t="s">
        <v>110</v>
      </c>
      <c r="H16" s="41"/>
      <c r="I16" s="34"/>
      <c r="J16" s="34"/>
      <c r="K16" s="34"/>
      <c r="L16" s="33"/>
      <c r="M16" s="33"/>
      <c r="N16" s="51"/>
      <c r="O16" s="51"/>
      <c r="P16" s="18">
        <f t="shared" si="0"/>
        <v>0</v>
      </c>
    </row>
    <row r="17" spans="1:16" ht="11.25" customHeight="1" x14ac:dyDescent="0.2">
      <c r="A17" s="99"/>
      <c r="B17" s="102" t="s">
        <v>48</v>
      </c>
      <c r="C17" s="181" t="s">
        <v>49</v>
      </c>
      <c r="D17" s="181"/>
      <c r="E17" s="181"/>
      <c r="F17" s="181"/>
      <c r="G17" s="101" t="s">
        <v>111</v>
      </c>
      <c r="H17" s="40"/>
      <c r="I17" s="34"/>
      <c r="J17" s="34"/>
      <c r="K17" s="34"/>
      <c r="L17" s="33"/>
      <c r="M17" s="33"/>
      <c r="N17" s="51"/>
      <c r="O17" s="51"/>
      <c r="P17" s="18">
        <f t="shared" si="0"/>
        <v>0</v>
      </c>
    </row>
    <row r="18" spans="1:16" ht="11.25" customHeight="1" x14ac:dyDescent="0.2">
      <c r="A18" s="99" t="s">
        <v>22</v>
      </c>
      <c r="B18" s="181" t="s">
        <v>51</v>
      </c>
      <c r="C18" s="181"/>
      <c r="D18" s="181"/>
      <c r="E18" s="181"/>
      <c r="F18" s="181"/>
      <c r="G18" s="101" t="s">
        <v>112</v>
      </c>
      <c r="H18" s="40"/>
      <c r="I18" s="33"/>
      <c r="J18" s="33"/>
      <c r="K18" s="33"/>
      <c r="L18" s="34"/>
      <c r="M18" s="34"/>
      <c r="N18" s="34"/>
      <c r="O18" s="34"/>
      <c r="P18" s="18">
        <f t="shared" si="0"/>
        <v>0</v>
      </c>
    </row>
    <row r="19" spans="1:16" ht="11.25" customHeight="1" x14ac:dyDescent="0.2">
      <c r="A19" s="103" t="s">
        <v>24</v>
      </c>
      <c r="B19" s="181" t="s">
        <v>52</v>
      </c>
      <c r="C19" s="181"/>
      <c r="D19" s="181"/>
      <c r="E19" s="181"/>
      <c r="F19" s="181"/>
      <c r="G19" s="104" t="s">
        <v>113</v>
      </c>
      <c r="H19" s="42"/>
      <c r="I19" s="34"/>
      <c r="J19" s="34"/>
      <c r="K19" s="34"/>
      <c r="L19" s="34"/>
      <c r="M19" s="34"/>
      <c r="N19" s="34"/>
      <c r="O19" s="34"/>
      <c r="P19" s="18">
        <f t="shared" si="0"/>
        <v>0</v>
      </c>
    </row>
    <row r="20" spans="1:16" ht="11.25" customHeight="1" x14ac:dyDescent="0.2">
      <c r="A20" s="99" t="s">
        <v>26</v>
      </c>
      <c r="B20" s="181" t="s">
        <v>53</v>
      </c>
      <c r="C20" s="181"/>
      <c r="D20" s="181"/>
      <c r="E20" s="181"/>
      <c r="F20" s="181"/>
      <c r="G20" s="101" t="s">
        <v>114</v>
      </c>
      <c r="H20" s="40"/>
      <c r="I20" s="34"/>
      <c r="J20" s="34"/>
      <c r="K20" s="34"/>
      <c r="L20" s="33"/>
      <c r="M20" s="33"/>
      <c r="N20" s="34"/>
      <c r="O20" s="34"/>
      <c r="P20" s="18">
        <f t="shared" si="0"/>
        <v>0</v>
      </c>
    </row>
    <row r="21" spans="1:16" ht="11.25" customHeight="1" x14ac:dyDescent="0.2">
      <c r="A21" s="99" t="s">
        <v>34</v>
      </c>
      <c r="B21" s="181" t="s">
        <v>151</v>
      </c>
      <c r="C21" s="181"/>
      <c r="D21" s="181"/>
      <c r="E21" s="181"/>
      <c r="F21" s="181"/>
      <c r="G21" s="101" t="s">
        <v>115</v>
      </c>
      <c r="H21" s="40"/>
      <c r="I21" s="18">
        <f>I22+I23+I24</f>
        <v>0</v>
      </c>
      <c r="J21" s="18">
        <f t="shared" ref="J21:O21" si="2">J22+J23+J24</f>
        <v>0</v>
      </c>
      <c r="K21" s="18">
        <f t="shared" si="2"/>
        <v>0</v>
      </c>
      <c r="L21" s="18">
        <f t="shared" si="2"/>
        <v>0</v>
      </c>
      <c r="M21" s="18">
        <f t="shared" si="2"/>
        <v>0</v>
      </c>
      <c r="N21" s="18">
        <f t="shared" si="2"/>
        <v>0</v>
      </c>
      <c r="O21" s="18">
        <f t="shared" si="2"/>
        <v>0</v>
      </c>
      <c r="P21" s="18">
        <f t="shared" si="0"/>
        <v>0</v>
      </c>
    </row>
    <row r="22" spans="1:16" ht="11.25" customHeight="1" x14ac:dyDescent="0.2">
      <c r="A22" s="99"/>
      <c r="B22" s="102" t="s">
        <v>46</v>
      </c>
      <c r="C22" s="172" t="s">
        <v>152</v>
      </c>
      <c r="D22" s="173"/>
      <c r="E22" s="173"/>
      <c r="F22" s="174"/>
      <c r="G22" s="101" t="s">
        <v>158</v>
      </c>
      <c r="H22" s="40"/>
      <c r="I22" s="34"/>
      <c r="J22" s="34"/>
      <c r="K22" s="34"/>
      <c r="L22" s="34"/>
      <c r="M22" s="34"/>
      <c r="N22" s="51"/>
      <c r="O22" s="51"/>
      <c r="P22" s="18">
        <f t="shared" si="0"/>
        <v>0</v>
      </c>
    </row>
    <row r="23" spans="1:16" ht="11.25" customHeight="1" x14ac:dyDescent="0.2">
      <c r="A23" s="99"/>
      <c r="B23" s="102" t="s">
        <v>48</v>
      </c>
      <c r="C23" s="172" t="s">
        <v>153</v>
      </c>
      <c r="D23" s="173"/>
      <c r="E23" s="173"/>
      <c r="F23" s="174"/>
      <c r="G23" s="101" t="s">
        <v>159</v>
      </c>
      <c r="H23" s="40"/>
      <c r="I23" s="34"/>
      <c r="J23" s="34"/>
      <c r="K23" s="34"/>
      <c r="L23" s="33"/>
      <c r="M23" s="33"/>
      <c r="N23" s="51"/>
      <c r="O23" s="51"/>
      <c r="P23" s="18">
        <f t="shared" si="0"/>
        <v>0</v>
      </c>
    </row>
    <row r="24" spans="1:16" ht="11.25" customHeight="1" x14ac:dyDescent="0.2">
      <c r="A24" s="99"/>
      <c r="B24" s="102" t="s">
        <v>154</v>
      </c>
      <c r="C24" s="172" t="s">
        <v>155</v>
      </c>
      <c r="D24" s="173"/>
      <c r="E24" s="173"/>
      <c r="F24" s="174"/>
      <c r="G24" s="101" t="s">
        <v>160</v>
      </c>
      <c r="H24" s="40"/>
      <c r="I24" s="34"/>
      <c r="J24" s="34"/>
      <c r="K24" s="34"/>
      <c r="L24" s="34"/>
      <c r="M24" s="34"/>
      <c r="N24" s="51"/>
      <c r="O24" s="51"/>
      <c r="P24" s="18">
        <f t="shared" si="0"/>
        <v>0</v>
      </c>
    </row>
    <row r="25" spans="1:16" ht="11.25" customHeight="1" x14ac:dyDescent="0.2">
      <c r="A25" s="99" t="s">
        <v>37</v>
      </c>
      <c r="B25" s="181" t="s">
        <v>54</v>
      </c>
      <c r="C25" s="181"/>
      <c r="D25" s="181"/>
      <c r="E25" s="181"/>
      <c r="F25" s="181"/>
      <c r="G25" s="101" t="s">
        <v>116</v>
      </c>
      <c r="H25" s="40"/>
      <c r="I25" s="34"/>
      <c r="J25" s="34"/>
      <c r="K25" s="34"/>
      <c r="L25" s="34"/>
      <c r="M25" s="34"/>
      <c r="N25" s="51"/>
      <c r="O25" s="51"/>
      <c r="P25" s="18">
        <f t="shared" si="0"/>
        <v>0</v>
      </c>
    </row>
    <row r="26" spans="1:16" ht="11.25" customHeight="1" x14ac:dyDescent="0.2">
      <c r="A26" s="99" t="s">
        <v>56</v>
      </c>
      <c r="B26" s="181" t="s">
        <v>55</v>
      </c>
      <c r="C26" s="181"/>
      <c r="D26" s="181"/>
      <c r="E26" s="181"/>
      <c r="F26" s="181"/>
      <c r="G26" s="101" t="s">
        <v>117</v>
      </c>
      <c r="H26" s="40"/>
      <c r="I26" s="34"/>
      <c r="J26" s="34"/>
      <c r="K26" s="34"/>
      <c r="L26" s="34"/>
      <c r="M26" s="34"/>
      <c r="N26" s="34"/>
      <c r="O26" s="34"/>
      <c r="P26" s="18">
        <f t="shared" si="0"/>
        <v>0</v>
      </c>
    </row>
    <row r="27" spans="1:16" ht="11.25" customHeight="1" x14ac:dyDescent="0.2">
      <c r="A27" s="99" t="s">
        <v>58</v>
      </c>
      <c r="B27" s="181" t="s">
        <v>57</v>
      </c>
      <c r="C27" s="181"/>
      <c r="D27" s="181"/>
      <c r="E27" s="181"/>
      <c r="F27" s="181"/>
      <c r="G27" s="101" t="s">
        <v>118</v>
      </c>
      <c r="H27" s="40"/>
      <c r="I27" s="34"/>
      <c r="J27" s="34"/>
      <c r="K27" s="34"/>
      <c r="L27" s="34"/>
      <c r="M27" s="34"/>
      <c r="N27" s="34"/>
      <c r="O27" s="34"/>
      <c r="P27" s="18">
        <f t="shared" si="0"/>
        <v>0</v>
      </c>
    </row>
    <row r="28" spans="1:16" ht="11.25" customHeight="1" x14ac:dyDescent="0.2">
      <c r="A28" s="99" t="s">
        <v>60</v>
      </c>
      <c r="B28" s="181" t="s">
        <v>59</v>
      </c>
      <c r="C28" s="181"/>
      <c r="D28" s="181"/>
      <c r="E28" s="181"/>
      <c r="F28" s="181"/>
      <c r="G28" s="101" t="s">
        <v>119</v>
      </c>
      <c r="H28" s="40"/>
      <c r="I28" s="34"/>
      <c r="J28" s="34"/>
      <c r="K28" s="34"/>
      <c r="L28" s="34"/>
      <c r="M28" s="34"/>
      <c r="N28" s="34"/>
      <c r="O28" s="34"/>
      <c r="P28" s="18">
        <f t="shared" si="0"/>
        <v>0</v>
      </c>
    </row>
    <row r="29" spans="1:16" ht="11.25" customHeight="1" x14ac:dyDescent="0.2">
      <c r="A29" s="99" t="s">
        <v>136</v>
      </c>
      <c r="B29" s="181" t="s">
        <v>61</v>
      </c>
      <c r="C29" s="181"/>
      <c r="D29" s="181"/>
      <c r="E29" s="181"/>
      <c r="F29" s="181"/>
      <c r="G29" s="101" t="s">
        <v>120</v>
      </c>
      <c r="H29" s="43" t="s">
        <v>147</v>
      </c>
      <c r="I29" s="35">
        <f t="shared" ref="I29:O29" si="3">SUM(I30:I31)</f>
        <v>0</v>
      </c>
      <c r="J29" s="35">
        <f t="shared" si="3"/>
        <v>0</v>
      </c>
      <c r="K29" s="35">
        <f t="shared" si="3"/>
        <v>0</v>
      </c>
      <c r="L29" s="35">
        <f t="shared" si="3"/>
        <v>0</v>
      </c>
      <c r="M29" s="35">
        <f t="shared" si="3"/>
        <v>0</v>
      </c>
      <c r="N29" s="35">
        <f t="shared" si="3"/>
        <v>0</v>
      </c>
      <c r="O29" s="35">
        <f t="shared" si="3"/>
        <v>0</v>
      </c>
      <c r="P29" s="18">
        <f t="shared" si="0"/>
        <v>0</v>
      </c>
    </row>
    <row r="30" spans="1:16" ht="11.25" customHeight="1" x14ac:dyDescent="0.2">
      <c r="A30" s="99"/>
      <c r="B30" s="105"/>
      <c r="C30" s="106" t="s">
        <v>135</v>
      </c>
      <c r="D30" s="183"/>
      <c r="E30" s="183"/>
      <c r="F30" s="183"/>
      <c r="G30" s="107"/>
      <c r="H30" s="40">
        <v>1</v>
      </c>
      <c r="I30" s="34"/>
      <c r="J30" s="34"/>
      <c r="K30" s="34"/>
      <c r="L30" s="34"/>
      <c r="M30" s="34"/>
      <c r="N30" s="34"/>
      <c r="O30" s="34"/>
      <c r="P30" s="18">
        <f>I30+K30+M30+O30</f>
        <v>0</v>
      </c>
    </row>
    <row r="31" spans="1:16" ht="11.25" customHeight="1" x14ac:dyDescent="0.2">
      <c r="A31" s="99"/>
      <c r="B31" s="105"/>
      <c r="C31" s="106"/>
      <c r="D31" s="181"/>
      <c r="E31" s="181"/>
      <c r="F31" s="181"/>
      <c r="G31" s="107"/>
      <c r="H31" s="54" t="s">
        <v>149</v>
      </c>
      <c r="I31" s="61"/>
      <c r="J31" s="61"/>
      <c r="K31" s="61"/>
      <c r="L31" s="61"/>
      <c r="M31" s="61"/>
      <c r="N31" s="61"/>
      <c r="O31" s="61"/>
      <c r="P31" s="18"/>
    </row>
    <row r="32" spans="1:16" ht="11.25" customHeight="1" x14ac:dyDescent="0.2">
      <c r="A32" s="99"/>
      <c r="B32" s="182" t="s">
        <v>62</v>
      </c>
      <c r="C32" s="182"/>
      <c r="D32" s="182"/>
      <c r="E32" s="182"/>
      <c r="F32" s="182"/>
      <c r="G32" s="101" t="s">
        <v>121</v>
      </c>
      <c r="H32" s="45"/>
      <c r="I32" s="35">
        <f t="shared" ref="I32:O32" si="4" xml:space="preserve"> (I10 + I11 + I12 + I15 + I18 + I19 + I20 + I21 + I25 + I26 + I27 + I28 + I29)</f>
        <v>0</v>
      </c>
      <c r="J32" s="35">
        <f t="shared" si="4"/>
        <v>0</v>
      </c>
      <c r="K32" s="35">
        <f t="shared" si="4"/>
        <v>0</v>
      </c>
      <c r="L32" s="35">
        <f t="shared" si="4"/>
        <v>0</v>
      </c>
      <c r="M32" s="35">
        <f t="shared" si="4"/>
        <v>0</v>
      </c>
      <c r="N32" s="35">
        <f t="shared" si="4"/>
        <v>0</v>
      </c>
      <c r="O32" s="35">
        <f t="shared" si="4"/>
        <v>0</v>
      </c>
      <c r="P32" s="18">
        <f t="shared" si="0"/>
        <v>0</v>
      </c>
    </row>
    <row r="33" spans="1:16" ht="11.25" customHeight="1" x14ac:dyDescent="0.2">
      <c r="A33" s="99"/>
      <c r="B33" s="182" t="s">
        <v>5</v>
      </c>
      <c r="C33" s="182"/>
      <c r="D33" s="182"/>
      <c r="E33" s="182"/>
      <c r="F33" s="182"/>
      <c r="G33" s="101" t="s">
        <v>122</v>
      </c>
      <c r="H33" s="45"/>
      <c r="I33" s="34"/>
      <c r="J33" s="34"/>
      <c r="K33" s="34"/>
      <c r="L33" s="34"/>
      <c r="M33" s="34"/>
      <c r="N33" s="34"/>
      <c r="O33" s="34"/>
      <c r="P33" s="18">
        <f t="shared" si="0"/>
        <v>0</v>
      </c>
    </row>
    <row r="34" spans="1:16" ht="11.25" customHeight="1" x14ac:dyDescent="0.2">
      <c r="A34" s="105"/>
      <c r="B34" s="182" t="s">
        <v>63</v>
      </c>
      <c r="C34" s="182"/>
      <c r="D34" s="182"/>
      <c r="E34" s="182"/>
      <c r="F34" s="182"/>
      <c r="G34" s="101" t="s">
        <v>123</v>
      </c>
      <c r="H34" s="45"/>
      <c r="I34" s="18">
        <f t="shared" ref="I34:O34" si="5">+I32 - I33</f>
        <v>0</v>
      </c>
      <c r="J34" s="18">
        <f t="shared" si="5"/>
        <v>0</v>
      </c>
      <c r="K34" s="18">
        <f t="shared" si="5"/>
        <v>0</v>
      </c>
      <c r="L34" s="18">
        <f t="shared" si="5"/>
        <v>0</v>
      </c>
      <c r="M34" s="18">
        <f t="shared" si="5"/>
        <v>0</v>
      </c>
      <c r="N34" s="18">
        <f t="shared" si="5"/>
        <v>0</v>
      </c>
      <c r="O34" s="18">
        <f t="shared" si="5"/>
        <v>0</v>
      </c>
      <c r="P34" s="18">
        <f t="shared" si="0"/>
        <v>0</v>
      </c>
    </row>
    <row r="35" spans="1:16" ht="11.25" customHeight="1" x14ac:dyDescent="0.2">
      <c r="A35" s="109" t="s">
        <v>178</v>
      </c>
      <c r="B35" s="108"/>
      <c r="C35" s="108"/>
      <c r="D35" s="108"/>
      <c r="E35" s="108"/>
      <c r="F35" s="108"/>
      <c r="G35" s="101"/>
      <c r="H35" s="45"/>
      <c r="I35" s="18"/>
      <c r="J35" s="18"/>
      <c r="K35" s="18"/>
      <c r="L35" s="18"/>
      <c r="M35" s="18"/>
      <c r="N35" s="18"/>
      <c r="O35" s="18"/>
      <c r="P35" s="18"/>
    </row>
    <row r="36" spans="1:16" ht="23.25" customHeight="1" x14ac:dyDescent="0.2">
      <c r="A36" s="105" t="s">
        <v>179</v>
      </c>
      <c r="B36" s="169" t="s">
        <v>180</v>
      </c>
      <c r="C36" s="170"/>
      <c r="D36" s="171"/>
      <c r="E36" s="108"/>
      <c r="F36" s="108"/>
      <c r="G36" s="101" t="s">
        <v>187</v>
      </c>
      <c r="H36" s="45"/>
      <c r="I36" s="77"/>
      <c r="J36" s="77"/>
      <c r="K36" s="77"/>
      <c r="L36" s="18">
        <f>L37+L38</f>
        <v>0</v>
      </c>
      <c r="M36" s="18">
        <f>M37+M38</f>
        <v>0</v>
      </c>
      <c r="N36" s="18">
        <f>N37+N38</f>
        <v>0</v>
      </c>
      <c r="O36" s="18">
        <f>O37+O38</f>
        <v>0</v>
      </c>
      <c r="P36" s="18">
        <f t="shared" si="0"/>
        <v>0</v>
      </c>
    </row>
    <row r="37" spans="1:16" ht="23.25" customHeight="1" x14ac:dyDescent="0.2">
      <c r="A37" s="105"/>
      <c r="B37" s="100" t="s">
        <v>46</v>
      </c>
      <c r="C37" s="169" t="s">
        <v>181</v>
      </c>
      <c r="D37" s="171"/>
      <c r="E37" s="108"/>
      <c r="F37" s="108"/>
      <c r="G37" s="101" t="s">
        <v>188</v>
      </c>
      <c r="H37" s="45"/>
      <c r="I37" s="77"/>
      <c r="J37" s="77"/>
      <c r="K37" s="77"/>
      <c r="L37" s="34"/>
      <c r="M37" s="34"/>
      <c r="N37" s="34"/>
      <c r="O37" s="34"/>
      <c r="P37" s="18">
        <f t="shared" si="0"/>
        <v>0</v>
      </c>
    </row>
    <row r="38" spans="1:16" ht="23.25" customHeight="1" x14ac:dyDescent="0.2">
      <c r="A38" s="105"/>
      <c r="B38" s="100" t="s">
        <v>48</v>
      </c>
      <c r="C38" s="169" t="s">
        <v>182</v>
      </c>
      <c r="D38" s="171"/>
      <c r="E38" s="108"/>
      <c r="F38" s="108"/>
      <c r="G38" s="101" t="s">
        <v>189</v>
      </c>
      <c r="H38" s="45"/>
      <c r="I38" s="77"/>
      <c r="J38" s="77"/>
      <c r="K38" s="77"/>
      <c r="L38" s="34"/>
      <c r="M38" s="34"/>
      <c r="N38" s="34"/>
      <c r="O38" s="34"/>
      <c r="P38" s="18">
        <f t="shared" si="0"/>
        <v>0</v>
      </c>
    </row>
    <row r="39" spans="1:16" ht="23.25" customHeight="1" x14ac:dyDescent="0.2">
      <c r="A39" s="105" t="s">
        <v>183</v>
      </c>
      <c r="B39" s="169" t="s">
        <v>184</v>
      </c>
      <c r="C39" s="170"/>
      <c r="D39" s="171"/>
      <c r="E39" s="108"/>
      <c r="F39" s="108"/>
      <c r="G39" s="101" t="s">
        <v>190</v>
      </c>
      <c r="H39" s="45"/>
      <c r="I39" s="77"/>
      <c r="J39" s="77"/>
      <c r="K39" s="77"/>
      <c r="L39" s="34"/>
      <c r="M39" s="34"/>
      <c r="N39" s="34"/>
      <c r="O39" s="34"/>
      <c r="P39" s="18">
        <f t="shared" si="0"/>
        <v>0</v>
      </c>
    </row>
    <row r="40" spans="1:16" ht="11.25" customHeight="1" x14ac:dyDescent="0.2">
      <c r="A40" s="109" t="s">
        <v>185</v>
      </c>
      <c r="B40" s="108"/>
      <c r="C40" s="108"/>
      <c r="D40" s="108"/>
      <c r="E40" s="108"/>
      <c r="F40" s="108"/>
      <c r="G40" s="101"/>
      <c r="H40" s="45"/>
      <c r="I40" s="18"/>
      <c r="J40" s="18"/>
      <c r="K40" s="18"/>
      <c r="L40" s="18"/>
      <c r="M40" s="18"/>
      <c r="N40" s="18"/>
      <c r="O40" s="18"/>
      <c r="P40" s="18"/>
    </row>
    <row r="41" spans="1:16" ht="11.25" customHeight="1" x14ac:dyDescent="0.2">
      <c r="A41" s="105" t="s">
        <v>179</v>
      </c>
      <c r="B41" s="172" t="s">
        <v>186</v>
      </c>
      <c r="C41" s="173"/>
      <c r="D41" s="174"/>
      <c r="E41" s="108"/>
      <c r="F41" s="108"/>
      <c r="G41" s="101" t="s">
        <v>191</v>
      </c>
      <c r="H41" s="45"/>
      <c r="I41" s="34"/>
      <c r="J41" s="34"/>
      <c r="K41" s="34"/>
      <c r="L41" s="34"/>
      <c r="M41" s="34"/>
      <c r="N41" s="34"/>
      <c r="O41" s="34"/>
      <c r="P41" s="18">
        <f>I41+K41+M41+O41</f>
        <v>0</v>
      </c>
    </row>
    <row r="42" spans="1:16" x14ac:dyDescent="0.2">
      <c r="A42" s="12"/>
      <c r="B42" s="12"/>
      <c r="C42" s="19"/>
      <c r="D42" s="19"/>
      <c r="E42" s="19"/>
      <c r="F42" s="19"/>
      <c r="G42" s="46" t="s">
        <v>99</v>
      </c>
      <c r="H42" s="21"/>
      <c r="I42" s="20"/>
      <c r="J42" s="20"/>
      <c r="K42" s="20"/>
      <c r="L42" s="20"/>
      <c r="M42" s="20"/>
      <c r="N42" s="20"/>
      <c r="O42" s="20"/>
      <c r="P42" s="20"/>
    </row>
    <row r="43" spans="1:16" x14ac:dyDescent="0.2">
      <c r="A43" s="2" t="s">
        <v>156</v>
      </c>
      <c r="B43" s="12"/>
      <c r="C43" s="19"/>
      <c r="D43" s="19"/>
      <c r="E43" s="19"/>
      <c r="F43" s="19"/>
      <c r="G43" s="46"/>
      <c r="H43" s="21"/>
      <c r="I43" s="20"/>
      <c r="J43" s="20"/>
      <c r="K43" s="20"/>
      <c r="L43" s="20"/>
      <c r="M43" s="20"/>
      <c r="N43" s="20"/>
      <c r="O43" s="20"/>
      <c r="P43" s="20"/>
    </row>
    <row r="44" spans="1:16" x14ac:dyDescent="0.2">
      <c r="A44" s="2" t="s">
        <v>157</v>
      </c>
    </row>
    <row r="54" spans="2:2" x14ac:dyDescent="0.2">
      <c r="B54" s="13"/>
    </row>
  </sheetData>
  <sheetProtection password="AED8" sheet="1" objects="1" scenarios="1" selectLockedCells="1"/>
  <mergeCells count="45">
    <mergeCell ref="B34:F34"/>
    <mergeCell ref="B28:F28"/>
    <mergeCell ref="B29:F29"/>
    <mergeCell ref="D30:F30"/>
    <mergeCell ref="D31:F31"/>
    <mergeCell ref="B27:F27"/>
    <mergeCell ref="B32:F32"/>
    <mergeCell ref="B33:F33"/>
    <mergeCell ref="B18:F18"/>
    <mergeCell ref="B19:F19"/>
    <mergeCell ref="B20:F20"/>
    <mergeCell ref="B21:F21"/>
    <mergeCell ref="B25:F25"/>
    <mergeCell ref="B26:F26"/>
    <mergeCell ref="C22:F22"/>
    <mergeCell ref="C23:F23"/>
    <mergeCell ref="C24:F24"/>
    <mergeCell ref="B12:F12"/>
    <mergeCell ref="C13:F13"/>
    <mergeCell ref="C14:F14"/>
    <mergeCell ref="B15:F15"/>
    <mergeCell ref="C16:F16"/>
    <mergeCell ref="C17:F17"/>
    <mergeCell ref="B10:F10"/>
    <mergeCell ref="B11:F11"/>
    <mergeCell ref="H8:H9"/>
    <mergeCell ref="I8:I9"/>
    <mergeCell ref="J8:K8"/>
    <mergeCell ref="L8:M8"/>
    <mergeCell ref="A6:P6"/>
    <mergeCell ref="A7:P7"/>
    <mergeCell ref="A8:F9"/>
    <mergeCell ref="G8:G9"/>
    <mergeCell ref="N8:O8"/>
    <mergeCell ref="P8:P9"/>
    <mergeCell ref="B36:D36"/>
    <mergeCell ref="C37:D37"/>
    <mergeCell ref="C38:D38"/>
    <mergeCell ref="B39:D39"/>
    <mergeCell ref="B41:D41"/>
    <mergeCell ref="A1:P1"/>
    <mergeCell ref="A2:P2"/>
    <mergeCell ref="A3:P3"/>
    <mergeCell ref="A4:P4"/>
    <mergeCell ref="A5:P5"/>
  </mergeCells>
  <phoneticPr fontId="1" type="noConversion"/>
  <dataValidations count="2">
    <dataValidation type="decimal" operator="greaterThanOrEqual" allowBlank="1" showInputMessage="1" showErrorMessage="1" errorTitle="Invalid Entry" error="The value you entered is not valid." sqref="I33:O33 I30:O31 J21:O21 I19:I25 J20:K20 J19:O19 L18:O18 I16:K17 I13:O14 I10:K11 N20:O20 I26:O28 J22:K25 L22:M22 L24:M25 L37:M39 I41:M41">
      <formula1>0</formula1>
    </dataValidation>
    <dataValidation allowBlank="1" showInputMessage="1" showErrorMessage="1" sqref="I32:P32 L23:M23 P33 P30:P31 L16:O17 L10:P11 I12:P12 P13:P28 I29:P29 I18:K18 I15:O15 L20:M20 N22:O25 N34:P41 L34:M36 L40:M40 I34:K40"/>
  </dataValidations>
  <pageMargins left="0.25" right="0.25" top="1" bottom="0.5" header="0.5" footer="0.5"/>
  <pageSetup paperSize="9" orientation="landscape" r:id="rId1"/>
  <headerFooter alignWithMargins="0">
    <oddHeader>&amp;R&amp;"Arial,Bold"&amp;9&amp;USchedule 19&amp;U
 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027" r:id="rId4" name="Label_a">
          <controlPr defaultSize="0" autoLine="0" r:id="rId5">
            <anchor moveWithCells="1">
              <from>
                <xdr:col>7</xdr:col>
                <xdr:colOff>247650</xdr:colOff>
                <xdr:row>30</xdr:row>
                <xdr:rowOff>9525</xdr:rowOff>
              </from>
              <to>
                <xdr:col>7</xdr:col>
                <xdr:colOff>381000</xdr:colOff>
                <xdr:row>30</xdr:row>
                <xdr:rowOff>133350</xdr:rowOff>
              </to>
            </anchor>
          </controlPr>
        </control>
      </mc:Choice>
      <mc:Fallback>
        <control shapeId="1027" r:id="rId4" name="Label_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5"/>
  <sheetViews>
    <sheetView zoomScale="75" zoomScaleNormal="85" zoomScaleSheetLayoutView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J11" sqref="J11"/>
    </sheetView>
  </sheetViews>
  <sheetFormatPr defaultRowHeight="12.75" x14ac:dyDescent="0.2"/>
  <cols>
    <col min="1" max="1" width="2.42578125" customWidth="1"/>
    <col min="2" max="2" width="3.42578125" customWidth="1"/>
    <col min="3" max="3" width="1.85546875" customWidth="1"/>
    <col min="4" max="4" width="56.7109375" customWidth="1"/>
    <col min="5" max="5" width="45.5703125" hidden="1" customWidth="1"/>
    <col min="6" max="6" width="3.85546875" hidden="1" customWidth="1"/>
    <col min="7" max="7" width="17.85546875" customWidth="1"/>
    <col min="8" max="8" width="6.7109375" style="23" customWidth="1"/>
    <col min="9" max="9" width="18.7109375" customWidth="1"/>
    <col min="10" max="10" width="15.7109375" customWidth="1"/>
    <col min="11" max="11" width="18.7109375" customWidth="1"/>
    <col min="12" max="12" width="15.7109375" customWidth="1"/>
    <col min="13" max="13" width="18.7109375" customWidth="1"/>
    <col min="14" max="15" width="18.7109375" hidden="1" customWidth="1"/>
    <col min="16" max="16" width="20.7109375" customWidth="1"/>
  </cols>
  <sheetData>
    <row r="1" spans="1:16" s="60" customFormat="1" x14ac:dyDescent="0.2">
      <c r="A1" s="187" t="s">
        <v>139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</row>
    <row r="2" spans="1:16" x14ac:dyDescent="0.2">
      <c r="A2" s="188"/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</row>
    <row r="3" spans="1:16" hidden="1" x14ac:dyDescent="0.2">
      <c r="A3" s="188"/>
      <c r="B3" s="188"/>
      <c r="C3" s="188"/>
      <c r="D3" s="188"/>
      <c r="E3" s="188"/>
      <c r="F3" s="188"/>
      <c r="G3" s="188"/>
      <c r="H3" s="188"/>
      <c r="I3" s="188"/>
      <c r="J3" s="188"/>
      <c r="K3" s="188"/>
      <c r="L3" s="188"/>
      <c r="M3" s="188"/>
      <c r="N3" s="188"/>
      <c r="O3" s="188"/>
      <c r="P3" s="188"/>
    </row>
    <row r="4" spans="1:16" hidden="1" x14ac:dyDescent="0.2">
      <c r="A4" s="188"/>
      <c r="B4" s="188"/>
      <c r="C4" s="188"/>
      <c r="D4" s="188"/>
      <c r="E4" s="188"/>
      <c r="F4" s="188"/>
      <c r="G4" s="188"/>
      <c r="H4" s="188"/>
      <c r="I4" s="188"/>
      <c r="J4" s="188"/>
      <c r="K4" s="188"/>
      <c r="L4" s="188"/>
      <c r="M4" s="188"/>
      <c r="N4" s="188"/>
      <c r="O4" s="188"/>
      <c r="P4" s="188"/>
    </row>
    <row r="5" spans="1:16" hidden="1" x14ac:dyDescent="0.2">
      <c r="A5" s="188"/>
      <c r="B5" s="188"/>
      <c r="C5" s="188"/>
      <c r="D5" s="188"/>
      <c r="E5" s="188"/>
      <c r="F5" s="188"/>
      <c r="G5" s="188"/>
      <c r="H5" s="188"/>
      <c r="I5" s="188"/>
      <c r="J5" s="188"/>
      <c r="K5" s="188"/>
      <c r="L5" s="188"/>
      <c r="M5" s="188"/>
      <c r="N5" s="188"/>
      <c r="O5" s="188"/>
      <c r="P5" s="188"/>
    </row>
    <row r="6" spans="1:16" hidden="1" x14ac:dyDescent="0.2">
      <c r="A6" s="188"/>
      <c r="B6" s="188"/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</row>
    <row r="7" spans="1:16" hidden="1" x14ac:dyDescent="0.2">
      <c r="A7" s="188"/>
      <c r="B7" s="188"/>
      <c r="C7" s="188"/>
      <c r="D7" s="188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</row>
    <row r="8" spans="1:16" ht="12.75" customHeight="1" x14ac:dyDescent="0.2">
      <c r="A8" s="149" t="s">
        <v>64</v>
      </c>
      <c r="B8" s="150"/>
      <c r="C8" s="150"/>
      <c r="D8" s="150"/>
      <c r="E8" s="150"/>
      <c r="F8" s="151"/>
      <c r="G8" s="184" t="s">
        <v>2</v>
      </c>
      <c r="H8" s="141" t="s">
        <v>134</v>
      </c>
      <c r="I8" s="141" t="s">
        <v>42</v>
      </c>
      <c r="J8" s="146" t="s">
        <v>8</v>
      </c>
      <c r="K8" s="147"/>
      <c r="L8" s="146" t="s">
        <v>9</v>
      </c>
      <c r="M8" s="147"/>
      <c r="N8" s="148" t="s">
        <v>138</v>
      </c>
      <c r="O8" s="148"/>
      <c r="P8" s="141" t="s">
        <v>10</v>
      </c>
    </row>
    <row r="9" spans="1:16" x14ac:dyDescent="0.2">
      <c r="A9" s="152"/>
      <c r="B9" s="153"/>
      <c r="C9" s="153"/>
      <c r="D9" s="153"/>
      <c r="E9" s="153"/>
      <c r="F9" s="154"/>
      <c r="G9" s="185"/>
      <c r="H9" s="142"/>
      <c r="I9" s="142"/>
      <c r="J9" s="14" t="s">
        <v>12</v>
      </c>
      <c r="K9" s="15" t="s">
        <v>13</v>
      </c>
      <c r="L9" s="14" t="s">
        <v>12</v>
      </c>
      <c r="M9" s="15" t="s">
        <v>13</v>
      </c>
      <c r="N9" s="50" t="s">
        <v>12</v>
      </c>
      <c r="O9" s="15" t="s">
        <v>13</v>
      </c>
      <c r="P9" s="142"/>
    </row>
    <row r="10" spans="1:16" ht="11.25" customHeight="1" x14ac:dyDescent="0.2">
      <c r="A10" s="130" t="s">
        <v>65</v>
      </c>
      <c r="B10" s="186" t="s">
        <v>140</v>
      </c>
      <c r="C10" s="186"/>
      <c r="D10" s="186"/>
      <c r="E10" s="186"/>
      <c r="F10" s="186"/>
      <c r="G10" s="104" t="s">
        <v>124</v>
      </c>
      <c r="H10" s="42"/>
      <c r="I10" s="18">
        <f t="shared" ref="I10:O10" si="0" xml:space="preserve"> (I11 + I12 + I13 + I14)</f>
        <v>0</v>
      </c>
      <c r="J10" s="18">
        <f t="shared" si="0"/>
        <v>0</v>
      </c>
      <c r="K10" s="18">
        <f t="shared" si="0"/>
        <v>0</v>
      </c>
      <c r="L10" s="18">
        <f t="shared" si="0"/>
        <v>0</v>
      </c>
      <c r="M10" s="18">
        <f t="shared" si="0"/>
        <v>0</v>
      </c>
      <c r="N10" s="18">
        <f t="shared" si="0"/>
        <v>0</v>
      </c>
      <c r="O10" s="18">
        <f t="shared" si="0"/>
        <v>0</v>
      </c>
      <c r="P10" s="18">
        <f>I10+K10+M10+O10</f>
        <v>0</v>
      </c>
    </row>
    <row r="11" spans="1:16" ht="24" customHeight="1" x14ac:dyDescent="0.2">
      <c r="A11" s="131"/>
      <c r="B11" s="132" t="s">
        <v>14</v>
      </c>
      <c r="C11" s="186" t="s">
        <v>66</v>
      </c>
      <c r="D11" s="186"/>
      <c r="E11" s="186"/>
      <c r="F11" s="186"/>
      <c r="G11" s="104" t="s">
        <v>125</v>
      </c>
      <c r="H11" s="42"/>
      <c r="I11" s="33"/>
      <c r="J11" s="34"/>
      <c r="K11" s="34"/>
      <c r="L11" s="34"/>
      <c r="M11" s="34"/>
      <c r="N11" s="34"/>
      <c r="O11" s="34"/>
      <c r="P11" s="18">
        <f t="shared" ref="P11:P22" si="1">I11+K11+M11+O11</f>
        <v>0</v>
      </c>
    </row>
    <row r="12" spans="1:16" ht="11.25" customHeight="1" x14ac:dyDescent="0.2">
      <c r="A12" s="131"/>
      <c r="B12" s="132" t="s">
        <v>16</v>
      </c>
      <c r="C12" s="186" t="s">
        <v>141</v>
      </c>
      <c r="D12" s="186"/>
      <c r="E12" s="186"/>
      <c r="F12" s="186"/>
      <c r="G12" s="104" t="s">
        <v>126</v>
      </c>
      <c r="H12" s="42"/>
      <c r="I12" s="33"/>
      <c r="J12" s="34"/>
      <c r="K12" s="34"/>
      <c r="L12" s="34"/>
      <c r="M12" s="34"/>
      <c r="N12" s="34"/>
      <c r="O12" s="34"/>
      <c r="P12" s="18">
        <f t="shared" si="1"/>
        <v>0</v>
      </c>
    </row>
    <row r="13" spans="1:16" ht="11.25" customHeight="1" x14ac:dyDescent="0.2">
      <c r="A13" s="131"/>
      <c r="B13" s="132" t="s">
        <v>18</v>
      </c>
      <c r="C13" s="186" t="s">
        <v>67</v>
      </c>
      <c r="D13" s="186"/>
      <c r="E13" s="186"/>
      <c r="F13" s="186"/>
      <c r="G13" s="104" t="s">
        <v>127</v>
      </c>
      <c r="H13" s="42"/>
      <c r="I13" s="34"/>
      <c r="J13" s="34"/>
      <c r="K13" s="34"/>
      <c r="L13" s="34"/>
      <c r="M13" s="34"/>
      <c r="N13" s="34"/>
      <c r="O13" s="34"/>
      <c r="P13" s="18">
        <f t="shared" si="1"/>
        <v>0</v>
      </c>
    </row>
    <row r="14" spans="1:16" ht="11.25" customHeight="1" x14ac:dyDescent="0.2">
      <c r="A14" s="99"/>
      <c r="B14" s="132" t="s">
        <v>20</v>
      </c>
      <c r="C14" s="186" t="s">
        <v>137</v>
      </c>
      <c r="D14" s="186"/>
      <c r="E14" s="186"/>
      <c r="F14" s="186"/>
      <c r="G14" s="104" t="s">
        <v>128</v>
      </c>
      <c r="H14" s="49" t="s">
        <v>147</v>
      </c>
      <c r="I14" s="35">
        <f t="shared" ref="I14:O14" si="2">SUM(I15:I16)</f>
        <v>0</v>
      </c>
      <c r="J14" s="35">
        <f t="shared" si="2"/>
        <v>0</v>
      </c>
      <c r="K14" s="35">
        <f t="shared" si="2"/>
        <v>0</v>
      </c>
      <c r="L14" s="35">
        <f t="shared" si="2"/>
        <v>0</v>
      </c>
      <c r="M14" s="35">
        <f t="shared" si="2"/>
        <v>0</v>
      </c>
      <c r="N14" s="35">
        <f t="shared" si="2"/>
        <v>0</v>
      </c>
      <c r="O14" s="35">
        <f t="shared" si="2"/>
        <v>0</v>
      </c>
      <c r="P14" s="18">
        <f t="shared" si="1"/>
        <v>0</v>
      </c>
    </row>
    <row r="15" spans="1:16" ht="11.25" customHeight="1" x14ac:dyDescent="0.2">
      <c r="A15" s="39"/>
      <c r="B15" s="48"/>
      <c r="C15" s="52" t="s">
        <v>135</v>
      </c>
      <c r="D15" s="56"/>
      <c r="E15" s="57"/>
      <c r="F15" s="58"/>
      <c r="G15" s="134"/>
      <c r="H15" s="42">
        <v>1</v>
      </c>
      <c r="I15" s="34"/>
      <c r="J15" s="34"/>
      <c r="K15" s="34"/>
      <c r="L15" s="34"/>
      <c r="M15" s="34"/>
      <c r="N15" s="34"/>
      <c r="O15" s="34"/>
      <c r="P15" s="18">
        <f t="shared" si="1"/>
        <v>0</v>
      </c>
    </row>
    <row r="16" spans="1:16" ht="11.25" customHeight="1" x14ac:dyDescent="0.2">
      <c r="A16" s="133"/>
      <c r="B16" s="133"/>
      <c r="C16" s="133"/>
      <c r="D16" s="192"/>
      <c r="E16" s="192"/>
      <c r="F16" s="193"/>
      <c r="G16" s="134"/>
      <c r="H16" s="55" t="s">
        <v>149</v>
      </c>
      <c r="I16" s="61"/>
      <c r="J16" s="61"/>
      <c r="K16" s="61"/>
      <c r="L16" s="61"/>
      <c r="M16" s="61"/>
      <c r="N16" s="61"/>
      <c r="O16" s="61"/>
      <c r="P16" s="18"/>
    </row>
    <row r="17" spans="1:16" ht="11.25" customHeight="1" x14ac:dyDescent="0.2">
      <c r="A17" s="130" t="s">
        <v>68</v>
      </c>
      <c r="B17" s="186" t="s">
        <v>142</v>
      </c>
      <c r="C17" s="186"/>
      <c r="D17" s="186"/>
      <c r="E17" s="186"/>
      <c r="F17" s="186"/>
      <c r="G17" s="104" t="s">
        <v>129</v>
      </c>
      <c r="H17" s="42"/>
      <c r="I17" s="35">
        <f t="shared" ref="I17:O17" si="3" xml:space="preserve"> (I18 + I19 + I20 + I21)</f>
        <v>0</v>
      </c>
      <c r="J17" s="35">
        <f t="shared" si="3"/>
        <v>0</v>
      </c>
      <c r="K17" s="35">
        <f t="shared" si="3"/>
        <v>0</v>
      </c>
      <c r="L17" s="35">
        <f t="shared" si="3"/>
        <v>0</v>
      </c>
      <c r="M17" s="35">
        <f t="shared" si="3"/>
        <v>0</v>
      </c>
      <c r="N17" s="35">
        <f t="shared" si="3"/>
        <v>0</v>
      </c>
      <c r="O17" s="35">
        <f t="shared" si="3"/>
        <v>0</v>
      </c>
      <c r="P17" s="18">
        <f t="shared" si="1"/>
        <v>0</v>
      </c>
    </row>
    <row r="18" spans="1:16" ht="23.25" customHeight="1" x14ac:dyDescent="0.2">
      <c r="A18" s="99"/>
      <c r="B18" s="132" t="s">
        <v>14</v>
      </c>
      <c r="C18" s="186" t="s">
        <v>143</v>
      </c>
      <c r="D18" s="186"/>
      <c r="E18" s="186"/>
      <c r="F18" s="186"/>
      <c r="G18" s="104" t="s">
        <v>130</v>
      </c>
      <c r="H18" s="42"/>
      <c r="I18" s="34"/>
      <c r="J18" s="34"/>
      <c r="K18" s="34"/>
      <c r="L18" s="34"/>
      <c r="M18" s="34"/>
      <c r="N18" s="34"/>
      <c r="O18" s="34"/>
      <c r="P18" s="18">
        <f t="shared" si="1"/>
        <v>0</v>
      </c>
    </row>
    <row r="19" spans="1:16" ht="11.25" customHeight="1" x14ac:dyDescent="0.2">
      <c r="A19" s="105"/>
      <c r="B19" s="103" t="s">
        <v>16</v>
      </c>
      <c r="C19" s="186" t="s">
        <v>144</v>
      </c>
      <c r="D19" s="186"/>
      <c r="E19" s="186"/>
      <c r="F19" s="186"/>
      <c r="G19" s="101" t="s">
        <v>131</v>
      </c>
      <c r="H19" s="40"/>
      <c r="I19" s="33"/>
      <c r="J19" s="34"/>
      <c r="K19" s="34"/>
      <c r="L19" s="34"/>
      <c r="M19" s="34"/>
      <c r="N19" s="34"/>
      <c r="O19" s="34"/>
      <c r="P19" s="18">
        <f t="shared" si="1"/>
        <v>0</v>
      </c>
    </row>
    <row r="20" spans="1:16" ht="11.25" customHeight="1" x14ac:dyDescent="0.2">
      <c r="A20" s="105"/>
      <c r="B20" s="103" t="s">
        <v>18</v>
      </c>
      <c r="C20" s="186" t="s">
        <v>69</v>
      </c>
      <c r="D20" s="186"/>
      <c r="E20" s="186"/>
      <c r="F20" s="186"/>
      <c r="G20" s="101" t="s">
        <v>132</v>
      </c>
      <c r="H20" s="40"/>
      <c r="I20" s="34"/>
      <c r="J20" s="34"/>
      <c r="K20" s="34"/>
      <c r="L20" s="34"/>
      <c r="M20" s="34"/>
      <c r="N20" s="34"/>
      <c r="O20" s="34"/>
      <c r="P20" s="18">
        <f t="shared" si="1"/>
        <v>0</v>
      </c>
    </row>
    <row r="21" spans="1:16" ht="11.25" customHeight="1" x14ac:dyDescent="0.2">
      <c r="A21" s="105"/>
      <c r="B21" s="103" t="s">
        <v>20</v>
      </c>
      <c r="C21" s="186" t="s">
        <v>137</v>
      </c>
      <c r="D21" s="186"/>
      <c r="E21" s="186"/>
      <c r="F21" s="186"/>
      <c r="G21" s="104" t="s">
        <v>133</v>
      </c>
      <c r="H21" s="49" t="s">
        <v>148</v>
      </c>
      <c r="I21" s="35">
        <f t="shared" ref="I21:O21" si="4">SUM(I22:I23)</f>
        <v>0</v>
      </c>
      <c r="J21" s="35">
        <f t="shared" si="4"/>
        <v>0</v>
      </c>
      <c r="K21" s="35">
        <f t="shared" si="4"/>
        <v>0</v>
      </c>
      <c r="L21" s="35">
        <f t="shared" si="4"/>
        <v>0</v>
      </c>
      <c r="M21" s="35">
        <f t="shared" si="4"/>
        <v>0</v>
      </c>
      <c r="N21" s="35">
        <f t="shared" si="4"/>
        <v>0</v>
      </c>
      <c r="O21" s="35">
        <f t="shared" si="4"/>
        <v>0</v>
      </c>
      <c r="P21" s="18">
        <f t="shared" si="1"/>
        <v>0</v>
      </c>
    </row>
    <row r="22" spans="1:16" ht="11.25" customHeight="1" x14ac:dyDescent="0.2">
      <c r="A22" s="44"/>
      <c r="B22" s="39"/>
      <c r="C22" s="53" t="s">
        <v>135</v>
      </c>
      <c r="D22" s="56"/>
      <c r="E22" s="57"/>
      <c r="F22" s="58"/>
      <c r="G22" s="134"/>
      <c r="H22" s="42">
        <v>1</v>
      </c>
      <c r="I22" s="34"/>
      <c r="J22" s="34"/>
      <c r="K22" s="34"/>
      <c r="L22" s="34"/>
      <c r="M22" s="34"/>
      <c r="N22" s="34"/>
      <c r="O22" s="34"/>
      <c r="P22" s="18">
        <f t="shared" si="1"/>
        <v>0</v>
      </c>
    </row>
    <row r="23" spans="1:16" ht="11.25" customHeight="1" x14ac:dyDescent="0.2">
      <c r="A23" s="105"/>
      <c r="B23" s="105"/>
      <c r="C23" s="135"/>
      <c r="D23" s="189"/>
      <c r="E23" s="190"/>
      <c r="F23" s="191"/>
      <c r="G23" s="134"/>
      <c r="H23" s="55" t="s">
        <v>149</v>
      </c>
      <c r="I23" s="61"/>
      <c r="J23" s="61"/>
      <c r="K23" s="61"/>
      <c r="L23" s="61"/>
      <c r="M23" s="61"/>
      <c r="N23" s="61"/>
      <c r="O23" s="61"/>
      <c r="P23" s="18"/>
    </row>
    <row r="24" spans="1:16" x14ac:dyDescent="0.2">
      <c r="A24" s="24"/>
      <c r="B24" s="24"/>
      <c r="C24" s="24"/>
      <c r="D24" s="24"/>
      <c r="E24" s="24"/>
      <c r="F24" s="24"/>
      <c r="G24" s="16" t="s">
        <v>99</v>
      </c>
    </row>
    <row r="25" spans="1:16" x14ac:dyDescent="0.2">
      <c r="A25" s="24"/>
      <c r="B25" s="24"/>
      <c r="C25" s="24"/>
      <c r="D25" s="24"/>
      <c r="E25" s="11"/>
      <c r="F25" s="24"/>
    </row>
  </sheetData>
  <sheetProtection password="A658" sheet="1" objects="1" scenarios="1" selectLockedCells="1"/>
  <mergeCells count="27">
    <mergeCell ref="D23:F23"/>
    <mergeCell ref="C11:F11"/>
    <mergeCell ref="C12:F12"/>
    <mergeCell ref="C13:F13"/>
    <mergeCell ref="C14:F14"/>
    <mergeCell ref="C21:F21"/>
    <mergeCell ref="C18:F18"/>
    <mergeCell ref="C19:F19"/>
    <mergeCell ref="C20:F20"/>
    <mergeCell ref="D16:F16"/>
    <mergeCell ref="B10:F10"/>
    <mergeCell ref="B17:F17"/>
    <mergeCell ref="A1:P1"/>
    <mergeCell ref="P8:P9"/>
    <mergeCell ref="A2:P2"/>
    <mergeCell ref="A3:P3"/>
    <mergeCell ref="A4:P4"/>
    <mergeCell ref="A5:P5"/>
    <mergeCell ref="A6:P6"/>
    <mergeCell ref="A7:P7"/>
    <mergeCell ref="N8:O8"/>
    <mergeCell ref="A8:F9"/>
    <mergeCell ref="L8:M8"/>
    <mergeCell ref="I8:I9"/>
    <mergeCell ref="J8:K8"/>
    <mergeCell ref="G8:G9"/>
    <mergeCell ref="H8:H9"/>
  </mergeCells>
  <phoneticPr fontId="1" type="noConversion"/>
  <dataValidations count="2">
    <dataValidation allowBlank="1" showInputMessage="1" showErrorMessage="1" sqref="I21:P21 P15:P16 P18:P20 I17:P17 I19 I14:P14 P10:P13 I10:I12 J10:O10 P22:P23"/>
    <dataValidation type="decimal" operator="greaterThanOrEqual" allowBlank="1" showInputMessage="1" showErrorMessage="1" errorTitle="Invalid Entry" error="The value you entered is not valid." sqref="I18 J18:O19 I20:O20 I22:O23 J11:O12 I13:O13 I15:O16">
      <formula1>0</formula1>
    </dataValidation>
  </dataValidations>
  <pageMargins left="0.25" right="0.25" top="1" bottom="0.5" header="0.5" footer="0.5"/>
  <pageSetup paperSize="9" scale="90" orientation="landscape" horizontalDpi="360" verticalDpi="360" r:id="rId1"/>
  <headerFooter alignWithMargins="0">
    <oddHeader>&amp;R&amp;"Arial,Bold"&amp;9&amp;USchedule 20
&amp;U 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2051" r:id="rId4" name="Label_b">
          <controlPr defaultSize="0" autoLine="0" r:id="rId5">
            <anchor moveWithCells="1">
              <from>
                <xdr:col>7</xdr:col>
                <xdr:colOff>247650</xdr:colOff>
                <xdr:row>22</xdr:row>
                <xdr:rowOff>19050</xdr:rowOff>
              </from>
              <to>
                <xdr:col>7</xdr:col>
                <xdr:colOff>438150</xdr:colOff>
                <xdr:row>23</xdr:row>
                <xdr:rowOff>19050</xdr:rowOff>
              </to>
            </anchor>
          </controlPr>
        </control>
      </mc:Choice>
      <mc:Fallback>
        <control shapeId="2051" r:id="rId4" name="Label_b"/>
      </mc:Fallback>
    </mc:AlternateContent>
    <mc:AlternateContent xmlns:mc="http://schemas.openxmlformats.org/markup-compatibility/2006">
      <mc:Choice Requires="x14">
        <control shapeId="2050" r:id="rId6" name="Label_a">
          <controlPr defaultSize="0" autoLine="0" r:id="rId7">
            <anchor moveWithCells="1">
              <from>
                <xdr:col>7</xdr:col>
                <xdr:colOff>247650</xdr:colOff>
                <xdr:row>15</xdr:row>
                <xdr:rowOff>19050</xdr:rowOff>
              </from>
              <to>
                <xdr:col>7</xdr:col>
                <xdr:colOff>438150</xdr:colOff>
                <xdr:row>16</xdr:row>
                <xdr:rowOff>9525</xdr:rowOff>
              </to>
            </anchor>
          </controlPr>
        </control>
      </mc:Choice>
      <mc:Fallback>
        <control shapeId="2050" r:id="rId6" name="Label_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2"/>
  <sheetViews>
    <sheetView zoomScale="75" workbookViewId="0">
      <selection activeCell="I11" sqref="I11"/>
    </sheetView>
  </sheetViews>
  <sheetFormatPr defaultRowHeight="12.75" x14ac:dyDescent="0.2"/>
  <cols>
    <col min="1" max="1" width="4" style="2" customWidth="1"/>
    <col min="2" max="2" width="2.7109375" style="2" customWidth="1"/>
    <col min="3" max="3" width="2.85546875" style="2" customWidth="1"/>
    <col min="4" max="4" width="35.28515625" style="2" customWidth="1"/>
    <col min="5" max="5" width="2.85546875" style="2" hidden="1" customWidth="1"/>
    <col min="6" max="6" width="3" style="2" hidden="1" customWidth="1"/>
    <col min="7" max="7" width="18" style="47" bestFit="1" customWidth="1"/>
    <col min="8" max="8" width="5.85546875" style="22" hidden="1" customWidth="1"/>
    <col min="9" max="9" width="18.7109375" style="2" customWidth="1"/>
    <col min="10" max="10" width="15.85546875" style="2" customWidth="1"/>
    <col min="11" max="11" width="18.7109375" style="2" customWidth="1"/>
    <col min="12" max="12" width="15.85546875" style="2" customWidth="1"/>
    <col min="13" max="13" width="18.7109375" style="2" customWidth="1"/>
    <col min="14" max="14" width="15.85546875" style="2" hidden="1" customWidth="1"/>
    <col min="15" max="15" width="18.7109375" style="2" hidden="1" customWidth="1"/>
    <col min="16" max="16" width="18.7109375" style="2" customWidth="1"/>
  </cols>
  <sheetData>
    <row r="1" spans="1:16" x14ac:dyDescent="0.2">
      <c r="A1" s="175" t="s">
        <v>192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</row>
    <row r="2" spans="1:16" ht="0.75" hidden="1" customHeight="1" x14ac:dyDescent="0.2">
      <c r="A2" s="17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</row>
    <row r="3" spans="1:16" ht="0.75" hidden="1" customHeight="1" x14ac:dyDescent="0.2">
      <c r="A3" s="17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</row>
    <row r="4" spans="1:16" hidden="1" x14ac:dyDescent="0.2">
      <c r="A4" s="176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</row>
    <row r="5" spans="1:16" hidden="1" x14ac:dyDescent="0.2">
      <c r="A5" s="176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</row>
    <row r="6" spans="1:16" ht="0.75" customHeight="1" x14ac:dyDescent="0.2">
      <c r="A6" s="176"/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</row>
    <row r="7" spans="1:16" x14ac:dyDescent="0.2">
      <c r="A7" s="178"/>
      <c r="B7" s="178"/>
      <c r="C7" s="178"/>
      <c r="D7" s="178"/>
      <c r="E7" s="178"/>
      <c r="F7" s="178"/>
      <c r="G7" s="178"/>
      <c r="H7" s="178"/>
      <c r="I7" s="178"/>
      <c r="J7" s="178"/>
      <c r="K7" s="178"/>
      <c r="L7" s="178"/>
      <c r="M7" s="178"/>
      <c r="N7" s="178"/>
      <c r="O7" s="178"/>
      <c r="P7" s="178"/>
    </row>
    <row r="8" spans="1:16" x14ac:dyDescent="0.2">
      <c r="A8" s="179" t="s">
        <v>1</v>
      </c>
      <c r="B8" s="179"/>
      <c r="C8" s="179"/>
      <c r="D8" s="179"/>
      <c r="E8" s="179"/>
      <c r="F8" s="179"/>
      <c r="G8" s="180" t="s">
        <v>2</v>
      </c>
      <c r="H8" s="141" t="s">
        <v>134</v>
      </c>
      <c r="I8" s="141" t="s">
        <v>42</v>
      </c>
      <c r="J8" s="146" t="s">
        <v>8</v>
      </c>
      <c r="K8" s="147"/>
      <c r="L8" s="146" t="s">
        <v>9</v>
      </c>
      <c r="M8" s="147"/>
      <c r="N8" s="146" t="s">
        <v>138</v>
      </c>
      <c r="O8" s="147"/>
      <c r="P8" s="141" t="s">
        <v>10</v>
      </c>
    </row>
    <row r="9" spans="1:16" x14ac:dyDescent="0.2">
      <c r="A9" s="158"/>
      <c r="B9" s="158"/>
      <c r="C9" s="158"/>
      <c r="D9" s="158"/>
      <c r="E9" s="158"/>
      <c r="F9" s="158"/>
      <c r="G9" s="184"/>
      <c r="H9" s="161"/>
      <c r="I9" s="161"/>
      <c r="J9" s="9" t="s">
        <v>12</v>
      </c>
      <c r="K9" s="10" t="s">
        <v>13</v>
      </c>
      <c r="L9" s="9" t="s">
        <v>12</v>
      </c>
      <c r="M9" s="10" t="s">
        <v>13</v>
      </c>
      <c r="N9" s="9" t="s">
        <v>12</v>
      </c>
      <c r="O9" s="10" t="s">
        <v>13</v>
      </c>
      <c r="P9" s="161"/>
    </row>
    <row r="10" spans="1:16" x14ac:dyDescent="0.2">
      <c r="A10" s="126" t="s">
        <v>193</v>
      </c>
      <c r="B10" s="102"/>
      <c r="C10" s="102"/>
      <c r="D10" s="102"/>
      <c r="E10" s="102"/>
      <c r="F10" s="102"/>
      <c r="G10" s="136"/>
      <c r="H10" s="42"/>
      <c r="I10" s="61"/>
      <c r="J10" s="61"/>
      <c r="K10" s="61"/>
      <c r="L10" s="61"/>
      <c r="M10" s="61"/>
      <c r="N10" s="61"/>
      <c r="O10" s="61"/>
      <c r="P10" s="18"/>
    </row>
    <row r="11" spans="1:16" ht="23.25" customHeight="1" x14ac:dyDescent="0.2">
      <c r="A11" s="102" t="s">
        <v>179</v>
      </c>
      <c r="B11" s="194" t="s">
        <v>495</v>
      </c>
      <c r="C11" s="195"/>
      <c r="D11" s="196"/>
      <c r="E11" s="102"/>
      <c r="F11" s="102"/>
      <c r="G11" s="136" t="s">
        <v>194</v>
      </c>
      <c r="H11" s="42"/>
      <c r="I11" s="34"/>
      <c r="J11" s="34"/>
      <c r="K11" s="34"/>
      <c r="L11" s="34"/>
      <c r="M11" s="34"/>
      <c r="N11" s="34"/>
      <c r="O11" s="34"/>
      <c r="P11" s="18">
        <f t="shared" ref="P11:P17" si="0">I11+K11+M11+O11</f>
        <v>0</v>
      </c>
    </row>
    <row r="12" spans="1:16" ht="36" customHeight="1" x14ac:dyDescent="0.2">
      <c r="A12" s="102" t="s">
        <v>183</v>
      </c>
      <c r="B12" s="194" t="s">
        <v>489</v>
      </c>
      <c r="C12" s="195"/>
      <c r="D12" s="196"/>
      <c r="E12" s="102"/>
      <c r="F12" s="102"/>
      <c r="G12" s="137" t="s">
        <v>490</v>
      </c>
      <c r="H12" s="42"/>
      <c r="I12" s="34"/>
      <c r="J12" s="34"/>
      <c r="K12" s="34"/>
      <c r="L12" s="85"/>
      <c r="M12" s="85"/>
      <c r="N12" s="34"/>
      <c r="O12" s="34"/>
      <c r="P12" s="18">
        <f t="shared" si="0"/>
        <v>0</v>
      </c>
    </row>
    <row r="13" spans="1:16" x14ac:dyDescent="0.2">
      <c r="A13" s="126" t="s">
        <v>146</v>
      </c>
      <c r="B13" s="102"/>
      <c r="C13" s="102"/>
      <c r="D13" s="102"/>
      <c r="E13" s="102"/>
      <c r="F13" s="102"/>
      <c r="G13" s="136" t="s">
        <v>195</v>
      </c>
      <c r="H13" s="42"/>
      <c r="I13" s="18">
        <f>I11+I12</f>
        <v>0</v>
      </c>
      <c r="J13" s="18">
        <f t="shared" ref="J13:P13" si="1">J11+J12</f>
        <v>0</v>
      </c>
      <c r="K13" s="18">
        <f t="shared" si="1"/>
        <v>0</v>
      </c>
      <c r="L13" s="18">
        <f t="shared" si="1"/>
        <v>0</v>
      </c>
      <c r="M13" s="18">
        <f t="shared" si="1"/>
        <v>0</v>
      </c>
      <c r="N13" s="18">
        <f t="shared" si="1"/>
        <v>0</v>
      </c>
      <c r="O13" s="18">
        <f t="shared" si="1"/>
        <v>0</v>
      </c>
      <c r="P13" s="18">
        <f t="shared" si="1"/>
        <v>0</v>
      </c>
    </row>
    <row r="14" spans="1:16" x14ac:dyDescent="0.2">
      <c r="A14" s="102"/>
      <c r="B14" s="102"/>
      <c r="C14" s="102"/>
      <c r="D14" s="102"/>
      <c r="E14" s="102"/>
      <c r="F14" s="102"/>
      <c r="G14" s="136"/>
      <c r="H14" s="42"/>
      <c r="I14" s="61"/>
      <c r="J14" s="61"/>
      <c r="K14" s="61"/>
      <c r="L14" s="61"/>
      <c r="M14" s="61"/>
      <c r="N14" s="61"/>
      <c r="O14" s="61"/>
      <c r="P14" s="18"/>
    </row>
    <row r="15" spans="1:16" x14ac:dyDescent="0.2">
      <c r="A15" s="126" t="s">
        <v>196</v>
      </c>
      <c r="B15" s="102"/>
      <c r="C15" s="102"/>
      <c r="D15" s="102"/>
      <c r="E15" s="102"/>
      <c r="F15" s="102"/>
      <c r="G15" s="136"/>
      <c r="H15" s="42"/>
      <c r="I15" s="61"/>
      <c r="J15" s="61"/>
      <c r="K15" s="61"/>
      <c r="L15" s="61"/>
      <c r="M15" s="61"/>
      <c r="N15" s="61"/>
      <c r="O15" s="61"/>
      <c r="P15" s="18"/>
    </row>
    <row r="16" spans="1:16" ht="23.25" customHeight="1" x14ac:dyDescent="0.2">
      <c r="A16" s="102" t="s">
        <v>179</v>
      </c>
      <c r="B16" s="169" t="s">
        <v>496</v>
      </c>
      <c r="C16" s="170"/>
      <c r="D16" s="171"/>
      <c r="E16" s="102"/>
      <c r="F16" s="102"/>
      <c r="G16" s="136" t="s">
        <v>197</v>
      </c>
      <c r="H16" s="42"/>
      <c r="I16" s="34"/>
      <c r="J16" s="34"/>
      <c r="K16" s="34"/>
      <c r="L16" s="34"/>
      <c r="M16" s="34"/>
      <c r="N16" s="34"/>
      <c r="O16" s="34"/>
      <c r="P16" s="18">
        <f t="shared" si="0"/>
        <v>0</v>
      </c>
    </row>
    <row r="17" spans="1:16" ht="35.25" customHeight="1" x14ac:dyDescent="0.2">
      <c r="A17" s="102" t="s">
        <v>183</v>
      </c>
      <c r="B17" s="194" t="s">
        <v>497</v>
      </c>
      <c r="C17" s="195"/>
      <c r="D17" s="196"/>
      <c r="E17" s="102"/>
      <c r="F17" s="102"/>
      <c r="G17" s="137" t="s">
        <v>491</v>
      </c>
      <c r="H17" s="42"/>
      <c r="I17" s="85"/>
      <c r="J17" s="85"/>
      <c r="K17" s="85"/>
      <c r="L17" s="34"/>
      <c r="M17" s="34"/>
      <c r="N17" s="34"/>
      <c r="O17" s="34"/>
      <c r="P17" s="18">
        <f t="shared" si="0"/>
        <v>0</v>
      </c>
    </row>
    <row r="18" spans="1:16" x14ac:dyDescent="0.2">
      <c r="A18" s="126" t="s">
        <v>146</v>
      </c>
      <c r="B18" s="102"/>
      <c r="C18" s="102"/>
      <c r="D18" s="102"/>
      <c r="E18" s="102"/>
      <c r="F18" s="102"/>
      <c r="G18" s="136" t="s">
        <v>198</v>
      </c>
      <c r="H18" s="42"/>
      <c r="I18" s="18">
        <f>I16+I17</f>
        <v>0</v>
      </c>
      <c r="J18" s="18">
        <f t="shared" ref="J18:P18" si="2">J16+J17</f>
        <v>0</v>
      </c>
      <c r="K18" s="18">
        <f t="shared" si="2"/>
        <v>0</v>
      </c>
      <c r="L18" s="18">
        <f t="shared" si="2"/>
        <v>0</v>
      </c>
      <c r="M18" s="18">
        <f t="shared" si="2"/>
        <v>0</v>
      </c>
      <c r="N18" s="18">
        <f t="shared" si="2"/>
        <v>0</v>
      </c>
      <c r="O18" s="18">
        <f t="shared" si="2"/>
        <v>0</v>
      </c>
      <c r="P18" s="18">
        <f t="shared" si="2"/>
        <v>0</v>
      </c>
    </row>
    <row r="19" spans="1:16" x14ac:dyDescent="0.2">
      <c r="G19" s="16" t="s">
        <v>99</v>
      </c>
    </row>
    <row r="21" spans="1:16" x14ac:dyDescent="0.2">
      <c r="A21" s="2" t="s">
        <v>492</v>
      </c>
    </row>
    <row r="22" spans="1:16" x14ac:dyDescent="0.2">
      <c r="A22" s="2" t="s">
        <v>493</v>
      </c>
    </row>
  </sheetData>
  <sheetProtection password="A758" sheet="1" objects="1" scenarios="1" selectLockedCells="1"/>
  <mergeCells count="19">
    <mergeCell ref="G8:G9"/>
    <mergeCell ref="H8:H9"/>
    <mergeCell ref="I8:I9"/>
    <mergeCell ref="A1:P1"/>
    <mergeCell ref="A2:P2"/>
    <mergeCell ref="A3:P3"/>
    <mergeCell ref="A4:P4"/>
    <mergeCell ref="A5:P5"/>
    <mergeCell ref="A6:P6"/>
    <mergeCell ref="B17:D17"/>
    <mergeCell ref="B16:D16"/>
    <mergeCell ref="B12:D12"/>
    <mergeCell ref="P8:P9"/>
    <mergeCell ref="B11:D11"/>
    <mergeCell ref="A7:P7"/>
    <mergeCell ref="J8:K8"/>
    <mergeCell ref="L8:M8"/>
    <mergeCell ref="N8:O8"/>
    <mergeCell ref="A8:F9"/>
  </mergeCells>
  <phoneticPr fontId="1" type="noConversion"/>
  <pageMargins left="0.75" right="0.75" top="1" bottom="1" header="0.5" footer="0.5"/>
  <pageSetup orientation="portrait" r:id="rId1"/>
  <headerFooter alignWithMargins="0">
    <oddHeader>&amp;C&amp;"Arial,Bold"&amp;8 NEW RURAL BANK OF SAN LEONARDO, INC  [ 04-040656 ]
 As of: September 30, 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784"/>
  <sheetViews>
    <sheetView topLeftCell="B1" workbookViewId="0"/>
  </sheetViews>
  <sheetFormatPr defaultRowHeight="12.75" x14ac:dyDescent="0.2"/>
  <cols>
    <col min="1" max="1" width="43.42578125" style="25" hidden="1" customWidth="1"/>
    <col min="2" max="16384" width="9.140625" style="17"/>
  </cols>
  <sheetData>
    <row r="1" spans="1:1" x14ac:dyDescent="0.2">
      <c r="A1" s="82" t="s">
        <v>832</v>
      </c>
    </row>
    <row r="2" spans="1:1" x14ac:dyDescent="0.2">
      <c r="A2" s="82">
        <v>4</v>
      </c>
    </row>
    <row r="3" spans="1:1" x14ac:dyDescent="0.2">
      <c r="A3" s="82">
        <v>40656</v>
      </c>
    </row>
    <row r="4" spans="1:1" x14ac:dyDescent="0.2">
      <c r="A4" s="82">
        <v>8888</v>
      </c>
    </row>
    <row r="5" spans="1:1" x14ac:dyDescent="0.2">
      <c r="A5" s="82">
        <v>8</v>
      </c>
    </row>
    <row r="6" spans="1:1" x14ac:dyDescent="0.2">
      <c r="A6" s="82">
        <v>2017</v>
      </c>
    </row>
    <row r="7" spans="1:1" x14ac:dyDescent="0.2">
      <c r="A7" s="82">
        <v>20170930</v>
      </c>
    </row>
    <row r="8" spans="1:1" x14ac:dyDescent="0.2">
      <c r="A8" s="83" t="s">
        <v>150</v>
      </c>
    </row>
    <row r="9" spans="1:1" x14ac:dyDescent="0.2">
      <c r="A9" s="83" t="s">
        <v>831</v>
      </c>
    </row>
    <row r="10" spans="1:1" x14ac:dyDescent="0.2">
      <c r="A10" s="84">
        <v>1</v>
      </c>
    </row>
    <row r="11" spans="1:1" x14ac:dyDescent="0.2">
      <c r="A11" s="83" t="s">
        <v>817</v>
      </c>
    </row>
    <row r="12" spans="1:1" x14ac:dyDescent="0.2">
      <c r="A12" s="83"/>
    </row>
    <row r="13" spans="1:1" x14ac:dyDescent="0.2">
      <c r="A13" s="83"/>
    </row>
    <row r="14" spans="1:1" x14ac:dyDescent="0.2">
      <c r="A14" s="83"/>
    </row>
    <row r="15" spans="1:1" x14ac:dyDescent="0.2">
      <c r="A15" s="83"/>
    </row>
    <row r="16" spans="1:1" x14ac:dyDescent="0.2">
      <c r="A16" s="83"/>
    </row>
    <row r="17" spans="1:1" x14ac:dyDescent="0.2">
      <c r="A17" s="83"/>
    </row>
    <row r="18" spans="1:1" x14ac:dyDescent="0.2">
      <c r="A18" s="83"/>
    </row>
    <row r="19" spans="1:1" x14ac:dyDescent="0.2">
      <c r="A19" s="83"/>
    </row>
    <row r="20" spans="1:1" x14ac:dyDescent="0.2">
      <c r="A20" s="83">
        <v>9</v>
      </c>
    </row>
    <row r="21" spans="1:1" x14ac:dyDescent="0.2">
      <c r="A21" s="83">
        <v>2017</v>
      </c>
    </row>
    <row r="22" spans="1:1" x14ac:dyDescent="0.2">
      <c r="A22" s="83"/>
    </row>
    <row r="23" spans="1:1" x14ac:dyDescent="0.2">
      <c r="A23" s="83"/>
    </row>
    <row r="24" spans="1:1" x14ac:dyDescent="0.2">
      <c r="A24" s="83"/>
    </row>
    <row r="25" spans="1:1" x14ac:dyDescent="0.2">
      <c r="A25" s="83"/>
    </row>
    <row r="26" spans="1:1" x14ac:dyDescent="0.2">
      <c r="A26" s="83"/>
    </row>
    <row r="27" spans="1:1" x14ac:dyDescent="0.2">
      <c r="A27" s="83"/>
    </row>
    <row r="28" spans="1:1" x14ac:dyDescent="0.2">
      <c r="A28" s="83"/>
    </row>
    <row r="29" spans="1:1" x14ac:dyDescent="0.2">
      <c r="A29" s="83"/>
    </row>
    <row r="30" spans="1:1" x14ac:dyDescent="0.2">
      <c r="A30" s="83"/>
    </row>
    <row r="31" spans="1:1" x14ac:dyDescent="0.2">
      <c r="A31" s="83"/>
    </row>
    <row r="32" spans="1:1" x14ac:dyDescent="0.2">
      <c r="A32" s="83"/>
    </row>
    <row r="33" spans="1:1" x14ac:dyDescent="0.2">
      <c r="A33" s="83"/>
    </row>
    <row r="34" spans="1:1" x14ac:dyDescent="0.2">
      <c r="A34" s="83"/>
    </row>
    <row r="35" spans="1:1" x14ac:dyDescent="0.2">
      <c r="A35" s="83"/>
    </row>
    <row r="36" spans="1:1" x14ac:dyDescent="0.2">
      <c r="A36" s="83"/>
    </row>
    <row r="37" spans="1:1" x14ac:dyDescent="0.2">
      <c r="A37" s="83"/>
    </row>
    <row r="38" spans="1:1" x14ac:dyDescent="0.2">
      <c r="A38" s="83"/>
    </row>
    <row r="39" spans="1:1" x14ac:dyDescent="0.2">
      <c r="A39" s="83"/>
    </row>
    <row r="40" spans="1:1" x14ac:dyDescent="0.2">
      <c r="A40" s="83"/>
    </row>
    <row r="41" spans="1:1" x14ac:dyDescent="0.2">
      <c r="A41" s="83"/>
    </row>
    <row r="42" spans="1:1" x14ac:dyDescent="0.2">
      <c r="A42" s="83"/>
    </row>
    <row r="43" spans="1:1" x14ac:dyDescent="0.2">
      <c r="A43" s="83"/>
    </row>
    <row r="44" spans="1:1" x14ac:dyDescent="0.2">
      <c r="A44" s="83"/>
    </row>
    <row r="45" spans="1:1" x14ac:dyDescent="0.2">
      <c r="A45" s="83"/>
    </row>
    <row r="46" spans="1:1" x14ac:dyDescent="0.2">
      <c r="A46" s="83"/>
    </row>
    <row r="47" spans="1:1" x14ac:dyDescent="0.2">
      <c r="A47" s="83"/>
    </row>
    <row r="48" spans="1:1" x14ac:dyDescent="0.2">
      <c r="A48" s="83"/>
    </row>
    <row r="49" spans="1:1" x14ac:dyDescent="0.2">
      <c r="A49" s="83"/>
    </row>
    <row r="50" spans="1:1" x14ac:dyDescent="0.2">
      <c r="A50" s="83" t="s">
        <v>499</v>
      </c>
    </row>
    <row r="51" spans="1:1" x14ac:dyDescent="0.2">
      <c r="A51" s="83" t="s">
        <v>453</v>
      </c>
    </row>
    <row r="52" spans="1:1" x14ac:dyDescent="0.2">
      <c r="A52" s="83" t="s">
        <v>454</v>
      </c>
    </row>
    <row r="53" spans="1:1" x14ac:dyDescent="0.2">
      <c r="A53" s="83" t="s">
        <v>507</v>
      </c>
    </row>
    <row r="54" spans="1:1" x14ac:dyDescent="0.2">
      <c r="A54" s="83" t="s">
        <v>531</v>
      </c>
    </row>
    <row r="55" spans="1:1" x14ac:dyDescent="0.2">
      <c r="A55" s="83" t="s">
        <v>532</v>
      </c>
    </row>
    <row r="56" spans="1:1" x14ac:dyDescent="0.2">
      <c r="A56" s="83" t="s">
        <v>820</v>
      </c>
    </row>
    <row r="57" spans="1:1" x14ac:dyDescent="0.2">
      <c r="A57" s="83" t="s">
        <v>533</v>
      </c>
    </row>
    <row r="58" spans="1:1" x14ac:dyDescent="0.2">
      <c r="A58" s="83" t="s">
        <v>534</v>
      </c>
    </row>
    <row r="59" spans="1:1" x14ac:dyDescent="0.2">
      <c r="A59" s="83" t="s">
        <v>508</v>
      </c>
    </row>
    <row r="60" spans="1:1" x14ac:dyDescent="0.2">
      <c r="A60" s="83" t="s">
        <v>535</v>
      </c>
    </row>
    <row r="61" spans="1:1" x14ac:dyDescent="0.2">
      <c r="A61" s="83" t="s">
        <v>199</v>
      </c>
    </row>
    <row r="62" spans="1:1" x14ac:dyDescent="0.2">
      <c r="A62" s="83" t="s">
        <v>494</v>
      </c>
    </row>
    <row r="63" spans="1:1" x14ac:dyDescent="0.2">
      <c r="A63" s="83" t="s">
        <v>200</v>
      </c>
    </row>
    <row r="64" spans="1:1" x14ac:dyDescent="0.2">
      <c r="A64" s="83" t="s">
        <v>536</v>
      </c>
    </row>
    <row r="65" spans="1:1" x14ac:dyDescent="0.2">
      <c r="A65" s="83" t="s">
        <v>201</v>
      </c>
    </row>
    <row r="66" spans="1:1" x14ac:dyDescent="0.2">
      <c r="A66" s="83" t="s">
        <v>202</v>
      </c>
    </row>
    <row r="67" spans="1:1" x14ac:dyDescent="0.2">
      <c r="A67" s="83" t="s">
        <v>509</v>
      </c>
    </row>
    <row r="68" spans="1:1" x14ac:dyDescent="0.2">
      <c r="A68" s="83" t="s">
        <v>203</v>
      </c>
    </row>
    <row r="69" spans="1:1" x14ac:dyDescent="0.2">
      <c r="A69" s="83" t="s">
        <v>204</v>
      </c>
    </row>
    <row r="70" spans="1:1" x14ac:dyDescent="0.2">
      <c r="A70" s="83" t="s">
        <v>462</v>
      </c>
    </row>
    <row r="71" spans="1:1" x14ac:dyDescent="0.2">
      <c r="A71" s="83" t="s">
        <v>519</v>
      </c>
    </row>
    <row r="72" spans="1:1" x14ac:dyDescent="0.2">
      <c r="A72" s="83" t="s">
        <v>463</v>
      </c>
    </row>
    <row r="73" spans="1:1" x14ac:dyDescent="0.2">
      <c r="A73" s="83" t="s">
        <v>823</v>
      </c>
    </row>
    <row r="74" spans="1:1" x14ac:dyDescent="0.2">
      <c r="A74" s="83" t="s">
        <v>500</v>
      </c>
    </row>
    <row r="75" spans="1:1" x14ac:dyDescent="0.2">
      <c r="A75" s="83" t="s">
        <v>514</v>
      </c>
    </row>
    <row r="76" spans="1:1" x14ac:dyDescent="0.2">
      <c r="A76" s="83" t="s">
        <v>812</v>
      </c>
    </row>
    <row r="77" spans="1:1" x14ac:dyDescent="0.2">
      <c r="A77" s="83" t="s">
        <v>205</v>
      </c>
    </row>
    <row r="78" spans="1:1" x14ac:dyDescent="0.2">
      <c r="A78" s="83" t="s">
        <v>206</v>
      </c>
    </row>
    <row r="79" spans="1:1" x14ac:dyDescent="0.2">
      <c r="A79" s="83" t="s">
        <v>539</v>
      </c>
    </row>
    <row r="80" spans="1:1" x14ac:dyDescent="0.2">
      <c r="A80" s="83" t="s">
        <v>540</v>
      </c>
    </row>
    <row r="81" spans="1:1" x14ac:dyDescent="0.2">
      <c r="A81" s="83" t="s">
        <v>763</v>
      </c>
    </row>
    <row r="82" spans="1:1" x14ac:dyDescent="0.2">
      <c r="A82" s="83" t="s">
        <v>464</v>
      </c>
    </row>
    <row r="83" spans="1:1" x14ac:dyDescent="0.2">
      <c r="A83" s="83" t="s">
        <v>510</v>
      </c>
    </row>
    <row r="84" spans="1:1" x14ac:dyDescent="0.2">
      <c r="A84" s="83" t="s">
        <v>207</v>
      </c>
    </row>
    <row r="85" spans="1:1" x14ac:dyDescent="0.2">
      <c r="A85" s="83" t="s">
        <v>208</v>
      </c>
    </row>
    <row r="86" spans="1:1" x14ac:dyDescent="0.2">
      <c r="A86" s="83" t="s">
        <v>465</v>
      </c>
    </row>
    <row r="87" spans="1:1" x14ac:dyDescent="0.2">
      <c r="A87" s="83" t="s">
        <v>829</v>
      </c>
    </row>
    <row r="88" spans="1:1" x14ac:dyDescent="0.2">
      <c r="A88" s="83" t="s">
        <v>543</v>
      </c>
    </row>
    <row r="89" spans="1:1" x14ac:dyDescent="0.2">
      <c r="A89" s="83" t="s">
        <v>209</v>
      </c>
    </row>
    <row r="90" spans="1:1" x14ac:dyDescent="0.2">
      <c r="A90" s="83" t="s">
        <v>210</v>
      </c>
    </row>
    <row r="91" spans="1:1" x14ac:dyDescent="0.2">
      <c r="A91" s="83" t="s">
        <v>211</v>
      </c>
    </row>
    <row r="92" spans="1:1" x14ac:dyDescent="0.2">
      <c r="A92" s="83" t="s">
        <v>544</v>
      </c>
    </row>
    <row r="93" spans="1:1" x14ac:dyDescent="0.2">
      <c r="A93" s="83" t="s">
        <v>501</v>
      </c>
    </row>
    <row r="94" spans="1:1" x14ac:dyDescent="0.2">
      <c r="A94" s="83" t="s">
        <v>545</v>
      </c>
    </row>
    <row r="95" spans="1:1" x14ac:dyDescent="0.2">
      <c r="A95" s="83" t="s">
        <v>212</v>
      </c>
    </row>
    <row r="96" spans="1:1" x14ac:dyDescent="0.2">
      <c r="A96" s="83" t="s">
        <v>811</v>
      </c>
    </row>
    <row r="97" spans="1:1" x14ac:dyDescent="0.2">
      <c r="A97" s="83" t="s">
        <v>213</v>
      </c>
    </row>
    <row r="98" spans="1:1" x14ac:dyDescent="0.2">
      <c r="A98" s="83" t="s">
        <v>524</v>
      </c>
    </row>
    <row r="99" spans="1:1" x14ac:dyDescent="0.2">
      <c r="A99" s="83" t="s">
        <v>546</v>
      </c>
    </row>
    <row r="100" spans="1:1" x14ac:dyDescent="0.2">
      <c r="A100" s="83" t="s">
        <v>825</v>
      </c>
    </row>
    <row r="101" spans="1:1" x14ac:dyDescent="0.2">
      <c r="A101" s="83" t="s">
        <v>547</v>
      </c>
    </row>
    <row r="102" spans="1:1" x14ac:dyDescent="0.2">
      <c r="A102" s="83" t="s">
        <v>214</v>
      </c>
    </row>
    <row r="103" spans="1:1" x14ac:dyDescent="0.2">
      <c r="A103" s="83" t="s">
        <v>215</v>
      </c>
    </row>
    <row r="104" spans="1:1" x14ac:dyDescent="0.2">
      <c r="A104" s="83" t="s">
        <v>461</v>
      </c>
    </row>
    <row r="105" spans="1:1" x14ac:dyDescent="0.2">
      <c r="A105" s="83" t="s">
        <v>216</v>
      </c>
    </row>
    <row r="106" spans="1:1" x14ac:dyDescent="0.2">
      <c r="A106" s="83" t="s">
        <v>217</v>
      </c>
    </row>
    <row r="107" spans="1:1" x14ac:dyDescent="0.2">
      <c r="A107" s="83" t="s">
        <v>218</v>
      </c>
    </row>
    <row r="108" spans="1:1" x14ac:dyDescent="0.2">
      <c r="A108" s="83" t="s">
        <v>219</v>
      </c>
    </row>
    <row r="109" spans="1:1" x14ac:dyDescent="0.2">
      <c r="A109" s="83" t="s">
        <v>220</v>
      </c>
    </row>
    <row r="110" spans="1:1" x14ac:dyDescent="0.2">
      <c r="A110" s="83" t="s">
        <v>458</v>
      </c>
    </row>
    <row r="111" spans="1:1" x14ac:dyDescent="0.2">
      <c r="A111" s="83" t="s">
        <v>548</v>
      </c>
    </row>
    <row r="112" spans="1:1" x14ac:dyDescent="0.2">
      <c r="A112" s="83" t="s">
        <v>549</v>
      </c>
    </row>
    <row r="113" spans="1:1" x14ac:dyDescent="0.2">
      <c r="A113" s="83" t="s">
        <v>566</v>
      </c>
    </row>
    <row r="114" spans="1:1" x14ac:dyDescent="0.2">
      <c r="A114" s="83" t="s">
        <v>221</v>
      </c>
    </row>
    <row r="115" spans="1:1" x14ac:dyDescent="0.2">
      <c r="A115" s="83" t="s">
        <v>222</v>
      </c>
    </row>
    <row r="116" spans="1:1" x14ac:dyDescent="0.2">
      <c r="A116" s="83" t="s">
        <v>223</v>
      </c>
    </row>
    <row r="117" spans="1:1" x14ac:dyDescent="0.2">
      <c r="A117" s="83" t="s">
        <v>224</v>
      </c>
    </row>
    <row r="118" spans="1:1" x14ac:dyDescent="0.2">
      <c r="A118" s="83" t="s">
        <v>466</v>
      </c>
    </row>
    <row r="119" spans="1:1" x14ac:dyDescent="0.2">
      <c r="A119" s="83" t="s">
        <v>467</v>
      </c>
    </row>
    <row r="120" spans="1:1" x14ac:dyDescent="0.2">
      <c r="A120" s="83" t="s">
        <v>225</v>
      </c>
    </row>
    <row r="121" spans="1:1" x14ac:dyDescent="0.2">
      <c r="A121" s="83" t="s">
        <v>468</v>
      </c>
    </row>
    <row r="122" spans="1:1" x14ac:dyDescent="0.2">
      <c r="A122" s="83" t="s">
        <v>821</v>
      </c>
    </row>
    <row r="123" spans="1:1" x14ac:dyDescent="0.2">
      <c r="A123" s="83" t="s">
        <v>226</v>
      </c>
    </row>
    <row r="124" spans="1:1" x14ac:dyDescent="0.2">
      <c r="A124" s="83" t="s">
        <v>529</v>
      </c>
    </row>
    <row r="125" spans="1:1" x14ac:dyDescent="0.2">
      <c r="A125" s="83" t="s">
        <v>227</v>
      </c>
    </row>
    <row r="126" spans="1:1" x14ac:dyDescent="0.2">
      <c r="A126" s="83" t="s">
        <v>228</v>
      </c>
    </row>
    <row r="127" spans="1:1" x14ac:dyDescent="0.2">
      <c r="A127" s="83" t="s">
        <v>550</v>
      </c>
    </row>
    <row r="128" spans="1:1" x14ac:dyDescent="0.2">
      <c r="A128" s="83" t="s">
        <v>229</v>
      </c>
    </row>
    <row r="129" spans="1:1" x14ac:dyDescent="0.2">
      <c r="A129" s="83" t="s">
        <v>230</v>
      </c>
    </row>
    <row r="130" spans="1:1" x14ac:dyDescent="0.2">
      <c r="A130" s="83" t="s">
        <v>515</v>
      </c>
    </row>
    <row r="131" spans="1:1" x14ac:dyDescent="0.2">
      <c r="A131" s="83" t="s">
        <v>551</v>
      </c>
    </row>
    <row r="132" spans="1:1" x14ac:dyDescent="0.2">
      <c r="A132" s="83" t="s">
        <v>552</v>
      </c>
    </row>
    <row r="133" spans="1:1" x14ac:dyDescent="0.2">
      <c r="A133" s="83" t="s">
        <v>553</v>
      </c>
    </row>
    <row r="134" spans="1:1" x14ac:dyDescent="0.2">
      <c r="A134" s="83" t="s">
        <v>537</v>
      </c>
    </row>
    <row r="135" spans="1:1" x14ac:dyDescent="0.2">
      <c r="A135" s="83" t="s">
        <v>554</v>
      </c>
    </row>
    <row r="136" spans="1:1" x14ac:dyDescent="0.2">
      <c r="A136" s="83" t="s">
        <v>555</v>
      </c>
    </row>
    <row r="137" spans="1:1" x14ac:dyDescent="0.2">
      <c r="A137" s="83" t="s">
        <v>556</v>
      </c>
    </row>
    <row r="138" spans="1:1" x14ac:dyDescent="0.2">
      <c r="A138" s="83" t="s">
        <v>558</v>
      </c>
    </row>
    <row r="139" spans="1:1" x14ac:dyDescent="0.2">
      <c r="A139" s="83" t="s">
        <v>559</v>
      </c>
    </row>
    <row r="140" spans="1:1" x14ac:dyDescent="0.2">
      <c r="A140" s="83" t="s">
        <v>560</v>
      </c>
    </row>
    <row r="141" spans="1:1" x14ac:dyDescent="0.2">
      <c r="A141" s="83" t="s">
        <v>561</v>
      </c>
    </row>
    <row r="142" spans="1:1" x14ac:dyDescent="0.2">
      <c r="A142" s="83" t="s">
        <v>818</v>
      </c>
    </row>
    <row r="143" spans="1:1" x14ac:dyDescent="0.2">
      <c r="A143" s="83" t="s">
        <v>231</v>
      </c>
    </row>
    <row r="144" spans="1:1" x14ac:dyDescent="0.2">
      <c r="A144" s="83" t="s">
        <v>232</v>
      </c>
    </row>
    <row r="145" spans="1:1" x14ac:dyDescent="0.2">
      <c r="A145" s="83" t="s">
        <v>562</v>
      </c>
    </row>
    <row r="146" spans="1:1" x14ac:dyDescent="0.2">
      <c r="A146" s="83" t="s">
        <v>563</v>
      </c>
    </row>
    <row r="147" spans="1:1" x14ac:dyDescent="0.2">
      <c r="A147" s="83" t="s">
        <v>233</v>
      </c>
    </row>
    <row r="148" spans="1:1" x14ac:dyDescent="0.2">
      <c r="A148" s="83" t="s">
        <v>234</v>
      </c>
    </row>
    <row r="149" spans="1:1" x14ac:dyDescent="0.2">
      <c r="A149" s="83" t="s">
        <v>469</v>
      </c>
    </row>
    <row r="150" spans="1:1" x14ac:dyDescent="0.2">
      <c r="A150" s="83" t="s">
        <v>567</v>
      </c>
    </row>
    <row r="151" spans="1:1" x14ac:dyDescent="0.2">
      <c r="A151" s="83" t="s">
        <v>235</v>
      </c>
    </row>
    <row r="152" spans="1:1" x14ac:dyDescent="0.2">
      <c r="A152" s="83" t="s">
        <v>456</v>
      </c>
    </row>
    <row r="153" spans="1:1" x14ac:dyDescent="0.2">
      <c r="A153" s="83" t="s">
        <v>236</v>
      </c>
    </row>
    <row r="154" spans="1:1" x14ac:dyDescent="0.2">
      <c r="A154" s="83" t="s">
        <v>237</v>
      </c>
    </row>
    <row r="155" spans="1:1" x14ac:dyDescent="0.2">
      <c r="A155" s="83" t="s">
        <v>238</v>
      </c>
    </row>
    <row r="156" spans="1:1" x14ac:dyDescent="0.2">
      <c r="A156" s="83" t="s">
        <v>569</v>
      </c>
    </row>
    <row r="157" spans="1:1" x14ac:dyDescent="0.2">
      <c r="A157" s="83" t="s">
        <v>239</v>
      </c>
    </row>
    <row r="158" spans="1:1" x14ac:dyDescent="0.2">
      <c r="A158" s="83" t="s">
        <v>240</v>
      </c>
    </row>
    <row r="159" spans="1:1" x14ac:dyDescent="0.2">
      <c r="A159" s="83" t="s">
        <v>241</v>
      </c>
    </row>
    <row r="160" spans="1:1" x14ac:dyDescent="0.2">
      <c r="A160" s="83" t="s">
        <v>242</v>
      </c>
    </row>
    <row r="161" spans="1:1" x14ac:dyDescent="0.2">
      <c r="A161" s="83" t="s">
        <v>526</v>
      </c>
    </row>
    <row r="162" spans="1:1" x14ac:dyDescent="0.2">
      <c r="A162" s="83" t="s">
        <v>243</v>
      </c>
    </row>
    <row r="163" spans="1:1" x14ac:dyDescent="0.2">
      <c r="A163" s="83" t="s">
        <v>565</v>
      </c>
    </row>
    <row r="164" spans="1:1" x14ac:dyDescent="0.2">
      <c r="A164" s="83" t="s">
        <v>564</v>
      </c>
    </row>
    <row r="165" spans="1:1" x14ac:dyDescent="0.2">
      <c r="A165" s="83" t="s">
        <v>470</v>
      </c>
    </row>
    <row r="166" spans="1:1" x14ac:dyDescent="0.2">
      <c r="A166" s="83" t="s">
        <v>471</v>
      </c>
    </row>
    <row r="167" spans="1:1" x14ac:dyDescent="0.2">
      <c r="A167" s="83" t="s">
        <v>527</v>
      </c>
    </row>
    <row r="168" spans="1:1" x14ac:dyDescent="0.2">
      <c r="A168" s="83" t="s">
        <v>570</v>
      </c>
    </row>
    <row r="169" spans="1:1" x14ac:dyDescent="0.2">
      <c r="A169" s="83" t="s">
        <v>822</v>
      </c>
    </row>
    <row r="170" spans="1:1" x14ac:dyDescent="0.2">
      <c r="A170" s="83" t="s">
        <v>571</v>
      </c>
    </row>
    <row r="171" spans="1:1" x14ac:dyDescent="0.2">
      <c r="A171" s="83" t="s">
        <v>528</v>
      </c>
    </row>
    <row r="172" spans="1:1" x14ac:dyDescent="0.2">
      <c r="A172" s="83" t="s">
        <v>472</v>
      </c>
    </row>
    <row r="173" spans="1:1" x14ac:dyDescent="0.2">
      <c r="A173" s="83" t="s">
        <v>244</v>
      </c>
    </row>
    <row r="174" spans="1:1" x14ac:dyDescent="0.2">
      <c r="A174" s="83" t="s">
        <v>502</v>
      </c>
    </row>
    <row r="175" spans="1:1" x14ac:dyDescent="0.2">
      <c r="A175" s="83" t="s">
        <v>245</v>
      </c>
    </row>
    <row r="176" spans="1:1" x14ac:dyDescent="0.2">
      <c r="A176" s="83" t="s">
        <v>503</v>
      </c>
    </row>
    <row r="177" spans="1:1" x14ac:dyDescent="0.2">
      <c r="A177" s="83" t="s">
        <v>246</v>
      </c>
    </row>
    <row r="178" spans="1:1" x14ac:dyDescent="0.2">
      <c r="A178" s="83" t="s">
        <v>247</v>
      </c>
    </row>
    <row r="179" spans="1:1" x14ac:dyDescent="0.2">
      <c r="A179" s="83" t="s">
        <v>248</v>
      </c>
    </row>
    <row r="180" spans="1:1" x14ac:dyDescent="0.2">
      <c r="A180" s="83" t="s">
        <v>573</v>
      </c>
    </row>
    <row r="181" spans="1:1" x14ac:dyDescent="0.2">
      <c r="A181" s="83" t="s">
        <v>826</v>
      </c>
    </row>
    <row r="182" spans="1:1" x14ac:dyDescent="0.2">
      <c r="A182" s="83" t="s">
        <v>574</v>
      </c>
    </row>
    <row r="183" spans="1:1" x14ac:dyDescent="0.2">
      <c r="A183" s="83" t="s">
        <v>249</v>
      </c>
    </row>
    <row r="184" spans="1:1" x14ac:dyDescent="0.2">
      <c r="A184" s="83" t="s">
        <v>250</v>
      </c>
    </row>
    <row r="185" spans="1:1" x14ac:dyDescent="0.2">
      <c r="A185" s="83" t="s">
        <v>575</v>
      </c>
    </row>
    <row r="186" spans="1:1" x14ac:dyDescent="0.2">
      <c r="A186" s="83" t="s">
        <v>251</v>
      </c>
    </row>
    <row r="187" spans="1:1" x14ac:dyDescent="0.2">
      <c r="A187" s="83" t="s">
        <v>511</v>
      </c>
    </row>
    <row r="188" spans="1:1" x14ac:dyDescent="0.2">
      <c r="A188" s="83" t="s">
        <v>576</v>
      </c>
    </row>
    <row r="189" spans="1:1" x14ac:dyDescent="0.2">
      <c r="A189" s="83" t="s">
        <v>252</v>
      </c>
    </row>
    <row r="190" spans="1:1" x14ac:dyDescent="0.2">
      <c r="A190" s="83" t="s">
        <v>253</v>
      </c>
    </row>
    <row r="191" spans="1:1" x14ac:dyDescent="0.2">
      <c r="A191" s="83" t="s">
        <v>577</v>
      </c>
    </row>
    <row r="192" spans="1:1" x14ac:dyDescent="0.2">
      <c r="A192" s="83" t="s">
        <v>254</v>
      </c>
    </row>
    <row r="193" spans="1:1" x14ac:dyDescent="0.2">
      <c r="A193" s="83" t="s">
        <v>255</v>
      </c>
    </row>
    <row r="194" spans="1:1" x14ac:dyDescent="0.2">
      <c r="A194" s="83" t="s">
        <v>256</v>
      </c>
    </row>
    <row r="195" spans="1:1" x14ac:dyDescent="0.2">
      <c r="A195" s="83" t="s">
        <v>590</v>
      </c>
    </row>
    <row r="196" spans="1:1" x14ac:dyDescent="0.2">
      <c r="A196" s="83" t="s">
        <v>504</v>
      </c>
    </row>
    <row r="197" spans="1:1" x14ac:dyDescent="0.2">
      <c r="A197" s="83" t="s">
        <v>578</v>
      </c>
    </row>
    <row r="198" spans="1:1" x14ac:dyDescent="0.2">
      <c r="A198" s="83" t="s">
        <v>257</v>
      </c>
    </row>
    <row r="199" spans="1:1" x14ac:dyDescent="0.2">
      <c r="A199" s="83" t="s">
        <v>258</v>
      </c>
    </row>
    <row r="200" spans="1:1" x14ac:dyDescent="0.2">
      <c r="A200" s="83" t="s">
        <v>579</v>
      </c>
    </row>
    <row r="201" spans="1:1" x14ac:dyDescent="0.2">
      <c r="A201" s="83" t="s">
        <v>473</v>
      </c>
    </row>
    <row r="202" spans="1:1" x14ac:dyDescent="0.2">
      <c r="A202" s="83" t="s">
        <v>259</v>
      </c>
    </row>
    <row r="203" spans="1:1" x14ac:dyDescent="0.2">
      <c r="A203" s="83" t="s">
        <v>457</v>
      </c>
    </row>
    <row r="204" spans="1:1" x14ac:dyDescent="0.2">
      <c r="A204" s="83" t="s">
        <v>260</v>
      </c>
    </row>
    <row r="205" spans="1:1" x14ac:dyDescent="0.2">
      <c r="A205" s="83" t="s">
        <v>261</v>
      </c>
    </row>
    <row r="206" spans="1:1" x14ac:dyDescent="0.2">
      <c r="A206" s="83" t="s">
        <v>262</v>
      </c>
    </row>
    <row r="207" spans="1:1" x14ac:dyDescent="0.2">
      <c r="A207" s="83" t="s">
        <v>505</v>
      </c>
    </row>
    <row r="208" spans="1:1" x14ac:dyDescent="0.2">
      <c r="A208" s="83" t="s">
        <v>263</v>
      </c>
    </row>
    <row r="209" spans="1:1" x14ac:dyDescent="0.2">
      <c r="A209" s="83" t="s">
        <v>264</v>
      </c>
    </row>
    <row r="210" spans="1:1" x14ac:dyDescent="0.2">
      <c r="A210" s="83" t="s">
        <v>580</v>
      </c>
    </row>
    <row r="211" spans="1:1" x14ac:dyDescent="0.2">
      <c r="A211" s="83" t="s">
        <v>265</v>
      </c>
    </row>
    <row r="212" spans="1:1" x14ac:dyDescent="0.2">
      <c r="A212" s="83" t="s">
        <v>266</v>
      </c>
    </row>
    <row r="213" spans="1:1" x14ac:dyDescent="0.2">
      <c r="A213" s="83" t="s">
        <v>581</v>
      </c>
    </row>
    <row r="214" spans="1:1" x14ac:dyDescent="0.2">
      <c r="A214" s="83" t="s">
        <v>582</v>
      </c>
    </row>
    <row r="215" spans="1:1" x14ac:dyDescent="0.2">
      <c r="A215" s="83" t="s">
        <v>267</v>
      </c>
    </row>
    <row r="216" spans="1:1" x14ac:dyDescent="0.2">
      <c r="A216" s="83" t="s">
        <v>268</v>
      </c>
    </row>
    <row r="217" spans="1:1" x14ac:dyDescent="0.2">
      <c r="A217" s="83" t="s">
        <v>474</v>
      </c>
    </row>
    <row r="218" spans="1:1" x14ac:dyDescent="0.2">
      <c r="A218" s="83" t="s">
        <v>269</v>
      </c>
    </row>
    <row r="219" spans="1:1" x14ac:dyDescent="0.2">
      <c r="A219" s="83" t="s">
        <v>270</v>
      </c>
    </row>
    <row r="220" spans="1:1" x14ac:dyDescent="0.2">
      <c r="A220" s="83" t="s">
        <v>271</v>
      </c>
    </row>
    <row r="221" spans="1:1" x14ac:dyDescent="0.2">
      <c r="A221" s="83" t="s">
        <v>583</v>
      </c>
    </row>
    <row r="222" spans="1:1" x14ac:dyDescent="0.2">
      <c r="A222" s="83" t="s">
        <v>272</v>
      </c>
    </row>
    <row r="223" spans="1:1" x14ac:dyDescent="0.2">
      <c r="A223" s="83" t="s">
        <v>475</v>
      </c>
    </row>
    <row r="224" spans="1:1" x14ac:dyDescent="0.2">
      <c r="A224" s="83" t="s">
        <v>584</v>
      </c>
    </row>
    <row r="225" spans="1:1" x14ac:dyDescent="0.2">
      <c r="A225" s="83" t="s">
        <v>273</v>
      </c>
    </row>
    <row r="226" spans="1:1" x14ac:dyDescent="0.2">
      <c r="A226" s="83" t="s">
        <v>512</v>
      </c>
    </row>
    <row r="227" spans="1:1" x14ac:dyDescent="0.2">
      <c r="A227" s="83" t="s">
        <v>274</v>
      </c>
    </row>
    <row r="228" spans="1:1" x14ac:dyDescent="0.2">
      <c r="A228" s="83" t="s">
        <v>520</v>
      </c>
    </row>
    <row r="229" spans="1:1" x14ac:dyDescent="0.2">
      <c r="A229" s="83" t="s">
        <v>830</v>
      </c>
    </row>
    <row r="230" spans="1:1" x14ac:dyDescent="0.2">
      <c r="A230" s="83" t="s">
        <v>275</v>
      </c>
    </row>
    <row r="231" spans="1:1" x14ac:dyDescent="0.2">
      <c r="A231" s="83" t="s">
        <v>276</v>
      </c>
    </row>
    <row r="232" spans="1:1" x14ac:dyDescent="0.2">
      <c r="A232" s="83" t="s">
        <v>277</v>
      </c>
    </row>
    <row r="233" spans="1:1" x14ac:dyDescent="0.2">
      <c r="A233" s="83" t="s">
        <v>585</v>
      </c>
    </row>
    <row r="234" spans="1:1" x14ac:dyDescent="0.2">
      <c r="A234" s="83" t="s">
        <v>278</v>
      </c>
    </row>
    <row r="235" spans="1:1" x14ac:dyDescent="0.2">
      <c r="A235" s="83" t="s">
        <v>279</v>
      </c>
    </row>
    <row r="236" spans="1:1" x14ac:dyDescent="0.2">
      <c r="A236" s="83" t="s">
        <v>280</v>
      </c>
    </row>
    <row r="237" spans="1:1" x14ac:dyDescent="0.2">
      <c r="A237" s="83" t="s">
        <v>586</v>
      </c>
    </row>
    <row r="238" spans="1:1" x14ac:dyDescent="0.2">
      <c r="A238" s="83" t="s">
        <v>828</v>
      </c>
    </row>
    <row r="239" spans="1:1" x14ac:dyDescent="0.2">
      <c r="A239" s="83" t="s">
        <v>587</v>
      </c>
    </row>
    <row r="240" spans="1:1" x14ac:dyDescent="0.2">
      <c r="A240" s="83" t="s">
        <v>476</v>
      </c>
    </row>
    <row r="241" spans="1:1" x14ac:dyDescent="0.2">
      <c r="A241" s="83" t="s">
        <v>588</v>
      </c>
    </row>
    <row r="242" spans="1:1" x14ac:dyDescent="0.2">
      <c r="A242" s="83" t="s">
        <v>589</v>
      </c>
    </row>
    <row r="243" spans="1:1" x14ac:dyDescent="0.2">
      <c r="A243" s="83" t="s">
        <v>281</v>
      </c>
    </row>
    <row r="244" spans="1:1" x14ac:dyDescent="0.2">
      <c r="A244" s="83" t="s">
        <v>796</v>
      </c>
    </row>
    <row r="245" spans="1:1" x14ac:dyDescent="0.2">
      <c r="A245" s="83" t="s">
        <v>282</v>
      </c>
    </row>
    <row r="246" spans="1:1" x14ac:dyDescent="0.2">
      <c r="A246" s="83" t="s">
        <v>517</v>
      </c>
    </row>
    <row r="247" spans="1:1" x14ac:dyDescent="0.2">
      <c r="A247" s="83" t="s">
        <v>283</v>
      </c>
    </row>
    <row r="248" spans="1:1" x14ac:dyDescent="0.2">
      <c r="A248" s="83" t="s">
        <v>538</v>
      </c>
    </row>
    <row r="249" spans="1:1" x14ac:dyDescent="0.2">
      <c r="A249" s="83" t="s">
        <v>477</v>
      </c>
    </row>
    <row r="250" spans="1:1" x14ac:dyDescent="0.2">
      <c r="A250" s="83" t="s">
        <v>591</v>
      </c>
    </row>
    <row r="251" spans="1:1" x14ac:dyDescent="0.2">
      <c r="A251" s="83" t="s">
        <v>592</v>
      </c>
    </row>
    <row r="252" spans="1:1" x14ac:dyDescent="0.2">
      <c r="A252" s="83" t="s">
        <v>478</v>
      </c>
    </row>
    <row r="253" spans="1:1" x14ac:dyDescent="0.2">
      <c r="A253" s="83" t="s">
        <v>557</v>
      </c>
    </row>
    <row r="254" spans="1:1" x14ac:dyDescent="0.2">
      <c r="A254" s="83" t="s">
        <v>284</v>
      </c>
    </row>
    <row r="255" spans="1:1" x14ac:dyDescent="0.2">
      <c r="A255" s="83" t="s">
        <v>455</v>
      </c>
    </row>
    <row r="256" spans="1:1" x14ac:dyDescent="0.2">
      <c r="A256" s="83" t="s">
        <v>479</v>
      </c>
    </row>
    <row r="257" spans="1:1" x14ac:dyDescent="0.2">
      <c r="A257" s="83" t="s">
        <v>285</v>
      </c>
    </row>
    <row r="258" spans="1:1" x14ac:dyDescent="0.2">
      <c r="A258" s="83" t="s">
        <v>593</v>
      </c>
    </row>
    <row r="259" spans="1:1" x14ac:dyDescent="0.2">
      <c r="A259" s="83" t="s">
        <v>286</v>
      </c>
    </row>
    <row r="260" spans="1:1" x14ac:dyDescent="0.2">
      <c r="A260" s="83" t="s">
        <v>287</v>
      </c>
    </row>
    <row r="261" spans="1:1" x14ac:dyDescent="0.2">
      <c r="A261" s="83" t="s">
        <v>480</v>
      </c>
    </row>
    <row r="262" spans="1:1" x14ac:dyDescent="0.2">
      <c r="A262" s="83" t="s">
        <v>288</v>
      </c>
    </row>
    <row r="263" spans="1:1" x14ac:dyDescent="0.2">
      <c r="A263" s="83" t="s">
        <v>594</v>
      </c>
    </row>
    <row r="264" spans="1:1" x14ac:dyDescent="0.2">
      <c r="A264" s="83" t="s">
        <v>289</v>
      </c>
    </row>
    <row r="265" spans="1:1" x14ac:dyDescent="0.2">
      <c r="A265" s="83" t="s">
        <v>516</v>
      </c>
    </row>
    <row r="266" spans="1:1" x14ac:dyDescent="0.2">
      <c r="A266" s="83" t="s">
        <v>595</v>
      </c>
    </row>
    <row r="267" spans="1:1" x14ac:dyDescent="0.2">
      <c r="A267" s="83" t="s">
        <v>596</v>
      </c>
    </row>
    <row r="268" spans="1:1" x14ac:dyDescent="0.2">
      <c r="A268" s="83" t="s">
        <v>513</v>
      </c>
    </row>
    <row r="269" spans="1:1" x14ac:dyDescent="0.2">
      <c r="A269" s="83" t="s">
        <v>827</v>
      </c>
    </row>
    <row r="270" spans="1:1" x14ac:dyDescent="0.2">
      <c r="A270" s="83" t="s">
        <v>290</v>
      </c>
    </row>
    <row r="271" spans="1:1" x14ac:dyDescent="0.2">
      <c r="A271" s="83" t="s">
        <v>597</v>
      </c>
    </row>
    <row r="272" spans="1:1" x14ac:dyDescent="0.2">
      <c r="A272" s="83" t="s">
        <v>481</v>
      </c>
    </row>
    <row r="273" spans="1:1" x14ac:dyDescent="0.2">
      <c r="A273" s="83" t="s">
        <v>598</v>
      </c>
    </row>
    <row r="274" spans="1:1" x14ac:dyDescent="0.2">
      <c r="A274" s="83" t="s">
        <v>525</v>
      </c>
    </row>
    <row r="275" spans="1:1" x14ac:dyDescent="0.2">
      <c r="A275" s="83" t="s">
        <v>291</v>
      </c>
    </row>
    <row r="276" spans="1:1" x14ac:dyDescent="0.2">
      <c r="A276" s="83" t="s">
        <v>482</v>
      </c>
    </row>
    <row r="277" spans="1:1" x14ac:dyDescent="0.2">
      <c r="A277" s="83" t="s">
        <v>599</v>
      </c>
    </row>
    <row r="278" spans="1:1" x14ac:dyDescent="0.2">
      <c r="A278" s="83" t="s">
        <v>600</v>
      </c>
    </row>
    <row r="279" spans="1:1" x14ac:dyDescent="0.2">
      <c r="A279" s="83" t="s">
        <v>292</v>
      </c>
    </row>
    <row r="280" spans="1:1" x14ac:dyDescent="0.2">
      <c r="A280" s="83" t="s">
        <v>483</v>
      </c>
    </row>
    <row r="281" spans="1:1" x14ac:dyDescent="0.2">
      <c r="A281" s="83" t="s">
        <v>293</v>
      </c>
    </row>
    <row r="282" spans="1:1" x14ac:dyDescent="0.2">
      <c r="A282" s="83" t="s">
        <v>601</v>
      </c>
    </row>
    <row r="283" spans="1:1" x14ac:dyDescent="0.2">
      <c r="A283" s="83" t="s">
        <v>294</v>
      </c>
    </row>
    <row r="284" spans="1:1" x14ac:dyDescent="0.2">
      <c r="A284" s="83" t="s">
        <v>295</v>
      </c>
    </row>
    <row r="285" spans="1:1" x14ac:dyDescent="0.2">
      <c r="A285" s="83" t="s">
        <v>459</v>
      </c>
    </row>
    <row r="286" spans="1:1" x14ac:dyDescent="0.2">
      <c r="A286" s="83" t="s">
        <v>602</v>
      </c>
    </row>
    <row r="287" spans="1:1" x14ac:dyDescent="0.2">
      <c r="A287" s="83" t="s">
        <v>603</v>
      </c>
    </row>
    <row r="288" spans="1:1" x14ac:dyDescent="0.2">
      <c r="A288" s="83" t="s">
        <v>296</v>
      </c>
    </row>
    <row r="289" spans="1:1" x14ac:dyDescent="0.2">
      <c r="A289" s="83" t="s">
        <v>604</v>
      </c>
    </row>
    <row r="290" spans="1:1" x14ac:dyDescent="0.2">
      <c r="A290" s="83" t="s">
        <v>605</v>
      </c>
    </row>
    <row r="291" spans="1:1" x14ac:dyDescent="0.2">
      <c r="A291" s="83" t="s">
        <v>297</v>
      </c>
    </row>
    <row r="292" spans="1:1" x14ac:dyDescent="0.2">
      <c r="A292" s="83" t="s">
        <v>298</v>
      </c>
    </row>
    <row r="293" spans="1:1" x14ac:dyDescent="0.2">
      <c r="A293" s="83" t="s">
        <v>606</v>
      </c>
    </row>
    <row r="294" spans="1:1" x14ac:dyDescent="0.2">
      <c r="A294" s="83" t="s">
        <v>607</v>
      </c>
    </row>
    <row r="295" spans="1:1" x14ac:dyDescent="0.2">
      <c r="A295" s="83" t="s">
        <v>299</v>
      </c>
    </row>
    <row r="296" spans="1:1" x14ac:dyDescent="0.2">
      <c r="A296" s="83" t="s">
        <v>608</v>
      </c>
    </row>
    <row r="297" spans="1:1" x14ac:dyDescent="0.2">
      <c r="A297" s="83" t="s">
        <v>300</v>
      </c>
    </row>
    <row r="298" spans="1:1" x14ac:dyDescent="0.2">
      <c r="A298" s="83" t="s">
        <v>609</v>
      </c>
    </row>
    <row r="299" spans="1:1" x14ac:dyDescent="0.2">
      <c r="A299" s="83" t="s">
        <v>610</v>
      </c>
    </row>
    <row r="300" spans="1:1" x14ac:dyDescent="0.2">
      <c r="A300" s="83" t="s">
        <v>611</v>
      </c>
    </row>
    <row r="301" spans="1:1" x14ac:dyDescent="0.2">
      <c r="A301" s="83" t="s">
        <v>301</v>
      </c>
    </row>
    <row r="302" spans="1:1" x14ac:dyDescent="0.2">
      <c r="A302" s="83" t="s">
        <v>302</v>
      </c>
    </row>
    <row r="303" spans="1:1" x14ac:dyDescent="0.2">
      <c r="A303" s="83" t="s">
        <v>303</v>
      </c>
    </row>
    <row r="304" spans="1:1" x14ac:dyDescent="0.2">
      <c r="A304" s="83" t="s">
        <v>304</v>
      </c>
    </row>
    <row r="305" spans="1:1" x14ac:dyDescent="0.2">
      <c r="A305" s="83" t="s">
        <v>305</v>
      </c>
    </row>
    <row r="306" spans="1:1" x14ac:dyDescent="0.2">
      <c r="A306" s="83" t="s">
        <v>306</v>
      </c>
    </row>
    <row r="307" spans="1:1" x14ac:dyDescent="0.2">
      <c r="A307" s="83" t="s">
        <v>307</v>
      </c>
    </row>
    <row r="308" spans="1:1" x14ac:dyDescent="0.2">
      <c r="A308" s="83" t="s">
        <v>612</v>
      </c>
    </row>
    <row r="309" spans="1:1" x14ac:dyDescent="0.2">
      <c r="A309" s="83" t="s">
        <v>308</v>
      </c>
    </row>
    <row r="310" spans="1:1" x14ac:dyDescent="0.2">
      <c r="A310" s="83" t="s">
        <v>613</v>
      </c>
    </row>
    <row r="311" spans="1:1" x14ac:dyDescent="0.2">
      <c r="A311" s="83" t="s">
        <v>614</v>
      </c>
    </row>
    <row r="312" spans="1:1" x14ac:dyDescent="0.2">
      <c r="A312" s="83" t="s">
        <v>615</v>
      </c>
    </row>
    <row r="313" spans="1:1" x14ac:dyDescent="0.2">
      <c r="A313" s="83" t="s">
        <v>616</v>
      </c>
    </row>
    <row r="314" spans="1:1" x14ac:dyDescent="0.2">
      <c r="A314" s="83" t="s">
        <v>309</v>
      </c>
    </row>
    <row r="315" spans="1:1" x14ac:dyDescent="0.2">
      <c r="A315" s="83" t="s">
        <v>617</v>
      </c>
    </row>
    <row r="316" spans="1:1" x14ac:dyDescent="0.2">
      <c r="A316" s="83" t="s">
        <v>618</v>
      </c>
    </row>
    <row r="317" spans="1:1" x14ac:dyDescent="0.2">
      <c r="A317" s="83" t="s">
        <v>619</v>
      </c>
    </row>
    <row r="318" spans="1:1" x14ac:dyDescent="0.2">
      <c r="A318" s="83" t="s">
        <v>620</v>
      </c>
    </row>
    <row r="319" spans="1:1" x14ac:dyDescent="0.2">
      <c r="A319" s="83" t="s">
        <v>621</v>
      </c>
    </row>
    <row r="320" spans="1:1" x14ac:dyDescent="0.2">
      <c r="A320" s="83" t="s">
        <v>622</v>
      </c>
    </row>
    <row r="321" spans="1:1" x14ac:dyDescent="0.2">
      <c r="A321" s="83" t="s">
        <v>623</v>
      </c>
    </row>
    <row r="322" spans="1:1" x14ac:dyDescent="0.2">
      <c r="A322" s="83" t="s">
        <v>624</v>
      </c>
    </row>
    <row r="323" spans="1:1" x14ac:dyDescent="0.2">
      <c r="A323" s="83" t="s">
        <v>625</v>
      </c>
    </row>
    <row r="324" spans="1:1" x14ac:dyDescent="0.2">
      <c r="A324" s="83" t="s">
        <v>310</v>
      </c>
    </row>
    <row r="325" spans="1:1" x14ac:dyDescent="0.2">
      <c r="A325" s="83" t="s">
        <v>626</v>
      </c>
    </row>
    <row r="326" spans="1:1" x14ac:dyDescent="0.2">
      <c r="A326" s="83" t="s">
        <v>627</v>
      </c>
    </row>
    <row r="327" spans="1:1" x14ac:dyDescent="0.2">
      <c r="A327" s="83" t="s">
        <v>628</v>
      </c>
    </row>
    <row r="328" spans="1:1" x14ac:dyDescent="0.2">
      <c r="A328" s="83" t="s">
        <v>311</v>
      </c>
    </row>
    <row r="329" spans="1:1" x14ac:dyDescent="0.2">
      <c r="A329" s="83" t="s">
        <v>629</v>
      </c>
    </row>
    <row r="330" spans="1:1" x14ac:dyDescent="0.2">
      <c r="A330" s="83" t="s">
        <v>312</v>
      </c>
    </row>
    <row r="331" spans="1:1" x14ac:dyDescent="0.2">
      <c r="A331" s="83" t="s">
        <v>313</v>
      </c>
    </row>
    <row r="332" spans="1:1" x14ac:dyDescent="0.2">
      <c r="A332" s="83" t="s">
        <v>630</v>
      </c>
    </row>
    <row r="333" spans="1:1" x14ac:dyDescent="0.2">
      <c r="A333" s="83" t="s">
        <v>631</v>
      </c>
    </row>
    <row r="334" spans="1:1" x14ac:dyDescent="0.2">
      <c r="A334" s="83" t="s">
        <v>314</v>
      </c>
    </row>
    <row r="335" spans="1:1" x14ac:dyDescent="0.2">
      <c r="A335" s="83" t="s">
        <v>632</v>
      </c>
    </row>
    <row r="336" spans="1:1" x14ac:dyDescent="0.2">
      <c r="A336" s="83" t="s">
        <v>633</v>
      </c>
    </row>
    <row r="337" spans="1:1" x14ac:dyDescent="0.2">
      <c r="A337" s="83" t="s">
        <v>809</v>
      </c>
    </row>
    <row r="338" spans="1:1" x14ac:dyDescent="0.2">
      <c r="A338" s="83" t="s">
        <v>634</v>
      </c>
    </row>
    <row r="339" spans="1:1" x14ac:dyDescent="0.2">
      <c r="A339" s="83" t="s">
        <v>635</v>
      </c>
    </row>
    <row r="340" spans="1:1" x14ac:dyDescent="0.2">
      <c r="A340" s="83" t="s">
        <v>636</v>
      </c>
    </row>
    <row r="341" spans="1:1" x14ac:dyDescent="0.2">
      <c r="A341" s="83" t="s">
        <v>637</v>
      </c>
    </row>
    <row r="342" spans="1:1" x14ac:dyDescent="0.2">
      <c r="A342" s="83" t="s">
        <v>638</v>
      </c>
    </row>
    <row r="343" spans="1:1" x14ac:dyDescent="0.2">
      <c r="A343" s="83" t="s">
        <v>639</v>
      </c>
    </row>
    <row r="344" spans="1:1" x14ac:dyDescent="0.2">
      <c r="A344" s="83" t="s">
        <v>640</v>
      </c>
    </row>
    <row r="345" spans="1:1" x14ac:dyDescent="0.2">
      <c r="A345" s="83" t="s">
        <v>641</v>
      </c>
    </row>
    <row r="346" spans="1:1" x14ac:dyDescent="0.2">
      <c r="A346" s="83" t="s">
        <v>315</v>
      </c>
    </row>
    <row r="347" spans="1:1" x14ac:dyDescent="0.2">
      <c r="A347" s="83" t="s">
        <v>316</v>
      </c>
    </row>
    <row r="348" spans="1:1" x14ac:dyDescent="0.2">
      <c r="A348" s="83" t="s">
        <v>642</v>
      </c>
    </row>
    <row r="349" spans="1:1" x14ac:dyDescent="0.2">
      <c r="A349" s="83" t="s">
        <v>643</v>
      </c>
    </row>
    <row r="350" spans="1:1" x14ac:dyDescent="0.2">
      <c r="A350" s="83" t="s">
        <v>644</v>
      </c>
    </row>
    <row r="351" spans="1:1" x14ac:dyDescent="0.2">
      <c r="A351" s="83" t="s">
        <v>317</v>
      </c>
    </row>
    <row r="352" spans="1:1" x14ac:dyDescent="0.2">
      <c r="A352" s="83" t="s">
        <v>645</v>
      </c>
    </row>
    <row r="353" spans="1:1" x14ac:dyDescent="0.2">
      <c r="A353" s="83" t="s">
        <v>318</v>
      </c>
    </row>
    <row r="354" spans="1:1" x14ac:dyDescent="0.2">
      <c r="A354" s="83" t="s">
        <v>319</v>
      </c>
    </row>
    <row r="355" spans="1:1" x14ac:dyDescent="0.2">
      <c r="A355" s="83" t="s">
        <v>320</v>
      </c>
    </row>
    <row r="356" spans="1:1" x14ac:dyDescent="0.2">
      <c r="A356" s="83" t="s">
        <v>646</v>
      </c>
    </row>
    <row r="357" spans="1:1" x14ac:dyDescent="0.2">
      <c r="A357" s="83" t="s">
        <v>321</v>
      </c>
    </row>
    <row r="358" spans="1:1" x14ac:dyDescent="0.2">
      <c r="A358" s="83" t="s">
        <v>322</v>
      </c>
    </row>
    <row r="359" spans="1:1" x14ac:dyDescent="0.2">
      <c r="A359" s="83" t="s">
        <v>323</v>
      </c>
    </row>
    <row r="360" spans="1:1" x14ac:dyDescent="0.2">
      <c r="A360" s="83" t="s">
        <v>647</v>
      </c>
    </row>
    <row r="361" spans="1:1" x14ac:dyDescent="0.2">
      <c r="A361" s="83" t="s">
        <v>324</v>
      </c>
    </row>
    <row r="362" spans="1:1" x14ac:dyDescent="0.2">
      <c r="A362" s="83" t="s">
        <v>648</v>
      </c>
    </row>
    <row r="363" spans="1:1" x14ac:dyDescent="0.2">
      <c r="A363" s="83" t="s">
        <v>649</v>
      </c>
    </row>
    <row r="364" spans="1:1" x14ac:dyDescent="0.2">
      <c r="A364" s="83" t="s">
        <v>650</v>
      </c>
    </row>
    <row r="365" spans="1:1" x14ac:dyDescent="0.2">
      <c r="A365" s="83" t="s">
        <v>651</v>
      </c>
    </row>
    <row r="366" spans="1:1" x14ac:dyDescent="0.2">
      <c r="A366" s="83" t="s">
        <v>652</v>
      </c>
    </row>
    <row r="367" spans="1:1" x14ac:dyDescent="0.2">
      <c r="A367" s="83" t="s">
        <v>653</v>
      </c>
    </row>
    <row r="368" spans="1:1" x14ac:dyDescent="0.2">
      <c r="A368" s="83" t="s">
        <v>654</v>
      </c>
    </row>
    <row r="369" spans="1:1" x14ac:dyDescent="0.2">
      <c r="A369" s="83" t="s">
        <v>655</v>
      </c>
    </row>
    <row r="370" spans="1:1" x14ac:dyDescent="0.2">
      <c r="A370" s="83" t="s">
        <v>656</v>
      </c>
    </row>
    <row r="371" spans="1:1" x14ac:dyDescent="0.2">
      <c r="A371" s="83" t="s">
        <v>657</v>
      </c>
    </row>
    <row r="372" spans="1:1" x14ac:dyDescent="0.2">
      <c r="A372" s="83" t="s">
        <v>658</v>
      </c>
    </row>
    <row r="373" spans="1:1" x14ac:dyDescent="0.2">
      <c r="A373" s="83" t="s">
        <v>325</v>
      </c>
    </row>
    <row r="374" spans="1:1" x14ac:dyDescent="0.2">
      <c r="A374" s="83" t="s">
        <v>659</v>
      </c>
    </row>
    <row r="375" spans="1:1" x14ac:dyDescent="0.2">
      <c r="A375" s="83" t="s">
        <v>326</v>
      </c>
    </row>
    <row r="376" spans="1:1" x14ac:dyDescent="0.2">
      <c r="A376" s="83" t="s">
        <v>660</v>
      </c>
    </row>
    <row r="377" spans="1:1" x14ac:dyDescent="0.2">
      <c r="A377" s="83" t="s">
        <v>327</v>
      </c>
    </row>
    <row r="378" spans="1:1" x14ac:dyDescent="0.2">
      <c r="A378" s="83" t="s">
        <v>328</v>
      </c>
    </row>
    <row r="379" spans="1:1" x14ac:dyDescent="0.2">
      <c r="A379" s="83" t="s">
        <v>329</v>
      </c>
    </row>
    <row r="380" spans="1:1" x14ac:dyDescent="0.2">
      <c r="A380" s="83" t="s">
        <v>330</v>
      </c>
    </row>
    <row r="381" spans="1:1" x14ac:dyDescent="0.2">
      <c r="A381" s="83" t="s">
        <v>661</v>
      </c>
    </row>
    <row r="382" spans="1:1" x14ac:dyDescent="0.2">
      <c r="A382" s="83" t="s">
        <v>662</v>
      </c>
    </row>
    <row r="383" spans="1:1" x14ac:dyDescent="0.2">
      <c r="A383" s="83" t="s">
        <v>663</v>
      </c>
    </row>
    <row r="384" spans="1:1" x14ac:dyDescent="0.2">
      <c r="A384" s="83" t="s">
        <v>331</v>
      </c>
    </row>
    <row r="385" spans="1:1" x14ac:dyDescent="0.2">
      <c r="A385" s="83" t="s">
        <v>664</v>
      </c>
    </row>
    <row r="386" spans="1:1" x14ac:dyDescent="0.2">
      <c r="A386" s="83" t="s">
        <v>665</v>
      </c>
    </row>
    <row r="387" spans="1:1" x14ac:dyDescent="0.2">
      <c r="A387" s="83" t="s">
        <v>666</v>
      </c>
    </row>
    <row r="388" spans="1:1" x14ac:dyDescent="0.2">
      <c r="A388" s="83" t="s">
        <v>667</v>
      </c>
    </row>
    <row r="389" spans="1:1" x14ac:dyDescent="0.2">
      <c r="A389" s="83" t="s">
        <v>668</v>
      </c>
    </row>
    <row r="390" spans="1:1" x14ac:dyDescent="0.2">
      <c r="A390" s="83" t="s">
        <v>669</v>
      </c>
    </row>
    <row r="391" spans="1:1" x14ac:dyDescent="0.2">
      <c r="A391" s="83" t="s">
        <v>670</v>
      </c>
    </row>
    <row r="392" spans="1:1" x14ac:dyDescent="0.2">
      <c r="A392" s="83" t="s">
        <v>671</v>
      </c>
    </row>
    <row r="393" spans="1:1" x14ac:dyDescent="0.2">
      <c r="A393" s="83" t="s">
        <v>332</v>
      </c>
    </row>
    <row r="394" spans="1:1" x14ac:dyDescent="0.2">
      <c r="A394" s="83" t="s">
        <v>333</v>
      </c>
    </row>
    <row r="395" spans="1:1" x14ac:dyDescent="0.2">
      <c r="A395" s="83" t="s">
        <v>672</v>
      </c>
    </row>
    <row r="396" spans="1:1" x14ac:dyDescent="0.2">
      <c r="A396" s="83" t="s">
        <v>673</v>
      </c>
    </row>
    <row r="397" spans="1:1" x14ac:dyDescent="0.2">
      <c r="A397" s="83" t="s">
        <v>334</v>
      </c>
    </row>
    <row r="398" spans="1:1" x14ac:dyDescent="0.2">
      <c r="A398" s="83" t="s">
        <v>674</v>
      </c>
    </row>
    <row r="399" spans="1:1" x14ac:dyDescent="0.2">
      <c r="A399" s="83" t="s">
        <v>335</v>
      </c>
    </row>
    <row r="400" spans="1:1" x14ac:dyDescent="0.2">
      <c r="A400" s="83" t="s">
        <v>675</v>
      </c>
    </row>
    <row r="401" spans="1:1" x14ac:dyDescent="0.2">
      <c r="A401" s="83" t="s">
        <v>676</v>
      </c>
    </row>
    <row r="402" spans="1:1" x14ac:dyDescent="0.2">
      <c r="A402" s="83" t="s">
        <v>677</v>
      </c>
    </row>
    <row r="403" spans="1:1" x14ac:dyDescent="0.2">
      <c r="A403" s="83" t="s">
        <v>336</v>
      </c>
    </row>
    <row r="404" spans="1:1" x14ac:dyDescent="0.2">
      <c r="A404" s="83" t="s">
        <v>678</v>
      </c>
    </row>
    <row r="405" spans="1:1" x14ac:dyDescent="0.2">
      <c r="A405" s="83" t="s">
        <v>679</v>
      </c>
    </row>
    <row r="406" spans="1:1" x14ac:dyDescent="0.2">
      <c r="A406" s="83" t="s">
        <v>337</v>
      </c>
    </row>
    <row r="407" spans="1:1" x14ac:dyDescent="0.2">
      <c r="A407" s="83" t="s">
        <v>338</v>
      </c>
    </row>
    <row r="408" spans="1:1" x14ac:dyDescent="0.2">
      <c r="A408" s="83" t="s">
        <v>680</v>
      </c>
    </row>
    <row r="409" spans="1:1" x14ac:dyDescent="0.2">
      <c r="A409" s="83" t="s">
        <v>339</v>
      </c>
    </row>
    <row r="410" spans="1:1" x14ac:dyDescent="0.2">
      <c r="A410" s="83" t="s">
        <v>340</v>
      </c>
    </row>
    <row r="411" spans="1:1" x14ac:dyDescent="0.2">
      <c r="A411" s="83" t="s">
        <v>681</v>
      </c>
    </row>
    <row r="412" spans="1:1" x14ac:dyDescent="0.2">
      <c r="A412" s="83" t="s">
        <v>341</v>
      </c>
    </row>
    <row r="413" spans="1:1" x14ac:dyDescent="0.2">
      <c r="A413" s="83" t="s">
        <v>682</v>
      </c>
    </row>
    <row r="414" spans="1:1" x14ac:dyDescent="0.2">
      <c r="A414" s="83" t="s">
        <v>342</v>
      </c>
    </row>
    <row r="415" spans="1:1" x14ac:dyDescent="0.2">
      <c r="A415" s="83" t="s">
        <v>683</v>
      </c>
    </row>
    <row r="416" spans="1:1" x14ac:dyDescent="0.2">
      <c r="A416" s="83" t="s">
        <v>684</v>
      </c>
    </row>
    <row r="417" spans="1:1" x14ac:dyDescent="0.2">
      <c r="A417" s="83" t="s">
        <v>685</v>
      </c>
    </row>
    <row r="418" spans="1:1" x14ac:dyDescent="0.2">
      <c r="A418" s="83" t="s">
        <v>686</v>
      </c>
    </row>
    <row r="419" spans="1:1" x14ac:dyDescent="0.2">
      <c r="A419" s="83" t="s">
        <v>687</v>
      </c>
    </row>
    <row r="420" spans="1:1" x14ac:dyDescent="0.2">
      <c r="A420" s="83" t="s">
        <v>688</v>
      </c>
    </row>
    <row r="421" spans="1:1" x14ac:dyDescent="0.2">
      <c r="A421" s="83" t="s">
        <v>689</v>
      </c>
    </row>
    <row r="422" spans="1:1" x14ac:dyDescent="0.2">
      <c r="A422" s="83" t="s">
        <v>343</v>
      </c>
    </row>
    <row r="423" spans="1:1" x14ac:dyDescent="0.2">
      <c r="A423" s="83" t="s">
        <v>690</v>
      </c>
    </row>
    <row r="424" spans="1:1" x14ac:dyDescent="0.2">
      <c r="A424" s="83" t="s">
        <v>691</v>
      </c>
    </row>
    <row r="425" spans="1:1" x14ac:dyDescent="0.2">
      <c r="A425" s="83" t="s">
        <v>692</v>
      </c>
    </row>
    <row r="426" spans="1:1" x14ac:dyDescent="0.2">
      <c r="A426" s="83" t="s">
        <v>693</v>
      </c>
    </row>
    <row r="427" spans="1:1" x14ac:dyDescent="0.2">
      <c r="A427" s="83" t="s">
        <v>344</v>
      </c>
    </row>
    <row r="428" spans="1:1" x14ac:dyDescent="0.2">
      <c r="A428" s="83" t="s">
        <v>694</v>
      </c>
    </row>
    <row r="429" spans="1:1" x14ac:dyDescent="0.2">
      <c r="A429" s="83" t="s">
        <v>345</v>
      </c>
    </row>
    <row r="430" spans="1:1" x14ac:dyDescent="0.2">
      <c r="A430" s="83" t="s">
        <v>695</v>
      </c>
    </row>
    <row r="431" spans="1:1" x14ac:dyDescent="0.2">
      <c r="A431" s="83" t="s">
        <v>696</v>
      </c>
    </row>
    <row r="432" spans="1:1" x14ac:dyDescent="0.2">
      <c r="A432" s="83" t="s">
        <v>697</v>
      </c>
    </row>
    <row r="433" spans="1:1" x14ac:dyDescent="0.2">
      <c r="A433" s="83" t="s">
        <v>698</v>
      </c>
    </row>
    <row r="434" spans="1:1" x14ac:dyDescent="0.2">
      <c r="A434" s="83" t="s">
        <v>699</v>
      </c>
    </row>
    <row r="435" spans="1:1" x14ac:dyDescent="0.2">
      <c r="A435" s="83" t="s">
        <v>700</v>
      </c>
    </row>
    <row r="436" spans="1:1" x14ac:dyDescent="0.2">
      <c r="A436" s="83" t="s">
        <v>701</v>
      </c>
    </row>
    <row r="437" spans="1:1" x14ac:dyDescent="0.2">
      <c r="A437" s="83" t="s">
        <v>702</v>
      </c>
    </row>
    <row r="438" spans="1:1" x14ac:dyDescent="0.2">
      <c r="A438" s="83" t="s">
        <v>346</v>
      </c>
    </row>
    <row r="439" spans="1:1" x14ac:dyDescent="0.2">
      <c r="A439" s="83" t="s">
        <v>703</v>
      </c>
    </row>
    <row r="440" spans="1:1" x14ac:dyDescent="0.2">
      <c r="A440" s="83" t="s">
        <v>704</v>
      </c>
    </row>
    <row r="441" spans="1:1" x14ac:dyDescent="0.2">
      <c r="A441" s="83" t="s">
        <v>705</v>
      </c>
    </row>
    <row r="442" spans="1:1" x14ac:dyDescent="0.2">
      <c r="A442" s="83" t="s">
        <v>706</v>
      </c>
    </row>
    <row r="443" spans="1:1" x14ac:dyDescent="0.2">
      <c r="A443" s="83" t="s">
        <v>707</v>
      </c>
    </row>
    <row r="444" spans="1:1" x14ac:dyDescent="0.2">
      <c r="A444" s="83" t="s">
        <v>708</v>
      </c>
    </row>
    <row r="445" spans="1:1" x14ac:dyDescent="0.2">
      <c r="A445" s="83" t="s">
        <v>347</v>
      </c>
    </row>
    <row r="446" spans="1:1" x14ac:dyDescent="0.2">
      <c r="A446" s="83" t="s">
        <v>348</v>
      </c>
    </row>
    <row r="447" spans="1:1" x14ac:dyDescent="0.2">
      <c r="A447" s="83" t="s">
        <v>349</v>
      </c>
    </row>
    <row r="448" spans="1:1" x14ac:dyDescent="0.2">
      <c r="A448" s="83" t="s">
        <v>350</v>
      </c>
    </row>
    <row r="449" spans="1:1" x14ac:dyDescent="0.2">
      <c r="A449" s="83" t="s">
        <v>351</v>
      </c>
    </row>
    <row r="450" spans="1:1" x14ac:dyDescent="0.2">
      <c r="A450" s="83" t="s">
        <v>709</v>
      </c>
    </row>
    <row r="451" spans="1:1" x14ac:dyDescent="0.2">
      <c r="A451" s="83" t="s">
        <v>710</v>
      </c>
    </row>
    <row r="452" spans="1:1" x14ac:dyDescent="0.2">
      <c r="A452" s="83" t="s">
        <v>711</v>
      </c>
    </row>
    <row r="453" spans="1:1" x14ac:dyDescent="0.2">
      <c r="A453" s="83" t="s">
        <v>712</v>
      </c>
    </row>
    <row r="454" spans="1:1" x14ac:dyDescent="0.2">
      <c r="A454" s="83" t="s">
        <v>713</v>
      </c>
    </row>
    <row r="455" spans="1:1" x14ac:dyDescent="0.2">
      <c r="A455" s="83" t="s">
        <v>714</v>
      </c>
    </row>
    <row r="456" spans="1:1" x14ac:dyDescent="0.2">
      <c r="A456" s="83" t="s">
        <v>715</v>
      </c>
    </row>
    <row r="457" spans="1:1" x14ac:dyDescent="0.2">
      <c r="A457" s="83" t="s">
        <v>352</v>
      </c>
    </row>
    <row r="458" spans="1:1" x14ac:dyDescent="0.2">
      <c r="A458" s="83" t="s">
        <v>716</v>
      </c>
    </row>
    <row r="459" spans="1:1" x14ac:dyDescent="0.2">
      <c r="A459" s="83" t="s">
        <v>353</v>
      </c>
    </row>
    <row r="460" spans="1:1" x14ac:dyDescent="0.2">
      <c r="A460" s="83" t="s">
        <v>717</v>
      </c>
    </row>
    <row r="461" spans="1:1" x14ac:dyDescent="0.2">
      <c r="A461" s="83" t="s">
        <v>354</v>
      </c>
    </row>
    <row r="462" spans="1:1" x14ac:dyDescent="0.2">
      <c r="A462" s="83" t="s">
        <v>355</v>
      </c>
    </row>
    <row r="463" spans="1:1" x14ac:dyDescent="0.2">
      <c r="A463" s="83" t="s">
        <v>718</v>
      </c>
    </row>
    <row r="464" spans="1:1" x14ac:dyDescent="0.2">
      <c r="A464" s="83" t="s">
        <v>460</v>
      </c>
    </row>
    <row r="465" spans="1:1" x14ac:dyDescent="0.2">
      <c r="A465" s="83" t="s">
        <v>719</v>
      </c>
    </row>
    <row r="466" spans="1:1" x14ac:dyDescent="0.2">
      <c r="A466" s="83" t="s">
        <v>720</v>
      </c>
    </row>
    <row r="467" spans="1:1" x14ac:dyDescent="0.2">
      <c r="A467" s="83" t="s">
        <v>721</v>
      </c>
    </row>
    <row r="468" spans="1:1" x14ac:dyDescent="0.2">
      <c r="A468" s="83" t="s">
        <v>356</v>
      </c>
    </row>
    <row r="469" spans="1:1" x14ac:dyDescent="0.2">
      <c r="A469" s="83" t="s">
        <v>722</v>
      </c>
    </row>
    <row r="470" spans="1:1" x14ac:dyDescent="0.2">
      <c r="A470" s="83" t="s">
        <v>357</v>
      </c>
    </row>
    <row r="471" spans="1:1" x14ac:dyDescent="0.2">
      <c r="A471" s="83" t="s">
        <v>723</v>
      </c>
    </row>
    <row r="472" spans="1:1" x14ac:dyDescent="0.2">
      <c r="A472" s="83" t="s">
        <v>358</v>
      </c>
    </row>
    <row r="473" spans="1:1" x14ac:dyDescent="0.2">
      <c r="A473" s="83" t="s">
        <v>359</v>
      </c>
    </row>
    <row r="474" spans="1:1" x14ac:dyDescent="0.2">
      <c r="A474" s="83" t="s">
        <v>724</v>
      </c>
    </row>
    <row r="475" spans="1:1" x14ac:dyDescent="0.2">
      <c r="A475" s="83" t="s">
        <v>360</v>
      </c>
    </row>
    <row r="476" spans="1:1" x14ac:dyDescent="0.2">
      <c r="A476" s="83" t="s">
        <v>361</v>
      </c>
    </row>
    <row r="477" spans="1:1" x14ac:dyDescent="0.2">
      <c r="A477" s="83" t="s">
        <v>725</v>
      </c>
    </row>
    <row r="478" spans="1:1" x14ac:dyDescent="0.2">
      <c r="A478" s="83" t="s">
        <v>362</v>
      </c>
    </row>
    <row r="479" spans="1:1" x14ac:dyDescent="0.2">
      <c r="A479" s="83" t="s">
        <v>726</v>
      </c>
    </row>
    <row r="480" spans="1:1" x14ac:dyDescent="0.2">
      <c r="A480" s="83" t="s">
        <v>363</v>
      </c>
    </row>
    <row r="481" spans="1:1" x14ac:dyDescent="0.2">
      <c r="A481" s="83" t="s">
        <v>727</v>
      </c>
    </row>
    <row r="482" spans="1:1" x14ac:dyDescent="0.2">
      <c r="A482" s="83" t="s">
        <v>728</v>
      </c>
    </row>
    <row r="483" spans="1:1" x14ac:dyDescent="0.2">
      <c r="A483" s="83" t="s">
        <v>364</v>
      </c>
    </row>
    <row r="484" spans="1:1" x14ac:dyDescent="0.2">
      <c r="A484" s="83" t="s">
        <v>365</v>
      </c>
    </row>
    <row r="485" spans="1:1" x14ac:dyDescent="0.2">
      <c r="A485" s="83" t="s">
        <v>366</v>
      </c>
    </row>
    <row r="486" spans="1:1" x14ac:dyDescent="0.2">
      <c r="A486" s="83" t="s">
        <v>367</v>
      </c>
    </row>
    <row r="487" spans="1:1" x14ac:dyDescent="0.2">
      <c r="A487" s="83" t="s">
        <v>729</v>
      </c>
    </row>
    <row r="488" spans="1:1" x14ac:dyDescent="0.2">
      <c r="A488" s="83" t="s">
        <v>730</v>
      </c>
    </row>
    <row r="489" spans="1:1" x14ac:dyDescent="0.2">
      <c r="A489" s="83" t="s">
        <v>731</v>
      </c>
    </row>
    <row r="490" spans="1:1" x14ac:dyDescent="0.2">
      <c r="A490" s="83" t="s">
        <v>368</v>
      </c>
    </row>
    <row r="491" spans="1:1" x14ac:dyDescent="0.2">
      <c r="A491" s="83" t="s">
        <v>732</v>
      </c>
    </row>
    <row r="492" spans="1:1" x14ac:dyDescent="0.2">
      <c r="A492" s="83" t="s">
        <v>733</v>
      </c>
    </row>
    <row r="493" spans="1:1" x14ac:dyDescent="0.2">
      <c r="A493" s="83" t="s">
        <v>734</v>
      </c>
    </row>
    <row r="494" spans="1:1" x14ac:dyDescent="0.2">
      <c r="A494" s="83" t="s">
        <v>369</v>
      </c>
    </row>
    <row r="495" spans="1:1" x14ac:dyDescent="0.2">
      <c r="A495" s="83" t="s">
        <v>819</v>
      </c>
    </row>
    <row r="496" spans="1:1" x14ac:dyDescent="0.2">
      <c r="A496" s="83" t="s">
        <v>370</v>
      </c>
    </row>
    <row r="497" spans="1:1" x14ac:dyDescent="0.2">
      <c r="A497" s="83" t="s">
        <v>371</v>
      </c>
    </row>
    <row r="498" spans="1:1" x14ac:dyDescent="0.2">
      <c r="A498" s="83" t="s">
        <v>372</v>
      </c>
    </row>
    <row r="499" spans="1:1" x14ac:dyDescent="0.2">
      <c r="A499" s="83" t="s">
        <v>373</v>
      </c>
    </row>
    <row r="500" spans="1:1" x14ac:dyDescent="0.2">
      <c r="A500" s="83" t="s">
        <v>374</v>
      </c>
    </row>
    <row r="501" spans="1:1" x14ac:dyDescent="0.2">
      <c r="A501" s="83" t="s">
        <v>735</v>
      </c>
    </row>
    <row r="502" spans="1:1" x14ac:dyDescent="0.2">
      <c r="A502" s="83" t="s">
        <v>375</v>
      </c>
    </row>
    <row r="503" spans="1:1" x14ac:dyDescent="0.2">
      <c r="A503" s="83" t="s">
        <v>736</v>
      </c>
    </row>
    <row r="504" spans="1:1" x14ac:dyDescent="0.2">
      <c r="A504" s="83" t="s">
        <v>737</v>
      </c>
    </row>
    <row r="505" spans="1:1" x14ac:dyDescent="0.2">
      <c r="A505" s="83" t="s">
        <v>738</v>
      </c>
    </row>
    <row r="506" spans="1:1" x14ac:dyDescent="0.2">
      <c r="A506" s="83" t="s">
        <v>739</v>
      </c>
    </row>
    <row r="507" spans="1:1" x14ac:dyDescent="0.2">
      <c r="A507" s="83" t="s">
        <v>376</v>
      </c>
    </row>
    <row r="508" spans="1:1" x14ac:dyDescent="0.2">
      <c r="A508" s="83" t="s">
        <v>377</v>
      </c>
    </row>
    <row r="509" spans="1:1" x14ac:dyDescent="0.2">
      <c r="A509" s="83" t="s">
        <v>378</v>
      </c>
    </row>
    <row r="510" spans="1:1" x14ac:dyDescent="0.2">
      <c r="A510" s="83" t="s">
        <v>484</v>
      </c>
    </row>
    <row r="511" spans="1:1" x14ac:dyDescent="0.2">
      <c r="A511" s="83" t="s">
        <v>379</v>
      </c>
    </row>
    <row r="512" spans="1:1" x14ac:dyDescent="0.2">
      <c r="A512" s="83" t="s">
        <v>380</v>
      </c>
    </row>
    <row r="513" spans="1:1" x14ac:dyDescent="0.2">
      <c r="A513" s="83" t="s">
        <v>740</v>
      </c>
    </row>
    <row r="514" spans="1:1" x14ac:dyDescent="0.2">
      <c r="A514" s="83" t="s">
        <v>741</v>
      </c>
    </row>
    <row r="515" spans="1:1" x14ac:dyDescent="0.2">
      <c r="A515" s="83" t="s">
        <v>742</v>
      </c>
    </row>
    <row r="516" spans="1:1" x14ac:dyDescent="0.2">
      <c r="A516" s="83" t="s">
        <v>381</v>
      </c>
    </row>
    <row r="517" spans="1:1" x14ac:dyDescent="0.2">
      <c r="A517" s="83" t="s">
        <v>382</v>
      </c>
    </row>
    <row r="518" spans="1:1" x14ac:dyDescent="0.2">
      <c r="A518" s="83" t="s">
        <v>743</v>
      </c>
    </row>
    <row r="519" spans="1:1" x14ac:dyDescent="0.2">
      <c r="A519" s="83" t="s">
        <v>744</v>
      </c>
    </row>
    <row r="520" spans="1:1" x14ac:dyDescent="0.2">
      <c r="A520" s="83" t="s">
        <v>745</v>
      </c>
    </row>
    <row r="521" spans="1:1" x14ac:dyDescent="0.2">
      <c r="A521" s="83" t="s">
        <v>383</v>
      </c>
    </row>
    <row r="522" spans="1:1" x14ac:dyDescent="0.2">
      <c r="A522" s="83" t="s">
        <v>384</v>
      </c>
    </row>
    <row r="523" spans="1:1" x14ac:dyDescent="0.2">
      <c r="A523" s="83" t="s">
        <v>746</v>
      </c>
    </row>
    <row r="524" spans="1:1" x14ac:dyDescent="0.2">
      <c r="A524" s="83" t="s">
        <v>747</v>
      </c>
    </row>
    <row r="525" spans="1:1" x14ac:dyDescent="0.2">
      <c r="A525" s="83" t="s">
        <v>748</v>
      </c>
    </row>
    <row r="526" spans="1:1" x14ac:dyDescent="0.2">
      <c r="A526" s="83" t="s">
        <v>749</v>
      </c>
    </row>
    <row r="527" spans="1:1" x14ac:dyDescent="0.2">
      <c r="A527" s="83" t="s">
        <v>385</v>
      </c>
    </row>
    <row r="528" spans="1:1" x14ac:dyDescent="0.2">
      <c r="A528" s="83" t="s">
        <v>386</v>
      </c>
    </row>
    <row r="529" spans="1:1" x14ac:dyDescent="0.2">
      <c r="A529" s="83" t="s">
        <v>387</v>
      </c>
    </row>
    <row r="530" spans="1:1" x14ac:dyDescent="0.2">
      <c r="A530" s="83" t="s">
        <v>388</v>
      </c>
    </row>
    <row r="531" spans="1:1" x14ac:dyDescent="0.2">
      <c r="A531" s="83" t="s">
        <v>750</v>
      </c>
    </row>
    <row r="532" spans="1:1" x14ac:dyDescent="0.2">
      <c r="A532" s="83" t="s">
        <v>751</v>
      </c>
    </row>
    <row r="533" spans="1:1" x14ac:dyDescent="0.2">
      <c r="A533" s="83" t="s">
        <v>752</v>
      </c>
    </row>
    <row r="534" spans="1:1" x14ac:dyDescent="0.2">
      <c r="A534" s="83" t="s">
        <v>389</v>
      </c>
    </row>
    <row r="535" spans="1:1" x14ac:dyDescent="0.2">
      <c r="A535" s="83" t="s">
        <v>753</v>
      </c>
    </row>
    <row r="536" spans="1:1" x14ac:dyDescent="0.2">
      <c r="A536" s="83" t="s">
        <v>754</v>
      </c>
    </row>
    <row r="537" spans="1:1" x14ac:dyDescent="0.2">
      <c r="A537" s="83" t="s">
        <v>755</v>
      </c>
    </row>
    <row r="538" spans="1:1" x14ac:dyDescent="0.2">
      <c r="A538" s="83" t="s">
        <v>390</v>
      </c>
    </row>
    <row r="539" spans="1:1" x14ac:dyDescent="0.2">
      <c r="A539" s="83" t="s">
        <v>756</v>
      </c>
    </row>
    <row r="540" spans="1:1" x14ac:dyDescent="0.2">
      <c r="A540" s="83" t="s">
        <v>757</v>
      </c>
    </row>
    <row r="541" spans="1:1" x14ac:dyDescent="0.2">
      <c r="A541" s="83" t="s">
        <v>391</v>
      </c>
    </row>
    <row r="542" spans="1:1" x14ac:dyDescent="0.2">
      <c r="A542" s="83" t="s">
        <v>392</v>
      </c>
    </row>
    <row r="543" spans="1:1" x14ac:dyDescent="0.2">
      <c r="A543" s="83" t="s">
        <v>758</v>
      </c>
    </row>
    <row r="544" spans="1:1" x14ac:dyDescent="0.2">
      <c r="A544" s="83" t="s">
        <v>393</v>
      </c>
    </row>
    <row r="545" spans="1:1" x14ac:dyDescent="0.2">
      <c r="A545" s="83" t="s">
        <v>394</v>
      </c>
    </row>
    <row r="546" spans="1:1" x14ac:dyDescent="0.2">
      <c r="A546" s="83" t="s">
        <v>395</v>
      </c>
    </row>
    <row r="547" spans="1:1" x14ac:dyDescent="0.2">
      <c r="A547" s="83" t="s">
        <v>396</v>
      </c>
    </row>
    <row r="548" spans="1:1" x14ac:dyDescent="0.2">
      <c r="A548" s="83" t="s">
        <v>397</v>
      </c>
    </row>
    <row r="549" spans="1:1" x14ac:dyDescent="0.2">
      <c r="A549" s="83" t="s">
        <v>398</v>
      </c>
    </row>
    <row r="550" spans="1:1" x14ac:dyDescent="0.2">
      <c r="A550" s="83" t="s">
        <v>399</v>
      </c>
    </row>
    <row r="551" spans="1:1" x14ac:dyDescent="0.2">
      <c r="A551" s="83" t="s">
        <v>400</v>
      </c>
    </row>
    <row r="552" spans="1:1" x14ac:dyDescent="0.2">
      <c r="A552" s="83" t="s">
        <v>401</v>
      </c>
    </row>
    <row r="553" spans="1:1" x14ac:dyDescent="0.2">
      <c r="A553" s="83" t="s">
        <v>759</v>
      </c>
    </row>
    <row r="554" spans="1:1" x14ac:dyDescent="0.2">
      <c r="A554" s="83" t="s">
        <v>402</v>
      </c>
    </row>
    <row r="555" spans="1:1" x14ac:dyDescent="0.2">
      <c r="A555" s="83" t="s">
        <v>760</v>
      </c>
    </row>
    <row r="556" spans="1:1" x14ac:dyDescent="0.2">
      <c r="A556" s="83" t="s">
        <v>403</v>
      </c>
    </row>
    <row r="557" spans="1:1" x14ac:dyDescent="0.2">
      <c r="A557" s="83" t="s">
        <v>404</v>
      </c>
    </row>
    <row r="558" spans="1:1" x14ac:dyDescent="0.2">
      <c r="A558" s="83" t="s">
        <v>761</v>
      </c>
    </row>
    <row r="559" spans="1:1" x14ac:dyDescent="0.2">
      <c r="A559" s="83" t="s">
        <v>762</v>
      </c>
    </row>
    <row r="560" spans="1:1" x14ac:dyDescent="0.2">
      <c r="A560" s="83" t="s">
        <v>775</v>
      </c>
    </row>
    <row r="561" spans="1:1" x14ac:dyDescent="0.2">
      <c r="A561" s="83" t="s">
        <v>405</v>
      </c>
    </row>
    <row r="562" spans="1:1" x14ac:dyDescent="0.2">
      <c r="A562" s="83" t="s">
        <v>764</v>
      </c>
    </row>
    <row r="563" spans="1:1" x14ac:dyDescent="0.2">
      <c r="A563" s="83" t="s">
        <v>765</v>
      </c>
    </row>
    <row r="564" spans="1:1" x14ac:dyDescent="0.2">
      <c r="A564" s="83" t="s">
        <v>766</v>
      </c>
    </row>
    <row r="565" spans="1:1" x14ac:dyDescent="0.2">
      <c r="A565" s="83" t="s">
        <v>767</v>
      </c>
    </row>
    <row r="566" spans="1:1" x14ac:dyDescent="0.2">
      <c r="A566" s="83" t="s">
        <v>768</v>
      </c>
    </row>
    <row r="567" spans="1:1" x14ac:dyDescent="0.2">
      <c r="A567" s="83" t="s">
        <v>406</v>
      </c>
    </row>
    <row r="568" spans="1:1" x14ac:dyDescent="0.2">
      <c r="A568" s="83" t="s">
        <v>769</v>
      </c>
    </row>
    <row r="569" spans="1:1" x14ac:dyDescent="0.2">
      <c r="A569" s="83" t="s">
        <v>770</v>
      </c>
    </row>
    <row r="570" spans="1:1" x14ac:dyDescent="0.2">
      <c r="A570" s="83" t="s">
        <v>771</v>
      </c>
    </row>
    <row r="571" spans="1:1" x14ac:dyDescent="0.2">
      <c r="A571" s="83" t="s">
        <v>772</v>
      </c>
    </row>
    <row r="572" spans="1:1" x14ac:dyDescent="0.2">
      <c r="A572" s="83" t="s">
        <v>407</v>
      </c>
    </row>
    <row r="573" spans="1:1" x14ac:dyDescent="0.2">
      <c r="A573" s="83" t="s">
        <v>773</v>
      </c>
    </row>
    <row r="574" spans="1:1" x14ac:dyDescent="0.2">
      <c r="A574" s="83" t="s">
        <v>774</v>
      </c>
    </row>
    <row r="575" spans="1:1" x14ac:dyDescent="0.2">
      <c r="A575" s="83" t="s">
        <v>776</v>
      </c>
    </row>
    <row r="576" spans="1:1" x14ac:dyDescent="0.2">
      <c r="A576" s="83" t="s">
        <v>777</v>
      </c>
    </row>
    <row r="577" spans="1:1" x14ac:dyDescent="0.2">
      <c r="A577" s="83" t="s">
        <v>408</v>
      </c>
    </row>
    <row r="578" spans="1:1" x14ac:dyDescent="0.2">
      <c r="A578" s="83" t="s">
        <v>409</v>
      </c>
    </row>
    <row r="579" spans="1:1" x14ac:dyDescent="0.2">
      <c r="A579" s="83" t="s">
        <v>778</v>
      </c>
    </row>
    <row r="580" spans="1:1" x14ac:dyDescent="0.2">
      <c r="A580" s="83" t="s">
        <v>824</v>
      </c>
    </row>
    <row r="581" spans="1:1" x14ac:dyDescent="0.2">
      <c r="A581" s="83" t="s">
        <v>410</v>
      </c>
    </row>
    <row r="582" spans="1:1" x14ac:dyDescent="0.2">
      <c r="A582" s="83" t="s">
        <v>779</v>
      </c>
    </row>
    <row r="583" spans="1:1" x14ac:dyDescent="0.2">
      <c r="A583" s="83" t="s">
        <v>411</v>
      </c>
    </row>
    <row r="584" spans="1:1" x14ac:dyDescent="0.2">
      <c r="A584" s="83" t="s">
        <v>780</v>
      </c>
    </row>
    <row r="585" spans="1:1" x14ac:dyDescent="0.2">
      <c r="A585" s="83" t="s">
        <v>781</v>
      </c>
    </row>
    <row r="586" spans="1:1" x14ac:dyDescent="0.2">
      <c r="A586" s="83" t="s">
        <v>412</v>
      </c>
    </row>
    <row r="587" spans="1:1" x14ac:dyDescent="0.2">
      <c r="A587" s="83" t="s">
        <v>413</v>
      </c>
    </row>
    <row r="588" spans="1:1" x14ac:dyDescent="0.2">
      <c r="A588" s="83" t="s">
        <v>414</v>
      </c>
    </row>
    <row r="589" spans="1:1" x14ac:dyDescent="0.2">
      <c r="A589" s="83" t="s">
        <v>522</v>
      </c>
    </row>
    <row r="590" spans="1:1" x14ac:dyDescent="0.2">
      <c r="A590" s="83" t="s">
        <v>783</v>
      </c>
    </row>
    <row r="591" spans="1:1" x14ac:dyDescent="0.2">
      <c r="A591" s="83" t="s">
        <v>784</v>
      </c>
    </row>
    <row r="592" spans="1:1" x14ac:dyDescent="0.2">
      <c r="A592" s="83" t="s">
        <v>415</v>
      </c>
    </row>
    <row r="593" spans="1:1" x14ac:dyDescent="0.2">
      <c r="A593" s="83" t="s">
        <v>416</v>
      </c>
    </row>
    <row r="594" spans="1:1" x14ac:dyDescent="0.2">
      <c r="A594" s="83" t="s">
        <v>785</v>
      </c>
    </row>
    <row r="595" spans="1:1" x14ac:dyDescent="0.2">
      <c r="A595" s="83" t="s">
        <v>786</v>
      </c>
    </row>
    <row r="596" spans="1:1" x14ac:dyDescent="0.2">
      <c r="A596" s="83" t="s">
        <v>787</v>
      </c>
    </row>
    <row r="597" spans="1:1" x14ac:dyDescent="0.2">
      <c r="A597" s="83" t="s">
        <v>788</v>
      </c>
    </row>
    <row r="598" spans="1:1" x14ac:dyDescent="0.2">
      <c r="A598" s="83" t="s">
        <v>789</v>
      </c>
    </row>
    <row r="599" spans="1:1" x14ac:dyDescent="0.2">
      <c r="A599" s="83" t="s">
        <v>790</v>
      </c>
    </row>
    <row r="600" spans="1:1" x14ac:dyDescent="0.2">
      <c r="A600" s="83" t="s">
        <v>417</v>
      </c>
    </row>
    <row r="601" spans="1:1" x14ac:dyDescent="0.2">
      <c r="A601" s="83" t="s">
        <v>418</v>
      </c>
    </row>
    <row r="602" spans="1:1" x14ac:dyDescent="0.2">
      <c r="A602" s="83" t="s">
        <v>419</v>
      </c>
    </row>
    <row r="603" spans="1:1" x14ac:dyDescent="0.2">
      <c r="A603" s="83" t="s">
        <v>791</v>
      </c>
    </row>
    <row r="604" spans="1:1" x14ac:dyDescent="0.2">
      <c r="A604" s="83" t="s">
        <v>792</v>
      </c>
    </row>
    <row r="605" spans="1:1" x14ac:dyDescent="0.2">
      <c r="A605" s="83" t="s">
        <v>793</v>
      </c>
    </row>
    <row r="606" spans="1:1" x14ac:dyDescent="0.2">
      <c r="A606" s="83" t="s">
        <v>506</v>
      </c>
    </row>
    <row r="607" spans="1:1" x14ac:dyDescent="0.2">
      <c r="A607" s="83" t="s">
        <v>485</v>
      </c>
    </row>
    <row r="608" spans="1:1" x14ac:dyDescent="0.2">
      <c r="A608" s="83" t="s">
        <v>794</v>
      </c>
    </row>
    <row r="609" spans="1:1" x14ac:dyDescent="0.2">
      <c r="A609" s="83" t="s">
        <v>486</v>
      </c>
    </row>
    <row r="610" spans="1:1" x14ac:dyDescent="0.2">
      <c r="A610" s="83" t="s">
        <v>420</v>
      </c>
    </row>
    <row r="611" spans="1:1" x14ac:dyDescent="0.2">
      <c r="A611" s="83" t="s">
        <v>521</v>
      </c>
    </row>
    <row r="612" spans="1:1" x14ac:dyDescent="0.2">
      <c r="A612" s="83" t="s">
        <v>487</v>
      </c>
    </row>
    <row r="613" spans="1:1" x14ac:dyDescent="0.2">
      <c r="A613" s="83" t="s">
        <v>488</v>
      </c>
    </row>
    <row r="614" spans="1:1" x14ac:dyDescent="0.2">
      <c r="A614" s="83" t="s">
        <v>518</v>
      </c>
    </row>
    <row r="615" spans="1:1" x14ac:dyDescent="0.2">
      <c r="A615" s="83" t="s">
        <v>541</v>
      </c>
    </row>
    <row r="616" spans="1:1" x14ac:dyDescent="0.2">
      <c r="A616" s="83" t="s">
        <v>542</v>
      </c>
    </row>
    <row r="617" spans="1:1" x14ac:dyDescent="0.2">
      <c r="A617" s="83" t="s">
        <v>572</v>
      </c>
    </row>
    <row r="618" spans="1:1" x14ac:dyDescent="0.2">
      <c r="A618" s="83" t="s">
        <v>795</v>
      </c>
    </row>
    <row r="619" spans="1:1" x14ac:dyDescent="0.2">
      <c r="A619" s="83" t="s">
        <v>421</v>
      </c>
    </row>
    <row r="620" spans="1:1" x14ac:dyDescent="0.2">
      <c r="A620" s="83" t="s">
        <v>422</v>
      </c>
    </row>
    <row r="621" spans="1:1" x14ac:dyDescent="0.2">
      <c r="A621" s="83" t="s">
        <v>423</v>
      </c>
    </row>
    <row r="622" spans="1:1" x14ac:dyDescent="0.2">
      <c r="A622" s="83" t="s">
        <v>424</v>
      </c>
    </row>
    <row r="623" spans="1:1" x14ac:dyDescent="0.2">
      <c r="A623" s="83" t="s">
        <v>425</v>
      </c>
    </row>
    <row r="624" spans="1:1" x14ac:dyDescent="0.2">
      <c r="A624" s="83" t="s">
        <v>426</v>
      </c>
    </row>
    <row r="625" spans="1:1" x14ac:dyDescent="0.2">
      <c r="A625" s="83" t="s">
        <v>797</v>
      </c>
    </row>
    <row r="626" spans="1:1" x14ac:dyDescent="0.2">
      <c r="A626" s="83" t="s">
        <v>798</v>
      </c>
    </row>
    <row r="627" spans="1:1" x14ac:dyDescent="0.2">
      <c r="A627" s="83" t="s">
        <v>427</v>
      </c>
    </row>
    <row r="628" spans="1:1" x14ac:dyDescent="0.2">
      <c r="A628" s="83" t="s">
        <v>530</v>
      </c>
    </row>
    <row r="629" spans="1:1" x14ac:dyDescent="0.2">
      <c r="A629" s="83" t="s">
        <v>799</v>
      </c>
    </row>
    <row r="630" spans="1:1" x14ac:dyDescent="0.2">
      <c r="A630" s="83" t="s">
        <v>800</v>
      </c>
    </row>
    <row r="631" spans="1:1" x14ac:dyDescent="0.2">
      <c r="A631" s="83" t="s">
        <v>801</v>
      </c>
    </row>
    <row r="632" spans="1:1" x14ac:dyDescent="0.2">
      <c r="A632" s="83" t="s">
        <v>428</v>
      </c>
    </row>
    <row r="633" spans="1:1" x14ac:dyDescent="0.2">
      <c r="A633" s="83" t="s">
        <v>429</v>
      </c>
    </row>
    <row r="634" spans="1:1" x14ac:dyDescent="0.2">
      <c r="A634" s="83" t="s">
        <v>802</v>
      </c>
    </row>
    <row r="635" spans="1:1" x14ac:dyDescent="0.2">
      <c r="A635" s="83" t="s">
        <v>803</v>
      </c>
    </row>
    <row r="636" spans="1:1" x14ac:dyDescent="0.2">
      <c r="A636" s="83" t="s">
        <v>430</v>
      </c>
    </row>
    <row r="637" spans="1:1" x14ac:dyDescent="0.2">
      <c r="A637" s="83" t="s">
        <v>804</v>
      </c>
    </row>
    <row r="638" spans="1:1" x14ac:dyDescent="0.2">
      <c r="A638" s="83" t="s">
        <v>805</v>
      </c>
    </row>
    <row r="639" spans="1:1" x14ac:dyDescent="0.2">
      <c r="A639" s="83" t="s">
        <v>806</v>
      </c>
    </row>
    <row r="640" spans="1:1" x14ac:dyDescent="0.2">
      <c r="A640" s="83" t="s">
        <v>807</v>
      </c>
    </row>
    <row r="641" spans="1:1" x14ac:dyDescent="0.2">
      <c r="A641" s="83" t="s">
        <v>431</v>
      </c>
    </row>
    <row r="642" spans="1:1" x14ac:dyDescent="0.2">
      <c r="A642" s="83" t="s">
        <v>432</v>
      </c>
    </row>
    <row r="643" spans="1:1" x14ac:dyDescent="0.2">
      <c r="A643" s="83" t="s">
        <v>433</v>
      </c>
    </row>
    <row r="644" spans="1:1" x14ac:dyDescent="0.2">
      <c r="A644" s="83" t="s">
        <v>808</v>
      </c>
    </row>
    <row r="645" spans="1:1" x14ac:dyDescent="0.2">
      <c r="A645" s="83" t="s">
        <v>434</v>
      </c>
    </row>
    <row r="646" spans="1:1" x14ac:dyDescent="0.2">
      <c r="A646" s="83" t="s">
        <v>435</v>
      </c>
    </row>
    <row r="647" spans="1:1" x14ac:dyDescent="0.2">
      <c r="A647" s="83" t="s">
        <v>436</v>
      </c>
    </row>
    <row r="648" spans="1:1" x14ac:dyDescent="0.2">
      <c r="A648" s="83" t="s">
        <v>782</v>
      </c>
    </row>
    <row r="649" spans="1:1" x14ac:dyDescent="0.2">
      <c r="A649" s="83" t="s">
        <v>437</v>
      </c>
    </row>
    <row r="650" spans="1:1" x14ac:dyDescent="0.2">
      <c r="A650" s="83" t="s">
        <v>438</v>
      </c>
    </row>
    <row r="651" spans="1:1" x14ac:dyDescent="0.2">
      <c r="A651" s="83" t="s">
        <v>439</v>
      </c>
    </row>
    <row r="652" spans="1:1" x14ac:dyDescent="0.2">
      <c r="A652" s="83" t="s">
        <v>813</v>
      </c>
    </row>
    <row r="653" spans="1:1" x14ac:dyDescent="0.2">
      <c r="A653" s="83" t="s">
        <v>440</v>
      </c>
    </row>
    <row r="654" spans="1:1" x14ac:dyDescent="0.2">
      <c r="A654" s="83" t="s">
        <v>441</v>
      </c>
    </row>
    <row r="655" spans="1:1" x14ac:dyDescent="0.2">
      <c r="A655" s="83" t="s">
        <v>442</v>
      </c>
    </row>
    <row r="656" spans="1:1" x14ac:dyDescent="0.2">
      <c r="A656" s="83" t="s">
        <v>443</v>
      </c>
    </row>
    <row r="657" spans="1:1" x14ac:dyDescent="0.2">
      <c r="A657" s="83" t="s">
        <v>444</v>
      </c>
    </row>
    <row r="658" spans="1:1" x14ac:dyDescent="0.2">
      <c r="A658" s="83" t="s">
        <v>814</v>
      </c>
    </row>
    <row r="659" spans="1:1" x14ac:dyDescent="0.2">
      <c r="A659" s="83" t="s">
        <v>445</v>
      </c>
    </row>
    <row r="660" spans="1:1" x14ac:dyDescent="0.2">
      <c r="A660" s="83" t="s">
        <v>446</v>
      </c>
    </row>
    <row r="661" spans="1:1" x14ac:dyDescent="0.2">
      <c r="A661" s="83" t="s">
        <v>523</v>
      </c>
    </row>
    <row r="662" spans="1:1" x14ac:dyDescent="0.2">
      <c r="A662" s="83" t="s">
        <v>447</v>
      </c>
    </row>
    <row r="663" spans="1:1" x14ac:dyDescent="0.2">
      <c r="A663" s="83" t="s">
        <v>448</v>
      </c>
    </row>
    <row r="664" spans="1:1" x14ac:dyDescent="0.2">
      <c r="A664" s="83" t="s">
        <v>815</v>
      </c>
    </row>
    <row r="665" spans="1:1" x14ac:dyDescent="0.2">
      <c r="A665" s="83" t="s">
        <v>449</v>
      </c>
    </row>
    <row r="666" spans="1:1" x14ac:dyDescent="0.2">
      <c r="A666" s="83" t="s">
        <v>450</v>
      </c>
    </row>
    <row r="667" spans="1:1" x14ac:dyDescent="0.2">
      <c r="A667" s="83" t="s">
        <v>810</v>
      </c>
    </row>
    <row r="668" spans="1:1" x14ac:dyDescent="0.2">
      <c r="A668" s="83" t="s">
        <v>451</v>
      </c>
    </row>
    <row r="669" spans="1:1" x14ac:dyDescent="0.2">
      <c r="A669" s="83" t="s">
        <v>816</v>
      </c>
    </row>
    <row r="670" spans="1:1" x14ac:dyDescent="0.2">
      <c r="A670" s="83" t="s">
        <v>452</v>
      </c>
    </row>
    <row r="671" spans="1:1" x14ac:dyDescent="0.2">
      <c r="A671" s="83" t="s">
        <v>568</v>
      </c>
    </row>
    <row r="672" spans="1:1" x14ac:dyDescent="0.2">
      <c r="A672" s="83" t="s">
        <v>11</v>
      </c>
    </row>
    <row r="673" spans="1:1" x14ac:dyDescent="0.2">
      <c r="A673" s="83"/>
    </row>
    <row r="674" spans="1:1" x14ac:dyDescent="0.2">
      <c r="A674" s="83"/>
    </row>
    <row r="675" spans="1:1" x14ac:dyDescent="0.2">
      <c r="A675" s="83"/>
    </row>
    <row r="676" spans="1:1" x14ac:dyDescent="0.2">
      <c r="A676" s="83"/>
    </row>
    <row r="677" spans="1:1" x14ac:dyDescent="0.2">
      <c r="A677" s="83"/>
    </row>
    <row r="678" spans="1:1" x14ac:dyDescent="0.2">
      <c r="A678" s="83"/>
    </row>
    <row r="679" spans="1:1" x14ac:dyDescent="0.2">
      <c r="A679" s="83"/>
    </row>
    <row r="680" spans="1:1" x14ac:dyDescent="0.2">
      <c r="A680" s="83"/>
    </row>
    <row r="681" spans="1:1" x14ac:dyDescent="0.2">
      <c r="A681" s="83"/>
    </row>
    <row r="682" spans="1:1" x14ac:dyDescent="0.2">
      <c r="A682" s="83"/>
    </row>
    <row r="683" spans="1:1" x14ac:dyDescent="0.2">
      <c r="A683" s="83"/>
    </row>
    <row r="684" spans="1:1" x14ac:dyDescent="0.2">
      <c r="A684" s="83"/>
    </row>
    <row r="685" spans="1:1" x14ac:dyDescent="0.2">
      <c r="A685" s="83"/>
    </row>
    <row r="686" spans="1:1" x14ac:dyDescent="0.2">
      <c r="A686" s="83"/>
    </row>
    <row r="687" spans="1:1" x14ac:dyDescent="0.2">
      <c r="A687" s="83"/>
    </row>
    <row r="688" spans="1:1" x14ac:dyDescent="0.2">
      <c r="A688" s="83"/>
    </row>
    <row r="689" spans="1:1" x14ac:dyDescent="0.2">
      <c r="A689" s="83"/>
    </row>
    <row r="690" spans="1:1" x14ac:dyDescent="0.2">
      <c r="A690" s="83"/>
    </row>
    <row r="691" spans="1:1" x14ac:dyDescent="0.2">
      <c r="A691" s="83"/>
    </row>
    <row r="692" spans="1:1" x14ac:dyDescent="0.2">
      <c r="A692" s="83"/>
    </row>
    <row r="693" spans="1:1" x14ac:dyDescent="0.2">
      <c r="A693" s="83"/>
    </row>
    <row r="694" spans="1:1" x14ac:dyDescent="0.2">
      <c r="A694" s="83"/>
    </row>
    <row r="695" spans="1:1" x14ac:dyDescent="0.2">
      <c r="A695" s="83"/>
    </row>
    <row r="696" spans="1:1" x14ac:dyDescent="0.2">
      <c r="A696" s="83"/>
    </row>
    <row r="697" spans="1:1" x14ac:dyDescent="0.2">
      <c r="A697" s="83"/>
    </row>
    <row r="698" spans="1:1" x14ac:dyDescent="0.2">
      <c r="A698" s="83"/>
    </row>
    <row r="699" spans="1:1" x14ac:dyDescent="0.2">
      <c r="A699" s="83"/>
    </row>
    <row r="700" spans="1:1" x14ac:dyDescent="0.2">
      <c r="A700" s="83"/>
    </row>
    <row r="701" spans="1:1" x14ac:dyDescent="0.2">
      <c r="A701" s="83"/>
    </row>
    <row r="702" spans="1:1" x14ac:dyDescent="0.2">
      <c r="A702" s="83"/>
    </row>
    <row r="703" spans="1:1" x14ac:dyDescent="0.2">
      <c r="A703" s="83"/>
    </row>
    <row r="704" spans="1:1" x14ac:dyDescent="0.2">
      <c r="A704" s="83"/>
    </row>
    <row r="705" spans="1:1" x14ac:dyDescent="0.2">
      <c r="A705" s="83"/>
    </row>
    <row r="706" spans="1:1" x14ac:dyDescent="0.2">
      <c r="A706" s="83"/>
    </row>
    <row r="707" spans="1:1" x14ac:dyDescent="0.2">
      <c r="A707" s="83"/>
    </row>
    <row r="708" spans="1:1" x14ac:dyDescent="0.2">
      <c r="A708" s="83"/>
    </row>
    <row r="709" spans="1:1" x14ac:dyDescent="0.2">
      <c r="A709" s="83"/>
    </row>
    <row r="710" spans="1:1" x14ac:dyDescent="0.2">
      <c r="A710" s="83"/>
    </row>
    <row r="711" spans="1:1" x14ac:dyDescent="0.2">
      <c r="A711" s="83"/>
    </row>
    <row r="712" spans="1:1" x14ac:dyDescent="0.2">
      <c r="A712" s="83"/>
    </row>
    <row r="713" spans="1:1" x14ac:dyDescent="0.2">
      <c r="A713" s="83"/>
    </row>
    <row r="714" spans="1:1" x14ac:dyDescent="0.2">
      <c r="A714" s="83"/>
    </row>
    <row r="715" spans="1:1" x14ac:dyDescent="0.2">
      <c r="A715" s="83"/>
    </row>
    <row r="716" spans="1:1" x14ac:dyDescent="0.2">
      <c r="A716" s="83"/>
    </row>
    <row r="717" spans="1:1" x14ac:dyDescent="0.2">
      <c r="A717" s="83"/>
    </row>
    <row r="718" spans="1:1" x14ac:dyDescent="0.2">
      <c r="A718" s="83"/>
    </row>
    <row r="719" spans="1:1" x14ac:dyDescent="0.2">
      <c r="A719" s="83"/>
    </row>
    <row r="720" spans="1:1" x14ac:dyDescent="0.2">
      <c r="A720" s="83"/>
    </row>
    <row r="721" spans="1:1" x14ac:dyDescent="0.2">
      <c r="A721" s="83"/>
    </row>
    <row r="722" spans="1:1" x14ac:dyDescent="0.2">
      <c r="A722" s="83"/>
    </row>
    <row r="723" spans="1:1" x14ac:dyDescent="0.2">
      <c r="A723" s="83"/>
    </row>
    <row r="724" spans="1:1" x14ac:dyDescent="0.2">
      <c r="A724" s="83"/>
    </row>
    <row r="725" spans="1:1" x14ac:dyDescent="0.2">
      <c r="A725" s="83"/>
    </row>
    <row r="726" spans="1:1" x14ac:dyDescent="0.2">
      <c r="A726" s="83"/>
    </row>
    <row r="727" spans="1:1" x14ac:dyDescent="0.2">
      <c r="A727" s="83"/>
    </row>
    <row r="728" spans="1:1" x14ac:dyDescent="0.2">
      <c r="A728" s="83"/>
    </row>
    <row r="729" spans="1:1" x14ac:dyDescent="0.2">
      <c r="A729" s="83"/>
    </row>
    <row r="730" spans="1:1" x14ac:dyDescent="0.2">
      <c r="A730" s="83"/>
    </row>
    <row r="731" spans="1:1" x14ac:dyDescent="0.2">
      <c r="A731" s="83"/>
    </row>
    <row r="732" spans="1:1" x14ac:dyDescent="0.2">
      <c r="A732" s="83"/>
    </row>
    <row r="733" spans="1:1" x14ac:dyDescent="0.2">
      <c r="A733" s="83"/>
    </row>
    <row r="734" spans="1:1" x14ac:dyDescent="0.2">
      <c r="A734" s="83"/>
    </row>
    <row r="735" spans="1:1" x14ac:dyDescent="0.2">
      <c r="A735" s="83"/>
    </row>
    <row r="736" spans="1:1" x14ac:dyDescent="0.2">
      <c r="A736" s="83"/>
    </row>
    <row r="737" spans="1:1" x14ac:dyDescent="0.2">
      <c r="A737" s="83"/>
    </row>
    <row r="738" spans="1:1" x14ac:dyDescent="0.2">
      <c r="A738" s="83"/>
    </row>
    <row r="739" spans="1:1" x14ac:dyDescent="0.2">
      <c r="A739" s="83"/>
    </row>
    <row r="740" spans="1:1" x14ac:dyDescent="0.2">
      <c r="A740" s="83"/>
    </row>
    <row r="741" spans="1:1" x14ac:dyDescent="0.2">
      <c r="A741" s="83"/>
    </row>
    <row r="742" spans="1:1" x14ac:dyDescent="0.2">
      <c r="A742" s="83"/>
    </row>
    <row r="743" spans="1:1" x14ac:dyDescent="0.2">
      <c r="A743" s="83"/>
    </row>
    <row r="744" spans="1:1" x14ac:dyDescent="0.2">
      <c r="A744" s="83"/>
    </row>
    <row r="745" spans="1:1" x14ac:dyDescent="0.2">
      <c r="A745" s="83"/>
    </row>
    <row r="746" spans="1:1" x14ac:dyDescent="0.2">
      <c r="A746" s="83"/>
    </row>
    <row r="747" spans="1:1" x14ac:dyDescent="0.2">
      <c r="A747" s="83"/>
    </row>
    <row r="748" spans="1:1" x14ac:dyDescent="0.2">
      <c r="A748" s="83"/>
    </row>
    <row r="749" spans="1:1" x14ac:dyDescent="0.2">
      <c r="A749" s="83"/>
    </row>
    <row r="750" spans="1:1" x14ac:dyDescent="0.2">
      <c r="A750" s="83"/>
    </row>
    <row r="751" spans="1:1" x14ac:dyDescent="0.2">
      <c r="A751" s="83"/>
    </row>
    <row r="752" spans="1:1" x14ac:dyDescent="0.2">
      <c r="A752" s="83"/>
    </row>
    <row r="753" spans="1:1" x14ac:dyDescent="0.2">
      <c r="A753" s="83"/>
    </row>
    <row r="754" spans="1:1" x14ac:dyDescent="0.2">
      <c r="A754" s="83"/>
    </row>
    <row r="755" spans="1:1" x14ac:dyDescent="0.2">
      <c r="A755" s="83"/>
    </row>
    <row r="756" spans="1:1" x14ac:dyDescent="0.2">
      <c r="A756" s="83"/>
    </row>
    <row r="757" spans="1:1" x14ac:dyDescent="0.2">
      <c r="A757" s="83"/>
    </row>
    <row r="758" spans="1:1" x14ac:dyDescent="0.2">
      <c r="A758" s="83"/>
    </row>
    <row r="759" spans="1:1" x14ac:dyDescent="0.2">
      <c r="A759" s="83"/>
    </row>
    <row r="760" spans="1:1" x14ac:dyDescent="0.2">
      <c r="A760" s="83"/>
    </row>
    <row r="761" spans="1:1" x14ac:dyDescent="0.2">
      <c r="A761" s="83"/>
    </row>
    <row r="762" spans="1:1" x14ac:dyDescent="0.2">
      <c r="A762" s="83"/>
    </row>
    <row r="763" spans="1:1" x14ac:dyDescent="0.2">
      <c r="A763" s="83"/>
    </row>
    <row r="764" spans="1:1" x14ac:dyDescent="0.2">
      <c r="A764" s="83"/>
    </row>
    <row r="765" spans="1:1" x14ac:dyDescent="0.2">
      <c r="A765" s="83"/>
    </row>
    <row r="766" spans="1:1" x14ac:dyDescent="0.2">
      <c r="A766" s="83"/>
    </row>
    <row r="767" spans="1:1" x14ac:dyDescent="0.2">
      <c r="A767" s="83"/>
    </row>
    <row r="768" spans="1:1" x14ac:dyDescent="0.2">
      <c r="A768" s="83"/>
    </row>
    <row r="769" spans="1:1" x14ac:dyDescent="0.2">
      <c r="A769" s="83"/>
    </row>
    <row r="770" spans="1:1" x14ac:dyDescent="0.2">
      <c r="A770" s="83"/>
    </row>
    <row r="771" spans="1:1" x14ac:dyDescent="0.2">
      <c r="A771" s="83"/>
    </row>
    <row r="772" spans="1:1" x14ac:dyDescent="0.2">
      <c r="A772" s="83"/>
    </row>
    <row r="773" spans="1:1" x14ac:dyDescent="0.2">
      <c r="A773" s="83"/>
    </row>
    <row r="774" spans="1:1" x14ac:dyDescent="0.2">
      <c r="A774" s="83"/>
    </row>
    <row r="775" spans="1:1" x14ac:dyDescent="0.2">
      <c r="A775" s="83"/>
    </row>
    <row r="776" spans="1:1" x14ac:dyDescent="0.2">
      <c r="A776" s="83"/>
    </row>
    <row r="777" spans="1:1" x14ac:dyDescent="0.2">
      <c r="A777" s="83"/>
    </row>
    <row r="778" spans="1:1" x14ac:dyDescent="0.2">
      <c r="A778" s="83"/>
    </row>
    <row r="779" spans="1:1" x14ac:dyDescent="0.2">
      <c r="A779" s="83"/>
    </row>
    <row r="780" spans="1:1" x14ac:dyDescent="0.2">
      <c r="A780" s="83"/>
    </row>
    <row r="781" spans="1:1" x14ac:dyDescent="0.2">
      <c r="A781" s="83"/>
    </row>
    <row r="782" spans="1:1" x14ac:dyDescent="0.2">
      <c r="A782" s="83"/>
    </row>
    <row r="783" spans="1:1" x14ac:dyDescent="0.2">
      <c r="A783" s="83"/>
    </row>
    <row r="784" spans="1:1" x14ac:dyDescent="0.2">
      <c r="A784" s="83"/>
    </row>
  </sheetData>
  <sheetProtection password="AF78" sheet="1" objects="1" scenarios="1" selectLockedCells="1"/>
  <phoneticPr fontId="1" type="noConversion"/>
  <pageMargins left="0.75" right="0.75" top="1" bottom="1" header="0.5" footer="0.5"/>
  <pageSetup orientation="portrait" verticalDpi="2" r:id="rId1"/>
  <headerFooter alignWithMargins="0">
    <oddHeader>&amp;R&amp;"Arial,Bold"&amp;9&amp;USchedule Bank_x000D_&amp;U &amp;"Arial,Bold" &amp;P &amp;"Arial,Regular"of &amp;"Arial,Bold"&amp;N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16</vt:lpstr>
      <vt:lpstr>17</vt:lpstr>
      <vt:lpstr>19</vt:lpstr>
      <vt:lpstr>20</vt:lpstr>
      <vt:lpstr>42</vt:lpstr>
      <vt:lpstr>Bank</vt:lpstr>
      <vt:lpstr>'16'!Print_Area</vt:lpstr>
      <vt:lpstr>'19'!Print_Area</vt:lpstr>
      <vt:lpstr>'20'!Print_Area</vt:lpstr>
      <vt:lpstr>'42'!Print_Area</vt:lpstr>
      <vt:lpstr>'16'!Print_Titles</vt:lpstr>
      <vt:lpstr>'17'!Print_Titles</vt:lpstr>
      <vt:lpstr>'19'!Print_Titles</vt:lpstr>
      <vt:lpstr>'20'!Print_Titles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Lala Villangca</dc:creator>
  <cp:lastModifiedBy>Aldrin</cp:lastModifiedBy>
  <cp:lastPrinted>2010-12-02T09:12:43Z</cp:lastPrinted>
  <dcterms:created xsi:type="dcterms:W3CDTF">2005-10-26T00:57:05Z</dcterms:created>
  <dcterms:modified xsi:type="dcterms:W3CDTF">2017-10-12T17:37:11Z</dcterms:modified>
</cp:coreProperties>
</file>