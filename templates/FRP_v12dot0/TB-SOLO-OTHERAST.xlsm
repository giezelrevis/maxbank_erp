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frp_template_v14\"/>
    </mc:Choice>
  </mc:AlternateContent>
  <workbookProtection workbookPassword="E37A" lockStructure="1"/>
  <bookViews>
    <workbookView xWindow="0" yWindow="0" windowWidth="20490" windowHeight="7755"/>
  </bookViews>
  <sheets>
    <sheet name="Bank" sheetId="11" r:id="rId1"/>
    <sheet name="13" sheetId="1" state="hidden" r:id="rId2"/>
    <sheet name="13A" sheetId="2" state="hidden" r:id="rId3"/>
    <sheet name="13B" sheetId="5" state="hidden" r:id="rId4"/>
    <sheet name="13C" sheetId="4" state="hidden" r:id="rId5"/>
    <sheet name="13D" sheetId="7" state="hidden" r:id="rId6"/>
    <sheet name="14" sheetId="6" state="hidden" r:id="rId7"/>
    <sheet name="15" sheetId="8" state="hidden" r:id="rId8"/>
    <sheet name="15A" sheetId="9" state="hidden" r:id="rId9"/>
    <sheet name="15B" sheetId="10" state="hidden" r:id="rId10"/>
    <sheet name="List" sheetId="12" state="hidden" r:id="rId11"/>
  </sheets>
  <definedNames>
    <definedName name="_xlnm._FilterDatabase" localSheetId="0" hidden="1">Bank!$A$50:$A$130</definedName>
    <definedName name="_xlnm.Print_Area" localSheetId="1">'13'!$A$1:$AD$25</definedName>
    <definedName name="_xlnm.Print_Area" localSheetId="2">'13A'!$A$1:$AF$122</definedName>
    <definedName name="_xlnm.Print_Area" localSheetId="3">'13B'!$A$1:$AF$122</definedName>
    <definedName name="_xlnm.Print_Area" localSheetId="4">'13C'!$A$1:$AF$59</definedName>
    <definedName name="_xlnm.Print_Area" localSheetId="5">'13D'!$A$1:$AF$46</definedName>
    <definedName name="_xlnm.Print_Area" localSheetId="6">'14'!$A$1:$P$99</definedName>
    <definedName name="_xlnm.Print_Area" localSheetId="7">'15'!$A$1:$AF$47</definedName>
    <definedName name="_xlnm.Print_Area" localSheetId="8">'15A'!$A$1:$X$52</definedName>
    <definedName name="_xlnm.Print_Area" localSheetId="9">'15B'!$A$1:$X$85</definedName>
    <definedName name="_xlnm.Print_Titles" localSheetId="1">'13'!$A:$H,'13'!$1:$9</definedName>
    <definedName name="_xlnm.Print_Titles" localSheetId="2">'13A'!$A:$H,'13A'!$1:$9</definedName>
    <definedName name="_xlnm.Print_Titles" localSheetId="3">'13B'!$A:$H,'13B'!$1:$9</definedName>
    <definedName name="_xlnm.Print_Titles" localSheetId="4">'13C'!$A:$G,'13C'!$1:$9</definedName>
    <definedName name="_xlnm.Print_Titles" localSheetId="5">'13D'!$A:$H,'13D'!$1:$9</definedName>
    <definedName name="_xlnm.Print_Titles" localSheetId="6">'14'!$A:$H,'14'!$1:$8</definedName>
    <definedName name="_xlnm.Print_Titles" localSheetId="7">'15'!$A:$H,'15'!$1:$9</definedName>
    <definedName name="_xlnm.Print_Titles" localSheetId="8">'15A'!$A:$H,'15A'!$1:$9</definedName>
    <definedName name="_xlnm.Print_Titles" localSheetId="9">'15B'!$A:$D,'15B'!$1:$9</definedName>
  </definedNames>
  <calcPr calcId="152511" fullCalcOnLoad="1"/>
</workbook>
</file>

<file path=xl/calcChain.xml><?xml version="1.0" encoding="utf-8"?>
<calcChain xmlns="http://schemas.openxmlformats.org/spreadsheetml/2006/main">
  <c r="I37" i="6" l="1"/>
  <c r="I28" i="6" s="1"/>
  <c r="P69" i="6"/>
  <c r="O65" i="6"/>
  <c r="L65" i="6"/>
  <c r="M65" i="6"/>
  <c r="N65" i="6"/>
  <c r="J65" i="6"/>
  <c r="K65" i="6"/>
  <c r="I65" i="6"/>
  <c r="Z34" i="4"/>
  <c r="Z33" i="4" s="1"/>
  <c r="Z11" i="4" s="1"/>
  <c r="Z59" i="4" s="1"/>
  <c r="R34" i="4"/>
  <c r="R33" i="4"/>
  <c r="R11" i="4" s="1"/>
  <c r="R59" i="4" s="1"/>
  <c r="S34" i="4"/>
  <c r="S33" i="4"/>
  <c r="S11" i="4" s="1"/>
  <c r="J87" i="6"/>
  <c r="K87" i="6"/>
  <c r="L87" i="6"/>
  <c r="M87" i="6"/>
  <c r="N87" i="6"/>
  <c r="O87" i="6"/>
  <c r="I87" i="6"/>
  <c r="P87" i="6" s="1"/>
  <c r="I77" i="6"/>
  <c r="P90" i="6"/>
  <c r="J44" i="6"/>
  <c r="K44" i="6"/>
  <c r="L44" i="6"/>
  <c r="M44" i="6"/>
  <c r="N44" i="6"/>
  <c r="O44" i="6"/>
  <c r="I44" i="6"/>
  <c r="P45" i="6"/>
  <c r="P46" i="6"/>
  <c r="P47" i="6"/>
  <c r="P48" i="6"/>
  <c r="P49" i="6"/>
  <c r="X16" i="9"/>
  <c r="R11" i="9"/>
  <c r="R10" i="9" s="1"/>
  <c r="S11" i="9"/>
  <c r="Q11" i="9"/>
  <c r="P16" i="9"/>
  <c r="J11" i="9"/>
  <c r="K11" i="9"/>
  <c r="I11" i="9"/>
  <c r="AA47" i="8"/>
  <c r="AF47" i="8" s="1"/>
  <c r="Z47" i="8"/>
  <c r="Y47" i="8"/>
  <c r="X47" i="8"/>
  <c r="P47" i="8"/>
  <c r="I81" i="6"/>
  <c r="I76" i="6" s="1"/>
  <c r="Y53" i="4"/>
  <c r="Y52" i="4" s="1"/>
  <c r="Y48" i="4"/>
  <c r="Y45" i="4"/>
  <c r="Y42" i="4"/>
  <c r="Y41" i="4" s="1"/>
  <c r="Y40" i="4" s="1"/>
  <c r="Y34" i="4"/>
  <c r="Y33" i="4"/>
  <c r="Y27" i="4"/>
  <c r="Y26" i="4" s="1"/>
  <c r="AF26" i="4" s="1"/>
  <c r="Y22" i="4"/>
  <c r="Y19" i="4"/>
  <c r="Y16" i="4"/>
  <c r="Y13" i="4"/>
  <c r="Y12" i="4" s="1"/>
  <c r="AF12" i="4" s="1"/>
  <c r="Q53" i="4"/>
  <c r="Q52" i="4" s="1"/>
  <c r="Q48" i="4"/>
  <c r="Q45" i="4"/>
  <c r="Q42" i="4"/>
  <c r="Q34" i="4"/>
  <c r="Q33" i="4"/>
  <c r="Q27" i="4"/>
  <c r="Q26" i="4" s="1"/>
  <c r="Q22" i="4"/>
  <c r="Q19" i="4"/>
  <c r="Q16" i="4"/>
  <c r="Q13" i="4"/>
  <c r="Z118" i="5"/>
  <c r="AA118" i="5"/>
  <c r="AB118" i="5"/>
  <c r="AC118" i="5"/>
  <c r="AF118" i="5" s="1"/>
  <c r="Y118" i="5"/>
  <c r="R118" i="5"/>
  <c r="S118" i="5"/>
  <c r="T118" i="5"/>
  <c r="U118" i="5"/>
  <c r="Q118" i="5"/>
  <c r="J118" i="5"/>
  <c r="K118" i="5"/>
  <c r="P118" i="5" s="1"/>
  <c r="L118" i="5"/>
  <c r="M118" i="5"/>
  <c r="I118" i="5"/>
  <c r="Y100" i="5"/>
  <c r="Y99" i="5" s="1"/>
  <c r="Y87" i="5" s="1"/>
  <c r="Y95" i="5"/>
  <c r="Y92" i="5"/>
  <c r="Y89" i="5"/>
  <c r="Y88" i="5" s="1"/>
  <c r="Q100" i="5"/>
  <c r="Q99" i="5" s="1"/>
  <c r="Q95" i="5"/>
  <c r="Q92" i="5"/>
  <c r="Q89" i="5"/>
  <c r="Q88" i="5" s="1"/>
  <c r="Z70" i="5"/>
  <c r="Z65" i="5" s="1"/>
  <c r="AA70" i="5"/>
  <c r="AB70" i="5"/>
  <c r="AC70" i="5"/>
  <c r="Y70" i="5"/>
  <c r="R70" i="5"/>
  <c r="S70" i="5"/>
  <c r="T70" i="5"/>
  <c r="U70" i="5"/>
  <c r="Q70" i="5"/>
  <c r="J70" i="5"/>
  <c r="K70" i="5"/>
  <c r="L70" i="5"/>
  <c r="L65" i="5" s="1"/>
  <c r="M70" i="5"/>
  <c r="I70" i="5"/>
  <c r="Y49" i="5"/>
  <c r="Y48" i="5"/>
  <c r="AF48" i="5" s="1"/>
  <c r="Y42" i="5"/>
  <c r="Y41" i="5" s="1"/>
  <c r="Y37" i="5"/>
  <c r="Y34" i="5"/>
  <c r="Y31" i="5"/>
  <c r="Y28" i="5"/>
  <c r="Y27" i="5" s="1"/>
  <c r="Q49" i="5"/>
  <c r="Q48" i="5" s="1"/>
  <c r="Q42" i="5"/>
  <c r="Q41" i="5"/>
  <c r="Q37" i="5"/>
  <c r="Q34" i="5"/>
  <c r="Q31" i="5"/>
  <c r="Q28" i="5"/>
  <c r="Q27" i="5" s="1"/>
  <c r="Q26" i="5" s="1"/>
  <c r="Y49" i="2"/>
  <c r="Y48" i="2"/>
  <c r="Q49" i="2"/>
  <c r="Q48" i="2" s="1"/>
  <c r="Z118" i="2"/>
  <c r="AA118" i="2"/>
  <c r="AB118" i="2"/>
  <c r="AC118" i="2"/>
  <c r="Y118" i="2"/>
  <c r="R118" i="2"/>
  <c r="S118" i="2"/>
  <c r="T118" i="2"/>
  <c r="U118" i="2"/>
  <c r="Q118" i="2"/>
  <c r="J118" i="2"/>
  <c r="K118" i="2"/>
  <c r="L118" i="2"/>
  <c r="M118" i="2"/>
  <c r="I118" i="2"/>
  <c r="Y100" i="2"/>
  <c r="Y99" i="2" s="1"/>
  <c r="Y95" i="2"/>
  <c r="Y92" i="2"/>
  <c r="Y89" i="2"/>
  <c r="Y88" i="2" s="1"/>
  <c r="Q100" i="2"/>
  <c r="Q99" i="2" s="1"/>
  <c r="Q95" i="2"/>
  <c r="Q92" i="2"/>
  <c r="Q89" i="2"/>
  <c r="Q88" i="2" s="1"/>
  <c r="Z70" i="2"/>
  <c r="AA70" i="2"/>
  <c r="AB70" i="2"/>
  <c r="AC70" i="2"/>
  <c r="Y70" i="2"/>
  <c r="R70" i="2"/>
  <c r="S70" i="2"/>
  <c r="T70" i="2"/>
  <c r="U70" i="2"/>
  <c r="Q70" i="2"/>
  <c r="J70" i="2"/>
  <c r="K70" i="2"/>
  <c r="L70" i="2"/>
  <c r="M70" i="2"/>
  <c r="I70" i="2"/>
  <c r="Y42" i="2"/>
  <c r="Y41" i="2" s="1"/>
  <c r="Y37" i="2"/>
  <c r="Y34" i="2"/>
  <c r="Y31" i="2"/>
  <c r="Y28" i="2"/>
  <c r="Q42" i="2"/>
  <c r="Q41" i="2" s="1"/>
  <c r="Q37" i="2"/>
  <c r="Q34" i="2"/>
  <c r="Q31" i="2"/>
  <c r="Q28" i="2"/>
  <c r="Q27" i="2" s="1"/>
  <c r="T19" i="1"/>
  <c r="T18" i="1" s="1"/>
  <c r="T22" i="1"/>
  <c r="U19" i="1"/>
  <c r="U22" i="1"/>
  <c r="U18" i="1" s="1"/>
  <c r="P26" i="9"/>
  <c r="P27" i="9"/>
  <c r="P28" i="9"/>
  <c r="P29" i="9"/>
  <c r="P30" i="9"/>
  <c r="AA13" i="8"/>
  <c r="AA14" i="8"/>
  <c r="AF14" i="8" s="1"/>
  <c r="AA16" i="8"/>
  <c r="AA17" i="8"/>
  <c r="AA19" i="8"/>
  <c r="AF19" i="8" s="1"/>
  <c r="AA20" i="8"/>
  <c r="AA23" i="8"/>
  <c r="AA24" i="8"/>
  <c r="AF24" i="8" s="1"/>
  <c r="AA26" i="8"/>
  <c r="AA27" i="8"/>
  <c r="AA29" i="8"/>
  <c r="AF29" i="8"/>
  <c r="AA30" i="8"/>
  <c r="AA33" i="8"/>
  <c r="AA34" i="8"/>
  <c r="AA36" i="8"/>
  <c r="AA37" i="8"/>
  <c r="AA39" i="8"/>
  <c r="AA40" i="8"/>
  <c r="AA42" i="8"/>
  <c r="AF42" i="8" s="1"/>
  <c r="AA43" i="8"/>
  <c r="AA44" i="8"/>
  <c r="AF44" i="8" s="1"/>
  <c r="Z13" i="8"/>
  <c r="Z14" i="8"/>
  <c r="Z16" i="8"/>
  <c r="Z17" i="8"/>
  <c r="Z19" i="8"/>
  <c r="Z20" i="8"/>
  <c r="Z23" i="8"/>
  <c r="Z24" i="8"/>
  <c r="Z26" i="8"/>
  <c r="Z27" i="8"/>
  <c r="Z29" i="8"/>
  <c r="Z30" i="8"/>
  <c r="Z33" i="8"/>
  <c r="Z34" i="8"/>
  <c r="Z36" i="8"/>
  <c r="Z37" i="8"/>
  <c r="Z39" i="8"/>
  <c r="Z40" i="8"/>
  <c r="Z42" i="8"/>
  <c r="Z43" i="8"/>
  <c r="Z44" i="8"/>
  <c r="Y13" i="8"/>
  <c r="Y14" i="8"/>
  <c r="Y16" i="8"/>
  <c r="AF16" i="8" s="1"/>
  <c r="Y17" i="8"/>
  <c r="Y19" i="8"/>
  <c r="Y20" i="8"/>
  <c r="Y23" i="8"/>
  <c r="AF23" i="8" s="1"/>
  <c r="Y24" i="8"/>
  <c r="Y26" i="8"/>
  <c r="AF26" i="8" s="1"/>
  <c r="Y27" i="8"/>
  <c r="AF27" i="8" s="1"/>
  <c r="Y29" i="8"/>
  <c r="Y30" i="8"/>
  <c r="Y33" i="8"/>
  <c r="Y34" i="8"/>
  <c r="AF34" i="8" s="1"/>
  <c r="Y36" i="8"/>
  <c r="AF36" i="8" s="1"/>
  <c r="Y37" i="8"/>
  <c r="Y39" i="8"/>
  <c r="Y40" i="8"/>
  <c r="Z11" i="1"/>
  <c r="AA11" i="1"/>
  <c r="Y11" i="1"/>
  <c r="AC11" i="1"/>
  <c r="AB12" i="1"/>
  <c r="AC12" i="1"/>
  <c r="AB13" i="1"/>
  <c r="AC13" i="1"/>
  <c r="Z14" i="1"/>
  <c r="AA14" i="1"/>
  <c r="AB15" i="1"/>
  <c r="AC15" i="1"/>
  <c r="Z16" i="1"/>
  <c r="AA16" i="1"/>
  <c r="AB17" i="1"/>
  <c r="AC17" i="1"/>
  <c r="Z19" i="1"/>
  <c r="Z18" i="1" s="1"/>
  <c r="Z22" i="1"/>
  <c r="AA19" i="1"/>
  <c r="AA18" i="1" s="1"/>
  <c r="AA22" i="1"/>
  <c r="AB20" i="1"/>
  <c r="AC20" i="1"/>
  <c r="AB21" i="1"/>
  <c r="AC21" i="1"/>
  <c r="AB23" i="1"/>
  <c r="AC23" i="1"/>
  <c r="AB24" i="1"/>
  <c r="AC24" i="1"/>
  <c r="Z10" i="1"/>
  <c r="AA10" i="1"/>
  <c r="T11" i="1"/>
  <c r="R11" i="1"/>
  <c r="V11" i="1" s="1"/>
  <c r="U11" i="1"/>
  <c r="U10" i="1" s="1"/>
  <c r="U25" i="1" s="1"/>
  <c r="V12" i="1"/>
  <c r="W12" i="1"/>
  <c r="V13" i="1"/>
  <c r="W13" i="1"/>
  <c r="T14" i="1"/>
  <c r="U14" i="1"/>
  <c r="V15" i="1"/>
  <c r="W15" i="1"/>
  <c r="T16" i="1"/>
  <c r="U16" i="1"/>
  <c r="V17" i="1"/>
  <c r="W17" i="1"/>
  <c r="V20" i="1"/>
  <c r="W20" i="1"/>
  <c r="V21" i="1"/>
  <c r="W21" i="1"/>
  <c r="V23" i="1"/>
  <c r="W23" i="1"/>
  <c r="V24" i="1"/>
  <c r="W24" i="1"/>
  <c r="N11" i="1"/>
  <c r="L11" i="1"/>
  <c r="P11" i="1" s="1"/>
  <c r="O11" i="1"/>
  <c r="P12" i="1"/>
  <c r="Q12" i="1"/>
  <c r="P13" i="1"/>
  <c r="Q13" i="1"/>
  <c r="N14" i="1"/>
  <c r="N10" i="1" s="1"/>
  <c r="N25" i="1" s="1"/>
  <c r="O14" i="1"/>
  <c r="P15" i="1"/>
  <c r="Q15" i="1"/>
  <c r="N16" i="1"/>
  <c r="O16" i="1"/>
  <c r="P17" i="1"/>
  <c r="Q17" i="1"/>
  <c r="N19" i="1"/>
  <c r="N22" i="1"/>
  <c r="N18" i="1"/>
  <c r="O19" i="1"/>
  <c r="O18" i="1" s="1"/>
  <c r="O22" i="1"/>
  <c r="P20" i="1"/>
  <c r="Q20" i="1"/>
  <c r="P21" i="1"/>
  <c r="Q21" i="1"/>
  <c r="P23" i="1"/>
  <c r="Q23" i="1"/>
  <c r="P24" i="1"/>
  <c r="Q24" i="1"/>
  <c r="J11" i="1"/>
  <c r="I11" i="1"/>
  <c r="K11" i="1"/>
  <c r="K12" i="1"/>
  <c r="AD12" i="1" s="1"/>
  <c r="K13" i="1"/>
  <c r="J14" i="1"/>
  <c r="K15" i="1"/>
  <c r="J16" i="1"/>
  <c r="J10" i="1"/>
  <c r="J25" i="1" s="1"/>
  <c r="K17" i="1"/>
  <c r="J19" i="1"/>
  <c r="J18" i="1"/>
  <c r="J22" i="1"/>
  <c r="K20" i="1"/>
  <c r="K21" i="1"/>
  <c r="K23" i="1"/>
  <c r="K24" i="1"/>
  <c r="O13" i="10"/>
  <c r="O12" i="10" s="1"/>
  <c r="O11" i="10" s="1"/>
  <c r="O16" i="10"/>
  <c r="O19" i="10"/>
  <c r="O24" i="10"/>
  <c r="O27" i="10"/>
  <c r="O30" i="10"/>
  <c r="O35" i="10"/>
  <c r="O34" i="10" s="1"/>
  <c r="O33" i="10" s="1"/>
  <c r="O38" i="10"/>
  <c r="O41" i="10"/>
  <c r="W13" i="10"/>
  <c r="W16" i="10"/>
  <c r="W12" i="10" s="1"/>
  <c r="W11" i="10" s="1"/>
  <c r="W19" i="10"/>
  <c r="W24" i="10"/>
  <c r="W23" i="10" s="1"/>
  <c r="W22" i="10" s="1"/>
  <c r="W27" i="10"/>
  <c r="W30" i="10"/>
  <c r="W35" i="10"/>
  <c r="W38" i="10"/>
  <c r="W34" i="10" s="1"/>
  <c r="W33" i="10" s="1"/>
  <c r="W41" i="10"/>
  <c r="W47" i="10"/>
  <c r="W50" i="10"/>
  <c r="W53" i="10"/>
  <c r="W58" i="10"/>
  <c r="W61" i="10"/>
  <c r="W57" i="10"/>
  <c r="W56" i="10" s="1"/>
  <c r="W64" i="10"/>
  <c r="W69" i="10"/>
  <c r="W72" i="10"/>
  <c r="W68" i="10" s="1"/>
  <c r="W67" i="10" s="1"/>
  <c r="W75" i="10"/>
  <c r="V13" i="10"/>
  <c r="V12" i="10" s="1"/>
  <c r="V11" i="10" s="1"/>
  <c r="V16" i="10"/>
  <c r="V19" i="10"/>
  <c r="V24" i="10"/>
  <c r="V27" i="10"/>
  <c r="V30" i="10"/>
  <c r="V35" i="10"/>
  <c r="V38" i="10"/>
  <c r="V34" i="10"/>
  <c r="V33" i="10" s="1"/>
  <c r="V41" i="10"/>
  <c r="V47" i="10"/>
  <c r="V50" i="10"/>
  <c r="V46" i="10" s="1"/>
  <c r="V45" i="10" s="1"/>
  <c r="V53" i="10"/>
  <c r="V58" i="10"/>
  <c r="V57" i="10" s="1"/>
  <c r="V61" i="10"/>
  <c r="V64" i="10"/>
  <c r="V56" i="10"/>
  <c r="V69" i="10"/>
  <c r="V72" i="10"/>
  <c r="V75" i="10"/>
  <c r="U13" i="10"/>
  <c r="U16" i="10"/>
  <c r="U12" i="10" s="1"/>
  <c r="U11" i="10" s="1"/>
  <c r="U19" i="10"/>
  <c r="U24" i="10"/>
  <c r="U23" i="10" s="1"/>
  <c r="U22" i="10" s="1"/>
  <c r="U27" i="10"/>
  <c r="U30" i="10"/>
  <c r="U35" i="10"/>
  <c r="U38" i="10"/>
  <c r="U41" i="10"/>
  <c r="U47" i="10"/>
  <c r="U46" i="10" s="1"/>
  <c r="U45" i="10"/>
  <c r="U50" i="10"/>
  <c r="U53" i="10"/>
  <c r="U58" i="10"/>
  <c r="U61" i="10"/>
  <c r="U57" i="10" s="1"/>
  <c r="U56" i="10" s="1"/>
  <c r="U64" i="10"/>
  <c r="U69" i="10"/>
  <c r="U68" i="10" s="1"/>
  <c r="U67" i="10" s="1"/>
  <c r="U72" i="10"/>
  <c r="U75" i="10"/>
  <c r="T13" i="10"/>
  <c r="T12" i="10" s="1"/>
  <c r="T16" i="10"/>
  <c r="T19" i="10"/>
  <c r="T24" i="10"/>
  <c r="T23" i="10" s="1"/>
  <c r="T27" i="10"/>
  <c r="T30" i="10"/>
  <c r="T35" i="10"/>
  <c r="T34" i="10" s="1"/>
  <c r="T38" i="10"/>
  <c r="T33" i="10"/>
  <c r="T41" i="10"/>
  <c r="T47" i="10"/>
  <c r="T50" i="10"/>
  <c r="T46" i="10"/>
  <c r="T45" i="10" s="1"/>
  <c r="T53" i="10"/>
  <c r="T58" i="10"/>
  <c r="T57" i="10"/>
  <c r="T56" i="10" s="1"/>
  <c r="T61" i="10"/>
  <c r="T64" i="10"/>
  <c r="T69" i="10"/>
  <c r="T68" i="10" s="1"/>
  <c r="T72" i="10"/>
  <c r="T75" i="10"/>
  <c r="S13" i="10"/>
  <c r="S12" i="10" s="1"/>
  <c r="S11" i="10" s="1"/>
  <c r="S16" i="10"/>
  <c r="S19" i="10"/>
  <c r="S24" i="10"/>
  <c r="S27" i="10"/>
  <c r="S23" i="10"/>
  <c r="S22" i="10" s="1"/>
  <c r="S30" i="10"/>
  <c r="S35" i="10"/>
  <c r="S34" i="10"/>
  <c r="S33" i="10" s="1"/>
  <c r="S38" i="10"/>
  <c r="S41" i="10"/>
  <c r="S47" i="10"/>
  <c r="S46" i="10" s="1"/>
  <c r="S50" i="10"/>
  <c r="S53" i="10"/>
  <c r="S58" i="10"/>
  <c r="S57" i="10" s="1"/>
  <c r="S56" i="10" s="1"/>
  <c r="S61" i="10"/>
  <c r="S64" i="10"/>
  <c r="S69" i="10"/>
  <c r="S68" i="10" s="1"/>
  <c r="S72" i="10"/>
  <c r="S67" i="10"/>
  <c r="S75" i="10"/>
  <c r="Q13" i="10"/>
  <c r="Q12" i="10" s="1"/>
  <c r="Q11" i="10"/>
  <c r="Q16" i="10"/>
  <c r="Q19" i="10"/>
  <c r="Q24" i="10"/>
  <c r="Q23" i="10"/>
  <c r="Q22" i="10" s="1"/>
  <c r="Q27" i="10"/>
  <c r="Q30" i="10"/>
  <c r="Q35" i="10"/>
  <c r="Q34" i="10" s="1"/>
  <c r="Q38" i="10"/>
  <c r="Q41" i="10"/>
  <c r="P13" i="10"/>
  <c r="P12" i="10" s="1"/>
  <c r="P16" i="10"/>
  <c r="P11" i="10"/>
  <c r="P19" i="10"/>
  <c r="P24" i="10"/>
  <c r="P27" i="10"/>
  <c r="P30" i="10"/>
  <c r="P35" i="10"/>
  <c r="P34" i="10" s="1"/>
  <c r="P33" i="10" s="1"/>
  <c r="P38" i="10"/>
  <c r="P41" i="10"/>
  <c r="N13" i="10"/>
  <c r="N16" i="10"/>
  <c r="N12" i="10" s="1"/>
  <c r="N11" i="10" s="1"/>
  <c r="N19" i="10"/>
  <c r="N24" i="10"/>
  <c r="N23" i="10" s="1"/>
  <c r="N22" i="10" s="1"/>
  <c r="N27" i="10"/>
  <c r="N30" i="10"/>
  <c r="N35" i="10"/>
  <c r="N34" i="10" s="1"/>
  <c r="N38" i="10"/>
  <c r="N41" i="10"/>
  <c r="N47" i="10"/>
  <c r="N46" i="10" s="1"/>
  <c r="N50" i="10"/>
  <c r="N45" i="10"/>
  <c r="N53" i="10"/>
  <c r="N58" i="10"/>
  <c r="N61" i="10"/>
  <c r="N57" i="10"/>
  <c r="N56" i="10" s="1"/>
  <c r="N64" i="10"/>
  <c r="N69" i="10"/>
  <c r="N72" i="10"/>
  <c r="N68" i="10" s="1"/>
  <c r="N67" i="10" s="1"/>
  <c r="N75" i="10"/>
  <c r="X51" i="9"/>
  <c r="X50" i="9"/>
  <c r="X49" i="9"/>
  <c r="X48" i="9"/>
  <c r="X47" i="9"/>
  <c r="X44" i="9"/>
  <c r="X43" i="9"/>
  <c r="X42" i="9"/>
  <c r="X41" i="9"/>
  <c r="X40" i="9"/>
  <c r="X37" i="9"/>
  <c r="X36" i="9"/>
  <c r="X35" i="9"/>
  <c r="X34" i="9"/>
  <c r="X30" i="9"/>
  <c r="X29" i="9"/>
  <c r="X28" i="9"/>
  <c r="X27" i="9"/>
  <c r="X26" i="9"/>
  <c r="X23" i="9"/>
  <c r="X22" i="9"/>
  <c r="X21" i="9"/>
  <c r="X20" i="9"/>
  <c r="X19" i="9"/>
  <c r="X15" i="9"/>
  <c r="X14" i="9"/>
  <c r="X13" i="9"/>
  <c r="X12" i="9"/>
  <c r="X11" i="9"/>
  <c r="P51" i="9"/>
  <c r="P50" i="9"/>
  <c r="P49" i="9"/>
  <c r="P48" i="9"/>
  <c r="P47" i="9"/>
  <c r="P44" i="9"/>
  <c r="P43" i="9"/>
  <c r="P42" i="9"/>
  <c r="P41" i="9"/>
  <c r="P40" i="9"/>
  <c r="P37" i="9"/>
  <c r="P36" i="9"/>
  <c r="P35" i="9"/>
  <c r="P34" i="9"/>
  <c r="P23" i="9"/>
  <c r="P22" i="9"/>
  <c r="P21" i="9"/>
  <c r="P20" i="9"/>
  <c r="P19" i="9"/>
  <c r="P11" i="9"/>
  <c r="P12" i="9"/>
  <c r="P13" i="9"/>
  <c r="P14" i="9"/>
  <c r="P15" i="9"/>
  <c r="Q18" i="9"/>
  <c r="Q10" i="9" s="1"/>
  <c r="Q25" i="9"/>
  <c r="X25" i="9" s="1"/>
  <c r="S18" i="9"/>
  <c r="S10" i="9" s="1"/>
  <c r="S25" i="9"/>
  <c r="S33" i="9"/>
  <c r="X33" i="9"/>
  <c r="S39" i="9"/>
  <c r="X39" i="9" s="1"/>
  <c r="S46" i="9"/>
  <c r="X46" i="9"/>
  <c r="R18" i="9"/>
  <c r="R25" i="9"/>
  <c r="R33" i="9"/>
  <c r="R32" i="9" s="1"/>
  <c r="R39" i="9"/>
  <c r="R46" i="9"/>
  <c r="K33" i="9"/>
  <c r="K39" i="9"/>
  <c r="P39" i="9" s="1"/>
  <c r="K46" i="9"/>
  <c r="P46" i="9"/>
  <c r="J18" i="9"/>
  <c r="J10" i="9" s="1"/>
  <c r="J25" i="9"/>
  <c r="K18" i="9"/>
  <c r="K10" i="9" s="1"/>
  <c r="K25" i="9"/>
  <c r="J46" i="9"/>
  <c r="J39" i="9"/>
  <c r="J33" i="9"/>
  <c r="I25" i="9"/>
  <c r="P25" i="9" s="1"/>
  <c r="I18" i="9"/>
  <c r="P18" i="9" s="1"/>
  <c r="AF43" i="8"/>
  <c r="AF40" i="8"/>
  <c r="AF39" i="8"/>
  <c r="AF37" i="8"/>
  <c r="AF33" i="8"/>
  <c r="AF30" i="8"/>
  <c r="AF20" i="8"/>
  <c r="AF17" i="8"/>
  <c r="AF13" i="8"/>
  <c r="X44" i="8"/>
  <c r="X43" i="8"/>
  <c r="X42" i="8"/>
  <c r="X40" i="8"/>
  <c r="X39" i="8"/>
  <c r="X37" i="8"/>
  <c r="X36" i="8"/>
  <c r="X34" i="8"/>
  <c r="X33" i="8"/>
  <c r="X30" i="8"/>
  <c r="X29" i="8"/>
  <c r="X27" i="8"/>
  <c r="X26" i="8"/>
  <c r="X24" i="8"/>
  <c r="X23" i="8"/>
  <c r="X20" i="8"/>
  <c r="X19" i="8"/>
  <c r="X17" i="8"/>
  <c r="X16" i="8"/>
  <c r="X14" i="8"/>
  <c r="X13" i="8"/>
  <c r="P13" i="8"/>
  <c r="P14" i="8"/>
  <c r="P16" i="8"/>
  <c r="P17" i="8"/>
  <c r="P19" i="8"/>
  <c r="P20" i="8"/>
  <c r="P23" i="8"/>
  <c r="P24" i="8"/>
  <c r="P26" i="8"/>
  <c r="P27" i="8"/>
  <c r="P29" i="8"/>
  <c r="P30" i="8"/>
  <c r="P33" i="8"/>
  <c r="P34" i="8"/>
  <c r="P36" i="8"/>
  <c r="P37" i="8"/>
  <c r="P39" i="8"/>
  <c r="P40" i="8"/>
  <c r="P42" i="8"/>
  <c r="P43" i="8"/>
  <c r="P44" i="8"/>
  <c r="Q12" i="8"/>
  <c r="X12" i="8"/>
  <c r="Q15" i="8"/>
  <c r="X15" i="8" s="1"/>
  <c r="Q18" i="8"/>
  <c r="X18" i="8"/>
  <c r="Q11" i="8"/>
  <c r="X11" i="8" s="1"/>
  <c r="Q22" i="8"/>
  <c r="X22" i="8"/>
  <c r="Q25" i="8"/>
  <c r="X25" i="8" s="1"/>
  <c r="Q28" i="8"/>
  <c r="X28" i="8"/>
  <c r="Q21" i="8"/>
  <c r="Q32" i="8"/>
  <c r="Q35" i="8"/>
  <c r="Q38" i="8"/>
  <c r="S12" i="8"/>
  <c r="S15" i="8"/>
  <c r="S18" i="8"/>
  <c r="S11" i="8" s="1"/>
  <c r="S22" i="8"/>
  <c r="S25" i="8"/>
  <c r="S28" i="8"/>
  <c r="S21" i="8"/>
  <c r="AA21" i="8" s="1"/>
  <c r="S32" i="8"/>
  <c r="X32" i="8" s="1"/>
  <c r="S35" i="8"/>
  <c r="S38" i="8"/>
  <c r="X38" i="8" s="1"/>
  <c r="S41" i="8"/>
  <c r="X41" i="8"/>
  <c r="R12" i="8"/>
  <c r="R11" i="8" s="1"/>
  <c r="R15" i="8"/>
  <c r="R18" i="8"/>
  <c r="R22" i="8"/>
  <c r="R25" i="8"/>
  <c r="R28" i="8"/>
  <c r="R32" i="8"/>
  <c r="R35" i="8"/>
  <c r="R38" i="8"/>
  <c r="Z38" i="8" s="1"/>
  <c r="R41" i="8"/>
  <c r="K41" i="8"/>
  <c r="AA41" i="8"/>
  <c r="AF41" i="8"/>
  <c r="K38" i="8"/>
  <c r="AA38" i="8" s="1"/>
  <c r="J38" i="8"/>
  <c r="K35" i="8"/>
  <c r="AA35" i="8" s="1"/>
  <c r="J35" i="8"/>
  <c r="Z35" i="8"/>
  <c r="K32" i="8"/>
  <c r="AA32" i="8" s="1"/>
  <c r="J32" i="8"/>
  <c r="Z32" i="8"/>
  <c r="K31" i="8"/>
  <c r="K28" i="8"/>
  <c r="AA28" i="8"/>
  <c r="J28" i="8"/>
  <c r="Z28" i="8" s="1"/>
  <c r="K25" i="8"/>
  <c r="AA25" i="8"/>
  <c r="J25" i="8"/>
  <c r="Z25" i="8" s="1"/>
  <c r="K22" i="8"/>
  <c r="AA22" i="8"/>
  <c r="J22" i="8"/>
  <c r="Z22" i="8" s="1"/>
  <c r="K21" i="8"/>
  <c r="K18" i="8"/>
  <c r="AA18" i="8"/>
  <c r="J18" i="8"/>
  <c r="Z18" i="8" s="1"/>
  <c r="K15" i="8"/>
  <c r="AA15" i="8"/>
  <c r="J15" i="8"/>
  <c r="Z15" i="8" s="1"/>
  <c r="K12" i="8"/>
  <c r="AA12" i="8"/>
  <c r="J12" i="8"/>
  <c r="Z12" i="8" s="1"/>
  <c r="K11" i="8"/>
  <c r="J41" i="8"/>
  <c r="Z41" i="8" s="1"/>
  <c r="I38" i="8"/>
  <c r="P38" i="8"/>
  <c r="I35" i="8"/>
  <c r="I32" i="8"/>
  <c r="P32" i="8"/>
  <c r="I28" i="8"/>
  <c r="P28" i="8" s="1"/>
  <c r="I25" i="8"/>
  <c r="Y25" i="8"/>
  <c r="AF25" i="8"/>
  <c r="I22" i="8"/>
  <c r="P22" i="8" s="1"/>
  <c r="I18" i="8"/>
  <c r="P18" i="8"/>
  <c r="I15" i="8"/>
  <c r="Y15" i="8" s="1"/>
  <c r="I12" i="8"/>
  <c r="P12" i="8"/>
  <c r="L81" i="6"/>
  <c r="M81" i="6"/>
  <c r="M76" i="6"/>
  <c r="M97" i="6" s="1"/>
  <c r="N81" i="6"/>
  <c r="O81" i="6"/>
  <c r="P81" i="6"/>
  <c r="K77" i="6"/>
  <c r="K76" i="6" s="1"/>
  <c r="L77" i="6"/>
  <c r="L76" i="6" s="1"/>
  <c r="M77" i="6"/>
  <c r="N77" i="6"/>
  <c r="N76" i="6" s="1"/>
  <c r="O77" i="6"/>
  <c r="L59" i="6"/>
  <c r="M59" i="6"/>
  <c r="M54" i="6" s="1"/>
  <c r="N59" i="6"/>
  <c r="O59" i="6"/>
  <c r="J55" i="6"/>
  <c r="J54" i="6" s="1"/>
  <c r="K55" i="6"/>
  <c r="K54" i="6"/>
  <c r="K97" i="6"/>
  <c r="L55" i="6"/>
  <c r="M55" i="6"/>
  <c r="N55" i="6"/>
  <c r="N54" i="6" s="1"/>
  <c r="N97" i="6" s="1"/>
  <c r="O55" i="6"/>
  <c r="O54" i="6" s="1"/>
  <c r="K30" i="6"/>
  <c r="K28" i="6" s="1"/>
  <c r="K37" i="6"/>
  <c r="L30" i="6"/>
  <c r="L37" i="6"/>
  <c r="M30" i="6"/>
  <c r="M37" i="6"/>
  <c r="N30" i="6"/>
  <c r="N28" i="6" s="1"/>
  <c r="N37" i="6"/>
  <c r="O30" i="6"/>
  <c r="O28" i="6" s="1"/>
  <c r="O37" i="6"/>
  <c r="J13" i="6"/>
  <c r="J20" i="6"/>
  <c r="K13" i="6"/>
  <c r="K10" i="6" s="1"/>
  <c r="K50" i="6" s="1"/>
  <c r="K52" i="6" s="1"/>
  <c r="K20" i="6"/>
  <c r="L13" i="6"/>
  <c r="L20" i="6"/>
  <c r="L10" i="6" s="1"/>
  <c r="M13" i="6"/>
  <c r="M20" i="6"/>
  <c r="M10" i="6"/>
  <c r="N13" i="6"/>
  <c r="N20" i="6"/>
  <c r="N10" i="6"/>
  <c r="O13" i="6"/>
  <c r="O20" i="6"/>
  <c r="P11" i="6"/>
  <c r="P12" i="6"/>
  <c r="P14" i="6"/>
  <c r="P15" i="6"/>
  <c r="P16" i="6"/>
  <c r="P17" i="6"/>
  <c r="P18" i="6"/>
  <c r="P19" i="6"/>
  <c r="P21" i="6"/>
  <c r="P22" i="6"/>
  <c r="P23" i="6"/>
  <c r="P24" i="6"/>
  <c r="P25" i="6"/>
  <c r="P26" i="6"/>
  <c r="P27" i="6"/>
  <c r="P29" i="6"/>
  <c r="P31" i="6"/>
  <c r="P32" i="6"/>
  <c r="P33" i="6"/>
  <c r="P34" i="6"/>
  <c r="P35" i="6"/>
  <c r="P36" i="6"/>
  <c r="P38" i="6"/>
  <c r="P39" i="6"/>
  <c r="P40" i="6"/>
  <c r="P41" i="6"/>
  <c r="P42" i="6"/>
  <c r="P43" i="6"/>
  <c r="P44" i="6"/>
  <c r="P51" i="6"/>
  <c r="P56" i="6"/>
  <c r="P57" i="6"/>
  <c r="P58" i="6"/>
  <c r="P60" i="6"/>
  <c r="P61" i="6"/>
  <c r="P62" i="6"/>
  <c r="P63" i="6"/>
  <c r="P64" i="6"/>
  <c r="P65" i="6"/>
  <c r="P66" i="6"/>
  <c r="P67" i="6"/>
  <c r="P68" i="6"/>
  <c r="P70" i="6"/>
  <c r="P71" i="6"/>
  <c r="P72" i="6"/>
  <c r="P73" i="6"/>
  <c r="P74" i="6"/>
  <c r="P75" i="6"/>
  <c r="P78" i="6"/>
  <c r="P79" i="6"/>
  <c r="P80" i="6"/>
  <c r="P82" i="6"/>
  <c r="P83" i="6"/>
  <c r="P84" i="6"/>
  <c r="P85" i="6"/>
  <c r="P86" i="6"/>
  <c r="P88" i="6"/>
  <c r="P89" i="6"/>
  <c r="P91" i="6"/>
  <c r="P92" i="6"/>
  <c r="P93" i="6"/>
  <c r="P94" i="6"/>
  <c r="P95" i="6"/>
  <c r="P96" i="6"/>
  <c r="J77" i="6"/>
  <c r="J76" i="6"/>
  <c r="I59" i="6"/>
  <c r="I55" i="6"/>
  <c r="J37" i="6"/>
  <c r="J30" i="6"/>
  <c r="I20" i="6"/>
  <c r="P20" i="6" s="1"/>
  <c r="I13" i="6"/>
  <c r="Y32" i="7"/>
  <c r="Y35" i="7"/>
  <c r="Y40" i="7"/>
  <c r="Y43" i="7"/>
  <c r="AA32" i="7"/>
  <c r="AA35" i="7"/>
  <c r="AA34" i="7" s="1"/>
  <c r="AA40" i="7"/>
  <c r="AA43" i="7"/>
  <c r="AF43" i="7" s="1"/>
  <c r="AC32" i="7"/>
  <c r="AC35" i="7"/>
  <c r="AC34" i="7"/>
  <c r="AC40" i="7"/>
  <c r="AC43" i="7"/>
  <c r="AE32" i="7"/>
  <c r="AE46" i="7" s="1"/>
  <c r="AE35" i="7"/>
  <c r="AE34" i="7"/>
  <c r="AE40" i="7"/>
  <c r="AE43" i="7"/>
  <c r="AD32" i="7"/>
  <c r="AD35" i="7"/>
  <c r="AD34" i="7"/>
  <c r="AD40" i="7"/>
  <c r="AD43" i="7"/>
  <c r="AB32" i="7"/>
  <c r="AB35" i="7"/>
  <c r="AB34" i="7" s="1"/>
  <c r="AB46" i="7" s="1"/>
  <c r="AB40" i="7"/>
  <c r="AB43" i="7"/>
  <c r="Z32" i="7"/>
  <c r="Z35" i="7"/>
  <c r="Z34" i="7"/>
  <c r="Z40" i="7"/>
  <c r="Z43" i="7"/>
  <c r="Q32" i="7"/>
  <c r="Q35" i="7"/>
  <c r="Q34" i="7"/>
  <c r="Q40" i="7"/>
  <c r="Q43" i="7"/>
  <c r="S32" i="7"/>
  <c r="S35" i="7"/>
  <c r="S40" i="7"/>
  <c r="S43" i="7"/>
  <c r="U32" i="7"/>
  <c r="U35" i="7"/>
  <c r="U34" i="7" s="1"/>
  <c r="U40" i="7"/>
  <c r="U43" i="7"/>
  <c r="W32" i="7"/>
  <c r="W35" i="7"/>
  <c r="W34" i="7"/>
  <c r="W40" i="7"/>
  <c r="W43" i="7"/>
  <c r="V32" i="7"/>
  <c r="V35" i="7"/>
  <c r="V34" i="7" s="1"/>
  <c r="V40" i="7"/>
  <c r="V43" i="7"/>
  <c r="T32" i="7"/>
  <c r="T35" i="7"/>
  <c r="T34" i="7" s="1"/>
  <c r="T40" i="7"/>
  <c r="T43" i="7"/>
  <c r="R32" i="7"/>
  <c r="R35" i="7"/>
  <c r="R34" i="7"/>
  <c r="R40" i="7"/>
  <c r="R43" i="7"/>
  <c r="K32" i="7"/>
  <c r="K35" i="7"/>
  <c r="K34" i="7" s="1"/>
  <c r="K46" i="7" s="1"/>
  <c r="K40" i="7"/>
  <c r="K43" i="7"/>
  <c r="M32" i="7"/>
  <c r="M35" i="7"/>
  <c r="M34" i="7" s="1"/>
  <c r="M40" i="7"/>
  <c r="M43" i="7"/>
  <c r="O32" i="7"/>
  <c r="O35" i="7"/>
  <c r="O40" i="7"/>
  <c r="O43" i="7"/>
  <c r="N32" i="7"/>
  <c r="N35" i="7"/>
  <c r="N34" i="7"/>
  <c r="N40" i="7"/>
  <c r="N43" i="7"/>
  <c r="L32" i="7"/>
  <c r="L35" i="7"/>
  <c r="L34" i="7"/>
  <c r="L40" i="7"/>
  <c r="L43" i="7"/>
  <c r="J32" i="7"/>
  <c r="J35" i="7"/>
  <c r="J34" i="7" s="1"/>
  <c r="J40" i="7"/>
  <c r="J43" i="7"/>
  <c r="AF45" i="7"/>
  <c r="X45" i="7"/>
  <c r="P45" i="7"/>
  <c r="AF44" i="7"/>
  <c r="X44" i="7"/>
  <c r="P44" i="7"/>
  <c r="AF42" i="7"/>
  <c r="X42" i="7"/>
  <c r="P42" i="7"/>
  <c r="AF41" i="7"/>
  <c r="X41" i="7"/>
  <c r="P41" i="7"/>
  <c r="AF39" i="7"/>
  <c r="X39" i="7"/>
  <c r="P39" i="7"/>
  <c r="AF38" i="7"/>
  <c r="X38" i="7"/>
  <c r="P38" i="7"/>
  <c r="AF37" i="7"/>
  <c r="X37" i="7"/>
  <c r="P37" i="7"/>
  <c r="AF36" i="7"/>
  <c r="X36" i="7"/>
  <c r="P36" i="7"/>
  <c r="AF33" i="7"/>
  <c r="X33" i="7"/>
  <c r="P33" i="7"/>
  <c r="AF32" i="7"/>
  <c r="AF31" i="7"/>
  <c r="X31" i="7"/>
  <c r="P31" i="7"/>
  <c r="I32" i="7"/>
  <c r="P32" i="7" s="1"/>
  <c r="I35" i="7"/>
  <c r="I34" i="7"/>
  <c r="I40" i="7"/>
  <c r="P40" i="7" s="1"/>
  <c r="I43" i="7"/>
  <c r="AF24" i="7"/>
  <c r="AF23" i="7"/>
  <c r="AF21" i="7"/>
  <c r="AF20" i="7"/>
  <c r="AF18" i="7"/>
  <c r="AF17" i="7"/>
  <c r="AF16" i="7"/>
  <c r="AF15" i="7"/>
  <c r="AF12" i="7"/>
  <c r="AF10" i="7"/>
  <c r="X12" i="7"/>
  <c r="X15" i="7"/>
  <c r="X16" i="7"/>
  <c r="X17" i="7"/>
  <c r="X18" i="7"/>
  <c r="X20" i="7"/>
  <c r="X21" i="7"/>
  <c r="X23" i="7"/>
  <c r="X24" i="7"/>
  <c r="X10" i="7"/>
  <c r="P12" i="7"/>
  <c r="P15" i="7"/>
  <c r="P16" i="7"/>
  <c r="P17" i="7"/>
  <c r="P18" i="7"/>
  <c r="P20" i="7"/>
  <c r="P21" i="7"/>
  <c r="P23" i="7"/>
  <c r="P24" i="7"/>
  <c r="P10" i="7"/>
  <c r="J11" i="7"/>
  <c r="K11" i="7"/>
  <c r="L11" i="7"/>
  <c r="M11" i="7"/>
  <c r="M25" i="7" s="1"/>
  <c r="N11" i="7"/>
  <c r="O11" i="7"/>
  <c r="Q11" i="7"/>
  <c r="R11" i="7"/>
  <c r="S11" i="7"/>
  <c r="T11" i="7"/>
  <c r="U11" i="7"/>
  <c r="V11" i="7"/>
  <c r="W11" i="7"/>
  <c r="Y11" i="7"/>
  <c r="Z11" i="7"/>
  <c r="AA11" i="7"/>
  <c r="AA25" i="7" s="1"/>
  <c r="AB11" i="7"/>
  <c r="AC11" i="7"/>
  <c r="AD11" i="7"/>
  <c r="AD25" i="7"/>
  <c r="AE11" i="7"/>
  <c r="J14" i="7"/>
  <c r="J13" i="7"/>
  <c r="K14" i="7"/>
  <c r="K13" i="7" s="1"/>
  <c r="K25" i="7" s="1"/>
  <c r="L14" i="7"/>
  <c r="L13" i="7"/>
  <c r="M14" i="7"/>
  <c r="M13" i="7"/>
  <c r="N14" i="7"/>
  <c r="N13" i="7" s="1"/>
  <c r="O14" i="7"/>
  <c r="O13" i="7"/>
  <c r="O25" i="7"/>
  <c r="Q14" i="7"/>
  <c r="R14" i="7"/>
  <c r="R13" i="7"/>
  <c r="R25" i="7"/>
  <c r="S14" i="7"/>
  <c r="S13" i="7"/>
  <c r="T14" i="7"/>
  <c r="T13" i="7"/>
  <c r="T25" i="7" s="1"/>
  <c r="U14" i="7"/>
  <c r="U13" i="7"/>
  <c r="V14" i="7"/>
  <c r="V13" i="7"/>
  <c r="V25" i="7" s="1"/>
  <c r="W14" i="7"/>
  <c r="W13" i="7"/>
  <c r="Y14" i="7"/>
  <c r="Z14" i="7"/>
  <c r="Z13" i="7"/>
  <c r="Z25" i="7" s="1"/>
  <c r="AA14" i="7"/>
  <c r="AA13" i="7"/>
  <c r="AB14" i="7"/>
  <c r="AB13" i="7"/>
  <c r="AC14" i="7"/>
  <c r="AC13" i="7"/>
  <c r="AD14" i="7"/>
  <c r="AD13" i="7"/>
  <c r="AE14" i="7"/>
  <c r="AE13" i="7"/>
  <c r="AE25" i="7" s="1"/>
  <c r="J19" i="7"/>
  <c r="K19" i="7"/>
  <c r="L19" i="7"/>
  <c r="M19" i="7"/>
  <c r="N19" i="7"/>
  <c r="O19" i="7"/>
  <c r="Q19" i="7"/>
  <c r="R19" i="7"/>
  <c r="S19" i="7"/>
  <c r="T19" i="7"/>
  <c r="U19" i="7"/>
  <c r="V19" i="7"/>
  <c r="W19" i="7"/>
  <c r="Y19" i="7"/>
  <c r="Z19" i="7"/>
  <c r="AA19" i="7"/>
  <c r="AB19" i="7"/>
  <c r="AC19" i="7"/>
  <c r="AD19" i="7"/>
  <c r="AE19" i="7"/>
  <c r="J22" i="7"/>
  <c r="K22" i="7"/>
  <c r="L22" i="7"/>
  <c r="M22" i="7"/>
  <c r="N22" i="7"/>
  <c r="O22" i="7"/>
  <c r="Q22" i="7"/>
  <c r="R22" i="7"/>
  <c r="S22" i="7"/>
  <c r="T22" i="7"/>
  <c r="U22" i="7"/>
  <c r="V22" i="7"/>
  <c r="W22" i="7"/>
  <c r="W25" i="7" s="1"/>
  <c r="Y22" i="7"/>
  <c r="Z22" i="7"/>
  <c r="AA22" i="7"/>
  <c r="AB22" i="7"/>
  <c r="AC22" i="7"/>
  <c r="AD22" i="7"/>
  <c r="AE22" i="7"/>
  <c r="S25" i="7"/>
  <c r="I22" i="7"/>
  <c r="I19" i="7"/>
  <c r="P19" i="7" s="1"/>
  <c r="I14" i="7"/>
  <c r="I11" i="7"/>
  <c r="AE56" i="4"/>
  <c r="AD56" i="4"/>
  <c r="AE37" i="4"/>
  <c r="AD37" i="4"/>
  <c r="AE30" i="4"/>
  <c r="AD30" i="4"/>
  <c r="AD26" i="4" s="1"/>
  <c r="W56" i="4"/>
  <c r="V56" i="4"/>
  <c r="W37" i="4"/>
  <c r="V37" i="4"/>
  <c r="W30" i="4"/>
  <c r="V30" i="4"/>
  <c r="O37" i="4"/>
  <c r="N37" i="4"/>
  <c r="N33" i="4" s="1"/>
  <c r="AE13" i="4"/>
  <c r="AE16" i="4"/>
  <c r="AE12" i="4" s="1"/>
  <c r="AE19" i="4"/>
  <c r="AC13" i="4"/>
  <c r="AC16" i="4"/>
  <c r="AF16" i="4" s="1"/>
  <c r="AC19" i="4"/>
  <c r="AF14" i="4"/>
  <c r="AF15" i="4"/>
  <c r="AF17" i="4"/>
  <c r="AF18" i="4"/>
  <c r="AF20" i="4"/>
  <c r="AF21" i="4"/>
  <c r="AF23" i="4"/>
  <c r="AF24" i="4"/>
  <c r="AF25" i="4"/>
  <c r="AF28" i="4"/>
  <c r="AF29" i="4"/>
  <c r="AF30" i="4"/>
  <c r="AF31" i="4"/>
  <c r="AF32" i="4"/>
  <c r="AF35" i="4"/>
  <c r="AF36" i="4"/>
  <c r="AF37" i="4"/>
  <c r="AF38" i="4"/>
  <c r="AF39" i="4"/>
  <c r="AF43" i="4"/>
  <c r="AF44" i="4"/>
  <c r="AF46" i="4"/>
  <c r="AF47" i="4"/>
  <c r="AF49" i="4"/>
  <c r="AF50" i="4"/>
  <c r="AF51" i="4"/>
  <c r="AF54" i="4"/>
  <c r="AF55" i="4"/>
  <c r="AF56" i="4"/>
  <c r="AF57" i="4"/>
  <c r="AF58" i="4"/>
  <c r="AF10" i="4"/>
  <c r="W13" i="4"/>
  <c r="W16" i="4"/>
  <c r="W19" i="4"/>
  <c r="U13" i="4"/>
  <c r="U12" i="4" s="1"/>
  <c r="U16" i="4"/>
  <c r="X16" i="4" s="1"/>
  <c r="U19" i="4"/>
  <c r="X13" i="4"/>
  <c r="X14" i="4"/>
  <c r="X15" i="4"/>
  <c r="X17" i="4"/>
  <c r="X18" i="4"/>
  <c r="X20" i="4"/>
  <c r="X21" i="4"/>
  <c r="X23" i="4"/>
  <c r="X24" i="4"/>
  <c r="X25" i="4"/>
  <c r="X28" i="4"/>
  <c r="X29" i="4"/>
  <c r="X30" i="4"/>
  <c r="X31" i="4"/>
  <c r="X32" i="4"/>
  <c r="X35" i="4"/>
  <c r="X36" i="4"/>
  <c r="X37" i="4"/>
  <c r="X38" i="4"/>
  <c r="X39" i="4"/>
  <c r="X43" i="4"/>
  <c r="X44" i="4"/>
  <c r="X46" i="4"/>
  <c r="X47" i="4"/>
  <c r="X49" i="4"/>
  <c r="X50" i="4"/>
  <c r="X51" i="4"/>
  <c r="X54" i="4"/>
  <c r="X55" i="4"/>
  <c r="X56" i="4"/>
  <c r="X57" i="4"/>
  <c r="X58" i="4"/>
  <c r="S59" i="4"/>
  <c r="X10" i="4"/>
  <c r="O13" i="4"/>
  <c r="O16" i="4"/>
  <c r="O19" i="4"/>
  <c r="K13" i="4"/>
  <c r="K12" i="4" s="1"/>
  <c r="K16" i="4"/>
  <c r="K19" i="4"/>
  <c r="P19" i="4" s="1"/>
  <c r="M13" i="4"/>
  <c r="M12" i="4"/>
  <c r="M16" i="4"/>
  <c r="M19" i="4"/>
  <c r="P14" i="4"/>
  <c r="P15" i="4"/>
  <c r="P17" i="4"/>
  <c r="P18" i="4"/>
  <c r="P20" i="4"/>
  <c r="P21" i="4"/>
  <c r="P23" i="4"/>
  <c r="P24" i="4"/>
  <c r="P25" i="4"/>
  <c r="P28" i="4"/>
  <c r="P29" i="4"/>
  <c r="P31" i="4"/>
  <c r="P32" i="4"/>
  <c r="P35" i="4"/>
  <c r="P36" i="4"/>
  <c r="P37" i="4"/>
  <c r="P38" i="4"/>
  <c r="P39" i="4"/>
  <c r="P43" i="4"/>
  <c r="P44" i="4"/>
  <c r="P46" i="4"/>
  <c r="P47" i="4"/>
  <c r="P49" i="4"/>
  <c r="P50" i="4"/>
  <c r="P51" i="4"/>
  <c r="P54" i="4"/>
  <c r="P55" i="4"/>
  <c r="P57" i="4"/>
  <c r="P58" i="4"/>
  <c r="P10" i="4"/>
  <c r="L13" i="4"/>
  <c r="L16" i="4"/>
  <c r="L19" i="4"/>
  <c r="N13" i="4"/>
  <c r="N16" i="4"/>
  <c r="N19" i="4"/>
  <c r="T13" i="4"/>
  <c r="T16" i="4"/>
  <c r="T19" i="4"/>
  <c r="V13" i="4"/>
  <c r="V12" i="4" s="1"/>
  <c r="V16" i="4"/>
  <c r="V19" i="4"/>
  <c r="AB13" i="4"/>
  <c r="AB16" i="4"/>
  <c r="AB12" i="4" s="1"/>
  <c r="AB11" i="4" s="1"/>
  <c r="AB19" i="4"/>
  <c r="AD13" i="4"/>
  <c r="AD12" i="4" s="1"/>
  <c r="AD16" i="4"/>
  <c r="AD19" i="4"/>
  <c r="K53" i="4"/>
  <c r="L53" i="4"/>
  <c r="L52" i="4" s="1"/>
  <c r="M53" i="4"/>
  <c r="M52" i="4" s="1"/>
  <c r="N53" i="4"/>
  <c r="N52" i="4" s="1"/>
  <c r="O53" i="4"/>
  <c r="T53" i="4"/>
  <c r="T52" i="4" s="1"/>
  <c r="U53" i="4"/>
  <c r="V53" i="4"/>
  <c r="V52" i="4"/>
  <c r="W53" i="4"/>
  <c r="W52" i="4"/>
  <c r="AB53" i="4"/>
  <c r="AB52" i="4"/>
  <c r="AC53" i="4"/>
  <c r="AC52" i="4" s="1"/>
  <c r="AD53" i="4"/>
  <c r="AE53" i="4"/>
  <c r="AF53" i="4" s="1"/>
  <c r="K48" i="4"/>
  <c r="P48" i="4" s="1"/>
  <c r="L48" i="4"/>
  <c r="M48" i="4"/>
  <c r="N48" i="4"/>
  <c r="O48" i="4"/>
  <c r="T48" i="4"/>
  <c r="U48" i="4"/>
  <c r="X48" i="4"/>
  <c r="V48" i="4"/>
  <c r="W48" i="4"/>
  <c r="AB48" i="4"/>
  <c r="AC48" i="4"/>
  <c r="AD48" i="4"/>
  <c r="AE48" i="4"/>
  <c r="K45" i="4"/>
  <c r="L45" i="4"/>
  <c r="L41" i="4" s="1"/>
  <c r="L40" i="4" s="1"/>
  <c r="M45" i="4"/>
  <c r="N45" i="4"/>
  <c r="O45" i="4"/>
  <c r="T45" i="4"/>
  <c r="T41" i="4" s="1"/>
  <c r="T40" i="4" s="1"/>
  <c r="U45" i="4"/>
  <c r="V45" i="4"/>
  <c r="W45" i="4"/>
  <c r="AB45" i="4"/>
  <c r="AC45" i="4"/>
  <c r="AD45" i="4"/>
  <c r="AE45" i="4"/>
  <c r="AE42" i="4"/>
  <c r="AD42" i="4"/>
  <c r="AD41" i="4"/>
  <c r="AC42" i="4"/>
  <c r="AB42" i="4"/>
  <c r="AB41" i="4" s="1"/>
  <c r="AB40" i="4" s="1"/>
  <c r="W42" i="4"/>
  <c r="V42" i="4"/>
  <c r="V41" i="4" s="1"/>
  <c r="V40" i="4"/>
  <c r="U42" i="4"/>
  <c r="T42" i="4"/>
  <c r="O42" i="4"/>
  <c r="O41" i="4" s="1"/>
  <c r="N42" i="4"/>
  <c r="N41" i="4" s="1"/>
  <c r="M42" i="4"/>
  <c r="L42" i="4"/>
  <c r="K42" i="4"/>
  <c r="P42" i="4" s="1"/>
  <c r="W41" i="4"/>
  <c r="W40" i="4" s="1"/>
  <c r="M41" i="4"/>
  <c r="O30" i="4"/>
  <c r="N30" i="4"/>
  <c r="K34" i="4"/>
  <c r="K33" i="4"/>
  <c r="L34" i="4"/>
  <c r="L33" i="4"/>
  <c r="M34" i="4"/>
  <c r="M33" i="4"/>
  <c r="N34" i="4"/>
  <c r="O34" i="4"/>
  <c r="O33" i="4"/>
  <c r="T34" i="4"/>
  <c r="T33" i="4"/>
  <c r="U34" i="4"/>
  <c r="X34" i="4"/>
  <c r="V34" i="4"/>
  <c r="V33" i="4"/>
  <c r="W34" i="4"/>
  <c r="W33" i="4"/>
  <c r="AA34" i="4"/>
  <c r="AA33" i="4"/>
  <c r="AA11" i="4" s="1"/>
  <c r="AA59" i="4" s="1"/>
  <c r="AB34" i="4"/>
  <c r="AB33" i="4"/>
  <c r="AC34" i="4"/>
  <c r="AC33" i="4"/>
  <c r="AD34" i="4"/>
  <c r="AD33" i="4"/>
  <c r="AE34" i="4"/>
  <c r="AE33" i="4"/>
  <c r="AE27" i="4"/>
  <c r="AE26" i="4"/>
  <c r="AD27" i="4"/>
  <c r="AC27" i="4"/>
  <c r="AF27" i="4"/>
  <c r="AB27" i="4"/>
  <c r="W27" i="4"/>
  <c r="W26" i="4" s="1"/>
  <c r="V27" i="4"/>
  <c r="V26" i="4" s="1"/>
  <c r="U27" i="4"/>
  <c r="U26" i="4" s="1"/>
  <c r="T27" i="4"/>
  <c r="T26" i="4" s="1"/>
  <c r="O27" i="4"/>
  <c r="N27" i="4"/>
  <c r="M27" i="4"/>
  <c r="M26" i="4" s="1"/>
  <c r="L27" i="4"/>
  <c r="L26" i="4" s="1"/>
  <c r="K27" i="4"/>
  <c r="P27" i="4" s="1"/>
  <c r="AB26" i="4"/>
  <c r="N26" i="4"/>
  <c r="K22" i="4"/>
  <c r="L22" i="4"/>
  <c r="M22" i="4"/>
  <c r="N22" i="4"/>
  <c r="O22" i="4"/>
  <c r="P22" i="4" s="1"/>
  <c r="T22" i="4"/>
  <c r="U22" i="4"/>
  <c r="X22" i="4" s="1"/>
  <c r="V22" i="4"/>
  <c r="W22" i="4"/>
  <c r="AB22" i="4"/>
  <c r="AC22" i="4"/>
  <c r="AF22" i="4"/>
  <c r="AD22" i="4"/>
  <c r="AE22" i="4"/>
  <c r="J13" i="4"/>
  <c r="J12" i="4"/>
  <c r="J16" i="4"/>
  <c r="J19" i="4"/>
  <c r="O56" i="4"/>
  <c r="P56" i="4"/>
  <c r="N56" i="4"/>
  <c r="J53" i="4"/>
  <c r="J52" i="4"/>
  <c r="J48" i="4"/>
  <c r="J45" i="4"/>
  <c r="J42" i="4"/>
  <c r="J41" i="4"/>
  <c r="J40" i="4" s="1"/>
  <c r="J34" i="4"/>
  <c r="J33" i="4" s="1"/>
  <c r="J27" i="4"/>
  <c r="J26" i="4" s="1"/>
  <c r="J22" i="4"/>
  <c r="Y12" i="5"/>
  <c r="Y15" i="5"/>
  <c r="Y14" i="5" s="1"/>
  <c r="Y20" i="5"/>
  <c r="Y23" i="5"/>
  <c r="AA12" i="5"/>
  <c r="AA15" i="5"/>
  <c r="AA14" i="5" s="1"/>
  <c r="AA20" i="5"/>
  <c r="AA23" i="5"/>
  <c r="AC12" i="5"/>
  <c r="AC15" i="5"/>
  <c r="AC14" i="5" s="1"/>
  <c r="AC11" i="5" s="1"/>
  <c r="AC20" i="5"/>
  <c r="AC23" i="5"/>
  <c r="AF23" i="5" s="1"/>
  <c r="AE12" i="5"/>
  <c r="AE15" i="5"/>
  <c r="AE14" i="5" s="1"/>
  <c r="AE11" i="5" s="1"/>
  <c r="AE20" i="5"/>
  <c r="AE23" i="5"/>
  <c r="AF13" i="5"/>
  <c r="AF16" i="5"/>
  <c r="AF17" i="5"/>
  <c r="AF18" i="5"/>
  <c r="AF19" i="5"/>
  <c r="AF20" i="5"/>
  <c r="AF21" i="5"/>
  <c r="AF22" i="5"/>
  <c r="AF24" i="5"/>
  <c r="AF25" i="5"/>
  <c r="AA28" i="5"/>
  <c r="AA31" i="5"/>
  <c r="AA34" i="5"/>
  <c r="AA27" i="5" s="1"/>
  <c r="AF27" i="5" s="1"/>
  <c r="AA37" i="5"/>
  <c r="AF37" i="5"/>
  <c r="AA42" i="5"/>
  <c r="AA41" i="5"/>
  <c r="AA49" i="5"/>
  <c r="AA48" i="5"/>
  <c r="AE28" i="5"/>
  <c r="AF28" i="5" s="1"/>
  <c r="AE31" i="5"/>
  <c r="AE34" i="5"/>
  <c r="AE37" i="5"/>
  <c r="AE42" i="5"/>
  <c r="AE45" i="5"/>
  <c r="AE49" i="5"/>
  <c r="AF49" i="5"/>
  <c r="AE52" i="5"/>
  <c r="AE48" i="5"/>
  <c r="AF29" i="5"/>
  <c r="AF30" i="5"/>
  <c r="AF31" i="5"/>
  <c r="AF32" i="5"/>
  <c r="AF33" i="5"/>
  <c r="AF35" i="5"/>
  <c r="AF36" i="5"/>
  <c r="AF38" i="5"/>
  <c r="AF39" i="5"/>
  <c r="AF40" i="5"/>
  <c r="AF43" i="5"/>
  <c r="AF44" i="5"/>
  <c r="AF46" i="5"/>
  <c r="AF47" i="5"/>
  <c r="AF50" i="5"/>
  <c r="AF51" i="5"/>
  <c r="AF52" i="5"/>
  <c r="AF53" i="5"/>
  <c r="AF54" i="5"/>
  <c r="Y59" i="5"/>
  <c r="AF59" i="5" s="1"/>
  <c r="Y62" i="5"/>
  <c r="AA59" i="5"/>
  <c r="AA62" i="5"/>
  <c r="AC59" i="5"/>
  <c r="AC55" i="5"/>
  <c r="AC62" i="5"/>
  <c r="AE59" i="5"/>
  <c r="AE55" i="5" s="1"/>
  <c r="AE62" i="5"/>
  <c r="AF56" i="5"/>
  <c r="AF57" i="5"/>
  <c r="AF58" i="5"/>
  <c r="AF60" i="5"/>
  <c r="AF61" i="5"/>
  <c r="AF63" i="5"/>
  <c r="AF64" i="5"/>
  <c r="Y66" i="5"/>
  <c r="Y65" i="5" s="1"/>
  <c r="AF65" i="5" s="1"/>
  <c r="AA66" i="5"/>
  <c r="AA65" i="5" s="1"/>
  <c r="AC66" i="5"/>
  <c r="AC65" i="5" s="1"/>
  <c r="AE66" i="5"/>
  <c r="AE65" i="5" s="1"/>
  <c r="AE70" i="5"/>
  <c r="AF67" i="5"/>
  <c r="AF68" i="5"/>
  <c r="AF69" i="5"/>
  <c r="AF71" i="5"/>
  <c r="AF72" i="5"/>
  <c r="AF73" i="5"/>
  <c r="Y76" i="5"/>
  <c r="Y79" i="5"/>
  <c r="Y78" i="5" s="1"/>
  <c r="Y75" i="5" s="1"/>
  <c r="Y84" i="5"/>
  <c r="Y110" i="5"/>
  <c r="Y106" i="5" s="1"/>
  <c r="Y114" i="5"/>
  <c r="AA76" i="5"/>
  <c r="AA79" i="5"/>
  <c r="AA78" i="5" s="1"/>
  <c r="AA75" i="5" s="1"/>
  <c r="AA84" i="5"/>
  <c r="AA110" i="5"/>
  <c r="AA114" i="5"/>
  <c r="AA113" i="5"/>
  <c r="AC76" i="5"/>
  <c r="AC79" i="5"/>
  <c r="AC78" i="5" s="1"/>
  <c r="AC84" i="5"/>
  <c r="AC89" i="5"/>
  <c r="AC88" i="5"/>
  <c r="AC92" i="5"/>
  <c r="AC95" i="5"/>
  <c r="AF95" i="5" s="1"/>
  <c r="AC100" i="5"/>
  <c r="AC99" i="5" s="1"/>
  <c r="AC110" i="5"/>
  <c r="AC106" i="5" s="1"/>
  <c r="AC114" i="5"/>
  <c r="AE76" i="5"/>
  <c r="AF76" i="5" s="1"/>
  <c r="AE79" i="5"/>
  <c r="AE78" i="5" s="1"/>
  <c r="AE75" i="5"/>
  <c r="AE84" i="5"/>
  <c r="AE89" i="5"/>
  <c r="AE88" i="5" s="1"/>
  <c r="AE92" i="5"/>
  <c r="AE95" i="5"/>
  <c r="AE100" i="5"/>
  <c r="AE103" i="5"/>
  <c r="AE110" i="5"/>
  <c r="AE106" i="5" s="1"/>
  <c r="AE114" i="5"/>
  <c r="AE118" i="5"/>
  <c r="AF77" i="5"/>
  <c r="AF79" i="5"/>
  <c r="AF80" i="5"/>
  <c r="AF81" i="5"/>
  <c r="AF82" i="5"/>
  <c r="AF83" i="5"/>
  <c r="AF85" i="5"/>
  <c r="AF86" i="5"/>
  <c r="AF90" i="5"/>
  <c r="AF91" i="5"/>
  <c r="AF93" i="5"/>
  <c r="AF94" i="5"/>
  <c r="AF96" i="5"/>
  <c r="AF97" i="5"/>
  <c r="AF98" i="5"/>
  <c r="AF101" i="5"/>
  <c r="AF102" i="5"/>
  <c r="AF104" i="5"/>
  <c r="AF105" i="5"/>
  <c r="AF107" i="5"/>
  <c r="AF108" i="5"/>
  <c r="AF109" i="5"/>
  <c r="AF111" i="5"/>
  <c r="AF112" i="5"/>
  <c r="AF115" i="5"/>
  <c r="AF116" i="5"/>
  <c r="AF117" i="5"/>
  <c r="AF119" i="5"/>
  <c r="AF120" i="5"/>
  <c r="AF121" i="5"/>
  <c r="W23" i="5"/>
  <c r="W20" i="5"/>
  <c r="W15" i="5"/>
  <c r="W14" i="5" s="1"/>
  <c r="W12" i="5"/>
  <c r="Q23" i="5"/>
  <c r="Q20" i="5"/>
  <c r="Q15" i="5"/>
  <c r="Q14" i="5"/>
  <c r="Q12" i="5"/>
  <c r="S23" i="5"/>
  <c r="S20" i="5"/>
  <c r="S15" i="5"/>
  <c r="S14" i="5" s="1"/>
  <c r="S12" i="5"/>
  <c r="X12" i="5" s="1"/>
  <c r="U23" i="5"/>
  <c r="U20" i="5"/>
  <c r="U15" i="5"/>
  <c r="U14" i="5"/>
  <c r="U12" i="5"/>
  <c r="X13" i="5"/>
  <c r="X16" i="5"/>
  <c r="X17" i="5"/>
  <c r="X18" i="5"/>
  <c r="X19" i="5"/>
  <c r="X20" i="5"/>
  <c r="X21" i="5"/>
  <c r="X22" i="5"/>
  <c r="X24" i="5"/>
  <c r="X25" i="5"/>
  <c r="W52" i="5"/>
  <c r="W49" i="5"/>
  <c r="W48" i="5" s="1"/>
  <c r="W45" i="5"/>
  <c r="W42" i="5"/>
  <c r="W37" i="5"/>
  <c r="W34" i="5"/>
  <c r="X34" i="5" s="1"/>
  <c r="W28" i="5"/>
  <c r="W31" i="5"/>
  <c r="W27" i="5" s="1"/>
  <c r="U49" i="5"/>
  <c r="U48" i="5" s="1"/>
  <c r="X48" i="5" s="1"/>
  <c r="U42" i="5"/>
  <c r="U37" i="5"/>
  <c r="U34" i="5"/>
  <c r="U28" i="5"/>
  <c r="X28" i="5" s="1"/>
  <c r="U31" i="5"/>
  <c r="X29" i="5"/>
  <c r="X30" i="5"/>
  <c r="X31" i="5"/>
  <c r="X32" i="5"/>
  <c r="X33" i="5"/>
  <c r="X35" i="5"/>
  <c r="X36" i="5"/>
  <c r="X38" i="5"/>
  <c r="X39" i="5"/>
  <c r="X40" i="5"/>
  <c r="X43" i="5"/>
  <c r="X44" i="5"/>
  <c r="X46" i="5"/>
  <c r="X47" i="5"/>
  <c r="X50" i="5"/>
  <c r="X51" i="5"/>
  <c r="X52" i="5"/>
  <c r="X53" i="5"/>
  <c r="X54" i="5"/>
  <c r="Q62" i="5"/>
  <c r="X62" i="5" s="1"/>
  <c r="Q59" i="5"/>
  <c r="Q55" i="5" s="1"/>
  <c r="S62" i="5"/>
  <c r="S59" i="5"/>
  <c r="S55" i="5" s="1"/>
  <c r="U62" i="5"/>
  <c r="U59" i="5"/>
  <c r="U55" i="5"/>
  <c r="W62" i="5"/>
  <c r="W59" i="5"/>
  <c r="W55" i="5" s="1"/>
  <c r="X56" i="5"/>
  <c r="X57" i="5"/>
  <c r="X58" i="5"/>
  <c r="X60" i="5"/>
  <c r="X61" i="5"/>
  <c r="X63" i="5"/>
  <c r="X64" i="5"/>
  <c r="W70" i="5"/>
  <c r="W66" i="5"/>
  <c r="W65" i="5"/>
  <c r="Q66" i="5"/>
  <c r="Q65" i="5"/>
  <c r="S66" i="5"/>
  <c r="S65" i="5"/>
  <c r="U66" i="5"/>
  <c r="X67" i="5"/>
  <c r="X68" i="5"/>
  <c r="X69" i="5"/>
  <c r="X71" i="5"/>
  <c r="X72" i="5"/>
  <c r="X73" i="5"/>
  <c r="W118" i="5"/>
  <c r="W114" i="5"/>
  <c r="W113" i="5" s="1"/>
  <c r="W110" i="5"/>
  <c r="W106" i="5" s="1"/>
  <c r="W103" i="5"/>
  <c r="X103" i="5" s="1"/>
  <c r="W100" i="5"/>
  <c r="W95" i="5"/>
  <c r="W92" i="5"/>
  <c r="W89" i="5"/>
  <c r="W88" i="5" s="1"/>
  <c r="W84" i="5"/>
  <c r="W79" i="5"/>
  <c r="W78" i="5"/>
  <c r="W76" i="5"/>
  <c r="W75" i="5"/>
  <c r="Q114" i="5"/>
  <c r="Q113" i="5"/>
  <c r="Q110" i="5"/>
  <c r="Q106" i="5"/>
  <c r="Q84" i="5"/>
  <c r="Q79" i="5"/>
  <c r="Q78" i="5"/>
  <c r="Q75" i="5" s="1"/>
  <c r="Q76" i="5"/>
  <c r="S114" i="5"/>
  <c r="S113" i="5"/>
  <c r="S110" i="5"/>
  <c r="S106" i="5"/>
  <c r="S84" i="5"/>
  <c r="S79" i="5"/>
  <c r="S76" i="5"/>
  <c r="U114" i="5"/>
  <c r="U113" i="5" s="1"/>
  <c r="U110" i="5"/>
  <c r="U106" i="5" s="1"/>
  <c r="U100" i="5"/>
  <c r="U99" i="5" s="1"/>
  <c r="U95" i="5"/>
  <c r="X95" i="5" s="1"/>
  <c r="U92" i="5"/>
  <c r="X92" i="5" s="1"/>
  <c r="U89" i="5"/>
  <c r="U84" i="5"/>
  <c r="X84" i="5" s="1"/>
  <c r="U79" i="5"/>
  <c r="U78" i="5"/>
  <c r="U76" i="5"/>
  <c r="X77" i="5"/>
  <c r="X80" i="5"/>
  <c r="X81" i="5"/>
  <c r="X82" i="5"/>
  <c r="X83" i="5"/>
  <c r="X85" i="5"/>
  <c r="X86" i="5"/>
  <c r="X90" i="5"/>
  <c r="X91" i="5"/>
  <c r="X93" i="5"/>
  <c r="X94" i="5"/>
  <c r="X96" i="5"/>
  <c r="X97" i="5"/>
  <c r="X98" i="5"/>
  <c r="X101" i="5"/>
  <c r="X102" i="5"/>
  <c r="X104" i="5"/>
  <c r="X105" i="5"/>
  <c r="X107" i="5"/>
  <c r="X108" i="5"/>
  <c r="X109" i="5"/>
  <c r="X111" i="5"/>
  <c r="X112" i="5"/>
  <c r="X115" i="5"/>
  <c r="X116" i="5"/>
  <c r="X117" i="5"/>
  <c r="X118" i="5"/>
  <c r="X119" i="5"/>
  <c r="X120" i="5"/>
  <c r="X121" i="5"/>
  <c r="P13" i="5"/>
  <c r="P16" i="5"/>
  <c r="P17" i="5"/>
  <c r="P18" i="5"/>
  <c r="P19" i="5"/>
  <c r="P21" i="5"/>
  <c r="P22" i="5"/>
  <c r="P24" i="5"/>
  <c r="P25" i="5"/>
  <c r="K49" i="5"/>
  <c r="K48" i="5" s="1"/>
  <c r="M49" i="5"/>
  <c r="M48" i="5" s="1"/>
  <c r="O49" i="5"/>
  <c r="O48" i="5" s="1"/>
  <c r="O52" i="5"/>
  <c r="P52" i="5" s="1"/>
  <c r="P29" i="5"/>
  <c r="P30" i="5"/>
  <c r="P32" i="5"/>
  <c r="P33" i="5"/>
  <c r="P35" i="5"/>
  <c r="P36" i="5"/>
  <c r="P38" i="5"/>
  <c r="P39" i="5"/>
  <c r="P40" i="5"/>
  <c r="P43" i="5"/>
  <c r="P44" i="5"/>
  <c r="P46" i="5"/>
  <c r="P47" i="5"/>
  <c r="P50" i="5"/>
  <c r="P51" i="5"/>
  <c r="P53" i="5"/>
  <c r="P54" i="5"/>
  <c r="I59" i="5"/>
  <c r="I55" i="5"/>
  <c r="I62" i="5"/>
  <c r="K59" i="5"/>
  <c r="K62" i="5"/>
  <c r="P62" i="5" s="1"/>
  <c r="M59" i="5"/>
  <c r="M55" i="5"/>
  <c r="M62" i="5"/>
  <c r="O59" i="5"/>
  <c r="O55" i="5" s="1"/>
  <c r="O62" i="5"/>
  <c r="P56" i="5"/>
  <c r="P57" i="5"/>
  <c r="P58" i="5"/>
  <c r="P60" i="5"/>
  <c r="P61" i="5"/>
  <c r="P63" i="5"/>
  <c r="P64" i="5"/>
  <c r="I66" i="5"/>
  <c r="I65" i="5" s="1"/>
  <c r="K66" i="5"/>
  <c r="K65" i="5" s="1"/>
  <c r="M66" i="5"/>
  <c r="M65" i="5" s="1"/>
  <c r="O66" i="5"/>
  <c r="O70" i="5"/>
  <c r="P67" i="5"/>
  <c r="P68" i="5"/>
  <c r="P69" i="5"/>
  <c r="P71" i="5"/>
  <c r="P72" i="5"/>
  <c r="P73" i="5"/>
  <c r="I76" i="5"/>
  <c r="I79" i="5"/>
  <c r="I78" i="5"/>
  <c r="I84" i="5"/>
  <c r="I110" i="5"/>
  <c r="I106" i="5"/>
  <c r="I114" i="5"/>
  <c r="I113" i="5"/>
  <c r="K76" i="5"/>
  <c r="K79" i="5"/>
  <c r="K78" i="5" s="1"/>
  <c r="K75" i="5" s="1"/>
  <c r="K84" i="5"/>
  <c r="K89" i="5"/>
  <c r="K92" i="5"/>
  <c r="K95" i="5"/>
  <c r="K100" i="5"/>
  <c r="K99" i="5" s="1"/>
  <c r="K110" i="5"/>
  <c r="K106" i="5" s="1"/>
  <c r="K114" i="5"/>
  <c r="M76" i="5"/>
  <c r="M79" i="5"/>
  <c r="M78" i="5" s="1"/>
  <c r="M75" i="5" s="1"/>
  <c r="M84" i="5"/>
  <c r="M89" i="5"/>
  <c r="M88" i="5" s="1"/>
  <c r="M87" i="5"/>
  <c r="M92" i="5"/>
  <c r="M95" i="5"/>
  <c r="M100" i="5"/>
  <c r="M99" i="5" s="1"/>
  <c r="M110" i="5"/>
  <c r="M106" i="5" s="1"/>
  <c r="M114" i="5"/>
  <c r="M113" i="5" s="1"/>
  <c r="O76" i="5"/>
  <c r="O79" i="5"/>
  <c r="O78" i="5"/>
  <c r="O84" i="5"/>
  <c r="P84" i="5" s="1"/>
  <c r="O89" i="5"/>
  <c r="O88" i="5"/>
  <c r="O92" i="5"/>
  <c r="O95" i="5"/>
  <c r="O100" i="5"/>
  <c r="P100" i="5"/>
  <c r="O103" i="5"/>
  <c r="O110" i="5"/>
  <c r="O114" i="5"/>
  <c r="O118" i="5"/>
  <c r="P76" i="5"/>
  <c r="P77" i="5"/>
  <c r="P80" i="5"/>
  <c r="P81" i="5"/>
  <c r="P82" i="5"/>
  <c r="P83" i="5"/>
  <c r="P85" i="5"/>
  <c r="P86" i="5"/>
  <c r="P90" i="5"/>
  <c r="P91" i="5"/>
  <c r="P92" i="5"/>
  <c r="P93" i="5"/>
  <c r="P94" i="5"/>
  <c r="P96" i="5"/>
  <c r="P97" i="5"/>
  <c r="P98" i="5"/>
  <c r="P101" i="5"/>
  <c r="P102" i="5"/>
  <c r="P103" i="5"/>
  <c r="P104" i="5"/>
  <c r="P105" i="5"/>
  <c r="P107" i="5"/>
  <c r="P108" i="5"/>
  <c r="P109" i="5"/>
  <c r="P111" i="5"/>
  <c r="P112" i="5"/>
  <c r="P115" i="5"/>
  <c r="P116" i="5"/>
  <c r="P117" i="5"/>
  <c r="P119" i="5"/>
  <c r="P120" i="5"/>
  <c r="P121" i="5"/>
  <c r="AD118" i="5"/>
  <c r="V118" i="5"/>
  <c r="V113" i="5"/>
  <c r="N118" i="5"/>
  <c r="AD114" i="5"/>
  <c r="AD113" i="5" s="1"/>
  <c r="AB114" i="5"/>
  <c r="AB113" i="5" s="1"/>
  <c r="Z114" i="5"/>
  <c r="Z113" i="5" s="1"/>
  <c r="V114" i="5"/>
  <c r="T114" i="5"/>
  <c r="R114" i="5"/>
  <c r="R113" i="5" s="1"/>
  <c r="N114" i="5"/>
  <c r="N113" i="5" s="1"/>
  <c r="L114" i="5"/>
  <c r="L113" i="5" s="1"/>
  <c r="AD110" i="5"/>
  <c r="AB110" i="5"/>
  <c r="Z110" i="5"/>
  <c r="V110" i="5"/>
  <c r="T110" i="5"/>
  <c r="R110" i="5"/>
  <c r="N110" i="5"/>
  <c r="L110" i="5"/>
  <c r="AD106" i="5"/>
  <c r="AB106" i="5"/>
  <c r="Z106" i="5"/>
  <c r="V106" i="5"/>
  <c r="T106" i="5"/>
  <c r="R106" i="5"/>
  <c r="N106" i="5"/>
  <c r="L106" i="5"/>
  <c r="AD103" i="5"/>
  <c r="V103" i="5"/>
  <c r="N103" i="5"/>
  <c r="AD100" i="5"/>
  <c r="AD99" i="5" s="1"/>
  <c r="AB100" i="5"/>
  <c r="AB99" i="5" s="1"/>
  <c r="AD95" i="5"/>
  <c r="AB95" i="5"/>
  <c r="AD92" i="5"/>
  <c r="AB92" i="5"/>
  <c r="AD89" i="5"/>
  <c r="AD88" i="5" s="1"/>
  <c r="AD87" i="5" s="1"/>
  <c r="AD74" i="5" s="1"/>
  <c r="AB89" i="5"/>
  <c r="AB88" i="5" s="1"/>
  <c r="V100" i="5"/>
  <c r="T100" i="5"/>
  <c r="T99" i="5" s="1"/>
  <c r="V95" i="5"/>
  <c r="T95" i="5"/>
  <c r="V92" i="5"/>
  <c r="T92" i="5"/>
  <c r="V89" i="5"/>
  <c r="V88" i="5" s="1"/>
  <c r="T89" i="5"/>
  <c r="T88" i="5" s="1"/>
  <c r="N100" i="5"/>
  <c r="N99" i="5"/>
  <c r="L100" i="5"/>
  <c r="L99" i="5"/>
  <c r="N95" i="5"/>
  <c r="L95" i="5"/>
  <c r="N92" i="5"/>
  <c r="L92" i="5"/>
  <c r="N89" i="5"/>
  <c r="N88" i="5"/>
  <c r="N87" i="5" s="1"/>
  <c r="L89" i="5"/>
  <c r="L88" i="5"/>
  <c r="AD84" i="5"/>
  <c r="AB84" i="5"/>
  <c r="Z84" i="5"/>
  <c r="V84" i="5"/>
  <c r="T84" i="5"/>
  <c r="R84" i="5"/>
  <c r="N84" i="5"/>
  <c r="L84" i="5"/>
  <c r="AD79" i="5"/>
  <c r="AB79" i="5"/>
  <c r="Z79" i="5"/>
  <c r="V79" i="5"/>
  <c r="T79" i="5"/>
  <c r="R79" i="5"/>
  <c r="N79" i="5"/>
  <c r="L79" i="5"/>
  <c r="AD78" i="5"/>
  <c r="AB78" i="5"/>
  <c r="Z78" i="5"/>
  <c r="V78" i="5"/>
  <c r="T78" i="5"/>
  <c r="R78" i="5"/>
  <c r="N78" i="5"/>
  <c r="L78" i="5"/>
  <c r="AD76" i="5"/>
  <c r="AB76" i="5"/>
  <c r="AB75" i="5" s="1"/>
  <c r="Z76" i="5"/>
  <c r="V76" i="5"/>
  <c r="V75" i="5" s="1"/>
  <c r="T76" i="5"/>
  <c r="T75" i="5"/>
  <c r="R76" i="5"/>
  <c r="N76" i="5"/>
  <c r="N75" i="5" s="1"/>
  <c r="L76" i="5"/>
  <c r="L75" i="5"/>
  <c r="AD75" i="5"/>
  <c r="Z75" i="5"/>
  <c r="R75" i="5"/>
  <c r="AD70" i="5"/>
  <c r="AD65" i="5" s="1"/>
  <c r="V70" i="5"/>
  <c r="N70" i="5"/>
  <c r="N65" i="5" s="1"/>
  <c r="AD66" i="5"/>
  <c r="AB66" i="5"/>
  <c r="Z66" i="5"/>
  <c r="V66" i="5"/>
  <c r="V65" i="5" s="1"/>
  <c r="T66" i="5"/>
  <c r="R66" i="5"/>
  <c r="R65" i="5"/>
  <c r="N66" i="5"/>
  <c r="L66" i="5"/>
  <c r="AB65" i="5"/>
  <c r="T65" i="5"/>
  <c r="L62" i="5"/>
  <c r="N62" i="5"/>
  <c r="N55" i="5" s="1"/>
  <c r="R62" i="5"/>
  <c r="T62" i="5"/>
  <c r="V62" i="5"/>
  <c r="Z62" i="5"/>
  <c r="AB62" i="5"/>
  <c r="AD62" i="5"/>
  <c r="J62" i="5"/>
  <c r="AD59" i="5"/>
  <c r="AD55" i="5" s="1"/>
  <c r="AB59" i="5"/>
  <c r="Z59" i="5"/>
  <c r="Z55" i="5" s="1"/>
  <c r="V59" i="5"/>
  <c r="V55" i="5" s="1"/>
  <c r="T59" i="5"/>
  <c r="T55" i="5" s="1"/>
  <c r="R59" i="5"/>
  <c r="N59" i="5"/>
  <c r="L59" i="5"/>
  <c r="L55" i="5" s="1"/>
  <c r="AB55" i="5"/>
  <c r="R55" i="5"/>
  <c r="AD52" i="5"/>
  <c r="V52" i="5"/>
  <c r="N52" i="5"/>
  <c r="AD49" i="5"/>
  <c r="Z49" i="5"/>
  <c r="AD48" i="5"/>
  <c r="Z48" i="5"/>
  <c r="V49" i="5"/>
  <c r="T49" i="5"/>
  <c r="V48" i="5"/>
  <c r="T48" i="5"/>
  <c r="N49" i="5"/>
  <c r="L49" i="5"/>
  <c r="L48" i="5"/>
  <c r="AD45" i="5"/>
  <c r="V45" i="5"/>
  <c r="O45" i="5"/>
  <c r="P45" i="5"/>
  <c r="N45" i="5"/>
  <c r="N41" i="5" s="1"/>
  <c r="AD42" i="5"/>
  <c r="Z42" i="5"/>
  <c r="Z41" i="5"/>
  <c r="AD41" i="5"/>
  <c r="AD37" i="5"/>
  <c r="Z37" i="5"/>
  <c r="V42" i="5"/>
  <c r="V41" i="5"/>
  <c r="T42" i="5"/>
  <c r="T41" i="5" s="1"/>
  <c r="V37" i="5"/>
  <c r="T37" i="5"/>
  <c r="O42" i="5"/>
  <c r="O41" i="5" s="1"/>
  <c r="N42" i="5"/>
  <c r="M42" i="5"/>
  <c r="M41" i="5" s="1"/>
  <c r="L42" i="5"/>
  <c r="L41" i="5" s="1"/>
  <c r="K42" i="5"/>
  <c r="P42" i="5" s="1"/>
  <c r="O37" i="5"/>
  <c r="N37" i="5"/>
  <c r="M37" i="5"/>
  <c r="L37" i="5"/>
  <c r="K37" i="5"/>
  <c r="P37" i="5"/>
  <c r="AD34" i="5"/>
  <c r="Z34" i="5"/>
  <c r="Z27" i="5"/>
  <c r="Z26" i="5"/>
  <c r="V34" i="5"/>
  <c r="T34" i="5"/>
  <c r="K34" i="5"/>
  <c r="L34" i="5"/>
  <c r="L27" i="5" s="1"/>
  <c r="L26" i="5" s="1"/>
  <c r="L10" i="5" s="1"/>
  <c r="M34" i="5"/>
  <c r="N34" i="5"/>
  <c r="O34" i="5"/>
  <c r="AD31" i="5"/>
  <c r="AD27" i="5" s="1"/>
  <c r="AD26" i="5" s="1"/>
  <c r="Z31" i="5"/>
  <c r="V31" i="5"/>
  <c r="T31" i="5"/>
  <c r="K31" i="5"/>
  <c r="P31" i="5" s="1"/>
  <c r="L31" i="5"/>
  <c r="M31" i="5"/>
  <c r="N31" i="5"/>
  <c r="O31" i="5"/>
  <c r="O27" i="5" s="1"/>
  <c r="O26" i="5" s="1"/>
  <c r="O10" i="5" s="1"/>
  <c r="AD28" i="5"/>
  <c r="Z28" i="5"/>
  <c r="V28" i="5"/>
  <c r="T28" i="5"/>
  <c r="T27" i="5" s="1"/>
  <c r="T26" i="5" s="1"/>
  <c r="K28" i="5"/>
  <c r="L28" i="5"/>
  <c r="M28" i="5"/>
  <c r="M27" i="5" s="1"/>
  <c r="N28" i="5"/>
  <c r="N27" i="5" s="1"/>
  <c r="O28" i="5"/>
  <c r="J23" i="5"/>
  <c r="K23" i="5"/>
  <c r="L23" i="5"/>
  <c r="L11" i="5" s="1"/>
  <c r="M23" i="5"/>
  <c r="N23" i="5"/>
  <c r="O23" i="5"/>
  <c r="R23" i="5"/>
  <c r="T23" i="5"/>
  <c r="V23" i="5"/>
  <c r="Z23" i="5"/>
  <c r="AB23" i="5"/>
  <c r="AD23" i="5"/>
  <c r="J20" i="5"/>
  <c r="K20" i="5"/>
  <c r="L20" i="5"/>
  <c r="M20" i="5"/>
  <c r="N20" i="5"/>
  <c r="O20" i="5"/>
  <c r="R20" i="5"/>
  <c r="T20" i="5"/>
  <c r="V20" i="5"/>
  <c r="Z20" i="5"/>
  <c r="AB20" i="5"/>
  <c r="AD20" i="5"/>
  <c r="AD15" i="5"/>
  <c r="AB15" i="5"/>
  <c r="AB14" i="5" s="1"/>
  <c r="Z15" i="5"/>
  <c r="AD14" i="5"/>
  <c r="Z14" i="5"/>
  <c r="V15" i="5"/>
  <c r="V14" i="5" s="1"/>
  <c r="T15" i="5"/>
  <c r="T14" i="5"/>
  <c r="R15" i="5"/>
  <c r="R14" i="5" s="1"/>
  <c r="O15" i="5"/>
  <c r="O14" i="5"/>
  <c r="N15" i="5"/>
  <c r="M15" i="5"/>
  <c r="L15" i="5"/>
  <c r="K15" i="5"/>
  <c r="J15" i="5"/>
  <c r="N14" i="5"/>
  <c r="N11" i="5"/>
  <c r="M14" i="5"/>
  <c r="L14" i="5"/>
  <c r="J14" i="5"/>
  <c r="J11" i="5" s="1"/>
  <c r="J10" i="5" s="1"/>
  <c r="J122" i="5" s="1"/>
  <c r="AD12" i="5"/>
  <c r="AB12" i="5"/>
  <c r="Z12" i="5"/>
  <c r="Z11" i="5" s="1"/>
  <c r="Z10" i="5" s="1"/>
  <c r="V12" i="5"/>
  <c r="V11" i="5" s="1"/>
  <c r="T12" i="5"/>
  <c r="T11" i="5" s="1"/>
  <c r="R12" i="5"/>
  <c r="O12" i="5"/>
  <c r="O11" i="5" s="1"/>
  <c r="N12" i="5"/>
  <c r="M12" i="5"/>
  <c r="L12" i="5"/>
  <c r="K12" i="5"/>
  <c r="J12" i="5"/>
  <c r="J42" i="5"/>
  <c r="J41" i="5" s="1"/>
  <c r="J49" i="5"/>
  <c r="J48" i="5"/>
  <c r="J28" i="5"/>
  <c r="J31" i="5"/>
  <c r="J34" i="5"/>
  <c r="J27" i="5"/>
  <c r="J26" i="5" s="1"/>
  <c r="J37" i="5"/>
  <c r="J59" i="5"/>
  <c r="J55" i="5"/>
  <c r="J66" i="5"/>
  <c r="J65" i="5" s="1"/>
  <c r="I12" i="5"/>
  <c r="I15" i="5"/>
  <c r="I14" i="5" s="1"/>
  <c r="I20" i="5"/>
  <c r="I23" i="5"/>
  <c r="J100" i="5"/>
  <c r="J99" i="5"/>
  <c r="J89" i="5"/>
  <c r="J92" i="5"/>
  <c r="J88" i="5"/>
  <c r="J87" i="5" s="1"/>
  <c r="J95" i="5"/>
  <c r="J114" i="5"/>
  <c r="J113" i="5"/>
  <c r="J76" i="5"/>
  <c r="J75" i="5" s="1"/>
  <c r="J74" i="5" s="1"/>
  <c r="J79" i="5"/>
  <c r="J78" i="5"/>
  <c r="J84" i="5"/>
  <c r="J110" i="5"/>
  <c r="J106" i="5" s="1"/>
  <c r="AD13" i="1"/>
  <c r="AD15" i="1"/>
  <c r="AD17" i="1"/>
  <c r="AD20" i="1"/>
  <c r="AD21" i="1"/>
  <c r="AD23" i="1"/>
  <c r="AD24" i="1"/>
  <c r="Y22" i="1"/>
  <c r="AC22" i="1"/>
  <c r="X22" i="1"/>
  <c r="S22" i="1"/>
  <c r="W22" i="1"/>
  <c r="R22" i="1"/>
  <c r="M22" i="1"/>
  <c r="Q22" i="1"/>
  <c r="L22" i="1"/>
  <c r="P22" i="1" s="1"/>
  <c r="Y19" i="1"/>
  <c r="AC19" i="1" s="1"/>
  <c r="X19" i="1"/>
  <c r="AB19" i="1"/>
  <c r="Y18" i="1"/>
  <c r="AC18" i="1" s="1"/>
  <c r="S19" i="1"/>
  <c r="W19" i="1" s="1"/>
  <c r="R19" i="1"/>
  <c r="V19" i="1"/>
  <c r="S18" i="1"/>
  <c r="W18" i="1" s="1"/>
  <c r="M19" i="1"/>
  <c r="Q19" i="1" s="1"/>
  <c r="L19" i="1"/>
  <c r="P19" i="1"/>
  <c r="M18" i="1"/>
  <c r="Q18" i="1" s="1"/>
  <c r="S16" i="1"/>
  <c r="W16" i="1"/>
  <c r="R16" i="1"/>
  <c r="V16" i="1" s="1"/>
  <c r="M16" i="1"/>
  <c r="Q16" i="1" s="1"/>
  <c r="L16" i="1"/>
  <c r="P16" i="1" s="1"/>
  <c r="Y14" i="1"/>
  <c r="X14" i="1"/>
  <c r="AB14" i="1"/>
  <c r="S14" i="1"/>
  <c r="W14" i="1" s="1"/>
  <c r="R14" i="1"/>
  <c r="M14" i="1"/>
  <c r="Q14" i="1" s="1"/>
  <c r="L14" i="1"/>
  <c r="X11" i="1"/>
  <c r="AB11" i="1"/>
  <c r="S11" i="1"/>
  <c r="W11" i="1" s="1"/>
  <c r="M11" i="1"/>
  <c r="I14" i="1"/>
  <c r="I16" i="1"/>
  <c r="K16" i="1" s="1"/>
  <c r="AD16" i="1" s="1"/>
  <c r="X16" i="1"/>
  <c r="AB16" i="1"/>
  <c r="Y16" i="1"/>
  <c r="AC16" i="1" s="1"/>
  <c r="I19" i="1"/>
  <c r="K19" i="1"/>
  <c r="AD19" i="1" s="1"/>
  <c r="I22" i="1"/>
  <c r="K22" i="1"/>
  <c r="AD22" i="1"/>
  <c r="H77" i="10"/>
  <c r="H74" i="10"/>
  <c r="H71" i="10"/>
  <c r="H66" i="10"/>
  <c r="H63" i="10"/>
  <c r="H60" i="10"/>
  <c r="H55" i="10"/>
  <c r="H52" i="10"/>
  <c r="H49" i="10"/>
  <c r="H43" i="10"/>
  <c r="H40" i="10"/>
  <c r="H37" i="10"/>
  <c r="H32" i="10"/>
  <c r="H29" i="10"/>
  <c r="H26" i="10"/>
  <c r="H21" i="10"/>
  <c r="H18" i="10"/>
  <c r="H15" i="10"/>
  <c r="C40" i="8"/>
  <c r="C37" i="8"/>
  <c r="C34" i="8"/>
  <c r="C30" i="8"/>
  <c r="C27" i="8"/>
  <c r="C24" i="8"/>
  <c r="C20" i="8"/>
  <c r="C17" i="8"/>
  <c r="C14" i="8"/>
  <c r="B38" i="7"/>
  <c r="B17" i="7"/>
  <c r="B45" i="4"/>
  <c r="B16" i="4"/>
  <c r="B19" i="4"/>
  <c r="Y12" i="2"/>
  <c r="Y15" i="2"/>
  <c r="Y14" i="2" s="1"/>
  <c r="Y20" i="2"/>
  <c r="Y23" i="2"/>
  <c r="Y59" i="2"/>
  <c r="Y62" i="2"/>
  <c r="Y66" i="2"/>
  <c r="Y65" i="2" s="1"/>
  <c r="Y76" i="2"/>
  <c r="Y79" i="2"/>
  <c r="Y78" i="2"/>
  <c r="Y84" i="2"/>
  <c r="Y110" i="2"/>
  <c r="Y106" i="2"/>
  <c r="Y114" i="2"/>
  <c r="Y113" i="2" s="1"/>
  <c r="AA12" i="2"/>
  <c r="AA15" i="2"/>
  <c r="AA14" i="2" s="1"/>
  <c r="AA20" i="2"/>
  <c r="AA23" i="2"/>
  <c r="AA59" i="2"/>
  <c r="AA55" i="2" s="1"/>
  <c r="AA10" i="2" s="1"/>
  <c r="AA122" i="2" s="1"/>
  <c r="AA62" i="2"/>
  <c r="AA66" i="2"/>
  <c r="AA65" i="2"/>
  <c r="AA76" i="2"/>
  <c r="AA79" i="2"/>
  <c r="AA78" i="2" s="1"/>
  <c r="AA75" i="2" s="1"/>
  <c r="AA84" i="2"/>
  <c r="AA110" i="2"/>
  <c r="AA106" i="2"/>
  <c r="AA114" i="2"/>
  <c r="AA113" i="2" s="1"/>
  <c r="AC12" i="2"/>
  <c r="AC15" i="2"/>
  <c r="AC14" i="2"/>
  <c r="AC11" i="2" s="1"/>
  <c r="AC10" i="2" s="1"/>
  <c r="AC20" i="2"/>
  <c r="AC23" i="2"/>
  <c r="AC28" i="2"/>
  <c r="AC27" i="2" s="1"/>
  <c r="AC31" i="2"/>
  <c r="AC34" i="2"/>
  <c r="AC37" i="2"/>
  <c r="AC42" i="2"/>
  <c r="AC41" i="2" s="1"/>
  <c r="AC49" i="2"/>
  <c r="AC48" i="2"/>
  <c r="AF48" i="2" s="1"/>
  <c r="AC59" i="2"/>
  <c r="AC55" i="2" s="1"/>
  <c r="AC62" i="2"/>
  <c r="AC66" i="2"/>
  <c r="AC65" i="2" s="1"/>
  <c r="AC76" i="2"/>
  <c r="AC79" i="2"/>
  <c r="AC78" i="2" s="1"/>
  <c r="AC84" i="2"/>
  <c r="AF84" i="2" s="1"/>
  <c r="AC89" i="2"/>
  <c r="AC88" i="2" s="1"/>
  <c r="AC92" i="2"/>
  <c r="AC95" i="2"/>
  <c r="AC100" i="2"/>
  <c r="AC99" i="2" s="1"/>
  <c r="AC87" i="2" s="1"/>
  <c r="AF87" i="2" s="1"/>
  <c r="AC110" i="2"/>
  <c r="AC106" i="2"/>
  <c r="AF106" i="2" s="1"/>
  <c r="AC114" i="2"/>
  <c r="AC113" i="2" s="1"/>
  <c r="AE12" i="2"/>
  <c r="AE15" i="2"/>
  <c r="AE14" i="2" s="1"/>
  <c r="AE20" i="2"/>
  <c r="AE23" i="2"/>
  <c r="AF23" i="2" s="1"/>
  <c r="AE28" i="2"/>
  <c r="AE31" i="2"/>
  <c r="AE34" i="2"/>
  <c r="AE37" i="2"/>
  <c r="AE42" i="2"/>
  <c r="AE45" i="2"/>
  <c r="AE41" i="2"/>
  <c r="AE49" i="2"/>
  <c r="AE52" i="2"/>
  <c r="AE48" i="2"/>
  <c r="AE59" i="2"/>
  <c r="AE62" i="2"/>
  <c r="AF62" i="2" s="1"/>
  <c r="AE66" i="2"/>
  <c r="AE70" i="2"/>
  <c r="AF70" i="2" s="1"/>
  <c r="AE76" i="2"/>
  <c r="AE79" i="2"/>
  <c r="AE78" i="2" s="1"/>
  <c r="AE75" i="2" s="1"/>
  <c r="AE84" i="2"/>
  <c r="AE89" i="2"/>
  <c r="AE92" i="2"/>
  <c r="AE95" i="2"/>
  <c r="AF95" i="2"/>
  <c r="AE100" i="2"/>
  <c r="AE99" i="2" s="1"/>
  <c r="AE103" i="2"/>
  <c r="AE110" i="2"/>
  <c r="AE106" i="2" s="1"/>
  <c r="AE114" i="2"/>
  <c r="AE118" i="2"/>
  <c r="AE113" i="2"/>
  <c r="AD12" i="2"/>
  <c r="AD15" i="2"/>
  <c r="AD14" i="2" s="1"/>
  <c r="AD20" i="2"/>
  <c r="AD23" i="2"/>
  <c r="AD28" i="2"/>
  <c r="AD27" i="2" s="1"/>
  <c r="AD31" i="2"/>
  <c r="AD34" i="2"/>
  <c r="AD37" i="2"/>
  <c r="AD42" i="2"/>
  <c r="AD41" i="2"/>
  <c r="AD45" i="2"/>
  <c r="AD49" i="2"/>
  <c r="AD52" i="2"/>
  <c r="AD59" i="2"/>
  <c r="AD55" i="2" s="1"/>
  <c r="AD62" i="2"/>
  <c r="AD66" i="2"/>
  <c r="AD70" i="2"/>
  <c r="AD65" i="2" s="1"/>
  <c r="AD76" i="2"/>
  <c r="AD79" i="2"/>
  <c r="AD78" i="2"/>
  <c r="AD75" i="2" s="1"/>
  <c r="AD84" i="2"/>
  <c r="AD89" i="2"/>
  <c r="AD92" i="2"/>
  <c r="AD88" i="2" s="1"/>
  <c r="AD95" i="2"/>
  <c r="AD100" i="2"/>
  <c r="AD103" i="2"/>
  <c r="AD99" i="2" s="1"/>
  <c r="AD110" i="2"/>
  <c r="AD106" i="2"/>
  <c r="AD114" i="2"/>
  <c r="AD113" i="2" s="1"/>
  <c r="AD118" i="2"/>
  <c r="AB12" i="2"/>
  <c r="AB15" i="2"/>
  <c r="AB14" i="2" s="1"/>
  <c r="AB20" i="2"/>
  <c r="AB23" i="2"/>
  <c r="AB28" i="2"/>
  <c r="AB27" i="2" s="1"/>
  <c r="AB31" i="2"/>
  <c r="AB34" i="2"/>
  <c r="AB37" i="2"/>
  <c r="AB42" i="2"/>
  <c r="AB41" i="2" s="1"/>
  <c r="AB49" i="2"/>
  <c r="AB48" i="2"/>
  <c r="AB59" i="2"/>
  <c r="AB55" i="2" s="1"/>
  <c r="AB62" i="2"/>
  <c r="AB66" i="2"/>
  <c r="AB65" i="2" s="1"/>
  <c r="AB76" i="2"/>
  <c r="AB79" i="2"/>
  <c r="AB78" i="2"/>
  <c r="AB84" i="2"/>
  <c r="AB89" i="2"/>
  <c r="AB88" i="2" s="1"/>
  <c r="AB87" i="2" s="1"/>
  <c r="AB74" i="2" s="1"/>
  <c r="AB92" i="2"/>
  <c r="AB95" i="2"/>
  <c r="AB100" i="2"/>
  <c r="AB99" i="2" s="1"/>
  <c r="AB110" i="2"/>
  <c r="AB106" i="2" s="1"/>
  <c r="AB114" i="2"/>
  <c r="AB113" i="2" s="1"/>
  <c r="Z12" i="2"/>
  <c r="Z15" i="2"/>
  <c r="Z14" i="2" s="1"/>
  <c r="Z20" i="2"/>
  <c r="Z23" i="2"/>
  <c r="Z59" i="2"/>
  <c r="Z55" i="2" s="1"/>
  <c r="Z62" i="2"/>
  <c r="Z66" i="2"/>
  <c r="Z65" i="2" s="1"/>
  <c r="Z76" i="2"/>
  <c r="Z79" i="2"/>
  <c r="Z78" i="2"/>
  <c r="Z75" i="2" s="1"/>
  <c r="Z84" i="2"/>
  <c r="Z110" i="2"/>
  <c r="Z106" i="2" s="1"/>
  <c r="Z114" i="2"/>
  <c r="Z113" i="2" s="1"/>
  <c r="Q12" i="2"/>
  <c r="Q15" i="2"/>
  <c r="Q14" i="2" s="1"/>
  <c r="X14" i="2" s="1"/>
  <c r="Q20" i="2"/>
  <c r="Q23" i="2"/>
  <c r="Q59" i="2"/>
  <c r="Q62" i="2"/>
  <c r="Q55" i="2"/>
  <c r="Q66" i="2"/>
  <c r="Q65" i="2" s="1"/>
  <c r="Q76" i="2"/>
  <c r="Q79" i="2"/>
  <c r="Q78" i="2" s="1"/>
  <c r="Q75" i="2" s="1"/>
  <c r="Q84" i="2"/>
  <c r="Q110" i="2"/>
  <c r="Q106" i="2"/>
  <c r="Q114" i="2"/>
  <c r="Q113" i="2" s="1"/>
  <c r="S12" i="2"/>
  <c r="S15" i="2"/>
  <c r="S14" i="2" s="1"/>
  <c r="S20" i="2"/>
  <c r="S23" i="2"/>
  <c r="S59" i="2"/>
  <c r="S55" i="2" s="1"/>
  <c r="S62" i="2"/>
  <c r="S66" i="2"/>
  <c r="S65" i="2" s="1"/>
  <c r="S76" i="2"/>
  <c r="S75" i="2"/>
  <c r="S79" i="2"/>
  <c r="S78" i="2" s="1"/>
  <c r="S84" i="2"/>
  <c r="S110" i="2"/>
  <c r="X110" i="2" s="1"/>
  <c r="S114" i="2"/>
  <c r="S113" i="2" s="1"/>
  <c r="U12" i="2"/>
  <c r="U15" i="2"/>
  <c r="U14" i="2" s="1"/>
  <c r="U11" i="2" s="1"/>
  <c r="U20" i="2"/>
  <c r="U23" i="2"/>
  <c r="U28" i="2"/>
  <c r="U31" i="2"/>
  <c r="U34" i="2"/>
  <c r="U37" i="2"/>
  <c r="U42" i="2"/>
  <c r="U41" i="2"/>
  <c r="U49" i="2"/>
  <c r="U48" i="2" s="1"/>
  <c r="U59" i="2"/>
  <c r="U62" i="2"/>
  <c r="U55" i="2"/>
  <c r="U66" i="2"/>
  <c r="U65" i="2" s="1"/>
  <c r="U76" i="2"/>
  <c r="U79" i="2"/>
  <c r="U78" i="2" s="1"/>
  <c r="U75" i="2" s="1"/>
  <c r="U84" i="2"/>
  <c r="U89" i="2"/>
  <c r="U92" i="2"/>
  <c r="U95" i="2"/>
  <c r="U100" i="2"/>
  <c r="U99" i="2"/>
  <c r="U110" i="2"/>
  <c r="U106" i="2" s="1"/>
  <c r="U114" i="2"/>
  <c r="U113" i="2"/>
  <c r="W12" i="2"/>
  <c r="W15" i="2"/>
  <c r="W14" i="2" s="1"/>
  <c r="W11" i="2"/>
  <c r="W20" i="2"/>
  <c r="W23" i="2"/>
  <c r="W28" i="2"/>
  <c r="W27" i="2"/>
  <c r="W31" i="2"/>
  <c r="W34" i="2"/>
  <c r="W37" i="2"/>
  <c r="W42" i="2"/>
  <c r="W41" i="2" s="1"/>
  <c r="W45" i="2"/>
  <c r="X41" i="2"/>
  <c r="W49" i="2"/>
  <c r="W48" i="2" s="1"/>
  <c r="W52" i="2"/>
  <c r="W59" i="2"/>
  <c r="W55" i="2" s="1"/>
  <c r="W62" i="2"/>
  <c r="W66" i="2"/>
  <c r="W70" i="2"/>
  <c r="X70" i="2" s="1"/>
  <c r="W76" i="2"/>
  <c r="W79" i="2"/>
  <c r="W78" i="2"/>
  <c r="W84" i="2"/>
  <c r="X84" i="2" s="1"/>
  <c r="W89" i="2"/>
  <c r="W92" i="2"/>
  <c r="W95" i="2"/>
  <c r="W100" i="2"/>
  <c r="W103" i="2"/>
  <c r="W99" i="2"/>
  <c r="W110" i="2"/>
  <c r="W106" i="2" s="1"/>
  <c r="W114" i="2"/>
  <c r="W118" i="2"/>
  <c r="V12" i="2"/>
  <c r="V15" i="2"/>
  <c r="V14" i="2" s="1"/>
  <c r="V20" i="2"/>
  <c r="V23" i="2"/>
  <c r="V28" i="2"/>
  <c r="V27" i="2" s="1"/>
  <c r="V31" i="2"/>
  <c r="V34" i="2"/>
  <c r="V37" i="2"/>
  <c r="V26" i="2" s="1"/>
  <c r="V10" i="2" s="1"/>
  <c r="V42" i="2"/>
  <c r="V45" i="2"/>
  <c r="V49" i="2"/>
  <c r="V52" i="2"/>
  <c r="V48" i="2" s="1"/>
  <c r="V59" i="2"/>
  <c r="V62" i="2"/>
  <c r="V55" i="2"/>
  <c r="V66" i="2"/>
  <c r="V65" i="2" s="1"/>
  <c r="V70" i="2"/>
  <c r="V76" i="2"/>
  <c r="V79" i="2"/>
  <c r="V78" i="2" s="1"/>
  <c r="V84" i="2"/>
  <c r="V89" i="2"/>
  <c r="V88" i="2" s="1"/>
  <c r="V92" i="2"/>
  <c r="V95" i="2"/>
  <c r="V100" i="2"/>
  <c r="V99" i="2" s="1"/>
  <c r="V103" i="2"/>
  <c r="V110" i="2"/>
  <c r="V106" i="2" s="1"/>
  <c r="V114" i="2"/>
  <c r="V118" i="2"/>
  <c r="T12" i="2"/>
  <c r="T15" i="2"/>
  <c r="T14" i="2" s="1"/>
  <c r="T11" i="2"/>
  <c r="T20" i="2"/>
  <c r="T23" i="2"/>
  <c r="T28" i="2"/>
  <c r="T27" i="2"/>
  <c r="T31" i="2"/>
  <c r="T34" i="2"/>
  <c r="T37" i="2"/>
  <c r="T42" i="2"/>
  <c r="T41" i="2" s="1"/>
  <c r="T49" i="2"/>
  <c r="T48" i="2" s="1"/>
  <c r="T26" i="2" s="1"/>
  <c r="T10" i="2" s="1"/>
  <c r="T59" i="2"/>
  <c r="T55" i="2" s="1"/>
  <c r="T62" i="2"/>
  <c r="T66" i="2"/>
  <c r="T65" i="2"/>
  <c r="T76" i="2"/>
  <c r="T79" i="2"/>
  <c r="T78" i="2" s="1"/>
  <c r="T84" i="2"/>
  <c r="T89" i="2"/>
  <c r="T92" i="2"/>
  <c r="T95" i="2"/>
  <c r="T100" i="2"/>
  <c r="T99" i="2" s="1"/>
  <c r="T110" i="2"/>
  <c r="T106" i="2" s="1"/>
  <c r="T114" i="2"/>
  <c r="T113" i="2" s="1"/>
  <c r="R12" i="2"/>
  <c r="R15" i="2"/>
  <c r="R14" i="2"/>
  <c r="R11" i="2" s="1"/>
  <c r="R20" i="2"/>
  <c r="R23" i="2"/>
  <c r="R59" i="2"/>
  <c r="R55" i="2" s="1"/>
  <c r="R62" i="2"/>
  <c r="R66" i="2"/>
  <c r="R65" i="2"/>
  <c r="R76" i="2"/>
  <c r="R79" i="2"/>
  <c r="R78" i="2" s="1"/>
  <c r="R75" i="2" s="1"/>
  <c r="R74" i="2" s="1"/>
  <c r="R122" i="2" s="1"/>
  <c r="R84" i="2"/>
  <c r="R110" i="2"/>
  <c r="R106" i="2" s="1"/>
  <c r="R114" i="2"/>
  <c r="R113" i="2"/>
  <c r="I12" i="2"/>
  <c r="P12" i="2" s="1"/>
  <c r="I15" i="2"/>
  <c r="I14" i="2" s="1"/>
  <c r="I20" i="2"/>
  <c r="I23" i="2"/>
  <c r="P23" i="2" s="1"/>
  <c r="I59" i="2"/>
  <c r="I62" i="2"/>
  <c r="I55" i="2" s="1"/>
  <c r="I66" i="2"/>
  <c r="I65" i="2" s="1"/>
  <c r="I76" i="2"/>
  <c r="I75" i="2" s="1"/>
  <c r="I79" i="2"/>
  <c r="I78" i="2" s="1"/>
  <c r="I84" i="2"/>
  <c r="I110" i="2"/>
  <c r="I106" i="2" s="1"/>
  <c r="I114" i="2"/>
  <c r="I113" i="2" s="1"/>
  <c r="K12" i="2"/>
  <c r="K15" i="2"/>
  <c r="K14" i="2"/>
  <c r="K20" i="2"/>
  <c r="K23" i="2"/>
  <c r="K28" i="2"/>
  <c r="K31" i="2"/>
  <c r="K27" i="2" s="1"/>
  <c r="K34" i="2"/>
  <c r="P34" i="2" s="1"/>
  <c r="K37" i="2"/>
  <c r="K42" i="2"/>
  <c r="K41" i="2" s="1"/>
  <c r="K49" i="2"/>
  <c r="K48" i="2" s="1"/>
  <c r="K59" i="2"/>
  <c r="K62" i="2"/>
  <c r="K55" i="2" s="1"/>
  <c r="K66" i="2"/>
  <c r="K65" i="2" s="1"/>
  <c r="P65" i="2" s="1"/>
  <c r="K76" i="2"/>
  <c r="K75" i="2" s="1"/>
  <c r="K79" i="2"/>
  <c r="K78" i="2" s="1"/>
  <c r="K84" i="2"/>
  <c r="K89" i="2"/>
  <c r="K88" i="2" s="1"/>
  <c r="K87" i="2" s="1"/>
  <c r="K74" i="2" s="1"/>
  <c r="K92" i="2"/>
  <c r="K95" i="2"/>
  <c r="K100" i="2"/>
  <c r="P100" i="2" s="1"/>
  <c r="K99" i="2"/>
  <c r="P99" i="2" s="1"/>
  <c r="K110" i="2"/>
  <c r="K106" i="2" s="1"/>
  <c r="K114" i="2"/>
  <c r="K113" i="2"/>
  <c r="M12" i="2"/>
  <c r="M15" i="2"/>
  <c r="M14" i="2" s="1"/>
  <c r="M11" i="2" s="1"/>
  <c r="M20" i="2"/>
  <c r="M23" i="2"/>
  <c r="M28" i="2"/>
  <c r="M31" i="2"/>
  <c r="M34" i="2"/>
  <c r="M37" i="2"/>
  <c r="M42" i="2"/>
  <c r="M41" i="2" s="1"/>
  <c r="M49" i="2"/>
  <c r="M48" i="2" s="1"/>
  <c r="M59" i="2"/>
  <c r="M55" i="2"/>
  <c r="M62" i="2"/>
  <c r="M66" i="2"/>
  <c r="M65" i="2" s="1"/>
  <c r="M76" i="2"/>
  <c r="M75" i="2" s="1"/>
  <c r="M79" i="2"/>
  <c r="M78" i="2" s="1"/>
  <c r="M84" i="2"/>
  <c r="M89" i="2"/>
  <c r="M88" i="2" s="1"/>
  <c r="M92" i="2"/>
  <c r="M95" i="2"/>
  <c r="M100" i="2"/>
  <c r="M99" i="2" s="1"/>
  <c r="M110" i="2"/>
  <c r="M106" i="2" s="1"/>
  <c r="M114" i="2"/>
  <c r="M113" i="2" s="1"/>
  <c r="O12" i="2"/>
  <c r="O15" i="2"/>
  <c r="O14" i="2" s="1"/>
  <c r="O20" i="2"/>
  <c r="P20" i="2" s="1"/>
  <c r="O23" i="2"/>
  <c r="O28" i="2"/>
  <c r="O31" i="2"/>
  <c r="O27" i="2"/>
  <c r="O26" i="2" s="1"/>
  <c r="O34" i="2"/>
  <c r="O37" i="2"/>
  <c r="O42" i="2"/>
  <c r="O41" i="2"/>
  <c r="P41" i="2" s="1"/>
  <c r="O45" i="2"/>
  <c r="O49" i="2"/>
  <c r="O52" i="2"/>
  <c r="P52" i="2"/>
  <c r="O59" i="2"/>
  <c r="O62" i="2"/>
  <c r="O66" i="2"/>
  <c r="O70" i="2"/>
  <c r="O65" i="2" s="1"/>
  <c r="O76" i="2"/>
  <c r="O79" i="2"/>
  <c r="O78" i="2"/>
  <c r="O84" i="2"/>
  <c r="O89" i="2"/>
  <c r="O92" i="2"/>
  <c r="O88" i="2" s="1"/>
  <c r="O95" i="2"/>
  <c r="O100" i="2"/>
  <c r="O103" i="2"/>
  <c r="O99" i="2" s="1"/>
  <c r="O110" i="2"/>
  <c r="O106" i="2" s="1"/>
  <c r="O114" i="2"/>
  <c r="O113" i="2" s="1"/>
  <c r="O118" i="2"/>
  <c r="N12" i="2"/>
  <c r="N15" i="2"/>
  <c r="N14" i="2" s="1"/>
  <c r="N11" i="2" s="1"/>
  <c r="N20" i="2"/>
  <c r="N23" i="2"/>
  <c r="N28" i="2"/>
  <c r="N31" i="2"/>
  <c r="N34" i="2"/>
  <c r="N37" i="2"/>
  <c r="N42" i="2"/>
  <c r="N45" i="2"/>
  <c r="N49" i="2"/>
  <c r="N48" i="2" s="1"/>
  <c r="N52" i="2"/>
  <c r="N59" i="2"/>
  <c r="N62" i="2"/>
  <c r="N55" i="2"/>
  <c r="N66" i="2"/>
  <c r="N70" i="2"/>
  <c r="N65" i="2"/>
  <c r="N76" i="2"/>
  <c r="N75" i="2" s="1"/>
  <c r="N74" i="2" s="1"/>
  <c r="N79" i="2"/>
  <c r="N78" i="2" s="1"/>
  <c r="N84" i="2"/>
  <c r="N89" i="2"/>
  <c r="N92" i="2"/>
  <c r="N88" i="2"/>
  <c r="N95" i="2"/>
  <c r="N100" i="2"/>
  <c r="N99" i="2" s="1"/>
  <c r="N87" i="2" s="1"/>
  <c r="N103" i="2"/>
  <c r="N110" i="2"/>
  <c r="N106" i="2" s="1"/>
  <c r="N114" i="2"/>
  <c r="N113" i="2" s="1"/>
  <c r="N118" i="2"/>
  <c r="L12" i="2"/>
  <c r="L15" i="2"/>
  <c r="L14" i="2"/>
  <c r="L11" i="2" s="1"/>
  <c r="L20" i="2"/>
  <c r="L23" i="2"/>
  <c r="L28" i="2"/>
  <c r="L31" i="2"/>
  <c r="L34" i="2"/>
  <c r="L37" i="2"/>
  <c r="L42" i="2"/>
  <c r="L41" i="2" s="1"/>
  <c r="L49" i="2"/>
  <c r="L48" i="2"/>
  <c r="L59" i="2"/>
  <c r="L55" i="2" s="1"/>
  <c r="L62" i="2"/>
  <c r="L66" i="2"/>
  <c r="L65" i="2" s="1"/>
  <c r="L76" i="2"/>
  <c r="L79" i="2"/>
  <c r="L78" i="2"/>
  <c r="L75" i="2" s="1"/>
  <c r="L84" i="2"/>
  <c r="L89" i="2"/>
  <c r="L92" i="2"/>
  <c r="L88" i="2" s="1"/>
  <c r="L87" i="2" s="1"/>
  <c r="L95" i="2"/>
  <c r="L100" i="2"/>
  <c r="L99" i="2"/>
  <c r="L110" i="2"/>
  <c r="L106" i="2" s="1"/>
  <c r="L114" i="2"/>
  <c r="L113" i="2"/>
  <c r="J12" i="2"/>
  <c r="J15" i="2"/>
  <c r="J14" i="2"/>
  <c r="J20" i="2"/>
  <c r="J11" i="2" s="1"/>
  <c r="J23" i="2"/>
  <c r="J28" i="2"/>
  <c r="J31" i="2"/>
  <c r="J34" i="2"/>
  <c r="J27" i="2" s="1"/>
  <c r="J37" i="2"/>
  <c r="J42" i="2"/>
  <c r="J41" i="2"/>
  <c r="J49" i="2"/>
  <c r="J48" i="2" s="1"/>
  <c r="J59" i="2"/>
  <c r="J62" i="2"/>
  <c r="J55" i="2" s="1"/>
  <c r="J66" i="2"/>
  <c r="J65" i="2" s="1"/>
  <c r="J76" i="2"/>
  <c r="J79" i="2"/>
  <c r="J78" i="2" s="1"/>
  <c r="J84" i="2"/>
  <c r="J89" i="2"/>
  <c r="J88" i="2" s="1"/>
  <c r="J92" i="2"/>
  <c r="J95" i="2"/>
  <c r="J100" i="2"/>
  <c r="J99" i="2" s="1"/>
  <c r="J110" i="2"/>
  <c r="J106" i="2"/>
  <c r="J114" i="2"/>
  <c r="J113" i="2" s="1"/>
  <c r="AF121" i="2"/>
  <c r="X121" i="2"/>
  <c r="P121" i="2"/>
  <c r="AF120" i="2"/>
  <c r="X120" i="2"/>
  <c r="P120" i="2"/>
  <c r="AF119" i="2"/>
  <c r="X119" i="2"/>
  <c r="P119" i="2"/>
  <c r="AF118" i="2"/>
  <c r="AF117" i="2"/>
  <c r="X117" i="2"/>
  <c r="P117" i="2"/>
  <c r="AF116" i="2"/>
  <c r="X116" i="2"/>
  <c r="P116" i="2"/>
  <c r="AF115" i="2"/>
  <c r="X115" i="2"/>
  <c r="P115" i="2"/>
  <c r="AF114" i="2"/>
  <c r="X114" i="2"/>
  <c r="AF112" i="2"/>
  <c r="X112" i="2"/>
  <c r="P112" i="2"/>
  <c r="AF111" i="2"/>
  <c r="X111" i="2"/>
  <c r="P111" i="2"/>
  <c r="AF109" i="2"/>
  <c r="X109" i="2"/>
  <c r="P109" i="2"/>
  <c r="AF108" i="2"/>
  <c r="X108" i="2"/>
  <c r="P108" i="2"/>
  <c r="AF107" i="2"/>
  <c r="X107" i="2"/>
  <c r="P107" i="2"/>
  <c r="AF105" i="2"/>
  <c r="X105" i="2"/>
  <c r="P105" i="2"/>
  <c r="AF104" i="2"/>
  <c r="X104" i="2"/>
  <c r="P104" i="2"/>
  <c r="AF103" i="2"/>
  <c r="X103" i="2"/>
  <c r="AF102" i="2"/>
  <c r="X102" i="2"/>
  <c r="P102" i="2"/>
  <c r="AF101" i="2"/>
  <c r="X101" i="2"/>
  <c r="P101" i="2"/>
  <c r="X100" i="2"/>
  <c r="X99" i="2"/>
  <c r="AF98" i="2"/>
  <c r="X98" i="2"/>
  <c r="P98" i="2"/>
  <c r="AF97" i="2"/>
  <c r="X97" i="2"/>
  <c r="P97" i="2"/>
  <c r="AF96" i="2"/>
  <c r="X96" i="2"/>
  <c r="P96" i="2"/>
  <c r="X95" i="2"/>
  <c r="P95" i="2"/>
  <c r="AF94" i="2"/>
  <c r="X94" i="2"/>
  <c r="P94" i="2"/>
  <c r="AF93" i="2"/>
  <c r="X93" i="2"/>
  <c r="P93" i="2"/>
  <c r="AF92" i="2"/>
  <c r="X92" i="2"/>
  <c r="P92" i="2"/>
  <c r="AF91" i="2"/>
  <c r="X91" i="2"/>
  <c r="P91" i="2"/>
  <c r="AF90" i="2"/>
  <c r="X90" i="2"/>
  <c r="P90" i="2"/>
  <c r="AF89" i="2"/>
  <c r="X89" i="2"/>
  <c r="AF86" i="2"/>
  <c r="X86" i="2"/>
  <c r="P86" i="2"/>
  <c r="AF85" i="2"/>
  <c r="X85" i="2"/>
  <c r="P85" i="2"/>
  <c r="AF83" i="2"/>
  <c r="X83" i="2"/>
  <c r="P83" i="2"/>
  <c r="AF82" i="2"/>
  <c r="X82" i="2"/>
  <c r="P82" i="2"/>
  <c r="AF81" i="2"/>
  <c r="X81" i="2"/>
  <c r="P81" i="2"/>
  <c r="AF80" i="2"/>
  <c r="X80" i="2"/>
  <c r="P80" i="2"/>
  <c r="AF79" i="2"/>
  <c r="AF77" i="2"/>
  <c r="X77" i="2"/>
  <c r="P77" i="2"/>
  <c r="X76" i="2"/>
  <c r="AF73" i="2"/>
  <c r="X73" i="2"/>
  <c r="P73" i="2"/>
  <c r="AF72" i="2"/>
  <c r="X72" i="2"/>
  <c r="P72" i="2"/>
  <c r="AF71" i="2"/>
  <c r="X71" i="2"/>
  <c r="P71" i="2"/>
  <c r="P70" i="2"/>
  <c r="AF69" i="2"/>
  <c r="X69" i="2"/>
  <c r="P69" i="2"/>
  <c r="AF68" i="2"/>
  <c r="X68" i="2"/>
  <c r="P68" i="2"/>
  <c r="AF67" i="2"/>
  <c r="X67" i="2"/>
  <c r="P67" i="2"/>
  <c r="AF66" i="2"/>
  <c r="P66" i="2"/>
  <c r="AF64" i="2"/>
  <c r="X64" i="2"/>
  <c r="P64" i="2"/>
  <c r="AF63" i="2"/>
  <c r="X63" i="2"/>
  <c r="P63" i="2"/>
  <c r="X62" i="2"/>
  <c r="P62" i="2"/>
  <c r="AF61" i="2"/>
  <c r="X61" i="2"/>
  <c r="P61" i="2"/>
  <c r="AF60" i="2"/>
  <c r="X60" i="2"/>
  <c r="P60" i="2"/>
  <c r="X59" i="2"/>
  <c r="AF58" i="2"/>
  <c r="X58" i="2"/>
  <c r="P58" i="2"/>
  <c r="AF57" i="2"/>
  <c r="X57" i="2"/>
  <c r="P57" i="2"/>
  <c r="AF56" i="2"/>
  <c r="X56" i="2"/>
  <c r="P56" i="2"/>
  <c r="AF54" i="2"/>
  <c r="X54" i="2"/>
  <c r="P54" i="2"/>
  <c r="AF53" i="2"/>
  <c r="X53" i="2"/>
  <c r="P53" i="2"/>
  <c r="AF52" i="2"/>
  <c r="X52" i="2"/>
  <c r="AF51" i="2"/>
  <c r="X51" i="2"/>
  <c r="P51" i="2"/>
  <c r="AF50" i="2"/>
  <c r="X50" i="2"/>
  <c r="P50" i="2"/>
  <c r="AF49" i="2"/>
  <c r="X49" i="2"/>
  <c r="P49" i="2"/>
  <c r="X48" i="2"/>
  <c r="AF47" i="2"/>
  <c r="X47" i="2"/>
  <c r="P47" i="2"/>
  <c r="AF46" i="2"/>
  <c r="X46" i="2"/>
  <c r="P46" i="2"/>
  <c r="AF45" i="2"/>
  <c r="X45" i="2"/>
  <c r="P45" i="2"/>
  <c r="AF44" i="2"/>
  <c r="X44" i="2"/>
  <c r="P44" i="2"/>
  <c r="AF43" i="2"/>
  <c r="X43" i="2"/>
  <c r="P43" i="2"/>
  <c r="AF42" i="2"/>
  <c r="X42" i="2"/>
  <c r="AF40" i="2"/>
  <c r="X40" i="2"/>
  <c r="P40" i="2"/>
  <c r="AF39" i="2"/>
  <c r="X39" i="2"/>
  <c r="P39" i="2"/>
  <c r="AF38" i="2"/>
  <c r="X38" i="2"/>
  <c r="P38" i="2"/>
  <c r="AF37" i="2"/>
  <c r="X37" i="2"/>
  <c r="P37" i="2"/>
  <c r="AF36" i="2"/>
  <c r="X36" i="2"/>
  <c r="P36" i="2"/>
  <c r="AF35" i="2"/>
  <c r="X35" i="2"/>
  <c r="P35" i="2"/>
  <c r="AF34" i="2"/>
  <c r="X34" i="2"/>
  <c r="D31" i="2"/>
  <c r="D34" i="2" s="1"/>
  <c r="AF33" i="2"/>
  <c r="X33" i="2"/>
  <c r="P33" i="2"/>
  <c r="AF32" i="2"/>
  <c r="X32" i="2"/>
  <c r="P32" i="2"/>
  <c r="AF31" i="2"/>
  <c r="X31" i="2"/>
  <c r="P31" i="2"/>
  <c r="AF30" i="2"/>
  <c r="X30" i="2"/>
  <c r="P30" i="2"/>
  <c r="AF29" i="2"/>
  <c r="X29" i="2"/>
  <c r="P29" i="2"/>
  <c r="AF28" i="2"/>
  <c r="X28" i="2"/>
  <c r="AF25" i="2"/>
  <c r="X25" i="2"/>
  <c r="P25" i="2"/>
  <c r="AF24" i="2"/>
  <c r="X24" i="2"/>
  <c r="P24" i="2"/>
  <c r="AF22" i="2"/>
  <c r="X22" i="2"/>
  <c r="P22" i="2"/>
  <c r="AF21" i="2"/>
  <c r="X21" i="2"/>
  <c r="P21" i="2"/>
  <c r="AF20" i="2"/>
  <c r="X20" i="2"/>
  <c r="AF19" i="2"/>
  <c r="X19" i="2"/>
  <c r="P19" i="2"/>
  <c r="AF18" i="2"/>
  <c r="X18" i="2"/>
  <c r="P18" i="2"/>
  <c r="AF17" i="2"/>
  <c r="X17" i="2"/>
  <c r="P17" i="2"/>
  <c r="AF16" i="2"/>
  <c r="X16" i="2"/>
  <c r="P16" i="2"/>
  <c r="AF15" i="2"/>
  <c r="X15" i="2"/>
  <c r="P15" i="2"/>
  <c r="AF13" i="2"/>
  <c r="X13" i="2"/>
  <c r="P13" i="2"/>
  <c r="AF12" i="2"/>
  <c r="X12" i="2"/>
  <c r="R10" i="2"/>
  <c r="K11" i="2"/>
  <c r="AC26" i="2"/>
  <c r="AA11" i="2"/>
  <c r="AB26" i="2"/>
  <c r="L10" i="1"/>
  <c r="P10" i="1" s="1"/>
  <c r="P14" i="1"/>
  <c r="V14" i="1"/>
  <c r="R10" i="1"/>
  <c r="I75" i="5"/>
  <c r="I74" i="5"/>
  <c r="AC87" i="5"/>
  <c r="AA26" i="5"/>
  <c r="P118" i="2"/>
  <c r="I18" i="1"/>
  <c r="K18" i="1"/>
  <c r="AD18" i="1"/>
  <c r="S10" i="1"/>
  <c r="S25" i="1" s="1"/>
  <c r="W25" i="1" s="1"/>
  <c r="X10" i="1"/>
  <c r="P28" i="5"/>
  <c r="P34" i="5"/>
  <c r="K41" i="5"/>
  <c r="P41" i="5" s="1"/>
  <c r="U75" i="5"/>
  <c r="X113" i="5"/>
  <c r="AF88" i="5"/>
  <c r="J11" i="4"/>
  <c r="J59" i="4"/>
  <c r="N40" i="4"/>
  <c r="V11" i="4"/>
  <c r="V59" i="4"/>
  <c r="K14" i="1"/>
  <c r="AD14" i="1" s="1"/>
  <c r="AC14" i="1"/>
  <c r="Y10" i="1"/>
  <c r="Y11" i="5"/>
  <c r="AF14" i="5"/>
  <c r="M11" i="4"/>
  <c r="R74" i="5"/>
  <c r="X106" i="5"/>
  <c r="AC10" i="5"/>
  <c r="P33" i="4"/>
  <c r="AD11" i="4"/>
  <c r="AD59" i="4" s="1"/>
  <c r="AE11" i="4"/>
  <c r="AF14" i="7"/>
  <c r="Y13" i="7"/>
  <c r="AF13" i="7" s="1"/>
  <c r="Q46" i="7"/>
  <c r="O52" i="4"/>
  <c r="O40" i="4"/>
  <c r="P34" i="4"/>
  <c r="AF34" i="4"/>
  <c r="AF22" i="7"/>
  <c r="AF19" i="7"/>
  <c r="J97" i="6"/>
  <c r="AF15" i="8"/>
  <c r="R52" i="9"/>
  <c r="N44" i="10"/>
  <c r="S10" i="10"/>
  <c r="W10" i="10"/>
  <c r="Y87" i="2"/>
  <c r="Y11" i="4"/>
  <c r="Y59" i="4" s="1"/>
  <c r="X14" i="7"/>
  <c r="Q13" i="7"/>
  <c r="X10" i="9"/>
  <c r="Q52" i="9"/>
  <c r="P70" i="5"/>
  <c r="P49" i="5"/>
  <c r="X114" i="5"/>
  <c r="X110" i="5"/>
  <c r="X100" i="5"/>
  <c r="X76" i="5"/>
  <c r="X66" i="5"/>
  <c r="X59" i="5"/>
  <c r="X49" i="5"/>
  <c r="AF92" i="5"/>
  <c r="AF70" i="5"/>
  <c r="AF45" i="5"/>
  <c r="AF15" i="5"/>
  <c r="K26" i="4"/>
  <c r="AC26" i="4"/>
  <c r="U33" i="4"/>
  <c r="X33" i="4"/>
  <c r="P13" i="4"/>
  <c r="AF13" i="4"/>
  <c r="I13" i="7"/>
  <c r="P13" i="7"/>
  <c r="X22" i="7"/>
  <c r="U44" i="10"/>
  <c r="I46" i="7"/>
  <c r="P55" i="6"/>
  <c r="I10" i="6"/>
  <c r="I11" i="8"/>
  <c r="I21" i="8"/>
  <c r="I31" i="8"/>
  <c r="P41" i="8"/>
  <c r="P35" i="8"/>
  <c r="P25" i="8"/>
  <c r="P15" i="8"/>
  <c r="I10" i="9"/>
  <c r="I52" i="9" s="1"/>
  <c r="P52" i="9" s="1"/>
  <c r="Y38" i="8"/>
  <c r="AF38" i="8"/>
  <c r="Y32" i="8"/>
  <c r="AF32" i="8" s="1"/>
  <c r="Y28" i="8"/>
  <c r="AF28" i="8"/>
  <c r="Y22" i="8"/>
  <c r="AF22" i="8" s="1"/>
  <c r="Y18" i="8"/>
  <c r="AF18" i="8"/>
  <c r="Y12" i="8"/>
  <c r="AF12" i="8" s="1"/>
  <c r="X18" i="9"/>
  <c r="P10" i="9"/>
  <c r="Y21" i="8"/>
  <c r="AF21" i="8" s="1"/>
  <c r="P21" i="8"/>
  <c r="I50" i="6"/>
  <c r="X13" i="7"/>
  <c r="Q25" i="7"/>
  <c r="AC10" i="1"/>
  <c r="AB10" i="1"/>
  <c r="AA74" i="2"/>
  <c r="I25" i="7"/>
  <c r="P25" i="7" s="1"/>
  <c r="Y11" i="8"/>
  <c r="I10" i="8"/>
  <c r="I45" i="8" s="1"/>
  <c r="W10" i="1"/>
  <c r="K11" i="4"/>
  <c r="P75" i="2"/>
  <c r="X65" i="2"/>
  <c r="I11" i="2"/>
  <c r="S106" i="2"/>
  <c r="X106" i="2" s="1"/>
  <c r="L18" i="1"/>
  <c r="P18" i="1" s="1"/>
  <c r="U41" i="5"/>
  <c r="X42" i="5"/>
  <c r="X14" i="5"/>
  <c r="AF42" i="4"/>
  <c r="AC41" i="4"/>
  <c r="AA11" i="8"/>
  <c r="AF11" i="8"/>
  <c r="K10" i="8"/>
  <c r="U11" i="4"/>
  <c r="P11" i="8"/>
  <c r="Y25" i="1"/>
  <c r="P79" i="5"/>
  <c r="X27" i="4"/>
  <c r="AF33" i="4"/>
  <c r="P42" i="2"/>
  <c r="X66" i="2"/>
  <c r="AF100" i="2"/>
  <c r="L27" i="2"/>
  <c r="L26" i="2" s="1"/>
  <c r="O87" i="2"/>
  <c r="O75" i="2"/>
  <c r="O74" i="2"/>
  <c r="O48" i="2"/>
  <c r="P48" i="2" s="1"/>
  <c r="M87" i="2"/>
  <c r="M74" i="2"/>
  <c r="V87" i="2"/>
  <c r="X78" i="2"/>
  <c r="AF113" i="2"/>
  <c r="M11" i="5"/>
  <c r="O106" i="5"/>
  <c r="P106" i="5"/>
  <c r="P110" i="5"/>
  <c r="Y113" i="5"/>
  <c r="AF114" i="5"/>
  <c r="P78" i="5"/>
  <c r="P78" i="2"/>
  <c r="P59" i="2"/>
  <c r="K26" i="2"/>
  <c r="P55" i="2"/>
  <c r="P14" i="2"/>
  <c r="W26" i="2"/>
  <c r="W10" i="2" s="1"/>
  <c r="V27" i="5"/>
  <c r="V26" i="5" s="1"/>
  <c r="V10" i="5" s="1"/>
  <c r="S75" i="5"/>
  <c r="X75" i="5" s="1"/>
  <c r="N41" i="2"/>
  <c r="O55" i="2"/>
  <c r="P114" i="2"/>
  <c r="P79" i="2"/>
  <c r="AB11" i="2"/>
  <c r="AB10" i="2"/>
  <c r="AB122" i="2" s="1"/>
  <c r="AD87" i="2"/>
  <c r="AD74" i="2" s="1"/>
  <c r="AF76" i="2"/>
  <c r="Y75" i="2"/>
  <c r="Y74" i="2" s="1"/>
  <c r="Y55" i="2"/>
  <c r="Q11" i="1"/>
  <c r="AD11" i="1"/>
  <c r="M10" i="1"/>
  <c r="Q10" i="1" s="1"/>
  <c r="P20" i="5"/>
  <c r="O65" i="5"/>
  <c r="P66" i="5"/>
  <c r="P59" i="5"/>
  <c r="K55" i="5"/>
  <c r="P55" i="5"/>
  <c r="AF19" i="4"/>
  <c r="AC12" i="4"/>
  <c r="V41" i="2"/>
  <c r="W65" i="2"/>
  <c r="AD48" i="2"/>
  <c r="AD26" i="2"/>
  <c r="AD10" i="2" s="1"/>
  <c r="AD122" i="2" s="1"/>
  <c r="AE65" i="2"/>
  <c r="AF65" i="2" s="1"/>
  <c r="S78" i="5"/>
  <c r="X78" i="5" s="1"/>
  <c r="X79" i="5"/>
  <c r="U27" i="5"/>
  <c r="AE99" i="5"/>
  <c r="AE87" i="5" s="1"/>
  <c r="AF103" i="5"/>
  <c r="AC75" i="5"/>
  <c r="X26" i="4"/>
  <c r="AD40" i="4"/>
  <c r="Z11" i="2"/>
  <c r="Z10" i="2"/>
  <c r="AB75" i="2"/>
  <c r="Y11" i="2"/>
  <c r="N74" i="5"/>
  <c r="AB87" i="5"/>
  <c r="AB74" i="5" s="1"/>
  <c r="P89" i="5"/>
  <c r="K88" i="5"/>
  <c r="M40" i="4"/>
  <c r="M59" i="4" s="1"/>
  <c r="U41" i="4"/>
  <c r="X45" i="4"/>
  <c r="X11" i="7"/>
  <c r="P89" i="2"/>
  <c r="T88" i="2"/>
  <c r="T87" i="2"/>
  <c r="T75" i="2"/>
  <c r="T74" i="2" s="1"/>
  <c r="V11" i="2"/>
  <c r="W88" i="2"/>
  <c r="W87" i="2"/>
  <c r="W75" i="2"/>
  <c r="U88" i="2"/>
  <c r="AD11" i="2"/>
  <c r="AE88" i="2"/>
  <c r="AE87" i="2" s="1"/>
  <c r="AE27" i="2"/>
  <c r="P23" i="5"/>
  <c r="AB11" i="5"/>
  <c r="AB10" i="5" s="1"/>
  <c r="AB122" i="5" s="1"/>
  <c r="P65" i="5"/>
  <c r="P48" i="5"/>
  <c r="X37" i="5"/>
  <c r="U11" i="5"/>
  <c r="S11" i="5"/>
  <c r="S10" i="5" s="1"/>
  <c r="S122" i="5" s="1"/>
  <c r="Q11" i="5"/>
  <c r="X23" i="5"/>
  <c r="AA106" i="5"/>
  <c r="AF106" i="5" s="1"/>
  <c r="AF110" i="5"/>
  <c r="AF62" i="5"/>
  <c r="AE27" i="5"/>
  <c r="P53" i="4"/>
  <c r="K52" i="4"/>
  <c r="L46" i="7"/>
  <c r="O34" i="7"/>
  <c r="O46" i="7" s="1"/>
  <c r="P46" i="7" s="1"/>
  <c r="P35" i="7"/>
  <c r="X35" i="7"/>
  <c r="S34" i="7"/>
  <c r="O99" i="5"/>
  <c r="P99" i="5" s="1"/>
  <c r="X15" i="5"/>
  <c r="AF89" i="5"/>
  <c r="AF66" i="5"/>
  <c r="AF12" i="5"/>
  <c r="AF48" i="4"/>
  <c r="J25" i="7"/>
  <c r="AC25" i="7"/>
  <c r="N46" i="7"/>
  <c r="V46" i="7"/>
  <c r="W46" i="7"/>
  <c r="P13" i="6"/>
  <c r="P33" i="9"/>
  <c r="K32" i="9"/>
  <c r="P32" i="9"/>
  <c r="AA55" i="5"/>
  <c r="P45" i="4"/>
  <c r="AB25" i="7"/>
  <c r="M46" i="7"/>
  <c r="O76" i="6"/>
  <c r="P76" i="6"/>
  <c r="J11" i="8"/>
  <c r="AD52" i="4"/>
  <c r="N25" i="7"/>
  <c r="T46" i="7"/>
  <c r="Z46" i="7"/>
  <c r="Y34" i="7"/>
  <c r="AF35" i="7"/>
  <c r="P59" i="6"/>
  <c r="I54" i="6"/>
  <c r="I97" i="6" s="1"/>
  <c r="P97" i="6" s="1"/>
  <c r="N50" i="6"/>
  <c r="N52" i="6"/>
  <c r="R46" i="7"/>
  <c r="AA46" i="7"/>
  <c r="J10" i="6"/>
  <c r="J50" i="6" s="1"/>
  <c r="J52" i="6" s="1"/>
  <c r="L28" i="6"/>
  <c r="L50" i="6"/>
  <c r="L52" i="6" s="1"/>
  <c r="J21" i="8"/>
  <c r="J31" i="8"/>
  <c r="N33" i="10"/>
  <c r="N10" i="10"/>
  <c r="N78" i="10"/>
  <c r="S45" i="10"/>
  <c r="S44" i="10" s="1"/>
  <c r="T11" i="10"/>
  <c r="O10" i="1"/>
  <c r="O25" i="1"/>
  <c r="T10" i="1"/>
  <c r="T25" i="1" s="1"/>
  <c r="AA25" i="1"/>
  <c r="Q87" i="2"/>
  <c r="Q87" i="5"/>
  <c r="P43" i="7"/>
  <c r="X43" i="7"/>
  <c r="X32" i="7"/>
  <c r="AD46" i="7"/>
  <c r="J28" i="6"/>
  <c r="P30" i="6"/>
  <c r="O10" i="6"/>
  <c r="O50" i="6" s="1"/>
  <c r="O52" i="6" s="1"/>
  <c r="L54" i="6"/>
  <c r="L97" i="6" s="1"/>
  <c r="X21" i="8"/>
  <c r="J32" i="9"/>
  <c r="J52" i="9" s="1"/>
  <c r="K52" i="9"/>
  <c r="T22" i="10"/>
  <c r="Z25" i="1"/>
  <c r="Q26" i="2"/>
  <c r="S32" i="9"/>
  <c r="X32" i="9" s="1"/>
  <c r="P52" i="4"/>
  <c r="AE26" i="2"/>
  <c r="AC25" i="1"/>
  <c r="AC40" i="4"/>
  <c r="P10" i="6"/>
  <c r="O97" i="6"/>
  <c r="AF99" i="5"/>
  <c r="AC11" i="4"/>
  <c r="AC59" i="4" s="1"/>
  <c r="L25" i="1"/>
  <c r="P25" i="1" s="1"/>
  <c r="AA74" i="5"/>
  <c r="X88" i="2"/>
  <c r="U87" i="2"/>
  <c r="U74" i="2" s="1"/>
  <c r="T10" i="10"/>
  <c r="Y46" i="7"/>
  <c r="AF34" i="7"/>
  <c r="Q10" i="5"/>
  <c r="U26" i="5"/>
  <c r="X27" i="5"/>
  <c r="K45" i="8"/>
  <c r="I10" i="2"/>
  <c r="V10" i="1"/>
  <c r="P54" i="6"/>
  <c r="Z11" i="8"/>
  <c r="S46" i="7"/>
  <c r="X34" i="7"/>
  <c r="K87" i="5"/>
  <c r="P88" i="5"/>
  <c r="S74" i="5"/>
  <c r="AF11" i="4"/>
  <c r="R25" i="1" l="1"/>
  <c r="V25" i="1" s="1"/>
  <c r="X75" i="2"/>
  <c r="Q74" i="2"/>
  <c r="AE74" i="2"/>
  <c r="AF87" i="5"/>
  <c r="S78" i="10"/>
  <c r="J75" i="2"/>
  <c r="J26" i="2"/>
  <c r="J10" i="2"/>
  <c r="L10" i="2"/>
  <c r="L122" i="2" s="1"/>
  <c r="P113" i="2"/>
  <c r="I74" i="2"/>
  <c r="P74" i="2" s="1"/>
  <c r="T122" i="2"/>
  <c r="V122" i="2"/>
  <c r="X26" i="5"/>
  <c r="I122" i="2"/>
  <c r="V122" i="5"/>
  <c r="P45" i="8"/>
  <c r="P50" i="6"/>
  <c r="J87" i="2"/>
  <c r="L74" i="2"/>
  <c r="Y74" i="5"/>
  <c r="AF75" i="5"/>
  <c r="AF41" i="5"/>
  <c r="X70" i="5"/>
  <c r="U65" i="5"/>
  <c r="X65" i="5" s="1"/>
  <c r="I52" i="6"/>
  <c r="P52" i="6" s="1"/>
  <c r="P10" i="8"/>
  <c r="AF88" i="2"/>
  <c r="S74" i="2"/>
  <c r="M25" i="1"/>
  <c r="Q25" i="1" s="1"/>
  <c r="Q74" i="5"/>
  <c r="AF34" i="5"/>
  <c r="K27" i="5"/>
  <c r="Y25" i="7"/>
  <c r="AF25" i="7" s="1"/>
  <c r="AF78" i="5"/>
  <c r="AF59" i="2"/>
  <c r="AF99" i="2"/>
  <c r="P103" i="2"/>
  <c r="P106" i="2"/>
  <c r="V113" i="2"/>
  <c r="U27" i="2"/>
  <c r="Z74" i="2"/>
  <c r="Z122" i="2" s="1"/>
  <c r="AE55" i="2"/>
  <c r="AF55" i="2" s="1"/>
  <c r="AF41" i="2"/>
  <c r="P12" i="5"/>
  <c r="R11" i="5"/>
  <c r="R10" i="5" s="1"/>
  <c r="R122" i="5" s="1"/>
  <c r="K14" i="5"/>
  <c r="P14" i="5" s="1"/>
  <c r="P15" i="5"/>
  <c r="M26" i="5"/>
  <c r="M10" i="5" s="1"/>
  <c r="T87" i="5"/>
  <c r="AF100" i="5"/>
  <c r="AC113" i="5"/>
  <c r="P30" i="4"/>
  <c r="O26" i="4"/>
  <c r="P26" i="4" s="1"/>
  <c r="N26" i="5"/>
  <c r="N10" i="5" s="1"/>
  <c r="N122" i="5" s="1"/>
  <c r="Q41" i="4"/>
  <c r="X42" i="4"/>
  <c r="Q122" i="5"/>
  <c r="K10" i="2"/>
  <c r="O87" i="5"/>
  <c r="P87" i="5" s="1"/>
  <c r="X87" i="2"/>
  <c r="P34" i="7"/>
  <c r="S52" i="9"/>
  <c r="X52" i="9" s="1"/>
  <c r="Q11" i="2"/>
  <c r="AF110" i="2"/>
  <c r="P110" i="2"/>
  <c r="I10" i="1"/>
  <c r="P76" i="2"/>
  <c r="N27" i="2"/>
  <c r="N26" i="2" s="1"/>
  <c r="N10" i="2" s="1"/>
  <c r="N122" i="2" s="1"/>
  <c r="O11" i="2"/>
  <c r="O10" i="2" s="1"/>
  <c r="O122" i="2" s="1"/>
  <c r="P84" i="2"/>
  <c r="V75" i="2"/>
  <c r="V74" i="2" s="1"/>
  <c r="S11" i="2"/>
  <c r="S10" i="2" s="1"/>
  <c r="X23" i="2"/>
  <c r="AC75" i="2"/>
  <c r="AF78" i="2"/>
  <c r="AB22" i="1"/>
  <c r="X18" i="1"/>
  <c r="AB18" i="1" s="1"/>
  <c r="T10" i="5"/>
  <c r="AD11" i="5"/>
  <c r="AD10" i="5" s="1"/>
  <c r="AD122" i="5" s="1"/>
  <c r="M74" i="5"/>
  <c r="X118" i="2"/>
  <c r="W113" i="2"/>
  <c r="W74" i="2" s="1"/>
  <c r="W122" i="2" s="1"/>
  <c r="J10" i="8"/>
  <c r="P87" i="2"/>
  <c r="Y55" i="5"/>
  <c r="AF55" i="5" s="1"/>
  <c r="P31" i="8"/>
  <c r="I11" i="5"/>
  <c r="AF14" i="2"/>
  <c r="X79" i="2"/>
  <c r="P88" i="2"/>
  <c r="P28" i="2"/>
  <c r="M27" i="2"/>
  <c r="X55" i="2"/>
  <c r="AE11" i="2"/>
  <c r="AE10" i="2" s="1"/>
  <c r="AE122" i="2" s="1"/>
  <c r="V22" i="1"/>
  <c r="R18" i="1"/>
  <c r="V18" i="1" s="1"/>
  <c r="Z74" i="5"/>
  <c r="Z122" i="5" s="1"/>
  <c r="V99" i="5"/>
  <c r="V87" i="5" s="1"/>
  <c r="V74" i="5" s="1"/>
  <c r="W11" i="5"/>
  <c r="W10" i="5" s="1"/>
  <c r="AE113" i="5"/>
  <c r="AE74" i="5" s="1"/>
  <c r="AE41" i="5"/>
  <c r="AE26" i="5" s="1"/>
  <c r="AE10" i="5" s="1"/>
  <c r="AF42" i="5"/>
  <c r="AA11" i="5"/>
  <c r="AA10" i="5" s="1"/>
  <c r="AA122" i="5" s="1"/>
  <c r="AF45" i="4"/>
  <c r="AE41" i="4"/>
  <c r="AB59" i="4"/>
  <c r="X35" i="8"/>
  <c r="Q31" i="8"/>
  <c r="Y31" i="8" s="1"/>
  <c r="AF31" i="8" s="1"/>
  <c r="T113" i="5"/>
  <c r="P114" i="5"/>
  <c r="O113" i="5"/>
  <c r="O75" i="5"/>
  <c r="P95" i="5"/>
  <c r="U88" i="5"/>
  <c r="X89" i="5"/>
  <c r="X55" i="5"/>
  <c r="W41" i="5"/>
  <c r="W26" i="5" s="1"/>
  <c r="X45" i="5"/>
  <c r="X53" i="4"/>
  <c r="U52" i="4"/>
  <c r="P77" i="6"/>
  <c r="N48" i="5"/>
  <c r="L74" i="5"/>
  <c r="L122" i="5" s="1"/>
  <c r="T74" i="5"/>
  <c r="L87" i="5"/>
  <c r="K113" i="5"/>
  <c r="K74" i="5" s="1"/>
  <c r="W99" i="5"/>
  <c r="W87" i="5" s="1"/>
  <c r="W74" i="5" s="1"/>
  <c r="AF84" i="5"/>
  <c r="Y26" i="5"/>
  <c r="K41" i="4"/>
  <c r="AE52" i="4"/>
  <c r="AF52" i="4" s="1"/>
  <c r="L12" i="4"/>
  <c r="L11" i="4" s="1"/>
  <c r="L59" i="4" s="1"/>
  <c r="P16" i="4"/>
  <c r="O12" i="4"/>
  <c r="W12" i="4"/>
  <c r="W11" i="4" s="1"/>
  <c r="W59" i="4" s="1"/>
  <c r="U25" i="7"/>
  <c r="X25" i="7" s="1"/>
  <c r="L25" i="7"/>
  <c r="J46" i="7"/>
  <c r="U46" i="7"/>
  <c r="X46" i="7" s="1"/>
  <c r="AF40" i="7"/>
  <c r="P37" i="6"/>
  <c r="M28" i="6"/>
  <c r="M50" i="6" s="1"/>
  <c r="M52" i="6" s="1"/>
  <c r="S31" i="8"/>
  <c r="S10" i="8" s="1"/>
  <c r="V23" i="10"/>
  <c r="V22" i="10" s="1"/>
  <c r="V10" i="10" s="1"/>
  <c r="Y27" i="2"/>
  <c r="Q12" i="4"/>
  <c r="N12" i="4"/>
  <c r="N11" i="4" s="1"/>
  <c r="N59" i="4" s="1"/>
  <c r="P11" i="7"/>
  <c r="X19" i="7"/>
  <c r="AF11" i="7"/>
  <c r="R21" i="8"/>
  <c r="Q33" i="10"/>
  <c r="Q10" i="10" s="1"/>
  <c r="Q78" i="10" s="1"/>
  <c r="U34" i="10"/>
  <c r="U33" i="10" s="1"/>
  <c r="U10" i="10" s="1"/>
  <c r="U78" i="10" s="1"/>
  <c r="W46" i="10"/>
  <c r="W45" i="10" s="1"/>
  <c r="W44" i="10" s="1"/>
  <c r="W78" i="10" s="1"/>
  <c r="O23" i="10"/>
  <c r="O22" i="10" s="1"/>
  <c r="O10" i="10" s="1"/>
  <c r="O78" i="10" s="1"/>
  <c r="T12" i="4"/>
  <c r="T11" i="4" s="1"/>
  <c r="T59" i="4" s="1"/>
  <c r="P14" i="7"/>
  <c r="P22" i="7"/>
  <c r="X40" i="7"/>
  <c r="AC46" i="7"/>
  <c r="AF46" i="7" s="1"/>
  <c r="Y35" i="8"/>
  <c r="AF35" i="8" s="1"/>
  <c r="AA31" i="8"/>
  <c r="R31" i="8"/>
  <c r="Z31" i="8" s="1"/>
  <c r="P23" i="10"/>
  <c r="P22" i="10" s="1"/>
  <c r="P10" i="10" s="1"/>
  <c r="P78" i="10" s="1"/>
  <c r="T67" i="10"/>
  <c r="T44" i="10" s="1"/>
  <c r="T78" i="10" s="1"/>
  <c r="V68" i="10"/>
  <c r="V67" i="10" s="1"/>
  <c r="V44" i="10" s="1"/>
  <c r="X19" i="4"/>
  <c r="P28" i="6"/>
  <c r="AA10" i="8" l="1"/>
  <c r="S45" i="8"/>
  <c r="AA45" i="8" s="1"/>
  <c r="M122" i="5"/>
  <c r="Y26" i="2"/>
  <c r="AF27" i="2"/>
  <c r="O11" i="4"/>
  <c r="P12" i="4"/>
  <c r="K40" i="4"/>
  <c r="P41" i="4"/>
  <c r="U87" i="5"/>
  <c r="X88" i="5"/>
  <c r="J45" i="8"/>
  <c r="S122" i="2"/>
  <c r="X11" i="5"/>
  <c r="X25" i="1"/>
  <c r="AB25" i="1" s="1"/>
  <c r="P11" i="2"/>
  <c r="J122" i="2"/>
  <c r="AF11" i="5"/>
  <c r="X99" i="5"/>
  <c r="X12" i="4"/>
  <c r="Q11" i="4"/>
  <c r="W122" i="5"/>
  <c r="K122" i="2"/>
  <c r="AC74" i="5"/>
  <c r="AC122" i="5" s="1"/>
  <c r="AF113" i="5"/>
  <c r="X27" i="2"/>
  <c r="U26" i="2"/>
  <c r="X74" i="2"/>
  <c r="V78" i="10"/>
  <c r="Y10" i="5"/>
  <c r="AF26" i="5"/>
  <c r="AF41" i="4"/>
  <c r="AE40" i="4"/>
  <c r="AE122" i="5"/>
  <c r="X11" i="2"/>
  <c r="Q10" i="2"/>
  <c r="P113" i="5"/>
  <c r="AF11" i="2"/>
  <c r="X113" i="2"/>
  <c r="I10" i="5"/>
  <c r="P27" i="5"/>
  <c r="K26" i="5"/>
  <c r="P26" i="5" s="1"/>
  <c r="R10" i="8"/>
  <c r="R45" i="8" s="1"/>
  <c r="Z21" i="8"/>
  <c r="X52" i="4"/>
  <c r="U40" i="4"/>
  <c r="U59" i="4" s="1"/>
  <c r="O74" i="5"/>
  <c r="O122" i="5" s="1"/>
  <c r="P75" i="5"/>
  <c r="X31" i="8"/>
  <c r="Q10" i="8"/>
  <c r="P27" i="2"/>
  <c r="M26" i="2"/>
  <c r="T122" i="5"/>
  <c r="AC74" i="2"/>
  <c r="AF75" i="2"/>
  <c r="I25" i="1"/>
  <c r="K25" i="1" s="1"/>
  <c r="AD25" i="1" s="1"/>
  <c r="K10" i="1"/>
  <c r="AD10" i="1" s="1"/>
  <c r="Q40" i="4"/>
  <c r="X40" i="4" s="1"/>
  <c r="X41" i="4"/>
  <c r="K11" i="5"/>
  <c r="K10" i="5" s="1"/>
  <c r="K122" i="5" s="1"/>
  <c r="X41" i="5"/>
  <c r="J74" i="2"/>
  <c r="U10" i="5"/>
  <c r="P26" i="2" l="1"/>
  <c r="M10" i="2"/>
  <c r="Q122" i="2"/>
  <c r="X11" i="4"/>
  <c r="Q59" i="4"/>
  <c r="X59" i="4" s="1"/>
  <c r="U122" i="5"/>
  <c r="X122" i="5" s="1"/>
  <c r="X10" i="5"/>
  <c r="P10" i="5"/>
  <c r="I122" i="5"/>
  <c r="P122" i="5" s="1"/>
  <c r="AF74" i="5"/>
  <c r="U10" i="2"/>
  <c r="U122" i="2" s="1"/>
  <c r="X26" i="2"/>
  <c r="U74" i="5"/>
  <c r="X74" i="5" s="1"/>
  <c r="X87" i="5"/>
  <c r="O59" i="4"/>
  <c r="P11" i="4"/>
  <c r="P11" i="5"/>
  <c r="AF74" i="2"/>
  <c r="AC122" i="2"/>
  <c r="X10" i="8"/>
  <c r="Q45" i="8"/>
  <c r="Y10" i="8"/>
  <c r="AF10" i="8" s="1"/>
  <c r="AF10" i="5"/>
  <c r="Y122" i="5"/>
  <c r="AF122" i="5" s="1"/>
  <c r="Z10" i="8"/>
  <c r="AF40" i="4"/>
  <c r="AE59" i="4"/>
  <c r="AF59" i="4" s="1"/>
  <c r="Z45" i="8"/>
  <c r="P40" i="4"/>
  <c r="K59" i="4"/>
  <c r="AF26" i="2"/>
  <c r="Y10" i="2"/>
  <c r="P74" i="5"/>
  <c r="P59" i="4" l="1"/>
  <c r="X10" i="2"/>
  <c r="X45" i="8"/>
  <c r="Y45" i="8"/>
  <c r="AF45" i="8" s="1"/>
  <c r="M122" i="2"/>
  <c r="P122" i="2" s="1"/>
  <c r="P10" i="2"/>
  <c r="X122" i="2"/>
  <c r="Y122" i="2"/>
  <c r="AF122" i="2" s="1"/>
  <c r="AF10" i="2"/>
</calcChain>
</file>

<file path=xl/sharedStrings.xml><?xml version="1.0" encoding="utf-8"?>
<sst xmlns="http://schemas.openxmlformats.org/spreadsheetml/2006/main" count="1992" uniqueCount="820">
  <si>
    <t>Fair Value  Adjustments in Hedge Accounting</t>
  </si>
  <si>
    <t>Particulars</t>
  </si>
  <si>
    <t>Account Code</t>
  </si>
  <si>
    <t>Peso Accounts</t>
  </si>
  <si>
    <t>Foreign Regular</t>
  </si>
  <si>
    <t>FCDU/EFCDU</t>
  </si>
  <si>
    <t>Foreign Offices</t>
  </si>
  <si>
    <t>Total net amount current year</t>
  </si>
  <si>
    <t>Gains</t>
  </si>
  <si>
    <t>(Losses)</t>
  </si>
  <si>
    <t>Net amount current year</t>
  </si>
  <si>
    <t>In US $</t>
  </si>
  <si>
    <t>Peso Equiv.</t>
  </si>
  <si>
    <t>Micro hedge</t>
  </si>
  <si>
    <t>145055000000000000</t>
  </si>
  <si>
    <t>A.</t>
  </si>
  <si>
    <t>Fair value hedges</t>
  </si>
  <si>
    <t>145051000000000000</t>
  </si>
  <si>
    <t>(1)</t>
  </si>
  <si>
    <t>Fair value changes of the hedged item</t>
  </si>
  <si>
    <t>145051002500000000</t>
  </si>
  <si>
    <t>(2)</t>
  </si>
  <si>
    <t>Fair value changes of the hedging derivatives (including discontinuation)</t>
  </si>
  <si>
    <t>145051003000000000</t>
  </si>
  <si>
    <t>B.</t>
  </si>
  <si>
    <t>Cash flow hedges</t>
  </si>
  <si>
    <t>145052000000000000</t>
  </si>
  <si>
    <t>Fair value changes of the hedging derivatives - ineffective portion</t>
  </si>
  <si>
    <t>145052002500000000</t>
  </si>
  <si>
    <t>C.</t>
  </si>
  <si>
    <t>Hedges of net investments in a foreign operation</t>
  </si>
  <si>
    <t>145053000000000000</t>
  </si>
  <si>
    <t>145053002500000000</t>
  </si>
  <si>
    <t>Portfolio hedge of interest rate risk</t>
  </si>
  <si>
    <t>145054000000000000</t>
  </si>
  <si>
    <t>Fair value hedge of interest rate risk</t>
  </si>
  <si>
    <t>145054002500000000</t>
  </si>
  <si>
    <t>145054002505000000</t>
  </si>
  <si>
    <t>Fair value changes of the hedging derivatives</t>
  </si>
  <si>
    <t>145054002510000000</t>
  </si>
  <si>
    <t>Cash flow hedge of interest rate risk</t>
  </si>
  <si>
    <t>145054003000000000</t>
  </si>
  <si>
    <t>Fair value changes of the hedging instrument - ineffective portion</t>
  </si>
  <si>
    <t>145054003005000000</t>
  </si>
  <si>
    <t>Discontinuation of hedge accounting in the case of a cash flow hedge</t>
  </si>
  <si>
    <t>145056000000000000</t>
  </si>
  <si>
    <t>TOTAL</t>
  </si>
  <si>
    <t>195450500000000000</t>
  </si>
  <si>
    <t>$$$</t>
  </si>
  <si>
    <t>Derivatives Held for Fair Value Hedge</t>
  </si>
  <si>
    <t>Seq. No.</t>
  </si>
  <si>
    <t>Notional Amount</t>
  </si>
  <si>
    <t>Fair Value</t>
  </si>
  <si>
    <t>With Positive Fair Value</t>
  </si>
  <si>
    <t>With Negative Fair Value</t>
  </si>
  <si>
    <t>Peso Accts.</t>
  </si>
  <si>
    <t>Total</t>
  </si>
  <si>
    <t>Stand-alone</t>
  </si>
  <si>
    <t>145051000000400000</t>
  </si>
  <si>
    <t>1.</t>
  </si>
  <si>
    <t>Interest Rate Contracts</t>
  </si>
  <si>
    <t>145051000500400000</t>
  </si>
  <si>
    <t>a.</t>
  </si>
  <si>
    <t>Interest Rate Forwards</t>
  </si>
  <si>
    <t>145051000505400000</t>
  </si>
  <si>
    <t>a.1</t>
  </si>
  <si>
    <t>Forward Rate Agreement</t>
  </si>
  <si>
    <t>145051000510400000</t>
  </si>
  <si>
    <t>b.</t>
  </si>
  <si>
    <t>Interest Rate Swap</t>
  </si>
  <si>
    <t>145051000515400000</t>
  </si>
  <si>
    <t>b.1</t>
  </si>
  <si>
    <t>Plain Vanilla</t>
  </si>
  <si>
    <t>145051000520400000</t>
  </si>
  <si>
    <t>Fixed Payer</t>
  </si>
  <si>
    <t>145051000525400000</t>
  </si>
  <si>
    <t>Fixed Receiver</t>
  </si>
  <si>
    <t>145051000530400000</t>
  </si>
  <si>
    <t>b.2</t>
  </si>
  <si>
    <t>Basis Swap</t>
  </si>
  <si>
    <t>145051000535400000</t>
  </si>
  <si>
    <t>c.</t>
  </si>
  <si>
    <t>Interest Rate Futures</t>
  </si>
  <si>
    <t>145051000540400000</t>
  </si>
  <si>
    <t>d1.</t>
  </si>
  <si>
    <t>Over the Counter Interest Rate Options Contracts</t>
  </si>
  <si>
    <t>145051000545400000</t>
  </si>
  <si>
    <t>Bought</t>
  </si>
  <si>
    <t>145051000545405000</t>
  </si>
  <si>
    <t>Sold</t>
  </si>
  <si>
    <t>145051000545406000</t>
  </si>
  <si>
    <t>d2.</t>
  </si>
  <si>
    <t>Exchange Traded Interest Rate Options Contracts</t>
  </si>
  <si>
    <t>145051000550405000</t>
  </si>
  <si>
    <t>145051000550406000</t>
  </si>
  <si>
    <t>2.</t>
  </si>
  <si>
    <t>Foreign Exchange Contracts</t>
  </si>
  <si>
    <t>145051001000400000</t>
  </si>
  <si>
    <t>Forward Foreign Exchange Contracts</t>
  </si>
  <si>
    <t>145051001005400000</t>
  </si>
  <si>
    <t xml:space="preserve">Outright Forwards </t>
  </si>
  <si>
    <t>145051001010400000</t>
  </si>
  <si>
    <t>(1.a)</t>
  </si>
  <si>
    <t>145051001010405000</t>
  </si>
  <si>
    <t>(1.b)</t>
  </si>
  <si>
    <t>145051001010406000</t>
  </si>
  <si>
    <t>Forward Leg of Swaps</t>
  </si>
  <si>
    <t>145051001015400000</t>
  </si>
  <si>
    <t>(2.a)</t>
  </si>
  <si>
    <t>145051001015405000</t>
  </si>
  <si>
    <t>(2.b)</t>
  </si>
  <si>
    <t>145051001015406000</t>
  </si>
  <si>
    <t>NDF</t>
  </si>
  <si>
    <t>145051001020400000</t>
  </si>
  <si>
    <t>(3.a)</t>
  </si>
  <si>
    <t>145051001020405000</t>
  </si>
  <si>
    <t>(3.b)</t>
  </si>
  <si>
    <t>145051001020406000</t>
  </si>
  <si>
    <t>Currency Swap</t>
  </si>
  <si>
    <t>145051001025400000</t>
  </si>
  <si>
    <t>Forward Foreign Currency Buyer</t>
  </si>
  <si>
    <t>145051001030400000</t>
  </si>
  <si>
    <t>Forward Foreign Currency Seller</t>
  </si>
  <si>
    <t>145051001035400000</t>
  </si>
  <si>
    <t>Foreign Exchange Futures</t>
  </si>
  <si>
    <t>145051001040400000</t>
  </si>
  <si>
    <t>d.1.</t>
  </si>
  <si>
    <t>Over the Counter Foreign Exchange Options Contracts</t>
  </si>
  <si>
    <t>145051001045400000</t>
  </si>
  <si>
    <t>145051001045405000</t>
  </si>
  <si>
    <t>Call Option</t>
  </si>
  <si>
    <t>145051001045405500</t>
  </si>
  <si>
    <t>Put Option</t>
  </si>
  <si>
    <t>145051001045405600</t>
  </si>
  <si>
    <t>145051001045406000</t>
  </si>
  <si>
    <t>145051001045406500</t>
  </si>
  <si>
    <t>145051001045406600</t>
  </si>
  <si>
    <t>d.2.</t>
  </si>
  <si>
    <t>Exchange Traded Foreign Exchange Options Contracts</t>
  </si>
  <si>
    <t>145051001050400000</t>
  </si>
  <si>
    <t>145051001050405000</t>
  </si>
  <si>
    <t>145051001050405500</t>
  </si>
  <si>
    <t>145051001050405600</t>
  </si>
  <si>
    <t>145051001050406000</t>
  </si>
  <si>
    <t>145051001050406500</t>
  </si>
  <si>
    <t>145051001050406600</t>
  </si>
  <si>
    <t>3.</t>
  </si>
  <si>
    <t>Equity Contracts</t>
  </si>
  <si>
    <t>145051001500400000</t>
  </si>
  <si>
    <t>Forwards</t>
  </si>
  <si>
    <t>145051001505400000</t>
  </si>
  <si>
    <t>Equity Swap</t>
  </si>
  <si>
    <t>145051001510400000</t>
  </si>
  <si>
    <t>Futures</t>
  </si>
  <si>
    <t>145051001515400000</t>
  </si>
  <si>
    <t>Over the Counter Equity Options Contracts</t>
  </si>
  <si>
    <t>145051001520400000</t>
  </si>
  <si>
    <t>145051001520405000</t>
  </si>
  <si>
    <t>145051001520406000</t>
  </si>
  <si>
    <t>Exchange Traded Equity Options Contracts</t>
  </si>
  <si>
    <t>145051001525400000</t>
  </si>
  <si>
    <t>145051001525405000</t>
  </si>
  <si>
    <t>145051001525406000</t>
  </si>
  <si>
    <t>4.</t>
  </si>
  <si>
    <t>Credit Derivatives</t>
  </si>
  <si>
    <t>145051002000400000</t>
  </si>
  <si>
    <t>Bank as Beneficiary</t>
  </si>
  <si>
    <t>145051002005400000</t>
  </si>
  <si>
    <t>CDS Bought</t>
  </si>
  <si>
    <t>145051002010400000</t>
  </si>
  <si>
    <t>TROR Payer</t>
  </si>
  <si>
    <t>145051002015400000</t>
  </si>
  <si>
    <t>(3)</t>
  </si>
  <si>
    <t>Credit Spread Call/Put Option Bought</t>
  </si>
  <si>
    <t>145051002020400000</t>
  </si>
  <si>
    <t>Bank as Guarantor</t>
  </si>
  <si>
    <t>145051002025400000</t>
  </si>
  <si>
    <t>CDS Sold</t>
  </si>
  <si>
    <t>145051002030400000</t>
  </si>
  <si>
    <t>TROR Receiver</t>
  </si>
  <si>
    <t>145051002035400000</t>
  </si>
  <si>
    <t>Credit Spread Call/Put Option Sold</t>
  </si>
  <si>
    <t>145051002040400000</t>
  </si>
  <si>
    <t>Embedded</t>
  </si>
  <si>
    <t>145051000000500000</t>
  </si>
  <si>
    <t>145051000500500000</t>
  </si>
  <si>
    <t>145051000505500000</t>
  </si>
  <si>
    <t>145051000510500000</t>
  </si>
  <si>
    <t>145051000515500000</t>
  </si>
  <si>
    <t>145051000520500000</t>
  </si>
  <si>
    <t>145051000525500000</t>
  </si>
  <si>
    <t>145051000530500000</t>
  </si>
  <si>
    <t>145051000535500000</t>
  </si>
  <si>
    <t>145051000540500000</t>
  </si>
  <si>
    <t>145051000545500000</t>
  </si>
  <si>
    <t>145051000545505000</t>
  </si>
  <si>
    <t>145051000545506000</t>
  </si>
  <si>
    <t>145051001000500000</t>
  </si>
  <si>
    <t>145051001005500000</t>
  </si>
  <si>
    <t>145051001010500000</t>
  </si>
  <si>
    <t>145051001010505000</t>
  </si>
  <si>
    <t>145051001010506000</t>
  </si>
  <si>
    <t>145051001015500000</t>
  </si>
  <si>
    <t>145051001015505000</t>
  </si>
  <si>
    <t>145051001015506000</t>
  </si>
  <si>
    <t>145051001025500000</t>
  </si>
  <si>
    <t>145051001030500000</t>
  </si>
  <si>
    <t>145051001035500000</t>
  </si>
  <si>
    <t>145051001040500000</t>
  </si>
  <si>
    <t>145051001045500000</t>
  </si>
  <si>
    <t>145051001045505000</t>
  </si>
  <si>
    <t>145051001045505500</t>
  </si>
  <si>
    <t>145051001045505600</t>
  </si>
  <si>
    <t>145051001045506000</t>
  </si>
  <si>
    <t>145051001045506500</t>
  </si>
  <si>
    <t>145051001045506600</t>
  </si>
  <si>
    <t>145051001500500000</t>
  </si>
  <si>
    <t>145051001505500000</t>
  </si>
  <si>
    <t>145051001510500000</t>
  </si>
  <si>
    <t>145051001515500000</t>
  </si>
  <si>
    <t>145051001520500000</t>
  </si>
  <si>
    <t>145051001520505000</t>
  </si>
  <si>
    <t>145051001520506000</t>
  </si>
  <si>
    <t>145051002000500000</t>
  </si>
  <si>
    <t>145051002005500000</t>
  </si>
  <si>
    <t>145051002010500000</t>
  </si>
  <si>
    <t>145051002015500000</t>
  </si>
  <si>
    <t>145051002020500000</t>
  </si>
  <si>
    <t>145051002025500000</t>
  </si>
  <si>
    <t>145051002030500000</t>
  </si>
  <si>
    <t>145051002035500000</t>
  </si>
  <si>
    <t>145051002040500000</t>
  </si>
  <si>
    <t>Derivatives Held for Cash Flow Hedge</t>
  </si>
  <si>
    <t>145052000000400000</t>
  </si>
  <si>
    <t>145052000500400000</t>
  </si>
  <si>
    <t>145052000505400000</t>
  </si>
  <si>
    <t>145052000510400000</t>
  </si>
  <si>
    <t>145052000515400000</t>
  </si>
  <si>
    <t>145052000520400000</t>
  </si>
  <si>
    <t>145052000525400000</t>
  </si>
  <si>
    <t>145052000530400000</t>
  </si>
  <si>
    <t>145052000535400000</t>
  </si>
  <si>
    <t>145052000540400000</t>
  </si>
  <si>
    <t>145052000545400000</t>
  </si>
  <si>
    <t>145052000545405000</t>
  </si>
  <si>
    <t>145052000545406000</t>
  </si>
  <si>
    <t>145052000550400000</t>
  </si>
  <si>
    <t>145052000550405000</t>
  </si>
  <si>
    <t>145052000550406000</t>
  </si>
  <si>
    <t>145052001000400000</t>
  </si>
  <si>
    <t>145052001005400000</t>
  </si>
  <si>
    <t>Outright Forwards</t>
  </si>
  <si>
    <t>145052001010400000</t>
  </si>
  <si>
    <t>145052001010405000</t>
  </si>
  <si>
    <t>145052001010406000</t>
  </si>
  <si>
    <t>145052001015400000</t>
  </si>
  <si>
    <t>145052001015405000</t>
  </si>
  <si>
    <t>145052001015406000</t>
  </si>
  <si>
    <t>145052001020400000</t>
  </si>
  <si>
    <t>145052001020405000</t>
  </si>
  <si>
    <t>145052001020406000</t>
  </si>
  <si>
    <t>145052001025400000</t>
  </si>
  <si>
    <t>145052001030400000</t>
  </si>
  <si>
    <t>145052001035400000</t>
  </si>
  <si>
    <t>145052001040400000</t>
  </si>
  <si>
    <t>145052001045400000</t>
  </si>
  <si>
    <t>145052001045405000</t>
  </si>
  <si>
    <t>145052001045405500</t>
  </si>
  <si>
    <t>145052001045405600</t>
  </si>
  <si>
    <t>145052001045406000</t>
  </si>
  <si>
    <t>145052001045406500</t>
  </si>
  <si>
    <t>145052001045406600</t>
  </si>
  <si>
    <t>145052001050400000</t>
  </si>
  <si>
    <t>145052001050405000</t>
  </si>
  <si>
    <t>145052001050405500</t>
  </si>
  <si>
    <t>145052001050405600</t>
  </si>
  <si>
    <t>145052001050406000</t>
  </si>
  <si>
    <t>145052001050406500</t>
  </si>
  <si>
    <t>145052001050406600</t>
  </si>
  <si>
    <t>145052001500400000</t>
  </si>
  <si>
    <t>145052001505400000</t>
  </si>
  <si>
    <t>145052001510400000</t>
  </si>
  <si>
    <t>145052001515400000</t>
  </si>
  <si>
    <t>145052001520400000</t>
  </si>
  <si>
    <t>145052001520405000</t>
  </si>
  <si>
    <t>145052001520406000</t>
  </si>
  <si>
    <t>145052001525400000</t>
  </si>
  <si>
    <t>145052001525405000</t>
  </si>
  <si>
    <t>145052001525406000</t>
  </si>
  <si>
    <t>145052002000400000</t>
  </si>
  <si>
    <t>145052002005400000</t>
  </si>
  <si>
    <t>145052002010400000</t>
  </si>
  <si>
    <t>145052002015400000</t>
  </si>
  <si>
    <t>145052002020400000</t>
  </si>
  <si>
    <t>145052002025400000</t>
  </si>
  <si>
    <t>145052002030400000</t>
  </si>
  <si>
    <t>145052002035400000</t>
  </si>
  <si>
    <t>145052002040400000</t>
  </si>
  <si>
    <t>145052000000500000</t>
  </si>
  <si>
    <t>145052000500500000</t>
  </si>
  <si>
    <t>145052000505500000</t>
  </si>
  <si>
    <t>145052000510500000</t>
  </si>
  <si>
    <t>145052000515500000</t>
  </si>
  <si>
    <t>145052000520500000</t>
  </si>
  <si>
    <t>145052000525500000</t>
  </si>
  <si>
    <t>145052000530500000</t>
  </si>
  <si>
    <t>145052000535500000</t>
  </si>
  <si>
    <t>145052000540500000</t>
  </si>
  <si>
    <t>145052000545500000</t>
  </si>
  <si>
    <t>145052000545505000</t>
  </si>
  <si>
    <t>145052000545506000</t>
  </si>
  <si>
    <t>145052001000500000</t>
  </si>
  <si>
    <t>145052001005500000</t>
  </si>
  <si>
    <t>145052001010500000</t>
  </si>
  <si>
    <t>145052001010505000</t>
  </si>
  <si>
    <t>145052001010506000</t>
  </si>
  <si>
    <t>145052001015500000</t>
  </si>
  <si>
    <t>145052001015505000</t>
  </si>
  <si>
    <t>145052001015506000</t>
  </si>
  <si>
    <t>145052001025500000</t>
  </si>
  <si>
    <t>145052001030500000</t>
  </si>
  <si>
    <t>145052001035500000</t>
  </si>
  <si>
    <t>145052001040500000</t>
  </si>
  <si>
    <t>145052001045500000</t>
  </si>
  <si>
    <t>145052001045505000</t>
  </si>
  <si>
    <t>145052001045505500</t>
  </si>
  <si>
    <t>145052001045505600</t>
  </si>
  <si>
    <t>145052001045506000</t>
  </si>
  <si>
    <t>145052001045506500</t>
  </si>
  <si>
    <t>145052001045506600</t>
  </si>
  <si>
    <t>145052001500500000</t>
  </si>
  <si>
    <t>145052001505500000</t>
  </si>
  <si>
    <t>145052001510500000</t>
  </si>
  <si>
    <t>145052001515500000</t>
  </si>
  <si>
    <t>145052001520500000</t>
  </si>
  <si>
    <t>145052001520505000</t>
  </si>
  <si>
    <t>145052001520506000</t>
  </si>
  <si>
    <t>145052002000500000</t>
  </si>
  <si>
    <t>145052002005500000</t>
  </si>
  <si>
    <t>145052002010500000</t>
  </si>
  <si>
    <t>145052002015500000</t>
  </si>
  <si>
    <t>145052002020500000</t>
  </si>
  <si>
    <t>145052002025500000</t>
  </si>
  <si>
    <t>145052002030500000</t>
  </si>
  <si>
    <t>145052002035500000</t>
  </si>
  <si>
    <t>145052002040500000</t>
  </si>
  <si>
    <t>Derivatives Held for Hedges of Net Investment in Foreign Operations</t>
  </si>
  <si>
    <t>145053001000400000</t>
  </si>
  <si>
    <t>145053001005400000</t>
  </si>
  <si>
    <t>145053001010400000</t>
  </si>
  <si>
    <t>145053001010405000</t>
  </si>
  <si>
    <t>145053001010406000</t>
  </si>
  <si>
    <t>145053001015400000</t>
  </si>
  <si>
    <t>145053001015405000</t>
  </si>
  <si>
    <t>145053001015406000</t>
  </si>
  <si>
    <t>145053001020400000</t>
  </si>
  <si>
    <t>145053001020405000</t>
  </si>
  <si>
    <t>145053001020406000</t>
  </si>
  <si>
    <t>145053001025400000</t>
  </si>
  <si>
    <t>145053001030400000</t>
  </si>
  <si>
    <t>145053001035400000</t>
  </si>
  <si>
    <t>145053001040400000</t>
  </si>
  <si>
    <t>145053001045400000</t>
  </si>
  <si>
    <t>145053001045405000</t>
  </si>
  <si>
    <t>145053001045406000</t>
  </si>
  <si>
    <t>145053001050400000</t>
  </si>
  <si>
    <t>145053001050405000</t>
  </si>
  <si>
    <t>145053001050406000</t>
  </si>
  <si>
    <t>145053001000500000</t>
  </si>
  <si>
    <t>145053001005500000</t>
  </si>
  <si>
    <t>145053001010500000</t>
  </si>
  <si>
    <t>145053001010505000</t>
  </si>
  <si>
    <t>145053001010506000</t>
  </si>
  <si>
    <t>145053001015500000</t>
  </si>
  <si>
    <t>145053001015505000</t>
  </si>
  <si>
    <t>145053001015506000</t>
  </si>
  <si>
    <t>145053001025500000</t>
  </si>
  <si>
    <t>145053001030500000</t>
  </si>
  <si>
    <t>145053001035500000</t>
  </si>
  <si>
    <t>145053001040500000</t>
  </si>
  <si>
    <t>145053001045500000</t>
  </si>
  <si>
    <t>145053001045505000</t>
  </si>
  <si>
    <t>145053001045506000</t>
  </si>
  <si>
    <t>145053001000000000</t>
  </si>
  <si>
    <t>Fair Value Hedge</t>
  </si>
  <si>
    <t>145054000505000000</t>
  </si>
  <si>
    <t>145054000510000000</t>
  </si>
  <si>
    <t>Interest Rate Swaps</t>
  </si>
  <si>
    <t>145054000515000000</t>
  </si>
  <si>
    <t>Plain Vanilla Swap</t>
  </si>
  <si>
    <t>145054000520000000</t>
  </si>
  <si>
    <t>(a)</t>
  </si>
  <si>
    <t>145054000525000000</t>
  </si>
  <si>
    <t>(b)</t>
  </si>
  <si>
    <t>145054000530000000</t>
  </si>
  <si>
    <t>145054000535000000</t>
  </si>
  <si>
    <t>145054000540000000</t>
  </si>
  <si>
    <t>145054000545000000</t>
  </si>
  <si>
    <t>145054000545005000</t>
  </si>
  <si>
    <t>145054000545006000</t>
  </si>
  <si>
    <t>145054000550000000</t>
  </si>
  <si>
    <t>145054000550005000</t>
  </si>
  <si>
    <t>145054000550006000</t>
  </si>
  <si>
    <t>Cash Flow Hedge</t>
  </si>
  <si>
    <t>FCDU</t>
  </si>
  <si>
    <t>Accrued Interest Income/Expense from Financial Assets and Liabilities</t>
  </si>
  <si>
    <t>Accrued Interest Income</t>
  </si>
  <si>
    <t>Resident</t>
  </si>
  <si>
    <t>145200000000100000</t>
  </si>
  <si>
    <t>Due from Bangko Sentral ng Pilipinas</t>
  </si>
  <si>
    <t>145200500000100000</t>
  </si>
  <si>
    <t>Due from Other Banks</t>
  </si>
  <si>
    <t>Financial Assets Held for Trading</t>
  </si>
  <si>
    <t>145201500000100000</t>
  </si>
  <si>
    <t>Held for Trading Securities</t>
  </si>
  <si>
    <t>145202000000100000</t>
  </si>
  <si>
    <t>145202500000100000</t>
  </si>
  <si>
    <t>(4)</t>
  </si>
  <si>
    <t>Financial Assets Designated at Fair Value through Profit or Loss</t>
  </si>
  <si>
    <t>145203000000100000</t>
  </si>
  <si>
    <t>(5)</t>
  </si>
  <si>
    <t>145203500000100000</t>
  </si>
  <si>
    <t>(6)</t>
  </si>
  <si>
    <t>Held-to-Maturity Financial Assets</t>
  </si>
  <si>
    <t>145204000000100000</t>
  </si>
  <si>
    <t>(7)</t>
  </si>
  <si>
    <t>Unquoted Debt Securities Classified as Loans</t>
  </si>
  <si>
    <t>145204500000100000</t>
  </si>
  <si>
    <t>(8)</t>
  </si>
  <si>
    <t>Loans and Receivables</t>
  </si>
  <si>
    <t>145205000000100000</t>
  </si>
  <si>
    <t>Loans to Bangko Sentral ng Pilipinas</t>
  </si>
  <si>
    <t>145205500000100000</t>
  </si>
  <si>
    <t xml:space="preserve">Interbank Loans Receivable </t>
  </si>
  <si>
    <t>145206000000100000</t>
  </si>
  <si>
    <t>(c)</t>
  </si>
  <si>
    <t>Loans and Receivables-Others</t>
  </si>
  <si>
    <t>145206500000100000</t>
  </si>
  <si>
    <t>(9)</t>
  </si>
  <si>
    <t>Loans and Receivables Arising from Repurchase Agreements, Certificates of Assignment/Participation with Recourse and Securities Lending and Borrowing Transactions</t>
  </si>
  <si>
    <t>145207000000100000</t>
  </si>
  <si>
    <t>(10)</t>
  </si>
  <si>
    <t>145207500000100000</t>
  </si>
  <si>
    <t>(11)</t>
  </si>
  <si>
    <t>Sales Contract Receivable</t>
  </si>
  <si>
    <t>145208000000100000</t>
  </si>
  <si>
    <t>(12)</t>
  </si>
  <si>
    <t>Others</t>
  </si>
  <si>
    <t>145209900000100000</t>
  </si>
  <si>
    <t>Non-Resident</t>
  </si>
  <si>
    <t>145200000000200000</t>
  </si>
  <si>
    <t>145201000000200000</t>
  </si>
  <si>
    <t>145201500000200000</t>
  </si>
  <si>
    <t>145202000000200000</t>
  </si>
  <si>
    <t>145202500000200000</t>
  </si>
  <si>
    <t>145203000000200000</t>
  </si>
  <si>
    <t>145203500000200000</t>
  </si>
  <si>
    <t>145204000000200000</t>
  </si>
  <si>
    <t>145204500000200000</t>
  </si>
  <si>
    <t>145205000000200000</t>
  </si>
  <si>
    <t>145206000000200000</t>
  </si>
  <si>
    <t>145206500000200000</t>
  </si>
  <si>
    <t>145207000000200000</t>
  </si>
  <si>
    <t>145207500000200000</t>
  </si>
  <si>
    <t>145208000000200000</t>
  </si>
  <si>
    <t>145209900000200000</t>
  </si>
  <si>
    <t>Multilateral Agencies</t>
  </si>
  <si>
    <t>145200000000300000</t>
  </si>
  <si>
    <t>Total Accrued Interest Income</t>
  </si>
  <si>
    <t>145200000000000000</t>
  </si>
  <si>
    <t>Accrued Interest Income From Financial Instruments-Net</t>
  </si>
  <si>
    <t>195452000000000000</t>
  </si>
  <si>
    <t>Accrued Interest Expense</t>
  </si>
  <si>
    <t>225200000000100000</t>
  </si>
  <si>
    <t xml:space="preserve">Financial Liabilities Held for Trading </t>
  </si>
  <si>
    <t>225200500000100000</t>
  </si>
  <si>
    <t>225200500500100000</t>
  </si>
  <si>
    <t>Liability for Short Position</t>
  </si>
  <si>
    <t>225200501000100000</t>
  </si>
  <si>
    <t xml:space="preserve">Financial Liabilities Designated at Fair Value through Profit or Loss </t>
  </si>
  <si>
    <t>225201000000100000</t>
  </si>
  <si>
    <t>Deposits</t>
  </si>
  <si>
    <t>225201500000100000</t>
  </si>
  <si>
    <t>Demand Deposit</t>
  </si>
  <si>
    <t>225201500500100000</t>
  </si>
  <si>
    <t>Savings Deposit</t>
  </si>
  <si>
    <t>225201501000100000</t>
  </si>
  <si>
    <t>NOW Accounts</t>
  </si>
  <si>
    <t>225201502000100000</t>
  </si>
  <si>
    <t>(d)</t>
  </si>
  <si>
    <t>Time Certificate of Deposits</t>
  </si>
  <si>
    <t>225201501500100000</t>
  </si>
  <si>
    <t>(e)</t>
  </si>
  <si>
    <t>LTNCD</t>
  </si>
  <si>
    <t>225201502500100000</t>
  </si>
  <si>
    <t>Bills Payable</t>
  </si>
  <si>
    <t>225202000000100000</t>
  </si>
  <si>
    <t>Bangko Sentral ng Pilipinas</t>
  </si>
  <si>
    <t>225202000500100000</t>
  </si>
  <si>
    <t>Interbank Loans Payable</t>
  </si>
  <si>
    <t>225202001000100000</t>
  </si>
  <si>
    <t>Other Deposit Substitutes</t>
  </si>
  <si>
    <t>225202001500100000</t>
  </si>
  <si>
    <t>Bonds Payable</t>
  </si>
  <si>
    <t>225202500000100000</t>
  </si>
  <si>
    <t>Unsecured Subordinated Debt</t>
  </si>
  <si>
    <t>225203000000100000</t>
  </si>
  <si>
    <t>Redeemable Preferred Shares</t>
  </si>
  <si>
    <t>225203500000100000</t>
  </si>
  <si>
    <t>225204000000100000</t>
  </si>
  <si>
    <t>Finance Lease Payment Payable</t>
  </si>
  <si>
    <t>225204500000100000</t>
  </si>
  <si>
    <t>225209900000100000</t>
  </si>
  <si>
    <t>225200000000200000</t>
  </si>
  <si>
    <t>225200500000200000</t>
  </si>
  <si>
    <t>225200500500200000</t>
  </si>
  <si>
    <t>225200501000200000</t>
  </si>
  <si>
    <t>225201000000200000</t>
  </si>
  <si>
    <t>225201500000200000</t>
  </si>
  <si>
    <t>225201500500200000</t>
  </si>
  <si>
    <t>225201501000200000</t>
  </si>
  <si>
    <t>225201502000200000</t>
  </si>
  <si>
    <t>225201501500200000</t>
  </si>
  <si>
    <t>225201502500200000</t>
  </si>
  <si>
    <t>225202000000200000</t>
  </si>
  <si>
    <t>225202001000200000</t>
  </si>
  <si>
    <t>225202001500200000</t>
  </si>
  <si>
    <t>225202500000200000</t>
  </si>
  <si>
    <t>225203000000200000</t>
  </si>
  <si>
    <t>225203500000200000</t>
  </si>
  <si>
    <t>225204000000200000</t>
  </si>
  <si>
    <t>225204500000200000</t>
  </si>
  <si>
    <t>225209900000200000</t>
  </si>
  <si>
    <t>Total Accrued Interest Expense</t>
  </si>
  <si>
    <t>295252000000000000</t>
  </si>
  <si>
    <t>Allowance for Credit Losses</t>
  </si>
  <si>
    <t>Net Carrying Amount</t>
  </si>
  <si>
    <t>145250000000100000</t>
  </si>
  <si>
    <t>Investment in Subsidiaries</t>
  </si>
  <si>
    <t>145250000500100000</t>
  </si>
  <si>
    <t>GOCCs</t>
  </si>
  <si>
    <t>145250000500113000</t>
  </si>
  <si>
    <t>Financial Other than SSIs</t>
  </si>
  <si>
    <t>145250000500113500</t>
  </si>
  <si>
    <t>Non-Financial</t>
  </si>
  <si>
    <t>145250000500113300</t>
  </si>
  <si>
    <t>Banks</t>
  </si>
  <si>
    <t>145250000500140000</t>
  </si>
  <si>
    <t>UBs/KBs</t>
  </si>
  <si>
    <t>145250000500141000</t>
  </si>
  <si>
    <t>Other Banks</t>
  </si>
  <si>
    <t>145250000500142000</t>
  </si>
  <si>
    <t>Private Corporations</t>
  </si>
  <si>
    <t>145250000500160000</t>
  </si>
  <si>
    <t xml:space="preserve">Financial </t>
  </si>
  <si>
    <t>145250000500161000</t>
  </si>
  <si>
    <t>145250000500162000</t>
  </si>
  <si>
    <t>Investment in Associates</t>
  </si>
  <si>
    <t>145250001000100000</t>
  </si>
  <si>
    <t>145250001000113000</t>
  </si>
  <si>
    <t>145250001000113500</t>
  </si>
  <si>
    <t>145250001000113300</t>
  </si>
  <si>
    <t>145250001000140000</t>
  </si>
  <si>
    <t>145250001000141000</t>
  </si>
  <si>
    <t>145250001000142000</t>
  </si>
  <si>
    <t>145250001000160000</t>
  </si>
  <si>
    <t>145250001000161000</t>
  </si>
  <si>
    <t>145250001000162000</t>
  </si>
  <si>
    <t>Investment in Joint Ventures</t>
  </si>
  <si>
    <t>145250001500100000</t>
  </si>
  <si>
    <t>145250001500113000</t>
  </si>
  <si>
    <t>145250001500113500</t>
  </si>
  <si>
    <t>145250001500113300</t>
  </si>
  <si>
    <t>145250001500140000</t>
  </si>
  <si>
    <t>145250001500141000</t>
  </si>
  <si>
    <t>145250001500142000</t>
  </si>
  <si>
    <t>145250001500160000</t>
  </si>
  <si>
    <t>145250001500161000</t>
  </si>
  <si>
    <t>145250001500162000</t>
  </si>
  <si>
    <t>145250000000200000</t>
  </si>
  <si>
    <t>145250000500200000</t>
  </si>
  <si>
    <t>145250001000200000</t>
  </si>
  <si>
    <t>145250001500200000</t>
  </si>
  <si>
    <t>145250000000000000</t>
  </si>
  <si>
    <t>Fair Value (annually)</t>
  </si>
  <si>
    <t xml:space="preserve">1. </t>
  </si>
  <si>
    <t>Investment In Subsidiaries</t>
  </si>
  <si>
    <t>145250000515100000</t>
  </si>
  <si>
    <t>Insurance Companies</t>
  </si>
  <si>
    <t>145250000520100000</t>
  </si>
  <si>
    <t>Securities Dealers and Brokers</t>
  </si>
  <si>
    <t>145250000525100000</t>
  </si>
  <si>
    <t>Non-Financial Allied</t>
  </si>
  <si>
    <t>145250000530100000</t>
  </si>
  <si>
    <t>145250001015100000</t>
  </si>
  <si>
    <t>145250001020100000</t>
  </si>
  <si>
    <t>145250001025100000</t>
  </si>
  <si>
    <t>145250001030100000</t>
  </si>
  <si>
    <t>Non-Allied (UBs)</t>
  </si>
  <si>
    <t>145250001035100000</t>
  </si>
  <si>
    <t>145250001515100000</t>
  </si>
  <si>
    <t>145250001520100000</t>
  </si>
  <si>
    <t>145250001525100000</t>
  </si>
  <si>
    <t>145250001530100000</t>
  </si>
  <si>
    <t>145250001535100000</t>
  </si>
  <si>
    <t>Investment In Subsidiary</t>
  </si>
  <si>
    <t>145250000515200000</t>
  </si>
  <si>
    <t>145250000520200000</t>
  </si>
  <si>
    <t>145250000525200000</t>
  </si>
  <si>
    <t>145250000530200000</t>
  </si>
  <si>
    <t>145250001015200000</t>
  </si>
  <si>
    <t>145250001020200000</t>
  </si>
  <si>
    <t>145250001025200000</t>
  </si>
  <si>
    <t>145250001030200000</t>
  </si>
  <si>
    <t>145250001035200000</t>
  </si>
  <si>
    <t>145250001515200000</t>
  </si>
  <si>
    <t>145250001520200000</t>
  </si>
  <si>
    <t>145250001525200000</t>
  </si>
  <si>
    <t>145250001530200000</t>
  </si>
  <si>
    <t>145250001535200000</t>
  </si>
  <si>
    <t>V</t>
  </si>
  <si>
    <t>NV</t>
  </si>
  <si>
    <t>Class of Stock</t>
  </si>
  <si>
    <t>Voting (V) or Non-Voting (NV)</t>
  </si>
  <si>
    <t>Par Value</t>
  </si>
  <si>
    <t>No. of Shares</t>
  </si>
  <si>
    <t>Acquisition Cost</t>
  </si>
  <si>
    <t>% To Total Voting Equity</t>
  </si>
  <si>
    <t>% of Voting Stock To Total Voting Stock</t>
  </si>
  <si>
    <t>In US$</t>
  </si>
  <si>
    <t>Allied</t>
  </si>
  <si>
    <t>145250000505100000</t>
  </si>
  <si>
    <t>Financial Allied</t>
  </si>
  <si>
    <t>145250000510100000</t>
  </si>
  <si>
    <t>Non-Allied</t>
  </si>
  <si>
    <t>145250000535100000</t>
  </si>
  <si>
    <t>145250001005100000</t>
  </si>
  <si>
    <t>145250001010100000</t>
  </si>
  <si>
    <t>145250001505100000</t>
  </si>
  <si>
    <t>145250001510100000</t>
  </si>
  <si>
    <t>-</t>
  </si>
  <si>
    <t>145250000505200000</t>
  </si>
  <si>
    <t>145250000510200000</t>
  </si>
  <si>
    <t>145250000535200000</t>
  </si>
  <si>
    <t>145250001005200000</t>
  </si>
  <si>
    <t>145250001010200000</t>
  </si>
  <si>
    <t>145250001505200000</t>
  </si>
  <si>
    <t>145250001510200000</t>
  </si>
  <si>
    <t>1/</t>
  </si>
  <si>
    <t xml:space="preserve">Derivatives Held for Portfolio Hedge of Interest Rate Risk (Marked to Market Amount) </t>
  </si>
  <si>
    <t>x</t>
  </si>
  <si>
    <t>Less: Allowance for Credit Losses</t>
  </si>
  <si>
    <t>_a</t>
  </si>
  <si>
    <t>_b</t>
  </si>
  <si>
    <t>_c</t>
  </si>
  <si>
    <t>_d</t>
  </si>
  <si>
    <t>_e</t>
  </si>
  <si>
    <t>_f</t>
  </si>
  <si>
    <t>_g</t>
  </si>
  <si>
    <t>_h</t>
  </si>
  <si>
    <t>_i</t>
  </si>
  <si>
    <t>_j</t>
  </si>
  <si>
    <t>_k</t>
  </si>
  <si>
    <t>_m</t>
  </si>
  <si>
    <t>_n</t>
  </si>
  <si>
    <t>_o</t>
  </si>
  <si>
    <t>_p</t>
  </si>
  <si>
    <t>_q</t>
  </si>
  <si>
    <t>_r</t>
  </si>
  <si>
    <t>_s</t>
  </si>
  <si>
    <t xml:space="preserve">Authorized by         </t>
  </si>
  <si>
    <t>Date ¹/</t>
  </si>
  <si>
    <t>MB Res. No. ¹/</t>
  </si>
  <si>
    <t>Name 1/</t>
  </si>
  <si>
    <t>Tin 1/</t>
  </si>
  <si>
    <t>Address of Enterprise 1/</t>
  </si>
  <si>
    <t>ccyy/mm/dd</t>
  </si>
  <si>
    <t xml:space="preserve">where applicable, should be supplied for all accounts in the initial report. </t>
  </si>
  <si>
    <t xml:space="preserve">Information on TIN, Address and Authority (MB Res. No. and Date), </t>
  </si>
  <si>
    <t xml:space="preserve">Thereafter, the columns need not be filled up for the same accounts.  </t>
  </si>
  <si>
    <t xml:space="preserve">As new investments are made the information on the TIN, Address </t>
  </si>
  <si>
    <t>after which these details need not be reported.</t>
  </si>
  <si>
    <t xml:space="preserve">and MB approval therefore should be indicated in the first report </t>
  </si>
  <si>
    <t>Solo Reports</t>
  </si>
  <si>
    <t>%%</t>
  </si>
  <si>
    <t>145053001050405500</t>
  </si>
  <si>
    <t>145053001050405600</t>
  </si>
  <si>
    <t>145053001050406500</t>
  </si>
  <si>
    <t>145053001050406600</t>
  </si>
  <si>
    <t>145053001045405500</t>
  </si>
  <si>
    <t>145053001045405600</t>
  </si>
  <si>
    <t>145053001045406500</t>
  </si>
  <si>
    <t>145053001045406600</t>
  </si>
  <si>
    <t>145053001045505500</t>
  </si>
  <si>
    <t>145053001045505600</t>
  </si>
  <si>
    <t>145053001045506500</t>
  </si>
  <si>
    <t>145053001045506600</t>
  </si>
  <si>
    <t>145051000555400000</t>
  </si>
  <si>
    <t>Adjusted Cost</t>
  </si>
  <si>
    <t>Additional Information</t>
  </si>
  <si>
    <t>Industry</t>
  </si>
  <si>
    <t>Construction</t>
  </si>
  <si>
    <t>Education</t>
  </si>
  <si>
    <t>Manufacturing</t>
  </si>
  <si>
    <t>Mining and Quarrying</t>
  </si>
  <si>
    <r>
      <t xml:space="preserve">Derivatives with Positive Fair Value Held for Trading </t>
    </r>
    <r>
      <rPr>
        <vertAlign val="superscript"/>
        <sz val="8"/>
        <rFont val="Arial"/>
        <family val="2"/>
      </rPr>
      <t>1/</t>
    </r>
  </si>
  <si>
    <t xml:space="preserve">Available-for-Sale Financial Assets </t>
  </si>
  <si>
    <r>
      <t xml:space="preserve">Derivatives with Positive Fair Value Held for Hedging </t>
    </r>
    <r>
      <rPr>
        <vertAlign val="superscript"/>
        <sz val="8"/>
        <rFont val="Arial"/>
        <family val="2"/>
      </rPr>
      <t>1/</t>
    </r>
  </si>
  <si>
    <t>145201500000300000</t>
  </si>
  <si>
    <t>145203000000300000</t>
  </si>
  <si>
    <t>145203500000300000</t>
  </si>
  <si>
    <t>145204000000300000</t>
  </si>
  <si>
    <t>145204500000300000</t>
  </si>
  <si>
    <r>
      <t xml:space="preserve">Derivatives with Negative Fair Value Held for Trading </t>
    </r>
    <r>
      <rPr>
        <vertAlign val="superscript"/>
        <sz val="8"/>
        <rFont val="Arial"/>
        <family val="2"/>
      </rPr>
      <t>1/</t>
    </r>
  </si>
  <si>
    <r>
      <t xml:space="preserve">Derivatives with Negative Fair Value Held for Hedging </t>
    </r>
    <r>
      <rPr>
        <vertAlign val="superscript"/>
        <sz val="8"/>
        <rFont val="Arial"/>
        <family val="2"/>
      </rPr>
      <t>1/</t>
    </r>
  </si>
  <si>
    <t>225202009000200000</t>
  </si>
  <si>
    <t>Refers to Interest Rate Derivatives</t>
  </si>
  <si>
    <t>Financial Allied Other than Insurance Companies and Securities Dealers/Brokers</t>
  </si>
  <si>
    <t>Details of Equity Investment in Subsidiaries, Associates and Joint Ventures</t>
  </si>
  <si>
    <t>Equity Investment in Subsidiaries, Associates and Joint Ventures</t>
  </si>
  <si>
    <t>Equity Investment in Subsidiaries Associates and Joint Ventures - Classified as to Nature of Business</t>
  </si>
  <si>
    <t>165452000000000000</t>
  </si>
  <si>
    <t>Equity Securities Acquired in Settlement of Loans</t>
  </si>
  <si>
    <t>145201000000100000</t>
  </si>
  <si>
    <t>145250000000600000</t>
  </si>
  <si>
    <t>225202009000100000</t>
  </si>
  <si>
    <t>ALLIED SAVINGS BANK</t>
  </si>
  <si>
    <t>ASIATRUST DEV BANK</t>
  </si>
  <si>
    <t>BANK ONE SAVINGS AND TRUST CORP.</t>
  </si>
  <si>
    <t>BATAAN DEVELOPMENT BANK</t>
  </si>
  <si>
    <t>CITIBANK SAVINGS INC</t>
  </si>
  <si>
    <t>CITYSTATE SAVINGS BANK INC</t>
  </si>
  <si>
    <t>CORDILLERA SAVINGS BANK INC</t>
  </si>
  <si>
    <t>FARMERS SAVINGS &amp; LOAN BANK INC</t>
  </si>
  <si>
    <t>FIRST CONSOLIDATED BANK INC (A PDB)</t>
  </si>
  <si>
    <t>HSBC SAVINGS BANK(PHILS) INC</t>
  </si>
  <si>
    <t>ILOILO CITY DEVELOPMENT BANK</t>
  </si>
  <si>
    <t>INTER-ASIA DEVELOPMENT BANK</t>
  </si>
  <si>
    <t>ISLA BANK(A THRIFT BANK) INC</t>
  </si>
  <si>
    <t>LEGAZPI SAVINGS BANK INC</t>
  </si>
  <si>
    <t>LEMERY SAVINGS &amp; LOAN BANK, INC.</t>
  </si>
  <si>
    <t>LIBERTY SAVINGS BANK INC</t>
  </si>
  <si>
    <t>LIFE SAVINGS BANK INC</t>
  </si>
  <si>
    <t>LUZON DEVELOPMENT BANK</t>
  </si>
  <si>
    <t>MALASIQUI PROGRESSIVE SLB, INC</t>
  </si>
  <si>
    <t>MERCHANTS SAVINGS &amp; LOAN ASSN INC</t>
  </si>
  <si>
    <t>METRO CEBU PUBLIC SAVINGS BANK</t>
  </si>
  <si>
    <t>NORTHPOINT DEV'T BANK INC</t>
  </si>
  <si>
    <t>PAMPANGA DEVELOPMENT BANK</t>
  </si>
  <si>
    <t>PHIL SAVINGS BANK</t>
  </si>
  <si>
    <t>PLANTERS DEVELOPMENT BANK</t>
  </si>
  <si>
    <t>RCBC SAVINGS BANK INC</t>
  </si>
  <si>
    <t>STERLING BANK OF ASIA INC (A SB)</t>
  </si>
  <si>
    <t>THE REAL BANK (A THRIFT BANK) INC</t>
  </si>
  <si>
    <t>TOWER DEVELOPMENT BANK</t>
  </si>
  <si>
    <t>UCPB SAVINGS BANK</t>
  </si>
  <si>
    <t>UNITED OVERSEAS BANK PHILIPPINES</t>
  </si>
  <si>
    <t>WORLD PARTNERS BANK (A THRIFT BANK)</t>
  </si>
  <si>
    <t>CHINA BANK SAVINGS INC</t>
  </si>
  <si>
    <t>SAMPAGUITA SAVINGS BANK INC</t>
  </si>
  <si>
    <t>BPI GLOBE BANKO INC A SAVINGS BANK</t>
  </si>
  <si>
    <t>EQUICOM SAVINGS BANK INC</t>
  </si>
  <si>
    <t>OPPORTUNITY KAUSWAGAN BANK(A MF TB)</t>
  </si>
  <si>
    <t>PHILIPPINE BUSINESS BANK INC A SB</t>
  </si>
  <si>
    <t>PRIDE STAR DEVELOPMENT BANK INC</t>
  </si>
  <si>
    <t>SILANGAN SAVINGS &amp; LOAN BANK INC</t>
  </si>
  <si>
    <t>VILLAGE BANK INC (A THRIFT BANK)</t>
  </si>
  <si>
    <t>PRODUCERS SAVINGS BANK CORPORATION</t>
  </si>
  <si>
    <t>BDO ELITE SAVINGS BANK INC</t>
  </si>
  <si>
    <t>CENTURY SAVINGS BANK CORPORATION</t>
  </si>
  <si>
    <t>PENBANK INC (A PDB)</t>
  </si>
  <si>
    <t>CARD SME BANK INC A THRIFT BANK</t>
  </si>
  <si>
    <t>PHIL RESOURCES SB CORP (PR SB)</t>
  </si>
  <si>
    <t>SUN SAVINGS BANK INC</t>
  </si>
  <si>
    <t>QUEZON COCONUT BANK INC (A TB)</t>
  </si>
  <si>
    <t xml:space="preserve">COMSAVINGS BANK                    </t>
  </si>
  <si>
    <t xml:space="preserve">MARITIME SAVINGS BANK CORPORATION  </t>
  </si>
  <si>
    <t xml:space="preserve">PROGRESS SAVINGS AND LOAN BANK INC </t>
  </si>
  <si>
    <t>SECURITY BANK SAVINGS CORPORATION</t>
  </si>
  <si>
    <t>ENTERPRISE BANK INC (A THRIFT BANK)</t>
  </si>
  <si>
    <t>BATAAN SAVINGS AND LOAN BANK</t>
  </si>
  <si>
    <t>BPI DIRECT SAVINGS BANK INC</t>
  </si>
  <si>
    <t>BPI FAMILY SAVINGS BANK INC</t>
  </si>
  <si>
    <t>BUSINESS AND CONSUMERS BANK (A DB)</t>
  </si>
  <si>
    <t>CITY SAVINGS BANK INC</t>
  </si>
  <si>
    <t>DUMAGUETE CITY DEV BANK INC</t>
  </si>
  <si>
    <t>DUNGGANON BANK (A MF TB) INC</t>
  </si>
  <si>
    <t>HIYAS BANKING CORPORATION</t>
  </si>
  <si>
    <t>MALAYAN BANK SAVINGS AND MORT BANK</t>
  </si>
  <si>
    <t>MICROFINANCE MAXIMUM SB INC</t>
  </si>
  <si>
    <t>OPTIMUM DEVELOPMENT BANK INC</t>
  </si>
  <si>
    <t>PACIFIC ACE SAVINGS BANK INC</t>
  </si>
  <si>
    <t>PHIL POSTAL SAVINGS BANK INC</t>
  </si>
  <si>
    <t>QUEEN CITY DB INC OR QUEENBANK A TB</t>
  </si>
  <si>
    <t>THE PALAWAN BANK (PALAWAN DB) INC</t>
  </si>
  <si>
    <t>WEALTH DEVELOPMENT BANK CORPORATION</t>
  </si>
  <si>
    <t>UNIVERSITY SAVINGS BANK INC</t>
  </si>
  <si>
    <t>1ST VALLEY BANK INC A DEVT BANK</t>
  </si>
  <si>
    <t>TONGYANG SAVINGS BANK INC</t>
  </si>
  <si>
    <t>MBANK PHILIPPINES (A TB) INC</t>
  </si>
  <si>
    <t>Accommodation and Food Service Activities</t>
  </si>
  <si>
    <t>Activities of Extra-Territorial Organizations and Bodies</t>
  </si>
  <si>
    <t>Activities of Households as Employers and Undifferentiated Goods-and-Services-Producing Activities of Households for Own Use</t>
  </si>
  <si>
    <t>Administrative and Support Service Activities</t>
  </si>
  <si>
    <t>Agriculture, Forestry and Fishing</t>
  </si>
  <si>
    <t>Arts, Entertainment and Recreation</t>
  </si>
  <si>
    <t>Electricity, Gas, Steam and Air-Conditioning Supply</t>
  </si>
  <si>
    <t>Financial and Insurance Activities</t>
  </si>
  <si>
    <t>Human Health and Social Work Activities</t>
  </si>
  <si>
    <t>Information and Communication</t>
  </si>
  <si>
    <t>Other Service Activities</t>
  </si>
  <si>
    <t>Professional, Scientific and Technical Activities</t>
  </si>
  <si>
    <t>Public Administration and Defense; Compulsory Social Security</t>
  </si>
  <si>
    <t>Real Estate Activities</t>
  </si>
  <si>
    <t>Transportation and Storage</t>
  </si>
  <si>
    <t>Water supply, Sewerage, Waste management and Remediation Activities</t>
  </si>
  <si>
    <t>Wholesale and Retail Trade, Repair of Motor Vehicles, Motorcycles</t>
  </si>
  <si>
    <t>v14.0</t>
  </si>
  <si>
    <t>Industry (Column)</t>
  </si>
  <si>
    <t>MAXIMUM SAVINGS BANK,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</si>
</sst>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0000000000#"/>
    <numFmt numFmtId="165" formatCode="0_);\(0\)"/>
    <numFmt numFmtId="166" formatCode="00000#"/>
    <numFmt numFmtId="184" formatCode="yyyy/mm/dd"/>
    <numFmt numFmtId="187" formatCode="#,##0.0000"/>
  </numFmts>
  <fonts count="18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8"/>
      <color indexed="9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12"/>
      <name val="Arial"/>
      <family val="2"/>
    </font>
    <font>
      <sz val="8"/>
      <color indexed="9"/>
      <name val="Arial"/>
      <family val="2"/>
    </font>
    <font>
      <i/>
      <sz val="8"/>
      <name val="Arial"/>
      <family val="2"/>
    </font>
    <font>
      <sz val="8"/>
      <name val="Wingdings 3"/>
      <family val="1"/>
      <charset val="2"/>
    </font>
    <font>
      <sz val="8"/>
      <color indexed="10"/>
      <name val="Arial"/>
      <family val="2"/>
    </font>
    <font>
      <sz val="10"/>
      <name val="Arial"/>
      <family val="2"/>
    </font>
    <font>
      <sz val="8"/>
      <color indexed="9"/>
      <name val="Wingdings 3"/>
      <family val="1"/>
      <charset val="2"/>
    </font>
    <font>
      <vertAlign val="superscript"/>
      <sz val="8"/>
      <name val="Arial"/>
      <family val="2"/>
    </font>
    <font>
      <sz val="10"/>
      <color rgb="FF00B0F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27">
    <xf numFmtId="0" fontId="0" fillId="0" borderId="0" xfId="0"/>
    <xf numFmtId="2" fontId="2" fillId="0" borderId="0" xfId="0" applyNumberFormat="1" applyFont="1" applyBorder="1" applyProtection="1">
      <protection hidden="1"/>
    </xf>
    <xf numFmtId="2" fontId="3" fillId="0" borderId="1" xfId="0" applyNumberFormat="1" applyFont="1" applyFill="1" applyBorder="1" applyAlignment="1" applyProtection="1">
      <alignment horizontal="center" vertical="center"/>
      <protection hidden="1"/>
    </xf>
    <xf numFmtId="2" fontId="2" fillId="0" borderId="1" xfId="0" applyNumberFormat="1" applyFont="1" applyBorder="1" applyAlignment="1" applyProtection="1">
      <alignment horizontal="center" vertical="center"/>
      <protection hidden="1"/>
    </xf>
    <xf numFmtId="2" fontId="2" fillId="0" borderId="1" xfId="0" applyNumberFormat="1" applyFont="1" applyBorder="1" applyAlignment="1" applyProtection="1">
      <alignment horizontal="center" vertical="center" wrapText="1"/>
      <protection hidden="1"/>
    </xf>
    <xf numFmtId="2" fontId="2" fillId="0" borderId="1" xfId="0" applyNumberFormat="1" applyFont="1" applyFill="1" applyBorder="1" applyAlignment="1" applyProtection="1">
      <alignment horizontal="center"/>
      <protection hidden="1"/>
    </xf>
    <xf numFmtId="2" fontId="2" fillId="0" borderId="2" xfId="0" applyNumberFormat="1" applyFont="1" applyBorder="1" applyProtection="1">
      <protection hidden="1"/>
    </xf>
    <xf numFmtId="2" fontId="2" fillId="0" borderId="3" xfId="0" applyNumberFormat="1" applyFont="1" applyBorder="1" applyProtection="1">
      <protection hidden="1"/>
    </xf>
    <xf numFmtId="2" fontId="2" fillId="0" borderId="0" xfId="0" quotePrefix="1" applyNumberFormat="1" applyFont="1" applyBorder="1" applyProtection="1">
      <protection hidden="1"/>
    </xf>
    <xf numFmtId="2" fontId="2" fillId="0" borderId="4" xfId="0" quotePrefix="1" applyNumberFormat="1" applyFont="1" applyBorder="1" applyAlignment="1" applyProtection="1">
      <alignment vertical="top"/>
      <protection hidden="1"/>
    </xf>
    <xf numFmtId="2" fontId="2" fillId="0" borderId="1" xfId="0" applyNumberFormat="1" applyFont="1" applyFill="1" applyBorder="1" applyAlignment="1" applyProtection="1">
      <alignment horizontal="center" wrapText="1"/>
      <protection hidden="1"/>
    </xf>
    <xf numFmtId="2" fontId="2" fillId="0" borderId="0" xfId="0" applyNumberFormat="1" applyFont="1" applyFill="1" applyBorder="1" applyProtection="1">
      <protection hidden="1"/>
    </xf>
    <xf numFmtId="2" fontId="5" fillId="0" borderId="0" xfId="0" applyNumberFormat="1" applyFont="1" applyFill="1" applyBorder="1" applyProtection="1">
      <protection hidden="1"/>
    </xf>
    <xf numFmtId="0" fontId="7" fillId="0" borderId="0" xfId="0" applyFont="1" applyBorder="1" applyAlignment="1" applyProtection="1">
      <protection hidden="1"/>
    </xf>
    <xf numFmtId="0" fontId="8" fillId="0" borderId="0" xfId="0" applyFont="1" applyBorder="1" applyProtection="1"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7" fillId="0" borderId="1" xfId="0" applyFont="1" applyBorder="1" applyAlignment="1" applyProtection="1">
      <alignment horizontal="center" vertical="center"/>
      <protection hidden="1"/>
    </xf>
    <xf numFmtId="0" fontId="7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 applyProtection="1">
      <alignment horizontal="center" vertical="center"/>
      <protection hidden="1"/>
    </xf>
    <xf numFmtId="0" fontId="8" fillId="0" borderId="1" xfId="0" applyFont="1" applyBorder="1" applyAlignment="1" applyProtection="1">
      <alignment horizontal="center" vertical="center"/>
      <protection hidden="1"/>
    </xf>
    <xf numFmtId="0" fontId="8" fillId="0" borderId="1" xfId="0" applyFont="1" applyBorder="1" applyAlignment="1" applyProtection="1">
      <alignment horizontal="center" vertical="center" wrapText="1"/>
      <protection hidden="1"/>
    </xf>
    <xf numFmtId="0" fontId="8" fillId="0" borderId="0" xfId="0" applyFont="1" applyBorder="1" applyAlignment="1" applyProtection="1">
      <alignment horizontal="center"/>
      <protection hidden="1"/>
    </xf>
    <xf numFmtId="0" fontId="7" fillId="0" borderId="5" xfId="0" applyFont="1" applyBorder="1" applyProtection="1">
      <protection hidden="1"/>
    </xf>
    <xf numFmtId="0" fontId="8" fillId="0" borderId="6" xfId="0" applyFont="1" applyBorder="1" applyAlignment="1" applyProtection="1">
      <alignment horizontal="center" vertical="center"/>
      <protection hidden="1"/>
    </xf>
    <xf numFmtId="0" fontId="8" fillId="0" borderId="6" xfId="0" applyFont="1" applyBorder="1" applyAlignment="1" applyProtection="1">
      <alignment horizontal="left" vertical="center"/>
      <protection hidden="1"/>
    </xf>
    <xf numFmtId="0" fontId="8" fillId="0" borderId="7" xfId="0" applyFont="1" applyBorder="1" applyAlignment="1" applyProtection="1">
      <alignment horizontal="center" vertical="center"/>
      <protection hidden="1"/>
    </xf>
    <xf numFmtId="4" fontId="9" fillId="0" borderId="1" xfId="0" applyNumberFormat="1" applyFont="1" applyBorder="1" applyAlignment="1" applyProtection="1">
      <alignment horizontal="right"/>
      <protection hidden="1"/>
    </xf>
    <xf numFmtId="4" fontId="9" fillId="0" borderId="1" xfId="0" applyNumberFormat="1" applyFont="1" applyFill="1" applyBorder="1" applyAlignment="1" applyProtection="1">
      <alignment horizontal="right"/>
      <protection hidden="1"/>
    </xf>
    <xf numFmtId="0" fontId="8" fillId="0" borderId="0" xfId="0" applyFont="1" applyBorder="1" applyAlignment="1" applyProtection="1">
      <protection hidden="1"/>
    </xf>
    <xf numFmtId="0" fontId="7" fillId="0" borderId="2" xfId="0" applyFont="1" applyBorder="1" applyProtection="1">
      <protection hidden="1"/>
    </xf>
    <xf numFmtId="0" fontId="7" fillId="0" borderId="4" xfId="0" quotePrefix="1" applyFont="1" applyBorder="1" applyAlignment="1" applyProtection="1">
      <alignment horizontal="center" vertical="center"/>
      <protection hidden="1"/>
    </xf>
    <xf numFmtId="0" fontId="7" fillId="0" borderId="4" xfId="0" applyFont="1" applyBorder="1" applyAlignment="1" applyProtection="1">
      <alignment horizontal="left" vertical="center"/>
      <protection hidden="1"/>
    </xf>
    <xf numFmtId="0" fontId="8" fillId="0" borderId="8" xfId="0" applyFont="1" applyBorder="1" applyAlignment="1" applyProtection="1">
      <alignment horizontal="center" vertical="center"/>
      <protection hidden="1"/>
    </xf>
    <xf numFmtId="0" fontId="8" fillId="0" borderId="9" xfId="0" applyFont="1" applyBorder="1" applyAlignment="1" applyProtection="1">
      <alignment horizontal="center" vertical="center"/>
      <protection hidden="1"/>
    </xf>
    <xf numFmtId="0" fontId="7" fillId="0" borderId="3" xfId="0" applyFont="1" applyBorder="1" applyProtection="1">
      <protection hidden="1"/>
    </xf>
    <xf numFmtId="0" fontId="8" fillId="0" borderId="4" xfId="0" applyFont="1" applyBorder="1" applyAlignment="1" applyProtection="1">
      <alignment horizontal="center" vertical="center"/>
      <protection hidden="1"/>
    </xf>
    <xf numFmtId="0" fontId="8" fillId="0" borderId="4" xfId="0" applyFont="1" applyBorder="1" applyProtection="1">
      <protection hidden="1"/>
    </xf>
    <xf numFmtId="165" fontId="8" fillId="0" borderId="4" xfId="0" applyNumberFormat="1" applyFont="1" applyBorder="1" applyAlignment="1" applyProtection="1">
      <alignment horizontal="left"/>
      <protection hidden="1"/>
    </xf>
    <xf numFmtId="165" fontId="8" fillId="0" borderId="8" xfId="0" applyNumberFormat="1" applyFont="1" applyBorder="1" applyAlignment="1" applyProtection="1">
      <alignment horizontal="left"/>
      <protection hidden="1"/>
    </xf>
    <xf numFmtId="4" fontId="8" fillId="0" borderId="1" xfId="0" applyNumberFormat="1" applyFont="1" applyFill="1" applyBorder="1" applyAlignment="1" applyProtection="1">
      <alignment horizontal="right"/>
      <protection locked="0"/>
    </xf>
    <xf numFmtId="0" fontId="8" fillId="0" borderId="0" xfId="0" applyFont="1" applyBorder="1" applyAlignment="1" applyProtection="1">
      <alignment vertical="top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4" xfId="0" applyFont="1" applyBorder="1" applyAlignment="1" applyProtection="1">
      <alignment horizontal="left" vertical="top"/>
      <protection hidden="1"/>
    </xf>
    <xf numFmtId="0" fontId="8" fillId="0" borderId="8" xfId="0" applyFont="1" applyBorder="1" applyProtection="1">
      <protection hidden="1"/>
    </xf>
    <xf numFmtId="0" fontId="8" fillId="0" borderId="0" xfId="0" quotePrefix="1" applyFont="1" applyBorder="1" applyAlignment="1" applyProtection="1">
      <alignment horizontal="left"/>
      <protection hidden="1"/>
    </xf>
    <xf numFmtId="0" fontId="8" fillId="0" borderId="4" xfId="0" applyFont="1" applyBorder="1" applyAlignment="1" applyProtection="1">
      <alignment vertical="top"/>
      <protection hidden="1"/>
    </xf>
    <xf numFmtId="0" fontId="8" fillId="0" borderId="4" xfId="0" quotePrefix="1" applyFont="1" applyBorder="1" applyAlignment="1" applyProtection="1">
      <alignment horizontal="left"/>
      <protection hidden="1"/>
    </xf>
    <xf numFmtId="0" fontId="8" fillId="0" borderId="0" xfId="0" applyFont="1" applyBorder="1" applyAlignment="1" applyProtection="1">
      <alignment horizontal="left" vertical="top"/>
      <protection hidden="1"/>
    </xf>
    <xf numFmtId="0" fontId="8" fillId="0" borderId="4" xfId="0" applyFont="1" applyBorder="1" applyAlignment="1" applyProtection="1">
      <alignment horizontal="left"/>
      <protection hidden="1"/>
    </xf>
    <xf numFmtId="0" fontId="8" fillId="0" borderId="9" xfId="0" applyFont="1" applyBorder="1" applyProtection="1">
      <protection hidden="1"/>
    </xf>
    <xf numFmtId="4" fontId="8" fillId="2" borderId="1" xfId="0" applyNumberFormat="1" applyFont="1" applyFill="1" applyBorder="1" applyAlignment="1" applyProtection="1">
      <alignment horizontal="right"/>
      <protection hidden="1"/>
    </xf>
    <xf numFmtId="0" fontId="7" fillId="0" borderId="0" xfId="0" quotePrefix="1" applyFont="1" applyBorder="1" applyAlignment="1" applyProtection="1">
      <alignment horizontal="center" vertical="center"/>
      <protection hidden="1"/>
    </xf>
    <xf numFmtId="0" fontId="7" fillId="0" borderId="0" xfId="0" applyFont="1" applyBorder="1" applyAlignment="1" applyProtection="1">
      <alignment horizontal="left" vertical="center"/>
      <protection hidden="1"/>
    </xf>
    <xf numFmtId="165" fontId="8" fillId="0" borderId="0" xfId="0" applyNumberFormat="1" applyFont="1" applyBorder="1" applyAlignment="1" applyProtection="1">
      <alignment horizontal="left"/>
      <protection hidden="1"/>
    </xf>
    <xf numFmtId="4" fontId="9" fillId="2" borderId="1" xfId="0" applyNumberFormat="1" applyFont="1" applyFill="1" applyBorder="1" applyAlignment="1" applyProtection="1">
      <alignment horizontal="right"/>
      <protection hidden="1"/>
    </xf>
    <xf numFmtId="0" fontId="7" fillId="0" borderId="2" xfId="0" applyFont="1" applyFill="1" applyBorder="1" applyProtection="1">
      <protection hidden="1"/>
    </xf>
    <xf numFmtId="0" fontId="8" fillId="0" borderId="4" xfId="0" applyFont="1" applyFill="1" applyBorder="1" applyAlignment="1" applyProtection="1">
      <alignment horizontal="center" vertical="center"/>
      <protection hidden="1"/>
    </xf>
    <xf numFmtId="0" fontId="8" fillId="0" borderId="4" xfId="0" applyFont="1" applyFill="1" applyBorder="1" applyProtection="1">
      <protection hidden="1"/>
    </xf>
    <xf numFmtId="165" fontId="8" fillId="0" borderId="4" xfId="0" quotePrefix="1" applyNumberFormat="1" applyFont="1" applyFill="1" applyBorder="1" applyAlignment="1" applyProtection="1">
      <alignment horizontal="left"/>
      <protection hidden="1"/>
    </xf>
    <xf numFmtId="0" fontId="8" fillId="0" borderId="8" xfId="0" applyFont="1" applyFill="1" applyBorder="1" applyProtection="1">
      <protection hidden="1"/>
    </xf>
    <xf numFmtId="0" fontId="8" fillId="0" borderId="9" xfId="0" applyFont="1" applyFill="1" applyBorder="1" applyProtection="1">
      <protection hidden="1"/>
    </xf>
    <xf numFmtId="0" fontId="7" fillId="0" borderId="3" xfId="0" applyFont="1" applyFill="1" applyBorder="1" applyProtection="1">
      <protection hidden="1"/>
    </xf>
    <xf numFmtId="0" fontId="8" fillId="0" borderId="0" xfId="0" applyFont="1" applyFill="1" applyBorder="1" applyAlignment="1" applyProtection="1">
      <alignment horizontal="center" vertical="center"/>
      <protection hidden="1"/>
    </xf>
    <xf numFmtId="0" fontId="8" fillId="0" borderId="0" xfId="0" applyFont="1" applyFill="1" applyBorder="1" applyProtection="1">
      <protection hidden="1"/>
    </xf>
    <xf numFmtId="165" fontId="8" fillId="0" borderId="0" xfId="0" quotePrefix="1" applyNumberFormat="1" applyFont="1" applyFill="1" applyBorder="1" applyAlignment="1" applyProtection="1">
      <alignment horizontal="left"/>
      <protection hidden="1"/>
    </xf>
    <xf numFmtId="165" fontId="8" fillId="0" borderId="4" xfId="0" applyNumberFormat="1" applyFont="1" applyFill="1" applyBorder="1" applyAlignment="1" applyProtection="1">
      <alignment horizontal="left"/>
      <protection hidden="1"/>
    </xf>
    <xf numFmtId="165" fontId="8" fillId="0" borderId="0" xfId="0" applyNumberFormat="1" applyFont="1" applyFill="1" applyBorder="1" applyAlignment="1" applyProtection="1">
      <alignment horizontal="left"/>
      <protection hidden="1"/>
    </xf>
    <xf numFmtId="0" fontId="7" fillId="0" borderId="10" xfId="0" applyFont="1" applyFill="1" applyBorder="1" applyAlignment="1" applyProtection="1">
      <alignment horizontal="center"/>
      <protection hidden="1"/>
    </xf>
    <xf numFmtId="0" fontId="8" fillId="0" borderId="4" xfId="0" applyFont="1" applyFill="1" applyBorder="1" applyAlignment="1" applyProtection="1">
      <alignment horizontal="left"/>
      <protection hidden="1"/>
    </xf>
    <xf numFmtId="0" fontId="8" fillId="0" borderId="0" xfId="0" applyFont="1" applyFill="1" applyBorder="1" applyAlignment="1" applyProtection="1">
      <alignment vertical="top"/>
      <protection hidden="1"/>
    </xf>
    <xf numFmtId="0" fontId="8" fillId="0" borderId="0" xfId="0" quotePrefix="1" applyFont="1" applyFill="1" applyBorder="1" applyAlignment="1" applyProtection="1">
      <alignment horizontal="left"/>
      <protection hidden="1"/>
    </xf>
    <xf numFmtId="0" fontId="8" fillId="0" borderId="4" xfId="0" applyFont="1" applyFill="1" applyBorder="1" applyAlignment="1" applyProtection="1">
      <alignment vertical="top"/>
      <protection hidden="1"/>
    </xf>
    <xf numFmtId="0" fontId="8" fillId="0" borderId="4" xfId="0" quotePrefix="1" applyFont="1" applyFill="1" applyBorder="1" applyAlignment="1" applyProtection="1">
      <alignment horizontal="left"/>
      <protection hidden="1"/>
    </xf>
    <xf numFmtId="0" fontId="8" fillId="0" borderId="0" xfId="0" applyFont="1" applyFill="1" applyBorder="1" applyAlignment="1" applyProtection="1">
      <alignment horizontal="left"/>
      <protection hidden="1"/>
    </xf>
    <xf numFmtId="0" fontId="8" fillId="0" borderId="9" xfId="0" applyFont="1" applyFill="1" applyBorder="1" applyAlignment="1" applyProtection="1">
      <alignment horizontal="left"/>
      <protection hidden="1"/>
    </xf>
    <xf numFmtId="0" fontId="7" fillId="0" borderId="4" xfId="0" quotePrefix="1" applyFont="1" applyFill="1" applyBorder="1" applyAlignment="1" applyProtection="1">
      <alignment horizontal="center" vertical="center"/>
      <protection hidden="1"/>
    </xf>
    <xf numFmtId="0" fontId="7" fillId="0" borderId="4" xfId="0" applyFont="1" applyFill="1" applyBorder="1" applyAlignment="1" applyProtection="1">
      <alignment horizontal="left" vertical="center"/>
      <protection hidden="1"/>
    </xf>
    <xf numFmtId="49" fontId="7" fillId="0" borderId="4" xfId="0" quotePrefix="1" applyNumberFormat="1" applyFont="1" applyFill="1" applyBorder="1" applyProtection="1">
      <protection hidden="1"/>
    </xf>
    <xf numFmtId="0" fontId="7" fillId="0" borderId="4" xfId="0" applyFont="1" applyFill="1" applyBorder="1" applyProtection="1">
      <protection hidden="1"/>
    </xf>
    <xf numFmtId="49" fontId="8" fillId="0" borderId="0" xfId="0" applyNumberFormat="1" applyFont="1" applyFill="1" applyBorder="1" applyProtection="1">
      <protection hidden="1"/>
    </xf>
    <xf numFmtId="49" fontId="8" fillId="0" borderId="4" xfId="0" applyNumberFormat="1" applyFont="1" applyFill="1" applyBorder="1" applyProtection="1">
      <protection hidden="1"/>
    </xf>
    <xf numFmtId="0" fontId="8" fillId="0" borderId="4" xfId="0" quotePrefix="1" applyFont="1" applyFill="1" applyBorder="1" applyAlignment="1" applyProtection="1">
      <alignment horizontal="left" vertical="top"/>
      <protection hidden="1"/>
    </xf>
    <xf numFmtId="0" fontId="8" fillId="0" borderId="4" xfId="0" applyFont="1" applyFill="1" applyBorder="1" applyAlignment="1" applyProtection="1">
      <alignment horizontal="left" vertical="top"/>
      <protection hidden="1"/>
    </xf>
    <xf numFmtId="0" fontId="8" fillId="0" borderId="0" xfId="0" applyFont="1" applyFill="1" applyBorder="1" applyAlignment="1" applyProtection="1">
      <alignment horizontal="left" vertical="top"/>
      <protection hidden="1"/>
    </xf>
    <xf numFmtId="0" fontId="8" fillId="0" borderId="9" xfId="0" applyFont="1" applyFill="1" applyBorder="1" applyAlignment="1" applyProtection="1">
      <alignment vertical="top"/>
      <protection hidden="1"/>
    </xf>
    <xf numFmtId="0" fontId="8" fillId="0" borderId="8" xfId="0" applyFont="1" applyFill="1" applyBorder="1" applyAlignment="1" applyProtection="1">
      <alignment vertical="top"/>
      <protection hidden="1"/>
    </xf>
    <xf numFmtId="0" fontId="8" fillId="0" borderId="0" xfId="0" quotePrefix="1" applyFont="1" applyFill="1" applyBorder="1" applyAlignment="1" applyProtection="1">
      <alignment horizontal="left" vertical="top"/>
      <protection hidden="1"/>
    </xf>
    <xf numFmtId="0" fontId="8" fillId="0" borderId="0" xfId="0" applyFont="1" applyFill="1" applyBorder="1" applyAlignment="1" applyProtection="1">
      <alignment horizontal="left" vertical="center"/>
      <protection hidden="1"/>
    </xf>
    <xf numFmtId="0" fontId="8" fillId="0" borderId="9" xfId="0" applyFont="1" applyFill="1" applyBorder="1" applyAlignment="1" applyProtection="1">
      <alignment horizontal="center" vertical="center"/>
      <protection hidden="1"/>
    </xf>
    <xf numFmtId="0" fontId="8" fillId="0" borderId="8" xfId="0" applyFont="1" applyFill="1" applyBorder="1" applyAlignment="1" applyProtection="1">
      <alignment horizontal="center" vertical="center"/>
      <protection hidden="1"/>
    </xf>
    <xf numFmtId="165" fontId="8" fillId="0" borderId="8" xfId="0" applyNumberFormat="1" applyFont="1" applyFill="1" applyBorder="1" applyAlignment="1" applyProtection="1">
      <alignment horizontal="left"/>
      <protection hidden="1"/>
    </xf>
    <xf numFmtId="0" fontId="7" fillId="0" borderId="0" xfId="0" quotePrefix="1" applyFont="1" applyFill="1" applyBorder="1" applyAlignment="1" applyProtection="1">
      <alignment horizontal="center" vertical="center"/>
      <protection hidden="1"/>
    </xf>
    <xf numFmtId="0" fontId="7" fillId="0" borderId="0" xfId="0" applyFont="1" applyFill="1" applyBorder="1" applyAlignment="1" applyProtection="1">
      <alignment horizontal="left" vertical="center"/>
      <protection hidden="1"/>
    </xf>
    <xf numFmtId="0" fontId="8" fillId="0" borderId="11" xfId="0" applyFont="1" applyFill="1" applyBorder="1" applyProtection="1">
      <protection hidden="1"/>
    </xf>
    <xf numFmtId="49" fontId="7" fillId="0" borderId="10" xfId="0" applyNumberFormat="1" applyFont="1" applyFill="1" applyBorder="1" applyAlignment="1" applyProtection="1">
      <alignment vertical="center"/>
      <protection hidden="1"/>
    </xf>
    <xf numFmtId="0" fontId="7" fillId="0" borderId="10" xfId="0" applyFont="1" applyFill="1" applyBorder="1" applyProtection="1">
      <protection hidden="1"/>
    </xf>
    <xf numFmtId="0" fontId="7" fillId="0" borderId="10" xfId="0" applyFont="1" applyFill="1" applyBorder="1" applyAlignment="1" applyProtection="1">
      <alignment horizontal="left"/>
      <protection hidden="1"/>
    </xf>
    <xf numFmtId="0" fontId="8" fillId="0" borderId="12" xfId="0" applyFont="1" applyFill="1" applyBorder="1" applyProtection="1">
      <protection hidden="1"/>
    </xf>
    <xf numFmtId="4" fontId="9" fillId="0" borderId="1" xfId="0" applyNumberFormat="1" applyFont="1" applyBorder="1" applyProtection="1">
      <protection hidden="1"/>
    </xf>
    <xf numFmtId="0" fontId="10" fillId="0" borderId="0" xfId="0" applyFont="1" applyFill="1" applyBorder="1" applyProtection="1">
      <protection hidden="1"/>
    </xf>
    <xf numFmtId="0" fontId="8" fillId="0" borderId="1" xfId="0" applyFont="1" applyFill="1" applyBorder="1" applyAlignment="1" applyProtection="1">
      <alignment horizontal="center" vertical="center"/>
      <protection hidden="1"/>
    </xf>
    <xf numFmtId="0" fontId="8" fillId="0" borderId="1" xfId="0" applyFont="1" applyFill="1" applyBorder="1" applyAlignment="1" applyProtection="1">
      <alignment horizontal="center" vertical="center" wrapText="1"/>
      <protection hidden="1"/>
    </xf>
    <xf numFmtId="166" fontId="8" fillId="0" borderId="1" xfId="0" applyNumberFormat="1" applyFont="1" applyBorder="1" applyAlignment="1" applyProtection="1">
      <alignment horizontal="center" vertical="center"/>
      <protection hidden="1"/>
    </xf>
    <xf numFmtId="4" fontId="9" fillId="0" borderId="1" xfId="0" applyNumberFormat="1" applyFont="1" applyBorder="1" applyAlignment="1" applyProtection="1">
      <protection hidden="1"/>
    </xf>
    <xf numFmtId="4" fontId="9" fillId="0" borderId="1" xfId="0" applyNumberFormat="1" applyFont="1" applyFill="1" applyBorder="1" applyAlignment="1" applyProtection="1">
      <protection hidden="1"/>
    </xf>
    <xf numFmtId="0" fontId="8" fillId="0" borderId="1" xfId="0" applyFont="1" applyBorder="1" applyProtection="1">
      <protection hidden="1"/>
    </xf>
    <xf numFmtId="4" fontId="8" fillId="0" borderId="1" xfId="0" applyNumberFormat="1" applyFont="1" applyBorder="1" applyAlignment="1" applyProtection="1">
      <protection locked="0"/>
    </xf>
    <xf numFmtId="4" fontId="8" fillId="0" borderId="1" xfId="0" applyNumberFormat="1" applyFont="1" applyFill="1" applyBorder="1" applyAlignment="1" applyProtection="1">
      <protection locked="0"/>
    </xf>
    <xf numFmtId="166" fontId="8" fillId="0" borderId="1" xfId="0" applyNumberFormat="1" applyFont="1" applyBorder="1" applyAlignment="1" applyProtection="1">
      <alignment horizontal="center"/>
      <protection hidden="1"/>
    </xf>
    <xf numFmtId="4" fontId="8" fillId="2" borderId="1" xfId="0" applyNumberFormat="1" applyFont="1" applyFill="1" applyBorder="1" applyAlignment="1" applyProtection="1">
      <protection hidden="1"/>
    </xf>
    <xf numFmtId="4" fontId="9" fillId="2" borderId="1" xfId="0" applyNumberFormat="1" applyFont="1" applyFill="1" applyBorder="1" applyAlignment="1" applyProtection="1">
      <protection hidden="1"/>
    </xf>
    <xf numFmtId="0" fontId="8" fillId="0" borderId="1" xfId="0" applyFont="1" applyFill="1" applyBorder="1" applyProtection="1">
      <protection hidden="1"/>
    </xf>
    <xf numFmtId="166" fontId="8" fillId="0" borderId="1" xfId="0" applyNumberFormat="1" applyFont="1" applyFill="1" applyBorder="1" applyAlignment="1" applyProtection="1">
      <alignment horizontal="center"/>
      <protection hidden="1"/>
    </xf>
    <xf numFmtId="49" fontId="8" fillId="0" borderId="0" xfId="0" applyNumberFormat="1" applyFont="1" applyFill="1" applyProtection="1">
      <protection hidden="1"/>
    </xf>
    <xf numFmtId="0" fontId="8" fillId="0" borderId="0" xfId="0" applyFont="1" applyFill="1" applyProtection="1">
      <protection hidden="1"/>
    </xf>
    <xf numFmtId="0" fontId="7" fillId="0" borderId="0" xfId="0" applyFont="1" applyBorder="1" applyProtection="1">
      <protection hidden="1"/>
    </xf>
    <xf numFmtId="4" fontId="9" fillId="0" borderId="1" xfId="0" applyNumberFormat="1" applyFont="1" applyFill="1" applyBorder="1" applyAlignment="1" applyProtection="1">
      <alignment horizontal="right" vertical="center"/>
      <protection hidden="1"/>
    </xf>
    <xf numFmtId="4" fontId="8" fillId="0" borderId="1" xfId="0" applyNumberFormat="1" applyFont="1" applyBorder="1" applyAlignment="1" applyProtection="1">
      <alignment vertical="center"/>
      <protection locked="0"/>
    </xf>
    <xf numFmtId="4" fontId="9" fillId="0" borderId="1" xfId="0" applyNumberFormat="1" applyFont="1" applyBorder="1" applyAlignment="1" applyProtection="1">
      <alignment vertical="center"/>
      <protection hidden="1"/>
    </xf>
    <xf numFmtId="4" fontId="9" fillId="0" borderId="1" xfId="0" applyNumberFormat="1" applyFont="1" applyBorder="1" applyAlignment="1" applyProtection="1">
      <alignment wrapText="1"/>
      <protection hidden="1"/>
    </xf>
    <xf numFmtId="4" fontId="9" fillId="0" borderId="7" xfId="0" applyNumberFormat="1" applyFont="1" applyBorder="1" applyAlignment="1" applyProtection="1">
      <protection hidden="1"/>
    </xf>
    <xf numFmtId="4" fontId="4" fillId="0" borderId="1" xfId="0" applyNumberFormat="1" applyFont="1" applyFill="1" applyBorder="1" applyProtection="1">
      <protection hidden="1"/>
    </xf>
    <xf numFmtId="4" fontId="2" fillId="0" borderId="1" xfId="0" applyNumberFormat="1" applyFont="1" applyFill="1" applyBorder="1" applyProtection="1">
      <protection locked="0"/>
    </xf>
    <xf numFmtId="166" fontId="2" fillId="0" borderId="1" xfId="0" quotePrefix="1" applyNumberFormat="1" applyFont="1" applyFill="1" applyBorder="1" applyAlignment="1" applyProtection="1">
      <alignment horizontal="center"/>
      <protection hidden="1"/>
    </xf>
    <xf numFmtId="4" fontId="2" fillId="0" borderId="1" xfId="0" applyNumberFormat="1" applyFont="1" applyFill="1" applyBorder="1" applyProtection="1">
      <protection hidden="1"/>
    </xf>
    <xf numFmtId="4" fontId="9" fillId="2" borderId="1" xfId="0" applyNumberFormat="1" applyFont="1" applyFill="1" applyBorder="1" applyProtection="1">
      <protection hidden="1"/>
    </xf>
    <xf numFmtId="4" fontId="9" fillId="0" borderId="1" xfId="0" applyNumberFormat="1" applyFont="1" applyFill="1" applyBorder="1" applyProtection="1">
      <protection hidden="1"/>
    </xf>
    <xf numFmtId="4" fontId="8" fillId="0" borderId="1" xfId="0" applyNumberFormat="1" applyFont="1" applyFill="1" applyBorder="1" applyProtection="1">
      <protection locked="0"/>
    </xf>
    <xf numFmtId="4" fontId="8" fillId="2" borderId="1" xfId="0" applyNumberFormat="1" applyFont="1" applyFill="1" applyBorder="1" applyProtection="1">
      <protection hidden="1"/>
    </xf>
    <xf numFmtId="4" fontId="9" fillId="2" borderId="1" xfId="0" applyNumberFormat="1" applyFont="1" applyFill="1" applyBorder="1" applyAlignment="1" applyProtection="1">
      <alignment vertical="center"/>
      <protection hidden="1"/>
    </xf>
    <xf numFmtId="4" fontId="8" fillId="0" borderId="1" xfId="0" applyNumberFormat="1" applyFont="1" applyFill="1" applyBorder="1" applyProtection="1">
      <protection hidden="1"/>
    </xf>
    <xf numFmtId="4" fontId="8" fillId="0" borderId="1" xfId="0" applyNumberFormat="1" applyFont="1" applyBorder="1" applyProtection="1">
      <protection hidden="1"/>
    </xf>
    <xf numFmtId="4" fontId="9" fillId="3" borderId="1" xfId="0" applyNumberFormat="1" applyFont="1" applyFill="1" applyBorder="1" applyProtection="1">
      <protection hidden="1"/>
    </xf>
    <xf numFmtId="165" fontId="8" fillId="0" borderId="0" xfId="0" applyNumberFormat="1" applyFont="1" applyFill="1" applyBorder="1" applyProtection="1">
      <protection hidden="1"/>
    </xf>
    <xf numFmtId="165" fontId="8" fillId="0" borderId="0" xfId="0" applyNumberFormat="1" applyFont="1" applyBorder="1" applyProtection="1">
      <protection hidden="1"/>
    </xf>
    <xf numFmtId="165" fontId="8" fillId="0" borderId="0" xfId="0" quotePrefix="1" applyNumberFormat="1" applyFont="1" applyFill="1" applyBorder="1" applyProtection="1">
      <protection hidden="1"/>
    </xf>
    <xf numFmtId="0" fontId="8" fillId="0" borderId="0" xfId="0" quotePrefix="1" applyFont="1" applyFill="1" applyBorder="1" applyProtection="1">
      <protection hidden="1"/>
    </xf>
    <xf numFmtId="0" fontId="7" fillId="0" borderId="1" xfId="0" applyFont="1" applyFill="1" applyBorder="1" applyAlignment="1" applyProtection="1">
      <alignment horizontal="center"/>
      <protection hidden="1"/>
    </xf>
    <xf numFmtId="0" fontId="7" fillId="0" borderId="2" xfId="0" applyFont="1" applyBorder="1" applyAlignment="1" applyProtection="1">
      <alignment horizontal="left" vertical="center"/>
      <protection hidden="1"/>
    </xf>
    <xf numFmtId="0" fontId="8" fillId="0" borderId="2" xfId="0" applyFont="1" applyFill="1" applyBorder="1" applyProtection="1">
      <protection hidden="1"/>
    </xf>
    <xf numFmtId="166" fontId="8" fillId="0" borderId="8" xfId="0" applyNumberFormat="1" applyFont="1" applyFill="1" applyBorder="1" applyAlignment="1" applyProtection="1">
      <alignment horizontal="center"/>
      <protection hidden="1"/>
    </xf>
    <xf numFmtId="0" fontId="7" fillId="0" borderId="5" xfId="0" applyFont="1" applyFill="1" applyBorder="1" applyAlignment="1" applyProtection="1">
      <alignment horizontal="left" vertical="center"/>
      <protection hidden="1"/>
    </xf>
    <xf numFmtId="165" fontId="8" fillId="0" borderId="6" xfId="0" applyNumberFormat="1" applyFont="1" applyFill="1" applyBorder="1" applyProtection="1">
      <protection hidden="1"/>
    </xf>
    <xf numFmtId="0" fontId="8" fillId="0" borderId="6" xfId="0" applyFont="1" applyFill="1" applyBorder="1" applyProtection="1">
      <protection hidden="1"/>
    </xf>
    <xf numFmtId="0" fontId="8" fillId="0" borderId="7" xfId="0" applyFont="1" applyFill="1" applyBorder="1" applyProtection="1">
      <protection hidden="1"/>
    </xf>
    <xf numFmtId="0" fontId="8" fillId="0" borderId="3" xfId="0" applyFont="1" applyFill="1" applyBorder="1" applyProtection="1">
      <protection hidden="1"/>
    </xf>
    <xf numFmtId="0" fontId="8" fillId="0" borderId="3" xfId="0" applyFont="1" applyFill="1" applyBorder="1" applyAlignment="1" applyProtection="1">
      <alignment vertical="top"/>
      <protection hidden="1"/>
    </xf>
    <xf numFmtId="165" fontId="8" fillId="0" borderId="4" xfId="0" applyNumberFormat="1" applyFont="1" applyBorder="1" applyProtection="1">
      <protection hidden="1"/>
    </xf>
    <xf numFmtId="165" fontId="8" fillId="0" borderId="4" xfId="0" applyNumberFormat="1" applyFont="1" applyFill="1" applyBorder="1" applyProtection="1">
      <protection hidden="1"/>
    </xf>
    <xf numFmtId="165" fontId="8" fillId="0" borderId="4" xfId="0" quotePrefix="1" applyNumberFormat="1" applyFont="1" applyFill="1" applyBorder="1" applyProtection="1">
      <protection hidden="1"/>
    </xf>
    <xf numFmtId="0" fontId="8" fillId="0" borderId="2" xfId="0" applyFont="1" applyFill="1" applyBorder="1" applyAlignment="1" applyProtection="1">
      <alignment vertical="top"/>
      <protection hidden="1"/>
    </xf>
    <xf numFmtId="0" fontId="8" fillId="0" borderId="4" xfId="0" quotePrefix="1" applyFont="1" applyFill="1" applyBorder="1" applyProtection="1">
      <protection hidden="1"/>
    </xf>
    <xf numFmtId="4" fontId="8" fillId="0" borderId="1" xfId="0" applyNumberFormat="1" applyFont="1" applyBorder="1" applyAlignment="1" applyProtection="1">
      <alignment horizontal="right"/>
      <protection locked="0"/>
    </xf>
    <xf numFmtId="0" fontId="7" fillId="0" borderId="6" xfId="0" applyFont="1" applyFill="1" applyBorder="1" applyAlignment="1" applyProtection="1">
      <alignment horizontal="center" vertical="center"/>
      <protection hidden="1"/>
    </xf>
    <xf numFmtId="164" fontId="7" fillId="0" borderId="5" xfId="0" applyNumberFormat="1" applyFont="1" applyFill="1" applyBorder="1" applyAlignment="1" applyProtection="1">
      <alignment horizontal="center" vertical="center"/>
      <protection hidden="1"/>
    </xf>
    <xf numFmtId="164" fontId="7" fillId="0" borderId="13" xfId="0" applyNumberFormat="1" applyFont="1" applyFill="1" applyBorder="1" applyAlignment="1" applyProtection="1">
      <alignment horizontal="center" vertical="center"/>
      <protection hidden="1"/>
    </xf>
    <xf numFmtId="164" fontId="7" fillId="0" borderId="3" xfId="0" applyNumberFormat="1" applyFont="1" applyFill="1" applyBorder="1" applyAlignment="1" applyProtection="1">
      <alignment horizontal="center" vertical="center"/>
      <protection hidden="1"/>
    </xf>
    <xf numFmtId="164" fontId="7" fillId="0" borderId="14" xfId="0" applyNumberFormat="1" applyFont="1" applyFill="1" applyBorder="1" applyAlignment="1" applyProtection="1">
      <alignment horizontal="center" vertical="center"/>
      <protection hidden="1"/>
    </xf>
    <xf numFmtId="0" fontId="8" fillId="0" borderId="12" xfId="0" applyFont="1" applyBorder="1" applyAlignment="1" applyProtection="1">
      <alignment horizontal="center" vertical="center" wrapText="1"/>
      <protection hidden="1"/>
    </xf>
    <xf numFmtId="166" fontId="8" fillId="0" borderId="1" xfId="0" applyNumberFormat="1" applyFont="1" applyFill="1" applyBorder="1" applyAlignment="1" applyProtection="1">
      <alignment horizontal="center" vertical="center"/>
      <protection hidden="1"/>
    </xf>
    <xf numFmtId="166" fontId="8" fillId="0" borderId="7" xfId="0" applyNumberFormat="1" applyFont="1" applyFill="1" applyBorder="1" applyAlignment="1" applyProtection="1">
      <alignment horizontal="center"/>
      <protection hidden="1"/>
    </xf>
    <xf numFmtId="166" fontId="10" fillId="0" borderId="4" xfId="0" applyNumberFormat="1" applyFont="1" applyFill="1" applyBorder="1" applyAlignment="1" applyProtection="1">
      <alignment horizontal="center"/>
      <protection hidden="1"/>
    </xf>
    <xf numFmtId="166" fontId="8" fillId="0" borderId="4" xfId="0" applyNumberFormat="1" applyFont="1" applyFill="1" applyBorder="1" applyAlignment="1" applyProtection="1">
      <alignment horizontal="center"/>
      <protection hidden="1"/>
    </xf>
    <xf numFmtId="166" fontId="10" fillId="0" borderId="0" xfId="0" applyNumberFormat="1" applyFont="1" applyFill="1" applyAlignment="1" applyProtection="1">
      <alignment horizontal="center"/>
      <protection hidden="1"/>
    </xf>
    <xf numFmtId="166" fontId="8" fillId="0" borderId="0" xfId="0" applyNumberFormat="1" applyFont="1" applyFill="1" applyAlignment="1" applyProtection="1">
      <alignment horizontal="center"/>
      <protection hidden="1"/>
    </xf>
    <xf numFmtId="0" fontId="10" fillId="0" borderId="0" xfId="0" applyFont="1" applyFill="1" applyProtection="1">
      <protection hidden="1"/>
    </xf>
    <xf numFmtId="0" fontId="8" fillId="0" borderId="10" xfId="0" applyFont="1" applyFill="1" applyBorder="1" applyProtection="1">
      <protection hidden="1"/>
    </xf>
    <xf numFmtId="0" fontId="8" fillId="0" borderId="6" xfId="0" applyFont="1" applyFill="1" applyBorder="1" applyAlignment="1" applyProtection="1">
      <alignment horizontal="center" vertical="center"/>
      <protection hidden="1"/>
    </xf>
    <xf numFmtId="0" fontId="8" fillId="0" borderId="7" xfId="0" applyFont="1" applyFill="1" applyBorder="1" applyAlignment="1" applyProtection="1">
      <alignment horizontal="center" vertical="center"/>
      <protection hidden="1"/>
    </xf>
    <xf numFmtId="0" fontId="8" fillId="0" borderId="10" xfId="0" quotePrefix="1" applyFont="1" applyFill="1" applyBorder="1" applyProtection="1">
      <protection hidden="1"/>
    </xf>
    <xf numFmtId="0" fontId="3" fillId="0" borderId="0" xfId="0" applyFont="1" applyFill="1" applyBorder="1" applyAlignment="1" applyProtection="1">
      <alignment horizontal="center"/>
      <protection hidden="1"/>
    </xf>
    <xf numFmtId="0" fontId="2" fillId="0" borderId="0" xfId="0" applyFont="1" applyFill="1" applyBorder="1" applyProtection="1">
      <protection hidden="1"/>
    </xf>
    <xf numFmtId="0" fontId="2" fillId="0" borderId="0" xfId="0" applyFont="1" applyFill="1" applyBorder="1" applyAlignment="1" applyProtection="1">
      <alignment vertical="top"/>
      <protection hidden="1"/>
    </xf>
    <xf numFmtId="0" fontId="2" fillId="0" borderId="0" xfId="0" applyFont="1" applyFill="1" applyBorder="1" applyAlignment="1" applyProtection="1">
      <alignment horizontal="left" wrapText="1"/>
      <protection hidden="1"/>
    </xf>
    <xf numFmtId="0" fontId="3" fillId="0" borderId="0" xfId="0" quotePrefix="1" applyFont="1" applyFill="1" applyBorder="1" applyAlignment="1" applyProtection="1">
      <alignment horizontal="center" vertical="top"/>
      <protection hidden="1"/>
    </xf>
    <xf numFmtId="0" fontId="3" fillId="0" borderId="0" xfId="0" quotePrefix="1" applyFont="1" applyFill="1" applyBorder="1" applyAlignment="1" applyProtection="1">
      <alignment horizontal="center"/>
      <protection hidden="1"/>
    </xf>
    <xf numFmtId="164" fontId="3" fillId="0" borderId="1" xfId="0" applyNumberFormat="1" applyFont="1" applyFill="1" applyBorder="1" applyAlignment="1" applyProtection="1">
      <alignment horizontal="center" vertical="center"/>
      <protection hidden="1"/>
    </xf>
    <xf numFmtId="0" fontId="2" fillId="0" borderId="1" xfId="0" applyFont="1" applyFill="1" applyBorder="1" applyAlignment="1" applyProtection="1">
      <alignment horizontal="center" vertical="center"/>
      <protection hidden="1"/>
    </xf>
    <xf numFmtId="0" fontId="3" fillId="0" borderId="1" xfId="0" applyFont="1" applyFill="1" applyBorder="1" applyAlignment="1" applyProtection="1">
      <alignment horizontal="center"/>
      <protection hidden="1"/>
    </xf>
    <xf numFmtId="0" fontId="2" fillId="0" borderId="1" xfId="0" applyFont="1" applyFill="1" applyBorder="1" applyAlignment="1" applyProtection="1">
      <alignment vertical="center"/>
      <protection hidden="1"/>
    </xf>
    <xf numFmtId="166" fontId="2" fillId="0" borderId="1" xfId="0" applyNumberFormat="1" applyFont="1" applyFill="1" applyBorder="1" applyAlignment="1" applyProtection="1">
      <alignment horizontal="center"/>
      <protection hidden="1"/>
    </xf>
    <xf numFmtId="166" fontId="2" fillId="0" borderId="1" xfId="0" applyNumberFormat="1" applyFont="1" applyFill="1" applyBorder="1" applyAlignment="1" applyProtection="1">
      <alignment horizontal="center" vertical="top" wrapText="1"/>
      <protection hidden="1"/>
    </xf>
    <xf numFmtId="166" fontId="2" fillId="0" borderId="1" xfId="0" applyNumberFormat="1" applyFont="1" applyFill="1" applyBorder="1" applyAlignment="1" applyProtection="1">
      <alignment horizontal="center" wrapText="1"/>
      <protection hidden="1"/>
    </xf>
    <xf numFmtId="166" fontId="2" fillId="0" borderId="1" xfId="0" quotePrefix="1" applyNumberFormat="1" applyFont="1" applyFill="1" applyBorder="1" applyAlignment="1" applyProtection="1">
      <alignment horizontal="center" vertical="top"/>
      <protection hidden="1"/>
    </xf>
    <xf numFmtId="0" fontId="3" fillId="0" borderId="8" xfId="0" applyFont="1" applyFill="1" applyBorder="1" applyAlignment="1" applyProtection="1">
      <alignment horizontal="center"/>
      <protection hidden="1"/>
    </xf>
    <xf numFmtId="0" fontId="3" fillId="0" borderId="3" xfId="0" applyFont="1" applyFill="1" applyBorder="1" applyAlignment="1" applyProtection="1">
      <alignment horizontal="left"/>
      <protection hidden="1"/>
    </xf>
    <xf numFmtId="0" fontId="3" fillId="0" borderId="9" xfId="0" applyFont="1" applyFill="1" applyBorder="1" applyAlignment="1" applyProtection="1">
      <alignment horizontal="center"/>
      <protection hidden="1"/>
    </xf>
    <xf numFmtId="0" fontId="2" fillId="0" borderId="3" xfId="0" quotePrefix="1" applyFont="1" applyFill="1" applyBorder="1" applyProtection="1">
      <protection hidden="1"/>
    </xf>
    <xf numFmtId="0" fontId="2" fillId="0" borderId="9" xfId="0" applyFont="1" applyFill="1" applyBorder="1" applyProtection="1">
      <protection hidden="1"/>
    </xf>
    <xf numFmtId="0" fontId="2" fillId="0" borderId="3" xfId="0" quotePrefix="1" applyFont="1" applyFill="1" applyBorder="1" applyAlignment="1" applyProtection="1">
      <alignment vertical="top"/>
      <protection hidden="1"/>
    </xf>
    <xf numFmtId="0" fontId="2" fillId="0" borderId="9" xfId="0" applyFont="1" applyFill="1" applyBorder="1" applyAlignment="1" applyProtection="1">
      <alignment horizontal="left" wrapText="1"/>
      <protection hidden="1"/>
    </xf>
    <xf numFmtId="0" fontId="3" fillId="0" borderId="3" xfId="0" applyFont="1" applyFill="1" applyBorder="1" applyAlignment="1" applyProtection="1">
      <alignment horizontal="left" vertical="top"/>
      <protection hidden="1"/>
    </xf>
    <xf numFmtId="0" fontId="3" fillId="0" borderId="9" xfId="0" quotePrefix="1" applyFont="1" applyFill="1" applyBorder="1" applyAlignment="1" applyProtection="1">
      <alignment horizontal="center" vertical="top"/>
      <protection hidden="1"/>
    </xf>
    <xf numFmtId="0" fontId="3" fillId="0" borderId="9" xfId="0" quotePrefix="1" applyFont="1" applyFill="1" applyBorder="1" applyAlignment="1" applyProtection="1">
      <alignment horizontal="center"/>
      <protection hidden="1"/>
    </xf>
    <xf numFmtId="0" fontId="3" fillId="0" borderId="2" xfId="0" applyFont="1" applyFill="1" applyBorder="1" applyAlignment="1" applyProtection="1">
      <alignment horizontal="left"/>
      <protection hidden="1"/>
    </xf>
    <xf numFmtId="0" fontId="3" fillId="0" borderId="4" xfId="0" applyFont="1" applyFill="1" applyBorder="1" applyAlignment="1" applyProtection="1">
      <alignment horizontal="center"/>
      <protection hidden="1"/>
    </xf>
    <xf numFmtId="0" fontId="2" fillId="0" borderId="2" xfId="0" quotePrefix="1" applyFont="1" applyFill="1" applyBorder="1" applyProtection="1">
      <protection hidden="1"/>
    </xf>
    <xf numFmtId="0" fontId="2" fillId="0" borderId="4" xfId="0" applyFont="1" applyFill="1" applyBorder="1" applyProtection="1">
      <protection hidden="1"/>
    </xf>
    <xf numFmtId="0" fontId="2" fillId="0" borderId="8" xfId="0" applyFont="1" applyFill="1" applyBorder="1" applyProtection="1">
      <protection hidden="1"/>
    </xf>
    <xf numFmtId="0" fontId="2" fillId="0" borderId="2" xfId="0" quotePrefix="1" applyFont="1" applyFill="1" applyBorder="1" applyAlignment="1" applyProtection="1">
      <alignment vertical="top"/>
      <protection hidden="1"/>
    </xf>
    <xf numFmtId="0" fontId="2" fillId="0" borderId="8" xfId="0" applyFont="1" applyFill="1" applyBorder="1" applyAlignment="1" applyProtection="1">
      <alignment horizontal="left" wrapText="1"/>
      <protection hidden="1"/>
    </xf>
    <xf numFmtId="0" fontId="2" fillId="0" borderId="4" xfId="0" applyFont="1" applyFill="1" applyBorder="1" applyAlignment="1" applyProtection="1">
      <alignment vertical="top"/>
      <protection hidden="1"/>
    </xf>
    <xf numFmtId="0" fontId="11" fillId="0" borderId="2" xfId="0" applyFont="1" applyFill="1" applyBorder="1" applyAlignment="1" applyProtection="1">
      <alignment horizontal="left" vertical="top"/>
      <protection hidden="1"/>
    </xf>
    <xf numFmtId="0" fontId="3" fillId="0" borderId="4" xfId="0" quotePrefix="1" applyFont="1" applyFill="1" applyBorder="1" applyAlignment="1" applyProtection="1">
      <alignment horizontal="center" vertical="top"/>
      <protection hidden="1"/>
    </xf>
    <xf numFmtId="0" fontId="3" fillId="0" borderId="8" xfId="0" quotePrefix="1" applyFont="1" applyFill="1" applyBorder="1" applyAlignment="1" applyProtection="1">
      <alignment horizontal="center" vertical="top"/>
      <protection hidden="1"/>
    </xf>
    <xf numFmtId="0" fontId="3" fillId="0" borderId="4" xfId="0" quotePrefix="1" applyFont="1" applyFill="1" applyBorder="1" applyAlignment="1" applyProtection="1">
      <alignment horizontal="center"/>
      <protection hidden="1"/>
    </xf>
    <xf numFmtId="0" fontId="3" fillId="0" borderId="8" xfId="0" quotePrefix="1" applyFont="1" applyFill="1" applyBorder="1" applyAlignment="1" applyProtection="1">
      <alignment horizontal="center"/>
      <protection hidden="1"/>
    </xf>
    <xf numFmtId="4" fontId="9" fillId="0" borderId="0" xfId="0" applyNumberFormat="1" applyFont="1" applyBorder="1" applyProtection="1">
      <protection hidden="1"/>
    </xf>
    <xf numFmtId="0" fontId="8" fillId="0" borderId="0" xfId="0" quotePrefix="1" applyFont="1" applyBorder="1" applyProtection="1">
      <protection hidden="1"/>
    </xf>
    <xf numFmtId="49" fontId="7" fillId="0" borderId="1" xfId="0" applyNumberFormat="1" applyFont="1" applyFill="1" applyBorder="1" applyAlignment="1" applyProtection="1">
      <protection hidden="1"/>
    </xf>
    <xf numFmtId="0" fontId="7" fillId="0" borderId="8" xfId="0" applyFont="1" applyFill="1" applyBorder="1" applyProtection="1">
      <protection hidden="1"/>
    </xf>
    <xf numFmtId="0" fontId="7" fillId="0" borderId="8" xfId="0" applyFont="1" applyFill="1" applyBorder="1" applyAlignment="1" applyProtection="1">
      <alignment horizontal="center"/>
      <protection hidden="1"/>
    </xf>
    <xf numFmtId="49" fontId="7" fillId="0" borderId="5" xfId="0" applyNumberFormat="1" applyFont="1" applyBorder="1" applyProtection="1">
      <protection hidden="1"/>
    </xf>
    <xf numFmtId="0" fontId="7" fillId="0" borderId="6" xfId="0" applyFont="1" applyFill="1" applyBorder="1" applyProtection="1">
      <protection hidden="1"/>
    </xf>
    <xf numFmtId="49" fontId="7" fillId="0" borderId="3" xfId="0" applyNumberFormat="1" applyFont="1" applyBorder="1" applyProtection="1">
      <protection hidden="1"/>
    </xf>
    <xf numFmtId="49" fontId="7" fillId="0" borderId="3" xfId="0" applyNumberFormat="1" applyFont="1" applyBorder="1" applyAlignment="1" applyProtection="1">
      <protection hidden="1"/>
    </xf>
    <xf numFmtId="0" fontId="8" fillId="0" borderId="3" xfId="0" quotePrefix="1" applyFont="1" applyBorder="1" applyProtection="1">
      <protection hidden="1"/>
    </xf>
    <xf numFmtId="49" fontId="7" fillId="0" borderId="2" xfId="0" quotePrefix="1" applyNumberFormat="1" applyFont="1" applyBorder="1" applyProtection="1">
      <protection hidden="1"/>
    </xf>
    <xf numFmtId="49" fontId="7" fillId="0" borderId="2" xfId="0" applyNumberFormat="1" applyFont="1" applyBorder="1" applyAlignment="1" applyProtection="1">
      <protection hidden="1"/>
    </xf>
    <xf numFmtId="0" fontId="8" fillId="0" borderId="2" xfId="0" quotePrefix="1" applyFont="1" applyBorder="1" applyProtection="1">
      <protection hidden="1"/>
    </xf>
    <xf numFmtId="0" fontId="7" fillId="0" borderId="2" xfId="0" applyFont="1" applyFill="1" applyBorder="1" applyAlignment="1" applyProtection="1">
      <alignment horizontal="left"/>
      <protection hidden="1"/>
    </xf>
    <xf numFmtId="0" fontId="7" fillId="0" borderId="4" xfId="0" applyFont="1" applyFill="1" applyBorder="1" applyAlignment="1" applyProtection="1">
      <alignment horizontal="center"/>
      <protection hidden="1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5" xfId="0" applyFont="1" applyFill="1" applyBorder="1" applyProtection="1">
      <protection hidden="1"/>
    </xf>
    <xf numFmtId="49" fontId="8" fillId="0" borderId="3" xfId="0" applyNumberFormat="1" applyFont="1" applyFill="1" applyBorder="1" applyProtection="1">
      <protection hidden="1"/>
    </xf>
    <xf numFmtId="0" fontId="8" fillId="0" borderId="3" xfId="0" quotePrefix="1" applyFont="1" applyFill="1" applyBorder="1" applyProtection="1">
      <protection hidden="1"/>
    </xf>
    <xf numFmtId="49" fontId="8" fillId="0" borderId="2" xfId="0" applyNumberFormat="1" applyFont="1" applyFill="1" applyBorder="1" applyProtection="1">
      <protection hidden="1"/>
    </xf>
    <xf numFmtId="165" fontId="8" fillId="0" borderId="8" xfId="0" applyNumberFormat="1" applyFont="1" applyFill="1" applyBorder="1" applyProtection="1">
      <protection hidden="1"/>
    </xf>
    <xf numFmtId="0" fontId="8" fillId="0" borderId="2" xfId="0" quotePrefix="1" applyFont="1" applyFill="1" applyBorder="1" applyProtection="1">
      <protection hidden="1"/>
    </xf>
    <xf numFmtId="0" fontId="3" fillId="0" borderId="0" xfId="0" applyFont="1" applyBorder="1" applyProtection="1">
      <protection hidden="1"/>
    </xf>
    <xf numFmtId="0" fontId="2" fillId="0" borderId="0" xfId="0" applyFont="1" applyBorder="1" applyProtection="1">
      <protection hidden="1"/>
    </xf>
    <xf numFmtId="0" fontId="13" fillId="0" borderId="0" xfId="0" applyFont="1" applyBorder="1" applyAlignment="1" applyProtection="1">
      <alignment vertical="top"/>
      <protection hidden="1"/>
    </xf>
    <xf numFmtId="0" fontId="3" fillId="0" borderId="1" xfId="0" applyFont="1" applyBorder="1" applyAlignment="1" applyProtection="1">
      <alignment horizontal="center" vertical="center" wrapText="1"/>
      <protection hidden="1"/>
    </xf>
    <xf numFmtId="0" fontId="3" fillId="0" borderId="5" xfId="0" applyFont="1" applyBorder="1" applyProtection="1">
      <protection hidden="1"/>
    </xf>
    <xf numFmtId="0" fontId="3" fillId="0" borderId="6" xfId="0" applyFont="1" applyBorder="1" applyProtection="1">
      <protection hidden="1"/>
    </xf>
    <xf numFmtId="0" fontId="3" fillId="0" borderId="7" xfId="0" applyFont="1" applyBorder="1" applyProtection="1">
      <protection hidden="1"/>
    </xf>
    <xf numFmtId="0" fontId="8" fillId="0" borderId="3" xfId="0" applyFont="1" applyBorder="1" applyProtection="1">
      <protection hidden="1"/>
    </xf>
    <xf numFmtId="0" fontId="3" fillId="0" borderId="3" xfId="0" applyFont="1" applyBorder="1" applyProtection="1">
      <protection hidden="1"/>
    </xf>
    <xf numFmtId="0" fontId="3" fillId="0" borderId="9" xfId="0" applyFont="1" applyBorder="1" applyProtection="1">
      <protection hidden="1"/>
    </xf>
    <xf numFmtId="0" fontId="3" fillId="0" borderId="10" xfId="0" applyFont="1" applyFill="1" applyBorder="1" applyProtection="1">
      <protection hidden="1"/>
    </xf>
    <xf numFmtId="0" fontId="8" fillId="0" borderId="12" xfId="0" quotePrefix="1" applyFont="1" applyFill="1" applyBorder="1" applyProtection="1">
      <protection hidden="1"/>
    </xf>
    <xf numFmtId="0" fontId="2" fillId="0" borderId="2" xfId="0" applyFont="1" applyBorder="1" applyProtection="1">
      <protection hidden="1"/>
    </xf>
    <xf numFmtId="0" fontId="2" fillId="0" borderId="4" xfId="0" applyFont="1" applyBorder="1" applyProtection="1">
      <protection hidden="1"/>
    </xf>
    <xf numFmtId="0" fontId="2" fillId="0" borderId="8" xfId="0" applyFont="1" applyBorder="1" applyProtection="1">
      <protection hidden="1"/>
    </xf>
    <xf numFmtId="0" fontId="8" fillId="0" borderId="2" xfId="0" applyFont="1" applyBorder="1" applyProtection="1">
      <protection hidden="1"/>
    </xf>
    <xf numFmtId="0" fontId="8" fillId="0" borderId="4" xfId="0" quotePrefix="1" applyFont="1" applyBorder="1" applyProtection="1">
      <protection hidden="1"/>
    </xf>
    <xf numFmtId="0" fontId="8" fillId="0" borderId="4" xfId="0" quotePrefix="1" applyFont="1" applyBorder="1" applyAlignment="1" applyProtection="1">
      <alignment horizontal="center"/>
      <protection hidden="1"/>
    </xf>
    <xf numFmtId="0" fontId="3" fillId="0" borderId="2" xfId="0" applyFont="1" applyBorder="1" applyProtection="1">
      <protection hidden="1"/>
    </xf>
    <xf numFmtId="0" fontId="8" fillId="0" borderId="8" xfId="0" applyFont="1" applyBorder="1" applyProtection="1">
      <protection locked="0"/>
    </xf>
    <xf numFmtId="2" fontId="3" fillId="0" borderId="0" xfId="0" applyNumberFormat="1" applyFont="1" applyBorder="1" applyAlignment="1" applyProtection="1">
      <alignment horizontal="center"/>
      <protection hidden="1"/>
    </xf>
    <xf numFmtId="2" fontId="2" fillId="0" borderId="0" xfId="0" applyNumberFormat="1" applyFont="1" applyBorder="1" applyAlignment="1" applyProtection="1">
      <protection hidden="1"/>
    </xf>
    <xf numFmtId="166" fontId="2" fillId="0" borderId="1" xfId="0" applyNumberFormat="1" applyFont="1" applyFill="1" applyBorder="1" applyAlignment="1" applyProtection="1">
      <alignment horizontal="right" vertical="top" wrapText="1"/>
      <protection hidden="1"/>
    </xf>
    <xf numFmtId="4" fontId="2" fillId="0" borderId="1" xfId="0" applyNumberFormat="1" applyFont="1" applyFill="1" applyBorder="1" applyAlignment="1" applyProtection="1">
      <alignment horizontal="right" vertical="top"/>
      <protection locked="0"/>
    </xf>
    <xf numFmtId="4" fontId="4" fillId="0" borderId="1" xfId="0" applyNumberFormat="1" applyFont="1" applyFill="1" applyBorder="1" applyAlignment="1" applyProtection="1">
      <alignment horizontal="right" vertical="top"/>
      <protection hidden="1"/>
    </xf>
    <xf numFmtId="0" fontId="8" fillId="0" borderId="1" xfId="0" applyNumberFormat="1" applyFont="1" applyBorder="1" applyAlignment="1" applyProtection="1">
      <alignment horizontal="center"/>
      <protection hidden="1"/>
    </xf>
    <xf numFmtId="0" fontId="8" fillId="0" borderId="0" xfId="0" applyNumberFormat="1" applyFont="1" applyBorder="1" applyProtection="1">
      <protection hidden="1"/>
    </xf>
    <xf numFmtId="2" fontId="8" fillId="0" borderId="1" xfId="0" applyNumberFormat="1" applyFont="1" applyBorder="1" applyAlignment="1" applyProtection="1">
      <alignment horizontal="center" vertical="center"/>
      <protection hidden="1"/>
    </xf>
    <xf numFmtId="2" fontId="8" fillId="0" borderId="1" xfId="0" applyNumberFormat="1" applyFont="1" applyBorder="1" applyAlignment="1" applyProtection="1">
      <alignment horizontal="center" vertical="center" wrapText="1"/>
      <protection hidden="1"/>
    </xf>
    <xf numFmtId="2" fontId="8" fillId="0" borderId="0" xfId="0" applyNumberFormat="1" applyFont="1" applyFill="1" applyBorder="1" applyAlignment="1" applyProtection="1">
      <alignment horizontal="right"/>
      <protection hidden="1"/>
    </xf>
    <xf numFmtId="2" fontId="8" fillId="0" borderId="0" xfId="0" applyNumberFormat="1" applyFont="1" applyBorder="1" applyAlignment="1" applyProtection="1">
      <alignment horizontal="right"/>
      <protection hidden="1"/>
    </xf>
    <xf numFmtId="4" fontId="9" fillId="0" borderId="8" xfId="0" applyNumberFormat="1" applyFont="1" applyBorder="1" applyAlignment="1" applyProtection="1">
      <protection hidden="1"/>
    </xf>
    <xf numFmtId="1" fontId="8" fillId="0" borderId="0" xfId="0" applyNumberFormat="1" applyFont="1" applyBorder="1" applyProtection="1">
      <protection hidden="1"/>
    </xf>
    <xf numFmtId="1" fontId="2" fillId="0" borderId="0" xfId="0" applyNumberFormat="1" applyFont="1" applyBorder="1" applyProtection="1">
      <protection hidden="1"/>
    </xf>
    <xf numFmtId="0" fontId="2" fillId="0" borderId="1" xfId="0" applyNumberFormat="1" applyFont="1" applyBorder="1" applyProtection="1">
      <protection locked="0"/>
    </xf>
    <xf numFmtId="0" fontId="10" fillId="0" borderId="0" xfId="0" applyFont="1" applyBorder="1" applyProtection="1">
      <protection hidden="1"/>
    </xf>
    <xf numFmtId="4" fontId="10" fillId="0" borderId="1" xfId="0" applyNumberFormat="1" applyFont="1" applyBorder="1" applyAlignment="1" applyProtection="1">
      <alignment horizontal="right"/>
      <protection hidden="1"/>
    </xf>
    <xf numFmtId="4" fontId="10" fillId="0" borderId="1" xfId="0" applyNumberFormat="1" applyFont="1" applyBorder="1" applyAlignment="1" applyProtection="1">
      <alignment vertical="center"/>
      <protection hidden="1"/>
    </xf>
    <xf numFmtId="4" fontId="10" fillId="0" borderId="1" xfId="0" applyNumberFormat="1" applyFont="1" applyFill="1" applyBorder="1" applyAlignment="1" applyProtection="1">
      <protection hidden="1"/>
    </xf>
    <xf numFmtId="0" fontId="10" fillId="0" borderId="0" xfId="0" applyFont="1" applyBorder="1" applyAlignment="1" applyProtection="1">
      <alignment horizontal="center"/>
      <protection hidden="1"/>
    </xf>
    <xf numFmtId="0" fontId="8" fillId="0" borderId="1" xfId="0" applyFont="1" applyBorder="1" applyAlignment="1" applyProtection="1">
      <alignment horizontal="right"/>
      <protection hidden="1"/>
    </xf>
    <xf numFmtId="0" fontId="10" fillId="0" borderId="1" xfId="0" applyFont="1" applyBorder="1" applyAlignment="1" applyProtection="1">
      <alignment horizontal="right"/>
      <protection hidden="1"/>
    </xf>
    <xf numFmtId="0" fontId="8" fillId="0" borderId="1" xfId="0" applyFont="1" applyFill="1" applyBorder="1" applyAlignment="1" applyProtection="1">
      <alignment horizontal="right"/>
      <protection hidden="1"/>
    </xf>
    <xf numFmtId="0" fontId="8" fillId="0" borderId="1" xfId="0" applyFont="1" applyFill="1" applyBorder="1" applyAlignment="1" applyProtection="1">
      <alignment horizontal="right" wrapText="1"/>
      <protection hidden="1"/>
    </xf>
    <xf numFmtId="0" fontId="8" fillId="0" borderId="0" xfId="0" applyFont="1" applyBorder="1" applyAlignment="1" applyProtection="1">
      <alignment horizontal="right"/>
      <protection hidden="1"/>
    </xf>
    <xf numFmtId="0" fontId="8" fillId="0" borderId="0" xfId="0" applyFont="1" applyBorder="1" applyAlignment="1" applyProtection="1">
      <alignment horizontal="right" wrapText="1"/>
      <protection hidden="1"/>
    </xf>
    <xf numFmtId="0" fontId="3" fillId="0" borderId="15" xfId="0" applyFont="1" applyBorder="1" applyAlignment="1" applyProtection="1">
      <alignment horizontal="center" vertical="center" wrapText="1"/>
      <protection hidden="1"/>
    </xf>
    <xf numFmtId="184" fontId="2" fillId="0" borderId="1" xfId="0" applyNumberFormat="1" applyFont="1" applyBorder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center"/>
      <protection hidden="1"/>
    </xf>
    <xf numFmtId="0" fontId="2" fillId="0" borderId="14" xfId="0" applyFont="1" applyBorder="1" applyAlignment="1" applyProtection="1">
      <alignment horizontal="center"/>
      <protection hidden="1"/>
    </xf>
    <xf numFmtId="0" fontId="15" fillId="0" borderId="1" xfId="0" applyFont="1" applyFill="1" applyBorder="1" applyAlignment="1" applyProtection="1">
      <alignment horizontal="right"/>
      <protection hidden="1"/>
    </xf>
    <xf numFmtId="0" fontId="2" fillId="0" borderId="1" xfId="0" applyNumberFormat="1" applyFont="1" applyBorder="1" applyProtection="1">
      <protection hidden="1"/>
    </xf>
    <xf numFmtId="184" fontId="2" fillId="0" borderId="1" xfId="0" applyNumberFormat="1" applyFont="1" applyBorder="1" applyAlignment="1" applyProtection="1">
      <alignment horizontal="center"/>
      <protection hidden="1"/>
    </xf>
    <xf numFmtId="0" fontId="3" fillId="0" borderId="2" xfId="0" applyFont="1" applyFill="1" applyBorder="1" applyProtection="1">
      <protection hidden="1"/>
    </xf>
    <xf numFmtId="0" fontId="3" fillId="0" borderId="11" xfId="0" applyFont="1" applyFill="1" applyBorder="1" applyProtection="1">
      <protection hidden="1"/>
    </xf>
    <xf numFmtId="4" fontId="4" fillId="3" borderId="1" xfId="0" applyNumberFormat="1" applyFont="1" applyFill="1" applyBorder="1" applyProtection="1">
      <protection hidden="1"/>
    </xf>
    <xf numFmtId="4" fontId="2" fillId="3" borderId="1" xfId="0" applyNumberFormat="1" applyFont="1" applyFill="1" applyBorder="1" applyProtection="1">
      <protection hidden="1"/>
    </xf>
    <xf numFmtId="4" fontId="2" fillId="3" borderId="1" xfId="0" applyNumberFormat="1" applyFont="1" applyFill="1" applyBorder="1" applyAlignment="1" applyProtection="1">
      <alignment horizontal="right" vertical="top"/>
      <protection hidden="1"/>
    </xf>
    <xf numFmtId="4" fontId="8" fillId="3" borderId="1" xfId="0" applyNumberFormat="1" applyFont="1" applyFill="1" applyBorder="1" applyProtection="1">
      <protection hidden="1"/>
    </xf>
    <xf numFmtId="4" fontId="4" fillId="0" borderId="1" xfId="0" applyNumberFormat="1" applyFont="1" applyBorder="1" applyProtection="1">
      <protection hidden="1"/>
    </xf>
    <xf numFmtId="4" fontId="2" fillId="0" borderId="1" xfId="0" applyNumberFormat="1" applyFont="1" applyBorder="1" applyProtection="1">
      <protection locked="0"/>
    </xf>
    <xf numFmtId="4" fontId="2" fillId="0" borderId="1" xfId="0" applyNumberFormat="1" applyFont="1" applyBorder="1" applyProtection="1">
      <protection hidden="1"/>
    </xf>
    <xf numFmtId="3" fontId="4" fillId="0" borderId="1" xfId="0" applyNumberFormat="1" applyFont="1" applyBorder="1" applyProtection="1">
      <protection hidden="1"/>
    </xf>
    <xf numFmtId="3" fontId="2" fillId="0" borderId="1" xfId="0" applyNumberFormat="1" applyFont="1" applyBorder="1" applyProtection="1">
      <protection locked="0"/>
    </xf>
    <xf numFmtId="3" fontId="2" fillId="0" borderId="1" xfId="0" applyNumberFormat="1" applyFont="1" applyBorder="1" applyProtection="1">
      <protection hidden="1"/>
    </xf>
    <xf numFmtId="0" fontId="7" fillId="0" borderId="4" xfId="0" applyFont="1" applyFill="1" applyBorder="1" applyAlignment="1" applyProtection="1">
      <alignment horizontal="left"/>
      <protection hidden="1"/>
    </xf>
    <xf numFmtId="39" fontId="4" fillId="0" borderId="1" xfId="0" applyNumberFormat="1" applyFont="1" applyBorder="1" applyAlignment="1" applyProtection="1">
      <protection hidden="1"/>
    </xf>
    <xf numFmtId="39" fontId="2" fillId="0" borderId="1" xfId="0" applyNumberFormat="1" applyFont="1" applyBorder="1" applyAlignment="1" applyProtection="1">
      <protection locked="0"/>
    </xf>
    <xf numFmtId="0" fontId="8" fillId="0" borderId="1" xfId="0" applyNumberFormat="1" applyFont="1" applyBorder="1" applyAlignment="1" applyProtection="1">
      <alignment horizontal="center"/>
    </xf>
    <xf numFmtId="0" fontId="8" fillId="0" borderId="1" xfId="0" applyNumberFormat="1" applyFont="1" applyFill="1" applyBorder="1" applyAlignment="1" applyProtection="1">
      <alignment horizontal="center"/>
    </xf>
    <xf numFmtId="49" fontId="7" fillId="0" borderId="4" xfId="0" applyNumberFormat="1" applyFont="1" applyFill="1" applyBorder="1" applyAlignment="1" applyProtection="1">
      <alignment vertical="center"/>
      <protection hidden="1"/>
    </xf>
    <xf numFmtId="1" fontId="8" fillId="0" borderId="8" xfId="0" applyNumberFormat="1" applyFont="1" applyBorder="1" applyProtection="1">
      <protection hidden="1"/>
    </xf>
    <xf numFmtId="1" fontId="8" fillId="0" borderId="8" xfId="0" applyNumberFormat="1" applyFont="1" applyFill="1" applyBorder="1" applyProtection="1">
      <protection hidden="1"/>
    </xf>
    <xf numFmtId="1" fontId="8" fillId="0" borderId="0" xfId="0" applyNumberFormat="1" applyFont="1" applyBorder="1" applyAlignment="1" applyProtection="1">
      <alignment horizontal="left"/>
      <protection hidden="1"/>
    </xf>
    <xf numFmtId="1" fontId="8" fillId="0" borderId="0" xfId="0" applyNumberFormat="1" applyFont="1" applyBorder="1" applyAlignment="1" applyProtection="1">
      <protection hidden="1"/>
    </xf>
    <xf numFmtId="0" fontId="2" fillId="0" borderId="14" xfId="0" applyNumberFormat="1" applyFont="1" applyBorder="1" applyProtection="1">
      <protection hidden="1"/>
    </xf>
    <xf numFmtId="184" fontId="2" fillId="0" borderId="14" xfId="0" applyNumberFormat="1" applyFont="1" applyBorder="1" applyAlignment="1" applyProtection="1">
      <alignment horizontal="center"/>
      <protection hidden="1"/>
    </xf>
    <xf numFmtId="1" fontId="8" fillId="0" borderId="8" xfId="0" applyNumberFormat="1" applyFont="1" applyBorder="1" applyProtection="1">
      <protection locked="0"/>
    </xf>
    <xf numFmtId="0" fontId="8" fillId="0" borderId="1" xfId="0" applyFont="1" applyBorder="1" applyAlignment="1" applyProtection="1">
      <alignment horizontal="left"/>
      <protection hidden="1"/>
    </xf>
    <xf numFmtId="0" fontId="10" fillId="0" borderId="1" xfId="0" applyFont="1" applyBorder="1" applyAlignment="1" applyProtection="1">
      <alignment horizontal="left"/>
      <protection hidden="1"/>
    </xf>
    <xf numFmtId="0" fontId="8" fillId="0" borderId="1" xfId="0" applyFont="1" applyFill="1" applyBorder="1" applyAlignment="1" applyProtection="1">
      <alignment horizontal="left"/>
      <protection locked="0"/>
    </xf>
    <xf numFmtId="0" fontId="12" fillId="0" borderId="1" xfId="0" applyFont="1" applyFill="1" applyBorder="1" applyAlignment="1" applyProtection="1">
      <alignment horizontal="left"/>
      <protection hidden="1"/>
    </xf>
    <xf numFmtId="0" fontId="8" fillId="0" borderId="1" xfId="0" applyFont="1" applyFill="1" applyBorder="1" applyAlignment="1" applyProtection="1">
      <alignment horizontal="left"/>
      <protection hidden="1"/>
    </xf>
    <xf numFmtId="0" fontId="8" fillId="0" borderId="8" xfId="0" applyFont="1" applyFill="1" applyBorder="1" applyAlignment="1" applyProtection="1">
      <alignment horizontal="left"/>
      <protection hidden="1"/>
    </xf>
    <xf numFmtId="187" fontId="4" fillId="0" borderId="1" xfId="0" applyNumberFormat="1" applyFont="1" applyBorder="1" applyProtection="1">
      <protection hidden="1"/>
    </xf>
    <xf numFmtId="187" fontId="2" fillId="0" borderId="1" xfId="0" applyNumberFormat="1" applyFont="1" applyBorder="1" applyProtection="1">
      <protection locked="0"/>
    </xf>
    <xf numFmtId="187" fontId="2" fillId="0" borderId="1" xfId="0" applyNumberFormat="1" applyFont="1" applyBorder="1" applyProtection="1">
      <protection hidden="1"/>
    </xf>
    <xf numFmtId="187" fontId="8" fillId="0" borderId="0" xfId="0" applyNumberFormat="1" applyFont="1" applyBorder="1" applyProtection="1">
      <protection hidden="1"/>
    </xf>
    <xf numFmtId="187" fontId="8" fillId="0" borderId="0" xfId="0" applyNumberFormat="1" applyFont="1" applyBorder="1" applyAlignment="1" applyProtection="1">
      <protection hidden="1"/>
    </xf>
    <xf numFmtId="187" fontId="2" fillId="0" borderId="0" xfId="0" applyNumberFormat="1" applyFont="1" applyBorder="1" applyProtection="1">
      <protection hidden="1"/>
    </xf>
    <xf numFmtId="49" fontId="7" fillId="0" borderId="2" xfId="0" applyNumberFormat="1" applyFont="1" applyFill="1" applyBorder="1" applyAlignment="1" applyProtection="1">
      <alignment horizontal="left"/>
      <protection hidden="1"/>
    </xf>
    <xf numFmtId="49" fontId="7" fillId="0" borderId="4" xfId="0" applyNumberFormat="1" applyFont="1" applyFill="1" applyBorder="1" applyAlignment="1" applyProtection="1">
      <alignment horizontal="left"/>
      <protection hidden="1"/>
    </xf>
    <xf numFmtId="0" fontId="8" fillId="0" borderId="8" xfId="0" applyFont="1" applyFill="1" applyBorder="1" applyAlignment="1" applyProtection="1">
      <alignment horizontal="left" wrapText="1"/>
      <protection hidden="1"/>
    </xf>
    <xf numFmtId="0" fontId="8" fillId="0" borderId="9" xfId="0" applyFont="1" applyFill="1" applyBorder="1" applyAlignment="1" applyProtection="1">
      <alignment horizontal="left" wrapText="1"/>
      <protection hidden="1"/>
    </xf>
    <xf numFmtId="49" fontId="7" fillId="0" borderId="8" xfId="0" applyNumberFormat="1" applyFont="1" applyFill="1" applyBorder="1" applyAlignment="1" applyProtection="1">
      <alignment horizontal="left"/>
      <protection hidden="1"/>
    </xf>
    <xf numFmtId="0" fontId="7" fillId="0" borderId="9" xfId="0" applyFont="1" applyFill="1" applyBorder="1" applyAlignment="1" applyProtection="1">
      <alignment horizontal="center" vertical="center"/>
      <protection hidden="1"/>
    </xf>
    <xf numFmtId="0" fontId="7" fillId="0" borderId="7" xfId="0" applyFont="1" applyFill="1" applyBorder="1" applyAlignment="1" applyProtection="1">
      <alignment horizontal="center" vertical="center"/>
      <protection hidden="1"/>
    </xf>
    <xf numFmtId="0" fontId="7" fillId="0" borderId="7" xfId="0" applyFont="1" applyBorder="1" applyAlignment="1" applyProtection="1">
      <alignment vertical="center"/>
      <protection hidden="1"/>
    </xf>
    <xf numFmtId="0" fontId="7" fillId="0" borderId="9" xfId="0" applyFont="1" applyBorder="1" applyAlignment="1" applyProtection="1">
      <alignment vertical="center"/>
      <protection hidden="1"/>
    </xf>
    <xf numFmtId="0" fontId="7" fillId="0" borderId="12" xfId="0" applyFont="1" applyBorder="1" applyAlignment="1" applyProtection="1">
      <alignment vertical="center"/>
      <protection hidden="1"/>
    </xf>
    <xf numFmtId="0" fontId="7" fillId="0" borderId="15" xfId="0" applyFont="1" applyBorder="1" applyAlignment="1" applyProtection="1">
      <alignment horizontal="center" vertical="center"/>
      <protection hidden="1"/>
    </xf>
    <xf numFmtId="0" fontId="7" fillId="0" borderId="13" xfId="0" applyFont="1" applyBorder="1" applyAlignment="1" applyProtection="1">
      <alignment horizontal="center" vertical="center"/>
      <protection hidden="1"/>
    </xf>
    <xf numFmtId="0" fontId="7" fillId="0" borderId="14" xfId="0" applyFont="1" applyBorder="1" applyAlignment="1" applyProtection="1">
      <alignment horizontal="center" vertical="center"/>
      <protection hidden="1"/>
    </xf>
    <xf numFmtId="49" fontId="10" fillId="0" borderId="10" xfId="0" applyNumberFormat="1" applyFont="1" applyFill="1" applyBorder="1" applyProtection="1">
      <protection hidden="1"/>
    </xf>
    <xf numFmtId="3" fontId="4" fillId="3" borderId="1" xfId="0" applyNumberFormat="1" applyFont="1" applyFill="1" applyBorder="1" applyProtection="1">
      <protection hidden="1"/>
    </xf>
    <xf numFmtId="3" fontId="2" fillId="3" borderId="1" xfId="0" applyNumberFormat="1" applyFont="1" applyFill="1" applyBorder="1" applyProtection="1">
      <protection hidden="1"/>
    </xf>
    <xf numFmtId="4" fontId="9" fillId="3" borderId="1" xfId="0" applyNumberFormat="1" applyFont="1" applyFill="1" applyBorder="1" applyAlignment="1" applyProtection="1">
      <alignment vertical="center"/>
      <protection hidden="1"/>
    </xf>
    <xf numFmtId="0" fontId="5" fillId="0" borderId="0" xfId="0" applyFont="1" applyFill="1" applyBorder="1" applyProtection="1">
      <protection hidden="1"/>
    </xf>
    <xf numFmtId="0" fontId="7" fillId="0" borderId="0" xfId="0" applyFont="1" applyFill="1" applyBorder="1" applyAlignment="1" applyProtection="1">
      <alignment horizontal="center"/>
      <protection hidden="1"/>
    </xf>
    <xf numFmtId="4" fontId="8" fillId="2" borderId="1" xfId="0" applyNumberFormat="1" applyFont="1" applyFill="1" applyBorder="1" applyAlignment="1" applyProtection="1">
      <alignment vertical="center"/>
      <protection hidden="1"/>
    </xf>
    <xf numFmtId="4" fontId="8" fillId="3" borderId="1" xfId="0" applyNumberFormat="1" applyFont="1" applyFill="1" applyBorder="1" applyAlignment="1" applyProtection="1">
      <alignment vertical="center"/>
      <protection hidden="1"/>
    </xf>
    <xf numFmtId="4" fontId="8" fillId="0" borderId="1" xfId="0" applyNumberFormat="1" applyFont="1" applyFill="1" applyBorder="1" applyAlignment="1" applyProtection="1">
      <alignment vertical="center"/>
      <protection hidden="1"/>
    </xf>
    <xf numFmtId="0" fontId="8" fillId="0" borderId="12" xfId="0" applyFont="1" applyBorder="1" applyProtection="1">
      <protection hidden="1"/>
    </xf>
    <xf numFmtId="0" fontId="8" fillId="0" borderId="14" xfId="0" applyFont="1" applyBorder="1" applyProtection="1">
      <protection hidden="1"/>
    </xf>
    <xf numFmtId="4" fontId="9" fillId="2" borderId="1" xfId="0" applyNumberFormat="1" applyFont="1" applyFill="1" applyBorder="1" applyAlignment="1" applyProtection="1">
      <alignment horizontal="right" vertical="center"/>
      <protection hidden="1"/>
    </xf>
    <xf numFmtId="0" fontId="2" fillId="0" borderId="1" xfId="0" quotePrefix="1" applyFont="1" applyFill="1" applyBorder="1" applyAlignment="1" applyProtection="1">
      <alignment vertical="top"/>
      <protection hidden="1"/>
    </xf>
    <xf numFmtId="0" fontId="2" fillId="0" borderId="1" xfId="0" applyFont="1" applyFill="1" applyBorder="1" applyAlignment="1" applyProtection="1">
      <alignment horizontal="left" wrapText="1"/>
      <protection hidden="1"/>
    </xf>
    <xf numFmtId="0" fontId="2" fillId="0" borderId="1" xfId="0" applyFont="1" applyFill="1" applyBorder="1" applyAlignment="1" applyProtection="1">
      <alignment horizontal="left"/>
      <protection hidden="1"/>
    </xf>
    <xf numFmtId="0" fontId="16" fillId="0" borderId="0" xfId="0" applyFont="1" applyFill="1" applyBorder="1" applyProtection="1">
      <protection hidden="1"/>
    </xf>
    <xf numFmtId="4" fontId="10" fillId="0" borderId="1" xfId="0" applyNumberFormat="1" applyFont="1" applyFill="1" applyBorder="1" applyAlignment="1" applyProtection="1">
      <alignment horizontal="right"/>
      <protection hidden="1"/>
    </xf>
    <xf numFmtId="49" fontId="2" fillId="0" borderId="1" xfId="0" quotePrefix="1" applyNumberFormat="1" applyFont="1" applyFill="1" applyBorder="1" applyAlignment="1" applyProtection="1">
      <alignment horizontal="center"/>
      <protection hidden="1"/>
    </xf>
    <xf numFmtId="49" fontId="2" fillId="0" borderId="1" xfId="0" quotePrefix="1" applyNumberFormat="1" applyFont="1" applyFill="1" applyBorder="1" applyAlignment="1" applyProtection="1">
      <alignment horizontal="center" wrapText="1"/>
      <protection hidden="1"/>
    </xf>
    <xf numFmtId="49" fontId="8" fillId="0" borderId="1" xfId="0" quotePrefix="1" applyNumberFormat="1" applyFont="1" applyBorder="1" applyAlignment="1" applyProtection="1">
      <alignment horizontal="center"/>
      <protection hidden="1"/>
    </xf>
    <xf numFmtId="49" fontId="8" fillId="0" borderId="1" xfId="0" quotePrefix="1" applyNumberFormat="1" applyFont="1" applyFill="1" applyBorder="1" applyAlignment="1" applyProtection="1">
      <alignment horizontal="center"/>
      <protection hidden="1"/>
    </xf>
    <xf numFmtId="49" fontId="8" fillId="0" borderId="1" xfId="0" applyNumberFormat="1" applyFont="1" applyBorder="1" applyAlignment="1" applyProtection="1">
      <alignment horizontal="center"/>
      <protection hidden="1"/>
    </xf>
    <xf numFmtId="49" fontId="8" fillId="0" borderId="1" xfId="0" applyNumberFormat="1" applyFont="1" applyFill="1" applyBorder="1" applyAlignment="1" applyProtection="1">
      <alignment horizontal="center"/>
      <protection hidden="1"/>
    </xf>
    <xf numFmtId="49" fontId="8" fillId="0" borderId="1" xfId="0" quotePrefix="1" applyNumberFormat="1" applyFont="1" applyFill="1" applyBorder="1" applyAlignment="1" applyProtection="1">
      <alignment horizontal="center" vertical="center"/>
      <protection hidden="1"/>
    </xf>
    <xf numFmtId="49" fontId="3" fillId="0" borderId="1" xfId="0" applyNumberFormat="1" applyFont="1" applyFill="1" applyBorder="1" applyAlignment="1" applyProtection="1">
      <alignment horizontal="center"/>
      <protection hidden="1"/>
    </xf>
    <xf numFmtId="49" fontId="2" fillId="0" borderId="1" xfId="0" quotePrefix="1" applyNumberFormat="1" applyFont="1" applyFill="1" applyBorder="1" applyAlignment="1" applyProtection="1">
      <alignment horizontal="center" vertical="top" wrapText="1"/>
      <protection hidden="1"/>
    </xf>
    <xf numFmtId="49" fontId="2" fillId="0" borderId="1" xfId="0" applyNumberFormat="1" applyFont="1" applyFill="1" applyBorder="1" applyAlignment="1" applyProtection="1">
      <alignment horizontal="center" vertical="top" wrapText="1"/>
      <protection hidden="1"/>
    </xf>
    <xf numFmtId="49" fontId="2" fillId="0" borderId="1" xfId="0" quotePrefix="1" applyNumberFormat="1" applyFont="1" applyFill="1" applyBorder="1" applyAlignment="1" applyProtection="1">
      <alignment horizontal="center" vertical="top"/>
      <protection hidden="1"/>
    </xf>
    <xf numFmtId="49" fontId="8" fillId="0" borderId="14" xfId="0" applyNumberFormat="1" applyFont="1" applyFill="1" applyBorder="1" applyAlignment="1" applyProtection="1">
      <alignment horizontal="center"/>
      <protection hidden="1"/>
    </xf>
    <xf numFmtId="0" fontId="3" fillId="0" borderId="4" xfId="0" applyFont="1" applyFill="1" applyBorder="1" applyProtection="1">
      <protection hidden="1"/>
    </xf>
    <xf numFmtId="0" fontId="2" fillId="0" borderId="2" xfId="0" quotePrefix="1" applyFont="1" applyBorder="1" applyAlignment="1" applyProtection="1">
      <alignment horizontal="center" vertical="center"/>
      <protection hidden="1"/>
    </xf>
    <xf numFmtId="0" fontId="2" fillId="0" borderId="4" xfId="0" applyFont="1" applyFill="1" applyBorder="1" applyAlignment="1" applyProtection="1">
      <alignment horizontal="left"/>
      <protection hidden="1"/>
    </xf>
    <xf numFmtId="0" fontId="2" fillId="0" borderId="8" xfId="0" applyFont="1" applyFill="1" applyBorder="1" applyAlignment="1" applyProtection="1">
      <alignment horizontal="left"/>
      <protection hidden="1"/>
    </xf>
    <xf numFmtId="165" fontId="2" fillId="0" borderId="8" xfId="0" applyNumberFormat="1" applyFont="1" applyFill="1" applyBorder="1" applyProtection="1">
      <protection hidden="1"/>
    </xf>
    <xf numFmtId="0" fontId="2" fillId="0" borderId="12" xfId="0" applyFont="1" applyFill="1" applyBorder="1" applyProtection="1">
      <protection hidden="1"/>
    </xf>
    <xf numFmtId="0" fontId="2" fillId="0" borderId="1" xfId="0" applyFont="1" applyBorder="1" applyProtection="1">
      <protection hidden="1"/>
    </xf>
    <xf numFmtId="0" fontId="8" fillId="0" borderId="14" xfId="0" applyFont="1" applyBorder="1" applyAlignment="1" applyProtection="1">
      <alignment horizontal="left"/>
      <protection hidden="1"/>
    </xf>
    <xf numFmtId="0" fontId="8" fillId="0" borderId="14" xfId="0" applyFont="1" applyBorder="1" applyAlignment="1" applyProtection="1">
      <alignment horizontal="left" wrapText="1"/>
      <protection locked="0"/>
    </xf>
    <xf numFmtId="0" fontId="17" fillId="4" borderId="0" xfId="0" applyFont="1" applyFill="1" applyProtection="1">
      <protection locked="0"/>
    </xf>
    <xf numFmtId="0" fontId="17" fillId="4" borderId="0" xfId="0" applyFont="1" applyFill="1"/>
    <xf numFmtId="1" fontId="17" fillId="4" borderId="0" xfId="0" applyNumberFormat="1" applyFont="1" applyFill="1"/>
    <xf numFmtId="0" fontId="2" fillId="0" borderId="0" xfId="0" applyFont="1" applyBorder="1" applyAlignment="1" applyProtection="1">
      <alignment horizontal="left"/>
      <protection hidden="1"/>
    </xf>
    <xf numFmtId="0" fontId="2" fillId="0" borderId="0" xfId="0" applyFont="1" applyBorder="1" applyAlignment="1" applyProtection="1">
      <alignment horizontal="left" wrapText="1"/>
      <protection hidden="1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2" fontId="1" fillId="0" borderId="0" xfId="0" applyNumberFormat="1" applyFont="1" applyBorder="1" applyAlignment="1" applyProtection="1">
      <alignment horizontal="left"/>
      <protection hidden="1"/>
    </xf>
    <xf numFmtId="2" fontId="3" fillId="0" borderId="0" xfId="0" applyNumberFormat="1" applyFont="1" applyBorder="1" applyAlignment="1" applyProtection="1">
      <alignment horizontal="center"/>
      <protection hidden="1"/>
    </xf>
    <xf numFmtId="2" fontId="2" fillId="0" borderId="0" xfId="0" applyNumberFormat="1" applyFont="1" applyBorder="1" applyAlignment="1" applyProtection="1">
      <protection hidden="1"/>
    </xf>
    <xf numFmtId="2" fontId="3" fillId="0" borderId="1" xfId="0" applyNumberFormat="1" applyFont="1" applyBorder="1" applyAlignment="1" applyProtection="1">
      <alignment horizontal="center" vertical="center"/>
      <protection hidden="1"/>
    </xf>
    <xf numFmtId="2" fontId="3" fillId="0" borderId="1" xfId="0" applyNumberFormat="1" applyFont="1" applyBorder="1" applyAlignment="1" applyProtection="1">
      <alignment horizontal="center" vertical="center" wrapText="1"/>
      <protection hidden="1"/>
    </xf>
    <xf numFmtId="2" fontId="3" fillId="0" borderId="5" xfId="0" applyNumberFormat="1" applyFont="1" applyBorder="1" applyAlignment="1" applyProtection="1">
      <alignment horizontal="left"/>
      <protection hidden="1"/>
    </xf>
    <xf numFmtId="2" fontId="3" fillId="0" borderId="6" xfId="0" applyNumberFormat="1" applyFont="1" applyBorder="1" applyAlignment="1" applyProtection="1">
      <alignment horizontal="left"/>
      <protection hidden="1"/>
    </xf>
    <xf numFmtId="2" fontId="3" fillId="0" borderId="7" xfId="0" applyNumberFormat="1" applyFont="1" applyBorder="1" applyAlignment="1" applyProtection="1">
      <alignment horizontal="left"/>
      <protection hidden="1"/>
    </xf>
    <xf numFmtId="2" fontId="2" fillId="0" borderId="4" xfId="0" applyNumberFormat="1" applyFont="1" applyBorder="1" applyAlignment="1" applyProtection="1">
      <alignment horizontal="left"/>
      <protection hidden="1"/>
    </xf>
    <xf numFmtId="2" fontId="2" fillId="0" borderId="8" xfId="0" applyNumberFormat="1" applyFont="1" applyBorder="1" applyAlignment="1" applyProtection="1">
      <alignment horizontal="left"/>
      <protection hidden="1"/>
    </xf>
    <xf numFmtId="2" fontId="2" fillId="0" borderId="0" xfId="0" applyNumberFormat="1" applyFont="1" applyBorder="1" applyAlignment="1" applyProtection="1">
      <alignment horizontal="left"/>
      <protection hidden="1"/>
    </xf>
    <xf numFmtId="2" fontId="2" fillId="0" borderId="9" xfId="0" applyNumberFormat="1" applyFont="1" applyBorder="1" applyAlignment="1" applyProtection="1">
      <alignment horizontal="left"/>
      <protection hidden="1"/>
    </xf>
    <xf numFmtId="2" fontId="3" fillId="0" borderId="1" xfId="0" applyNumberFormat="1" applyFont="1" applyFill="1" applyBorder="1" applyAlignment="1" applyProtection="1">
      <alignment horizontal="center" vertical="center"/>
      <protection hidden="1"/>
    </xf>
    <xf numFmtId="2" fontId="3" fillId="0" borderId="15" xfId="0" applyNumberFormat="1" applyFont="1" applyFill="1" applyBorder="1" applyAlignment="1" applyProtection="1">
      <alignment horizontal="center" vertical="center"/>
      <protection hidden="1"/>
    </xf>
    <xf numFmtId="2" fontId="3" fillId="0" borderId="3" xfId="0" applyNumberFormat="1" applyFont="1" applyBorder="1" applyAlignment="1" applyProtection="1">
      <alignment horizontal="left"/>
      <protection hidden="1"/>
    </xf>
    <xf numFmtId="2" fontId="3" fillId="0" borderId="0" xfId="0" applyNumberFormat="1" applyFont="1" applyBorder="1" applyAlignment="1" applyProtection="1">
      <alignment horizontal="left"/>
      <protection hidden="1"/>
    </xf>
    <xf numFmtId="2" fontId="3" fillId="0" borderId="9" xfId="0" applyNumberFormat="1" applyFont="1" applyBorder="1" applyAlignment="1" applyProtection="1">
      <alignment horizontal="left"/>
      <protection hidden="1"/>
    </xf>
    <xf numFmtId="2" fontId="3" fillId="0" borderId="2" xfId="0" applyNumberFormat="1" applyFont="1" applyBorder="1" applyAlignment="1" applyProtection="1">
      <alignment horizontal="left"/>
      <protection hidden="1"/>
    </xf>
    <xf numFmtId="2" fontId="3" fillId="0" borderId="4" xfId="0" applyNumberFormat="1" applyFont="1" applyBorder="1" applyAlignment="1" applyProtection="1">
      <alignment horizontal="left"/>
      <protection hidden="1"/>
    </xf>
    <xf numFmtId="2" fontId="3" fillId="0" borderId="8" xfId="0" applyNumberFormat="1" applyFont="1" applyBorder="1" applyAlignment="1" applyProtection="1">
      <alignment horizontal="left"/>
      <protection hidden="1"/>
    </xf>
    <xf numFmtId="0" fontId="6" fillId="0" borderId="0" xfId="0" applyFont="1" applyBorder="1" applyAlignment="1" applyProtection="1">
      <alignment horizontal="left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7" fillId="0" borderId="1" xfId="0" applyFont="1" applyFill="1" applyBorder="1" applyAlignment="1" applyProtection="1">
      <alignment horizontal="center" vertical="center"/>
      <protection hidden="1"/>
    </xf>
    <xf numFmtId="0" fontId="8" fillId="0" borderId="15" xfId="0" applyFont="1" applyFill="1" applyBorder="1" applyAlignment="1" applyProtection="1">
      <alignment horizontal="center" vertical="center"/>
      <protection hidden="1"/>
    </xf>
    <xf numFmtId="0" fontId="7" fillId="0" borderId="1" xfId="0" applyFont="1" applyBorder="1" applyAlignment="1" applyProtection="1">
      <alignment horizontal="center" vertical="center"/>
      <protection hidden="1"/>
    </xf>
    <xf numFmtId="0" fontId="8" fillId="0" borderId="1" xfId="0" applyFont="1" applyBorder="1" applyAlignment="1" applyProtection="1">
      <alignment horizontal="center" vertical="center"/>
      <protection hidden="1"/>
    </xf>
    <xf numFmtId="0" fontId="7" fillId="0" borderId="1" xfId="0" applyNumberFormat="1" applyFont="1" applyBorder="1" applyAlignment="1" applyProtection="1">
      <alignment horizontal="center" vertical="center" wrapText="1"/>
      <protection hidden="1"/>
    </xf>
    <xf numFmtId="0" fontId="8" fillId="0" borderId="1" xfId="0" applyNumberFormat="1" applyFont="1" applyBorder="1" applyAlignment="1" applyProtection="1">
      <alignment horizontal="center" vertical="center" wrapText="1"/>
      <protection hidden="1"/>
    </xf>
    <xf numFmtId="2" fontId="7" fillId="0" borderId="1" xfId="0" applyNumberFormat="1" applyFont="1" applyBorder="1" applyAlignment="1" applyProtection="1">
      <alignment horizontal="center" vertical="center"/>
      <protection hidden="1"/>
    </xf>
    <xf numFmtId="0" fontId="7" fillId="0" borderId="1" xfId="0" applyFont="1" applyBorder="1" applyAlignment="1" applyProtection="1">
      <alignment horizontal="center" vertical="center" wrapText="1"/>
      <protection hidden="1"/>
    </xf>
    <xf numFmtId="2" fontId="7" fillId="0" borderId="1" xfId="0" applyNumberFormat="1" applyFont="1" applyBorder="1" applyAlignment="1" applyProtection="1">
      <alignment horizontal="center" vertical="center" wrapText="1"/>
      <protection hidden="1"/>
    </xf>
    <xf numFmtId="0" fontId="7" fillId="0" borderId="1" xfId="0" applyFont="1" applyFill="1" applyBorder="1" applyAlignment="1" applyProtection="1">
      <alignment horizontal="center" vertical="center" wrapText="1"/>
      <protection hidden="1"/>
    </xf>
    <xf numFmtId="0" fontId="8" fillId="0" borderId="0" xfId="0" applyFont="1" applyBorder="1" applyAlignment="1" applyProtection="1">
      <alignment horizontal="left" wrapText="1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9" xfId="0" applyFont="1" applyBorder="1" applyAlignment="1" applyProtection="1">
      <alignment horizontal="left"/>
      <protection hidden="1"/>
    </xf>
    <xf numFmtId="0" fontId="8" fillId="0" borderId="4" xfId="0" applyFont="1" applyBorder="1" applyAlignment="1" applyProtection="1">
      <alignment horizontal="left" wrapText="1"/>
      <protection hidden="1"/>
    </xf>
    <xf numFmtId="0" fontId="8" fillId="0" borderId="4" xfId="0" applyFont="1" applyBorder="1" applyAlignment="1" applyProtection="1">
      <alignment horizontal="left"/>
      <protection hidden="1"/>
    </xf>
    <xf numFmtId="0" fontId="8" fillId="0" borderId="8" xfId="0" applyFont="1" applyBorder="1" applyAlignment="1" applyProtection="1">
      <alignment horizontal="left"/>
      <protection hidden="1"/>
    </xf>
    <xf numFmtId="0" fontId="8" fillId="0" borderId="4" xfId="0" applyFont="1" applyFill="1" applyBorder="1" applyAlignment="1" applyProtection="1">
      <alignment horizontal="left" wrapText="1"/>
      <protection hidden="1"/>
    </xf>
    <xf numFmtId="0" fontId="8" fillId="0" borderId="4" xfId="0" applyFont="1" applyFill="1" applyBorder="1" applyAlignment="1" applyProtection="1">
      <alignment horizontal="left"/>
      <protection hidden="1"/>
    </xf>
    <xf numFmtId="0" fontId="8" fillId="0" borderId="8" xfId="0" applyFont="1" applyFill="1" applyBorder="1" applyAlignment="1" applyProtection="1">
      <alignment horizontal="left"/>
      <protection hidden="1"/>
    </xf>
    <xf numFmtId="0" fontId="8" fillId="0" borderId="0" xfId="0" applyFont="1" applyFill="1" applyBorder="1" applyAlignment="1" applyProtection="1">
      <alignment horizontal="left" wrapText="1"/>
      <protection hidden="1"/>
    </xf>
    <xf numFmtId="0" fontId="8" fillId="0" borderId="0" xfId="0" applyFont="1" applyFill="1" applyBorder="1" applyAlignment="1" applyProtection="1">
      <alignment horizontal="left"/>
      <protection hidden="1"/>
    </xf>
    <xf numFmtId="0" fontId="8" fillId="0" borderId="9" xfId="0" applyFont="1" applyFill="1" applyBorder="1" applyAlignment="1" applyProtection="1">
      <alignment horizontal="left"/>
      <protection hidden="1"/>
    </xf>
    <xf numFmtId="0" fontId="8" fillId="0" borderId="4" xfId="0" applyFont="1" applyFill="1" applyBorder="1" applyAlignment="1" applyProtection="1">
      <alignment horizontal="left" vertical="top"/>
      <protection hidden="1"/>
    </xf>
    <xf numFmtId="0" fontId="8" fillId="0" borderId="8" xfId="0" applyFont="1" applyFill="1" applyBorder="1" applyAlignment="1" applyProtection="1">
      <alignment horizontal="left" vertical="top"/>
      <protection hidden="1"/>
    </xf>
    <xf numFmtId="0" fontId="7" fillId="0" borderId="15" xfId="0" applyFont="1" applyBorder="1" applyAlignment="1" applyProtection="1">
      <alignment horizontal="center" vertical="center"/>
      <protection hidden="1"/>
    </xf>
    <xf numFmtId="0" fontId="8" fillId="0" borderId="1" xfId="0" applyFont="1" applyBorder="1" applyAlignment="1" applyProtection="1">
      <alignment horizontal="center" vertical="center" wrapText="1"/>
      <protection hidden="1"/>
    </xf>
    <xf numFmtId="0" fontId="8" fillId="0" borderId="1" xfId="0" applyFont="1" applyBorder="1" applyProtection="1">
      <protection hidden="1"/>
    </xf>
    <xf numFmtId="0" fontId="8" fillId="0" borderId="1" xfId="0" applyFont="1" applyFill="1" applyBorder="1" applyProtection="1">
      <protection hidden="1"/>
    </xf>
    <xf numFmtId="0" fontId="14" fillId="0" borderId="0" xfId="0" applyFont="1" applyBorder="1" applyAlignment="1" applyProtection="1">
      <alignment horizontal="left"/>
      <protection hidden="1"/>
    </xf>
    <xf numFmtId="0" fontId="8" fillId="0" borderId="0" xfId="0" applyFont="1" applyBorder="1" applyAlignment="1" applyProtection="1">
      <protection hidden="1"/>
    </xf>
    <xf numFmtId="0" fontId="7" fillId="0" borderId="5" xfId="0" applyFont="1" applyBorder="1" applyAlignment="1" applyProtection="1">
      <alignment horizontal="center" vertical="center"/>
      <protection hidden="1"/>
    </xf>
    <xf numFmtId="0" fontId="7" fillId="0" borderId="6" xfId="0" applyFont="1" applyBorder="1" applyAlignment="1" applyProtection="1">
      <alignment horizontal="center" vertical="center"/>
      <protection hidden="1"/>
    </xf>
    <xf numFmtId="0" fontId="7" fillId="0" borderId="7" xfId="0" applyFont="1" applyBorder="1" applyAlignment="1" applyProtection="1">
      <alignment horizontal="center" vertical="center"/>
      <protection hidden="1"/>
    </xf>
    <xf numFmtId="0" fontId="7" fillId="0" borderId="3" xfId="0" applyFont="1" applyBorder="1" applyAlignment="1" applyProtection="1">
      <alignment horizontal="center" vertical="center"/>
      <protection hidden="1"/>
    </xf>
    <xf numFmtId="0" fontId="7" fillId="0" borderId="0" xfId="0" applyFont="1" applyBorder="1" applyAlignment="1" applyProtection="1">
      <alignment horizontal="center" vertical="center"/>
      <protection hidden="1"/>
    </xf>
    <xf numFmtId="0" fontId="7" fillId="0" borderId="9" xfId="0" applyFont="1" applyBorder="1" applyAlignment="1" applyProtection="1">
      <alignment horizontal="center" vertical="center"/>
      <protection hidden="1"/>
    </xf>
    <xf numFmtId="0" fontId="7" fillId="0" borderId="11" xfId="0" applyFont="1" applyBorder="1" applyAlignment="1" applyProtection="1">
      <alignment horizontal="center" vertical="center"/>
      <protection hidden="1"/>
    </xf>
    <xf numFmtId="0" fontId="7" fillId="0" borderId="10" xfId="0" applyFont="1" applyBorder="1" applyAlignment="1" applyProtection="1">
      <alignment horizontal="center" vertical="center"/>
      <protection hidden="1"/>
    </xf>
    <xf numFmtId="0" fontId="7" fillId="0" borderId="12" xfId="0" applyFont="1" applyBorder="1" applyAlignment="1" applyProtection="1">
      <alignment horizontal="center" vertical="center"/>
      <protection hidden="1"/>
    </xf>
    <xf numFmtId="0" fontId="7" fillId="0" borderId="13" xfId="0" applyFont="1" applyBorder="1" applyAlignment="1" applyProtection="1">
      <alignment horizontal="center" vertical="center"/>
      <protection hidden="1"/>
    </xf>
    <xf numFmtId="0" fontId="7" fillId="0" borderId="14" xfId="0" applyFont="1" applyBorder="1" applyAlignment="1" applyProtection="1">
      <alignment horizontal="center" vertical="center"/>
      <protection hidden="1"/>
    </xf>
    <xf numFmtId="0" fontId="6" fillId="0" borderId="0" xfId="0" applyFont="1" applyFill="1" applyAlignment="1" applyProtection="1">
      <alignment horizontal="left"/>
      <protection hidden="1"/>
    </xf>
    <xf numFmtId="0" fontId="7" fillId="0" borderId="2" xfId="0" applyFont="1" applyBorder="1" applyAlignment="1" applyProtection="1">
      <alignment horizontal="center" vertical="center" wrapText="1"/>
      <protection hidden="1"/>
    </xf>
    <xf numFmtId="0" fontId="7" fillId="0" borderId="8" xfId="0" applyFont="1" applyBorder="1" applyAlignment="1" applyProtection="1">
      <alignment horizontal="center" vertical="center" wrapText="1"/>
      <protection hidden="1"/>
    </xf>
    <xf numFmtId="0" fontId="7" fillId="0" borderId="0" xfId="0" applyFont="1" applyFill="1" applyAlignment="1" applyProtection="1">
      <alignment horizontal="center"/>
      <protection hidden="1"/>
    </xf>
    <xf numFmtId="0" fontId="7" fillId="0" borderId="15" xfId="0" applyFont="1" applyBorder="1" applyAlignment="1" applyProtection="1">
      <alignment horizontal="center" vertical="center" wrapText="1"/>
      <protection hidden="1"/>
    </xf>
    <xf numFmtId="0" fontId="7" fillId="0" borderId="14" xfId="0" applyFont="1" applyBorder="1" applyAlignment="1" applyProtection="1">
      <alignment horizontal="center" vertical="center" wrapText="1"/>
      <protection hidden="1"/>
    </xf>
    <xf numFmtId="0" fontId="7" fillId="0" borderId="4" xfId="0" applyFont="1" applyBorder="1" applyAlignment="1" applyProtection="1">
      <alignment horizontal="center" vertical="center" wrapText="1"/>
      <protection hidden="1"/>
    </xf>
    <xf numFmtId="164" fontId="7" fillId="0" borderId="15" xfId="0" applyNumberFormat="1" applyFont="1" applyFill="1" applyBorder="1" applyAlignment="1" applyProtection="1">
      <alignment horizontal="center" vertical="center"/>
      <protection hidden="1"/>
    </xf>
    <xf numFmtId="164" fontId="7" fillId="0" borderId="13" xfId="0" applyNumberFormat="1" applyFont="1" applyFill="1" applyBorder="1" applyAlignment="1" applyProtection="1">
      <alignment horizontal="center" vertical="center"/>
      <protection hidden="1"/>
    </xf>
    <xf numFmtId="164" fontId="7" fillId="0" borderId="14" xfId="0" applyNumberFormat="1" applyFont="1" applyFill="1" applyBorder="1" applyAlignment="1" applyProtection="1">
      <alignment horizontal="center" vertical="center"/>
      <protection hidden="1"/>
    </xf>
    <xf numFmtId="0" fontId="7" fillId="0" borderId="5" xfId="0" applyFont="1" applyFill="1" applyBorder="1" applyAlignment="1" applyProtection="1">
      <alignment horizontal="center" vertical="center"/>
      <protection hidden="1"/>
    </xf>
    <xf numFmtId="0" fontId="7" fillId="0" borderId="6" xfId="0" applyFont="1" applyFill="1" applyBorder="1" applyAlignment="1" applyProtection="1">
      <alignment horizontal="center" vertical="center"/>
      <protection hidden="1"/>
    </xf>
    <xf numFmtId="0" fontId="7" fillId="0" borderId="3" xfId="0" applyFont="1" applyFill="1" applyBorder="1" applyAlignment="1" applyProtection="1">
      <alignment horizontal="center" vertical="center"/>
      <protection hidden="1"/>
    </xf>
    <xf numFmtId="0" fontId="7" fillId="0" borderId="0" xfId="0" applyFont="1" applyFill="1" applyBorder="1" applyAlignment="1" applyProtection="1">
      <alignment horizontal="center" vertical="center"/>
      <protection hidden="1"/>
    </xf>
    <xf numFmtId="0" fontId="7" fillId="0" borderId="11" xfId="0" applyFont="1" applyFill="1" applyBorder="1" applyAlignment="1" applyProtection="1">
      <alignment horizontal="center" vertical="center"/>
      <protection hidden="1"/>
    </xf>
    <xf numFmtId="0" fontId="7" fillId="0" borderId="10" xfId="0" applyFont="1" applyFill="1" applyBorder="1" applyAlignment="1" applyProtection="1">
      <alignment horizontal="center" vertical="center"/>
      <protection hidden="1"/>
    </xf>
    <xf numFmtId="0" fontId="7" fillId="0" borderId="2" xfId="0" applyFont="1" applyBorder="1" applyAlignment="1" applyProtection="1">
      <alignment horizontal="center" vertical="center"/>
      <protection hidden="1"/>
    </xf>
    <xf numFmtId="0" fontId="7" fillId="0" borderId="4" xfId="0" applyFont="1" applyBorder="1" applyAlignment="1" applyProtection="1">
      <alignment horizontal="center" vertical="center"/>
      <protection hidden="1"/>
    </xf>
    <xf numFmtId="0" fontId="7" fillId="0" borderId="8" xfId="0" applyFont="1" applyBorder="1" applyAlignment="1" applyProtection="1">
      <alignment horizontal="center" vertical="center"/>
      <protection hidden="1"/>
    </xf>
    <xf numFmtId="0" fontId="3" fillId="0" borderId="1" xfId="0" applyFont="1" applyFill="1" applyBorder="1" applyAlignment="1" applyProtection="1">
      <alignment horizontal="center" vertical="center"/>
      <protection hidden="1"/>
    </xf>
    <xf numFmtId="0" fontId="1" fillId="0" borderId="0" xfId="0" applyFont="1" applyFill="1" applyBorder="1" applyAlignment="1" applyProtection="1">
      <alignment horizontal="left"/>
      <protection hidden="1"/>
    </xf>
    <xf numFmtId="0" fontId="3" fillId="0" borderId="0" xfId="0" applyFont="1" applyFill="1" applyBorder="1" applyAlignment="1" applyProtection="1">
      <alignment horizontal="center"/>
      <protection hidden="1"/>
    </xf>
    <xf numFmtId="0" fontId="3" fillId="0" borderId="1" xfId="0" applyFont="1" applyFill="1" applyBorder="1" applyAlignment="1" applyProtection="1">
      <alignment horizontal="center" vertical="center" wrapText="1"/>
      <protection hidden="1"/>
    </xf>
    <xf numFmtId="164" fontId="3" fillId="0" borderId="1" xfId="0" applyNumberFormat="1" applyFont="1" applyFill="1" applyBorder="1" applyAlignment="1" applyProtection="1">
      <alignment horizontal="center" vertical="center"/>
      <protection hidden="1"/>
    </xf>
    <xf numFmtId="0" fontId="3" fillId="0" borderId="5" xfId="0" applyFont="1" applyFill="1" applyBorder="1" applyAlignment="1" applyProtection="1">
      <alignment horizontal="center"/>
      <protection hidden="1"/>
    </xf>
    <xf numFmtId="0" fontId="3" fillId="0" borderId="6" xfId="0" applyFont="1" applyFill="1" applyBorder="1" applyAlignment="1" applyProtection="1">
      <alignment horizontal="center"/>
      <protection hidden="1"/>
    </xf>
    <xf numFmtId="0" fontId="3" fillId="0" borderId="7" xfId="0" applyFont="1" applyFill="1" applyBorder="1" applyAlignment="1" applyProtection="1">
      <alignment horizontal="center"/>
      <protection hidden="1"/>
    </xf>
    <xf numFmtId="0" fontId="2" fillId="0" borderId="0" xfId="0" applyFont="1" applyFill="1" applyBorder="1" applyAlignment="1" applyProtection="1">
      <alignment horizontal="left" vertical="top" wrapText="1"/>
      <protection hidden="1"/>
    </xf>
    <xf numFmtId="0" fontId="2" fillId="0" borderId="9" xfId="0" applyFont="1" applyFill="1" applyBorder="1" applyAlignment="1" applyProtection="1">
      <alignment horizontal="left" vertical="top" wrapText="1"/>
      <protection hidden="1"/>
    </xf>
    <xf numFmtId="0" fontId="2" fillId="0" borderId="4" xfId="0" applyFont="1" applyFill="1" applyBorder="1" applyAlignment="1" applyProtection="1">
      <alignment horizontal="left" vertical="top" wrapText="1"/>
      <protection hidden="1"/>
    </xf>
    <xf numFmtId="0" fontId="2" fillId="0" borderId="8" xfId="0" applyFont="1" applyFill="1" applyBorder="1" applyAlignment="1" applyProtection="1">
      <alignment horizontal="left" vertical="top" wrapText="1"/>
      <protection hidden="1"/>
    </xf>
    <xf numFmtId="0" fontId="2" fillId="0" borderId="4" xfId="0" applyFont="1" applyFill="1" applyBorder="1" applyAlignment="1" applyProtection="1">
      <alignment horizontal="left" wrapText="1"/>
      <protection hidden="1"/>
    </xf>
    <xf numFmtId="0" fontId="2" fillId="0" borderId="8" xfId="0" applyFont="1" applyFill="1" applyBorder="1" applyAlignment="1" applyProtection="1">
      <alignment horizontal="left" wrapText="1"/>
      <protection hidden="1"/>
    </xf>
    <xf numFmtId="0" fontId="3" fillId="0" borderId="15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wrapText="1"/>
      <protection hidden="1"/>
    </xf>
    <xf numFmtId="0" fontId="2" fillId="0" borderId="9" xfId="0" applyFont="1" applyFill="1" applyBorder="1" applyAlignment="1" applyProtection="1">
      <alignment horizontal="left" wrapText="1"/>
      <protection hidden="1"/>
    </xf>
    <xf numFmtId="0" fontId="2" fillId="0" borderId="1" xfId="0" applyFont="1" applyFill="1" applyBorder="1" applyAlignment="1" applyProtection="1">
      <alignment horizontal="left" wrapText="1"/>
      <protection hidden="1"/>
    </xf>
    <xf numFmtId="0" fontId="3" fillId="0" borderId="2" xfId="0" applyFont="1" applyFill="1" applyBorder="1" applyAlignment="1" applyProtection="1">
      <alignment horizontal="left"/>
      <protection hidden="1"/>
    </xf>
    <xf numFmtId="0" fontId="3" fillId="0" borderId="4" xfId="0" applyFont="1" applyFill="1" applyBorder="1" applyAlignment="1" applyProtection="1">
      <alignment horizontal="left"/>
      <protection hidden="1"/>
    </xf>
    <xf numFmtId="0" fontId="3" fillId="0" borderId="8" xfId="0" applyFont="1" applyFill="1" applyBorder="1" applyAlignment="1" applyProtection="1">
      <alignment horizontal="left"/>
      <protection hidden="1"/>
    </xf>
    <xf numFmtId="0" fontId="3" fillId="0" borderId="2" xfId="0" applyFont="1" applyFill="1" applyBorder="1" applyAlignment="1" applyProtection="1">
      <alignment horizontal="left" vertical="top"/>
      <protection hidden="1"/>
    </xf>
    <xf numFmtId="0" fontId="3" fillId="0" borderId="4" xfId="0" quotePrefix="1" applyFont="1" applyFill="1" applyBorder="1" applyAlignment="1" applyProtection="1">
      <alignment horizontal="left" vertical="top"/>
      <protection hidden="1"/>
    </xf>
    <xf numFmtId="0" fontId="3" fillId="0" borderId="8" xfId="0" quotePrefix="1" applyFont="1" applyFill="1" applyBorder="1" applyAlignment="1" applyProtection="1">
      <alignment horizontal="left" vertical="top"/>
      <protection hidden="1"/>
    </xf>
    <xf numFmtId="0" fontId="3" fillId="0" borderId="3" xfId="0" applyFont="1" applyFill="1" applyBorder="1" applyAlignment="1" applyProtection="1">
      <alignment horizontal="left" vertical="top"/>
      <protection hidden="1"/>
    </xf>
    <xf numFmtId="0" fontId="3" fillId="0" borderId="0" xfId="0" quotePrefix="1" applyFont="1" applyFill="1" applyBorder="1" applyAlignment="1" applyProtection="1">
      <alignment horizontal="left" vertical="top"/>
      <protection hidden="1"/>
    </xf>
    <xf numFmtId="0" fontId="3" fillId="0" borderId="9" xfId="0" quotePrefix="1" applyFont="1" applyFill="1" applyBorder="1" applyAlignment="1" applyProtection="1">
      <alignment horizontal="left" vertical="top"/>
      <protection hidden="1"/>
    </xf>
    <xf numFmtId="0" fontId="3" fillId="0" borderId="2" xfId="0" applyFont="1" applyFill="1" applyBorder="1" applyAlignment="1" applyProtection="1">
      <alignment horizontal="center"/>
      <protection hidden="1"/>
    </xf>
    <xf numFmtId="0" fontId="3" fillId="0" borderId="4" xfId="0" quotePrefix="1" applyFont="1" applyFill="1" applyBorder="1" applyAlignment="1" applyProtection="1">
      <alignment horizontal="center"/>
      <protection hidden="1"/>
    </xf>
    <xf numFmtId="0" fontId="3" fillId="0" borderId="8" xfId="0" quotePrefix="1" applyFont="1" applyFill="1" applyBorder="1" applyAlignment="1" applyProtection="1">
      <alignment horizontal="center"/>
      <protection hidden="1"/>
    </xf>
    <xf numFmtId="0" fontId="1" fillId="0" borderId="0" xfId="0" applyFont="1" applyBorder="1" applyAlignment="1" applyProtection="1">
      <alignment horizontal="left"/>
      <protection hidden="1"/>
    </xf>
    <xf numFmtId="0" fontId="7" fillId="0" borderId="4" xfId="0" applyFont="1" applyFill="1" applyBorder="1" applyAlignment="1" applyProtection="1">
      <protection hidden="1"/>
    </xf>
    <xf numFmtId="0" fontId="7" fillId="0" borderId="8" xfId="0" applyFont="1" applyFill="1" applyBorder="1" applyAlignment="1" applyProtection="1">
      <protection hidden="1"/>
    </xf>
    <xf numFmtId="0" fontId="7" fillId="0" borderId="1" xfId="0" applyFont="1" applyBorder="1" applyAlignment="1" applyProtection="1">
      <alignment horizontal="center"/>
      <protection hidden="1"/>
    </xf>
    <xf numFmtId="0" fontId="3" fillId="0" borderId="0" xfId="0" applyFont="1" applyBorder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left"/>
      <protection hidden="1"/>
    </xf>
    <xf numFmtId="0" fontId="3" fillId="0" borderId="10" xfId="0" applyFont="1" applyBorder="1" applyAlignment="1" applyProtection="1">
      <alignment horizontal="center"/>
      <protection hidden="1"/>
    </xf>
    <xf numFmtId="0" fontId="3" fillId="0" borderId="15" xfId="0" applyFont="1" applyBorder="1" applyAlignment="1" applyProtection="1">
      <alignment horizontal="center" vertical="center" wrapText="1"/>
      <protection hidden="1"/>
    </xf>
    <xf numFmtId="0" fontId="8" fillId="0" borderId="13" xfId="0" applyFont="1" applyBorder="1" applyAlignment="1" applyProtection="1">
      <alignment horizontal="center"/>
      <protection hidden="1"/>
    </xf>
    <xf numFmtId="0" fontId="8" fillId="0" borderId="14" xfId="0" applyFont="1" applyBorder="1" applyAlignment="1" applyProtection="1">
      <alignment horizontal="center"/>
      <protection hidden="1"/>
    </xf>
    <xf numFmtId="0" fontId="3" fillId="0" borderId="14" xfId="0" applyFont="1" applyBorder="1" applyAlignment="1" applyProtection="1">
      <alignment horizontal="center" vertical="center" wrapText="1"/>
      <protection hidden="1"/>
    </xf>
    <xf numFmtId="0" fontId="3" fillId="0" borderId="1" xfId="0" applyFont="1" applyBorder="1" applyAlignment="1" applyProtection="1">
      <alignment horizontal="center" vertical="center" wrapText="1"/>
      <protection hidden="1"/>
    </xf>
    <xf numFmtId="0" fontId="3" fillId="0" borderId="13" xfId="0" applyFont="1" applyBorder="1" applyAlignment="1" applyProtection="1">
      <alignment horizontal="center" vertical="center" wrapText="1"/>
      <protection hidden="1"/>
    </xf>
    <xf numFmtId="0" fontId="8" fillId="0" borderId="3" xfId="0" applyFont="1" applyBorder="1" applyAlignment="1" applyProtection="1">
      <alignment horizontal="center"/>
      <protection hidden="1"/>
    </xf>
    <xf numFmtId="0" fontId="8" fillId="0" borderId="11" xfId="0" applyFont="1" applyBorder="1" applyAlignment="1" applyProtection="1">
      <alignment horizontal="center"/>
      <protection hidden="1"/>
    </xf>
    <xf numFmtId="0" fontId="3" fillId="0" borderId="8" xfId="0" applyFont="1" applyBorder="1" applyAlignment="1" applyProtection="1">
      <alignment horizontal="center" vertical="center" wrapText="1"/>
      <protection hidden="1"/>
    </xf>
    <xf numFmtId="187" fontId="3" fillId="0" borderId="14" xfId="0" applyNumberFormat="1" applyFont="1" applyBorder="1" applyAlignment="1" applyProtection="1">
      <alignment horizontal="center" vertical="center" wrapText="1"/>
      <protection hidden="1"/>
    </xf>
    <xf numFmtId="187" fontId="3" fillId="0" borderId="1" xfId="0" applyNumberFormat="1" applyFont="1" applyBorder="1" applyAlignment="1" applyProtection="1">
      <alignment horizontal="center" vertical="center" wrapText="1"/>
      <protection hidden="1"/>
    </xf>
    <xf numFmtId="0" fontId="3" fillId="0" borderId="14" xfId="0" applyFont="1" applyBorder="1" applyAlignment="1" applyProtection="1">
      <alignment horizontal="center" vertical="center"/>
      <protection hidden="1"/>
    </xf>
    <xf numFmtId="1" fontId="3" fillId="0" borderId="1" xfId="0" applyNumberFormat="1" applyFont="1" applyBorder="1" applyAlignment="1" applyProtection="1">
      <alignment horizontal="center" vertical="center" wrapText="1"/>
      <protection hidden="1"/>
    </xf>
    <xf numFmtId="0" fontId="3" fillId="0" borderId="1" xfId="0" applyFont="1" applyBorder="1" applyAlignment="1" applyProtection="1">
      <alignment horizontal="center" vertical="center"/>
      <protection hidden="1"/>
    </xf>
    <xf numFmtId="0" fontId="3" fillId="0" borderId="7" xfId="0" applyFont="1" applyBorder="1" applyAlignment="1" applyProtection="1">
      <alignment horizontal="center" vertical="center" wrapText="1"/>
      <protection hidden="1"/>
    </xf>
    <xf numFmtId="0" fontId="3" fillId="0" borderId="9" xfId="0" applyFont="1" applyBorder="1" applyAlignment="1" applyProtection="1">
      <alignment horizontal="center" vertical="center" wrapText="1"/>
      <protection hidden="1"/>
    </xf>
    <xf numFmtId="0" fontId="3" fillId="0" borderId="12" xfId="0" applyFont="1" applyBorder="1" applyAlignment="1" applyProtection="1">
      <alignment horizontal="center" vertical="center" wrapText="1"/>
      <protection hidden="1"/>
    </xf>
    <xf numFmtId="1" fontId="3" fillId="0" borderId="15" xfId="0" applyNumberFormat="1" applyFont="1" applyBorder="1" applyAlignment="1" applyProtection="1">
      <alignment horizontal="center" vertical="center" wrapText="1"/>
      <protection hidden="1"/>
    </xf>
    <xf numFmtId="1" fontId="3" fillId="0" borderId="13" xfId="0" applyNumberFormat="1" applyFont="1" applyBorder="1" applyAlignment="1" applyProtection="1">
      <alignment horizontal="center" vertical="center" wrapText="1"/>
      <protection hidden="1"/>
    </xf>
    <xf numFmtId="1" fontId="3" fillId="0" borderId="14" xfId="0" applyNumberFormat="1" applyFont="1" applyBorder="1" applyAlignment="1" applyProtection="1">
      <alignment horizontal="center" vertical="center" wrapText="1"/>
      <protection hidden="1"/>
    </xf>
    <xf numFmtId="0" fontId="8" fillId="0" borderId="5" xfId="0" applyFont="1" applyBorder="1" applyAlignment="1" applyProtection="1">
      <alignment horizontal="center"/>
      <protection hidden="1"/>
    </xf>
    <xf numFmtId="0" fontId="8" fillId="0" borderId="6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center"/>
      <protection hidden="1"/>
    </xf>
    <xf numFmtId="0" fontId="8" fillId="0" borderId="10" xfId="0" applyFont="1" applyBorder="1" applyAlignment="1" applyProtection="1">
      <alignment horizontal="center"/>
      <protection hidden="1"/>
    </xf>
    <xf numFmtId="0" fontId="3" fillId="0" borderId="11" xfId="0" applyFont="1" applyBorder="1" applyAlignment="1" applyProtection="1">
      <alignment horizontal="center" vertical="center"/>
      <protection hidden="1"/>
    </xf>
    <xf numFmtId="0" fontId="3" fillId="0" borderId="10" xfId="0" applyFont="1" applyBorder="1" applyAlignment="1" applyProtection="1">
      <alignment horizontal="center" vertical="center"/>
      <protection hidden="1"/>
    </xf>
    <xf numFmtId="0" fontId="3" fillId="0" borderId="12" xfId="0" applyFont="1" applyBorder="1" applyAlignment="1" applyProtection="1">
      <alignment horizontal="center" vertical="center"/>
      <protection hidden="1"/>
    </xf>
    <xf numFmtId="0" fontId="3" fillId="0" borderId="3" xfId="0" applyFont="1" applyBorder="1" applyAlignment="1" applyProtection="1">
      <alignment horizontal="center" vertical="center" wrapText="1"/>
      <protection hidden="1"/>
    </xf>
    <xf numFmtId="0" fontId="3" fillId="0" borderId="15" xfId="0" applyFont="1" applyBorder="1" applyAlignment="1" applyProtection="1">
      <alignment horizontal="center" vertical="center"/>
      <protection hidden="1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6.emf"/><Relationship Id="rId18" Type="http://schemas.openxmlformats.org/officeDocument/2006/relationships/image" Target="../media/image1.emf"/><Relationship Id="rId3" Type="http://schemas.openxmlformats.org/officeDocument/2006/relationships/image" Target="../media/image16.emf"/><Relationship Id="rId7" Type="http://schemas.openxmlformats.org/officeDocument/2006/relationships/image" Target="../media/image12.emf"/><Relationship Id="rId12" Type="http://schemas.openxmlformats.org/officeDocument/2006/relationships/image" Target="../media/image7.emf"/><Relationship Id="rId17" Type="http://schemas.openxmlformats.org/officeDocument/2006/relationships/image" Target="../media/image2.emf"/><Relationship Id="rId2" Type="http://schemas.openxmlformats.org/officeDocument/2006/relationships/image" Target="../media/image17.emf"/><Relationship Id="rId16" Type="http://schemas.openxmlformats.org/officeDocument/2006/relationships/image" Target="../media/image3.emf"/><Relationship Id="rId1" Type="http://schemas.openxmlformats.org/officeDocument/2006/relationships/image" Target="../media/image18.emf"/><Relationship Id="rId6" Type="http://schemas.openxmlformats.org/officeDocument/2006/relationships/image" Target="../media/image13.emf"/><Relationship Id="rId11" Type="http://schemas.openxmlformats.org/officeDocument/2006/relationships/image" Target="../media/image8.emf"/><Relationship Id="rId5" Type="http://schemas.openxmlformats.org/officeDocument/2006/relationships/image" Target="../media/image14.emf"/><Relationship Id="rId15" Type="http://schemas.openxmlformats.org/officeDocument/2006/relationships/image" Target="../media/image4.emf"/><Relationship Id="rId10" Type="http://schemas.openxmlformats.org/officeDocument/2006/relationships/image" Target="../media/image9.emf"/><Relationship Id="rId4" Type="http://schemas.openxmlformats.org/officeDocument/2006/relationships/image" Target="../media/image15.emf"/><Relationship Id="rId9" Type="http://schemas.openxmlformats.org/officeDocument/2006/relationships/image" Target="../media/image10.emf"/><Relationship Id="rId1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14</xdr:row>
          <xdr:rowOff>19050</xdr:rowOff>
        </xdr:from>
        <xdr:to>
          <xdr:col>7</xdr:col>
          <xdr:colOff>457200</xdr:colOff>
          <xdr:row>15</xdr:row>
          <xdr:rowOff>0</xdr:rowOff>
        </xdr:to>
        <xdr:sp macro="" textlink="">
          <xdr:nvSpPr>
            <xdr:cNvPr id="2056" name="Label_a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17</xdr:row>
          <xdr:rowOff>19050</xdr:rowOff>
        </xdr:from>
        <xdr:to>
          <xdr:col>7</xdr:col>
          <xdr:colOff>457200</xdr:colOff>
          <xdr:row>18</xdr:row>
          <xdr:rowOff>0</xdr:rowOff>
        </xdr:to>
        <xdr:sp macro="" textlink="">
          <xdr:nvSpPr>
            <xdr:cNvPr id="2057" name="Label_b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20</xdr:row>
          <xdr:rowOff>9525</xdr:rowOff>
        </xdr:from>
        <xdr:to>
          <xdr:col>7</xdr:col>
          <xdr:colOff>457200</xdr:colOff>
          <xdr:row>20</xdr:row>
          <xdr:rowOff>133350</xdr:rowOff>
        </xdr:to>
        <xdr:sp macro="" textlink="">
          <xdr:nvSpPr>
            <xdr:cNvPr id="2058" name="Label_c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25</xdr:row>
          <xdr:rowOff>9525</xdr:rowOff>
        </xdr:from>
        <xdr:to>
          <xdr:col>7</xdr:col>
          <xdr:colOff>457200</xdr:colOff>
          <xdr:row>25</xdr:row>
          <xdr:rowOff>133350</xdr:rowOff>
        </xdr:to>
        <xdr:sp macro="" textlink="">
          <xdr:nvSpPr>
            <xdr:cNvPr id="2059" name="Label_d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28</xdr:row>
          <xdr:rowOff>19050</xdr:rowOff>
        </xdr:from>
        <xdr:to>
          <xdr:col>7</xdr:col>
          <xdr:colOff>457200</xdr:colOff>
          <xdr:row>29</xdr:row>
          <xdr:rowOff>0</xdr:rowOff>
        </xdr:to>
        <xdr:sp macro="" textlink="">
          <xdr:nvSpPr>
            <xdr:cNvPr id="2060" name="Label_e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31</xdr:row>
          <xdr:rowOff>19050</xdr:rowOff>
        </xdr:from>
        <xdr:to>
          <xdr:col>7</xdr:col>
          <xdr:colOff>457200</xdr:colOff>
          <xdr:row>32</xdr:row>
          <xdr:rowOff>0</xdr:rowOff>
        </xdr:to>
        <xdr:sp macro="" textlink="">
          <xdr:nvSpPr>
            <xdr:cNvPr id="2061" name="Label_f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36</xdr:row>
          <xdr:rowOff>19050</xdr:rowOff>
        </xdr:from>
        <xdr:to>
          <xdr:col>7</xdr:col>
          <xdr:colOff>457200</xdr:colOff>
          <xdr:row>37</xdr:row>
          <xdr:rowOff>0</xdr:rowOff>
        </xdr:to>
        <xdr:sp macro="" textlink="">
          <xdr:nvSpPr>
            <xdr:cNvPr id="2062" name="Label_g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39</xdr:row>
          <xdr:rowOff>9525</xdr:rowOff>
        </xdr:from>
        <xdr:to>
          <xdr:col>7</xdr:col>
          <xdr:colOff>457200</xdr:colOff>
          <xdr:row>39</xdr:row>
          <xdr:rowOff>133350</xdr:rowOff>
        </xdr:to>
        <xdr:sp macro="" textlink="">
          <xdr:nvSpPr>
            <xdr:cNvPr id="2063" name="Label_h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42</xdr:row>
          <xdr:rowOff>9525</xdr:rowOff>
        </xdr:from>
        <xdr:to>
          <xdr:col>7</xdr:col>
          <xdr:colOff>457200</xdr:colOff>
          <xdr:row>42</xdr:row>
          <xdr:rowOff>133350</xdr:rowOff>
        </xdr:to>
        <xdr:sp macro="" textlink="">
          <xdr:nvSpPr>
            <xdr:cNvPr id="2064" name="Label_i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48</xdr:row>
          <xdr:rowOff>9525</xdr:rowOff>
        </xdr:from>
        <xdr:to>
          <xdr:col>7</xdr:col>
          <xdr:colOff>457200</xdr:colOff>
          <xdr:row>48</xdr:row>
          <xdr:rowOff>133350</xdr:rowOff>
        </xdr:to>
        <xdr:sp macro="" textlink="">
          <xdr:nvSpPr>
            <xdr:cNvPr id="2065" name="Label_j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51</xdr:row>
          <xdr:rowOff>19050</xdr:rowOff>
        </xdr:from>
        <xdr:to>
          <xdr:col>7</xdr:col>
          <xdr:colOff>457200</xdr:colOff>
          <xdr:row>52</xdr:row>
          <xdr:rowOff>0</xdr:rowOff>
        </xdr:to>
        <xdr:sp macro="" textlink="">
          <xdr:nvSpPr>
            <xdr:cNvPr id="2066" name="Label_k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54</xdr:row>
          <xdr:rowOff>19050</xdr:rowOff>
        </xdr:from>
        <xdr:to>
          <xdr:col>7</xdr:col>
          <xdr:colOff>457200</xdr:colOff>
          <xdr:row>55</xdr:row>
          <xdr:rowOff>0</xdr:rowOff>
        </xdr:to>
        <xdr:sp macro="" textlink="">
          <xdr:nvSpPr>
            <xdr:cNvPr id="2067" name="Label_m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59</xdr:row>
          <xdr:rowOff>0</xdr:rowOff>
        </xdr:from>
        <xdr:to>
          <xdr:col>7</xdr:col>
          <xdr:colOff>457200</xdr:colOff>
          <xdr:row>59</xdr:row>
          <xdr:rowOff>123825</xdr:rowOff>
        </xdr:to>
        <xdr:sp macro="" textlink="">
          <xdr:nvSpPr>
            <xdr:cNvPr id="2068" name="Label_n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62</xdr:row>
          <xdr:rowOff>9525</xdr:rowOff>
        </xdr:from>
        <xdr:to>
          <xdr:col>7</xdr:col>
          <xdr:colOff>457200</xdr:colOff>
          <xdr:row>62</xdr:row>
          <xdr:rowOff>133350</xdr:rowOff>
        </xdr:to>
        <xdr:sp macro="" textlink="">
          <xdr:nvSpPr>
            <xdr:cNvPr id="2069" name="Label_o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65</xdr:row>
          <xdr:rowOff>19050</xdr:rowOff>
        </xdr:from>
        <xdr:to>
          <xdr:col>7</xdr:col>
          <xdr:colOff>457200</xdr:colOff>
          <xdr:row>66</xdr:row>
          <xdr:rowOff>0</xdr:rowOff>
        </xdr:to>
        <xdr:sp macro="" textlink="">
          <xdr:nvSpPr>
            <xdr:cNvPr id="2070" name="Label_p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70</xdr:row>
          <xdr:rowOff>9525</xdr:rowOff>
        </xdr:from>
        <xdr:to>
          <xdr:col>7</xdr:col>
          <xdr:colOff>457200</xdr:colOff>
          <xdr:row>70</xdr:row>
          <xdr:rowOff>133350</xdr:rowOff>
        </xdr:to>
        <xdr:sp macro="" textlink="">
          <xdr:nvSpPr>
            <xdr:cNvPr id="2071" name="Label_q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73</xdr:row>
          <xdr:rowOff>9525</xdr:rowOff>
        </xdr:from>
        <xdr:to>
          <xdr:col>7</xdr:col>
          <xdr:colOff>457200</xdr:colOff>
          <xdr:row>73</xdr:row>
          <xdr:rowOff>133350</xdr:rowOff>
        </xdr:to>
        <xdr:sp macro="" textlink="">
          <xdr:nvSpPr>
            <xdr:cNvPr id="2072" name="Label_r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76</xdr:row>
          <xdr:rowOff>9525</xdr:rowOff>
        </xdr:from>
        <xdr:to>
          <xdr:col>7</xdr:col>
          <xdr:colOff>457200</xdr:colOff>
          <xdr:row>76</xdr:row>
          <xdr:rowOff>133350</xdr:rowOff>
        </xdr:to>
        <xdr:sp macro="" textlink="">
          <xdr:nvSpPr>
            <xdr:cNvPr id="2073" name="Label_s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124"/>
  <sheetViews>
    <sheetView tabSelected="1" topLeftCell="B1" workbookViewId="0"/>
  </sheetViews>
  <sheetFormatPr defaultRowHeight="12.75" x14ac:dyDescent="0.2"/>
  <cols>
    <col min="1" max="1" width="43.85546875" style="371" hidden="1" customWidth="1"/>
    <col min="2" max="16384" width="9.140625" style="371"/>
  </cols>
  <sheetData>
    <row r="1" spans="1:1" x14ac:dyDescent="0.2">
      <c r="A1" s="370" t="s">
        <v>819</v>
      </c>
    </row>
    <row r="2" spans="1:1" x14ac:dyDescent="0.2">
      <c r="A2" s="370">
        <v>3</v>
      </c>
    </row>
    <row r="3" spans="1:1" x14ac:dyDescent="0.2">
      <c r="A3" s="370">
        <v>70011</v>
      </c>
    </row>
    <row r="4" spans="1:1" x14ac:dyDescent="0.2">
      <c r="A4" s="370">
        <v>8888</v>
      </c>
    </row>
    <row r="5" spans="1:1" x14ac:dyDescent="0.2">
      <c r="A5" s="370">
        <v>5</v>
      </c>
    </row>
    <row r="6" spans="1:1" x14ac:dyDescent="0.2">
      <c r="A6" s="370">
        <v>2019</v>
      </c>
    </row>
    <row r="7" spans="1:1" x14ac:dyDescent="0.2">
      <c r="A7" s="370">
        <v>20190630</v>
      </c>
    </row>
    <row r="8" spans="1:1" x14ac:dyDescent="0.2">
      <c r="A8" s="371" t="s">
        <v>683</v>
      </c>
    </row>
    <row r="9" spans="1:1" x14ac:dyDescent="0.2">
      <c r="A9" s="371" t="s">
        <v>817</v>
      </c>
    </row>
    <row r="10" spans="1:1" x14ac:dyDescent="0.2">
      <c r="A10" s="372">
        <v>1</v>
      </c>
    </row>
    <row r="20" spans="1:1" x14ac:dyDescent="0.2">
      <c r="A20" s="371">
        <v>9</v>
      </c>
    </row>
    <row r="21" spans="1:1" x14ac:dyDescent="0.2">
      <c r="A21" s="371">
        <v>2018</v>
      </c>
    </row>
    <row r="50" spans="1:1" x14ac:dyDescent="0.2">
      <c r="A50" s="371" t="s">
        <v>797</v>
      </c>
    </row>
    <row r="51" spans="1:1" x14ac:dyDescent="0.2">
      <c r="A51" s="371" t="s">
        <v>726</v>
      </c>
    </row>
    <row r="52" spans="1:1" x14ac:dyDescent="0.2">
      <c r="A52" s="371" t="s">
        <v>727</v>
      </c>
    </row>
    <row r="53" spans="1:1" x14ac:dyDescent="0.2">
      <c r="A53" s="371" t="s">
        <v>728</v>
      </c>
    </row>
    <row r="54" spans="1:1" x14ac:dyDescent="0.2">
      <c r="A54" s="371" t="s">
        <v>729</v>
      </c>
    </row>
    <row r="55" spans="1:1" x14ac:dyDescent="0.2">
      <c r="A55" s="371" t="s">
        <v>780</v>
      </c>
    </row>
    <row r="56" spans="1:1" x14ac:dyDescent="0.2">
      <c r="A56" s="371" t="s">
        <v>768</v>
      </c>
    </row>
    <row r="57" spans="1:1" x14ac:dyDescent="0.2">
      <c r="A57" s="371" t="s">
        <v>781</v>
      </c>
    </row>
    <row r="58" spans="1:1" x14ac:dyDescent="0.2">
      <c r="A58" s="371" t="s">
        <v>782</v>
      </c>
    </row>
    <row r="59" spans="1:1" x14ac:dyDescent="0.2">
      <c r="A59" s="371" t="s">
        <v>760</v>
      </c>
    </row>
    <row r="60" spans="1:1" x14ac:dyDescent="0.2">
      <c r="A60" s="371" t="s">
        <v>783</v>
      </c>
    </row>
    <row r="61" spans="1:1" x14ac:dyDescent="0.2">
      <c r="A61" s="371" t="s">
        <v>771</v>
      </c>
    </row>
    <row r="62" spans="1:1" x14ac:dyDescent="0.2">
      <c r="A62" s="371" t="s">
        <v>769</v>
      </c>
    </row>
    <row r="63" spans="1:1" x14ac:dyDescent="0.2">
      <c r="A63" s="371" t="s">
        <v>758</v>
      </c>
    </row>
    <row r="64" spans="1:1" x14ac:dyDescent="0.2">
      <c r="A64" s="371" t="s">
        <v>730</v>
      </c>
    </row>
    <row r="65" spans="1:1" x14ac:dyDescent="0.2">
      <c r="A65" s="371" t="s">
        <v>784</v>
      </c>
    </row>
    <row r="66" spans="1:1" x14ac:dyDescent="0.2">
      <c r="A66" s="371" t="s">
        <v>731</v>
      </c>
    </row>
    <row r="67" spans="1:1" x14ac:dyDescent="0.2">
      <c r="A67" s="371" t="s">
        <v>775</v>
      </c>
    </row>
    <row r="68" spans="1:1" x14ac:dyDescent="0.2">
      <c r="A68" s="371" t="s">
        <v>732</v>
      </c>
    </row>
    <row r="69" spans="1:1" x14ac:dyDescent="0.2">
      <c r="A69" s="371" t="s">
        <v>785</v>
      </c>
    </row>
    <row r="70" spans="1:1" x14ac:dyDescent="0.2">
      <c r="A70" s="371" t="s">
        <v>786</v>
      </c>
    </row>
    <row r="71" spans="1:1" x14ac:dyDescent="0.2">
      <c r="A71" s="371" t="s">
        <v>779</v>
      </c>
    </row>
    <row r="72" spans="1:1" x14ac:dyDescent="0.2">
      <c r="A72" s="371" t="s">
        <v>761</v>
      </c>
    </row>
    <row r="73" spans="1:1" x14ac:dyDescent="0.2">
      <c r="A73" s="371" t="s">
        <v>733</v>
      </c>
    </row>
    <row r="74" spans="1:1" x14ac:dyDescent="0.2">
      <c r="A74" s="371" t="s">
        <v>734</v>
      </c>
    </row>
    <row r="75" spans="1:1" x14ac:dyDescent="0.2">
      <c r="A75" s="371" t="s">
        <v>787</v>
      </c>
    </row>
    <row r="76" spans="1:1" x14ac:dyDescent="0.2">
      <c r="A76" s="371" t="s">
        <v>735</v>
      </c>
    </row>
    <row r="77" spans="1:1" x14ac:dyDescent="0.2">
      <c r="A77" s="371" t="s">
        <v>736</v>
      </c>
    </row>
    <row r="78" spans="1:1" x14ac:dyDescent="0.2">
      <c r="A78" s="371" t="s">
        <v>737</v>
      </c>
    </row>
    <row r="79" spans="1:1" x14ac:dyDescent="0.2">
      <c r="A79" s="371" t="s">
        <v>738</v>
      </c>
    </row>
    <row r="80" spans="1:1" x14ac:dyDescent="0.2">
      <c r="A80" s="371" t="s">
        <v>739</v>
      </c>
    </row>
    <row r="81" spans="1:1" x14ac:dyDescent="0.2">
      <c r="A81" s="371" t="s">
        <v>740</v>
      </c>
    </row>
    <row r="82" spans="1:1" x14ac:dyDescent="0.2">
      <c r="A82" s="371" t="s">
        <v>741</v>
      </c>
    </row>
    <row r="83" spans="1:1" x14ac:dyDescent="0.2">
      <c r="A83" s="371" t="s">
        <v>742</v>
      </c>
    </row>
    <row r="84" spans="1:1" x14ac:dyDescent="0.2">
      <c r="A84" s="371" t="s">
        <v>743</v>
      </c>
    </row>
    <row r="85" spans="1:1" x14ac:dyDescent="0.2">
      <c r="A85" s="371" t="s">
        <v>744</v>
      </c>
    </row>
    <row r="86" spans="1:1" x14ac:dyDescent="0.2">
      <c r="A86" s="371" t="s">
        <v>788</v>
      </c>
    </row>
    <row r="87" spans="1:1" x14ac:dyDescent="0.2">
      <c r="A87" s="371" t="s">
        <v>776</v>
      </c>
    </row>
    <row r="88" spans="1:1" x14ac:dyDescent="0.2">
      <c r="A88" s="371" t="s">
        <v>799</v>
      </c>
    </row>
    <row r="89" spans="1:1" x14ac:dyDescent="0.2">
      <c r="A89" s="371" t="s">
        <v>745</v>
      </c>
    </row>
    <row r="90" spans="1:1" x14ac:dyDescent="0.2">
      <c r="A90" s="371" t="s">
        <v>746</v>
      </c>
    </row>
    <row r="91" spans="1:1" x14ac:dyDescent="0.2">
      <c r="A91" s="371" t="s">
        <v>789</v>
      </c>
    </row>
    <row r="92" spans="1:1" x14ac:dyDescent="0.2">
      <c r="A92" s="371" t="s">
        <v>747</v>
      </c>
    </row>
    <row r="93" spans="1:1" x14ac:dyDescent="0.2">
      <c r="A93" s="371" t="s">
        <v>762</v>
      </c>
    </row>
    <row r="94" spans="1:1" x14ac:dyDescent="0.2">
      <c r="A94" s="371" t="s">
        <v>790</v>
      </c>
    </row>
    <row r="95" spans="1:1" x14ac:dyDescent="0.2">
      <c r="A95" s="371" t="s">
        <v>791</v>
      </c>
    </row>
    <row r="96" spans="1:1" x14ac:dyDescent="0.2">
      <c r="A96" s="371" t="s">
        <v>748</v>
      </c>
    </row>
    <row r="97" spans="1:1" x14ac:dyDescent="0.2">
      <c r="A97" s="371" t="s">
        <v>770</v>
      </c>
    </row>
    <row r="98" spans="1:1" x14ac:dyDescent="0.2">
      <c r="A98" s="371" t="s">
        <v>792</v>
      </c>
    </row>
    <row r="99" spans="1:1" x14ac:dyDescent="0.2">
      <c r="A99" s="371" t="s">
        <v>772</v>
      </c>
    </row>
    <row r="100" spans="1:1" x14ac:dyDescent="0.2">
      <c r="A100" s="371" t="s">
        <v>749</v>
      </c>
    </row>
    <row r="101" spans="1:1" x14ac:dyDescent="0.2">
      <c r="A101" s="371" t="s">
        <v>763</v>
      </c>
    </row>
    <row r="102" spans="1:1" x14ac:dyDescent="0.2">
      <c r="A102" s="371" t="s">
        <v>750</v>
      </c>
    </row>
    <row r="103" spans="1:1" x14ac:dyDescent="0.2">
      <c r="A103" s="371" t="s">
        <v>764</v>
      </c>
    </row>
    <row r="104" spans="1:1" x14ac:dyDescent="0.2">
      <c r="A104" s="371" t="s">
        <v>767</v>
      </c>
    </row>
    <row r="105" spans="1:1" x14ac:dyDescent="0.2">
      <c r="A105" s="371" t="s">
        <v>777</v>
      </c>
    </row>
    <row r="106" spans="1:1" x14ac:dyDescent="0.2">
      <c r="A106" s="371" t="s">
        <v>793</v>
      </c>
    </row>
    <row r="107" spans="1:1" x14ac:dyDescent="0.2">
      <c r="A107" s="371" t="s">
        <v>774</v>
      </c>
    </row>
    <row r="108" spans="1:1" x14ac:dyDescent="0.2">
      <c r="A108" s="371" t="s">
        <v>751</v>
      </c>
    </row>
    <row r="109" spans="1:1" x14ac:dyDescent="0.2">
      <c r="A109" s="371" t="s">
        <v>759</v>
      </c>
    </row>
    <row r="110" spans="1:1" x14ac:dyDescent="0.2">
      <c r="A110" s="371" t="s">
        <v>778</v>
      </c>
    </row>
    <row r="111" spans="1:1" x14ac:dyDescent="0.2">
      <c r="A111" s="371" t="s">
        <v>765</v>
      </c>
    </row>
    <row r="112" spans="1:1" x14ac:dyDescent="0.2">
      <c r="A112" s="371" t="s">
        <v>752</v>
      </c>
    </row>
    <row r="113" spans="1:1" x14ac:dyDescent="0.2">
      <c r="A113" s="371" t="s">
        <v>773</v>
      </c>
    </row>
    <row r="114" spans="1:1" x14ac:dyDescent="0.2">
      <c r="A114" s="371" t="s">
        <v>794</v>
      </c>
    </row>
    <row r="115" spans="1:1" x14ac:dyDescent="0.2">
      <c r="A115" s="371" t="s">
        <v>753</v>
      </c>
    </row>
    <row r="116" spans="1:1" x14ac:dyDescent="0.2">
      <c r="A116" s="371" t="s">
        <v>798</v>
      </c>
    </row>
    <row r="117" spans="1:1" x14ac:dyDescent="0.2">
      <c r="A117" s="371" t="s">
        <v>754</v>
      </c>
    </row>
    <row r="118" spans="1:1" x14ac:dyDescent="0.2">
      <c r="A118" s="371" t="s">
        <v>755</v>
      </c>
    </row>
    <row r="119" spans="1:1" x14ac:dyDescent="0.2">
      <c r="A119" s="371" t="s">
        <v>756</v>
      </c>
    </row>
    <row r="120" spans="1:1" x14ac:dyDescent="0.2">
      <c r="A120" s="371" t="s">
        <v>796</v>
      </c>
    </row>
    <row r="121" spans="1:1" x14ac:dyDescent="0.2">
      <c r="A121" s="371" t="s">
        <v>766</v>
      </c>
    </row>
    <row r="122" spans="1:1" x14ac:dyDescent="0.2">
      <c r="A122" s="371" t="s">
        <v>795</v>
      </c>
    </row>
    <row r="123" spans="1:1" x14ac:dyDescent="0.2">
      <c r="A123" s="371" t="s">
        <v>757</v>
      </c>
    </row>
    <row r="124" spans="1:1" x14ac:dyDescent="0.2">
      <c r="A124" s="371" t="s">
        <v>650</v>
      </c>
    </row>
  </sheetData>
  <sheetProtection password="CF79" sheet="1" objects="1" scenarios="1" selectLockedCells="1"/>
  <phoneticPr fontId="8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L26"/>
  <sheetViews>
    <sheetView zoomScale="8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W1"/>
    </sheetView>
  </sheetViews>
  <sheetFormatPr defaultRowHeight="11.25" customHeight="1" x14ac:dyDescent="0.2"/>
  <cols>
    <col min="1" max="1" width="2.85546875" style="11" customWidth="1"/>
    <col min="2" max="2" width="3.5703125" style="11" customWidth="1"/>
    <col min="3" max="3" width="54.85546875" style="11" customWidth="1"/>
    <col min="4" max="4" width="20.7109375" style="11" hidden="1" customWidth="1"/>
    <col min="5" max="5" width="5.140625" style="11" hidden="1" customWidth="1"/>
    <col min="6" max="6" width="0.140625" style="11" hidden="1" customWidth="1"/>
    <col min="7" max="7" width="16.7109375" style="11" customWidth="1"/>
    <col min="8" max="8" width="0.140625" style="11" customWidth="1"/>
    <col min="9" max="23" width="20.7109375" style="1" customWidth="1"/>
    <col min="24" max="29" width="20.7109375" style="1" hidden="1" customWidth="1"/>
    <col min="30" max="30" width="20.7109375" style="1" customWidth="1"/>
    <col min="31" max="16384" width="9.140625" style="1"/>
  </cols>
  <sheetData>
    <row r="1" spans="1:220" ht="11.25" customHeight="1" x14ac:dyDescent="0.2">
      <c r="A1" s="377" t="s">
        <v>0</v>
      </c>
      <c r="B1" s="377"/>
      <c r="C1" s="377"/>
      <c r="D1" s="377"/>
      <c r="E1" s="377"/>
      <c r="F1" s="377"/>
      <c r="G1" s="377"/>
      <c r="H1" s="377"/>
      <c r="I1" s="377"/>
      <c r="J1" s="377"/>
      <c r="K1" s="377"/>
      <c r="L1" s="377"/>
      <c r="M1" s="377"/>
      <c r="N1" s="377"/>
      <c r="O1" s="377"/>
      <c r="P1" s="377"/>
      <c r="Q1" s="377"/>
      <c r="R1" s="377"/>
      <c r="S1" s="377"/>
      <c r="T1" s="377"/>
      <c r="U1" s="377"/>
      <c r="V1" s="377"/>
      <c r="W1" s="377"/>
    </row>
    <row r="2" spans="1:220" ht="11.25" hidden="1" customHeight="1" x14ac:dyDescent="0.2">
      <c r="A2" s="378"/>
      <c r="B2" s="378"/>
      <c r="C2" s="378"/>
      <c r="D2" s="378"/>
      <c r="E2" s="378"/>
      <c r="F2" s="378"/>
      <c r="G2" s="378"/>
      <c r="H2" s="378"/>
      <c r="I2" s="378"/>
      <c r="J2" s="378"/>
      <c r="K2" s="378"/>
      <c r="L2" s="378"/>
      <c r="M2" s="378"/>
      <c r="N2" s="378"/>
      <c r="O2" s="378"/>
      <c r="P2" s="378"/>
      <c r="Q2" s="378"/>
      <c r="R2" s="378"/>
      <c r="S2" s="378"/>
      <c r="T2" s="378"/>
      <c r="U2" s="378"/>
      <c r="V2" s="378"/>
      <c r="W2" s="378"/>
    </row>
    <row r="3" spans="1:220" ht="11.25" hidden="1" customHeight="1" x14ac:dyDescent="0.2">
      <c r="A3" s="378"/>
      <c r="B3" s="378"/>
      <c r="C3" s="378"/>
      <c r="D3" s="378"/>
      <c r="E3" s="378"/>
      <c r="F3" s="378"/>
      <c r="G3" s="378"/>
      <c r="H3" s="378"/>
      <c r="I3" s="378"/>
      <c r="J3" s="378"/>
      <c r="K3" s="378"/>
      <c r="L3" s="378"/>
      <c r="M3" s="378"/>
      <c r="N3" s="378"/>
      <c r="O3" s="378"/>
      <c r="P3" s="378"/>
      <c r="Q3" s="378"/>
      <c r="R3" s="378"/>
      <c r="S3" s="378"/>
      <c r="T3" s="378"/>
      <c r="U3" s="378"/>
      <c r="V3" s="378"/>
      <c r="W3" s="378"/>
    </row>
    <row r="4" spans="1:220" ht="11.25" hidden="1" customHeight="1" x14ac:dyDescent="0.2">
      <c r="A4" s="378"/>
      <c r="B4" s="378"/>
      <c r="C4" s="378"/>
      <c r="D4" s="378"/>
      <c r="E4" s="378"/>
      <c r="F4" s="378"/>
      <c r="G4" s="378"/>
      <c r="H4" s="378"/>
      <c r="I4" s="378"/>
      <c r="J4" s="378"/>
      <c r="K4" s="378"/>
      <c r="L4" s="378"/>
      <c r="M4" s="378"/>
      <c r="N4" s="378"/>
      <c r="O4" s="378"/>
      <c r="P4" s="378"/>
      <c r="Q4" s="378"/>
      <c r="R4" s="378"/>
      <c r="S4" s="378"/>
      <c r="T4" s="378"/>
      <c r="U4" s="378"/>
      <c r="V4" s="378"/>
      <c r="W4" s="378"/>
    </row>
    <row r="5" spans="1:220" ht="11.25" hidden="1" customHeight="1" x14ac:dyDescent="0.2">
      <c r="A5" s="378"/>
      <c r="B5" s="378"/>
      <c r="C5" s="378"/>
      <c r="D5" s="378"/>
      <c r="E5" s="378"/>
      <c r="F5" s="378"/>
      <c r="G5" s="378"/>
      <c r="H5" s="378"/>
      <c r="I5" s="378"/>
      <c r="J5" s="378"/>
      <c r="K5" s="378"/>
      <c r="L5" s="378"/>
      <c r="M5" s="378"/>
      <c r="N5" s="378"/>
      <c r="O5" s="378"/>
      <c r="P5" s="378"/>
      <c r="Q5" s="378"/>
      <c r="R5" s="378"/>
      <c r="S5" s="378"/>
      <c r="T5" s="378"/>
      <c r="U5" s="378"/>
      <c r="V5" s="378"/>
      <c r="W5" s="378"/>
      <c r="X5" s="378"/>
      <c r="Y5" s="378"/>
      <c r="Z5" s="378"/>
      <c r="AA5" s="378"/>
      <c r="AB5" s="378"/>
      <c r="AC5" s="378"/>
      <c r="AD5" s="378"/>
      <c r="AE5" s="378"/>
      <c r="AF5" s="378"/>
      <c r="AG5" s="378"/>
      <c r="AH5" s="378"/>
      <c r="AI5" s="378"/>
      <c r="AJ5" s="379"/>
      <c r="AK5" s="378"/>
      <c r="AL5" s="378"/>
      <c r="AM5" s="378"/>
      <c r="AN5" s="378"/>
      <c r="AO5" s="378"/>
      <c r="AP5" s="378"/>
      <c r="AQ5" s="378"/>
      <c r="AR5" s="378"/>
      <c r="AS5" s="378"/>
      <c r="AT5" s="378"/>
      <c r="AU5" s="378"/>
      <c r="AV5" s="378"/>
      <c r="AW5" s="378"/>
      <c r="AX5" s="378"/>
      <c r="AY5" s="378"/>
      <c r="AZ5" s="378"/>
      <c r="BA5" s="378"/>
      <c r="BB5" s="378"/>
      <c r="BC5" s="378"/>
      <c r="BD5" s="378"/>
      <c r="BE5" s="378"/>
      <c r="BF5" s="378"/>
      <c r="BG5" s="378"/>
      <c r="BH5" s="379"/>
      <c r="BI5" s="378"/>
      <c r="BJ5" s="378"/>
      <c r="BK5" s="378"/>
      <c r="BL5" s="378"/>
      <c r="BM5" s="378"/>
      <c r="BN5" s="378"/>
      <c r="BO5" s="378"/>
      <c r="BP5" s="378"/>
      <c r="BQ5" s="378"/>
      <c r="BR5" s="378"/>
      <c r="BS5" s="378"/>
      <c r="BT5" s="378"/>
      <c r="BU5" s="378"/>
      <c r="BV5" s="378"/>
      <c r="BW5" s="378"/>
      <c r="BX5" s="378"/>
      <c r="BY5" s="378"/>
      <c r="BZ5" s="378"/>
      <c r="CA5" s="378"/>
      <c r="CB5" s="378"/>
      <c r="CC5" s="378"/>
      <c r="CD5" s="378"/>
      <c r="CE5" s="378"/>
      <c r="CF5" s="379"/>
      <c r="CG5" s="378"/>
      <c r="CH5" s="378"/>
      <c r="CI5" s="378"/>
      <c r="CJ5" s="378"/>
      <c r="CK5" s="378"/>
      <c r="CL5" s="378"/>
      <c r="CM5" s="378"/>
      <c r="CN5" s="378"/>
      <c r="CO5" s="378"/>
      <c r="CP5" s="378"/>
      <c r="CQ5" s="378"/>
      <c r="CR5" s="378"/>
      <c r="CS5" s="378"/>
      <c r="CT5" s="378"/>
      <c r="CU5" s="378"/>
      <c r="CV5" s="378"/>
      <c r="CW5" s="378"/>
      <c r="CX5" s="378"/>
      <c r="CY5" s="378"/>
      <c r="CZ5" s="378"/>
      <c r="DA5" s="378"/>
      <c r="DB5" s="378"/>
      <c r="DC5" s="378"/>
      <c r="DD5" s="379"/>
      <c r="DE5" s="378"/>
      <c r="DF5" s="378"/>
      <c r="DG5" s="378"/>
      <c r="DH5" s="378"/>
      <c r="DI5" s="378"/>
      <c r="DJ5" s="378"/>
      <c r="DK5" s="378"/>
      <c r="DL5" s="378"/>
      <c r="DM5" s="378"/>
      <c r="DN5" s="378"/>
      <c r="DO5" s="378"/>
      <c r="DP5" s="378"/>
      <c r="DQ5" s="378"/>
      <c r="DR5" s="378"/>
      <c r="DS5" s="378"/>
      <c r="DT5" s="378"/>
      <c r="DU5" s="378"/>
      <c r="DV5" s="378"/>
      <c r="DW5" s="378"/>
      <c r="DX5" s="378"/>
      <c r="DY5" s="378"/>
      <c r="DZ5" s="378"/>
      <c r="EA5" s="378"/>
      <c r="EB5" s="379"/>
      <c r="EC5" s="378"/>
      <c r="ED5" s="378"/>
      <c r="EE5" s="378"/>
      <c r="EF5" s="378"/>
      <c r="EG5" s="378"/>
      <c r="EH5" s="378"/>
      <c r="EI5" s="378"/>
      <c r="EJ5" s="378"/>
      <c r="EK5" s="378"/>
      <c r="EL5" s="378"/>
      <c r="EM5" s="378"/>
      <c r="EN5" s="378"/>
      <c r="EO5" s="378"/>
      <c r="EP5" s="378"/>
      <c r="EQ5" s="378"/>
      <c r="ER5" s="378"/>
      <c r="ES5" s="378"/>
      <c r="ET5" s="378"/>
      <c r="EU5" s="378"/>
      <c r="EV5" s="378"/>
      <c r="EW5" s="378"/>
      <c r="EX5" s="378"/>
      <c r="EY5" s="378"/>
      <c r="EZ5" s="379"/>
      <c r="FA5" s="378"/>
      <c r="FB5" s="378"/>
      <c r="FC5" s="378"/>
      <c r="FD5" s="378"/>
      <c r="FE5" s="378"/>
      <c r="FF5" s="378"/>
      <c r="FG5" s="378"/>
      <c r="FH5" s="378"/>
      <c r="FI5" s="378"/>
      <c r="FJ5" s="378"/>
      <c r="FK5" s="378"/>
      <c r="FL5" s="378"/>
      <c r="FM5" s="378"/>
      <c r="FN5" s="378"/>
      <c r="FO5" s="378"/>
      <c r="FP5" s="378"/>
      <c r="FQ5" s="378"/>
      <c r="FR5" s="378"/>
      <c r="FS5" s="378"/>
      <c r="FT5" s="378"/>
      <c r="FU5" s="378"/>
      <c r="FV5" s="378"/>
      <c r="FW5" s="378"/>
      <c r="FX5" s="379"/>
      <c r="FY5" s="378"/>
      <c r="FZ5" s="378"/>
      <c r="GA5" s="378"/>
      <c r="GB5" s="378"/>
      <c r="GC5" s="378"/>
      <c r="GD5" s="378"/>
      <c r="GE5" s="378"/>
      <c r="GF5" s="378"/>
      <c r="GG5" s="378"/>
      <c r="GH5" s="378"/>
      <c r="GI5" s="378"/>
      <c r="GJ5" s="378"/>
      <c r="GK5" s="378"/>
      <c r="GL5" s="378"/>
      <c r="GM5" s="378"/>
      <c r="GN5" s="378"/>
      <c r="GO5" s="378"/>
      <c r="GP5" s="378"/>
      <c r="GQ5" s="378"/>
      <c r="GR5" s="378"/>
      <c r="GS5" s="378"/>
      <c r="GT5" s="378"/>
      <c r="GU5" s="378"/>
      <c r="GV5" s="379"/>
      <c r="GW5" s="378"/>
      <c r="GX5" s="378"/>
      <c r="GY5" s="378"/>
      <c r="GZ5" s="378"/>
      <c r="HA5" s="378"/>
      <c r="HB5" s="378"/>
      <c r="HC5" s="378"/>
      <c r="HD5" s="378"/>
      <c r="HE5" s="378"/>
      <c r="HF5" s="378"/>
      <c r="HG5" s="378"/>
      <c r="HH5" s="378"/>
      <c r="HI5" s="378"/>
      <c r="HJ5" s="378"/>
      <c r="HK5" s="378"/>
      <c r="HL5" s="378"/>
    </row>
    <row r="6" spans="1:220" ht="11.25" customHeight="1" x14ac:dyDescent="0.2">
      <c r="A6" s="249"/>
      <c r="B6" s="249"/>
      <c r="C6" s="249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49"/>
      <c r="Q6" s="249"/>
      <c r="R6" s="249"/>
      <c r="S6" s="249"/>
      <c r="T6" s="249"/>
      <c r="U6" s="249"/>
      <c r="V6" s="249"/>
      <c r="W6" s="249"/>
      <c r="X6" s="249"/>
      <c r="Y6" s="249"/>
      <c r="Z6" s="249"/>
      <c r="AA6" s="249"/>
      <c r="AB6" s="249"/>
      <c r="AC6" s="249"/>
      <c r="AD6" s="249"/>
      <c r="AE6" s="249"/>
      <c r="AF6" s="249"/>
      <c r="AG6" s="249"/>
      <c r="AH6" s="249"/>
      <c r="AI6" s="249"/>
      <c r="AJ6" s="250"/>
      <c r="AK6" s="249"/>
      <c r="AL6" s="249"/>
      <c r="AM6" s="249"/>
      <c r="AN6" s="249"/>
      <c r="AO6" s="249"/>
      <c r="AP6" s="249"/>
      <c r="AQ6" s="249"/>
      <c r="AR6" s="249"/>
      <c r="AS6" s="249"/>
      <c r="AT6" s="249"/>
      <c r="AU6" s="249"/>
      <c r="AV6" s="249"/>
      <c r="AW6" s="249"/>
      <c r="AX6" s="249"/>
      <c r="AY6" s="249"/>
      <c r="AZ6" s="249"/>
      <c r="BA6" s="249"/>
      <c r="BB6" s="249"/>
      <c r="BC6" s="249"/>
      <c r="BD6" s="249"/>
      <c r="BE6" s="249"/>
      <c r="BF6" s="249"/>
      <c r="BG6" s="249"/>
      <c r="BH6" s="250"/>
      <c r="BI6" s="249"/>
      <c r="BJ6" s="249"/>
      <c r="BK6" s="249"/>
      <c r="BL6" s="249"/>
      <c r="BM6" s="249"/>
      <c r="BN6" s="249"/>
      <c r="BO6" s="249"/>
      <c r="BP6" s="249"/>
      <c r="BQ6" s="249"/>
      <c r="BR6" s="249"/>
      <c r="BS6" s="249"/>
      <c r="BT6" s="249"/>
      <c r="BU6" s="249"/>
      <c r="BV6" s="249"/>
      <c r="BW6" s="249"/>
      <c r="BX6" s="249"/>
      <c r="BY6" s="249"/>
      <c r="BZ6" s="249"/>
      <c r="CA6" s="249"/>
      <c r="CB6" s="249"/>
      <c r="CC6" s="249"/>
      <c r="CD6" s="249"/>
      <c r="CE6" s="249"/>
      <c r="CF6" s="250"/>
      <c r="CG6" s="249"/>
      <c r="CH6" s="249"/>
      <c r="CI6" s="249"/>
      <c r="CJ6" s="249"/>
      <c r="CK6" s="249"/>
      <c r="CL6" s="249"/>
      <c r="CM6" s="249"/>
      <c r="CN6" s="249"/>
      <c r="CO6" s="249"/>
      <c r="CP6" s="249"/>
      <c r="CQ6" s="249"/>
      <c r="CR6" s="249"/>
      <c r="CS6" s="249"/>
      <c r="CT6" s="249"/>
      <c r="CU6" s="249"/>
      <c r="CV6" s="249"/>
      <c r="CW6" s="249"/>
      <c r="CX6" s="249"/>
      <c r="CY6" s="249"/>
      <c r="CZ6" s="249"/>
      <c r="DA6" s="249"/>
      <c r="DB6" s="249"/>
      <c r="DC6" s="249"/>
      <c r="DD6" s="250"/>
      <c r="DE6" s="249"/>
      <c r="DF6" s="249"/>
      <c r="DG6" s="249"/>
      <c r="DH6" s="249"/>
      <c r="DI6" s="249"/>
      <c r="DJ6" s="249"/>
      <c r="DK6" s="249"/>
      <c r="DL6" s="249"/>
      <c r="DM6" s="249"/>
      <c r="DN6" s="249"/>
      <c r="DO6" s="249"/>
      <c r="DP6" s="249"/>
      <c r="DQ6" s="249"/>
      <c r="DR6" s="249"/>
      <c r="DS6" s="249"/>
      <c r="DT6" s="249"/>
      <c r="DU6" s="249"/>
      <c r="DV6" s="249"/>
      <c r="DW6" s="249"/>
      <c r="DX6" s="249"/>
      <c r="DY6" s="249"/>
      <c r="DZ6" s="249"/>
      <c r="EA6" s="249"/>
      <c r="EB6" s="250"/>
      <c r="EC6" s="249"/>
      <c r="ED6" s="249"/>
      <c r="EE6" s="249"/>
      <c r="EF6" s="249"/>
      <c r="EG6" s="249"/>
      <c r="EH6" s="249"/>
      <c r="EI6" s="249"/>
      <c r="EJ6" s="249"/>
      <c r="EK6" s="249"/>
      <c r="EL6" s="249"/>
      <c r="EM6" s="249"/>
      <c r="EN6" s="249"/>
      <c r="EO6" s="249"/>
      <c r="EP6" s="249"/>
      <c r="EQ6" s="249"/>
      <c r="ER6" s="249"/>
      <c r="ES6" s="249"/>
      <c r="ET6" s="249"/>
      <c r="EU6" s="249"/>
      <c r="EV6" s="249"/>
      <c r="EW6" s="249"/>
      <c r="EX6" s="249"/>
      <c r="EY6" s="249"/>
      <c r="EZ6" s="250"/>
      <c r="FA6" s="249"/>
      <c r="FB6" s="249"/>
      <c r="FC6" s="249"/>
      <c r="FD6" s="249"/>
      <c r="FE6" s="249"/>
      <c r="FF6" s="249"/>
      <c r="FG6" s="249"/>
      <c r="FH6" s="249"/>
      <c r="FI6" s="249"/>
      <c r="FJ6" s="249"/>
      <c r="FK6" s="249"/>
      <c r="FL6" s="249"/>
      <c r="FM6" s="249"/>
      <c r="FN6" s="249"/>
      <c r="FO6" s="249"/>
      <c r="FP6" s="249"/>
      <c r="FQ6" s="249"/>
      <c r="FR6" s="249"/>
      <c r="FS6" s="249"/>
      <c r="FT6" s="249"/>
      <c r="FU6" s="249"/>
      <c r="FV6" s="249"/>
      <c r="FW6" s="249"/>
      <c r="FX6" s="250"/>
      <c r="FY6" s="249"/>
      <c r="FZ6" s="249"/>
      <c r="GA6" s="249"/>
      <c r="GB6" s="249"/>
      <c r="GC6" s="249"/>
      <c r="GD6" s="249"/>
      <c r="GE6" s="249"/>
      <c r="GF6" s="249"/>
      <c r="GG6" s="249"/>
      <c r="GH6" s="249"/>
      <c r="GI6" s="249"/>
      <c r="GJ6" s="249"/>
      <c r="GK6" s="249"/>
      <c r="GL6" s="249"/>
      <c r="GM6" s="249"/>
      <c r="GN6" s="249"/>
      <c r="GO6" s="249"/>
      <c r="GP6" s="249"/>
      <c r="GQ6" s="249"/>
      <c r="GR6" s="249"/>
      <c r="GS6" s="249"/>
      <c r="GT6" s="249"/>
      <c r="GU6" s="249"/>
      <c r="GV6" s="250"/>
      <c r="GW6" s="249"/>
      <c r="GX6" s="249"/>
      <c r="GY6" s="249"/>
      <c r="GZ6" s="249"/>
      <c r="HA6" s="249"/>
      <c r="HB6" s="249"/>
      <c r="HC6" s="249"/>
      <c r="HD6" s="249"/>
      <c r="HE6" s="249"/>
      <c r="HF6" s="249"/>
      <c r="HG6" s="249"/>
      <c r="HH6" s="249"/>
      <c r="HI6" s="249"/>
      <c r="HJ6" s="249"/>
      <c r="HK6" s="249"/>
      <c r="HL6" s="249"/>
    </row>
    <row r="7" spans="1:220" ht="11.25" customHeight="1" x14ac:dyDescent="0.2">
      <c r="A7" s="389" t="s">
        <v>1</v>
      </c>
      <c r="B7" s="389"/>
      <c r="C7" s="389"/>
      <c r="D7" s="389"/>
      <c r="E7" s="389"/>
      <c r="F7" s="389"/>
      <c r="G7" s="389" t="s">
        <v>2</v>
      </c>
      <c r="H7" s="2"/>
      <c r="I7" s="380" t="s">
        <v>3</v>
      </c>
      <c r="J7" s="380"/>
      <c r="K7" s="380"/>
      <c r="L7" s="380" t="s">
        <v>4</v>
      </c>
      <c r="M7" s="380"/>
      <c r="N7" s="380"/>
      <c r="O7" s="380"/>
      <c r="P7" s="380"/>
      <c r="Q7" s="380"/>
      <c r="R7" s="380" t="s">
        <v>5</v>
      </c>
      <c r="S7" s="380"/>
      <c r="T7" s="380"/>
      <c r="U7" s="380"/>
      <c r="V7" s="380"/>
      <c r="W7" s="380"/>
      <c r="X7" s="380" t="s">
        <v>6</v>
      </c>
      <c r="Y7" s="380"/>
      <c r="Z7" s="380"/>
      <c r="AA7" s="380"/>
      <c r="AB7" s="380"/>
      <c r="AC7" s="380"/>
      <c r="AD7" s="381" t="s">
        <v>7</v>
      </c>
    </row>
    <row r="8" spans="1:220" ht="11.25" customHeight="1" x14ac:dyDescent="0.2">
      <c r="A8" s="389"/>
      <c r="B8" s="389"/>
      <c r="C8" s="389"/>
      <c r="D8" s="389"/>
      <c r="E8" s="389"/>
      <c r="F8" s="389"/>
      <c r="G8" s="389"/>
      <c r="H8" s="2"/>
      <c r="I8" s="380" t="s">
        <v>8</v>
      </c>
      <c r="J8" s="380" t="s">
        <v>9</v>
      </c>
      <c r="K8" s="381" t="s">
        <v>10</v>
      </c>
      <c r="L8" s="380" t="s">
        <v>8</v>
      </c>
      <c r="M8" s="380"/>
      <c r="N8" s="380" t="s">
        <v>9</v>
      </c>
      <c r="O8" s="380"/>
      <c r="P8" s="381" t="s">
        <v>10</v>
      </c>
      <c r="Q8" s="381"/>
      <c r="R8" s="380" t="s">
        <v>8</v>
      </c>
      <c r="S8" s="380"/>
      <c r="T8" s="380" t="s">
        <v>9</v>
      </c>
      <c r="U8" s="380"/>
      <c r="V8" s="381" t="s">
        <v>10</v>
      </c>
      <c r="W8" s="381"/>
      <c r="X8" s="380" t="s">
        <v>8</v>
      </c>
      <c r="Y8" s="380"/>
      <c r="Z8" s="380" t="s">
        <v>9</v>
      </c>
      <c r="AA8" s="380"/>
      <c r="AB8" s="381" t="s">
        <v>10</v>
      </c>
      <c r="AC8" s="381"/>
      <c r="AD8" s="381"/>
    </row>
    <row r="9" spans="1:220" ht="11.25" customHeight="1" x14ac:dyDescent="0.2">
      <c r="A9" s="390"/>
      <c r="B9" s="390"/>
      <c r="C9" s="390"/>
      <c r="D9" s="390"/>
      <c r="E9" s="390"/>
      <c r="F9" s="390"/>
      <c r="G9" s="389"/>
      <c r="H9" s="2"/>
      <c r="I9" s="380"/>
      <c r="J9" s="380"/>
      <c r="K9" s="381"/>
      <c r="L9" s="3" t="s">
        <v>11</v>
      </c>
      <c r="M9" s="4" t="s">
        <v>12</v>
      </c>
      <c r="N9" s="3" t="s">
        <v>11</v>
      </c>
      <c r="O9" s="4" t="s">
        <v>12</v>
      </c>
      <c r="P9" s="3" t="s">
        <v>11</v>
      </c>
      <c r="Q9" s="4" t="s">
        <v>12</v>
      </c>
      <c r="R9" s="3" t="s">
        <v>11</v>
      </c>
      <c r="S9" s="4" t="s">
        <v>12</v>
      </c>
      <c r="T9" s="3" t="s">
        <v>11</v>
      </c>
      <c r="U9" s="4" t="s">
        <v>12</v>
      </c>
      <c r="V9" s="3" t="s">
        <v>11</v>
      </c>
      <c r="W9" s="4" t="s">
        <v>12</v>
      </c>
      <c r="X9" s="3" t="s">
        <v>11</v>
      </c>
      <c r="Y9" s="4" t="s">
        <v>12</v>
      </c>
      <c r="Z9" s="3" t="s">
        <v>11</v>
      </c>
      <c r="AA9" s="4" t="s">
        <v>12</v>
      </c>
      <c r="AB9" s="3" t="s">
        <v>11</v>
      </c>
      <c r="AC9" s="4" t="s">
        <v>12</v>
      </c>
      <c r="AD9" s="381"/>
    </row>
    <row r="10" spans="1:220" ht="11.25" customHeight="1" x14ac:dyDescent="0.2">
      <c r="A10" s="382" t="s">
        <v>13</v>
      </c>
      <c r="B10" s="383"/>
      <c r="C10" s="383"/>
      <c r="D10" s="383"/>
      <c r="E10" s="383"/>
      <c r="F10" s="384"/>
      <c r="G10" s="349" t="s">
        <v>14</v>
      </c>
      <c r="H10" s="5"/>
      <c r="I10" s="295">
        <f xml:space="preserve"> (I11 + I14 + I16)</f>
        <v>0</v>
      </c>
      <c r="J10" s="295">
        <f xml:space="preserve"> (J11 + J14 + J16)</f>
        <v>0</v>
      </c>
      <c r="K10" s="295">
        <f>I10+J10</f>
        <v>0</v>
      </c>
      <c r="L10" s="295">
        <f xml:space="preserve"> (L11 + L14 + L16)</f>
        <v>0</v>
      </c>
      <c r="M10" s="295">
        <f xml:space="preserve"> (M11 + M14 + M16)</f>
        <v>0</v>
      </c>
      <c r="N10" s="295">
        <f xml:space="preserve"> (N11 + N14 + N16)</f>
        <v>0</v>
      </c>
      <c r="O10" s="295">
        <f xml:space="preserve"> (O11 + O14 + O16)</f>
        <v>0</v>
      </c>
      <c r="P10" s="295">
        <f>L10+N10</f>
        <v>0</v>
      </c>
      <c r="Q10" s="295">
        <f>M10+O10</f>
        <v>0</v>
      </c>
      <c r="R10" s="295">
        <f xml:space="preserve"> (R11 + R14 + R16)</f>
        <v>0</v>
      </c>
      <c r="S10" s="295">
        <f xml:space="preserve"> (S11 + S14 + S16)</f>
        <v>0</v>
      </c>
      <c r="T10" s="295">
        <f xml:space="preserve"> (T11 + T14 + T16)</f>
        <v>0</v>
      </c>
      <c r="U10" s="295">
        <f xml:space="preserve"> (U11 + U14 + U16)</f>
        <v>0</v>
      </c>
      <c r="V10" s="295">
        <f>R10+T10</f>
        <v>0</v>
      </c>
      <c r="W10" s="295">
        <f>S10+U10</f>
        <v>0</v>
      </c>
      <c r="X10" s="295">
        <f xml:space="preserve"> (X11 + X14 + X16)</f>
        <v>0</v>
      </c>
      <c r="Y10" s="295">
        <f xml:space="preserve"> (Y11 + Y14 + Y16)</f>
        <v>0</v>
      </c>
      <c r="Z10" s="295">
        <f xml:space="preserve"> (Z11 + Z14 + Z16)</f>
        <v>0</v>
      </c>
      <c r="AA10" s="295">
        <f xml:space="preserve"> (AA11 + AA14 + AA16)</f>
        <v>0</v>
      </c>
      <c r="AB10" s="295">
        <f>X10+Z10</f>
        <v>0</v>
      </c>
      <c r="AC10" s="295">
        <f>Y10+AA10</f>
        <v>0</v>
      </c>
      <c r="AD10" s="295">
        <f t="shared" ref="AD10:AD25" si="0">K10+Q10+W10+AC10</f>
        <v>0</v>
      </c>
    </row>
    <row r="11" spans="1:220" ht="11.25" customHeight="1" x14ac:dyDescent="0.2">
      <c r="A11" s="6" t="s">
        <v>15</v>
      </c>
      <c r="B11" s="385" t="s">
        <v>16</v>
      </c>
      <c r="C11" s="385"/>
      <c r="D11" s="385"/>
      <c r="E11" s="385"/>
      <c r="F11" s="386"/>
      <c r="G11" s="349" t="s">
        <v>17</v>
      </c>
      <c r="H11" s="5"/>
      <c r="I11" s="295">
        <f>+I12 + I13</f>
        <v>0</v>
      </c>
      <c r="J11" s="295">
        <f>+J12 + J13</f>
        <v>0</v>
      </c>
      <c r="K11" s="295">
        <f t="shared" ref="K11:K25" si="1">I11+J11</f>
        <v>0</v>
      </c>
      <c r="L11" s="295">
        <f>+L12 + L13</f>
        <v>0</v>
      </c>
      <c r="M11" s="295">
        <f>+M12 + M13</f>
        <v>0</v>
      </c>
      <c r="N11" s="295">
        <f>+N12 + N13</f>
        <v>0</v>
      </c>
      <c r="O11" s="295">
        <f>+O12 + O13</f>
        <v>0</v>
      </c>
      <c r="P11" s="295">
        <f t="shared" ref="P11:P25" si="2">L11+N11</f>
        <v>0</v>
      </c>
      <c r="Q11" s="295">
        <f t="shared" ref="Q11:Q25" si="3">M11+O11</f>
        <v>0</v>
      </c>
      <c r="R11" s="295">
        <f>+R12 + R13</f>
        <v>0</v>
      </c>
      <c r="S11" s="295">
        <f>+S12 + S13</f>
        <v>0</v>
      </c>
      <c r="T11" s="295">
        <f>+T12 + T13</f>
        <v>0</v>
      </c>
      <c r="U11" s="295">
        <f>+U12 + U13</f>
        <v>0</v>
      </c>
      <c r="V11" s="295">
        <f t="shared" ref="V11:V25" si="4">R11+T11</f>
        <v>0</v>
      </c>
      <c r="W11" s="295">
        <f t="shared" ref="W11:W25" si="5">S11+U11</f>
        <v>0</v>
      </c>
      <c r="X11" s="295">
        <f>+X12 + X13</f>
        <v>0</v>
      </c>
      <c r="Y11" s="295">
        <f>+Y12 + Y13</f>
        <v>0</v>
      </c>
      <c r="Z11" s="295">
        <f>+Z12 + Z13</f>
        <v>0</v>
      </c>
      <c r="AA11" s="295">
        <f>+AA12 + AA13</f>
        <v>0</v>
      </c>
      <c r="AB11" s="295">
        <f t="shared" ref="AB11:AB25" si="6">X11+Z11</f>
        <v>0</v>
      </c>
      <c r="AC11" s="295">
        <f t="shared" ref="AC11:AC25" si="7">Y11+AA11</f>
        <v>0</v>
      </c>
      <c r="AD11" s="295">
        <f t="shared" si="0"/>
        <v>0</v>
      </c>
    </row>
    <row r="12" spans="1:220" ht="11.25" customHeight="1" x14ac:dyDescent="0.2">
      <c r="A12" s="7"/>
      <c r="B12" s="8" t="s">
        <v>18</v>
      </c>
      <c r="C12" s="387" t="s">
        <v>19</v>
      </c>
      <c r="D12" s="387"/>
      <c r="E12" s="387"/>
      <c r="F12" s="388"/>
      <c r="G12" s="349" t="s">
        <v>20</v>
      </c>
      <c r="H12" s="5"/>
      <c r="I12" s="296"/>
      <c r="J12" s="296"/>
      <c r="K12" s="295">
        <f t="shared" si="1"/>
        <v>0</v>
      </c>
      <c r="L12" s="296"/>
      <c r="M12" s="296"/>
      <c r="N12" s="296"/>
      <c r="O12" s="296"/>
      <c r="P12" s="295">
        <f t="shared" si="2"/>
        <v>0</v>
      </c>
      <c r="Q12" s="295">
        <f t="shared" si="3"/>
        <v>0</v>
      </c>
      <c r="R12" s="296"/>
      <c r="S12" s="296"/>
      <c r="T12" s="296"/>
      <c r="U12" s="296"/>
      <c r="V12" s="295">
        <f t="shared" si="4"/>
        <v>0</v>
      </c>
      <c r="W12" s="295">
        <f t="shared" si="5"/>
        <v>0</v>
      </c>
      <c r="X12" s="296"/>
      <c r="Y12" s="296"/>
      <c r="Z12" s="296"/>
      <c r="AA12" s="296"/>
      <c r="AB12" s="295">
        <f t="shared" si="6"/>
        <v>0</v>
      </c>
      <c r="AC12" s="295">
        <f t="shared" si="7"/>
        <v>0</v>
      </c>
      <c r="AD12" s="295">
        <f t="shared" si="0"/>
        <v>0</v>
      </c>
    </row>
    <row r="13" spans="1:220" ht="11.25" customHeight="1" x14ac:dyDescent="0.2">
      <c r="A13" s="6"/>
      <c r="B13" s="9" t="s">
        <v>21</v>
      </c>
      <c r="C13" s="385" t="s">
        <v>22</v>
      </c>
      <c r="D13" s="385"/>
      <c r="E13" s="385"/>
      <c r="F13" s="386"/>
      <c r="G13" s="349" t="s">
        <v>23</v>
      </c>
      <c r="H13" s="5"/>
      <c r="I13" s="296"/>
      <c r="J13" s="296"/>
      <c r="K13" s="295">
        <f t="shared" si="1"/>
        <v>0</v>
      </c>
      <c r="L13" s="296"/>
      <c r="M13" s="296"/>
      <c r="N13" s="296"/>
      <c r="O13" s="296"/>
      <c r="P13" s="295">
        <f t="shared" si="2"/>
        <v>0</v>
      </c>
      <c r="Q13" s="295">
        <f t="shared" si="3"/>
        <v>0</v>
      </c>
      <c r="R13" s="296"/>
      <c r="S13" s="296"/>
      <c r="T13" s="296"/>
      <c r="U13" s="296"/>
      <c r="V13" s="295">
        <f t="shared" si="4"/>
        <v>0</v>
      </c>
      <c r="W13" s="295">
        <f t="shared" si="5"/>
        <v>0</v>
      </c>
      <c r="X13" s="296"/>
      <c r="Y13" s="296"/>
      <c r="Z13" s="296"/>
      <c r="AA13" s="296"/>
      <c r="AB13" s="295">
        <f t="shared" si="6"/>
        <v>0</v>
      </c>
      <c r="AC13" s="295">
        <f t="shared" si="7"/>
        <v>0</v>
      </c>
      <c r="AD13" s="295">
        <f t="shared" si="0"/>
        <v>0</v>
      </c>
    </row>
    <row r="14" spans="1:220" ht="11.25" customHeight="1" x14ac:dyDescent="0.2">
      <c r="A14" s="7" t="s">
        <v>24</v>
      </c>
      <c r="B14" s="387" t="s">
        <v>25</v>
      </c>
      <c r="C14" s="387"/>
      <c r="D14" s="387"/>
      <c r="E14" s="387"/>
      <c r="F14" s="388"/>
      <c r="G14" s="349" t="s">
        <v>26</v>
      </c>
      <c r="H14" s="5"/>
      <c r="I14" s="295">
        <f>+I15</f>
        <v>0</v>
      </c>
      <c r="J14" s="295">
        <f>+J15</f>
        <v>0</v>
      </c>
      <c r="K14" s="295">
        <f t="shared" si="1"/>
        <v>0</v>
      </c>
      <c r="L14" s="295">
        <f>+L15</f>
        <v>0</v>
      </c>
      <c r="M14" s="295">
        <f>+M15</f>
        <v>0</v>
      </c>
      <c r="N14" s="295">
        <f>+N15</f>
        <v>0</v>
      </c>
      <c r="O14" s="295">
        <f>+O15</f>
        <v>0</v>
      </c>
      <c r="P14" s="295">
        <f t="shared" si="2"/>
        <v>0</v>
      </c>
      <c r="Q14" s="295">
        <f t="shared" si="3"/>
        <v>0</v>
      </c>
      <c r="R14" s="295">
        <f>+R15</f>
        <v>0</v>
      </c>
      <c r="S14" s="295">
        <f>+S15</f>
        <v>0</v>
      </c>
      <c r="T14" s="295">
        <f>+T15</f>
        <v>0</v>
      </c>
      <c r="U14" s="295">
        <f>+U15</f>
        <v>0</v>
      </c>
      <c r="V14" s="295">
        <f t="shared" si="4"/>
        <v>0</v>
      </c>
      <c r="W14" s="295">
        <f t="shared" si="5"/>
        <v>0</v>
      </c>
      <c r="X14" s="295">
        <f>+X15</f>
        <v>0</v>
      </c>
      <c r="Y14" s="295">
        <f>+Y15</f>
        <v>0</v>
      </c>
      <c r="Z14" s="295">
        <f>+Z15</f>
        <v>0</v>
      </c>
      <c r="AA14" s="295">
        <f>+AA15</f>
        <v>0</v>
      </c>
      <c r="AB14" s="295">
        <f t="shared" si="6"/>
        <v>0</v>
      </c>
      <c r="AC14" s="295">
        <f t="shared" si="7"/>
        <v>0</v>
      </c>
      <c r="AD14" s="295">
        <f t="shared" si="0"/>
        <v>0</v>
      </c>
    </row>
    <row r="15" spans="1:220" ht="11.25" customHeight="1" x14ac:dyDescent="0.2">
      <c r="A15" s="6"/>
      <c r="B15" s="9" t="s">
        <v>18</v>
      </c>
      <c r="C15" s="385" t="s">
        <v>27</v>
      </c>
      <c r="D15" s="385"/>
      <c r="E15" s="385"/>
      <c r="F15" s="386"/>
      <c r="G15" s="349" t="s">
        <v>28</v>
      </c>
      <c r="H15" s="5"/>
      <c r="I15" s="296"/>
      <c r="J15" s="296"/>
      <c r="K15" s="295">
        <f t="shared" si="1"/>
        <v>0</v>
      </c>
      <c r="L15" s="296"/>
      <c r="M15" s="296"/>
      <c r="N15" s="296"/>
      <c r="O15" s="296"/>
      <c r="P15" s="295">
        <f t="shared" si="2"/>
        <v>0</v>
      </c>
      <c r="Q15" s="295">
        <f t="shared" si="3"/>
        <v>0</v>
      </c>
      <c r="R15" s="296"/>
      <c r="S15" s="296"/>
      <c r="T15" s="296"/>
      <c r="U15" s="296"/>
      <c r="V15" s="295">
        <f t="shared" si="4"/>
        <v>0</v>
      </c>
      <c r="W15" s="295">
        <f t="shared" si="5"/>
        <v>0</v>
      </c>
      <c r="X15" s="296"/>
      <c r="Y15" s="296"/>
      <c r="Z15" s="296"/>
      <c r="AA15" s="296"/>
      <c r="AB15" s="295">
        <f t="shared" si="6"/>
        <v>0</v>
      </c>
      <c r="AC15" s="295">
        <f t="shared" si="7"/>
        <v>0</v>
      </c>
      <c r="AD15" s="295">
        <f t="shared" si="0"/>
        <v>0</v>
      </c>
    </row>
    <row r="16" spans="1:220" ht="11.25" customHeight="1" x14ac:dyDescent="0.2">
      <c r="A16" s="7" t="s">
        <v>29</v>
      </c>
      <c r="B16" s="387" t="s">
        <v>30</v>
      </c>
      <c r="C16" s="387"/>
      <c r="D16" s="387"/>
      <c r="E16" s="387"/>
      <c r="F16" s="388"/>
      <c r="G16" s="349" t="s">
        <v>31</v>
      </c>
      <c r="H16" s="5"/>
      <c r="I16" s="295">
        <f>+I17</f>
        <v>0</v>
      </c>
      <c r="J16" s="295">
        <f>+J17</f>
        <v>0</v>
      </c>
      <c r="K16" s="295">
        <f t="shared" si="1"/>
        <v>0</v>
      </c>
      <c r="L16" s="295">
        <f>+L17</f>
        <v>0</v>
      </c>
      <c r="M16" s="295">
        <f>+M17</f>
        <v>0</v>
      </c>
      <c r="N16" s="295">
        <f>+N17</f>
        <v>0</v>
      </c>
      <c r="O16" s="295">
        <f>+O17</f>
        <v>0</v>
      </c>
      <c r="P16" s="295">
        <f t="shared" si="2"/>
        <v>0</v>
      </c>
      <c r="Q16" s="295">
        <f t="shared" si="3"/>
        <v>0</v>
      </c>
      <c r="R16" s="295">
        <f>+R17</f>
        <v>0</v>
      </c>
      <c r="S16" s="295">
        <f>+S17</f>
        <v>0</v>
      </c>
      <c r="T16" s="295">
        <f>+T17</f>
        <v>0</v>
      </c>
      <c r="U16" s="295">
        <f>+U17</f>
        <v>0</v>
      </c>
      <c r="V16" s="295">
        <f t="shared" si="4"/>
        <v>0</v>
      </c>
      <c r="W16" s="295">
        <f t="shared" si="5"/>
        <v>0</v>
      </c>
      <c r="X16" s="295">
        <f>+X17</f>
        <v>0</v>
      </c>
      <c r="Y16" s="295">
        <f>+Y17</f>
        <v>0</v>
      </c>
      <c r="Z16" s="295">
        <f>+Z17</f>
        <v>0</v>
      </c>
      <c r="AA16" s="295">
        <f>+AA17</f>
        <v>0</v>
      </c>
      <c r="AB16" s="295">
        <f t="shared" si="6"/>
        <v>0</v>
      </c>
      <c r="AC16" s="295">
        <f t="shared" si="7"/>
        <v>0</v>
      </c>
      <c r="AD16" s="295">
        <f t="shared" si="0"/>
        <v>0</v>
      </c>
    </row>
    <row r="17" spans="1:30" ht="11.25" customHeight="1" x14ac:dyDescent="0.2">
      <c r="A17" s="6"/>
      <c r="B17" s="9" t="s">
        <v>18</v>
      </c>
      <c r="C17" s="385" t="s">
        <v>27</v>
      </c>
      <c r="D17" s="385"/>
      <c r="E17" s="385"/>
      <c r="F17" s="386"/>
      <c r="G17" s="349" t="s">
        <v>32</v>
      </c>
      <c r="H17" s="5"/>
      <c r="I17" s="296"/>
      <c r="J17" s="296"/>
      <c r="K17" s="295">
        <f t="shared" si="1"/>
        <v>0</v>
      </c>
      <c r="L17" s="296"/>
      <c r="M17" s="296"/>
      <c r="N17" s="296"/>
      <c r="O17" s="296"/>
      <c r="P17" s="295">
        <f t="shared" si="2"/>
        <v>0</v>
      </c>
      <c r="Q17" s="295">
        <f t="shared" si="3"/>
        <v>0</v>
      </c>
      <c r="R17" s="296"/>
      <c r="S17" s="296"/>
      <c r="T17" s="296"/>
      <c r="U17" s="296"/>
      <c r="V17" s="295">
        <f t="shared" si="4"/>
        <v>0</v>
      </c>
      <c r="W17" s="295">
        <f t="shared" si="5"/>
        <v>0</v>
      </c>
      <c r="X17" s="296"/>
      <c r="Y17" s="296"/>
      <c r="Z17" s="296"/>
      <c r="AA17" s="296"/>
      <c r="AB17" s="295">
        <f t="shared" si="6"/>
        <v>0</v>
      </c>
      <c r="AC17" s="295">
        <f t="shared" si="7"/>
        <v>0</v>
      </c>
      <c r="AD17" s="295">
        <f t="shared" si="0"/>
        <v>0</v>
      </c>
    </row>
    <row r="18" spans="1:30" ht="11.25" customHeight="1" x14ac:dyDescent="0.2">
      <c r="A18" s="391" t="s">
        <v>33</v>
      </c>
      <c r="B18" s="392"/>
      <c r="C18" s="392"/>
      <c r="D18" s="392"/>
      <c r="E18" s="392"/>
      <c r="F18" s="393"/>
      <c r="G18" s="349" t="s">
        <v>34</v>
      </c>
      <c r="H18" s="5"/>
      <c r="I18" s="295">
        <f>+I19 + I22</f>
        <v>0</v>
      </c>
      <c r="J18" s="295">
        <f>+J19 + J22</f>
        <v>0</v>
      </c>
      <c r="K18" s="295">
        <f t="shared" si="1"/>
        <v>0</v>
      </c>
      <c r="L18" s="295">
        <f>+L19 + L22</f>
        <v>0</v>
      </c>
      <c r="M18" s="295">
        <f>+M19 + M22</f>
        <v>0</v>
      </c>
      <c r="N18" s="295">
        <f>+N19 + N22</f>
        <v>0</v>
      </c>
      <c r="O18" s="295">
        <f>+O19 + O22</f>
        <v>0</v>
      </c>
      <c r="P18" s="295">
        <f t="shared" si="2"/>
        <v>0</v>
      </c>
      <c r="Q18" s="295">
        <f t="shared" si="3"/>
        <v>0</v>
      </c>
      <c r="R18" s="295">
        <f>+R19 + R22</f>
        <v>0</v>
      </c>
      <c r="S18" s="295">
        <f>+S19 + S22</f>
        <v>0</v>
      </c>
      <c r="T18" s="295">
        <f>+T19 + T22</f>
        <v>0</v>
      </c>
      <c r="U18" s="295">
        <f>+U19 + U22</f>
        <v>0</v>
      </c>
      <c r="V18" s="295">
        <f t="shared" si="4"/>
        <v>0</v>
      </c>
      <c r="W18" s="295">
        <f t="shared" si="5"/>
        <v>0</v>
      </c>
      <c r="X18" s="295">
        <f>+X19 + X22</f>
        <v>0</v>
      </c>
      <c r="Y18" s="295">
        <f>+Y19 + Y22</f>
        <v>0</v>
      </c>
      <c r="Z18" s="295">
        <f>+Z19 + Z22</f>
        <v>0</v>
      </c>
      <c r="AA18" s="295">
        <f>+AA19 + AA22</f>
        <v>0</v>
      </c>
      <c r="AB18" s="295">
        <f t="shared" si="6"/>
        <v>0</v>
      </c>
      <c r="AC18" s="295">
        <f t="shared" si="7"/>
        <v>0</v>
      </c>
      <c r="AD18" s="295">
        <f t="shared" si="0"/>
        <v>0</v>
      </c>
    </row>
    <row r="19" spans="1:30" ht="11.25" customHeight="1" x14ac:dyDescent="0.2">
      <c r="A19" s="6" t="s">
        <v>15</v>
      </c>
      <c r="B19" s="385" t="s">
        <v>35</v>
      </c>
      <c r="C19" s="385"/>
      <c r="D19" s="385"/>
      <c r="E19" s="385"/>
      <c r="F19" s="386"/>
      <c r="G19" s="349" t="s">
        <v>36</v>
      </c>
      <c r="H19" s="5"/>
      <c r="I19" s="295">
        <f>+I20 + I21</f>
        <v>0</v>
      </c>
      <c r="J19" s="295">
        <f>+J20 + J21</f>
        <v>0</v>
      </c>
      <c r="K19" s="295">
        <f t="shared" si="1"/>
        <v>0</v>
      </c>
      <c r="L19" s="295">
        <f>+L20 + L21</f>
        <v>0</v>
      </c>
      <c r="M19" s="295">
        <f>+M20 + M21</f>
        <v>0</v>
      </c>
      <c r="N19" s="295">
        <f>+N20 + N21</f>
        <v>0</v>
      </c>
      <c r="O19" s="295">
        <f>+O20 + O21</f>
        <v>0</v>
      </c>
      <c r="P19" s="295">
        <f t="shared" si="2"/>
        <v>0</v>
      </c>
      <c r="Q19" s="295">
        <f t="shared" si="3"/>
        <v>0</v>
      </c>
      <c r="R19" s="295">
        <f>+R20 + R21</f>
        <v>0</v>
      </c>
      <c r="S19" s="295">
        <f>+S20 + S21</f>
        <v>0</v>
      </c>
      <c r="T19" s="295">
        <f>+T20 + T21</f>
        <v>0</v>
      </c>
      <c r="U19" s="295">
        <f>+U20 + U21</f>
        <v>0</v>
      </c>
      <c r="V19" s="295">
        <f t="shared" si="4"/>
        <v>0</v>
      </c>
      <c r="W19" s="295">
        <f t="shared" si="5"/>
        <v>0</v>
      </c>
      <c r="X19" s="295">
        <f>+X20 + X21</f>
        <v>0</v>
      </c>
      <c r="Y19" s="295">
        <f>+Y20 + Y21</f>
        <v>0</v>
      </c>
      <c r="Z19" s="295">
        <f>+Z20 + Z21</f>
        <v>0</v>
      </c>
      <c r="AA19" s="295">
        <f>+AA20 + AA21</f>
        <v>0</v>
      </c>
      <c r="AB19" s="295">
        <f t="shared" si="6"/>
        <v>0</v>
      </c>
      <c r="AC19" s="295">
        <f t="shared" si="7"/>
        <v>0</v>
      </c>
      <c r="AD19" s="295">
        <f t="shared" si="0"/>
        <v>0</v>
      </c>
    </row>
    <row r="20" spans="1:30" ht="11.25" customHeight="1" x14ac:dyDescent="0.2">
      <c r="A20" s="7"/>
      <c r="B20" s="8" t="s">
        <v>18</v>
      </c>
      <c r="C20" s="387" t="s">
        <v>19</v>
      </c>
      <c r="D20" s="387"/>
      <c r="E20" s="387"/>
      <c r="F20" s="388"/>
      <c r="G20" s="349" t="s">
        <v>37</v>
      </c>
      <c r="H20" s="5"/>
      <c r="I20" s="296"/>
      <c r="J20" s="296"/>
      <c r="K20" s="295">
        <f t="shared" si="1"/>
        <v>0</v>
      </c>
      <c r="L20" s="296"/>
      <c r="M20" s="296"/>
      <c r="N20" s="296"/>
      <c r="O20" s="296"/>
      <c r="P20" s="295">
        <f t="shared" si="2"/>
        <v>0</v>
      </c>
      <c r="Q20" s="295">
        <f t="shared" si="3"/>
        <v>0</v>
      </c>
      <c r="R20" s="296"/>
      <c r="S20" s="296"/>
      <c r="T20" s="296"/>
      <c r="U20" s="296"/>
      <c r="V20" s="295">
        <f t="shared" si="4"/>
        <v>0</v>
      </c>
      <c r="W20" s="295">
        <f t="shared" si="5"/>
        <v>0</v>
      </c>
      <c r="X20" s="296"/>
      <c r="Y20" s="296"/>
      <c r="Z20" s="296"/>
      <c r="AA20" s="296"/>
      <c r="AB20" s="295">
        <f t="shared" si="6"/>
        <v>0</v>
      </c>
      <c r="AC20" s="295">
        <f t="shared" si="7"/>
        <v>0</v>
      </c>
      <c r="AD20" s="295">
        <f t="shared" si="0"/>
        <v>0</v>
      </c>
    </row>
    <row r="21" spans="1:30" ht="11.25" customHeight="1" x14ac:dyDescent="0.2">
      <c r="A21" s="6"/>
      <c r="B21" s="9" t="s">
        <v>21</v>
      </c>
      <c r="C21" s="385" t="s">
        <v>38</v>
      </c>
      <c r="D21" s="385"/>
      <c r="E21" s="385"/>
      <c r="F21" s="386"/>
      <c r="G21" s="349" t="s">
        <v>39</v>
      </c>
      <c r="H21" s="5"/>
      <c r="I21" s="296"/>
      <c r="J21" s="296"/>
      <c r="K21" s="295">
        <f t="shared" si="1"/>
        <v>0</v>
      </c>
      <c r="L21" s="296"/>
      <c r="M21" s="296"/>
      <c r="N21" s="296"/>
      <c r="O21" s="296"/>
      <c r="P21" s="295">
        <f t="shared" si="2"/>
        <v>0</v>
      </c>
      <c r="Q21" s="295">
        <f t="shared" si="3"/>
        <v>0</v>
      </c>
      <c r="R21" s="296"/>
      <c r="S21" s="296"/>
      <c r="T21" s="296"/>
      <c r="U21" s="296"/>
      <c r="V21" s="295">
        <f t="shared" si="4"/>
        <v>0</v>
      </c>
      <c r="W21" s="295">
        <f t="shared" si="5"/>
        <v>0</v>
      </c>
      <c r="X21" s="296"/>
      <c r="Y21" s="296"/>
      <c r="Z21" s="296"/>
      <c r="AA21" s="296"/>
      <c r="AB21" s="295">
        <f t="shared" si="6"/>
        <v>0</v>
      </c>
      <c r="AC21" s="295">
        <f t="shared" si="7"/>
        <v>0</v>
      </c>
      <c r="AD21" s="295">
        <f t="shared" si="0"/>
        <v>0</v>
      </c>
    </row>
    <row r="22" spans="1:30" ht="11.25" customHeight="1" x14ac:dyDescent="0.2">
      <c r="A22" s="7" t="s">
        <v>24</v>
      </c>
      <c r="B22" s="387" t="s">
        <v>40</v>
      </c>
      <c r="C22" s="387"/>
      <c r="D22" s="387"/>
      <c r="E22" s="387"/>
      <c r="F22" s="388"/>
      <c r="G22" s="349" t="s">
        <v>41</v>
      </c>
      <c r="H22" s="5"/>
      <c r="I22" s="295">
        <f>+I23</f>
        <v>0</v>
      </c>
      <c r="J22" s="295">
        <f>+J23</f>
        <v>0</v>
      </c>
      <c r="K22" s="295">
        <f t="shared" si="1"/>
        <v>0</v>
      </c>
      <c r="L22" s="295">
        <f>+L23</f>
        <v>0</v>
      </c>
      <c r="M22" s="295">
        <f>+M23</f>
        <v>0</v>
      </c>
      <c r="N22" s="295">
        <f>+N23</f>
        <v>0</v>
      </c>
      <c r="O22" s="295">
        <f>+O23</f>
        <v>0</v>
      </c>
      <c r="P22" s="295">
        <f t="shared" si="2"/>
        <v>0</v>
      </c>
      <c r="Q22" s="295">
        <f t="shared" si="3"/>
        <v>0</v>
      </c>
      <c r="R22" s="295">
        <f>+R23</f>
        <v>0</v>
      </c>
      <c r="S22" s="295">
        <f>+S23</f>
        <v>0</v>
      </c>
      <c r="T22" s="295">
        <f>+T23</f>
        <v>0</v>
      </c>
      <c r="U22" s="295">
        <f>+U23</f>
        <v>0</v>
      </c>
      <c r="V22" s="295">
        <f t="shared" si="4"/>
        <v>0</v>
      </c>
      <c r="W22" s="295">
        <f t="shared" si="5"/>
        <v>0</v>
      </c>
      <c r="X22" s="295">
        <f>+X23</f>
        <v>0</v>
      </c>
      <c r="Y22" s="295">
        <f>+Y23</f>
        <v>0</v>
      </c>
      <c r="Z22" s="295">
        <f>+Z23</f>
        <v>0</v>
      </c>
      <c r="AA22" s="295">
        <f>+AA23</f>
        <v>0</v>
      </c>
      <c r="AB22" s="295">
        <f t="shared" si="6"/>
        <v>0</v>
      </c>
      <c r="AC22" s="295">
        <f t="shared" si="7"/>
        <v>0</v>
      </c>
      <c r="AD22" s="295">
        <f t="shared" si="0"/>
        <v>0</v>
      </c>
    </row>
    <row r="23" spans="1:30" ht="11.25" customHeight="1" x14ac:dyDescent="0.2">
      <c r="A23" s="6"/>
      <c r="B23" s="9" t="s">
        <v>18</v>
      </c>
      <c r="C23" s="385" t="s">
        <v>42</v>
      </c>
      <c r="D23" s="385"/>
      <c r="E23" s="385"/>
      <c r="F23" s="386"/>
      <c r="G23" s="349" t="s">
        <v>43</v>
      </c>
      <c r="H23" s="5"/>
      <c r="I23" s="296"/>
      <c r="J23" s="296"/>
      <c r="K23" s="295">
        <f t="shared" si="1"/>
        <v>0</v>
      </c>
      <c r="L23" s="296"/>
      <c r="M23" s="296"/>
      <c r="N23" s="296"/>
      <c r="O23" s="296"/>
      <c r="P23" s="295">
        <f t="shared" si="2"/>
        <v>0</v>
      </c>
      <c r="Q23" s="295">
        <f t="shared" si="3"/>
        <v>0</v>
      </c>
      <c r="R23" s="296"/>
      <c r="S23" s="296"/>
      <c r="T23" s="296"/>
      <c r="U23" s="296"/>
      <c r="V23" s="295">
        <f t="shared" si="4"/>
        <v>0</v>
      </c>
      <c r="W23" s="295">
        <f t="shared" si="5"/>
        <v>0</v>
      </c>
      <c r="X23" s="296"/>
      <c r="Y23" s="296"/>
      <c r="Z23" s="296"/>
      <c r="AA23" s="296"/>
      <c r="AB23" s="295">
        <f t="shared" si="6"/>
        <v>0</v>
      </c>
      <c r="AC23" s="295">
        <f t="shared" si="7"/>
        <v>0</v>
      </c>
      <c r="AD23" s="295">
        <f t="shared" si="0"/>
        <v>0</v>
      </c>
    </row>
    <row r="24" spans="1:30" ht="11.25" customHeight="1" x14ac:dyDescent="0.2">
      <c r="A24" s="391" t="s">
        <v>44</v>
      </c>
      <c r="B24" s="392"/>
      <c r="C24" s="392"/>
      <c r="D24" s="392"/>
      <c r="E24" s="392"/>
      <c r="F24" s="393"/>
      <c r="G24" s="350" t="s">
        <v>45</v>
      </c>
      <c r="H24" s="10"/>
      <c r="I24" s="296"/>
      <c r="J24" s="296"/>
      <c r="K24" s="295">
        <f t="shared" si="1"/>
        <v>0</v>
      </c>
      <c r="L24" s="296"/>
      <c r="M24" s="296"/>
      <c r="N24" s="296"/>
      <c r="O24" s="296"/>
      <c r="P24" s="295">
        <f t="shared" si="2"/>
        <v>0</v>
      </c>
      <c r="Q24" s="295">
        <f t="shared" si="3"/>
        <v>0</v>
      </c>
      <c r="R24" s="296"/>
      <c r="S24" s="296"/>
      <c r="T24" s="296"/>
      <c r="U24" s="296"/>
      <c r="V24" s="295">
        <f t="shared" si="4"/>
        <v>0</v>
      </c>
      <c r="W24" s="295">
        <f t="shared" si="5"/>
        <v>0</v>
      </c>
      <c r="X24" s="296"/>
      <c r="Y24" s="296"/>
      <c r="Z24" s="296"/>
      <c r="AA24" s="296"/>
      <c r="AB24" s="295">
        <f t="shared" si="6"/>
        <v>0</v>
      </c>
      <c r="AC24" s="295">
        <f t="shared" si="7"/>
        <v>0</v>
      </c>
      <c r="AD24" s="295">
        <f t="shared" si="0"/>
        <v>0</v>
      </c>
    </row>
    <row r="25" spans="1:30" ht="11.25" customHeight="1" x14ac:dyDescent="0.2">
      <c r="A25" s="394" t="s">
        <v>46</v>
      </c>
      <c r="B25" s="395"/>
      <c r="C25" s="395"/>
      <c r="D25" s="395"/>
      <c r="E25" s="395"/>
      <c r="F25" s="396"/>
      <c r="G25" s="349" t="s">
        <v>47</v>
      </c>
      <c r="H25" s="5"/>
      <c r="I25" s="295">
        <f xml:space="preserve"> (I10 + I18 + I24)</f>
        <v>0</v>
      </c>
      <c r="J25" s="295">
        <f xml:space="preserve"> (J10 + J18 + J24)</f>
        <v>0</v>
      </c>
      <c r="K25" s="295">
        <f t="shared" si="1"/>
        <v>0</v>
      </c>
      <c r="L25" s="295">
        <f xml:space="preserve"> (L10 + L18 + L24)</f>
        <v>0</v>
      </c>
      <c r="M25" s="295">
        <f xml:space="preserve"> (M10 + M18 + M24)</f>
        <v>0</v>
      </c>
      <c r="N25" s="295">
        <f xml:space="preserve"> (N10 + N18 + N24)</f>
        <v>0</v>
      </c>
      <c r="O25" s="295">
        <f xml:space="preserve"> (O10 + O18 + O24)</f>
        <v>0</v>
      </c>
      <c r="P25" s="295">
        <f t="shared" si="2"/>
        <v>0</v>
      </c>
      <c r="Q25" s="295">
        <f t="shared" si="3"/>
        <v>0</v>
      </c>
      <c r="R25" s="295">
        <f xml:space="preserve"> (R10 + R18 + R24)</f>
        <v>0</v>
      </c>
      <c r="S25" s="295">
        <f xml:space="preserve"> (S10 + S18 + S24)</f>
        <v>0</v>
      </c>
      <c r="T25" s="295">
        <f xml:space="preserve"> (T10 + T18 + T24)</f>
        <v>0</v>
      </c>
      <c r="U25" s="295">
        <f xml:space="preserve"> (U10 + U18 + U24)</f>
        <v>0</v>
      </c>
      <c r="V25" s="295">
        <f t="shared" si="4"/>
        <v>0</v>
      </c>
      <c r="W25" s="295">
        <f t="shared" si="5"/>
        <v>0</v>
      </c>
      <c r="X25" s="295">
        <f xml:space="preserve"> (X10 + X18 + X24)</f>
        <v>0</v>
      </c>
      <c r="Y25" s="295">
        <f xml:space="preserve"> (Y10 + Y18 + Y24)</f>
        <v>0</v>
      </c>
      <c r="Z25" s="295">
        <f xml:space="preserve"> (Z10 + Z18 + Z24)</f>
        <v>0</v>
      </c>
      <c r="AA25" s="295">
        <f xml:space="preserve"> (AA10 + AA18 + AA24)</f>
        <v>0</v>
      </c>
      <c r="AB25" s="295">
        <f t="shared" si="6"/>
        <v>0</v>
      </c>
      <c r="AC25" s="295">
        <f t="shared" si="7"/>
        <v>0</v>
      </c>
      <c r="AD25" s="295">
        <f t="shared" si="0"/>
        <v>0</v>
      </c>
    </row>
    <row r="26" spans="1:30" ht="11.25" customHeight="1" x14ac:dyDescent="0.2">
      <c r="G26" s="12" t="s">
        <v>48</v>
      </c>
    </row>
  </sheetData>
  <sheetProtection password="9CD8" sheet="1" objects="1" scenarios="1" selectLockedCells="1"/>
  <mergeCells count="50">
    <mergeCell ref="B19:F19"/>
    <mergeCell ref="C20:F20"/>
    <mergeCell ref="A25:F25"/>
    <mergeCell ref="C21:F21"/>
    <mergeCell ref="B22:F22"/>
    <mergeCell ref="C23:F23"/>
    <mergeCell ref="A24:F24"/>
    <mergeCell ref="C13:F13"/>
    <mergeCell ref="B14:F14"/>
    <mergeCell ref="C15:F15"/>
    <mergeCell ref="B16:F16"/>
    <mergeCell ref="C17:F17"/>
    <mergeCell ref="A18:F18"/>
    <mergeCell ref="C12:F12"/>
    <mergeCell ref="T8:U8"/>
    <mergeCell ref="V8:W8"/>
    <mergeCell ref="X8:Y8"/>
    <mergeCell ref="A7:F9"/>
    <mergeCell ref="G7:G9"/>
    <mergeCell ref="R8:S8"/>
    <mergeCell ref="I8:I9"/>
    <mergeCell ref="J8:J9"/>
    <mergeCell ref="AB8:AC8"/>
    <mergeCell ref="A10:F10"/>
    <mergeCell ref="B11:F11"/>
    <mergeCell ref="Z8:AA8"/>
    <mergeCell ref="K8:K9"/>
    <mergeCell ref="L8:M8"/>
    <mergeCell ref="N8:O8"/>
    <mergeCell ref="P8:Q8"/>
    <mergeCell ref="CG5:DD5"/>
    <mergeCell ref="DE5:EB5"/>
    <mergeCell ref="FA5:FX5"/>
    <mergeCell ref="FY5:GV5"/>
    <mergeCell ref="GW5:HL5"/>
    <mergeCell ref="I7:K7"/>
    <mergeCell ref="L7:Q7"/>
    <mergeCell ref="R7:W7"/>
    <mergeCell ref="X7:AC7"/>
    <mergeCell ref="AD7:AD9"/>
    <mergeCell ref="A1:W1"/>
    <mergeCell ref="A2:W2"/>
    <mergeCell ref="A3:W3"/>
    <mergeCell ref="A4:W4"/>
    <mergeCell ref="EC5:EZ5"/>
    <mergeCell ref="A5:W5"/>
    <mergeCell ref="X5:AD5"/>
    <mergeCell ref="AE5:AJ5"/>
    <mergeCell ref="AK5:BH5"/>
    <mergeCell ref="BI5:CF5"/>
  </mergeCells>
  <phoneticPr fontId="8" type="noConversion"/>
  <dataValidations count="5">
    <dataValidation type="decimal" operator="greaterThanOrEqual" allowBlank="1" showInputMessage="1" showErrorMessage="1" error="Only positive values can be entered on this cell." sqref="X10:Y25">
      <formula1>0</formula1>
    </dataValidation>
    <dataValidation type="decimal" operator="greaterThanOrEqual" allowBlank="1" showInputMessage="1" showErrorMessage="1" sqref="N1:O9 T1:U9 N26:O65536 Z26:AA65536 T26:U65536 Z1:AA9">
      <formula1>-99999999999999900</formula1>
    </dataValidation>
    <dataValidation allowBlank="1" showInputMessage="1" showErrorMessage="1" sqref="K10:K25 P10:Q25 V10:W25 AB10:AD25"/>
    <dataValidation type="decimal" operator="lessThanOrEqual" allowBlank="1" showInputMessage="1" showErrorMessage="1" error="Only negative values can be entered on this cell." sqref="J10:J25 N10:O25 T10:U25 Z10:AA25">
      <formula1>0</formula1>
    </dataValidation>
    <dataValidation type="decimal" operator="greaterThanOrEqual" allowBlank="1" showInputMessage="1" showErrorMessage="1" error="Only positive values can be entered on this cell." sqref="I10:I25 L10:M25 R10:S25">
      <formula1>0</formula1>
    </dataValidation>
  </dataValidations>
  <pageMargins left="0.25" right="0.25" top="1" bottom="0.5" header="0.5" footer="0.5"/>
  <pageSetup paperSize="9" scale="78" orientation="landscape" horizontalDpi="360" verticalDpi="360" r:id="rId1"/>
  <headerFooter alignWithMargins="0">
    <oddHeader>&amp;R&amp;"Arial,Bold"&amp;USchedule 13&amp;U
  &amp;P of &amp;N&amp;C&amp;"Arial,Bold"&amp;8 MAXIMUM SAVINGS BANK, INC.  [ 03-070011 ]
 As of: June 30, 2019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28"/>
  <sheetViews>
    <sheetView zoomScale="75" workbookViewId="0">
      <pane xSplit="7" ySplit="9" topLeftCell="I10" activePane="bottomRight" state="frozen"/>
      <selection pane="topRight" activeCell="H1" sqref="H1"/>
      <selection pane="bottomLeft" activeCell="A10" sqref="A10"/>
      <selection pane="bottomRight" sqref="A1:AF1"/>
    </sheetView>
  </sheetViews>
  <sheetFormatPr defaultRowHeight="11.25" customHeight="1" x14ac:dyDescent="0.2"/>
  <cols>
    <col min="1" max="1" width="1.85546875" style="14" customWidth="1"/>
    <col min="2" max="2" width="2.42578125" style="79" customWidth="1"/>
    <col min="3" max="3" width="2.85546875" style="63" customWidth="1"/>
    <col min="4" max="4" width="4" style="63" customWidth="1"/>
    <col min="5" max="5" width="35.28515625" style="63" customWidth="1"/>
    <col min="6" max="6" width="34.140625" style="63" hidden="1" customWidth="1"/>
    <col min="7" max="7" width="17.7109375" style="14" customWidth="1"/>
    <col min="8" max="8" width="6.7109375" style="255" hidden="1" customWidth="1"/>
    <col min="9" max="13" width="22.7109375" style="259" customWidth="1"/>
    <col min="14" max="15" width="22.7109375" style="259" hidden="1" customWidth="1"/>
    <col min="16" max="21" width="22.7109375" style="259" customWidth="1"/>
    <col min="22" max="23" width="22.7109375" style="259" hidden="1" customWidth="1"/>
    <col min="24" max="29" width="22.7109375" style="14" customWidth="1"/>
    <col min="30" max="31" width="22.7109375" style="14" hidden="1" customWidth="1"/>
    <col min="32" max="32" width="22.7109375" style="63" customWidth="1"/>
    <col min="33" max="33" width="6.85546875" style="14" customWidth="1"/>
    <col min="34" max="34" width="6.28515625" style="14" customWidth="1"/>
    <col min="35" max="35" width="6.140625" style="14" customWidth="1"/>
    <col min="36" max="16384" width="9.140625" style="14"/>
  </cols>
  <sheetData>
    <row r="1" spans="1:35" ht="11.25" customHeight="1" x14ac:dyDescent="0.2">
      <c r="A1" s="397" t="s">
        <v>49</v>
      </c>
      <c r="B1" s="397"/>
      <c r="C1" s="397"/>
      <c r="D1" s="397"/>
      <c r="E1" s="397"/>
      <c r="F1" s="397"/>
      <c r="G1" s="397"/>
      <c r="H1" s="397"/>
      <c r="I1" s="397"/>
      <c r="J1" s="397"/>
      <c r="K1" s="397"/>
      <c r="L1" s="397"/>
      <c r="M1" s="397"/>
      <c r="N1" s="397"/>
      <c r="O1" s="397"/>
      <c r="P1" s="397"/>
      <c r="Q1" s="397"/>
      <c r="R1" s="397"/>
      <c r="S1" s="397"/>
      <c r="T1" s="397"/>
      <c r="U1" s="397"/>
      <c r="V1" s="397"/>
      <c r="W1" s="397"/>
      <c r="X1" s="397"/>
      <c r="Y1" s="397"/>
      <c r="Z1" s="397"/>
      <c r="AA1" s="397"/>
      <c r="AB1" s="397"/>
      <c r="AC1" s="397"/>
      <c r="AD1" s="397"/>
      <c r="AE1" s="397"/>
      <c r="AF1" s="397"/>
      <c r="AG1" s="13"/>
      <c r="AH1" s="13"/>
      <c r="AI1" s="13"/>
    </row>
    <row r="2" spans="1:35" ht="11.25" hidden="1" customHeight="1" x14ac:dyDescent="0.2">
      <c r="A2" s="398"/>
      <c r="B2" s="398"/>
      <c r="C2" s="398"/>
      <c r="D2" s="398"/>
      <c r="E2" s="398"/>
      <c r="F2" s="398"/>
      <c r="G2" s="398"/>
      <c r="H2" s="398"/>
      <c r="I2" s="398"/>
      <c r="J2" s="398"/>
      <c r="K2" s="398"/>
      <c r="L2" s="398"/>
      <c r="M2" s="398"/>
      <c r="N2" s="398"/>
      <c r="O2" s="398"/>
      <c r="P2" s="398"/>
      <c r="Q2" s="398"/>
      <c r="R2" s="398"/>
      <c r="S2" s="398"/>
      <c r="T2" s="398"/>
      <c r="U2" s="398"/>
      <c r="V2" s="398"/>
      <c r="W2" s="398"/>
      <c r="X2" s="398"/>
      <c r="Y2" s="398"/>
      <c r="Z2" s="398"/>
      <c r="AA2" s="398"/>
      <c r="AB2" s="398"/>
      <c r="AC2" s="398"/>
      <c r="AD2" s="398"/>
      <c r="AE2" s="398"/>
      <c r="AF2" s="398"/>
      <c r="AG2" s="13"/>
      <c r="AH2" s="13"/>
      <c r="AI2" s="13"/>
    </row>
    <row r="3" spans="1:35" ht="11.25" hidden="1" customHeight="1" x14ac:dyDescent="0.2">
      <c r="A3" s="398"/>
      <c r="B3" s="398"/>
      <c r="C3" s="398"/>
      <c r="D3" s="398"/>
      <c r="E3" s="398"/>
      <c r="F3" s="398"/>
      <c r="G3" s="398"/>
      <c r="H3" s="398"/>
      <c r="I3" s="398"/>
      <c r="J3" s="398"/>
      <c r="K3" s="398"/>
      <c r="L3" s="398"/>
      <c r="M3" s="398"/>
      <c r="N3" s="398"/>
      <c r="O3" s="398"/>
      <c r="P3" s="398"/>
      <c r="Q3" s="398"/>
      <c r="R3" s="398"/>
      <c r="S3" s="398"/>
      <c r="T3" s="398"/>
      <c r="U3" s="398"/>
      <c r="V3" s="398"/>
      <c r="W3" s="398"/>
      <c r="X3" s="398"/>
      <c r="Y3" s="398"/>
      <c r="Z3" s="398"/>
      <c r="AA3" s="398"/>
      <c r="AB3" s="398"/>
      <c r="AC3" s="398"/>
      <c r="AD3" s="398"/>
      <c r="AE3" s="398"/>
      <c r="AF3" s="398"/>
      <c r="AG3" s="13"/>
      <c r="AH3" s="13"/>
      <c r="AI3" s="13"/>
    </row>
    <row r="4" spans="1:35" ht="11.25" hidden="1" customHeight="1" x14ac:dyDescent="0.2">
      <c r="A4" s="398"/>
      <c r="B4" s="398"/>
      <c r="C4" s="398"/>
      <c r="D4" s="398"/>
      <c r="E4" s="398"/>
      <c r="F4" s="398"/>
      <c r="G4" s="398"/>
      <c r="H4" s="398"/>
      <c r="I4" s="398"/>
      <c r="J4" s="398"/>
      <c r="K4" s="398"/>
      <c r="L4" s="398"/>
      <c r="M4" s="398"/>
      <c r="N4" s="398"/>
      <c r="O4" s="398"/>
      <c r="P4" s="398"/>
      <c r="Q4" s="398"/>
      <c r="R4" s="398"/>
      <c r="S4" s="398"/>
      <c r="T4" s="398"/>
      <c r="U4" s="398"/>
      <c r="V4" s="398"/>
      <c r="W4" s="398"/>
      <c r="X4" s="398"/>
      <c r="Y4" s="398"/>
      <c r="Z4" s="398"/>
      <c r="AA4" s="398"/>
      <c r="AB4" s="398"/>
      <c r="AC4" s="398"/>
      <c r="AD4" s="398"/>
      <c r="AE4" s="398"/>
      <c r="AF4" s="398"/>
      <c r="AG4" s="13"/>
      <c r="AH4" s="13"/>
      <c r="AI4" s="13"/>
    </row>
    <row r="5" spans="1:35" ht="11.25" customHeight="1" x14ac:dyDescent="0.2">
      <c r="A5" s="398"/>
      <c r="B5" s="398"/>
      <c r="C5" s="398"/>
      <c r="D5" s="398"/>
      <c r="E5" s="398"/>
      <c r="F5" s="398"/>
      <c r="G5" s="398"/>
      <c r="H5" s="398"/>
      <c r="I5" s="398"/>
      <c r="J5" s="398"/>
      <c r="K5" s="398"/>
      <c r="L5" s="398"/>
      <c r="M5" s="398"/>
      <c r="N5" s="398"/>
      <c r="O5" s="398"/>
      <c r="P5" s="398"/>
      <c r="Q5" s="398"/>
      <c r="R5" s="398"/>
      <c r="S5" s="398"/>
      <c r="T5" s="398"/>
      <c r="U5" s="398"/>
      <c r="V5" s="398"/>
      <c r="W5" s="398"/>
      <c r="X5" s="398"/>
      <c r="Y5" s="398"/>
      <c r="Z5" s="398"/>
      <c r="AA5" s="398"/>
      <c r="AB5" s="398"/>
      <c r="AC5" s="398"/>
      <c r="AD5" s="398"/>
      <c r="AE5" s="398"/>
      <c r="AF5" s="398"/>
    </row>
    <row r="6" spans="1:35" s="21" customFormat="1" ht="11.25" customHeight="1" x14ac:dyDescent="0.2">
      <c r="A6" s="399" t="s">
        <v>1</v>
      </c>
      <c r="B6" s="399"/>
      <c r="C6" s="399"/>
      <c r="D6" s="399"/>
      <c r="E6" s="399"/>
      <c r="F6" s="399"/>
      <c r="G6" s="401" t="s">
        <v>2</v>
      </c>
      <c r="H6" s="403" t="s">
        <v>50</v>
      </c>
      <c r="I6" s="405" t="s">
        <v>51</v>
      </c>
      <c r="J6" s="405"/>
      <c r="K6" s="405"/>
      <c r="L6" s="405"/>
      <c r="M6" s="405"/>
      <c r="N6" s="405"/>
      <c r="O6" s="405"/>
      <c r="P6" s="405"/>
      <c r="Q6" s="401" t="s">
        <v>52</v>
      </c>
      <c r="R6" s="401"/>
      <c r="S6" s="401"/>
      <c r="T6" s="401"/>
      <c r="U6" s="401"/>
      <c r="V6" s="401"/>
      <c r="W6" s="401"/>
      <c r="X6" s="401"/>
      <c r="Y6" s="401"/>
      <c r="Z6" s="401"/>
      <c r="AA6" s="401"/>
      <c r="AB6" s="401"/>
      <c r="AC6" s="401"/>
      <c r="AD6" s="401"/>
      <c r="AE6" s="401"/>
      <c r="AF6" s="401"/>
      <c r="AG6" s="15"/>
      <c r="AH6" s="15"/>
      <c r="AI6" s="15"/>
    </row>
    <row r="7" spans="1:35" s="21" customFormat="1" ht="11.25" customHeight="1" x14ac:dyDescent="0.2">
      <c r="A7" s="399"/>
      <c r="B7" s="399"/>
      <c r="C7" s="399"/>
      <c r="D7" s="399"/>
      <c r="E7" s="399"/>
      <c r="F7" s="399"/>
      <c r="G7" s="401"/>
      <c r="H7" s="403"/>
      <c r="I7" s="405"/>
      <c r="J7" s="405"/>
      <c r="K7" s="405"/>
      <c r="L7" s="405"/>
      <c r="M7" s="405"/>
      <c r="N7" s="405"/>
      <c r="O7" s="405"/>
      <c r="P7" s="405"/>
      <c r="Q7" s="406" t="s">
        <v>53</v>
      </c>
      <c r="R7" s="406"/>
      <c r="S7" s="406"/>
      <c r="T7" s="406"/>
      <c r="U7" s="406"/>
      <c r="V7" s="406"/>
      <c r="W7" s="406"/>
      <c r="X7" s="406"/>
      <c r="Y7" s="406" t="s">
        <v>54</v>
      </c>
      <c r="Z7" s="406"/>
      <c r="AA7" s="406"/>
      <c r="AB7" s="406"/>
      <c r="AC7" s="406"/>
      <c r="AD7" s="406"/>
      <c r="AE7" s="406"/>
      <c r="AF7" s="406"/>
      <c r="AG7" s="17"/>
      <c r="AH7" s="17"/>
      <c r="AI7" s="18"/>
    </row>
    <row r="8" spans="1:35" s="21" customFormat="1" ht="11.25" customHeight="1" x14ac:dyDescent="0.2">
      <c r="A8" s="399"/>
      <c r="B8" s="399"/>
      <c r="C8" s="399"/>
      <c r="D8" s="399"/>
      <c r="E8" s="399"/>
      <c r="F8" s="399"/>
      <c r="G8" s="402"/>
      <c r="H8" s="404"/>
      <c r="I8" s="407" t="s">
        <v>55</v>
      </c>
      <c r="J8" s="407" t="s">
        <v>4</v>
      </c>
      <c r="K8" s="407"/>
      <c r="L8" s="407" t="s">
        <v>5</v>
      </c>
      <c r="M8" s="407"/>
      <c r="N8" s="407" t="s">
        <v>6</v>
      </c>
      <c r="O8" s="407"/>
      <c r="P8" s="407" t="s">
        <v>56</v>
      </c>
      <c r="Q8" s="407" t="s">
        <v>55</v>
      </c>
      <c r="R8" s="407" t="s">
        <v>4</v>
      </c>
      <c r="S8" s="407"/>
      <c r="T8" s="407" t="s">
        <v>5</v>
      </c>
      <c r="U8" s="407"/>
      <c r="V8" s="407" t="s">
        <v>6</v>
      </c>
      <c r="W8" s="407"/>
      <c r="X8" s="406" t="s">
        <v>56</v>
      </c>
      <c r="Y8" s="406" t="s">
        <v>55</v>
      </c>
      <c r="Z8" s="406" t="s">
        <v>4</v>
      </c>
      <c r="AA8" s="406"/>
      <c r="AB8" s="406" t="s">
        <v>5</v>
      </c>
      <c r="AC8" s="406"/>
      <c r="AD8" s="406" t="s">
        <v>6</v>
      </c>
      <c r="AE8" s="406"/>
      <c r="AF8" s="408" t="s">
        <v>56</v>
      </c>
      <c r="AG8" s="18"/>
      <c r="AH8" s="18"/>
      <c r="AI8" s="18"/>
    </row>
    <row r="9" spans="1:35" s="21" customFormat="1" ht="11.25" customHeight="1" x14ac:dyDescent="0.2">
      <c r="A9" s="400"/>
      <c r="B9" s="400"/>
      <c r="C9" s="400"/>
      <c r="D9" s="400"/>
      <c r="E9" s="400"/>
      <c r="F9" s="400"/>
      <c r="G9" s="402"/>
      <c r="H9" s="404"/>
      <c r="I9" s="407"/>
      <c r="J9" s="256" t="s">
        <v>11</v>
      </c>
      <c r="K9" s="257" t="s">
        <v>12</v>
      </c>
      <c r="L9" s="256" t="s">
        <v>11</v>
      </c>
      <c r="M9" s="257" t="s">
        <v>12</v>
      </c>
      <c r="N9" s="256" t="s">
        <v>11</v>
      </c>
      <c r="O9" s="257" t="s">
        <v>12</v>
      </c>
      <c r="P9" s="407"/>
      <c r="Q9" s="407"/>
      <c r="R9" s="256" t="s">
        <v>11</v>
      </c>
      <c r="S9" s="257" t="s">
        <v>12</v>
      </c>
      <c r="T9" s="256" t="s">
        <v>11</v>
      </c>
      <c r="U9" s="257" t="s">
        <v>12</v>
      </c>
      <c r="V9" s="256" t="s">
        <v>11</v>
      </c>
      <c r="W9" s="257" t="s">
        <v>12</v>
      </c>
      <c r="X9" s="406"/>
      <c r="Y9" s="406"/>
      <c r="Z9" s="19" t="s">
        <v>11</v>
      </c>
      <c r="AA9" s="20" t="s">
        <v>12</v>
      </c>
      <c r="AB9" s="19" t="s">
        <v>11</v>
      </c>
      <c r="AC9" s="20" t="s">
        <v>12</v>
      </c>
      <c r="AD9" s="19" t="s">
        <v>11</v>
      </c>
      <c r="AE9" s="20" t="s">
        <v>12</v>
      </c>
      <c r="AF9" s="408"/>
      <c r="AI9" s="18"/>
    </row>
    <row r="10" spans="1:35" ht="11.25" customHeight="1" x14ac:dyDescent="0.2">
      <c r="A10" s="22" t="s">
        <v>57</v>
      </c>
      <c r="B10" s="23"/>
      <c r="C10" s="23"/>
      <c r="D10" s="24"/>
      <c r="E10" s="23"/>
      <c r="F10" s="25"/>
      <c r="G10" s="351" t="s">
        <v>58</v>
      </c>
      <c r="H10" s="254"/>
      <c r="I10" s="26">
        <f t="shared" ref="I10:O10" si="0">+I11 + I26 + I55 + I65</f>
        <v>0</v>
      </c>
      <c r="J10" s="26">
        <f t="shared" si="0"/>
        <v>0</v>
      </c>
      <c r="K10" s="26">
        <f t="shared" si="0"/>
        <v>0</v>
      </c>
      <c r="L10" s="26">
        <f t="shared" si="0"/>
        <v>0</v>
      </c>
      <c r="M10" s="26">
        <f t="shared" si="0"/>
        <v>0</v>
      </c>
      <c r="N10" s="27">
        <f t="shared" si="0"/>
        <v>0</v>
      </c>
      <c r="O10" s="27">
        <f t="shared" si="0"/>
        <v>0</v>
      </c>
      <c r="P10" s="27">
        <f t="shared" ref="P10:P73" si="1">I10+K10+M10+O10</f>
        <v>0</v>
      </c>
      <c r="Q10" s="26">
        <f t="shared" ref="Q10:W10" si="2">+Q11 + Q26 + Q55 + Q65</f>
        <v>0</v>
      </c>
      <c r="R10" s="26">
        <f t="shared" si="2"/>
        <v>0</v>
      </c>
      <c r="S10" s="26">
        <f t="shared" si="2"/>
        <v>0</v>
      </c>
      <c r="T10" s="26">
        <f t="shared" si="2"/>
        <v>0</v>
      </c>
      <c r="U10" s="26">
        <f t="shared" si="2"/>
        <v>0</v>
      </c>
      <c r="V10" s="27">
        <f t="shared" si="2"/>
        <v>0</v>
      </c>
      <c r="W10" s="27">
        <f t="shared" si="2"/>
        <v>0</v>
      </c>
      <c r="X10" s="27">
        <f t="shared" ref="X10:X73" si="3">Q10+S10+U10+W10</f>
        <v>0</v>
      </c>
      <c r="Y10" s="26">
        <f t="shared" ref="Y10:AE10" si="4">+Y11 + Y26 + Y55 + Y65</f>
        <v>0</v>
      </c>
      <c r="Z10" s="26">
        <f t="shared" si="4"/>
        <v>0</v>
      </c>
      <c r="AA10" s="26">
        <f t="shared" si="4"/>
        <v>0</v>
      </c>
      <c r="AB10" s="26">
        <f t="shared" si="4"/>
        <v>0</v>
      </c>
      <c r="AC10" s="26">
        <f t="shared" si="4"/>
        <v>0</v>
      </c>
      <c r="AD10" s="27">
        <f t="shared" si="4"/>
        <v>0</v>
      </c>
      <c r="AE10" s="27">
        <f t="shared" si="4"/>
        <v>0</v>
      </c>
      <c r="AF10" s="27">
        <f t="shared" ref="AF10:AF73" si="5">Y10+AA10+AC10+AE10</f>
        <v>0</v>
      </c>
      <c r="AG10" s="21"/>
      <c r="AH10" s="21"/>
      <c r="AI10" s="28"/>
    </row>
    <row r="11" spans="1:35" ht="11.25" customHeight="1" x14ac:dyDescent="0.2">
      <c r="A11" s="29"/>
      <c r="B11" s="30" t="s">
        <v>59</v>
      </c>
      <c r="C11" s="31" t="s">
        <v>60</v>
      </c>
      <c r="D11" s="31"/>
      <c r="E11" s="32"/>
      <c r="F11" s="33"/>
      <c r="G11" s="351" t="s">
        <v>61</v>
      </c>
      <c r="H11" s="254"/>
      <c r="I11" s="26">
        <f t="shared" ref="I11:O11" si="6">+I12 + I14 + I19 + I20 + I23</f>
        <v>0</v>
      </c>
      <c r="J11" s="26">
        <f t="shared" si="6"/>
        <v>0</v>
      </c>
      <c r="K11" s="26">
        <f t="shared" si="6"/>
        <v>0</v>
      </c>
      <c r="L11" s="26">
        <f t="shared" si="6"/>
        <v>0</v>
      </c>
      <c r="M11" s="26">
        <f t="shared" si="6"/>
        <v>0</v>
      </c>
      <c r="N11" s="27">
        <f t="shared" si="6"/>
        <v>0</v>
      </c>
      <c r="O11" s="27">
        <f t="shared" si="6"/>
        <v>0</v>
      </c>
      <c r="P11" s="27">
        <f t="shared" si="1"/>
        <v>0</v>
      </c>
      <c r="Q11" s="26">
        <f t="shared" ref="Q11:W11" si="7">+Q12 + Q14 + Q19 + Q20 + Q23</f>
        <v>0</v>
      </c>
      <c r="R11" s="26">
        <f t="shared" si="7"/>
        <v>0</v>
      </c>
      <c r="S11" s="26">
        <f t="shared" si="7"/>
        <v>0</v>
      </c>
      <c r="T11" s="26">
        <f t="shared" si="7"/>
        <v>0</v>
      </c>
      <c r="U11" s="26">
        <f t="shared" si="7"/>
        <v>0</v>
      </c>
      <c r="V11" s="27">
        <f t="shared" si="7"/>
        <v>0</v>
      </c>
      <c r="W11" s="27">
        <f t="shared" si="7"/>
        <v>0</v>
      </c>
      <c r="X11" s="27">
        <f t="shared" si="3"/>
        <v>0</v>
      </c>
      <c r="Y11" s="26">
        <f t="shared" ref="Y11:AE11" si="8">+Y12 + Y14 + Y19 + Y20 + Y23</f>
        <v>0</v>
      </c>
      <c r="Z11" s="26">
        <f t="shared" si="8"/>
        <v>0</v>
      </c>
      <c r="AA11" s="26">
        <f t="shared" si="8"/>
        <v>0</v>
      </c>
      <c r="AB11" s="26">
        <f t="shared" si="8"/>
        <v>0</v>
      </c>
      <c r="AC11" s="26">
        <f t="shared" si="8"/>
        <v>0</v>
      </c>
      <c r="AD11" s="27">
        <f t="shared" si="8"/>
        <v>0</v>
      </c>
      <c r="AE11" s="27">
        <f t="shared" si="8"/>
        <v>0</v>
      </c>
      <c r="AF11" s="27">
        <f t="shared" si="5"/>
        <v>0</v>
      </c>
      <c r="AG11" s="21"/>
      <c r="AH11" s="21"/>
      <c r="AI11" s="28"/>
    </row>
    <row r="12" spans="1:35" ht="11.25" customHeight="1" x14ac:dyDescent="0.2">
      <c r="A12" s="34"/>
      <c r="B12" s="18"/>
      <c r="C12" s="14" t="s">
        <v>62</v>
      </c>
      <c r="D12" s="14" t="s">
        <v>63</v>
      </c>
      <c r="E12" s="18"/>
      <c r="F12" s="33"/>
      <c r="G12" s="351" t="s">
        <v>64</v>
      </c>
      <c r="H12" s="254"/>
      <c r="I12" s="26">
        <f t="shared" ref="I12:O12" si="9">I13</f>
        <v>0</v>
      </c>
      <c r="J12" s="26">
        <f t="shared" si="9"/>
        <v>0</v>
      </c>
      <c r="K12" s="26">
        <f t="shared" si="9"/>
        <v>0</v>
      </c>
      <c r="L12" s="26">
        <f t="shared" si="9"/>
        <v>0</v>
      </c>
      <c r="M12" s="26">
        <f t="shared" si="9"/>
        <v>0</v>
      </c>
      <c r="N12" s="27">
        <f t="shared" si="9"/>
        <v>0</v>
      </c>
      <c r="O12" s="27">
        <f t="shared" si="9"/>
        <v>0</v>
      </c>
      <c r="P12" s="27">
        <f t="shared" si="1"/>
        <v>0</v>
      </c>
      <c r="Q12" s="26">
        <f t="shared" ref="Q12:W12" si="10">Q13</f>
        <v>0</v>
      </c>
      <c r="R12" s="26">
        <f t="shared" si="10"/>
        <v>0</v>
      </c>
      <c r="S12" s="26">
        <f t="shared" si="10"/>
        <v>0</v>
      </c>
      <c r="T12" s="26">
        <f t="shared" si="10"/>
        <v>0</v>
      </c>
      <c r="U12" s="26">
        <f t="shared" si="10"/>
        <v>0</v>
      </c>
      <c r="V12" s="27">
        <f t="shared" si="10"/>
        <v>0</v>
      </c>
      <c r="W12" s="27">
        <f t="shared" si="10"/>
        <v>0</v>
      </c>
      <c r="X12" s="27">
        <f t="shared" si="3"/>
        <v>0</v>
      </c>
      <c r="Y12" s="26">
        <f t="shared" ref="Y12:AE12" si="11">Y13</f>
        <v>0</v>
      </c>
      <c r="Z12" s="26">
        <f t="shared" si="11"/>
        <v>0</v>
      </c>
      <c r="AA12" s="26">
        <f t="shared" si="11"/>
        <v>0</v>
      </c>
      <c r="AB12" s="26">
        <f t="shared" si="11"/>
        <v>0</v>
      </c>
      <c r="AC12" s="26">
        <f t="shared" si="11"/>
        <v>0</v>
      </c>
      <c r="AD12" s="27">
        <f t="shared" si="11"/>
        <v>0</v>
      </c>
      <c r="AE12" s="27">
        <f t="shared" si="11"/>
        <v>0</v>
      </c>
      <c r="AF12" s="27">
        <f t="shared" si="5"/>
        <v>0</v>
      </c>
    </row>
    <row r="13" spans="1:35" ht="11.25" customHeight="1" x14ac:dyDescent="0.2">
      <c r="A13" s="29"/>
      <c r="B13" s="35"/>
      <c r="C13" s="36"/>
      <c r="D13" s="37" t="s">
        <v>65</v>
      </c>
      <c r="E13" s="38" t="s">
        <v>66</v>
      </c>
      <c r="F13" s="33"/>
      <c r="G13" s="351" t="s">
        <v>67</v>
      </c>
      <c r="H13" s="297"/>
      <c r="I13" s="152"/>
      <c r="J13" s="152"/>
      <c r="K13" s="152"/>
      <c r="L13" s="152"/>
      <c r="M13" s="152"/>
      <c r="N13" s="152"/>
      <c r="O13" s="152"/>
      <c r="P13" s="27">
        <f t="shared" si="1"/>
        <v>0</v>
      </c>
      <c r="Q13" s="152"/>
      <c r="R13" s="152"/>
      <c r="S13" s="152"/>
      <c r="T13" s="152"/>
      <c r="U13" s="152"/>
      <c r="V13" s="152"/>
      <c r="W13" s="152"/>
      <c r="X13" s="27">
        <f t="shared" si="3"/>
        <v>0</v>
      </c>
      <c r="Y13" s="39"/>
      <c r="Z13" s="39"/>
      <c r="AA13" s="39"/>
      <c r="AB13" s="39"/>
      <c r="AC13" s="39"/>
      <c r="AD13" s="39"/>
      <c r="AE13" s="39"/>
      <c r="AF13" s="27">
        <f t="shared" si="5"/>
        <v>0</v>
      </c>
    </row>
    <row r="14" spans="1:35" ht="11.25" customHeight="1" x14ac:dyDescent="0.2">
      <c r="A14" s="34"/>
      <c r="B14" s="18"/>
      <c r="C14" s="40" t="s">
        <v>68</v>
      </c>
      <c r="D14" s="41" t="s">
        <v>69</v>
      </c>
      <c r="E14" s="14"/>
      <c r="F14" s="33"/>
      <c r="G14" s="351" t="s">
        <v>70</v>
      </c>
      <c r="H14" s="254"/>
      <c r="I14" s="26">
        <f t="shared" ref="I14:O14" si="12">+I15 + I18</f>
        <v>0</v>
      </c>
      <c r="J14" s="26">
        <f t="shared" si="12"/>
        <v>0</v>
      </c>
      <c r="K14" s="26">
        <f t="shared" si="12"/>
        <v>0</v>
      </c>
      <c r="L14" s="26">
        <f t="shared" si="12"/>
        <v>0</v>
      </c>
      <c r="M14" s="26">
        <f t="shared" si="12"/>
        <v>0</v>
      </c>
      <c r="N14" s="27">
        <f t="shared" si="12"/>
        <v>0</v>
      </c>
      <c r="O14" s="27">
        <f t="shared" si="12"/>
        <v>0</v>
      </c>
      <c r="P14" s="27">
        <f t="shared" si="1"/>
        <v>0</v>
      </c>
      <c r="Q14" s="26">
        <f t="shared" ref="Q14:W14" si="13">+Q15 + Q18</f>
        <v>0</v>
      </c>
      <c r="R14" s="26">
        <f t="shared" si="13"/>
        <v>0</v>
      </c>
      <c r="S14" s="26">
        <f t="shared" si="13"/>
        <v>0</v>
      </c>
      <c r="T14" s="26">
        <f t="shared" si="13"/>
        <v>0</v>
      </c>
      <c r="U14" s="26">
        <f t="shared" si="13"/>
        <v>0</v>
      </c>
      <c r="V14" s="27">
        <f t="shared" si="13"/>
        <v>0</v>
      </c>
      <c r="W14" s="27">
        <f t="shared" si="13"/>
        <v>0</v>
      </c>
      <c r="X14" s="27">
        <f t="shared" si="3"/>
        <v>0</v>
      </c>
      <c r="Y14" s="26">
        <f t="shared" ref="Y14:AE14" si="14">+Y15 + Y18</f>
        <v>0</v>
      </c>
      <c r="Z14" s="26">
        <f t="shared" si="14"/>
        <v>0</v>
      </c>
      <c r="AA14" s="26">
        <f t="shared" si="14"/>
        <v>0</v>
      </c>
      <c r="AB14" s="26">
        <f t="shared" si="14"/>
        <v>0</v>
      </c>
      <c r="AC14" s="26">
        <f t="shared" si="14"/>
        <v>0</v>
      </c>
      <c r="AD14" s="27">
        <f t="shared" si="14"/>
        <v>0</v>
      </c>
      <c r="AE14" s="27">
        <f t="shared" si="14"/>
        <v>0</v>
      </c>
      <c r="AF14" s="27">
        <f t="shared" si="5"/>
        <v>0</v>
      </c>
    </row>
    <row r="15" spans="1:35" ht="11.25" customHeight="1" x14ac:dyDescent="0.2">
      <c r="A15" s="29"/>
      <c r="B15" s="35"/>
      <c r="C15" s="36"/>
      <c r="D15" s="42" t="s">
        <v>71</v>
      </c>
      <c r="E15" s="43" t="s">
        <v>72</v>
      </c>
      <c r="F15" s="33"/>
      <c r="G15" s="351" t="s">
        <v>73</v>
      </c>
      <c r="H15" s="254"/>
      <c r="I15" s="27">
        <f t="shared" ref="I15:O15" si="15">+I16 + I17</f>
        <v>0</v>
      </c>
      <c r="J15" s="26">
        <f t="shared" si="15"/>
        <v>0</v>
      </c>
      <c r="K15" s="26">
        <f t="shared" si="15"/>
        <v>0</v>
      </c>
      <c r="L15" s="26">
        <f t="shared" si="15"/>
        <v>0</v>
      </c>
      <c r="M15" s="26">
        <f t="shared" si="15"/>
        <v>0</v>
      </c>
      <c r="N15" s="27">
        <f t="shared" si="15"/>
        <v>0</v>
      </c>
      <c r="O15" s="27">
        <f t="shared" si="15"/>
        <v>0</v>
      </c>
      <c r="P15" s="27">
        <f t="shared" si="1"/>
        <v>0</v>
      </c>
      <c r="Q15" s="26">
        <f t="shared" ref="Q15:W15" si="16">+Q16 + Q17</f>
        <v>0</v>
      </c>
      <c r="R15" s="26">
        <f t="shared" si="16"/>
        <v>0</v>
      </c>
      <c r="S15" s="26">
        <f t="shared" si="16"/>
        <v>0</v>
      </c>
      <c r="T15" s="26">
        <f t="shared" si="16"/>
        <v>0</v>
      </c>
      <c r="U15" s="26">
        <f t="shared" si="16"/>
        <v>0</v>
      </c>
      <c r="V15" s="27">
        <f t="shared" si="16"/>
        <v>0</v>
      </c>
      <c r="W15" s="27">
        <f t="shared" si="16"/>
        <v>0</v>
      </c>
      <c r="X15" s="27">
        <f t="shared" si="3"/>
        <v>0</v>
      </c>
      <c r="Y15" s="26">
        <f t="shared" ref="Y15:AE15" si="17">+Y16 + Y17</f>
        <v>0</v>
      </c>
      <c r="Z15" s="26">
        <f t="shared" si="17"/>
        <v>0</v>
      </c>
      <c r="AA15" s="26">
        <f t="shared" si="17"/>
        <v>0</v>
      </c>
      <c r="AB15" s="26">
        <f t="shared" si="17"/>
        <v>0</v>
      </c>
      <c r="AC15" s="26">
        <f t="shared" si="17"/>
        <v>0</v>
      </c>
      <c r="AD15" s="27">
        <f t="shared" si="17"/>
        <v>0</v>
      </c>
      <c r="AE15" s="27">
        <f t="shared" si="17"/>
        <v>0</v>
      </c>
      <c r="AF15" s="27">
        <f t="shared" si="5"/>
        <v>0</v>
      </c>
    </row>
    <row r="16" spans="1:35" ht="11.25" customHeight="1" x14ac:dyDescent="0.2">
      <c r="A16" s="34"/>
      <c r="B16" s="18"/>
      <c r="C16" s="40"/>
      <c r="D16" s="44" t="s">
        <v>18</v>
      </c>
      <c r="E16" s="14" t="s">
        <v>74</v>
      </c>
      <c r="F16" s="33"/>
      <c r="G16" s="351" t="s">
        <v>75</v>
      </c>
      <c r="H16" s="297"/>
      <c r="I16" s="152"/>
      <c r="J16" s="152"/>
      <c r="K16" s="152"/>
      <c r="L16" s="152"/>
      <c r="M16" s="152"/>
      <c r="N16" s="152"/>
      <c r="O16" s="152"/>
      <c r="P16" s="27">
        <f t="shared" si="1"/>
        <v>0</v>
      </c>
      <c r="Q16" s="152"/>
      <c r="R16" s="152"/>
      <c r="S16" s="152"/>
      <c r="T16" s="152"/>
      <c r="U16" s="152"/>
      <c r="V16" s="152"/>
      <c r="W16" s="152"/>
      <c r="X16" s="27">
        <f t="shared" si="3"/>
        <v>0</v>
      </c>
      <c r="Y16" s="39"/>
      <c r="Z16" s="39"/>
      <c r="AA16" s="39"/>
      <c r="AB16" s="39"/>
      <c r="AC16" s="39"/>
      <c r="AD16" s="39"/>
      <c r="AE16" s="39"/>
      <c r="AF16" s="27">
        <f t="shared" si="5"/>
        <v>0</v>
      </c>
    </row>
    <row r="17" spans="1:32" ht="11.25" customHeight="1" x14ac:dyDescent="0.2">
      <c r="A17" s="29"/>
      <c r="B17" s="35"/>
      <c r="C17" s="45"/>
      <c r="D17" s="46" t="s">
        <v>21</v>
      </c>
      <c r="E17" s="43" t="s">
        <v>76</v>
      </c>
      <c r="F17" s="33"/>
      <c r="G17" s="351" t="s">
        <v>77</v>
      </c>
      <c r="H17" s="297"/>
      <c r="I17" s="152"/>
      <c r="J17" s="152"/>
      <c r="K17" s="152"/>
      <c r="L17" s="152"/>
      <c r="M17" s="152"/>
      <c r="N17" s="152"/>
      <c r="O17" s="152"/>
      <c r="P17" s="27">
        <f t="shared" si="1"/>
        <v>0</v>
      </c>
      <c r="Q17" s="152"/>
      <c r="R17" s="152"/>
      <c r="S17" s="152"/>
      <c r="T17" s="152"/>
      <c r="U17" s="152"/>
      <c r="V17" s="152"/>
      <c r="W17" s="152"/>
      <c r="X17" s="27">
        <f t="shared" si="3"/>
        <v>0</v>
      </c>
      <c r="Y17" s="39"/>
      <c r="Z17" s="39"/>
      <c r="AA17" s="39"/>
      <c r="AB17" s="39"/>
      <c r="AC17" s="39"/>
      <c r="AD17" s="39"/>
      <c r="AE17" s="39"/>
      <c r="AF17" s="27">
        <f t="shared" si="5"/>
        <v>0</v>
      </c>
    </row>
    <row r="18" spans="1:32" ht="11.25" customHeight="1" x14ac:dyDescent="0.2">
      <c r="A18" s="34"/>
      <c r="B18" s="18"/>
      <c r="C18" s="14"/>
      <c r="D18" s="47" t="s">
        <v>78</v>
      </c>
      <c r="E18" s="14" t="s">
        <v>79</v>
      </c>
      <c r="F18" s="33"/>
      <c r="G18" s="351" t="s">
        <v>80</v>
      </c>
      <c r="H18" s="297"/>
      <c r="I18" s="152"/>
      <c r="J18" s="152"/>
      <c r="K18" s="152"/>
      <c r="L18" s="152"/>
      <c r="M18" s="152"/>
      <c r="N18" s="152"/>
      <c r="O18" s="152"/>
      <c r="P18" s="27">
        <f t="shared" si="1"/>
        <v>0</v>
      </c>
      <c r="Q18" s="152"/>
      <c r="R18" s="152"/>
      <c r="S18" s="152"/>
      <c r="T18" s="152"/>
      <c r="U18" s="152"/>
      <c r="V18" s="152"/>
      <c r="W18" s="152"/>
      <c r="X18" s="27">
        <f t="shared" si="3"/>
        <v>0</v>
      </c>
      <c r="Y18" s="39"/>
      <c r="Z18" s="39"/>
      <c r="AA18" s="39"/>
      <c r="AB18" s="39"/>
      <c r="AC18" s="39"/>
      <c r="AD18" s="39"/>
      <c r="AE18" s="39"/>
      <c r="AF18" s="27">
        <f t="shared" si="5"/>
        <v>0</v>
      </c>
    </row>
    <row r="19" spans="1:32" ht="11.25" customHeight="1" x14ac:dyDescent="0.2">
      <c r="A19" s="29"/>
      <c r="B19" s="35"/>
      <c r="C19" s="36" t="s">
        <v>81</v>
      </c>
      <c r="D19" s="48" t="s">
        <v>82</v>
      </c>
      <c r="E19" s="43"/>
      <c r="F19" s="49"/>
      <c r="G19" s="351" t="s">
        <v>83</v>
      </c>
      <c r="H19" s="297"/>
      <c r="I19" s="152"/>
      <c r="J19" s="152"/>
      <c r="K19" s="152"/>
      <c r="L19" s="152"/>
      <c r="M19" s="152"/>
      <c r="N19" s="152"/>
      <c r="O19" s="152"/>
      <c r="P19" s="27">
        <f t="shared" si="1"/>
        <v>0</v>
      </c>
      <c r="Q19" s="152"/>
      <c r="R19" s="152"/>
      <c r="S19" s="152"/>
      <c r="T19" s="152"/>
      <c r="U19" s="152"/>
      <c r="V19" s="152"/>
      <c r="W19" s="152"/>
      <c r="X19" s="27">
        <f t="shared" si="3"/>
        <v>0</v>
      </c>
      <c r="Y19" s="39"/>
      <c r="Z19" s="39"/>
      <c r="AA19" s="39"/>
      <c r="AB19" s="39"/>
      <c r="AC19" s="39"/>
      <c r="AD19" s="39"/>
      <c r="AE19" s="39"/>
      <c r="AF19" s="27">
        <f t="shared" si="5"/>
        <v>0</v>
      </c>
    </row>
    <row r="20" spans="1:32" ht="11.25" customHeight="1" x14ac:dyDescent="0.2">
      <c r="A20" s="34"/>
      <c r="B20" s="18"/>
      <c r="C20" s="40" t="s">
        <v>84</v>
      </c>
      <c r="D20" s="409" t="s">
        <v>85</v>
      </c>
      <c r="E20" s="410"/>
      <c r="F20" s="411"/>
      <c r="G20" s="351" t="s">
        <v>86</v>
      </c>
      <c r="H20" s="254"/>
      <c r="I20" s="27">
        <f t="shared" ref="I20:O20" si="18">+I21 + I22</f>
        <v>0</v>
      </c>
      <c r="J20" s="26">
        <f t="shared" si="18"/>
        <v>0</v>
      </c>
      <c r="K20" s="26">
        <f t="shared" si="18"/>
        <v>0</v>
      </c>
      <c r="L20" s="26">
        <f t="shared" si="18"/>
        <v>0</v>
      </c>
      <c r="M20" s="26">
        <f t="shared" si="18"/>
        <v>0</v>
      </c>
      <c r="N20" s="27">
        <f t="shared" si="18"/>
        <v>0</v>
      </c>
      <c r="O20" s="27">
        <f t="shared" si="18"/>
        <v>0</v>
      </c>
      <c r="P20" s="27">
        <f t="shared" si="1"/>
        <v>0</v>
      </c>
      <c r="Q20" s="26">
        <f t="shared" ref="Q20:W20" si="19">+Q21 + Q22</f>
        <v>0</v>
      </c>
      <c r="R20" s="26">
        <f t="shared" si="19"/>
        <v>0</v>
      </c>
      <c r="S20" s="26">
        <f t="shared" si="19"/>
        <v>0</v>
      </c>
      <c r="T20" s="26">
        <f t="shared" si="19"/>
        <v>0</v>
      </c>
      <c r="U20" s="26">
        <f t="shared" si="19"/>
        <v>0</v>
      </c>
      <c r="V20" s="27">
        <f t="shared" si="19"/>
        <v>0</v>
      </c>
      <c r="W20" s="27">
        <f t="shared" si="19"/>
        <v>0</v>
      </c>
      <c r="X20" s="27">
        <f t="shared" si="3"/>
        <v>0</v>
      </c>
      <c r="Y20" s="26">
        <f t="shared" ref="Y20:AE20" si="20">+Y21 + Y22</f>
        <v>0</v>
      </c>
      <c r="Z20" s="26">
        <f t="shared" si="20"/>
        <v>0</v>
      </c>
      <c r="AA20" s="26">
        <f t="shared" si="20"/>
        <v>0</v>
      </c>
      <c r="AB20" s="26">
        <f t="shared" si="20"/>
        <v>0</v>
      </c>
      <c r="AC20" s="26">
        <f t="shared" si="20"/>
        <v>0</v>
      </c>
      <c r="AD20" s="27">
        <f t="shared" si="20"/>
        <v>0</v>
      </c>
      <c r="AE20" s="27">
        <f t="shared" si="20"/>
        <v>0</v>
      </c>
      <c r="AF20" s="27">
        <f t="shared" si="5"/>
        <v>0</v>
      </c>
    </row>
    <row r="21" spans="1:32" ht="11.25" customHeight="1" x14ac:dyDescent="0.2">
      <c r="A21" s="29"/>
      <c r="B21" s="35"/>
      <c r="C21" s="36"/>
      <c r="D21" s="46" t="s">
        <v>18</v>
      </c>
      <c r="E21" s="43" t="s">
        <v>87</v>
      </c>
      <c r="F21" s="49"/>
      <c r="G21" s="351" t="s">
        <v>88</v>
      </c>
      <c r="H21" s="297"/>
      <c r="I21" s="152"/>
      <c r="J21" s="152"/>
      <c r="K21" s="152"/>
      <c r="L21" s="152"/>
      <c r="M21" s="152"/>
      <c r="N21" s="152"/>
      <c r="O21" s="152"/>
      <c r="P21" s="27">
        <f t="shared" si="1"/>
        <v>0</v>
      </c>
      <c r="Q21" s="152"/>
      <c r="R21" s="152"/>
      <c r="S21" s="152"/>
      <c r="T21" s="152"/>
      <c r="U21" s="152"/>
      <c r="V21" s="152"/>
      <c r="W21" s="152"/>
      <c r="X21" s="27">
        <f t="shared" si="3"/>
        <v>0</v>
      </c>
      <c r="Y21" s="39"/>
      <c r="Z21" s="39"/>
      <c r="AA21" s="39"/>
      <c r="AB21" s="39"/>
      <c r="AC21" s="39"/>
      <c r="AD21" s="39"/>
      <c r="AE21" s="39"/>
      <c r="AF21" s="27">
        <f t="shared" si="5"/>
        <v>0</v>
      </c>
    </row>
    <row r="22" spans="1:32" ht="11.25" customHeight="1" x14ac:dyDescent="0.2">
      <c r="A22" s="34"/>
      <c r="B22" s="18"/>
      <c r="C22" s="14"/>
      <c r="D22" s="44" t="s">
        <v>21</v>
      </c>
      <c r="E22" s="14" t="s">
        <v>89</v>
      </c>
      <c r="F22" s="49"/>
      <c r="G22" s="351" t="s">
        <v>90</v>
      </c>
      <c r="H22" s="297"/>
      <c r="I22" s="50"/>
      <c r="J22" s="50"/>
      <c r="K22" s="50"/>
      <c r="L22" s="50"/>
      <c r="M22" s="50"/>
      <c r="N22" s="152"/>
      <c r="O22" s="152"/>
      <c r="P22" s="27">
        <f t="shared" si="1"/>
        <v>0</v>
      </c>
      <c r="Q22" s="50"/>
      <c r="R22" s="50"/>
      <c r="S22" s="50"/>
      <c r="T22" s="50"/>
      <c r="U22" s="50"/>
      <c r="V22" s="152"/>
      <c r="W22" s="152"/>
      <c r="X22" s="27">
        <f t="shared" si="3"/>
        <v>0</v>
      </c>
      <c r="Y22" s="50"/>
      <c r="Z22" s="50"/>
      <c r="AA22" s="50"/>
      <c r="AB22" s="50"/>
      <c r="AC22" s="50"/>
      <c r="AD22" s="39"/>
      <c r="AE22" s="39"/>
      <c r="AF22" s="27">
        <f t="shared" si="5"/>
        <v>0</v>
      </c>
    </row>
    <row r="23" spans="1:32" ht="11.25" customHeight="1" x14ac:dyDescent="0.2">
      <c r="A23" s="29"/>
      <c r="B23" s="35"/>
      <c r="C23" s="45" t="s">
        <v>91</v>
      </c>
      <c r="D23" s="412" t="s">
        <v>92</v>
      </c>
      <c r="E23" s="413"/>
      <c r="F23" s="414"/>
      <c r="G23" s="351" t="s">
        <v>697</v>
      </c>
      <c r="H23" s="254"/>
      <c r="I23" s="27">
        <f t="shared" ref="I23:O23" si="21">+I24 + I25</f>
        <v>0</v>
      </c>
      <c r="J23" s="26">
        <f t="shared" si="21"/>
        <v>0</v>
      </c>
      <c r="K23" s="26">
        <f t="shared" si="21"/>
        <v>0</v>
      </c>
      <c r="L23" s="26">
        <f t="shared" si="21"/>
        <v>0</v>
      </c>
      <c r="M23" s="26">
        <f t="shared" si="21"/>
        <v>0</v>
      </c>
      <c r="N23" s="27">
        <f t="shared" si="21"/>
        <v>0</v>
      </c>
      <c r="O23" s="27">
        <f t="shared" si="21"/>
        <v>0</v>
      </c>
      <c r="P23" s="27">
        <f t="shared" si="1"/>
        <v>0</v>
      </c>
      <c r="Q23" s="26">
        <f t="shared" ref="Q23:W23" si="22">+Q24 + Q25</f>
        <v>0</v>
      </c>
      <c r="R23" s="26">
        <f t="shared" si="22"/>
        <v>0</v>
      </c>
      <c r="S23" s="26">
        <f t="shared" si="22"/>
        <v>0</v>
      </c>
      <c r="T23" s="26">
        <f t="shared" si="22"/>
        <v>0</v>
      </c>
      <c r="U23" s="26">
        <f t="shared" si="22"/>
        <v>0</v>
      </c>
      <c r="V23" s="27">
        <f t="shared" si="22"/>
        <v>0</v>
      </c>
      <c r="W23" s="27">
        <f t="shared" si="22"/>
        <v>0</v>
      </c>
      <c r="X23" s="27">
        <f t="shared" si="3"/>
        <v>0</v>
      </c>
      <c r="Y23" s="26">
        <f t="shared" ref="Y23:AE23" si="23">+Y24 + Y25</f>
        <v>0</v>
      </c>
      <c r="Z23" s="26">
        <f t="shared" si="23"/>
        <v>0</v>
      </c>
      <c r="AA23" s="26">
        <f t="shared" si="23"/>
        <v>0</v>
      </c>
      <c r="AB23" s="26">
        <f t="shared" si="23"/>
        <v>0</v>
      </c>
      <c r="AC23" s="26">
        <f t="shared" si="23"/>
        <v>0</v>
      </c>
      <c r="AD23" s="27">
        <f t="shared" si="23"/>
        <v>0</v>
      </c>
      <c r="AE23" s="27">
        <f t="shared" si="23"/>
        <v>0</v>
      </c>
      <c r="AF23" s="27">
        <f t="shared" si="5"/>
        <v>0</v>
      </c>
    </row>
    <row r="24" spans="1:32" ht="11.25" customHeight="1" x14ac:dyDescent="0.2">
      <c r="A24" s="34"/>
      <c r="B24" s="18"/>
      <c r="C24" s="14"/>
      <c r="D24" s="44" t="s">
        <v>18</v>
      </c>
      <c r="E24" s="14" t="s">
        <v>87</v>
      </c>
      <c r="F24" s="49"/>
      <c r="G24" s="351" t="s">
        <v>93</v>
      </c>
      <c r="H24" s="297"/>
      <c r="I24" s="152"/>
      <c r="J24" s="152"/>
      <c r="K24" s="152"/>
      <c r="L24" s="152"/>
      <c r="M24" s="152"/>
      <c r="N24" s="152"/>
      <c r="O24" s="152"/>
      <c r="P24" s="27">
        <f t="shared" si="1"/>
        <v>0</v>
      </c>
      <c r="Q24" s="152"/>
      <c r="R24" s="152"/>
      <c r="S24" s="152"/>
      <c r="T24" s="152"/>
      <c r="U24" s="152"/>
      <c r="V24" s="152"/>
      <c r="W24" s="152"/>
      <c r="X24" s="27">
        <f t="shared" si="3"/>
        <v>0</v>
      </c>
      <c r="Y24" s="39"/>
      <c r="Z24" s="39"/>
      <c r="AA24" s="39"/>
      <c r="AB24" s="39"/>
      <c r="AC24" s="39"/>
      <c r="AD24" s="39"/>
      <c r="AE24" s="39"/>
      <c r="AF24" s="27">
        <f t="shared" si="5"/>
        <v>0</v>
      </c>
    </row>
    <row r="25" spans="1:32" ht="11.25" customHeight="1" x14ac:dyDescent="0.2">
      <c r="A25" s="29"/>
      <c r="B25" s="35"/>
      <c r="C25" s="36"/>
      <c r="D25" s="46" t="s">
        <v>21</v>
      </c>
      <c r="E25" s="43" t="s">
        <v>89</v>
      </c>
      <c r="F25" s="49"/>
      <c r="G25" s="351" t="s">
        <v>94</v>
      </c>
      <c r="H25" s="297"/>
      <c r="I25" s="50"/>
      <c r="J25" s="50"/>
      <c r="K25" s="50"/>
      <c r="L25" s="50"/>
      <c r="M25" s="50"/>
      <c r="N25" s="152"/>
      <c r="O25" s="152"/>
      <c r="P25" s="27">
        <f t="shared" si="1"/>
        <v>0</v>
      </c>
      <c r="Q25" s="50"/>
      <c r="R25" s="50"/>
      <c r="S25" s="50"/>
      <c r="T25" s="50"/>
      <c r="U25" s="50"/>
      <c r="V25" s="152"/>
      <c r="W25" s="152"/>
      <c r="X25" s="27">
        <f t="shared" si="3"/>
        <v>0</v>
      </c>
      <c r="Y25" s="50"/>
      <c r="Z25" s="50"/>
      <c r="AA25" s="50"/>
      <c r="AB25" s="50"/>
      <c r="AC25" s="50"/>
      <c r="AD25" s="39"/>
      <c r="AE25" s="39"/>
      <c r="AF25" s="27">
        <f t="shared" si="5"/>
        <v>0</v>
      </c>
    </row>
    <row r="26" spans="1:32" ht="11.25" customHeight="1" x14ac:dyDescent="0.2">
      <c r="A26" s="34"/>
      <c r="B26" s="51" t="s">
        <v>95</v>
      </c>
      <c r="C26" s="52" t="s">
        <v>96</v>
      </c>
      <c r="D26" s="53"/>
      <c r="E26" s="14"/>
      <c r="F26" s="49"/>
      <c r="G26" s="351" t="s">
        <v>97</v>
      </c>
      <c r="H26" s="254"/>
      <c r="I26" s="54"/>
      <c r="J26" s="26">
        <f t="shared" ref="J26:O26" si="24">+J27 +J37 + J40 + J41 + J48</f>
        <v>0</v>
      </c>
      <c r="K26" s="26">
        <f t="shared" si="24"/>
        <v>0</v>
      </c>
      <c r="L26" s="26">
        <f t="shared" si="24"/>
        <v>0</v>
      </c>
      <c r="M26" s="26">
        <f t="shared" si="24"/>
        <v>0</v>
      </c>
      <c r="N26" s="27">
        <f t="shared" si="24"/>
        <v>0</v>
      </c>
      <c r="O26" s="27">
        <f t="shared" si="24"/>
        <v>0</v>
      </c>
      <c r="P26" s="27">
        <f t="shared" si="1"/>
        <v>0</v>
      </c>
      <c r="Q26" s="26">
        <f>+Q27 +Q37 + Q40 + Q41 + Q48</f>
        <v>0</v>
      </c>
      <c r="R26" s="54"/>
      <c r="S26" s="54"/>
      <c r="T26" s="26">
        <f>+T27 +T37 + T40 + T41 + T48</f>
        <v>0</v>
      </c>
      <c r="U26" s="26">
        <f>+U27 +U37 + U40 + U41 + U48</f>
        <v>0</v>
      </c>
      <c r="V26" s="27">
        <f>+V27 +V37 + V40 + V41 + V48</f>
        <v>0</v>
      </c>
      <c r="W26" s="27">
        <f>+W27 +W37 + W40 + W41 + W48</f>
        <v>0</v>
      </c>
      <c r="X26" s="27">
        <f t="shared" si="3"/>
        <v>0</v>
      </c>
      <c r="Y26" s="26">
        <f>+Y27 +Y37 + Y40 + Y41 + Y48</f>
        <v>0</v>
      </c>
      <c r="Z26" s="54"/>
      <c r="AA26" s="54"/>
      <c r="AB26" s="26">
        <f>+AB27 +AB37 + AB40 + AB41 + AB48</f>
        <v>0</v>
      </c>
      <c r="AC26" s="26">
        <f>+AC27 +AC37 + AC40 + AC41 + AC48</f>
        <v>0</v>
      </c>
      <c r="AD26" s="27">
        <f>+AD27 +AD37 + AD40 + AD41 + AD48</f>
        <v>0</v>
      </c>
      <c r="AE26" s="27">
        <f>+AE27 +AE37 + AE40 + AE41 + AE48</f>
        <v>0</v>
      </c>
      <c r="AF26" s="27">
        <f t="shared" si="5"/>
        <v>0</v>
      </c>
    </row>
    <row r="27" spans="1:32" ht="11.25" customHeight="1" x14ac:dyDescent="0.2">
      <c r="A27" s="29"/>
      <c r="B27" s="35"/>
      <c r="C27" s="36" t="s">
        <v>62</v>
      </c>
      <c r="D27" s="48" t="s">
        <v>98</v>
      </c>
      <c r="E27" s="43"/>
      <c r="F27" s="49"/>
      <c r="G27" s="351" t="s">
        <v>99</v>
      </c>
      <c r="H27" s="254"/>
      <c r="I27" s="54"/>
      <c r="J27" s="26">
        <f t="shared" ref="J27:O27" si="25">+J28 + J31 + J34</f>
        <v>0</v>
      </c>
      <c r="K27" s="26">
        <f t="shared" si="25"/>
        <v>0</v>
      </c>
      <c r="L27" s="26">
        <f t="shared" si="25"/>
        <v>0</v>
      </c>
      <c r="M27" s="26">
        <f t="shared" si="25"/>
        <v>0</v>
      </c>
      <c r="N27" s="27">
        <f t="shared" si="25"/>
        <v>0</v>
      </c>
      <c r="O27" s="27">
        <f t="shared" si="25"/>
        <v>0</v>
      </c>
      <c r="P27" s="27">
        <f t="shared" si="1"/>
        <v>0</v>
      </c>
      <c r="Q27" s="26">
        <f>+Q28 + Q31 + Q34</f>
        <v>0</v>
      </c>
      <c r="R27" s="54"/>
      <c r="S27" s="54"/>
      <c r="T27" s="26">
        <f>+T28 + T31 + T34</f>
        <v>0</v>
      </c>
      <c r="U27" s="26">
        <f>+U28 + U31 + U34</f>
        <v>0</v>
      </c>
      <c r="V27" s="27">
        <f>+V28 + V31 + V34</f>
        <v>0</v>
      </c>
      <c r="W27" s="27">
        <f>+W28 + W31 + W34</f>
        <v>0</v>
      </c>
      <c r="X27" s="27">
        <f t="shared" si="3"/>
        <v>0</v>
      </c>
      <c r="Y27" s="26">
        <f>+Y28 + Y31 + Y34</f>
        <v>0</v>
      </c>
      <c r="Z27" s="54"/>
      <c r="AA27" s="54"/>
      <c r="AB27" s="26">
        <f>+AB28 + AB31 + AB34</f>
        <v>0</v>
      </c>
      <c r="AC27" s="26">
        <f>+AC28 + AC31 + AC34</f>
        <v>0</v>
      </c>
      <c r="AD27" s="27">
        <f>+AD28 + AD31 + AD34</f>
        <v>0</v>
      </c>
      <c r="AE27" s="27">
        <f>+AE28 + AE31 + AE34</f>
        <v>0</v>
      </c>
      <c r="AF27" s="27">
        <f t="shared" si="5"/>
        <v>0</v>
      </c>
    </row>
    <row r="28" spans="1:32" ht="11.25" customHeight="1" x14ac:dyDescent="0.2">
      <c r="A28" s="34"/>
      <c r="B28" s="18"/>
      <c r="C28" s="14"/>
      <c r="D28" s="53">
        <v>-1</v>
      </c>
      <c r="E28" s="14" t="s">
        <v>100</v>
      </c>
      <c r="F28" s="49"/>
      <c r="G28" s="351" t="s">
        <v>101</v>
      </c>
      <c r="H28" s="254"/>
      <c r="I28" s="54"/>
      <c r="J28" s="26">
        <f t="shared" ref="J28:O28" si="26">+J29 + J30</f>
        <v>0</v>
      </c>
      <c r="K28" s="26">
        <f t="shared" si="26"/>
        <v>0</v>
      </c>
      <c r="L28" s="26">
        <f t="shared" si="26"/>
        <v>0</v>
      </c>
      <c r="M28" s="26">
        <f t="shared" si="26"/>
        <v>0</v>
      </c>
      <c r="N28" s="27">
        <f t="shared" si="26"/>
        <v>0</v>
      </c>
      <c r="O28" s="27">
        <f t="shared" si="26"/>
        <v>0</v>
      </c>
      <c r="P28" s="27">
        <f t="shared" si="1"/>
        <v>0</v>
      </c>
      <c r="Q28" s="26">
        <f>+Q29 + Q30</f>
        <v>0</v>
      </c>
      <c r="R28" s="54"/>
      <c r="S28" s="54"/>
      <c r="T28" s="26">
        <f>+T29 + T30</f>
        <v>0</v>
      </c>
      <c r="U28" s="26">
        <f>+U29 + U30</f>
        <v>0</v>
      </c>
      <c r="V28" s="27">
        <f>+V29 + V30</f>
        <v>0</v>
      </c>
      <c r="W28" s="27">
        <f>+W29 + W30</f>
        <v>0</v>
      </c>
      <c r="X28" s="27">
        <f t="shared" si="3"/>
        <v>0</v>
      </c>
      <c r="Y28" s="26">
        <f>+Y29 + Y30</f>
        <v>0</v>
      </c>
      <c r="Z28" s="54"/>
      <c r="AA28" s="54"/>
      <c r="AB28" s="26">
        <f>+AB29 + AB30</f>
        <v>0</v>
      </c>
      <c r="AC28" s="26">
        <f>+AC29 + AC30</f>
        <v>0</v>
      </c>
      <c r="AD28" s="27">
        <f>+AD29 + AD30</f>
        <v>0</v>
      </c>
      <c r="AE28" s="27">
        <f>+AE29 + AE30</f>
        <v>0</v>
      </c>
      <c r="AF28" s="27">
        <f t="shared" si="5"/>
        <v>0</v>
      </c>
    </row>
    <row r="29" spans="1:32" ht="11.25" customHeight="1" x14ac:dyDescent="0.2">
      <c r="A29" s="55"/>
      <c r="B29" s="56"/>
      <c r="C29" s="57"/>
      <c r="D29" s="58" t="s">
        <v>102</v>
      </c>
      <c r="E29" s="59" t="s">
        <v>87</v>
      </c>
      <c r="F29" s="60"/>
      <c r="G29" s="351" t="s">
        <v>103</v>
      </c>
      <c r="H29" s="297"/>
      <c r="I29" s="50"/>
      <c r="J29" s="152"/>
      <c r="K29" s="152"/>
      <c r="L29" s="152"/>
      <c r="M29" s="152"/>
      <c r="N29" s="152"/>
      <c r="O29" s="152"/>
      <c r="P29" s="27">
        <f t="shared" si="1"/>
        <v>0</v>
      </c>
      <c r="Q29" s="39"/>
      <c r="R29" s="50"/>
      <c r="S29" s="50"/>
      <c r="T29" s="152"/>
      <c r="U29" s="152"/>
      <c r="V29" s="152"/>
      <c r="W29" s="152"/>
      <c r="X29" s="27">
        <f t="shared" si="3"/>
        <v>0</v>
      </c>
      <c r="Y29" s="39"/>
      <c r="Z29" s="50"/>
      <c r="AA29" s="50"/>
      <c r="AB29" s="39"/>
      <c r="AC29" s="39"/>
      <c r="AD29" s="39"/>
      <c r="AE29" s="39"/>
      <c r="AF29" s="27">
        <f t="shared" si="5"/>
        <v>0</v>
      </c>
    </row>
    <row r="30" spans="1:32" ht="11.25" customHeight="1" x14ac:dyDescent="0.2">
      <c r="A30" s="61"/>
      <c r="B30" s="62"/>
      <c r="D30" s="64" t="s">
        <v>104</v>
      </c>
      <c r="E30" s="63" t="s">
        <v>89</v>
      </c>
      <c r="F30" s="60"/>
      <c r="G30" s="351" t="s">
        <v>105</v>
      </c>
      <c r="H30" s="297"/>
      <c r="I30" s="50"/>
      <c r="J30" s="152"/>
      <c r="K30" s="152"/>
      <c r="L30" s="152"/>
      <c r="M30" s="152"/>
      <c r="N30" s="152"/>
      <c r="O30" s="152"/>
      <c r="P30" s="27">
        <f t="shared" si="1"/>
        <v>0</v>
      </c>
      <c r="Q30" s="39"/>
      <c r="R30" s="50"/>
      <c r="S30" s="50"/>
      <c r="T30" s="152"/>
      <c r="U30" s="152"/>
      <c r="V30" s="152"/>
      <c r="W30" s="152"/>
      <c r="X30" s="27">
        <f t="shared" si="3"/>
        <v>0</v>
      </c>
      <c r="Y30" s="39"/>
      <c r="Z30" s="50"/>
      <c r="AA30" s="50"/>
      <c r="AB30" s="39"/>
      <c r="AC30" s="39"/>
      <c r="AD30" s="39"/>
      <c r="AE30" s="39"/>
      <c r="AF30" s="27">
        <f t="shared" si="5"/>
        <v>0</v>
      </c>
    </row>
    <row r="31" spans="1:32" ht="11.25" customHeight="1" x14ac:dyDescent="0.2">
      <c r="A31" s="55"/>
      <c r="B31" s="56"/>
      <c r="C31" s="57"/>
      <c r="D31" s="65">
        <f>D28-1</f>
        <v>-2</v>
      </c>
      <c r="E31" s="59" t="s">
        <v>106</v>
      </c>
      <c r="F31" s="60"/>
      <c r="G31" s="351" t="s">
        <v>107</v>
      </c>
      <c r="H31" s="254"/>
      <c r="I31" s="54"/>
      <c r="J31" s="27">
        <f t="shared" ref="J31:O31" si="27">+J32 + J33</f>
        <v>0</v>
      </c>
      <c r="K31" s="27">
        <f t="shared" si="27"/>
        <v>0</v>
      </c>
      <c r="L31" s="27">
        <f t="shared" si="27"/>
        <v>0</v>
      </c>
      <c r="M31" s="27">
        <f t="shared" si="27"/>
        <v>0</v>
      </c>
      <c r="N31" s="27">
        <f t="shared" si="27"/>
        <v>0</v>
      </c>
      <c r="O31" s="27">
        <f t="shared" si="27"/>
        <v>0</v>
      </c>
      <c r="P31" s="27">
        <f t="shared" si="1"/>
        <v>0</v>
      </c>
      <c r="Q31" s="27">
        <f t="shared" ref="Q31:W31" si="28">+Q32 + Q33</f>
        <v>0</v>
      </c>
      <c r="R31" s="54"/>
      <c r="S31" s="54"/>
      <c r="T31" s="27">
        <f t="shared" si="28"/>
        <v>0</v>
      </c>
      <c r="U31" s="27">
        <f t="shared" si="28"/>
        <v>0</v>
      </c>
      <c r="V31" s="27">
        <f t="shared" si="28"/>
        <v>0</v>
      </c>
      <c r="W31" s="27">
        <f t="shared" si="28"/>
        <v>0</v>
      </c>
      <c r="X31" s="27">
        <f t="shared" si="3"/>
        <v>0</v>
      </c>
      <c r="Y31" s="27">
        <f t="shared" ref="Y31:AE31" si="29">+Y32 + Y33</f>
        <v>0</v>
      </c>
      <c r="Z31" s="54"/>
      <c r="AA31" s="54"/>
      <c r="AB31" s="27">
        <f t="shared" si="29"/>
        <v>0</v>
      </c>
      <c r="AC31" s="27">
        <f t="shared" si="29"/>
        <v>0</v>
      </c>
      <c r="AD31" s="27">
        <f t="shared" si="29"/>
        <v>0</v>
      </c>
      <c r="AE31" s="27">
        <f t="shared" si="29"/>
        <v>0</v>
      </c>
      <c r="AF31" s="27">
        <f t="shared" si="5"/>
        <v>0</v>
      </c>
    </row>
    <row r="32" spans="1:32" ht="11.25" customHeight="1" x14ac:dyDescent="0.2">
      <c r="A32" s="61"/>
      <c r="B32" s="62"/>
      <c r="D32" s="64" t="s">
        <v>108</v>
      </c>
      <c r="E32" s="63" t="s">
        <v>87</v>
      </c>
      <c r="F32" s="60"/>
      <c r="G32" s="351" t="s">
        <v>109</v>
      </c>
      <c r="H32" s="297"/>
      <c r="I32" s="50"/>
      <c r="J32" s="152"/>
      <c r="K32" s="152"/>
      <c r="L32" s="152"/>
      <c r="M32" s="152"/>
      <c r="N32" s="152"/>
      <c r="O32" s="152"/>
      <c r="P32" s="27">
        <f t="shared" si="1"/>
        <v>0</v>
      </c>
      <c r="Q32" s="39"/>
      <c r="R32" s="50"/>
      <c r="S32" s="50"/>
      <c r="T32" s="152"/>
      <c r="U32" s="152"/>
      <c r="V32" s="152"/>
      <c r="W32" s="152"/>
      <c r="X32" s="27">
        <f t="shared" si="3"/>
        <v>0</v>
      </c>
      <c r="Y32" s="39"/>
      <c r="Z32" s="50"/>
      <c r="AA32" s="50"/>
      <c r="AB32" s="39"/>
      <c r="AC32" s="39"/>
      <c r="AD32" s="39"/>
      <c r="AE32" s="39"/>
      <c r="AF32" s="27">
        <f t="shared" si="5"/>
        <v>0</v>
      </c>
    </row>
    <row r="33" spans="1:32" ht="11.25" customHeight="1" x14ac:dyDescent="0.2">
      <c r="A33" s="55"/>
      <c r="B33" s="56"/>
      <c r="C33" s="57"/>
      <c r="D33" s="58" t="s">
        <v>110</v>
      </c>
      <c r="E33" s="59" t="s">
        <v>89</v>
      </c>
      <c r="F33" s="60"/>
      <c r="G33" s="351" t="s">
        <v>111</v>
      </c>
      <c r="H33" s="297"/>
      <c r="I33" s="50"/>
      <c r="J33" s="152"/>
      <c r="K33" s="152"/>
      <c r="L33" s="152"/>
      <c r="M33" s="152"/>
      <c r="N33" s="152"/>
      <c r="O33" s="152"/>
      <c r="P33" s="27">
        <f t="shared" si="1"/>
        <v>0</v>
      </c>
      <c r="Q33" s="39"/>
      <c r="R33" s="50"/>
      <c r="S33" s="50"/>
      <c r="T33" s="152"/>
      <c r="U33" s="152"/>
      <c r="V33" s="152"/>
      <c r="W33" s="152"/>
      <c r="X33" s="27">
        <f t="shared" si="3"/>
        <v>0</v>
      </c>
      <c r="Y33" s="39"/>
      <c r="Z33" s="50"/>
      <c r="AA33" s="50"/>
      <c r="AB33" s="39"/>
      <c r="AC33" s="39"/>
      <c r="AD33" s="39"/>
      <c r="AE33" s="39"/>
      <c r="AF33" s="27">
        <f t="shared" si="5"/>
        <v>0</v>
      </c>
    </row>
    <row r="34" spans="1:32" ht="11.25" customHeight="1" x14ac:dyDescent="0.2">
      <c r="A34" s="61"/>
      <c r="B34" s="62"/>
      <c r="D34" s="66">
        <f>D31-1</f>
        <v>-3</v>
      </c>
      <c r="E34" s="63" t="s">
        <v>112</v>
      </c>
      <c r="F34" s="60"/>
      <c r="G34" s="351" t="s">
        <v>113</v>
      </c>
      <c r="H34" s="254"/>
      <c r="I34" s="54"/>
      <c r="J34" s="27">
        <f t="shared" ref="J34:O34" si="30">+J35 + J36</f>
        <v>0</v>
      </c>
      <c r="K34" s="27">
        <f t="shared" si="30"/>
        <v>0</v>
      </c>
      <c r="L34" s="27">
        <f t="shared" si="30"/>
        <v>0</v>
      </c>
      <c r="M34" s="27">
        <f t="shared" si="30"/>
        <v>0</v>
      </c>
      <c r="N34" s="27">
        <f t="shared" si="30"/>
        <v>0</v>
      </c>
      <c r="O34" s="27">
        <f t="shared" si="30"/>
        <v>0</v>
      </c>
      <c r="P34" s="27">
        <f t="shared" si="1"/>
        <v>0</v>
      </c>
      <c r="Q34" s="27">
        <f t="shared" ref="Q34:W34" si="31">+Q35 + Q36</f>
        <v>0</v>
      </c>
      <c r="R34" s="54"/>
      <c r="S34" s="54"/>
      <c r="T34" s="27">
        <f t="shared" si="31"/>
        <v>0</v>
      </c>
      <c r="U34" s="27">
        <f t="shared" si="31"/>
        <v>0</v>
      </c>
      <c r="V34" s="27">
        <f t="shared" si="31"/>
        <v>0</v>
      </c>
      <c r="W34" s="27">
        <f t="shared" si="31"/>
        <v>0</v>
      </c>
      <c r="X34" s="27">
        <f t="shared" si="3"/>
        <v>0</v>
      </c>
      <c r="Y34" s="27">
        <f t="shared" ref="Y34:AE34" si="32">+Y35 + Y36</f>
        <v>0</v>
      </c>
      <c r="Z34" s="54"/>
      <c r="AA34" s="54"/>
      <c r="AB34" s="27">
        <f t="shared" si="32"/>
        <v>0</v>
      </c>
      <c r="AC34" s="27">
        <f t="shared" si="32"/>
        <v>0</v>
      </c>
      <c r="AD34" s="27">
        <f t="shared" si="32"/>
        <v>0</v>
      </c>
      <c r="AE34" s="27">
        <f t="shared" si="32"/>
        <v>0</v>
      </c>
      <c r="AF34" s="27">
        <f t="shared" si="5"/>
        <v>0</v>
      </c>
    </row>
    <row r="35" spans="1:32" ht="11.25" customHeight="1" x14ac:dyDescent="0.2">
      <c r="A35" s="55"/>
      <c r="B35" s="56"/>
      <c r="C35" s="57"/>
      <c r="D35" s="58" t="s">
        <v>114</v>
      </c>
      <c r="E35" s="59" t="s">
        <v>87</v>
      </c>
      <c r="F35" s="60"/>
      <c r="G35" s="351" t="s">
        <v>115</v>
      </c>
      <c r="H35" s="297"/>
      <c r="I35" s="50"/>
      <c r="J35" s="152"/>
      <c r="K35" s="152"/>
      <c r="L35" s="152"/>
      <c r="M35" s="152"/>
      <c r="N35" s="152"/>
      <c r="O35" s="152"/>
      <c r="P35" s="27">
        <f t="shared" si="1"/>
        <v>0</v>
      </c>
      <c r="Q35" s="39"/>
      <c r="R35" s="50"/>
      <c r="S35" s="50"/>
      <c r="T35" s="152"/>
      <c r="U35" s="152"/>
      <c r="V35" s="152"/>
      <c r="W35" s="152"/>
      <c r="X35" s="27">
        <f t="shared" si="3"/>
        <v>0</v>
      </c>
      <c r="Y35" s="39"/>
      <c r="Z35" s="50"/>
      <c r="AA35" s="50"/>
      <c r="AB35" s="39"/>
      <c r="AC35" s="39"/>
      <c r="AD35" s="39"/>
      <c r="AE35" s="39"/>
      <c r="AF35" s="27">
        <f t="shared" si="5"/>
        <v>0</v>
      </c>
    </row>
    <row r="36" spans="1:32" ht="11.25" customHeight="1" x14ac:dyDescent="0.2">
      <c r="A36" s="61"/>
      <c r="B36" s="62"/>
      <c r="D36" s="64" t="s">
        <v>116</v>
      </c>
      <c r="E36" s="63" t="s">
        <v>89</v>
      </c>
      <c r="F36" s="60"/>
      <c r="G36" s="351" t="s">
        <v>117</v>
      </c>
      <c r="H36" s="297"/>
      <c r="I36" s="50"/>
      <c r="J36" s="152"/>
      <c r="K36" s="152"/>
      <c r="L36" s="152"/>
      <c r="M36" s="152"/>
      <c r="N36" s="152"/>
      <c r="O36" s="152"/>
      <c r="P36" s="27">
        <f t="shared" si="1"/>
        <v>0</v>
      </c>
      <c r="Q36" s="39"/>
      <c r="R36" s="50"/>
      <c r="S36" s="50"/>
      <c r="T36" s="152"/>
      <c r="U36" s="152"/>
      <c r="V36" s="152"/>
      <c r="W36" s="152"/>
      <c r="X36" s="27">
        <f t="shared" si="3"/>
        <v>0</v>
      </c>
      <c r="Y36" s="39"/>
      <c r="Z36" s="50"/>
      <c r="AA36" s="50"/>
      <c r="AB36" s="39"/>
      <c r="AC36" s="39"/>
      <c r="AD36" s="39"/>
      <c r="AE36" s="39"/>
      <c r="AF36" s="27">
        <f t="shared" si="5"/>
        <v>0</v>
      </c>
    </row>
    <row r="37" spans="1:32" ht="11.25" customHeight="1" x14ac:dyDescent="0.2">
      <c r="A37" s="55"/>
      <c r="B37" s="56"/>
      <c r="C37" s="57" t="s">
        <v>68</v>
      </c>
      <c r="D37" s="68" t="s">
        <v>118</v>
      </c>
      <c r="E37" s="59"/>
      <c r="F37" s="60"/>
      <c r="G37" s="351" t="s">
        <v>119</v>
      </c>
      <c r="H37" s="254"/>
      <c r="I37" s="54"/>
      <c r="J37" s="26">
        <f t="shared" ref="J37:O37" si="33">+J38 + J39</f>
        <v>0</v>
      </c>
      <c r="K37" s="26">
        <f t="shared" si="33"/>
        <v>0</v>
      </c>
      <c r="L37" s="26">
        <f t="shared" si="33"/>
        <v>0</v>
      </c>
      <c r="M37" s="26">
        <f t="shared" si="33"/>
        <v>0</v>
      </c>
      <c r="N37" s="27">
        <f t="shared" si="33"/>
        <v>0</v>
      </c>
      <c r="O37" s="27">
        <f t="shared" si="33"/>
        <v>0</v>
      </c>
      <c r="P37" s="27">
        <f t="shared" si="1"/>
        <v>0</v>
      </c>
      <c r="Q37" s="26">
        <f t="shared" ref="Q37:W37" si="34">+Q38 + Q39</f>
        <v>0</v>
      </c>
      <c r="R37" s="54"/>
      <c r="S37" s="54"/>
      <c r="T37" s="26">
        <f t="shared" si="34"/>
        <v>0</v>
      </c>
      <c r="U37" s="26">
        <f t="shared" si="34"/>
        <v>0</v>
      </c>
      <c r="V37" s="27">
        <f t="shared" si="34"/>
        <v>0</v>
      </c>
      <c r="W37" s="27">
        <f t="shared" si="34"/>
        <v>0</v>
      </c>
      <c r="X37" s="27">
        <f t="shared" si="3"/>
        <v>0</v>
      </c>
      <c r="Y37" s="26">
        <f t="shared" ref="Y37:AE37" si="35">+Y38 + Y39</f>
        <v>0</v>
      </c>
      <c r="Z37" s="54"/>
      <c r="AA37" s="54"/>
      <c r="AB37" s="26">
        <f t="shared" si="35"/>
        <v>0</v>
      </c>
      <c r="AC37" s="26">
        <f t="shared" si="35"/>
        <v>0</v>
      </c>
      <c r="AD37" s="27">
        <f t="shared" si="35"/>
        <v>0</v>
      </c>
      <c r="AE37" s="27">
        <f t="shared" si="35"/>
        <v>0</v>
      </c>
      <c r="AF37" s="27">
        <f t="shared" si="5"/>
        <v>0</v>
      </c>
    </row>
    <row r="38" spans="1:32" ht="11.25" customHeight="1" x14ac:dyDescent="0.2">
      <c r="A38" s="61"/>
      <c r="B38" s="62"/>
      <c r="C38" s="69"/>
      <c r="D38" s="70" t="s">
        <v>18</v>
      </c>
      <c r="E38" s="63" t="s">
        <v>120</v>
      </c>
      <c r="F38" s="60"/>
      <c r="G38" s="351" t="s">
        <v>121</v>
      </c>
      <c r="H38" s="297"/>
      <c r="I38" s="50"/>
      <c r="J38" s="152"/>
      <c r="K38" s="152"/>
      <c r="L38" s="152"/>
      <c r="M38" s="152"/>
      <c r="N38" s="152"/>
      <c r="O38" s="152"/>
      <c r="P38" s="27">
        <f t="shared" si="1"/>
        <v>0</v>
      </c>
      <c r="Q38" s="39"/>
      <c r="R38" s="50"/>
      <c r="S38" s="50"/>
      <c r="T38" s="152"/>
      <c r="U38" s="152"/>
      <c r="V38" s="152"/>
      <c r="W38" s="152"/>
      <c r="X38" s="27">
        <f t="shared" si="3"/>
        <v>0</v>
      </c>
      <c r="Y38" s="39"/>
      <c r="Z38" s="50"/>
      <c r="AA38" s="50"/>
      <c r="AB38" s="39"/>
      <c r="AC38" s="39"/>
      <c r="AD38" s="39"/>
      <c r="AE38" s="39"/>
      <c r="AF38" s="27">
        <f t="shared" si="5"/>
        <v>0</v>
      </c>
    </row>
    <row r="39" spans="1:32" ht="11.25" customHeight="1" x14ac:dyDescent="0.2">
      <c r="A39" s="55"/>
      <c r="B39" s="56"/>
      <c r="C39" s="71"/>
      <c r="D39" s="72" t="s">
        <v>21</v>
      </c>
      <c r="E39" s="59" t="s">
        <v>122</v>
      </c>
      <c r="F39" s="60"/>
      <c r="G39" s="351" t="s">
        <v>123</v>
      </c>
      <c r="H39" s="297"/>
      <c r="I39" s="50"/>
      <c r="J39" s="152"/>
      <c r="K39" s="152"/>
      <c r="L39" s="152"/>
      <c r="M39" s="152"/>
      <c r="N39" s="152"/>
      <c r="O39" s="152"/>
      <c r="P39" s="27">
        <f t="shared" si="1"/>
        <v>0</v>
      </c>
      <c r="Q39" s="39"/>
      <c r="R39" s="50"/>
      <c r="S39" s="50"/>
      <c r="T39" s="152"/>
      <c r="U39" s="152"/>
      <c r="V39" s="152"/>
      <c r="W39" s="152"/>
      <c r="X39" s="27">
        <f t="shared" si="3"/>
        <v>0</v>
      </c>
      <c r="Y39" s="39"/>
      <c r="Z39" s="50"/>
      <c r="AA39" s="50"/>
      <c r="AB39" s="39"/>
      <c r="AC39" s="39"/>
      <c r="AD39" s="39"/>
      <c r="AE39" s="39"/>
      <c r="AF39" s="27">
        <f t="shared" si="5"/>
        <v>0</v>
      </c>
    </row>
    <row r="40" spans="1:32" ht="11.25" customHeight="1" x14ac:dyDescent="0.2">
      <c r="A40" s="61"/>
      <c r="B40" s="62"/>
      <c r="C40" s="63" t="s">
        <v>81</v>
      </c>
      <c r="D40" s="73" t="s">
        <v>124</v>
      </c>
      <c r="F40" s="60"/>
      <c r="G40" s="351" t="s">
        <v>125</v>
      </c>
      <c r="H40" s="297"/>
      <c r="I40" s="50"/>
      <c r="J40" s="152"/>
      <c r="K40" s="152"/>
      <c r="L40" s="152"/>
      <c r="M40" s="152"/>
      <c r="N40" s="152"/>
      <c r="O40" s="152"/>
      <c r="P40" s="27">
        <f t="shared" si="1"/>
        <v>0</v>
      </c>
      <c r="Q40" s="39"/>
      <c r="R40" s="50"/>
      <c r="S40" s="50"/>
      <c r="T40" s="152"/>
      <c r="U40" s="152"/>
      <c r="V40" s="152"/>
      <c r="W40" s="152"/>
      <c r="X40" s="27">
        <f t="shared" si="3"/>
        <v>0</v>
      </c>
      <c r="Y40" s="39"/>
      <c r="Z40" s="50"/>
      <c r="AA40" s="50"/>
      <c r="AB40" s="39"/>
      <c r="AC40" s="39"/>
      <c r="AD40" s="39"/>
      <c r="AE40" s="39"/>
      <c r="AF40" s="27">
        <f t="shared" si="5"/>
        <v>0</v>
      </c>
    </row>
    <row r="41" spans="1:32" ht="11.25" customHeight="1" x14ac:dyDescent="0.2">
      <c r="A41" s="55"/>
      <c r="B41" s="56"/>
      <c r="C41" s="71" t="s">
        <v>126</v>
      </c>
      <c r="D41" s="415" t="s">
        <v>127</v>
      </c>
      <c r="E41" s="416"/>
      <c r="F41" s="417"/>
      <c r="G41" s="351" t="s">
        <v>128</v>
      </c>
      <c r="H41" s="254"/>
      <c r="I41" s="54"/>
      <c r="J41" s="26">
        <f t="shared" ref="J41:O41" si="36">+J42 + J45</f>
        <v>0</v>
      </c>
      <c r="K41" s="26">
        <f t="shared" si="36"/>
        <v>0</v>
      </c>
      <c r="L41" s="26">
        <f t="shared" si="36"/>
        <v>0</v>
      </c>
      <c r="M41" s="26">
        <f t="shared" si="36"/>
        <v>0</v>
      </c>
      <c r="N41" s="27">
        <f t="shared" si="36"/>
        <v>0</v>
      </c>
      <c r="O41" s="27">
        <f t="shared" si="36"/>
        <v>0</v>
      </c>
      <c r="P41" s="27">
        <f t="shared" si="1"/>
        <v>0</v>
      </c>
      <c r="Q41" s="26">
        <f>+Q42 + Q45</f>
        <v>0</v>
      </c>
      <c r="R41" s="54"/>
      <c r="S41" s="54"/>
      <c r="T41" s="26">
        <f>+T42 + T45</f>
        <v>0</v>
      </c>
      <c r="U41" s="26">
        <f>+U42 + U45</f>
        <v>0</v>
      </c>
      <c r="V41" s="27">
        <f>+V42 + V45</f>
        <v>0</v>
      </c>
      <c r="W41" s="27">
        <f>+W42 + W45</f>
        <v>0</v>
      </c>
      <c r="X41" s="27">
        <f t="shared" si="3"/>
        <v>0</v>
      </c>
      <c r="Y41" s="26">
        <f>+Y42 + Y45</f>
        <v>0</v>
      </c>
      <c r="Z41" s="54"/>
      <c r="AA41" s="54"/>
      <c r="AB41" s="26">
        <f>+AB42 + AB45</f>
        <v>0</v>
      </c>
      <c r="AC41" s="26">
        <f>+AC42 + AC45</f>
        <v>0</v>
      </c>
      <c r="AD41" s="27">
        <f>+AD42 + AD45</f>
        <v>0</v>
      </c>
      <c r="AE41" s="27">
        <f>+AE42 + AE45</f>
        <v>0</v>
      </c>
      <c r="AF41" s="27">
        <f t="shared" si="5"/>
        <v>0</v>
      </c>
    </row>
    <row r="42" spans="1:32" ht="11.25" customHeight="1" x14ac:dyDescent="0.2">
      <c r="A42" s="61"/>
      <c r="B42" s="62"/>
      <c r="D42" s="70" t="s">
        <v>18</v>
      </c>
      <c r="E42" s="63" t="s">
        <v>87</v>
      </c>
      <c r="F42" s="60"/>
      <c r="G42" s="351" t="s">
        <v>129</v>
      </c>
      <c r="H42" s="254"/>
      <c r="I42" s="54"/>
      <c r="J42" s="26">
        <f t="shared" ref="J42:O42" si="37">+J43 + J44</f>
        <v>0</v>
      </c>
      <c r="K42" s="26">
        <f t="shared" si="37"/>
        <v>0</v>
      </c>
      <c r="L42" s="26">
        <f t="shared" si="37"/>
        <v>0</v>
      </c>
      <c r="M42" s="26">
        <f t="shared" si="37"/>
        <v>0</v>
      </c>
      <c r="N42" s="27">
        <f t="shared" si="37"/>
        <v>0</v>
      </c>
      <c r="O42" s="27">
        <f t="shared" si="37"/>
        <v>0</v>
      </c>
      <c r="P42" s="27">
        <f t="shared" si="1"/>
        <v>0</v>
      </c>
      <c r="Q42" s="26">
        <f>+Q43 + Q44</f>
        <v>0</v>
      </c>
      <c r="R42" s="54"/>
      <c r="S42" s="54"/>
      <c r="T42" s="26">
        <f>+T43 + T44</f>
        <v>0</v>
      </c>
      <c r="U42" s="26">
        <f>+U43 + U44</f>
        <v>0</v>
      </c>
      <c r="V42" s="27">
        <f>+V43 + V44</f>
        <v>0</v>
      </c>
      <c r="W42" s="27">
        <f>+W43 + W44</f>
        <v>0</v>
      </c>
      <c r="X42" s="27">
        <f t="shared" si="3"/>
        <v>0</v>
      </c>
      <c r="Y42" s="26">
        <f>+Y43 + Y44</f>
        <v>0</v>
      </c>
      <c r="Z42" s="54"/>
      <c r="AA42" s="54"/>
      <c r="AB42" s="26">
        <f>+AB43 + AB44</f>
        <v>0</v>
      </c>
      <c r="AC42" s="26">
        <f>+AC43 + AC44</f>
        <v>0</v>
      </c>
      <c r="AD42" s="27">
        <f>+AD43 + AD44</f>
        <v>0</v>
      </c>
      <c r="AE42" s="27">
        <f>+AE43 + AE44</f>
        <v>0</v>
      </c>
      <c r="AF42" s="27">
        <f t="shared" si="5"/>
        <v>0</v>
      </c>
    </row>
    <row r="43" spans="1:32" ht="11.25" customHeight="1" x14ac:dyDescent="0.2">
      <c r="A43" s="55"/>
      <c r="B43" s="56"/>
      <c r="C43" s="57"/>
      <c r="D43" s="58" t="s">
        <v>102</v>
      </c>
      <c r="E43" s="59" t="s">
        <v>130</v>
      </c>
      <c r="F43" s="60"/>
      <c r="G43" s="351" t="s">
        <v>131</v>
      </c>
      <c r="H43" s="297"/>
      <c r="I43" s="50"/>
      <c r="J43" s="152"/>
      <c r="K43" s="152"/>
      <c r="L43" s="152"/>
      <c r="M43" s="152"/>
      <c r="N43" s="152"/>
      <c r="O43" s="152"/>
      <c r="P43" s="27">
        <f t="shared" si="1"/>
        <v>0</v>
      </c>
      <c r="Q43" s="39"/>
      <c r="R43" s="50"/>
      <c r="S43" s="50"/>
      <c r="T43" s="152"/>
      <c r="U43" s="152"/>
      <c r="V43" s="152"/>
      <c r="W43" s="152"/>
      <c r="X43" s="27">
        <f t="shared" si="3"/>
        <v>0</v>
      </c>
      <c r="Y43" s="39"/>
      <c r="Z43" s="50"/>
      <c r="AA43" s="50"/>
      <c r="AB43" s="39"/>
      <c r="AC43" s="39"/>
      <c r="AD43" s="39"/>
      <c r="AE43" s="39"/>
      <c r="AF43" s="27">
        <f t="shared" si="5"/>
        <v>0</v>
      </c>
    </row>
    <row r="44" spans="1:32" ht="11.25" customHeight="1" x14ac:dyDescent="0.2">
      <c r="A44" s="61"/>
      <c r="B44" s="62"/>
      <c r="D44" s="64" t="s">
        <v>104</v>
      </c>
      <c r="E44" s="63" t="s">
        <v>132</v>
      </c>
      <c r="F44" s="60"/>
      <c r="G44" s="351" t="s">
        <v>133</v>
      </c>
      <c r="H44" s="297"/>
      <c r="I44" s="50"/>
      <c r="J44" s="152"/>
      <c r="K44" s="152"/>
      <c r="L44" s="152"/>
      <c r="M44" s="152"/>
      <c r="N44" s="152"/>
      <c r="O44" s="152"/>
      <c r="P44" s="27">
        <f t="shared" si="1"/>
        <v>0</v>
      </c>
      <c r="Q44" s="39"/>
      <c r="R44" s="50"/>
      <c r="S44" s="50"/>
      <c r="T44" s="152"/>
      <c r="U44" s="152"/>
      <c r="V44" s="152"/>
      <c r="W44" s="152"/>
      <c r="X44" s="27">
        <f t="shared" si="3"/>
        <v>0</v>
      </c>
      <c r="Y44" s="39"/>
      <c r="Z44" s="50"/>
      <c r="AA44" s="50"/>
      <c r="AB44" s="39"/>
      <c r="AC44" s="39"/>
      <c r="AD44" s="39"/>
      <c r="AE44" s="39"/>
      <c r="AF44" s="27">
        <f t="shared" si="5"/>
        <v>0</v>
      </c>
    </row>
    <row r="45" spans="1:32" ht="11.25" customHeight="1" x14ac:dyDescent="0.2">
      <c r="A45" s="55"/>
      <c r="B45" s="56"/>
      <c r="C45" s="57"/>
      <c r="D45" s="72" t="s">
        <v>21</v>
      </c>
      <c r="E45" s="59" t="s">
        <v>89</v>
      </c>
      <c r="F45" s="60"/>
      <c r="G45" s="351" t="s">
        <v>134</v>
      </c>
      <c r="H45" s="297"/>
      <c r="I45" s="54"/>
      <c r="J45" s="54"/>
      <c r="K45" s="54"/>
      <c r="L45" s="54"/>
      <c r="M45" s="54"/>
      <c r="N45" s="27">
        <f>N46+N47</f>
        <v>0</v>
      </c>
      <c r="O45" s="27">
        <f>O46+O47</f>
        <v>0</v>
      </c>
      <c r="P45" s="27">
        <f t="shared" si="1"/>
        <v>0</v>
      </c>
      <c r="Q45" s="54"/>
      <c r="R45" s="54"/>
      <c r="S45" s="54"/>
      <c r="T45" s="54"/>
      <c r="U45" s="54"/>
      <c r="V45" s="27">
        <f>V46+V47</f>
        <v>0</v>
      </c>
      <c r="W45" s="27">
        <f>W46+W47</f>
        <v>0</v>
      </c>
      <c r="X45" s="27">
        <f t="shared" si="3"/>
        <v>0</v>
      </c>
      <c r="Y45" s="54"/>
      <c r="Z45" s="54"/>
      <c r="AA45" s="54"/>
      <c r="AB45" s="54"/>
      <c r="AC45" s="54"/>
      <c r="AD45" s="27">
        <f>AD46+AD47</f>
        <v>0</v>
      </c>
      <c r="AE45" s="27">
        <f>AE46+AE47</f>
        <v>0</v>
      </c>
      <c r="AF45" s="27">
        <f t="shared" si="5"/>
        <v>0</v>
      </c>
    </row>
    <row r="46" spans="1:32" ht="11.25" customHeight="1" x14ac:dyDescent="0.2">
      <c r="A46" s="61"/>
      <c r="B46" s="62"/>
      <c r="D46" s="64" t="s">
        <v>108</v>
      </c>
      <c r="E46" s="63" t="s">
        <v>130</v>
      </c>
      <c r="F46" s="60"/>
      <c r="G46" s="351" t="s">
        <v>135</v>
      </c>
      <c r="H46" s="297"/>
      <c r="I46" s="50"/>
      <c r="J46" s="50"/>
      <c r="K46" s="50"/>
      <c r="L46" s="50"/>
      <c r="M46" s="50"/>
      <c r="N46" s="152"/>
      <c r="O46" s="152"/>
      <c r="P46" s="27">
        <f t="shared" si="1"/>
        <v>0</v>
      </c>
      <c r="Q46" s="50"/>
      <c r="R46" s="50"/>
      <c r="S46" s="50"/>
      <c r="T46" s="50"/>
      <c r="U46" s="50"/>
      <c r="V46" s="152"/>
      <c r="W46" s="152"/>
      <c r="X46" s="27">
        <f t="shared" si="3"/>
        <v>0</v>
      </c>
      <c r="Y46" s="50"/>
      <c r="Z46" s="50"/>
      <c r="AA46" s="50"/>
      <c r="AB46" s="50"/>
      <c r="AC46" s="50"/>
      <c r="AD46" s="39"/>
      <c r="AE46" s="39"/>
      <c r="AF46" s="27">
        <f t="shared" si="5"/>
        <v>0</v>
      </c>
    </row>
    <row r="47" spans="1:32" ht="11.25" customHeight="1" x14ac:dyDescent="0.2">
      <c r="A47" s="55"/>
      <c r="B47" s="56"/>
      <c r="C47" s="57"/>
      <c r="D47" s="58" t="s">
        <v>110</v>
      </c>
      <c r="E47" s="59" t="s">
        <v>132</v>
      </c>
      <c r="F47" s="60"/>
      <c r="G47" s="351" t="s">
        <v>136</v>
      </c>
      <c r="H47" s="297"/>
      <c r="I47" s="50"/>
      <c r="J47" s="50"/>
      <c r="K47" s="50"/>
      <c r="L47" s="50"/>
      <c r="M47" s="50"/>
      <c r="N47" s="152"/>
      <c r="O47" s="152"/>
      <c r="P47" s="27">
        <f t="shared" si="1"/>
        <v>0</v>
      </c>
      <c r="Q47" s="50"/>
      <c r="R47" s="50"/>
      <c r="S47" s="50"/>
      <c r="T47" s="50"/>
      <c r="U47" s="50"/>
      <c r="V47" s="152"/>
      <c r="W47" s="152"/>
      <c r="X47" s="27">
        <f t="shared" si="3"/>
        <v>0</v>
      </c>
      <c r="Y47" s="50"/>
      <c r="Z47" s="50"/>
      <c r="AA47" s="50"/>
      <c r="AB47" s="50"/>
      <c r="AC47" s="50"/>
      <c r="AD47" s="39"/>
      <c r="AE47" s="39"/>
      <c r="AF47" s="27">
        <f t="shared" si="5"/>
        <v>0</v>
      </c>
    </row>
    <row r="48" spans="1:32" ht="11.25" customHeight="1" x14ac:dyDescent="0.2">
      <c r="A48" s="61"/>
      <c r="B48" s="62"/>
      <c r="C48" s="69" t="s">
        <v>137</v>
      </c>
      <c r="D48" s="418" t="s">
        <v>138</v>
      </c>
      <c r="E48" s="419"/>
      <c r="F48" s="420"/>
      <c r="G48" s="351" t="s">
        <v>139</v>
      </c>
      <c r="H48" s="254"/>
      <c r="I48" s="54"/>
      <c r="J48" s="26">
        <f t="shared" ref="J48:O48" si="38">+J49 + J52</f>
        <v>0</v>
      </c>
      <c r="K48" s="26">
        <f t="shared" si="38"/>
        <v>0</v>
      </c>
      <c r="L48" s="26">
        <f t="shared" si="38"/>
        <v>0</v>
      </c>
      <c r="M48" s="26">
        <f t="shared" si="38"/>
        <v>0</v>
      </c>
      <c r="N48" s="27">
        <f t="shared" si="38"/>
        <v>0</v>
      </c>
      <c r="O48" s="27">
        <f t="shared" si="38"/>
        <v>0</v>
      </c>
      <c r="P48" s="27">
        <f t="shared" si="1"/>
        <v>0</v>
      </c>
      <c r="Q48" s="26">
        <f>+Q49 + Q52</f>
        <v>0</v>
      </c>
      <c r="R48" s="54"/>
      <c r="S48" s="54"/>
      <c r="T48" s="26">
        <f>+T49 + T52</f>
        <v>0</v>
      </c>
      <c r="U48" s="26">
        <f>+U49 + U52</f>
        <v>0</v>
      </c>
      <c r="V48" s="27">
        <f>+V49 + V52</f>
        <v>0</v>
      </c>
      <c r="W48" s="27">
        <f>+W49 + W52</f>
        <v>0</v>
      </c>
      <c r="X48" s="27">
        <f t="shared" si="3"/>
        <v>0</v>
      </c>
      <c r="Y48" s="26">
        <f>+Y49 + Y52</f>
        <v>0</v>
      </c>
      <c r="Z48" s="54"/>
      <c r="AA48" s="54"/>
      <c r="AB48" s="26">
        <f>+AB49 + AB52</f>
        <v>0</v>
      </c>
      <c r="AC48" s="26">
        <f>+AC49 + AC52</f>
        <v>0</v>
      </c>
      <c r="AD48" s="27">
        <f>+AD49 + AD52</f>
        <v>0</v>
      </c>
      <c r="AE48" s="27">
        <f>+AE49 + AE52</f>
        <v>0</v>
      </c>
      <c r="AF48" s="27">
        <f t="shared" si="5"/>
        <v>0</v>
      </c>
    </row>
    <row r="49" spans="1:32" ht="11.25" customHeight="1" x14ac:dyDescent="0.2">
      <c r="A49" s="55"/>
      <c r="B49" s="56"/>
      <c r="C49" s="57"/>
      <c r="D49" s="72" t="s">
        <v>18</v>
      </c>
      <c r="E49" s="59" t="s">
        <v>87</v>
      </c>
      <c r="F49" s="60"/>
      <c r="G49" s="351" t="s">
        <v>140</v>
      </c>
      <c r="H49" s="254"/>
      <c r="I49" s="54"/>
      <c r="J49" s="26">
        <f t="shared" ref="J49:O49" si="39">+J50 + J51</f>
        <v>0</v>
      </c>
      <c r="K49" s="26">
        <f t="shared" si="39"/>
        <v>0</v>
      </c>
      <c r="L49" s="26">
        <f t="shared" si="39"/>
        <v>0</v>
      </c>
      <c r="M49" s="26">
        <f t="shared" si="39"/>
        <v>0</v>
      </c>
      <c r="N49" s="27">
        <f t="shared" si="39"/>
        <v>0</v>
      </c>
      <c r="O49" s="27">
        <f t="shared" si="39"/>
        <v>0</v>
      </c>
      <c r="P49" s="27">
        <f t="shared" si="1"/>
        <v>0</v>
      </c>
      <c r="Q49" s="26">
        <f>+Q50 + Q51</f>
        <v>0</v>
      </c>
      <c r="R49" s="54"/>
      <c r="S49" s="54"/>
      <c r="T49" s="26">
        <f>+T50 + T51</f>
        <v>0</v>
      </c>
      <c r="U49" s="26">
        <f>+U50 + U51</f>
        <v>0</v>
      </c>
      <c r="V49" s="27">
        <f>+V50 + V51</f>
        <v>0</v>
      </c>
      <c r="W49" s="27">
        <f>+W50 + W51</f>
        <v>0</v>
      </c>
      <c r="X49" s="27">
        <f t="shared" si="3"/>
        <v>0</v>
      </c>
      <c r="Y49" s="26">
        <f>+Y50 + Y51</f>
        <v>0</v>
      </c>
      <c r="Z49" s="54"/>
      <c r="AA49" s="54"/>
      <c r="AB49" s="26">
        <f>+AB50 + AB51</f>
        <v>0</v>
      </c>
      <c r="AC49" s="26">
        <f>+AC50 + AC51</f>
        <v>0</v>
      </c>
      <c r="AD49" s="27">
        <f>+AD50 + AD51</f>
        <v>0</v>
      </c>
      <c r="AE49" s="27">
        <f>+AE50 + AE51</f>
        <v>0</v>
      </c>
      <c r="AF49" s="27">
        <f t="shared" si="5"/>
        <v>0</v>
      </c>
    </row>
    <row r="50" spans="1:32" ht="11.25" customHeight="1" x14ac:dyDescent="0.2">
      <c r="A50" s="61"/>
      <c r="B50" s="62"/>
      <c r="D50" s="64" t="s">
        <v>102</v>
      </c>
      <c r="E50" s="63" t="s">
        <v>130</v>
      </c>
      <c r="F50" s="60"/>
      <c r="G50" s="351" t="s">
        <v>141</v>
      </c>
      <c r="H50" s="297"/>
      <c r="I50" s="50"/>
      <c r="J50" s="152"/>
      <c r="K50" s="152"/>
      <c r="L50" s="152"/>
      <c r="M50" s="152"/>
      <c r="N50" s="152"/>
      <c r="O50" s="152"/>
      <c r="P50" s="27">
        <f t="shared" si="1"/>
        <v>0</v>
      </c>
      <c r="Q50" s="39"/>
      <c r="R50" s="50"/>
      <c r="S50" s="50"/>
      <c r="T50" s="152"/>
      <c r="U50" s="152"/>
      <c r="V50" s="152"/>
      <c r="W50" s="152"/>
      <c r="X50" s="27">
        <f t="shared" si="3"/>
        <v>0</v>
      </c>
      <c r="Y50" s="39"/>
      <c r="Z50" s="50"/>
      <c r="AA50" s="50"/>
      <c r="AB50" s="39"/>
      <c r="AC50" s="39"/>
      <c r="AD50" s="39"/>
      <c r="AE50" s="39"/>
      <c r="AF50" s="27">
        <f t="shared" si="5"/>
        <v>0</v>
      </c>
    </row>
    <row r="51" spans="1:32" ht="11.25" customHeight="1" x14ac:dyDescent="0.2">
      <c r="A51" s="55"/>
      <c r="B51" s="56"/>
      <c r="C51" s="57"/>
      <c r="D51" s="58" t="s">
        <v>104</v>
      </c>
      <c r="E51" s="59" t="s">
        <v>132</v>
      </c>
      <c r="F51" s="60"/>
      <c r="G51" s="351" t="s">
        <v>142</v>
      </c>
      <c r="H51" s="297"/>
      <c r="I51" s="50"/>
      <c r="J51" s="152"/>
      <c r="K51" s="152"/>
      <c r="L51" s="152"/>
      <c r="M51" s="152"/>
      <c r="N51" s="152"/>
      <c r="O51" s="152"/>
      <c r="P51" s="27">
        <f t="shared" si="1"/>
        <v>0</v>
      </c>
      <c r="Q51" s="39"/>
      <c r="R51" s="50"/>
      <c r="S51" s="50"/>
      <c r="T51" s="152"/>
      <c r="U51" s="152"/>
      <c r="V51" s="152"/>
      <c r="W51" s="152"/>
      <c r="X51" s="27">
        <f t="shared" si="3"/>
        <v>0</v>
      </c>
      <c r="Y51" s="39"/>
      <c r="Z51" s="50"/>
      <c r="AA51" s="50"/>
      <c r="AB51" s="39"/>
      <c r="AC51" s="39"/>
      <c r="AD51" s="39"/>
      <c r="AE51" s="39"/>
      <c r="AF51" s="27">
        <f t="shared" si="5"/>
        <v>0</v>
      </c>
    </row>
    <row r="52" spans="1:32" ht="11.25" customHeight="1" x14ac:dyDescent="0.2">
      <c r="A52" s="61"/>
      <c r="B52" s="62"/>
      <c r="D52" s="70" t="s">
        <v>21</v>
      </c>
      <c r="E52" s="63" t="s">
        <v>89</v>
      </c>
      <c r="F52" s="60"/>
      <c r="G52" s="351" t="s">
        <v>143</v>
      </c>
      <c r="H52" s="297"/>
      <c r="I52" s="54"/>
      <c r="J52" s="54"/>
      <c r="K52" s="54"/>
      <c r="L52" s="54"/>
      <c r="M52" s="54"/>
      <c r="N52" s="27">
        <f>N53+N54</f>
        <v>0</v>
      </c>
      <c r="O52" s="27">
        <f>O53+O54</f>
        <v>0</v>
      </c>
      <c r="P52" s="27">
        <f t="shared" si="1"/>
        <v>0</v>
      </c>
      <c r="Q52" s="54"/>
      <c r="R52" s="54"/>
      <c r="S52" s="54"/>
      <c r="T52" s="54"/>
      <c r="U52" s="54"/>
      <c r="V52" s="27">
        <f>V53+V54</f>
        <v>0</v>
      </c>
      <c r="W52" s="27">
        <f>W53+W54</f>
        <v>0</v>
      </c>
      <c r="X52" s="27">
        <f t="shared" si="3"/>
        <v>0</v>
      </c>
      <c r="Y52" s="54"/>
      <c r="Z52" s="54"/>
      <c r="AA52" s="54"/>
      <c r="AB52" s="54"/>
      <c r="AC52" s="54"/>
      <c r="AD52" s="27">
        <f>AD53+AD54</f>
        <v>0</v>
      </c>
      <c r="AE52" s="27">
        <f>AE53+AE54</f>
        <v>0</v>
      </c>
      <c r="AF52" s="27">
        <f t="shared" si="5"/>
        <v>0</v>
      </c>
    </row>
    <row r="53" spans="1:32" ht="11.25" customHeight="1" x14ac:dyDescent="0.2">
      <c r="A53" s="55"/>
      <c r="B53" s="56"/>
      <c r="C53" s="57"/>
      <c r="D53" s="58" t="s">
        <v>108</v>
      </c>
      <c r="E53" s="59" t="s">
        <v>130</v>
      </c>
      <c r="F53" s="60"/>
      <c r="G53" s="351" t="s">
        <v>144</v>
      </c>
      <c r="H53" s="297"/>
      <c r="I53" s="50"/>
      <c r="J53" s="50"/>
      <c r="K53" s="50"/>
      <c r="L53" s="50"/>
      <c r="M53" s="50"/>
      <c r="N53" s="152"/>
      <c r="O53" s="152"/>
      <c r="P53" s="27">
        <f t="shared" si="1"/>
        <v>0</v>
      </c>
      <c r="Q53" s="50"/>
      <c r="R53" s="50"/>
      <c r="S53" s="50"/>
      <c r="T53" s="50"/>
      <c r="U53" s="50"/>
      <c r="V53" s="152"/>
      <c r="W53" s="152"/>
      <c r="X53" s="27">
        <f t="shared" si="3"/>
        <v>0</v>
      </c>
      <c r="Y53" s="50"/>
      <c r="Z53" s="50"/>
      <c r="AA53" s="50"/>
      <c r="AB53" s="50"/>
      <c r="AC53" s="50"/>
      <c r="AD53" s="39"/>
      <c r="AE53" s="39"/>
      <c r="AF53" s="27">
        <f t="shared" si="5"/>
        <v>0</v>
      </c>
    </row>
    <row r="54" spans="1:32" ht="11.25" customHeight="1" x14ac:dyDescent="0.2">
      <c r="A54" s="55"/>
      <c r="B54" s="56"/>
      <c r="C54" s="57"/>
      <c r="D54" s="58" t="s">
        <v>110</v>
      </c>
      <c r="E54" s="59" t="s">
        <v>132</v>
      </c>
      <c r="F54" s="60"/>
      <c r="G54" s="351" t="s">
        <v>145</v>
      </c>
      <c r="H54" s="297"/>
      <c r="I54" s="50"/>
      <c r="J54" s="50"/>
      <c r="K54" s="50"/>
      <c r="L54" s="50"/>
      <c r="M54" s="50"/>
      <c r="N54" s="152"/>
      <c r="O54" s="152"/>
      <c r="P54" s="27">
        <f t="shared" si="1"/>
        <v>0</v>
      </c>
      <c r="Q54" s="50"/>
      <c r="R54" s="50"/>
      <c r="S54" s="50"/>
      <c r="T54" s="50"/>
      <c r="U54" s="50"/>
      <c r="V54" s="152"/>
      <c r="W54" s="152"/>
      <c r="X54" s="27">
        <f t="shared" si="3"/>
        <v>0</v>
      </c>
      <c r="Y54" s="50"/>
      <c r="Z54" s="50"/>
      <c r="AA54" s="50"/>
      <c r="AB54" s="50"/>
      <c r="AC54" s="50"/>
      <c r="AD54" s="39"/>
      <c r="AE54" s="39"/>
      <c r="AF54" s="27">
        <f t="shared" si="5"/>
        <v>0</v>
      </c>
    </row>
    <row r="55" spans="1:32" ht="11.25" customHeight="1" x14ac:dyDescent="0.2">
      <c r="A55" s="55"/>
      <c r="B55" s="75" t="s">
        <v>146</v>
      </c>
      <c r="C55" s="76" t="s">
        <v>147</v>
      </c>
      <c r="D55" s="65"/>
      <c r="E55" s="59"/>
      <c r="F55" s="60"/>
      <c r="G55" s="351" t="s">
        <v>148</v>
      </c>
      <c r="H55" s="254"/>
      <c r="I55" s="27">
        <f t="shared" ref="I55:O55" si="40">+I56 + I57 + I58 + I59 + I62</f>
        <v>0</v>
      </c>
      <c r="J55" s="26">
        <f t="shared" si="40"/>
        <v>0</v>
      </c>
      <c r="K55" s="26">
        <f t="shared" si="40"/>
        <v>0</v>
      </c>
      <c r="L55" s="27">
        <f t="shared" si="40"/>
        <v>0</v>
      </c>
      <c r="M55" s="27">
        <f t="shared" si="40"/>
        <v>0</v>
      </c>
      <c r="N55" s="27">
        <f t="shared" si="40"/>
        <v>0</v>
      </c>
      <c r="O55" s="27">
        <f t="shared" si="40"/>
        <v>0</v>
      </c>
      <c r="P55" s="27">
        <f t="shared" si="1"/>
        <v>0</v>
      </c>
      <c r="Q55" s="27">
        <f t="shared" ref="Q55:W55" si="41">+Q56 + Q57 + Q58 + Q59 + Q62</f>
        <v>0</v>
      </c>
      <c r="R55" s="27">
        <f t="shared" si="41"/>
        <v>0</v>
      </c>
      <c r="S55" s="27">
        <f t="shared" si="41"/>
        <v>0</v>
      </c>
      <c r="T55" s="27">
        <f t="shared" si="41"/>
        <v>0</v>
      </c>
      <c r="U55" s="27">
        <f t="shared" si="41"/>
        <v>0</v>
      </c>
      <c r="V55" s="27">
        <f t="shared" si="41"/>
        <v>0</v>
      </c>
      <c r="W55" s="27">
        <f t="shared" si="41"/>
        <v>0</v>
      </c>
      <c r="X55" s="27">
        <f t="shared" si="3"/>
        <v>0</v>
      </c>
      <c r="Y55" s="27">
        <f t="shared" ref="Y55:AE55" si="42">+Y56 + Y57 + Y58 + Y59 + Y62</f>
        <v>0</v>
      </c>
      <c r="Z55" s="27">
        <f t="shared" si="42"/>
        <v>0</v>
      </c>
      <c r="AA55" s="27">
        <f t="shared" si="42"/>
        <v>0</v>
      </c>
      <c r="AB55" s="27">
        <f t="shared" si="42"/>
        <v>0</v>
      </c>
      <c r="AC55" s="27">
        <f t="shared" si="42"/>
        <v>0</v>
      </c>
      <c r="AD55" s="27">
        <f t="shared" si="42"/>
        <v>0</v>
      </c>
      <c r="AE55" s="27">
        <f t="shared" si="42"/>
        <v>0</v>
      </c>
      <c r="AF55" s="27">
        <f t="shared" si="5"/>
        <v>0</v>
      </c>
    </row>
    <row r="56" spans="1:32" ht="11.25" customHeight="1" x14ac:dyDescent="0.2">
      <c r="A56" s="61"/>
      <c r="B56" s="62"/>
      <c r="C56" s="63" t="s">
        <v>62</v>
      </c>
      <c r="D56" s="66" t="s">
        <v>149</v>
      </c>
      <c r="F56" s="60"/>
      <c r="G56" s="351" t="s">
        <v>150</v>
      </c>
      <c r="H56" s="297"/>
      <c r="I56" s="152"/>
      <c r="J56" s="152"/>
      <c r="K56" s="152"/>
      <c r="L56" s="152"/>
      <c r="M56" s="152"/>
      <c r="N56" s="152"/>
      <c r="O56" s="152"/>
      <c r="P56" s="27">
        <f t="shared" si="1"/>
        <v>0</v>
      </c>
      <c r="Q56" s="152"/>
      <c r="R56" s="152"/>
      <c r="S56" s="152"/>
      <c r="T56" s="152"/>
      <c r="U56" s="152"/>
      <c r="V56" s="152"/>
      <c r="W56" s="152"/>
      <c r="X56" s="27">
        <f t="shared" si="3"/>
        <v>0</v>
      </c>
      <c r="Y56" s="39"/>
      <c r="Z56" s="39"/>
      <c r="AA56" s="39"/>
      <c r="AB56" s="39"/>
      <c r="AC56" s="39"/>
      <c r="AD56" s="39"/>
      <c r="AE56" s="39"/>
      <c r="AF56" s="27">
        <f t="shared" si="5"/>
        <v>0</v>
      </c>
    </row>
    <row r="57" spans="1:32" ht="11.25" customHeight="1" x14ac:dyDescent="0.2">
      <c r="A57" s="55"/>
      <c r="B57" s="56"/>
      <c r="C57" s="57" t="s">
        <v>68</v>
      </c>
      <c r="D57" s="65" t="s">
        <v>151</v>
      </c>
      <c r="E57" s="59"/>
      <c r="F57" s="60"/>
      <c r="G57" s="351" t="s">
        <v>152</v>
      </c>
      <c r="H57" s="297"/>
      <c r="I57" s="152"/>
      <c r="J57" s="152"/>
      <c r="K57" s="152"/>
      <c r="L57" s="152"/>
      <c r="M57" s="152"/>
      <c r="N57" s="152"/>
      <c r="O57" s="152"/>
      <c r="P57" s="27">
        <f t="shared" si="1"/>
        <v>0</v>
      </c>
      <c r="Q57" s="152"/>
      <c r="R57" s="152"/>
      <c r="S57" s="152"/>
      <c r="T57" s="152"/>
      <c r="U57" s="152"/>
      <c r="V57" s="152"/>
      <c r="W57" s="152"/>
      <c r="X57" s="27">
        <f t="shared" si="3"/>
        <v>0</v>
      </c>
      <c r="Y57" s="39"/>
      <c r="Z57" s="39"/>
      <c r="AA57" s="39"/>
      <c r="AB57" s="39"/>
      <c r="AC57" s="39"/>
      <c r="AD57" s="39"/>
      <c r="AE57" s="39"/>
      <c r="AF57" s="27">
        <f t="shared" si="5"/>
        <v>0</v>
      </c>
    </row>
    <row r="58" spans="1:32" ht="11.25" customHeight="1" x14ac:dyDescent="0.2">
      <c r="A58" s="55"/>
      <c r="B58" s="56"/>
      <c r="C58" s="57" t="s">
        <v>81</v>
      </c>
      <c r="D58" s="65" t="s">
        <v>153</v>
      </c>
      <c r="E58" s="59"/>
      <c r="F58" s="60"/>
      <c r="G58" s="351" t="s">
        <v>154</v>
      </c>
      <c r="H58" s="297"/>
      <c r="I58" s="152"/>
      <c r="J58" s="152"/>
      <c r="K58" s="152"/>
      <c r="L58" s="152"/>
      <c r="M58" s="152"/>
      <c r="N58" s="152"/>
      <c r="O58" s="152"/>
      <c r="P58" s="27">
        <f t="shared" si="1"/>
        <v>0</v>
      </c>
      <c r="Q58" s="152"/>
      <c r="R58" s="152"/>
      <c r="S58" s="152"/>
      <c r="T58" s="152"/>
      <c r="U58" s="152"/>
      <c r="V58" s="152"/>
      <c r="W58" s="152"/>
      <c r="X58" s="27">
        <f t="shared" si="3"/>
        <v>0</v>
      </c>
      <c r="Y58" s="39"/>
      <c r="Z58" s="39"/>
      <c r="AA58" s="39"/>
      <c r="AB58" s="39"/>
      <c r="AC58" s="39"/>
      <c r="AD58" s="39"/>
      <c r="AE58" s="39"/>
      <c r="AF58" s="27">
        <f t="shared" si="5"/>
        <v>0</v>
      </c>
    </row>
    <row r="59" spans="1:32" ht="11.25" customHeight="1" x14ac:dyDescent="0.2">
      <c r="A59" s="55"/>
      <c r="B59" s="56"/>
      <c r="C59" s="71" t="s">
        <v>126</v>
      </c>
      <c r="D59" s="415" t="s">
        <v>155</v>
      </c>
      <c r="E59" s="416"/>
      <c r="F59" s="417"/>
      <c r="G59" s="351" t="s">
        <v>156</v>
      </c>
      <c r="H59" s="254"/>
      <c r="I59" s="27">
        <f t="shared" ref="I59:O59" si="43">+I60 + I61</f>
        <v>0</v>
      </c>
      <c r="J59" s="26">
        <f t="shared" si="43"/>
        <v>0</v>
      </c>
      <c r="K59" s="26">
        <f t="shared" si="43"/>
        <v>0</v>
      </c>
      <c r="L59" s="27">
        <f t="shared" si="43"/>
        <v>0</v>
      </c>
      <c r="M59" s="27">
        <f t="shared" si="43"/>
        <v>0</v>
      </c>
      <c r="N59" s="27">
        <f t="shared" si="43"/>
        <v>0</v>
      </c>
      <c r="O59" s="27">
        <f t="shared" si="43"/>
        <v>0</v>
      </c>
      <c r="P59" s="27">
        <f t="shared" si="1"/>
        <v>0</v>
      </c>
      <c r="Q59" s="27">
        <f t="shared" ref="Q59:W59" si="44">+Q60 + Q61</f>
        <v>0</v>
      </c>
      <c r="R59" s="27">
        <f t="shared" si="44"/>
        <v>0</v>
      </c>
      <c r="S59" s="27">
        <f t="shared" si="44"/>
        <v>0</v>
      </c>
      <c r="T59" s="27">
        <f t="shared" si="44"/>
        <v>0</v>
      </c>
      <c r="U59" s="27">
        <f t="shared" si="44"/>
        <v>0</v>
      </c>
      <c r="V59" s="27">
        <f t="shared" si="44"/>
        <v>0</v>
      </c>
      <c r="W59" s="27">
        <f t="shared" si="44"/>
        <v>0</v>
      </c>
      <c r="X59" s="27">
        <f t="shared" si="3"/>
        <v>0</v>
      </c>
      <c r="Y59" s="27">
        <f t="shared" ref="Y59:AE59" si="45">+Y60 + Y61</f>
        <v>0</v>
      </c>
      <c r="Z59" s="27">
        <f t="shared" si="45"/>
        <v>0</v>
      </c>
      <c r="AA59" s="27">
        <f t="shared" si="45"/>
        <v>0</v>
      </c>
      <c r="AB59" s="27">
        <f t="shared" si="45"/>
        <v>0</v>
      </c>
      <c r="AC59" s="27">
        <f t="shared" si="45"/>
        <v>0</v>
      </c>
      <c r="AD59" s="27">
        <f t="shared" si="45"/>
        <v>0</v>
      </c>
      <c r="AE59" s="27">
        <f t="shared" si="45"/>
        <v>0</v>
      </c>
      <c r="AF59" s="27">
        <f t="shared" si="5"/>
        <v>0</v>
      </c>
    </row>
    <row r="60" spans="1:32" ht="11.25" customHeight="1" x14ac:dyDescent="0.2">
      <c r="A60" s="61"/>
      <c r="B60" s="62"/>
      <c r="D60" s="70" t="s">
        <v>18</v>
      </c>
      <c r="E60" s="63" t="s">
        <v>87</v>
      </c>
      <c r="F60" s="74"/>
      <c r="G60" s="351" t="s">
        <v>157</v>
      </c>
      <c r="H60" s="297"/>
      <c r="I60" s="152"/>
      <c r="J60" s="152"/>
      <c r="K60" s="152"/>
      <c r="L60" s="152"/>
      <c r="M60" s="152"/>
      <c r="N60" s="152"/>
      <c r="O60" s="152"/>
      <c r="P60" s="27">
        <f t="shared" si="1"/>
        <v>0</v>
      </c>
      <c r="Q60" s="152"/>
      <c r="R60" s="152"/>
      <c r="S60" s="152"/>
      <c r="T60" s="152"/>
      <c r="U60" s="152"/>
      <c r="V60" s="152"/>
      <c r="W60" s="152"/>
      <c r="X60" s="27">
        <f t="shared" si="3"/>
        <v>0</v>
      </c>
      <c r="Y60" s="39"/>
      <c r="Z60" s="39"/>
      <c r="AA60" s="39"/>
      <c r="AB60" s="39"/>
      <c r="AC60" s="39"/>
      <c r="AD60" s="39"/>
      <c r="AE60" s="39"/>
      <c r="AF60" s="27">
        <f t="shared" si="5"/>
        <v>0</v>
      </c>
    </row>
    <row r="61" spans="1:32" ht="11.25" customHeight="1" x14ac:dyDescent="0.2">
      <c r="A61" s="55"/>
      <c r="B61" s="56"/>
      <c r="C61" s="57"/>
      <c r="D61" s="72" t="s">
        <v>21</v>
      </c>
      <c r="E61" s="59" t="s">
        <v>89</v>
      </c>
      <c r="F61" s="74"/>
      <c r="G61" s="351" t="s">
        <v>158</v>
      </c>
      <c r="H61" s="297"/>
      <c r="I61" s="50"/>
      <c r="J61" s="50"/>
      <c r="K61" s="50"/>
      <c r="L61" s="50"/>
      <c r="M61" s="50"/>
      <c r="N61" s="152"/>
      <c r="O61" s="152"/>
      <c r="P61" s="27">
        <f t="shared" si="1"/>
        <v>0</v>
      </c>
      <c r="Q61" s="50"/>
      <c r="R61" s="50"/>
      <c r="S61" s="50"/>
      <c r="T61" s="50"/>
      <c r="U61" s="50"/>
      <c r="V61" s="152"/>
      <c r="W61" s="152"/>
      <c r="X61" s="27">
        <f t="shared" si="3"/>
        <v>0</v>
      </c>
      <c r="Y61" s="50"/>
      <c r="Z61" s="50"/>
      <c r="AA61" s="50"/>
      <c r="AB61" s="50"/>
      <c r="AC61" s="50"/>
      <c r="AD61" s="39"/>
      <c r="AE61" s="39"/>
      <c r="AF61" s="27">
        <f t="shared" si="5"/>
        <v>0</v>
      </c>
    </row>
    <row r="62" spans="1:32" ht="11.25" customHeight="1" x14ac:dyDescent="0.2">
      <c r="A62" s="61"/>
      <c r="B62" s="62"/>
      <c r="C62" s="69" t="s">
        <v>137</v>
      </c>
      <c r="D62" s="418" t="s">
        <v>159</v>
      </c>
      <c r="E62" s="419"/>
      <c r="F62" s="420"/>
      <c r="G62" s="352" t="s">
        <v>160</v>
      </c>
      <c r="H62" s="254"/>
      <c r="I62" s="27">
        <f t="shared" ref="I62:O62" si="46">+I63 + I64</f>
        <v>0</v>
      </c>
      <c r="J62" s="26">
        <f t="shared" si="46"/>
        <v>0</v>
      </c>
      <c r="K62" s="26">
        <f t="shared" si="46"/>
        <v>0</v>
      </c>
      <c r="L62" s="27">
        <f t="shared" si="46"/>
        <v>0</v>
      </c>
      <c r="M62" s="27">
        <f t="shared" si="46"/>
        <v>0</v>
      </c>
      <c r="N62" s="27">
        <f t="shared" si="46"/>
        <v>0</v>
      </c>
      <c r="O62" s="27">
        <f t="shared" si="46"/>
        <v>0</v>
      </c>
      <c r="P62" s="27">
        <f t="shared" si="1"/>
        <v>0</v>
      </c>
      <c r="Q62" s="27">
        <f t="shared" ref="Q62:W62" si="47">+Q63 + Q64</f>
        <v>0</v>
      </c>
      <c r="R62" s="27">
        <f t="shared" si="47"/>
        <v>0</v>
      </c>
      <c r="S62" s="27">
        <f t="shared" si="47"/>
        <v>0</v>
      </c>
      <c r="T62" s="27">
        <f t="shared" si="47"/>
        <v>0</v>
      </c>
      <c r="U62" s="27">
        <f t="shared" si="47"/>
        <v>0</v>
      </c>
      <c r="V62" s="27">
        <f t="shared" si="47"/>
        <v>0</v>
      </c>
      <c r="W62" s="27">
        <f t="shared" si="47"/>
        <v>0</v>
      </c>
      <c r="X62" s="27">
        <f t="shared" si="3"/>
        <v>0</v>
      </c>
      <c r="Y62" s="27">
        <f t="shared" ref="Y62:AE62" si="48">+Y63 + Y64</f>
        <v>0</v>
      </c>
      <c r="Z62" s="27">
        <f t="shared" si="48"/>
        <v>0</v>
      </c>
      <c r="AA62" s="27">
        <f t="shared" si="48"/>
        <v>0</v>
      </c>
      <c r="AB62" s="27">
        <f t="shared" si="48"/>
        <v>0</v>
      </c>
      <c r="AC62" s="27">
        <f t="shared" si="48"/>
        <v>0</v>
      </c>
      <c r="AD62" s="27">
        <f t="shared" si="48"/>
        <v>0</v>
      </c>
      <c r="AE62" s="27">
        <f t="shared" si="48"/>
        <v>0</v>
      </c>
      <c r="AF62" s="27">
        <f t="shared" si="5"/>
        <v>0</v>
      </c>
    </row>
    <row r="63" spans="1:32" ht="11.25" customHeight="1" x14ac:dyDescent="0.2">
      <c r="A63" s="55"/>
      <c r="B63" s="56"/>
      <c r="C63" s="57"/>
      <c r="D63" s="72" t="s">
        <v>18</v>
      </c>
      <c r="E63" s="59" t="s">
        <v>87</v>
      </c>
      <c r="F63" s="74"/>
      <c r="G63" s="352" t="s">
        <v>161</v>
      </c>
      <c r="H63" s="298"/>
      <c r="I63" s="152"/>
      <c r="J63" s="152"/>
      <c r="K63" s="152"/>
      <c r="L63" s="152"/>
      <c r="M63" s="152"/>
      <c r="N63" s="152"/>
      <c r="O63" s="152"/>
      <c r="P63" s="27">
        <f t="shared" si="1"/>
        <v>0</v>
      </c>
      <c r="Q63" s="152"/>
      <c r="R63" s="152"/>
      <c r="S63" s="152"/>
      <c r="T63" s="152"/>
      <c r="U63" s="152"/>
      <c r="V63" s="152"/>
      <c r="W63" s="152"/>
      <c r="X63" s="27">
        <f t="shared" si="3"/>
        <v>0</v>
      </c>
      <c r="Y63" s="39"/>
      <c r="Z63" s="39"/>
      <c r="AA63" s="39"/>
      <c r="AB63" s="39"/>
      <c r="AC63" s="39"/>
      <c r="AD63" s="39"/>
      <c r="AE63" s="39"/>
      <c r="AF63" s="27">
        <f t="shared" si="5"/>
        <v>0</v>
      </c>
    </row>
    <row r="64" spans="1:32" ht="11.25" customHeight="1" x14ac:dyDescent="0.2">
      <c r="A64" s="61"/>
      <c r="B64" s="62"/>
      <c r="D64" s="70" t="s">
        <v>21</v>
      </c>
      <c r="E64" s="63" t="s">
        <v>89</v>
      </c>
      <c r="F64" s="74"/>
      <c r="G64" s="352" t="s">
        <v>162</v>
      </c>
      <c r="H64" s="298"/>
      <c r="I64" s="50"/>
      <c r="J64" s="50"/>
      <c r="K64" s="50"/>
      <c r="L64" s="50"/>
      <c r="M64" s="50"/>
      <c r="N64" s="152"/>
      <c r="O64" s="152"/>
      <c r="P64" s="27">
        <f t="shared" si="1"/>
        <v>0</v>
      </c>
      <c r="Q64" s="50"/>
      <c r="R64" s="50"/>
      <c r="S64" s="50"/>
      <c r="T64" s="50"/>
      <c r="U64" s="50"/>
      <c r="V64" s="152"/>
      <c r="W64" s="152"/>
      <c r="X64" s="27">
        <f t="shared" si="3"/>
        <v>0</v>
      </c>
      <c r="Y64" s="50"/>
      <c r="Z64" s="50"/>
      <c r="AA64" s="50"/>
      <c r="AB64" s="50"/>
      <c r="AC64" s="50"/>
      <c r="AD64" s="39"/>
      <c r="AE64" s="39"/>
      <c r="AF64" s="27">
        <f t="shared" si="5"/>
        <v>0</v>
      </c>
    </row>
    <row r="65" spans="1:32" ht="11.25" customHeight="1" x14ac:dyDescent="0.2">
      <c r="A65" s="55"/>
      <c r="B65" s="77" t="s">
        <v>163</v>
      </c>
      <c r="C65" s="78" t="s">
        <v>164</v>
      </c>
      <c r="D65" s="68"/>
      <c r="E65" s="59"/>
      <c r="F65" s="60"/>
      <c r="G65" s="351" t="s">
        <v>165</v>
      </c>
      <c r="H65" s="254"/>
      <c r="I65" s="27">
        <f t="shared" ref="I65:O65" si="49">+I66 + I70</f>
        <v>0</v>
      </c>
      <c r="J65" s="26">
        <f t="shared" si="49"/>
        <v>0</v>
      </c>
      <c r="K65" s="26">
        <f t="shared" si="49"/>
        <v>0</v>
      </c>
      <c r="L65" s="26">
        <f t="shared" si="49"/>
        <v>0</v>
      </c>
      <c r="M65" s="26">
        <f t="shared" si="49"/>
        <v>0</v>
      </c>
      <c r="N65" s="27">
        <f t="shared" si="49"/>
        <v>0</v>
      </c>
      <c r="O65" s="27">
        <f t="shared" si="49"/>
        <v>0</v>
      </c>
      <c r="P65" s="27">
        <f t="shared" si="1"/>
        <v>0</v>
      </c>
      <c r="Q65" s="26">
        <f t="shared" ref="Q65:W65" si="50">+Q66 + Q70</f>
        <v>0</v>
      </c>
      <c r="R65" s="26">
        <f t="shared" si="50"/>
        <v>0</v>
      </c>
      <c r="S65" s="26">
        <f t="shared" si="50"/>
        <v>0</v>
      </c>
      <c r="T65" s="26">
        <f t="shared" si="50"/>
        <v>0</v>
      </c>
      <c r="U65" s="26">
        <f t="shared" si="50"/>
        <v>0</v>
      </c>
      <c r="V65" s="27">
        <f t="shared" si="50"/>
        <v>0</v>
      </c>
      <c r="W65" s="27">
        <f t="shared" si="50"/>
        <v>0</v>
      </c>
      <c r="X65" s="27">
        <f t="shared" si="3"/>
        <v>0</v>
      </c>
      <c r="Y65" s="26">
        <f t="shared" ref="Y65:AE65" si="51">+Y66 + Y70</f>
        <v>0</v>
      </c>
      <c r="Z65" s="26">
        <f t="shared" si="51"/>
        <v>0</v>
      </c>
      <c r="AA65" s="26">
        <f t="shared" si="51"/>
        <v>0</v>
      </c>
      <c r="AB65" s="26">
        <f t="shared" si="51"/>
        <v>0</v>
      </c>
      <c r="AC65" s="26">
        <f t="shared" si="51"/>
        <v>0</v>
      </c>
      <c r="AD65" s="27">
        <f t="shared" si="51"/>
        <v>0</v>
      </c>
      <c r="AE65" s="27">
        <f t="shared" si="51"/>
        <v>0</v>
      </c>
      <c r="AF65" s="27">
        <f t="shared" si="5"/>
        <v>0</v>
      </c>
    </row>
    <row r="66" spans="1:32" ht="11.25" customHeight="1" x14ac:dyDescent="0.2">
      <c r="A66" s="61"/>
      <c r="C66" s="63" t="s">
        <v>62</v>
      </c>
      <c r="D66" s="73" t="s">
        <v>166</v>
      </c>
      <c r="F66" s="60"/>
      <c r="G66" s="351" t="s">
        <v>167</v>
      </c>
      <c r="H66" s="254"/>
      <c r="I66" s="27">
        <f t="shared" ref="I66:O66" si="52">+I67 + I68 + I69</f>
        <v>0</v>
      </c>
      <c r="J66" s="26">
        <f t="shared" si="52"/>
        <v>0</v>
      </c>
      <c r="K66" s="26">
        <f t="shared" si="52"/>
        <v>0</v>
      </c>
      <c r="L66" s="26">
        <f t="shared" si="52"/>
        <v>0</v>
      </c>
      <c r="M66" s="26">
        <f t="shared" si="52"/>
        <v>0</v>
      </c>
      <c r="N66" s="27">
        <f t="shared" si="52"/>
        <v>0</v>
      </c>
      <c r="O66" s="27">
        <f t="shared" si="52"/>
        <v>0</v>
      </c>
      <c r="P66" s="27">
        <f t="shared" si="1"/>
        <v>0</v>
      </c>
      <c r="Q66" s="26">
        <f t="shared" ref="Q66:W66" si="53">+Q67 + Q68 + Q69</f>
        <v>0</v>
      </c>
      <c r="R66" s="26">
        <f t="shared" si="53"/>
        <v>0</v>
      </c>
      <c r="S66" s="26">
        <f t="shared" si="53"/>
        <v>0</v>
      </c>
      <c r="T66" s="26">
        <f t="shared" si="53"/>
        <v>0</v>
      </c>
      <c r="U66" s="26">
        <f t="shared" si="53"/>
        <v>0</v>
      </c>
      <c r="V66" s="27">
        <f t="shared" si="53"/>
        <v>0</v>
      </c>
      <c r="W66" s="27">
        <f t="shared" si="53"/>
        <v>0</v>
      </c>
      <c r="X66" s="27">
        <f t="shared" si="3"/>
        <v>0</v>
      </c>
      <c r="Y66" s="26">
        <f t="shared" ref="Y66:AE66" si="54">+Y67 + Y68 + Y69</f>
        <v>0</v>
      </c>
      <c r="Z66" s="26">
        <f t="shared" si="54"/>
        <v>0</v>
      </c>
      <c r="AA66" s="26">
        <f t="shared" si="54"/>
        <v>0</v>
      </c>
      <c r="AB66" s="26">
        <f t="shared" si="54"/>
        <v>0</v>
      </c>
      <c r="AC66" s="26">
        <f t="shared" si="54"/>
        <v>0</v>
      </c>
      <c r="AD66" s="27">
        <f t="shared" si="54"/>
        <v>0</v>
      </c>
      <c r="AE66" s="27">
        <f t="shared" si="54"/>
        <v>0</v>
      </c>
      <c r="AF66" s="27">
        <f t="shared" si="5"/>
        <v>0</v>
      </c>
    </row>
    <row r="67" spans="1:32" ht="11.25" customHeight="1" x14ac:dyDescent="0.2">
      <c r="A67" s="55"/>
      <c r="B67" s="80"/>
      <c r="C67" s="57"/>
      <c r="D67" s="72" t="s">
        <v>18</v>
      </c>
      <c r="E67" s="59" t="s">
        <v>168</v>
      </c>
      <c r="F67" s="60"/>
      <c r="G67" s="351" t="s">
        <v>169</v>
      </c>
      <c r="H67" s="297"/>
      <c r="I67" s="152"/>
      <c r="J67" s="152"/>
      <c r="K67" s="152"/>
      <c r="L67" s="152"/>
      <c r="M67" s="152"/>
      <c r="N67" s="152"/>
      <c r="O67" s="152"/>
      <c r="P67" s="27">
        <f t="shared" si="1"/>
        <v>0</v>
      </c>
      <c r="Q67" s="152"/>
      <c r="R67" s="152"/>
      <c r="S67" s="152"/>
      <c r="T67" s="152"/>
      <c r="U67" s="152"/>
      <c r="V67" s="152"/>
      <c r="W67" s="152"/>
      <c r="X67" s="27">
        <f t="shared" si="3"/>
        <v>0</v>
      </c>
      <c r="Y67" s="39"/>
      <c r="Z67" s="39"/>
      <c r="AA67" s="39"/>
      <c r="AB67" s="39"/>
      <c r="AC67" s="39"/>
      <c r="AD67" s="39"/>
      <c r="AE67" s="39"/>
      <c r="AF67" s="27">
        <f t="shared" si="5"/>
        <v>0</v>
      </c>
    </row>
    <row r="68" spans="1:32" ht="11.25" customHeight="1" x14ac:dyDescent="0.2">
      <c r="A68" s="61"/>
      <c r="D68" s="70" t="s">
        <v>21</v>
      </c>
      <c r="E68" s="63" t="s">
        <v>170</v>
      </c>
      <c r="F68" s="60"/>
      <c r="G68" s="351" t="s">
        <v>171</v>
      </c>
      <c r="H68" s="297"/>
      <c r="I68" s="152"/>
      <c r="J68" s="152"/>
      <c r="K68" s="152"/>
      <c r="L68" s="152"/>
      <c r="M68" s="152"/>
      <c r="N68" s="152"/>
      <c r="O68" s="152"/>
      <c r="P68" s="27">
        <f t="shared" si="1"/>
        <v>0</v>
      </c>
      <c r="Q68" s="152"/>
      <c r="R68" s="152"/>
      <c r="S68" s="152"/>
      <c r="T68" s="152"/>
      <c r="U68" s="152"/>
      <c r="V68" s="152"/>
      <c r="W68" s="152"/>
      <c r="X68" s="27">
        <f t="shared" si="3"/>
        <v>0</v>
      </c>
      <c r="Y68" s="39"/>
      <c r="Z68" s="39"/>
      <c r="AA68" s="39"/>
      <c r="AB68" s="39"/>
      <c r="AC68" s="39"/>
      <c r="AD68" s="39"/>
      <c r="AE68" s="39"/>
      <c r="AF68" s="27">
        <f t="shared" si="5"/>
        <v>0</v>
      </c>
    </row>
    <row r="69" spans="1:32" ht="11.25" customHeight="1" x14ac:dyDescent="0.2">
      <c r="A69" s="55"/>
      <c r="B69" s="80"/>
      <c r="C69" s="57"/>
      <c r="D69" s="81" t="s">
        <v>172</v>
      </c>
      <c r="E69" s="421" t="s">
        <v>173</v>
      </c>
      <c r="F69" s="422"/>
      <c r="G69" s="351" t="s">
        <v>174</v>
      </c>
      <c r="H69" s="297"/>
      <c r="I69" s="152"/>
      <c r="J69" s="152"/>
      <c r="K69" s="152"/>
      <c r="L69" s="152"/>
      <c r="M69" s="152"/>
      <c r="N69" s="152"/>
      <c r="O69" s="152"/>
      <c r="P69" s="27">
        <f t="shared" si="1"/>
        <v>0</v>
      </c>
      <c r="Q69" s="152"/>
      <c r="R69" s="152"/>
      <c r="S69" s="152"/>
      <c r="T69" s="152"/>
      <c r="U69" s="152"/>
      <c r="V69" s="152"/>
      <c r="W69" s="152"/>
      <c r="X69" s="27">
        <f t="shared" si="3"/>
        <v>0</v>
      </c>
      <c r="Y69" s="39"/>
      <c r="Z69" s="39"/>
      <c r="AA69" s="39"/>
      <c r="AB69" s="39"/>
      <c r="AC69" s="39"/>
      <c r="AD69" s="39"/>
      <c r="AE69" s="39"/>
      <c r="AF69" s="27">
        <f t="shared" si="5"/>
        <v>0</v>
      </c>
    </row>
    <row r="70" spans="1:32" ht="11.25" customHeight="1" x14ac:dyDescent="0.2">
      <c r="A70" s="61"/>
      <c r="C70" s="63" t="s">
        <v>68</v>
      </c>
      <c r="D70" s="83" t="s">
        <v>175</v>
      </c>
      <c r="E70" s="69"/>
      <c r="F70" s="84"/>
      <c r="G70" s="351" t="s">
        <v>176</v>
      </c>
      <c r="H70" s="297"/>
      <c r="I70" s="27">
        <f t="shared" ref="I70:O70" si="55">I71+I72+I73</f>
        <v>0</v>
      </c>
      <c r="J70" s="27">
        <f t="shared" si="55"/>
        <v>0</v>
      </c>
      <c r="K70" s="27">
        <f t="shared" si="55"/>
        <v>0</v>
      </c>
      <c r="L70" s="27">
        <f t="shared" si="55"/>
        <v>0</v>
      </c>
      <c r="M70" s="27">
        <f t="shared" si="55"/>
        <v>0</v>
      </c>
      <c r="N70" s="27">
        <f t="shared" si="55"/>
        <v>0</v>
      </c>
      <c r="O70" s="27">
        <f t="shared" si="55"/>
        <v>0</v>
      </c>
      <c r="P70" s="27">
        <f t="shared" si="1"/>
        <v>0</v>
      </c>
      <c r="Q70" s="27">
        <f t="shared" ref="Q70:W70" si="56">Q71+Q72+Q73</f>
        <v>0</v>
      </c>
      <c r="R70" s="27">
        <f t="shared" si="56"/>
        <v>0</v>
      </c>
      <c r="S70" s="27">
        <f t="shared" si="56"/>
        <v>0</v>
      </c>
      <c r="T70" s="27">
        <f t="shared" si="56"/>
        <v>0</v>
      </c>
      <c r="U70" s="27">
        <f t="shared" si="56"/>
        <v>0</v>
      </c>
      <c r="V70" s="27">
        <f t="shared" si="56"/>
        <v>0</v>
      </c>
      <c r="W70" s="27">
        <f t="shared" si="56"/>
        <v>0</v>
      </c>
      <c r="X70" s="27">
        <f t="shared" si="3"/>
        <v>0</v>
      </c>
      <c r="Y70" s="27">
        <f t="shared" ref="Y70:AE70" si="57">Y71+Y72+Y73</f>
        <v>0</v>
      </c>
      <c r="Z70" s="27">
        <f t="shared" si="57"/>
        <v>0</v>
      </c>
      <c r="AA70" s="27">
        <f t="shared" si="57"/>
        <v>0</v>
      </c>
      <c r="AB70" s="27">
        <f t="shared" si="57"/>
        <v>0</v>
      </c>
      <c r="AC70" s="27">
        <f t="shared" si="57"/>
        <v>0</v>
      </c>
      <c r="AD70" s="27">
        <f t="shared" si="57"/>
        <v>0</v>
      </c>
      <c r="AE70" s="27">
        <f t="shared" si="57"/>
        <v>0</v>
      </c>
      <c r="AF70" s="27">
        <f t="shared" si="5"/>
        <v>0</v>
      </c>
    </row>
    <row r="71" spans="1:32" ht="11.25" customHeight="1" x14ac:dyDescent="0.2">
      <c r="A71" s="55"/>
      <c r="B71" s="80"/>
      <c r="C71" s="57"/>
      <c r="D71" s="81" t="s">
        <v>18</v>
      </c>
      <c r="E71" s="85" t="s">
        <v>177</v>
      </c>
      <c r="F71" s="84"/>
      <c r="G71" s="351" t="s">
        <v>178</v>
      </c>
      <c r="H71" s="297"/>
      <c r="I71" s="39"/>
      <c r="J71" s="39"/>
      <c r="K71" s="39"/>
      <c r="L71" s="39"/>
      <c r="M71" s="39"/>
      <c r="N71" s="152"/>
      <c r="O71" s="152"/>
      <c r="P71" s="27">
        <f t="shared" si="1"/>
        <v>0</v>
      </c>
      <c r="Q71" s="39"/>
      <c r="R71" s="39"/>
      <c r="S71" s="39"/>
      <c r="T71" s="39"/>
      <c r="U71" s="39"/>
      <c r="V71" s="39"/>
      <c r="W71" s="39"/>
      <c r="X71" s="27">
        <f t="shared" si="3"/>
        <v>0</v>
      </c>
      <c r="Y71" s="39"/>
      <c r="Z71" s="39"/>
      <c r="AA71" s="39"/>
      <c r="AB71" s="39"/>
      <c r="AC71" s="39"/>
      <c r="AD71" s="39"/>
      <c r="AE71" s="39"/>
      <c r="AF71" s="27">
        <f t="shared" si="5"/>
        <v>0</v>
      </c>
    </row>
    <row r="72" spans="1:32" ht="11.25" customHeight="1" x14ac:dyDescent="0.2">
      <c r="A72" s="61"/>
      <c r="D72" s="86" t="s">
        <v>21</v>
      </c>
      <c r="E72" s="69" t="s">
        <v>179</v>
      </c>
      <c r="F72" s="84"/>
      <c r="G72" s="351" t="s">
        <v>180</v>
      </c>
      <c r="H72" s="297"/>
      <c r="I72" s="39"/>
      <c r="J72" s="39"/>
      <c r="K72" s="39"/>
      <c r="L72" s="39"/>
      <c r="M72" s="39"/>
      <c r="N72" s="152"/>
      <c r="O72" s="152"/>
      <c r="P72" s="27">
        <f t="shared" si="1"/>
        <v>0</v>
      </c>
      <c r="Q72" s="39"/>
      <c r="R72" s="39"/>
      <c r="S72" s="39"/>
      <c r="T72" s="39"/>
      <c r="U72" s="39"/>
      <c r="V72" s="39"/>
      <c r="W72" s="39"/>
      <c r="X72" s="27">
        <f t="shared" si="3"/>
        <v>0</v>
      </c>
      <c r="Y72" s="39"/>
      <c r="Z72" s="39"/>
      <c r="AA72" s="39"/>
      <c r="AB72" s="39"/>
      <c r="AC72" s="39"/>
      <c r="AD72" s="39"/>
      <c r="AE72" s="39"/>
      <c r="AF72" s="27">
        <f t="shared" si="5"/>
        <v>0</v>
      </c>
    </row>
    <row r="73" spans="1:32" ht="11.25" customHeight="1" x14ac:dyDescent="0.2">
      <c r="A73" s="55"/>
      <c r="B73" s="80"/>
      <c r="C73" s="57"/>
      <c r="D73" s="81" t="s">
        <v>172</v>
      </c>
      <c r="E73" s="421" t="s">
        <v>181</v>
      </c>
      <c r="F73" s="422"/>
      <c r="G73" s="351" t="s">
        <v>182</v>
      </c>
      <c r="H73" s="297"/>
      <c r="I73" s="39"/>
      <c r="J73" s="39"/>
      <c r="K73" s="39"/>
      <c r="L73" s="39"/>
      <c r="M73" s="39"/>
      <c r="N73" s="152"/>
      <c r="O73" s="152"/>
      <c r="P73" s="27">
        <f t="shared" si="1"/>
        <v>0</v>
      </c>
      <c r="Q73" s="39"/>
      <c r="R73" s="39"/>
      <c r="S73" s="39"/>
      <c r="T73" s="39"/>
      <c r="U73" s="39"/>
      <c r="V73" s="39"/>
      <c r="W73" s="39"/>
      <c r="X73" s="27">
        <f t="shared" si="3"/>
        <v>0</v>
      </c>
      <c r="Y73" s="39"/>
      <c r="Z73" s="39"/>
      <c r="AA73" s="39"/>
      <c r="AB73" s="39"/>
      <c r="AC73" s="39"/>
      <c r="AD73" s="39"/>
      <c r="AE73" s="39"/>
      <c r="AF73" s="27">
        <f t="shared" si="5"/>
        <v>0</v>
      </c>
    </row>
    <row r="74" spans="1:32" ht="11.25" customHeight="1" x14ac:dyDescent="0.2">
      <c r="A74" s="61" t="s">
        <v>183</v>
      </c>
      <c r="B74" s="62"/>
      <c r="C74" s="62"/>
      <c r="D74" s="87"/>
      <c r="E74" s="62"/>
      <c r="F74" s="88"/>
      <c r="G74" s="351" t="s">
        <v>184</v>
      </c>
      <c r="H74" s="254"/>
      <c r="I74" s="27">
        <f t="shared" ref="I74:O74" si="58">+I75 + I87 + I106 + I113</f>
        <v>0</v>
      </c>
      <c r="J74" s="26">
        <f t="shared" si="58"/>
        <v>0</v>
      </c>
      <c r="K74" s="26">
        <f t="shared" si="58"/>
        <v>0</v>
      </c>
      <c r="L74" s="26">
        <f t="shared" si="58"/>
        <v>0</v>
      </c>
      <c r="M74" s="26">
        <f t="shared" si="58"/>
        <v>0</v>
      </c>
      <c r="N74" s="27">
        <f t="shared" si="58"/>
        <v>0</v>
      </c>
      <c r="O74" s="27">
        <f t="shared" si="58"/>
        <v>0</v>
      </c>
      <c r="P74" s="27">
        <f t="shared" ref="P74:P122" si="59">I74+K74+M74+O74</f>
        <v>0</v>
      </c>
      <c r="Q74" s="26">
        <f t="shared" ref="Q74:W74" si="60">+Q75 + Q87 + Q106 + Q113</f>
        <v>0</v>
      </c>
      <c r="R74" s="26">
        <f t="shared" si="60"/>
        <v>0</v>
      </c>
      <c r="S74" s="26">
        <f t="shared" si="60"/>
        <v>0</v>
      </c>
      <c r="T74" s="26">
        <f t="shared" si="60"/>
        <v>0</v>
      </c>
      <c r="U74" s="26">
        <f t="shared" si="60"/>
        <v>0</v>
      </c>
      <c r="V74" s="27">
        <f t="shared" si="60"/>
        <v>0</v>
      </c>
      <c r="W74" s="27">
        <f t="shared" si="60"/>
        <v>0</v>
      </c>
      <c r="X74" s="27">
        <f t="shared" ref="X74:X122" si="61">Q74+S74+U74+W74</f>
        <v>0</v>
      </c>
      <c r="Y74" s="26">
        <f t="shared" ref="Y74:AE74" si="62">+Y75 + Y87 + Y106 + Y113</f>
        <v>0</v>
      </c>
      <c r="Z74" s="26">
        <f t="shared" si="62"/>
        <v>0</v>
      </c>
      <c r="AA74" s="26">
        <f t="shared" si="62"/>
        <v>0</v>
      </c>
      <c r="AB74" s="26">
        <f t="shared" si="62"/>
        <v>0</v>
      </c>
      <c r="AC74" s="26">
        <f t="shared" si="62"/>
        <v>0</v>
      </c>
      <c r="AD74" s="27">
        <f t="shared" si="62"/>
        <v>0</v>
      </c>
      <c r="AE74" s="27">
        <f t="shared" si="62"/>
        <v>0</v>
      </c>
      <c r="AF74" s="27">
        <f t="shared" ref="AF74:AF122" si="63">Y74+AA74+AC74+AE74</f>
        <v>0</v>
      </c>
    </row>
    <row r="75" spans="1:32" ht="11.25" customHeight="1" x14ac:dyDescent="0.2">
      <c r="A75" s="55"/>
      <c r="B75" s="75" t="s">
        <v>59</v>
      </c>
      <c r="C75" s="76" t="s">
        <v>60</v>
      </c>
      <c r="D75" s="76"/>
      <c r="E75" s="89"/>
      <c r="F75" s="88"/>
      <c r="G75" s="351" t="s">
        <v>185</v>
      </c>
      <c r="H75" s="254"/>
      <c r="I75" s="26">
        <f t="shared" ref="I75:O75" si="64">+I76 + I78 +I83 +I84</f>
        <v>0</v>
      </c>
      <c r="J75" s="26">
        <f t="shared" si="64"/>
        <v>0</v>
      </c>
      <c r="K75" s="26">
        <f t="shared" si="64"/>
        <v>0</v>
      </c>
      <c r="L75" s="26">
        <f t="shared" si="64"/>
        <v>0</v>
      </c>
      <c r="M75" s="26">
        <f t="shared" si="64"/>
        <v>0</v>
      </c>
      <c r="N75" s="27">
        <f t="shared" si="64"/>
        <v>0</v>
      </c>
      <c r="O75" s="27">
        <f t="shared" si="64"/>
        <v>0</v>
      </c>
      <c r="P75" s="27">
        <f t="shared" si="59"/>
        <v>0</v>
      </c>
      <c r="Q75" s="26">
        <f t="shared" ref="Q75:W75" si="65">+Q76 + Q78 +Q83 +Q84</f>
        <v>0</v>
      </c>
      <c r="R75" s="26">
        <f t="shared" si="65"/>
        <v>0</v>
      </c>
      <c r="S75" s="26">
        <f t="shared" si="65"/>
        <v>0</v>
      </c>
      <c r="T75" s="26">
        <f t="shared" si="65"/>
        <v>0</v>
      </c>
      <c r="U75" s="26">
        <f t="shared" si="65"/>
        <v>0</v>
      </c>
      <c r="V75" s="27">
        <f t="shared" si="65"/>
        <v>0</v>
      </c>
      <c r="W75" s="27">
        <f t="shared" si="65"/>
        <v>0</v>
      </c>
      <c r="X75" s="27">
        <f t="shared" si="61"/>
        <v>0</v>
      </c>
      <c r="Y75" s="26">
        <f t="shared" ref="Y75:AE75" si="66">+Y76 + Y78 +Y83 +Y84</f>
        <v>0</v>
      </c>
      <c r="Z75" s="26">
        <f t="shared" si="66"/>
        <v>0</v>
      </c>
      <c r="AA75" s="26">
        <f t="shared" si="66"/>
        <v>0</v>
      </c>
      <c r="AB75" s="26">
        <f t="shared" si="66"/>
        <v>0</v>
      </c>
      <c r="AC75" s="26">
        <f t="shared" si="66"/>
        <v>0</v>
      </c>
      <c r="AD75" s="27">
        <f t="shared" si="66"/>
        <v>0</v>
      </c>
      <c r="AE75" s="27">
        <f t="shared" si="66"/>
        <v>0</v>
      </c>
      <c r="AF75" s="27">
        <f t="shared" si="63"/>
        <v>0</v>
      </c>
    </row>
    <row r="76" spans="1:32" ht="11.25" customHeight="1" x14ac:dyDescent="0.2">
      <c r="A76" s="61"/>
      <c r="B76" s="62"/>
      <c r="C76" s="63" t="s">
        <v>62</v>
      </c>
      <c r="D76" s="14" t="s">
        <v>63</v>
      </c>
      <c r="E76" s="62"/>
      <c r="F76" s="88"/>
      <c r="G76" s="351" t="s">
        <v>186</v>
      </c>
      <c r="H76" s="254"/>
      <c r="I76" s="26">
        <f t="shared" ref="I76:O76" si="67">I77</f>
        <v>0</v>
      </c>
      <c r="J76" s="26">
        <f t="shared" si="67"/>
        <v>0</v>
      </c>
      <c r="K76" s="26">
        <f t="shared" si="67"/>
        <v>0</v>
      </c>
      <c r="L76" s="26">
        <f t="shared" si="67"/>
        <v>0</v>
      </c>
      <c r="M76" s="26">
        <f t="shared" si="67"/>
        <v>0</v>
      </c>
      <c r="N76" s="27">
        <f t="shared" si="67"/>
        <v>0</v>
      </c>
      <c r="O76" s="27">
        <f t="shared" si="67"/>
        <v>0</v>
      </c>
      <c r="P76" s="27">
        <f t="shared" si="59"/>
        <v>0</v>
      </c>
      <c r="Q76" s="26">
        <f t="shared" ref="Q76:W76" si="68">Q77</f>
        <v>0</v>
      </c>
      <c r="R76" s="26">
        <f t="shared" si="68"/>
        <v>0</v>
      </c>
      <c r="S76" s="26">
        <f t="shared" si="68"/>
        <v>0</v>
      </c>
      <c r="T76" s="26">
        <f t="shared" si="68"/>
        <v>0</v>
      </c>
      <c r="U76" s="26">
        <f t="shared" si="68"/>
        <v>0</v>
      </c>
      <c r="V76" s="27">
        <f t="shared" si="68"/>
        <v>0</v>
      </c>
      <c r="W76" s="27">
        <f t="shared" si="68"/>
        <v>0</v>
      </c>
      <c r="X76" s="27">
        <f t="shared" si="61"/>
        <v>0</v>
      </c>
      <c r="Y76" s="26">
        <f t="shared" ref="Y76:AE76" si="69">Y77</f>
        <v>0</v>
      </c>
      <c r="Z76" s="26">
        <f t="shared" si="69"/>
        <v>0</v>
      </c>
      <c r="AA76" s="26">
        <f t="shared" si="69"/>
        <v>0</v>
      </c>
      <c r="AB76" s="26">
        <f t="shared" si="69"/>
        <v>0</v>
      </c>
      <c r="AC76" s="26">
        <f t="shared" si="69"/>
        <v>0</v>
      </c>
      <c r="AD76" s="27">
        <f t="shared" si="69"/>
        <v>0</v>
      </c>
      <c r="AE76" s="27">
        <f t="shared" si="69"/>
        <v>0</v>
      </c>
      <c r="AF76" s="27">
        <f t="shared" si="63"/>
        <v>0</v>
      </c>
    </row>
    <row r="77" spans="1:32" ht="11.25" customHeight="1" x14ac:dyDescent="0.2">
      <c r="A77" s="55"/>
      <c r="B77" s="56"/>
      <c r="C77" s="57"/>
      <c r="D77" s="65" t="s">
        <v>65</v>
      </c>
      <c r="E77" s="90" t="s">
        <v>66</v>
      </c>
      <c r="F77" s="88"/>
      <c r="G77" s="351" t="s">
        <v>187</v>
      </c>
      <c r="H77" s="297"/>
      <c r="I77" s="152"/>
      <c r="J77" s="152"/>
      <c r="K77" s="152"/>
      <c r="L77" s="152"/>
      <c r="M77" s="152"/>
      <c r="N77" s="152"/>
      <c r="O77" s="152"/>
      <c r="P77" s="27">
        <f t="shared" si="59"/>
        <v>0</v>
      </c>
      <c r="Q77" s="39"/>
      <c r="R77" s="39"/>
      <c r="S77" s="39"/>
      <c r="T77" s="39"/>
      <c r="U77" s="39"/>
      <c r="V77" s="39"/>
      <c r="W77" s="39"/>
      <c r="X77" s="27">
        <f t="shared" si="61"/>
        <v>0</v>
      </c>
      <c r="Y77" s="39"/>
      <c r="Z77" s="39"/>
      <c r="AA77" s="39"/>
      <c r="AB77" s="39"/>
      <c r="AC77" s="39"/>
      <c r="AD77" s="39"/>
      <c r="AE77" s="39"/>
      <c r="AF77" s="27">
        <f t="shared" si="63"/>
        <v>0</v>
      </c>
    </row>
    <row r="78" spans="1:32" ht="11.25" customHeight="1" x14ac:dyDescent="0.2">
      <c r="A78" s="61"/>
      <c r="B78" s="62"/>
      <c r="C78" s="69" t="s">
        <v>68</v>
      </c>
      <c r="D78" s="73" t="s">
        <v>69</v>
      </c>
      <c r="F78" s="88"/>
      <c r="G78" s="351" t="s">
        <v>188</v>
      </c>
      <c r="H78" s="254"/>
      <c r="I78" s="26">
        <f t="shared" ref="I78:O78" si="70">+I79 + I82</f>
        <v>0</v>
      </c>
      <c r="J78" s="26">
        <f t="shared" si="70"/>
        <v>0</v>
      </c>
      <c r="K78" s="26">
        <f t="shared" si="70"/>
        <v>0</v>
      </c>
      <c r="L78" s="26">
        <f t="shared" si="70"/>
        <v>0</v>
      </c>
      <c r="M78" s="26">
        <f t="shared" si="70"/>
        <v>0</v>
      </c>
      <c r="N78" s="27">
        <f t="shared" si="70"/>
        <v>0</v>
      </c>
      <c r="O78" s="27">
        <f t="shared" si="70"/>
        <v>0</v>
      </c>
      <c r="P78" s="27">
        <f t="shared" si="59"/>
        <v>0</v>
      </c>
      <c r="Q78" s="26">
        <f t="shared" ref="Q78:W78" si="71">+Q79 + Q82</f>
        <v>0</v>
      </c>
      <c r="R78" s="26">
        <f t="shared" si="71"/>
        <v>0</v>
      </c>
      <c r="S78" s="26">
        <f t="shared" si="71"/>
        <v>0</v>
      </c>
      <c r="T78" s="26">
        <f t="shared" si="71"/>
        <v>0</v>
      </c>
      <c r="U78" s="26">
        <f t="shared" si="71"/>
        <v>0</v>
      </c>
      <c r="V78" s="27">
        <f t="shared" si="71"/>
        <v>0</v>
      </c>
      <c r="W78" s="27">
        <f t="shared" si="71"/>
        <v>0</v>
      </c>
      <c r="X78" s="27">
        <f t="shared" si="61"/>
        <v>0</v>
      </c>
      <c r="Y78" s="26">
        <f t="shared" ref="Y78:AE78" si="72">+Y79 + Y82</f>
        <v>0</v>
      </c>
      <c r="Z78" s="26">
        <f t="shared" si="72"/>
        <v>0</v>
      </c>
      <c r="AA78" s="26">
        <f t="shared" si="72"/>
        <v>0</v>
      </c>
      <c r="AB78" s="26">
        <f t="shared" si="72"/>
        <v>0</v>
      </c>
      <c r="AC78" s="26">
        <f t="shared" si="72"/>
        <v>0</v>
      </c>
      <c r="AD78" s="27">
        <f t="shared" si="72"/>
        <v>0</v>
      </c>
      <c r="AE78" s="27">
        <f t="shared" si="72"/>
        <v>0</v>
      </c>
      <c r="AF78" s="27">
        <f t="shared" si="63"/>
        <v>0</v>
      </c>
    </row>
    <row r="79" spans="1:32" ht="11.25" customHeight="1" x14ac:dyDescent="0.2">
      <c r="A79" s="55"/>
      <c r="B79" s="56"/>
      <c r="C79" s="57"/>
      <c r="D79" s="82" t="s">
        <v>71</v>
      </c>
      <c r="E79" s="59" t="s">
        <v>72</v>
      </c>
      <c r="F79" s="88"/>
      <c r="G79" s="351" t="s">
        <v>189</v>
      </c>
      <c r="H79" s="254"/>
      <c r="I79" s="27">
        <f t="shared" ref="I79:O79" si="73">+I80 + I81</f>
        <v>0</v>
      </c>
      <c r="J79" s="26">
        <f t="shared" si="73"/>
        <v>0</v>
      </c>
      <c r="K79" s="26">
        <f t="shared" si="73"/>
        <v>0</v>
      </c>
      <c r="L79" s="26">
        <f t="shared" si="73"/>
        <v>0</v>
      </c>
      <c r="M79" s="26">
        <f t="shared" si="73"/>
        <v>0</v>
      </c>
      <c r="N79" s="27">
        <f t="shared" si="73"/>
        <v>0</v>
      </c>
      <c r="O79" s="27">
        <f t="shared" si="73"/>
        <v>0</v>
      </c>
      <c r="P79" s="27">
        <f t="shared" si="59"/>
        <v>0</v>
      </c>
      <c r="Q79" s="26">
        <f t="shared" ref="Q79:W79" si="74">+Q80 + Q81</f>
        <v>0</v>
      </c>
      <c r="R79" s="26">
        <f t="shared" si="74"/>
        <v>0</v>
      </c>
      <c r="S79" s="26">
        <f t="shared" si="74"/>
        <v>0</v>
      </c>
      <c r="T79" s="26">
        <f t="shared" si="74"/>
        <v>0</v>
      </c>
      <c r="U79" s="26">
        <f t="shared" si="74"/>
        <v>0</v>
      </c>
      <c r="V79" s="27">
        <f t="shared" si="74"/>
        <v>0</v>
      </c>
      <c r="W79" s="27">
        <f t="shared" si="74"/>
        <v>0</v>
      </c>
      <c r="X79" s="27">
        <f t="shared" si="61"/>
        <v>0</v>
      </c>
      <c r="Y79" s="26">
        <f t="shared" ref="Y79:AE79" si="75">+Y80 + Y81</f>
        <v>0</v>
      </c>
      <c r="Z79" s="26">
        <f t="shared" si="75"/>
        <v>0</v>
      </c>
      <c r="AA79" s="26">
        <f t="shared" si="75"/>
        <v>0</v>
      </c>
      <c r="AB79" s="26">
        <f t="shared" si="75"/>
        <v>0</v>
      </c>
      <c r="AC79" s="26">
        <f t="shared" si="75"/>
        <v>0</v>
      </c>
      <c r="AD79" s="27">
        <f t="shared" si="75"/>
        <v>0</v>
      </c>
      <c r="AE79" s="27">
        <f t="shared" si="75"/>
        <v>0</v>
      </c>
      <c r="AF79" s="27">
        <f t="shared" si="63"/>
        <v>0</v>
      </c>
    </row>
    <row r="80" spans="1:32" ht="11.25" customHeight="1" x14ac:dyDescent="0.2">
      <c r="A80" s="61"/>
      <c r="B80" s="62"/>
      <c r="C80" s="69"/>
      <c r="D80" s="70" t="s">
        <v>18</v>
      </c>
      <c r="E80" s="63" t="s">
        <v>74</v>
      </c>
      <c r="F80" s="88"/>
      <c r="G80" s="351" t="s">
        <v>190</v>
      </c>
      <c r="H80" s="297"/>
      <c r="I80" s="152"/>
      <c r="J80" s="152"/>
      <c r="K80" s="152"/>
      <c r="L80" s="152"/>
      <c r="M80" s="152"/>
      <c r="N80" s="152"/>
      <c r="O80" s="152"/>
      <c r="P80" s="27">
        <f t="shared" si="59"/>
        <v>0</v>
      </c>
      <c r="Q80" s="39"/>
      <c r="R80" s="39"/>
      <c r="S80" s="39"/>
      <c r="T80" s="39"/>
      <c r="U80" s="39"/>
      <c r="V80" s="39"/>
      <c r="W80" s="39"/>
      <c r="X80" s="27">
        <f t="shared" si="61"/>
        <v>0</v>
      </c>
      <c r="Y80" s="39"/>
      <c r="Z80" s="39"/>
      <c r="AA80" s="39"/>
      <c r="AB80" s="39"/>
      <c r="AC80" s="39"/>
      <c r="AD80" s="39"/>
      <c r="AE80" s="39"/>
      <c r="AF80" s="27">
        <f t="shared" si="63"/>
        <v>0</v>
      </c>
    </row>
    <row r="81" spans="1:34" ht="11.25" customHeight="1" x14ac:dyDescent="0.2">
      <c r="A81" s="55"/>
      <c r="B81" s="56"/>
      <c r="C81" s="71"/>
      <c r="D81" s="72" t="s">
        <v>21</v>
      </c>
      <c r="E81" s="59" t="s">
        <v>76</v>
      </c>
      <c r="F81" s="88"/>
      <c r="G81" s="351" t="s">
        <v>191</v>
      </c>
      <c r="H81" s="297"/>
      <c r="I81" s="152"/>
      <c r="J81" s="152"/>
      <c r="K81" s="152"/>
      <c r="L81" s="152"/>
      <c r="M81" s="152"/>
      <c r="N81" s="152"/>
      <c r="O81" s="152"/>
      <c r="P81" s="27">
        <f t="shared" si="59"/>
        <v>0</v>
      </c>
      <c r="Q81" s="39"/>
      <c r="R81" s="39"/>
      <c r="S81" s="39"/>
      <c r="T81" s="39"/>
      <c r="U81" s="39"/>
      <c r="V81" s="39"/>
      <c r="W81" s="39"/>
      <c r="X81" s="27">
        <f t="shared" si="61"/>
        <v>0</v>
      </c>
      <c r="Y81" s="39"/>
      <c r="Z81" s="39"/>
      <c r="AA81" s="39"/>
      <c r="AB81" s="39"/>
      <c r="AC81" s="39"/>
      <c r="AD81" s="39"/>
      <c r="AE81" s="39"/>
      <c r="AF81" s="27">
        <f t="shared" si="63"/>
        <v>0</v>
      </c>
    </row>
    <row r="82" spans="1:34" ht="11.25" customHeight="1" x14ac:dyDescent="0.2">
      <c r="A82" s="61"/>
      <c r="B82" s="62"/>
      <c r="D82" s="83" t="s">
        <v>78</v>
      </c>
      <c r="E82" s="63" t="s">
        <v>79</v>
      </c>
      <c r="F82" s="88"/>
      <c r="G82" s="351" t="s">
        <v>192</v>
      </c>
      <c r="H82" s="297"/>
      <c r="I82" s="152"/>
      <c r="J82" s="152"/>
      <c r="K82" s="152"/>
      <c r="L82" s="152"/>
      <c r="M82" s="152"/>
      <c r="N82" s="152"/>
      <c r="O82" s="152"/>
      <c r="P82" s="27">
        <f t="shared" si="59"/>
        <v>0</v>
      </c>
      <c r="Q82" s="39"/>
      <c r="R82" s="39"/>
      <c r="S82" s="39"/>
      <c r="T82" s="39"/>
      <c r="U82" s="39"/>
      <c r="V82" s="39"/>
      <c r="W82" s="39"/>
      <c r="X82" s="27">
        <f t="shared" si="61"/>
        <v>0</v>
      </c>
      <c r="Y82" s="39"/>
      <c r="Z82" s="39"/>
      <c r="AA82" s="39"/>
      <c r="AB82" s="39"/>
      <c r="AC82" s="39"/>
      <c r="AD82" s="39"/>
      <c r="AE82" s="39"/>
      <c r="AF82" s="27">
        <f t="shared" si="63"/>
        <v>0</v>
      </c>
    </row>
    <row r="83" spans="1:34" ht="11.25" customHeight="1" x14ac:dyDescent="0.2">
      <c r="A83" s="55"/>
      <c r="B83" s="56"/>
      <c r="C83" s="57" t="s">
        <v>81</v>
      </c>
      <c r="D83" s="68" t="s">
        <v>82</v>
      </c>
      <c r="E83" s="59"/>
      <c r="F83" s="60"/>
      <c r="G83" s="351" t="s">
        <v>193</v>
      </c>
      <c r="H83" s="297"/>
      <c r="I83" s="152"/>
      <c r="J83" s="152"/>
      <c r="K83" s="152"/>
      <c r="L83" s="152"/>
      <c r="M83" s="152"/>
      <c r="N83" s="152"/>
      <c r="O83" s="152"/>
      <c r="P83" s="27">
        <f t="shared" si="59"/>
        <v>0</v>
      </c>
      <c r="Q83" s="39"/>
      <c r="R83" s="39"/>
      <c r="S83" s="39"/>
      <c r="T83" s="39"/>
      <c r="U83" s="39"/>
      <c r="V83" s="39"/>
      <c r="W83" s="39"/>
      <c r="X83" s="27">
        <f t="shared" si="61"/>
        <v>0</v>
      </c>
      <c r="Y83" s="39"/>
      <c r="Z83" s="39"/>
      <c r="AA83" s="39"/>
      <c r="AB83" s="39"/>
      <c r="AC83" s="39"/>
      <c r="AD83" s="39"/>
      <c r="AE83" s="39"/>
      <c r="AF83" s="27">
        <f t="shared" si="63"/>
        <v>0</v>
      </c>
    </row>
    <row r="84" spans="1:34" ht="11.25" customHeight="1" x14ac:dyDescent="0.2">
      <c r="A84" s="61"/>
      <c r="B84" s="62"/>
      <c r="C84" s="69" t="s">
        <v>84</v>
      </c>
      <c r="D84" s="418" t="s">
        <v>85</v>
      </c>
      <c r="E84" s="419"/>
      <c r="F84" s="420"/>
      <c r="G84" s="351" t="s">
        <v>194</v>
      </c>
      <c r="H84" s="254"/>
      <c r="I84" s="27">
        <f t="shared" ref="I84:O84" si="76">+I85 + I86</f>
        <v>0</v>
      </c>
      <c r="J84" s="26">
        <f t="shared" si="76"/>
        <v>0</v>
      </c>
      <c r="K84" s="26">
        <f t="shared" si="76"/>
        <v>0</v>
      </c>
      <c r="L84" s="26">
        <f t="shared" si="76"/>
        <v>0</v>
      </c>
      <c r="M84" s="26">
        <f t="shared" si="76"/>
        <v>0</v>
      </c>
      <c r="N84" s="27">
        <f t="shared" si="76"/>
        <v>0</v>
      </c>
      <c r="O84" s="27">
        <f t="shared" si="76"/>
        <v>0</v>
      </c>
      <c r="P84" s="27">
        <f t="shared" si="59"/>
        <v>0</v>
      </c>
      <c r="Q84" s="26">
        <f t="shared" ref="Q84:W84" si="77">+Q85 + Q86</f>
        <v>0</v>
      </c>
      <c r="R84" s="26">
        <f t="shared" si="77"/>
        <v>0</v>
      </c>
      <c r="S84" s="26">
        <f t="shared" si="77"/>
        <v>0</v>
      </c>
      <c r="T84" s="26">
        <f t="shared" si="77"/>
        <v>0</v>
      </c>
      <c r="U84" s="26">
        <f t="shared" si="77"/>
        <v>0</v>
      </c>
      <c r="V84" s="27">
        <f t="shared" si="77"/>
        <v>0</v>
      </c>
      <c r="W84" s="27">
        <f t="shared" si="77"/>
        <v>0</v>
      </c>
      <c r="X84" s="27">
        <f t="shared" si="61"/>
        <v>0</v>
      </c>
      <c r="Y84" s="26">
        <f t="shared" ref="Y84:AE84" si="78">+Y85 + Y86</f>
        <v>0</v>
      </c>
      <c r="Z84" s="26">
        <f t="shared" si="78"/>
        <v>0</v>
      </c>
      <c r="AA84" s="26">
        <f t="shared" si="78"/>
        <v>0</v>
      </c>
      <c r="AB84" s="26">
        <f t="shared" si="78"/>
        <v>0</v>
      </c>
      <c r="AC84" s="26">
        <f t="shared" si="78"/>
        <v>0</v>
      </c>
      <c r="AD84" s="27">
        <f t="shared" si="78"/>
        <v>0</v>
      </c>
      <c r="AE84" s="27">
        <f t="shared" si="78"/>
        <v>0</v>
      </c>
      <c r="AF84" s="27">
        <f t="shared" si="63"/>
        <v>0</v>
      </c>
    </row>
    <row r="85" spans="1:34" ht="11.25" customHeight="1" x14ac:dyDescent="0.2">
      <c r="A85" s="55"/>
      <c r="B85" s="56"/>
      <c r="C85" s="57"/>
      <c r="D85" s="72" t="s">
        <v>18</v>
      </c>
      <c r="E85" s="59" t="s">
        <v>87</v>
      </c>
      <c r="F85" s="60"/>
      <c r="G85" s="351" t="s">
        <v>195</v>
      </c>
      <c r="H85" s="297"/>
      <c r="I85" s="152"/>
      <c r="J85" s="152"/>
      <c r="K85" s="152"/>
      <c r="L85" s="152"/>
      <c r="M85" s="152"/>
      <c r="N85" s="152"/>
      <c r="O85" s="152"/>
      <c r="P85" s="27">
        <f t="shared" si="59"/>
        <v>0</v>
      </c>
      <c r="Q85" s="39"/>
      <c r="R85" s="39"/>
      <c r="S85" s="39"/>
      <c r="T85" s="39"/>
      <c r="U85" s="39"/>
      <c r="V85" s="39"/>
      <c r="W85" s="39"/>
      <c r="X85" s="27">
        <f t="shared" si="61"/>
        <v>0</v>
      </c>
      <c r="Y85" s="39"/>
      <c r="Z85" s="39"/>
      <c r="AA85" s="39"/>
      <c r="AB85" s="39"/>
      <c r="AC85" s="39"/>
      <c r="AD85" s="39"/>
      <c r="AE85" s="39"/>
      <c r="AF85" s="27">
        <f t="shared" si="63"/>
        <v>0</v>
      </c>
    </row>
    <row r="86" spans="1:34" ht="11.25" customHeight="1" x14ac:dyDescent="0.2">
      <c r="A86" s="61"/>
      <c r="B86" s="62"/>
      <c r="D86" s="70" t="s">
        <v>21</v>
      </c>
      <c r="E86" s="63" t="s">
        <v>89</v>
      </c>
      <c r="F86" s="60"/>
      <c r="G86" s="351" t="s">
        <v>196</v>
      </c>
      <c r="H86" s="297"/>
      <c r="I86" s="50"/>
      <c r="J86" s="50"/>
      <c r="K86" s="50"/>
      <c r="L86" s="50"/>
      <c r="M86" s="50"/>
      <c r="N86" s="152"/>
      <c r="O86" s="152"/>
      <c r="P86" s="27">
        <f t="shared" si="59"/>
        <v>0</v>
      </c>
      <c r="Q86" s="50"/>
      <c r="R86" s="50"/>
      <c r="S86" s="50"/>
      <c r="T86" s="50"/>
      <c r="U86" s="50"/>
      <c r="V86" s="39"/>
      <c r="W86" s="39"/>
      <c r="X86" s="27">
        <f t="shared" si="61"/>
        <v>0</v>
      </c>
      <c r="Y86" s="50"/>
      <c r="Z86" s="50"/>
      <c r="AA86" s="50"/>
      <c r="AB86" s="50"/>
      <c r="AC86" s="50"/>
      <c r="AD86" s="39"/>
      <c r="AE86" s="39"/>
      <c r="AF86" s="27">
        <f t="shared" si="63"/>
        <v>0</v>
      </c>
    </row>
    <row r="87" spans="1:34" ht="11.25" customHeight="1" x14ac:dyDescent="0.2">
      <c r="A87" s="55"/>
      <c r="B87" s="75" t="s">
        <v>95</v>
      </c>
      <c r="C87" s="76" t="s">
        <v>96</v>
      </c>
      <c r="D87" s="65"/>
      <c r="E87" s="59"/>
      <c r="F87" s="60"/>
      <c r="G87" s="351" t="s">
        <v>197</v>
      </c>
      <c r="H87" s="254"/>
      <c r="I87" s="54"/>
      <c r="J87" s="26">
        <f t="shared" ref="J87:O87" si="79">+J88 + J95 + J98 + J99</f>
        <v>0</v>
      </c>
      <c r="K87" s="26">
        <f t="shared" si="79"/>
        <v>0</v>
      </c>
      <c r="L87" s="26">
        <f t="shared" si="79"/>
        <v>0</v>
      </c>
      <c r="M87" s="26">
        <f t="shared" si="79"/>
        <v>0</v>
      </c>
      <c r="N87" s="27">
        <f t="shared" si="79"/>
        <v>0</v>
      </c>
      <c r="O87" s="27">
        <f t="shared" si="79"/>
        <v>0</v>
      </c>
      <c r="P87" s="27">
        <f t="shared" si="59"/>
        <v>0</v>
      </c>
      <c r="Q87" s="26">
        <f>+Q88 + Q95 + Q98 + Q99</f>
        <v>0</v>
      </c>
      <c r="R87" s="54"/>
      <c r="S87" s="54"/>
      <c r="T87" s="26">
        <f>+T88 + T95 + T98 + T99</f>
        <v>0</v>
      </c>
      <c r="U87" s="26">
        <f>+U88 + U95 + U98 + U99</f>
        <v>0</v>
      </c>
      <c r="V87" s="27">
        <f>+V88 + V95 + V98 + V99</f>
        <v>0</v>
      </c>
      <c r="W87" s="27">
        <f>+W88 + W95 + W98 + W99</f>
        <v>0</v>
      </c>
      <c r="X87" s="27">
        <f t="shared" si="61"/>
        <v>0</v>
      </c>
      <c r="Y87" s="26">
        <f>+Y88 + Y95 + Y98 + Y99</f>
        <v>0</v>
      </c>
      <c r="Z87" s="54"/>
      <c r="AA87" s="54"/>
      <c r="AB87" s="26">
        <f>+AB88 + AB95 + AB98 + AB99</f>
        <v>0</v>
      </c>
      <c r="AC87" s="26">
        <f>+AC88 + AC95 + AC98 + AC99</f>
        <v>0</v>
      </c>
      <c r="AD87" s="27">
        <f>+AD88 + AD95 + AD98 + AD99</f>
        <v>0</v>
      </c>
      <c r="AE87" s="27">
        <f>+AE88 + AE95 + AE98 + AE99</f>
        <v>0</v>
      </c>
      <c r="AF87" s="27">
        <f t="shared" si="63"/>
        <v>0</v>
      </c>
    </row>
    <row r="88" spans="1:34" ht="11.25" customHeight="1" x14ac:dyDescent="0.2">
      <c r="A88" s="61"/>
      <c r="B88" s="62"/>
      <c r="C88" s="63" t="s">
        <v>62</v>
      </c>
      <c r="D88" s="73" t="s">
        <v>98</v>
      </c>
      <c r="F88" s="60"/>
      <c r="G88" s="351" t="s">
        <v>198</v>
      </c>
      <c r="H88" s="254"/>
      <c r="I88" s="54"/>
      <c r="J88" s="26">
        <f t="shared" ref="J88:O88" si="80">+J89 + J92</f>
        <v>0</v>
      </c>
      <c r="K88" s="26">
        <f t="shared" si="80"/>
        <v>0</v>
      </c>
      <c r="L88" s="26">
        <f t="shared" si="80"/>
        <v>0</v>
      </c>
      <c r="M88" s="26">
        <f t="shared" si="80"/>
        <v>0</v>
      </c>
      <c r="N88" s="27">
        <f t="shared" si="80"/>
        <v>0</v>
      </c>
      <c r="O88" s="27">
        <f t="shared" si="80"/>
        <v>0</v>
      </c>
      <c r="P88" s="27">
        <f t="shared" si="59"/>
        <v>0</v>
      </c>
      <c r="Q88" s="26">
        <f>+Q89 + Q92</f>
        <v>0</v>
      </c>
      <c r="R88" s="54"/>
      <c r="S88" s="54"/>
      <c r="T88" s="26">
        <f>+T89 + T92</f>
        <v>0</v>
      </c>
      <c r="U88" s="26">
        <f>+U89 + U92</f>
        <v>0</v>
      </c>
      <c r="V88" s="27">
        <f>+V89 + V92</f>
        <v>0</v>
      </c>
      <c r="W88" s="27">
        <f>+W89 + W92</f>
        <v>0</v>
      </c>
      <c r="X88" s="27">
        <f t="shared" si="61"/>
        <v>0</v>
      </c>
      <c r="Y88" s="26">
        <f>+Y89 + Y92</f>
        <v>0</v>
      </c>
      <c r="Z88" s="54"/>
      <c r="AA88" s="54"/>
      <c r="AB88" s="26">
        <f>+AB89 + AB92</f>
        <v>0</v>
      </c>
      <c r="AC88" s="26">
        <f>+AC89 + AC92</f>
        <v>0</v>
      </c>
      <c r="AD88" s="27">
        <f>+AD89 + AD92</f>
        <v>0</v>
      </c>
      <c r="AE88" s="27">
        <f>+AE89 + AE92</f>
        <v>0</v>
      </c>
      <c r="AF88" s="27">
        <f t="shared" si="63"/>
        <v>0</v>
      </c>
      <c r="AG88" s="21"/>
      <c r="AH88" s="21"/>
    </row>
    <row r="89" spans="1:34" ht="11.25" customHeight="1" x14ac:dyDescent="0.2">
      <c r="A89" s="55"/>
      <c r="B89" s="56"/>
      <c r="C89" s="57"/>
      <c r="D89" s="65">
        <v>-1</v>
      </c>
      <c r="E89" s="59" t="s">
        <v>100</v>
      </c>
      <c r="F89" s="60"/>
      <c r="G89" s="351" t="s">
        <v>199</v>
      </c>
      <c r="H89" s="254"/>
      <c r="I89" s="54"/>
      <c r="J89" s="26">
        <f t="shared" ref="J89:O89" si="81">+J90 + J91</f>
        <v>0</v>
      </c>
      <c r="K89" s="26">
        <f t="shared" si="81"/>
        <v>0</v>
      </c>
      <c r="L89" s="26">
        <f t="shared" si="81"/>
        <v>0</v>
      </c>
      <c r="M89" s="26">
        <f t="shared" si="81"/>
        <v>0</v>
      </c>
      <c r="N89" s="27">
        <f t="shared" si="81"/>
        <v>0</v>
      </c>
      <c r="O89" s="27">
        <f t="shared" si="81"/>
        <v>0</v>
      </c>
      <c r="P89" s="27">
        <f t="shared" si="59"/>
        <v>0</v>
      </c>
      <c r="Q89" s="26">
        <f>+Q90 + Q91</f>
        <v>0</v>
      </c>
      <c r="R89" s="54"/>
      <c r="S89" s="54"/>
      <c r="T89" s="26">
        <f>+T90 + T91</f>
        <v>0</v>
      </c>
      <c r="U89" s="26">
        <f>+U90 + U91</f>
        <v>0</v>
      </c>
      <c r="V89" s="27">
        <f>+V90 + V91</f>
        <v>0</v>
      </c>
      <c r="W89" s="27">
        <f>+W90 + W91</f>
        <v>0</v>
      </c>
      <c r="X89" s="27">
        <f t="shared" si="61"/>
        <v>0</v>
      </c>
      <c r="Y89" s="26">
        <f>+Y90 + Y91</f>
        <v>0</v>
      </c>
      <c r="Z89" s="54"/>
      <c r="AA89" s="54"/>
      <c r="AB89" s="26">
        <f>+AB90 + AB91</f>
        <v>0</v>
      </c>
      <c r="AC89" s="26">
        <f>+AC90 + AC91</f>
        <v>0</v>
      </c>
      <c r="AD89" s="27">
        <f>+AD90 + AD91</f>
        <v>0</v>
      </c>
      <c r="AE89" s="27">
        <f>+AE90 + AE91</f>
        <v>0</v>
      </c>
      <c r="AF89" s="27">
        <f t="shared" si="63"/>
        <v>0</v>
      </c>
      <c r="AG89" s="21"/>
      <c r="AH89" s="21"/>
    </row>
    <row r="90" spans="1:34" ht="11.25" customHeight="1" x14ac:dyDescent="0.2">
      <c r="A90" s="61"/>
      <c r="B90" s="62"/>
      <c r="D90" s="64" t="s">
        <v>102</v>
      </c>
      <c r="E90" s="63" t="s">
        <v>87</v>
      </c>
      <c r="F90" s="60"/>
      <c r="G90" s="351" t="s">
        <v>200</v>
      </c>
      <c r="H90" s="297"/>
      <c r="I90" s="50"/>
      <c r="J90" s="152"/>
      <c r="K90" s="152"/>
      <c r="L90" s="152"/>
      <c r="M90" s="152"/>
      <c r="N90" s="152"/>
      <c r="O90" s="152"/>
      <c r="P90" s="27">
        <f t="shared" si="59"/>
        <v>0</v>
      </c>
      <c r="Q90" s="39"/>
      <c r="R90" s="50"/>
      <c r="S90" s="50"/>
      <c r="T90" s="39"/>
      <c r="U90" s="39"/>
      <c r="V90" s="39"/>
      <c r="W90" s="39"/>
      <c r="X90" s="27">
        <f t="shared" si="61"/>
        <v>0</v>
      </c>
      <c r="Y90" s="39"/>
      <c r="Z90" s="50"/>
      <c r="AA90" s="50"/>
      <c r="AB90" s="39"/>
      <c r="AC90" s="39"/>
      <c r="AD90" s="39"/>
      <c r="AE90" s="39"/>
      <c r="AF90" s="27">
        <f t="shared" si="63"/>
        <v>0</v>
      </c>
      <c r="AG90" s="21"/>
      <c r="AH90" s="21"/>
    </row>
    <row r="91" spans="1:34" ht="11.25" customHeight="1" x14ac:dyDescent="0.2">
      <c r="A91" s="55"/>
      <c r="B91" s="56"/>
      <c r="C91" s="57"/>
      <c r="D91" s="58" t="s">
        <v>104</v>
      </c>
      <c r="E91" s="59" t="s">
        <v>89</v>
      </c>
      <c r="F91" s="60"/>
      <c r="G91" s="351" t="s">
        <v>201</v>
      </c>
      <c r="H91" s="297"/>
      <c r="I91" s="50"/>
      <c r="J91" s="152"/>
      <c r="K91" s="152"/>
      <c r="L91" s="152"/>
      <c r="M91" s="152"/>
      <c r="N91" s="152"/>
      <c r="O91" s="152"/>
      <c r="P91" s="27">
        <f t="shared" si="59"/>
        <v>0</v>
      </c>
      <c r="Q91" s="39"/>
      <c r="R91" s="50"/>
      <c r="S91" s="50"/>
      <c r="T91" s="39"/>
      <c r="U91" s="39"/>
      <c r="V91" s="39"/>
      <c r="W91" s="39"/>
      <c r="X91" s="27">
        <f t="shared" si="61"/>
        <v>0</v>
      </c>
      <c r="Y91" s="39"/>
      <c r="Z91" s="50"/>
      <c r="AA91" s="50"/>
      <c r="AB91" s="39"/>
      <c r="AC91" s="39"/>
      <c r="AD91" s="39"/>
      <c r="AE91" s="39"/>
      <c r="AF91" s="27">
        <f t="shared" si="63"/>
        <v>0</v>
      </c>
      <c r="AG91" s="21"/>
      <c r="AH91" s="21"/>
    </row>
    <row r="92" spans="1:34" ht="11.25" customHeight="1" x14ac:dyDescent="0.2">
      <c r="A92" s="61"/>
      <c r="B92" s="62"/>
      <c r="D92" s="64" t="s">
        <v>21</v>
      </c>
      <c r="E92" s="63" t="s">
        <v>106</v>
      </c>
      <c r="F92" s="60"/>
      <c r="G92" s="351" t="s">
        <v>202</v>
      </c>
      <c r="H92" s="254"/>
      <c r="I92" s="54"/>
      <c r="J92" s="27">
        <f t="shared" ref="J92:O92" si="82">+J93 + J94</f>
        <v>0</v>
      </c>
      <c r="K92" s="27">
        <f t="shared" si="82"/>
        <v>0</v>
      </c>
      <c r="L92" s="27">
        <f t="shared" si="82"/>
        <v>0</v>
      </c>
      <c r="M92" s="27">
        <f t="shared" si="82"/>
        <v>0</v>
      </c>
      <c r="N92" s="27">
        <f t="shared" si="82"/>
        <v>0</v>
      </c>
      <c r="O92" s="27">
        <f t="shared" si="82"/>
        <v>0</v>
      </c>
      <c r="P92" s="27">
        <f t="shared" si="59"/>
        <v>0</v>
      </c>
      <c r="Q92" s="27">
        <f t="shared" ref="Q92:W92" si="83">+Q93 + Q94</f>
        <v>0</v>
      </c>
      <c r="R92" s="54"/>
      <c r="S92" s="54"/>
      <c r="T92" s="27">
        <f t="shared" si="83"/>
        <v>0</v>
      </c>
      <c r="U92" s="27">
        <f t="shared" si="83"/>
        <v>0</v>
      </c>
      <c r="V92" s="27">
        <f t="shared" si="83"/>
        <v>0</v>
      </c>
      <c r="W92" s="27">
        <f t="shared" si="83"/>
        <v>0</v>
      </c>
      <c r="X92" s="27">
        <f t="shared" si="61"/>
        <v>0</v>
      </c>
      <c r="Y92" s="27">
        <f t="shared" ref="Y92:AE92" si="84">+Y93 + Y94</f>
        <v>0</v>
      </c>
      <c r="Z92" s="54"/>
      <c r="AA92" s="54"/>
      <c r="AB92" s="27">
        <f t="shared" si="84"/>
        <v>0</v>
      </c>
      <c r="AC92" s="27">
        <f t="shared" si="84"/>
        <v>0</v>
      </c>
      <c r="AD92" s="27">
        <f t="shared" si="84"/>
        <v>0</v>
      </c>
      <c r="AE92" s="27">
        <f t="shared" si="84"/>
        <v>0</v>
      </c>
      <c r="AF92" s="27">
        <f t="shared" si="63"/>
        <v>0</v>
      </c>
    </row>
    <row r="93" spans="1:34" ht="11.25" customHeight="1" x14ac:dyDescent="0.2">
      <c r="A93" s="55"/>
      <c r="B93" s="56"/>
      <c r="C93" s="57"/>
      <c r="D93" s="58" t="s">
        <v>108</v>
      </c>
      <c r="E93" s="59" t="s">
        <v>87</v>
      </c>
      <c r="F93" s="60"/>
      <c r="G93" s="351" t="s">
        <v>203</v>
      </c>
      <c r="H93" s="297"/>
      <c r="I93" s="50"/>
      <c r="J93" s="152"/>
      <c r="K93" s="152"/>
      <c r="L93" s="152"/>
      <c r="M93" s="152"/>
      <c r="N93" s="152"/>
      <c r="O93" s="152"/>
      <c r="P93" s="27">
        <f t="shared" si="59"/>
        <v>0</v>
      </c>
      <c r="Q93" s="39"/>
      <c r="R93" s="50"/>
      <c r="S93" s="50"/>
      <c r="T93" s="39"/>
      <c r="U93" s="39"/>
      <c r="V93" s="39"/>
      <c r="W93" s="39"/>
      <c r="X93" s="27">
        <f t="shared" si="61"/>
        <v>0</v>
      </c>
      <c r="Y93" s="39"/>
      <c r="Z93" s="50"/>
      <c r="AA93" s="50"/>
      <c r="AB93" s="39"/>
      <c r="AC93" s="39"/>
      <c r="AD93" s="39"/>
      <c r="AE93" s="39"/>
      <c r="AF93" s="27">
        <f t="shared" si="63"/>
        <v>0</v>
      </c>
    </row>
    <row r="94" spans="1:34" ht="11.25" customHeight="1" x14ac:dyDescent="0.2">
      <c r="A94" s="61"/>
      <c r="B94" s="62"/>
      <c r="D94" s="64" t="s">
        <v>110</v>
      </c>
      <c r="E94" s="63" t="s">
        <v>89</v>
      </c>
      <c r="F94" s="60"/>
      <c r="G94" s="351" t="s">
        <v>204</v>
      </c>
      <c r="H94" s="297"/>
      <c r="I94" s="50"/>
      <c r="J94" s="152"/>
      <c r="K94" s="152"/>
      <c r="L94" s="152"/>
      <c r="M94" s="152"/>
      <c r="N94" s="152"/>
      <c r="O94" s="152"/>
      <c r="P94" s="27">
        <f t="shared" si="59"/>
        <v>0</v>
      </c>
      <c r="Q94" s="39"/>
      <c r="R94" s="50"/>
      <c r="S94" s="50"/>
      <c r="T94" s="39"/>
      <c r="U94" s="39"/>
      <c r="V94" s="39"/>
      <c r="W94" s="39"/>
      <c r="X94" s="27">
        <f t="shared" si="61"/>
        <v>0</v>
      </c>
      <c r="Y94" s="39"/>
      <c r="Z94" s="50"/>
      <c r="AA94" s="50"/>
      <c r="AB94" s="39"/>
      <c r="AC94" s="39"/>
      <c r="AD94" s="39"/>
      <c r="AE94" s="39"/>
      <c r="AF94" s="27">
        <f t="shared" si="63"/>
        <v>0</v>
      </c>
    </row>
    <row r="95" spans="1:34" ht="11.25" customHeight="1" x14ac:dyDescent="0.2">
      <c r="A95" s="55"/>
      <c r="B95" s="56"/>
      <c r="C95" s="57" t="s">
        <v>68</v>
      </c>
      <c r="D95" s="68" t="s">
        <v>118</v>
      </c>
      <c r="E95" s="59"/>
      <c r="F95" s="60"/>
      <c r="G95" s="351" t="s">
        <v>205</v>
      </c>
      <c r="H95" s="254"/>
      <c r="I95" s="54"/>
      <c r="J95" s="26">
        <f t="shared" ref="J95:O95" si="85">+J96 + J97</f>
        <v>0</v>
      </c>
      <c r="K95" s="26">
        <f t="shared" si="85"/>
        <v>0</v>
      </c>
      <c r="L95" s="26">
        <f t="shared" si="85"/>
        <v>0</v>
      </c>
      <c r="M95" s="26">
        <f t="shared" si="85"/>
        <v>0</v>
      </c>
      <c r="N95" s="27">
        <f t="shared" si="85"/>
        <v>0</v>
      </c>
      <c r="O95" s="27">
        <f t="shared" si="85"/>
        <v>0</v>
      </c>
      <c r="P95" s="27">
        <f t="shared" si="59"/>
        <v>0</v>
      </c>
      <c r="Q95" s="26">
        <f t="shared" ref="Q95:W95" si="86">+Q96 + Q97</f>
        <v>0</v>
      </c>
      <c r="R95" s="54"/>
      <c r="S95" s="54"/>
      <c r="T95" s="26">
        <f t="shared" si="86"/>
        <v>0</v>
      </c>
      <c r="U95" s="26">
        <f t="shared" si="86"/>
        <v>0</v>
      </c>
      <c r="V95" s="27">
        <f t="shared" si="86"/>
        <v>0</v>
      </c>
      <c r="W95" s="27">
        <f t="shared" si="86"/>
        <v>0</v>
      </c>
      <c r="X95" s="27">
        <f t="shared" si="61"/>
        <v>0</v>
      </c>
      <c r="Y95" s="26">
        <f t="shared" ref="Y95:AE95" si="87">+Y96 + Y97</f>
        <v>0</v>
      </c>
      <c r="Z95" s="54"/>
      <c r="AA95" s="54"/>
      <c r="AB95" s="26">
        <f t="shared" si="87"/>
        <v>0</v>
      </c>
      <c r="AC95" s="26">
        <f t="shared" si="87"/>
        <v>0</v>
      </c>
      <c r="AD95" s="27">
        <f t="shared" si="87"/>
        <v>0</v>
      </c>
      <c r="AE95" s="27">
        <f t="shared" si="87"/>
        <v>0</v>
      </c>
      <c r="AF95" s="27">
        <f t="shared" si="63"/>
        <v>0</v>
      </c>
    </row>
    <row r="96" spans="1:34" ht="11.25" customHeight="1" x14ac:dyDescent="0.2">
      <c r="A96" s="61"/>
      <c r="B96" s="62"/>
      <c r="C96" s="69"/>
      <c r="D96" s="70" t="s">
        <v>18</v>
      </c>
      <c r="E96" s="63" t="s">
        <v>120</v>
      </c>
      <c r="F96" s="60"/>
      <c r="G96" s="351" t="s">
        <v>206</v>
      </c>
      <c r="H96" s="297"/>
      <c r="I96" s="50"/>
      <c r="J96" s="152"/>
      <c r="K96" s="152"/>
      <c r="L96" s="152"/>
      <c r="M96" s="152"/>
      <c r="N96" s="152"/>
      <c r="O96" s="152"/>
      <c r="P96" s="27">
        <f t="shared" si="59"/>
        <v>0</v>
      </c>
      <c r="Q96" s="39"/>
      <c r="R96" s="50"/>
      <c r="S96" s="50"/>
      <c r="T96" s="39"/>
      <c r="U96" s="39"/>
      <c r="V96" s="39"/>
      <c r="W96" s="39"/>
      <c r="X96" s="27">
        <f t="shared" si="61"/>
        <v>0</v>
      </c>
      <c r="Y96" s="39"/>
      <c r="Z96" s="50"/>
      <c r="AA96" s="50"/>
      <c r="AB96" s="39"/>
      <c r="AC96" s="39"/>
      <c r="AD96" s="39"/>
      <c r="AE96" s="39"/>
      <c r="AF96" s="27">
        <f t="shared" si="63"/>
        <v>0</v>
      </c>
    </row>
    <row r="97" spans="1:32" ht="11.25" customHeight="1" x14ac:dyDescent="0.2">
      <c r="A97" s="55"/>
      <c r="B97" s="56"/>
      <c r="C97" s="71"/>
      <c r="D97" s="72" t="s">
        <v>21</v>
      </c>
      <c r="E97" s="59" t="s">
        <v>122</v>
      </c>
      <c r="F97" s="60"/>
      <c r="G97" s="351" t="s">
        <v>207</v>
      </c>
      <c r="H97" s="297"/>
      <c r="I97" s="50"/>
      <c r="J97" s="152"/>
      <c r="K97" s="152"/>
      <c r="L97" s="152"/>
      <c r="M97" s="152"/>
      <c r="N97" s="152"/>
      <c r="O97" s="152"/>
      <c r="P97" s="27">
        <f t="shared" si="59"/>
        <v>0</v>
      </c>
      <c r="Q97" s="39"/>
      <c r="R97" s="50"/>
      <c r="S97" s="50"/>
      <c r="T97" s="39"/>
      <c r="U97" s="39"/>
      <c r="V97" s="39"/>
      <c r="W97" s="39"/>
      <c r="X97" s="27">
        <f t="shared" si="61"/>
        <v>0</v>
      </c>
      <c r="Y97" s="39"/>
      <c r="Z97" s="50"/>
      <c r="AA97" s="50"/>
      <c r="AB97" s="39"/>
      <c r="AC97" s="39"/>
      <c r="AD97" s="39"/>
      <c r="AE97" s="39"/>
      <c r="AF97" s="27">
        <f t="shared" si="63"/>
        <v>0</v>
      </c>
    </row>
    <row r="98" spans="1:32" ht="11.25" customHeight="1" x14ac:dyDescent="0.2">
      <c r="A98" s="61"/>
      <c r="B98" s="62"/>
      <c r="C98" s="63" t="s">
        <v>81</v>
      </c>
      <c r="D98" s="73" t="s">
        <v>124</v>
      </c>
      <c r="F98" s="60"/>
      <c r="G98" s="351" t="s">
        <v>208</v>
      </c>
      <c r="H98" s="297"/>
      <c r="I98" s="50"/>
      <c r="J98" s="152"/>
      <c r="K98" s="152"/>
      <c r="L98" s="152"/>
      <c r="M98" s="152"/>
      <c r="N98" s="152"/>
      <c r="O98" s="152"/>
      <c r="P98" s="27">
        <f t="shared" si="59"/>
        <v>0</v>
      </c>
      <c r="Q98" s="39"/>
      <c r="R98" s="50"/>
      <c r="S98" s="50"/>
      <c r="T98" s="39"/>
      <c r="U98" s="39"/>
      <c r="V98" s="39"/>
      <c r="W98" s="39"/>
      <c r="X98" s="27">
        <f t="shared" si="61"/>
        <v>0</v>
      </c>
      <c r="Y98" s="39"/>
      <c r="Z98" s="50"/>
      <c r="AA98" s="50"/>
      <c r="AB98" s="39"/>
      <c r="AC98" s="39"/>
      <c r="AD98" s="39"/>
      <c r="AE98" s="39"/>
      <c r="AF98" s="27">
        <f t="shared" si="63"/>
        <v>0</v>
      </c>
    </row>
    <row r="99" spans="1:32" ht="11.25" customHeight="1" x14ac:dyDescent="0.2">
      <c r="A99" s="55"/>
      <c r="B99" s="56"/>
      <c r="C99" s="71" t="s">
        <v>126</v>
      </c>
      <c r="D99" s="415" t="s">
        <v>127</v>
      </c>
      <c r="E99" s="416"/>
      <c r="F99" s="417"/>
      <c r="G99" s="351" t="s">
        <v>209</v>
      </c>
      <c r="H99" s="254"/>
      <c r="I99" s="54"/>
      <c r="J99" s="26">
        <f t="shared" ref="J99:O99" si="88">+J100 + J103</f>
        <v>0</v>
      </c>
      <c r="K99" s="26">
        <f t="shared" si="88"/>
        <v>0</v>
      </c>
      <c r="L99" s="26">
        <f t="shared" si="88"/>
        <v>0</v>
      </c>
      <c r="M99" s="26">
        <f t="shared" si="88"/>
        <v>0</v>
      </c>
      <c r="N99" s="27">
        <f t="shared" si="88"/>
        <v>0</v>
      </c>
      <c r="O99" s="27">
        <f t="shared" si="88"/>
        <v>0</v>
      </c>
      <c r="P99" s="27">
        <f t="shared" si="59"/>
        <v>0</v>
      </c>
      <c r="Q99" s="26">
        <f>+Q100 + Q103</f>
        <v>0</v>
      </c>
      <c r="R99" s="54"/>
      <c r="S99" s="54"/>
      <c r="T99" s="26">
        <f>+T100 + T103</f>
        <v>0</v>
      </c>
      <c r="U99" s="26">
        <f>+U100 + U103</f>
        <v>0</v>
      </c>
      <c r="V99" s="27">
        <f>+V100 + V103</f>
        <v>0</v>
      </c>
      <c r="W99" s="27">
        <f>+W100 + W103</f>
        <v>0</v>
      </c>
      <c r="X99" s="27">
        <f t="shared" si="61"/>
        <v>0</v>
      </c>
      <c r="Y99" s="26">
        <f>+Y100 + Y103</f>
        <v>0</v>
      </c>
      <c r="Z99" s="54"/>
      <c r="AA99" s="54"/>
      <c r="AB99" s="26">
        <f>+AB100 + AB103</f>
        <v>0</v>
      </c>
      <c r="AC99" s="26">
        <f>+AC100 + AC103</f>
        <v>0</v>
      </c>
      <c r="AD99" s="27">
        <f>+AD100 + AD103</f>
        <v>0</v>
      </c>
      <c r="AE99" s="27">
        <f>+AE100 + AE103</f>
        <v>0</v>
      </c>
      <c r="AF99" s="27">
        <f t="shared" si="63"/>
        <v>0</v>
      </c>
    </row>
    <row r="100" spans="1:32" ht="11.25" customHeight="1" x14ac:dyDescent="0.2">
      <c r="A100" s="55"/>
      <c r="B100" s="56"/>
      <c r="C100" s="57"/>
      <c r="D100" s="72" t="s">
        <v>18</v>
      </c>
      <c r="E100" s="59" t="s">
        <v>87</v>
      </c>
      <c r="F100" s="60"/>
      <c r="G100" s="351" t="s">
        <v>210</v>
      </c>
      <c r="H100" s="254"/>
      <c r="I100" s="54"/>
      <c r="J100" s="26">
        <f t="shared" ref="J100:O100" si="89">+J101 + J102</f>
        <v>0</v>
      </c>
      <c r="K100" s="26">
        <f t="shared" si="89"/>
        <v>0</v>
      </c>
      <c r="L100" s="26">
        <f t="shared" si="89"/>
        <v>0</v>
      </c>
      <c r="M100" s="26">
        <f t="shared" si="89"/>
        <v>0</v>
      </c>
      <c r="N100" s="27">
        <f t="shared" si="89"/>
        <v>0</v>
      </c>
      <c r="O100" s="27">
        <f t="shared" si="89"/>
        <v>0</v>
      </c>
      <c r="P100" s="27">
        <f t="shared" si="59"/>
        <v>0</v>
      </c>
      <c r="Q100" s="26">
        <f>+Q101 + Q102</f>
        <v>0</v>
      </c>
      <c r="R100" s="54"/>
      <c r="S100" s="54"/>
      <c r="T100" s="26">
        <f>+T101 + T102</f>
        <v>0</v>
      </c>
      <c r="U100" s="26">
        <f>+U101 + U102</f>
        <v>0</v>
      </c>
      <c r="V100" s="27">
        <f>+V101 + V102</f>
        <v>0</v>
      </c>
      <c r="W100" s="27">
        <f>+W101 + W102</f>
        <v>0</v>
      </c>
      <c r="X100" s="27">
        <f t="shared" si="61"/>
        <v>0</v>
      </c>
      <c r="Y100" s="26">
        <f>+Y101 + Y102</f>
        <v>0</v>
      </c>
      <c r="Z100" s="54"/>
      <c r="AA100" s="54"/>
      <c r="AB100" s="26">
        <f>+AB101 + AB102</f>
        <v>0</v>
      </c>
      <c r="AC100" s="26">
        <f>+AC101 + AC102</f>
        <v>0</v>
      </c>
      <c r="AD100" s="27">
        <f>+AD101 + AD102</f>
        <v>0</v>
      </c>
      <c r="AE100" s="27">
        <f>+AE101 + AE102</f>
        <v>0</v>
      </c>
      <c r="AF100" s="27">
        <f t="shared" si="63"/>
        <v>0</v>
      </c>
    </row>
    <row r="101" spans="1:32" ht="11.25" customHeight="1" x14ac:dyDescent="0.2">
      <c r="A101" s="55"/>
      <c r="B101" s="56"/>
      <c r="C101" s="57"/>
      <c r="D101" s="58" t="s">
        <v>102</v>
      </c>
      <c r="E101" s="59" t="s">
        <v>130</v>
      </c>
      <c r="F101" s="60"/>
      <c r="G101" s="351" t="s">
        <v>211</v>
      </c>
      <c r="H101" s="297"/>
      <c r="I101" s="50"/>
      <c r="J101" s="152"/>
      <c r="K101" s="152"/>
      <c r="L101" s="152"/>
      <c r="M101" s="152"/>
      <c r="N101" s="152"/>
      <c r="O101" s="152"/>
      <c r="P101" s="27">
        <f t="shared" si="59"/>
        <v>0</v>
      </c>
      <c r="Q101" s="39"/>
      <c r="R101" s="50"/>
      <c r="S101" s="50"/>
      <c r="T101" s="39"/>
      <c r="U101" s="39"/>
      <c r="V101" s="39"/>
      <c r="W101" s="39"/>
      <c r="X101" s="27">
        <f t="shared" si="61"/>
        <v>0</v>
      </c>
      <c r="Y101" s="39"/>
      <c r="Z101" s="50"/>
      <c r="AA101" s="50"/>
      <c r="AB101" s="39"/>
      <c r="AC101" s="39"/>
      <c r="AD101" s="39"/>
      <c r="AE101" s="39"/>
      <c r="AF101" s="27">
        <f t="shared" si="63"/>
        <v>0</v>
      </c>
    </row>
    <row r="102" spans="1:32" ht="11.25" customHeight="1" x14ac:dyDescent="0.2">
      <c r="A102" s="61"/>
      <c r="B102" s="62"/>
      <c r="D102" s="64" t="s">
        <v>104</v>
      </c>
      <c r="E102" s="63" t="s">
        <v>132</v>
      </c>
      <c r="F102" s="60"/>
      <c r="G102" s="351" t="s">
        <v>212</v>
      </c>
      <c r="H102" s="297"/>
      <c r="I102" s="50"/>
      <c r="J102" s="152"/>
      <c r="K102" s="152"/>
      <c r="L102" s="152"/>
      <c r="M102" s="152"/>
      <c r="N102" s="152"/>
      <c r="O102" s="152"/>
      <c r="P102" s="27">
        <f t="shared" si="59"/>
        <v>0</v>
      </c>
      <c r="Q102" s="39"/>
      <c r="R102" s="50"/>
      <c r="S102" s="50"/>
      <c r="T102" s="39"/>
      <c r="U102" s="39"/>
      <c r="V102" s="39"/>
      <c r="W102" s="39"/>
      <c r="X102" s="27">
        <f t="shared" si="61"/>
        <v>0</v>
      </c>
      <c r="Y102" s="39"/>
      <c r="Z102" s="50"/>
      <c r="AA102" s="50"/>
      <c r="AB102" s="39"/>
      <c r="AC102" s="39"/>
      <c r="AD102" s="39"/>
      <c r="AE102" s="39"/>
      <c r="AF102" s="27">
        <f t="shared" si="63"/>
        <v>0</v>
      </c>
    </row>
    <row r="103" spans="1:32" ht="11.25" customHeight="1" x14ac:dyDescent="0.2">
      <c r="A103" s="55"/>
      <c r="B103" s="56"/>
      <c r="C103" s="57"/>
      <c r="D103" s="72" t="s">
        <v>21</v>
      </c>
      <c r="E103" s="59" t="s">
        <v>89</v>
      </c>
      <c r="F103" s="60"/>
      <c r="G103" s="351" t="s">
        <v>213</v>
      </c>
      <c r="H103" s="297"/>
      <c r="I103" s="54"/>
      <c r="J103" s="54"/>
      <c r="K103" s="54"/>
      <c r="L103" s="54"/>
      <c r="M103" s="54"/>
      <c r="N103" s="27">
        <f>N104+N105</f>
        <v>0</v>
      </c>
      <c r="O103" s="27">
        <f>O104+O105</f>
        <v>0</v>
      </c>
      <c r="P103" s="27">
        <f t="shared" si="59"/>
        <v>0</v>
      </c>
      <c r="Q103" s="54"/>
      <c r="R103" s="54"/>
      <c r="S103" s="54"/>
      <c r="T103" s="54"/>
      <c r="U103" s="54"/>
      <c r="V103" s="27">
        <f>V104+V105</f>
        <v>0</v>
      </c>
      <c r="W103" s="27">
        <f>W104+W105</f>
        <v>0</v>
      </c>
      <c r="X103" s="27">
        <f t="shared" si="61"/>
        <v>0</v>
      </c>
      <c r="Y103" s="54"/>
      <c r="Z103" s="54"/>
      <c r="AA103" s="54"/>
      <c r="AB103" s="54"/>
      <c r="AC103" s="54"/>
      <c r="AD103" s="27">
        <f>AD104+AD105</f>
        <v>0</v>
      </c>
      <c r="AE103" s="27">
        <f>AE104+AE105</f>
        <v>0</v>
      </c>
      <c r="AF103" s="27">
        <f t="shared" si="63"/>
        <v>0</v>
      </c>
    </row>
    <row r="104" spans="1:32" ht="11.25" customHeight="1" x14ac:dyDescent="0.2">
      <c r="A104" s="61"/>
      <c r="B104" s="62"/>
      <c r="D104" s="64" t="s">
        <v>108</v>
      </c>
      <c r="E104" s="63" t="s">
        <v>130</v>
      </c>
      <c r="F104" s="60"/>
      <c r="G104" s="351" t="s">
        <v>214</v>
      </c>
      <c r="H104" s="297"/>
      <c r="I104" s="50"/>
      <c r="J104" s="50"/>
      <c r="K104" s="50"/>
      <c r="L104" s="50"/>
      <c r="M104" s="50"/>
      <c r="N104" s="152"/>
      <c r="O104" s="152"/>
      <c r="P104" s="27">
        <f t="shared" si="59"/>
        <v>0</v>
      </c>
      <c r="Q104" s="50"/>
      <c r="R104" s="50"/>
      <c r="S104" s="50"/>
      <c r="T104" s="50"/>
      <c r="U104" s="50"/>
      <c r="V104" s="39"/>
      <c r="W104" s="39"/>
      <c r="X104" s="27">
        <f t="shared" si="61"/>
        <v>0</v>
      </c>
      <c r="Y104" s="50"/>
      <c r="Z104" s="50"/>
      <c r="AA104" s="50"/>
      <c r="AB104" s="50"/>
      <c r="AC104" s="50"/>
      <c r="AD104" s="39"/>
      <c r="AE104" s="39"/>
      <c r="AF104" s="27">
        <f t="shared" si="63"/>
        <v>0</v>
      </c>
    </row>
    <row r="105" spans="1:32" ht="11.25" customHeight="1" x14ac:dyDescent="0.2">
      <c r="A105" s="55"/>
      <c r="B105" s="56"/>
      <c r="C105" s="57"/>
      <c r="D105" s="58" t="s">
        <v>110</v>
      </c>
      <c r="E105" s="59" t="s">
        <v>132</v>
      </c>
      <c r="F105" s="60"/>
      <c r="G105" s="351" t="s">
        <v>215</v>
      </c>
      <c r="H105" s="297"/>
      <c r="I105" s="50"/>
      <c r="J105" s="50"/>
      <c r="K105" s="50"/>
      <c r="L105" s="50"/>
      <c r="M105" s="50"/>
      <c r="N105" s="152"/>
      <c r="O105" s="152"/>
      <c r="P105" s="27">
        <f t="shared" si="59"/>
        <v>0</v>
      </c>
      <c r="Q105" s="50"/>
      <c r="R105" s="50"/>
      <c r="S105" s="50"/>
      <c r="T105" s="50"/>
      <c r="U105" s="50"/>
      <c r="V105" s="39"/>
      <c r="W105" s="39"/>
      <c r="X105" s="27">
        <f t="shared" si="61"/>
        <v>0</v>
      </c>
      <c r="Y105" s="50"/>
      <c r="Z105" s="50"/>
      <c r="AA105" s="50"/>
      <c r="AB105" s="50"/>
      <c r="AC105" s="50"/>
      <c r="AD105" s="39"/>
      <c r="AE105" s="39"/>
      <c r="AF105" s="27">
        <f t="shared" si="63"/>
        <v>0</v>
      </c>
    </row>
    <row r="106" spans="1:32" ht="11.25" customHeight="1" x14ac:dyDescent="0.2">
      <c r="A106" s="61"/>
      <c r="B106" s="91" t="s">
        <v>146</v>
      </c>
      <c r="C106" s="92" t="s">
        <v>147</v>
      </c>
      <c r="D106" s="66"/>
      <c r="F106" s="60"/>
      <c r="G106" s="351" t="s">
        <v>216</v>
      </c>
      <c r="H106" s="254"/>
      <c r="I106" s="27">
        <f t="shared" ref="I106:O106" si="90">+I107 + I108 + I109 + I110</f>
        <v>0</v>
      </c>
      <c r="J106" s="26">
        <f t="shared" si="90"/>
        <v>0</v>
      </c>
      <c r="K106" s="26">
        <f t="shared" si="90"/>
        <v>0</v>
      </c>
      <c r="L106" s="27">
        <f t="shared" si="90"/>
        <v>0</v>
      </c>
      <c r="M106" s="27">
        <f t="shared" si="90"/>
        <v>0</v>
      </c>
      <c r="N106" s="27">
        <f t="shared" si="90"/>
        <v>0</v>
      </c>
      <c r="O106" s="27">
        <f t="shared" si="90"/>
        <v>0</v>
      </c>
      <c r="P106" s="27">
        <f t="shared" si="59"/>
        <v>0</v>
      </c>
      <c r="Q106" s="27">
        <f t="shared" ref="Q106:W106" si="91">+Q107 + Q108 + Q109 + Q110</f>
        <v>0</v>
      </c>
      <c r="R106" s="27">
        <f t="shared" si="91"/>
        <v>0</v>
      </c>
      <c r="S106" s="27">
        <f t="shared" si="91"/>
        <v>0</v>
      </c>
      <c r="T106" s="27">
        <f t="shared" si="91"/>
        <v>0</v>
      </c>
      <c r="U106" s="27">
        <f t="shared" si="91"/>
        <v>0</v>
      </c>
      <c r="V106" s="27">
        <f t="shared" si="91"/>
        <v>0</v>
      </c>
      <c r="W106" s="27">
        <f t="shared" si="91"/>
        <v>0</v>
      </c>
      <c r="X106" s="27">
        <f t="shared" si="61"/>
        <v>0</v>
      </c>
      <c r="Y106" s="27">
        <f t="shared" ref="Y106:AE106" si="92">+Y107 + Y108 + Y109 + Y110</f>
        <v>0</v>
      </c>
      <c r="Z106" s="27">
        <f t="shared" si="92"/>
        <v>0</v>
      </c>
      <c r="AA106" s="27">
        <f t="shared" si="92"/>
        <v>0</v>
      </c>
      <c r="AB106" s="27">
        <f t="shared" si="92"/>
        <v>0</v>
      </c>
      <c r="AC106" s="27">
        <f t="shared" si="92"/>
        <v>0</v>
      </c>
      <c r="AD106" s="27">
        <f t="shared" si="92"/>
        <v>0</v>
      </c>
      <c r="AE106" s="27">
        <f t="shared" si="92"/>
        <v>0</v>
      </c>
      <c r="AF106" s="27">
        <f t="shared" si="63"/>
        <v>0</v>
      </c>
    </row>
    <row r="107" spans="1:32" ht="11.25" customHeight="1" x14ac:dyDescent="0.2">
      <c r="A107" s="55"/>
      <c r="B107" s="56"/>
      <c r="C107" s="57" t="s">
        <v>62</v>
      </c>
      <c r="D107" s="65" t="s">
        <v>149</v>
      </c>
      <c r="E107" s="59"/>
      <c r="F107" s="60"/>
      <c r="G107" s="351" t="s">
        <v>217</v>
      </c>
      <c r="H107" s="297"/>
      <c r="I107" s="152"/>
      <c r="J107" s="152"/>
      <c r="K107" s="152"/>
      <c r="L107" s="152"/>
      <c r="M107" s="152"/>
      <c r="N107" s="152"/>
      <c r="O107" s="152"/>
      <c r="P107" s="27">
        <f t="shared" si="59"/>
        <v>0</v>
      </c>
      <c r="Q107" s="39"/>
      <c r="R107" s="39"/>
      <c r="S107" s="39"/>
      <c r="T107" s="39"/>
      <c r="U107" s="39"/>
      <c r="V107" s="39"/>
      <c r="W107" s="39"/>
      <c r="X107" s="27">
        <f t="shared" si="61"/>
        <v>0</v>
      </c>
      <c r="Y107" s="39"/>
      <c r="Z107" s="39"/>
      <c r="AA107" s="39"/>
      <c r="AB107" s="39"/>
      <c r="AC107" s="39"/>
      <c r="AD107" s="39"/>
      <c r="AE107" s="39"/>
      <c r="AF107" s="27">
        <f t="shared" si="63"/>
        <v>0</v>
      </c>
    </row>
    <row r="108" spans="1:32" ht="11.25" customHeight="1" x14ac:dyDescent="0.2">
      <c r="A108" s="55"/>
      <c r="B108" s="56"/>
      <c r="C108" s="57" t="s">
        <v>68</v>
      </c>
      <c r="D108" s="65" t="s">
        <v>151</v>
      </c>
      <c r="E108" s="59"/>
      <c r="F108" s="60"/>
      <c r="G108" s="351" t="s">
        <v>218</v>
      </c>
      <c r="H108" s="297"/>
      <c r="I108" s="152"/>
      <c r="J108" s="152"/>
      <c r="K108" s="152"/>
      <c r="L108" s="152"/>
      <c r="M108" s="152"/>
      <c r="N108" s="152"/>
      <c r="O108" s="152"/>
      <c r="P108" s="27">
        <f t="shared" si="59"/>
        <v>0</v>
      </c>
      <c r="Q108" s="39"/>
      <c r="R108" s="39"/>
      <c r="S108" s="39"/>
      <c r="T108" s="39"/>
      <c r="U108" s="39"/>
      <c r="V108" s="39"/>
      <c r="W108" s="39"/>
      <c r="X108" s="27">
        <f t="shared" si="61"/>
        <v>0</v>
      </c>
      <c r="Y108" s="39"/>
      <c r="Z108" s="39"/>
      <c r="AA108" s="39"/>
      <c r="AB108" s="39"/>
      <c r="AC108" s="39"/>
      <c r="AD108" s="39"/>
      <c r="AE108" s="39"/>
      <c r="AF108" s="27">
        <f t="shared" si="63"/>
        <v>0</v>
      </c>
    </row>
    <row r="109" spans="1:32" ht="11.25" customHeight="1" x14ac:dyDescent="0.2">
      <c r="A109" s="55"/>
      <c r="B109" s="56"/>
      <c r="C109" s="57" t="s">
        <v>81</v>
      </c>
      <c r="D109" s="65" t="s">
        <v>153</v>
      </c>
      <c r="E109" s="59"/>
      <c r="F109" s="60"/>
      <c r="G109" s="351" t="s">
        <v>219</v>
      </c>
      <c r="H109" s="297"/>
      <c r="I109" s="152"/>
      <c r="J109" s="152"/>
      <c r="K109" s="152"/>
      <c r="L109" s="152"/>
      <c r="M109" s="152"/>
      <c r="N109" s="152"/>
      <c r="O109" s="152"/>
      <c r="P109" s="27">
        <f t="shared" si="59"/>
        <v>0</v>
      </c>
      <c r="Q109" s="39"/>
      <c r="R109" s="39"/>
      <c r="S109" s="39"/>
      <c r="T109" s="39"/>
      <c r="U109" s="39"/>
      <c r="V109" s="39"/>
      <c r="W109" s="39"/>
      <c r="X109" s="27">
        <f t="shared" si="61"/>
        <v>0</v>
      </c>
      <c r="Y109" s="39"/>
      <c r="Z109" s="39"/>
      <c r="AA109" s="39"/>
      <c r="AB109" s="39"/>
      <c r="AC109" s="39"/>
      <c r="AD109" s="39"/>
      <c r="AE109" s="39"/>
      <c r="AF109" s="27">
        <f t="shared" si="63"/>
        <v>0</v>
      </c>
    </row>
    <row r="110" spans="1:32" ht="11.25" customHeight="1" x14ac:dyDescent="0.2">
      <c r="A110" s="61"/>
      <c r="B110" s="62"/>
      <c r="C110" s="69" t="s">
        <v>126</v>
      </c>
      <c r="D110" s="418" t="s">
        <v>155</v>
      </c>
      <c r="E110" s="419"/>
      <c r="F110" s="420"/>
      <c r="G110" s="351" t="s">
        <v>220</v>
      </c>
      <c r="H110" s="254"/>
      <c r="I110" s="27">
        <f t="shared" ref="I110:O110" si="93">+I111 + I112</f>
        <v>0</v>
      </c>
      <c r="J110" s="26">
        <f t="shared" si="93"/>
        <v>0</v>
      </c>
      <c r="K110" s="26">
        <f t="shared" si="93"/>
        <v>0</v>
      </c>
      <c r="L110" s="27">
        <f t="shared" si="93"/>
        <v>0</v>
      </c>
      <c r="M110" s="27">
        <f t="shared" si="93"/>
        <v>0</v>
      </c>
      <c r="N110" s="27">
        <f t="shared" si="93"/>
        <v>0</v>
      </c>
      <c r="O110" s="27">
        <f t="shared" si="93"/>
        <v>0</v>
      </c>
      <c r="P110" s="27">
        <f t="shared" si="59"/>
        <v>0</v>
      </c>
      <c r="Q110" s="27">
        <f t="shared" ref="Q110:W110" si="94">+Q111 + Q112</f>
        <v>0</v>
      </c>
      <c r="R110" s="27">
        <f t="shared" si="94"/>
        <v>0</v>
      </c>
      <c r="S110" s="27">
        <f t="shared" si="94"/>
        <v>0</v>
      </c>
      <c r="T110" s="27">
        <f t="shared" si="94"/>
        <v>0</v>
      </c>
      <c r="U110" s="27">
        <f t="shared" si="94"/>
        <v>0</v>
      </c>
      <c r="V110" s="27">
        <f t="shared" si="94"/>
        <v>0</v>
      </c>
      <c r="W110" s="27">
        <f t="shared" si="94"/>
        <v>0</v>
      </c>
      <c r="X110" s="27">
        <f t="shared" si="61"/>
        <v>0</v>
      </c>
      <c r="Y110" s="27">
        <f t="shared" ref="Y110:AE110" si="95">+Y111 + Y112</f>
        <v>0</v>
      </c>
      <c r="Z110" s="27">
        <f t="shared" si="95"/>
        <v>0</v>
      </c>
      <c r="AA110" s="27">
        <f t="shared" si="95"/>
        <v>0</v>
      </c>
      <c r="AB110" s="27">
        <f t="shared" si="95"/>
        <v>0</v>
      </c>
      <c r="AC110" s="27">
        <f t="shared" si="95"/>
        <v>0</v>
      </c>
      <c r="AD110" s="27">
        <f t="shared" si="95"/>
        <v>0</v>
      </c>
      <c r="AE110" s="27">
        <f t="shared" si="95"/>
        <v>0</v>
      </c>
      <c r="AF110" s="27">
        <f t="shared" si="63"/>
        <v>0</v>
      </c>
    </row>
    <row r="111" spans="1:32" ht="11.25" customHeight="1" x14ac:dyDescent="0.2">
      <c r="A111" s="55"/>
      <c r="B111" s="56"/>
      <c r="C111" s="57"/>
      <c r="D111" s="72" t="s">
        <v>18</v>
      </c>
      <c r="E111" s="59" t="s">
        <v>87</v>
      </c>
      <c r="F111" s="74"/>
      <c r="G111" s="351" t="s">
        <v>221</v>
      </c>
      <c r="H111" s="297"/>
      <c r="I111" s="152"/>
      <c r="J111" s="152"/>
      <c r="K111" s="152"/>
      <c r="L111" s="152"/>
      <c r="M111" s="152"/>
      <c r="N111" s="152"/>
      <c r="O111" s="152"/>
      <c r="P111" s="27">
        <f t="shared" si="59"/>
        <v>0</v>
      </c>
      <c r="Q111" s="39"/>
      <c r="R111" s="39"/>
      <c r="S111" s="39"/>
      <c r="T111" s="39"/>
      <c r="U111" s="39"/>
      <c r="V111" s="39"/>
      <c r="W111" s="39"/>
      <c r="X111" s="27">
        <f t="shared" si="61"/>
        <v>0</v>
      </c>
      <c r="Y111" s="39"/>
      <c r="Z111" s="39"/>
      <c r="AA111" s="39"/>
      <c r="AB111" s="39"/>
      <c r="AC111" s="39"/>
      <c r="AD111" s="39"/>
      <c r="AE111" s="39"/>
      <c r="AF111" s="27">
        <f t="shared" si="63"/>
        <v>0</v>
      </c>
    </row>
    <row r="112" spans="1:32" ht="11.25" customHeight="1" x14ac:dyDescent="0.2">
      <c r="A112" s="61"/>
      <c r="B112" s="62"/>
      <c r="D112" s="70" t="s">
        <v>21</v>
      </c>
      <c r="E112" s="63" t="s">
        <v>89</v>
      </c>
      <c r="F112" s="74"/>
      <c r="G112" s="351" t="s">
        <v>222</v>
      </c>
      <c r="H112" s="297"/>
      <c r="I112" s="50"/>
      <c r="J112" s="50"/>
      <c r="K112" s="50"/>
      <c r="L112" s="50"/>
      <c r="M112" s="50"/>
      <c r="N112" s="152"/>
      <c r="O112" s="152"/>
      <c r="P112" s="27">
        <f t="shared" si="59"/>
        <v>0</v>
      </c>
      <c r="Q112" s="50"/>
      <c r="R112" s="50"/>
      <c r="S112" s="50"/>
      <c r="T112" s="50"/>
      <c r="U112" s="50"/>
      <c r="V112" s="39"/>
      <c r="W112" s="39"/>
      <c r="X112" s="27">
        <f t="shared" si="61"/>
        <v>0</v>
      </c>
      <c r="Y112" s="50"/>
      <c r="Z112" s="50"/>
      <c r="AA112" s="50"/>
      <c r="AB112" s="50"/>
      <c r="AC112" s="50"/>
      <c r="AD112" s="39"/>
      <c r="AE112" s="39"/>
      <c r="AF112" s="27">
        <f t="shared" si="63"/>
        <v>0</v>
      </c>
    </row>
    <row r="113" spans="1:32" ht="11.25" customHeight="1" x14ac:dyDescent="0.2">
      <c r="A113" s="55"/>
      <c r="B113" s="77" t="s">
        <v>163</v>
      </c>
      <c r="C113" s="78" t="s">
        <v>164</v>
      </c>
      <c r="D113" s="68"/>
      <c r="E113" s="59"/>
      <c r="F113" s="60"/>
      <c r="G113" s="351" t="s">
        <v>223</v>
      </c>
      <c r="H113" s="254"/>
      <c r="I113" s="27">
        <f t="shared" ref="I113:O113" si="96">+I114 + I118</f>
        <v>0</v>
      </c>
      <c r="J113" s="26">
        <f t="shared" si="96"/>
        <v>0</v>
      </c>
      <c r="K113" s="26">
        <f t="shared" si="96"/>
        <v>0</v>
      </c>
      <c r="L113" s="26">
        <f t="shared" si="96"/>
        <v>0</v>
      </c>
      <c r="M113" s="26">
        <f t="shared" si="96"/>
        <v>0</v>
      </c>
      <c r="N113" s="27">
        <f t="shared" si="96"/>
        <v>0</v>
      </c>
      <c r="O113" s="27">
        <f t="shared" si="96"/>
        <v>0</v>
      </c>
      <c r="P113" s="27">
        <f t="shared" si="59"/>
        <v>0</v>
      </c>
      <c r="Q113" s="26">
        <f t="shared" ref="Q113:W113" si="97">+Q114 + Q118</f>
        <v>0</v>
      </c>
      <c r="R113" s="26">
        <f t="shared" si="97"/>
        <v>0</v>
      </c>
      <c r="S113" s="26">
        <f t="shared" si="97"/>
        <v>0</v>
      </c>
      <c r="T113" s="26">
        <f t="shared" si="97"/>
        <v>0</v>
      </c>
      <c r="U113" s="26">
        <f t="shared" si="97"/>
        <v>0</v>
      </c>
      <c r="V113" s="27">
        <f t="shared" si="97"/>
        <v>0</v>
      </c>
      <c r="W113" s="27">
        <f t="shared" si="97"/>
        <v>0</v>
      </c>
      <c r="X113" s="27">
        <f t="shared" si="61"/>
        <v>0</v>
      </c>
      <c r="Y113" s="26">
        <f t="shared" ref="Y113:AE113" si="98">+Y114 + Y118</f>
        <v>0</v>
      </c>
      <c r="Z113" s="26">
        <f t="shared" si="98"/>
        <v>0</v>
      </c>
      <c r="AA113" s="26">
        <f t="shared" si="98"/>
        <v>0</v>
      </c>
      <c r="AB113" s="26">
        <f t="shared" si="98"/>
        <v>0</v>
      </c>
      <c r="AC113" s="26">
        <f t="shared" si="98"/>
        <v>0</v>
      </c>
      <c r="AD113" s="27">
        <f t="shared" si="98"/>
        <v>0</v>
      </c>
      <c r="AE113" s="27">
        <f t="shared" si="98"/>
        <v>0</v>
      </c>
      <c r="AF113" s="27">
        <f t="shared" si="63"/>
        <v>0</v>
      </c>
    </row>
    <row r="114" spans="1:32" ht="11.25" customHeight="1" x14ac:dyDescent="0.2">
      <c r="A114" s="61"/>
      <c r="C114" s="63" t="s">
        <v>62</v>
      </c>
      <c r="D114" s="73" t="s">
        <v>166</v>
      </c>
      <c r="F114" s="60"/>
      <c r="G114" s="351" t="s">
        <v>224</v>
      </c>
      <c r="H114" s="254"/>
      <c r="I114" s="27">
        <f t="shared" ref="I114:O114" si="99">+I115 + I116 + I117</f>
        <v>0</v>
      </c>
      <c r="J114" s="26">
        <f t="shared" si="99"/>
        <v>0</v>
      </c>
      <c r="K114" s="26">
        <f t="shared" si="99"/>
        <v>0</v>
      </c>
      <c r="L114" s="26">
        <f t="shared" si="99"/>
        <v>0</v>
      </c>
      <c r="M114" s="26">
        <f t="shared" si="99"/>
        <v>0</v>
      </c>
      <c r="N114" s="27">
        <f t="shared" si="99"/>
        <v>0</v>
      </c>
      <c r="O114" s="27">
        <f t="shared" si="99"/>
        <v>0</v>
      </c>
      <c r="P114" s="27">
        <f t="shared" si="59"/>
        <v>0</v>
      </c>
      <c r="Q114" s="26">
        <f t="shared" ref="Q114:W114" si="100">+Q115 + Q116 + Q117</f>
        <v>0</v>
      </c>
      <c r="R114" s="26">
        <f t="shared" si="100"/>
        <v>0</v>
      </c>
      <c r="S114" s="26">
        <f t="shared" si="100"/>
        <v>0</v>
      </c>
      <c r="T114" s="26">
        <f t="shared" si="100"/>
        <v>0</v>
      </c>
      <c r="U114" s="26">
        <f t="shared" si="100"/>
        <v>0</v>
      </c>
      <c r="V114" s="27">
        <f t="shared" si="100"/>
        <v>0</v>
      </c>
      <c r="W114" s="27">
        <f t="shared" si="100"/>
        <v>0</v>
      </c>
      <c r="X114" s="27">
        <f t="shared" si="61"/>
        <v>0</v>
      </c>
      <c r="Y114" s="26">
        <f t="shared" ref="Y114:AE114" si="101">+Y115 + Y116 + Y117</f>
        <v>0</v>
      </c>
      <c r="Z114" s="26">
        <f t="shared" si="101"/>
        <v>0</v>
      </c>
      <c r="AA114" s="26">
        <f t="shared" si="101"/>
        <v>0</v>
      </c>
      <c r="AB114" s="26">
        <f t="shared" si="101"/>
        <v>0</v>
      </c>
      <c r="AC114" s="26">
        <f t="shared" si="101"/>
        <v>0</v>
      </c>
      <c r="AD114" s="27">
        <f t="shared" si="101"/>
        <v>0</v>
      </c>
      <c r="AE114" s="27">
        <f t="shared" si="101"/>
        <v>0</v>
      </c>
      <c r="AF114" s="27">
        <f t="shared" si="63"/>
        <v>0</v>
      </c>
    </row>
    <row r="115" spans="1:32" ht="11.25" customHeight="1" x14ac:dyDescent="0.2">
      <c r="A115" s="55"/>
      <c r="B115" s="80"/>
      <c r="C115" s="57"/>
      <c r="D115" s="72" t="s">
        <v>18</v>
      </c>
      <c r="E115" s="59" t="s">
        <v>168</v>
      </c>
      <c r="F115" s="60"/>
      <c r="G115" s="351" t="s">
        <v>225</v>
      </c>
      <c r="H115" s="297"/>
      <c r="I115" s="152"/>
      <c r="J115" s="152"/>
      <c r="K115" s="152"/>
      <c r="L115" s="152"/>
      <c r="M115" s="152"/>
      <c r="N115" s="152"/>
      <c r="O115" s="152"/>
      <c r="P115" s="27">
        <f t="shared" si="59"/>
        <v>0</v>
      </c>
      <c r="Q115" s="39"/>
      <c r="R115" s="39"/>
      <c r="S115" s="39"/>
      <c r="T115" s="39"/>
      <c r="U115" s="39"/>
      <c r="V115" s="39"/>
      <c r="W115" s="39"/>
      <c r="X115" s="27">
        <f t="shared" si="61"/>
        <v>0</v>
      </c>
      <c r="Y115" s="39"/>
      <c r="Z115" s="39"/>
      <c r="AA115" s="39"/>
      <c r="AB115" s="39"/>
      <c r="AC115" s="39"/>
      <c r="AD115" s="39"/>
      <c r="AE115" s="39"/>
      <c r="AF115" s="27">
        <f t="shared" si="63"/>
        <v>0</v>
      </c>
    </row>
    <row r="116" spans="1:32" ht="11.25" customHeight="1" x14ac:dyDescent="0.2">
      <c r="A116" s="61"/>
      <c r="D116" s="70" t="s">
        <v>21</v>
      </c>
      <c r="E116" s="63" t="s">
        <v>170</v>
      </c>
      <c r="F116" s="60"/>
      <c r="G116" s="351" t="s">
        <v>226</v>
      </c>
      <c r="H116" s="297"/>
      <c r="I116" s="152"/>
      <c r="J116" s="152"/>
      <c r="K116" s="152"/>
      <c r="L116" s="152"/>
      <c r="M116" s="152"/>
      <c r="N116" s="152"/>
      <c r="O116" s="152"/>
      <c r="P116" s="27">
        <f t="shared" si="59"/>
        <v>0</v>
      </c>
      <c r="Q116" s="39"/>
      <c r="R116" s="39"/>
      <c r="S116" s="39"/>
      <c r="T116" s="39"/>
      <c r="U116" s="39"/>
      <c r="V116" s="39"/>
      <c r="W116" s="39"/>
      <c r="X116" s="27">
        <f t="shared" si="61"/>
        <v>0</v>
      </c>
      <c r="Y116" s="39"/>
      <c r="Z116" s="39"/>
      <c r="AA116" s="39"/>
      <c r="AB116" s="39"/>
      <c r="AC116" s="39"/>
      <c r="AD116" s="39"/>
      <c r="AE116" s="39"/>
      <c r="AF116" s="27">
        <f t="shared" si="63"/>
        <v>0</v>
      </c>
    </row>
    <row r="117" spans="1:32" ht="11.25" customHeight="1" x14ac:dyDescent="0.2">
      <c r="A117" s="55"/>
      <c r="B117" s="80"/>
      <c r="C117" s="57"/>
      <c r="D117" s="81" t="s">
        <v>172</v>
      </c>
      <c r="E117" s="421" t="s">
        <v>173</v>
      </c>
      <c r="F117" s="422"/>
      <c r="G117" s="351" t="s">
        <v>227</v>
      </c>
      <c r="H117" s="297"/>
      <c r="I117" s="152"/>
      <c r="J117" s="152"/>
      <c r="K117" s="152"/>
      <c r="L117" s="152"/>
      <c r="M117" s="152"/>
      <c r="N117" s="152"/>
      <c r="O117" s="152"/>
      <c r="P117" s="27">
        <f t="shared" si="59"/>
        <v>0</v>
      </c>
      <c r="Q117" s="39"/>
      <c r="R117" s="39"/>
      <c r="S117" s="39"/>
      <c r="T117" s="39"/>
      <c r="U117" s="39"/>
      <c r="V117" s="39"/>
      <c r="W117" s="39"/>
      <c r="X117" s="27">
        <f t="shared" si="61"/>
        <v>0</v>
      </c>
      <c r="Y117" s="39"/>
      <c r="Z117" s="39"/>
      <c r="AA117" s="39"/>
      <c r="AB117" s="39"/>
      <c r="AC117" s="39"/>
      <c r="AD117" s="39"/>
      <c r="AE117" s="39"/>
      <c r="AF117" s="27">
        <f t="shared" si="63"/>
        <v>0</v>
      </c>
    </row>
    <row r="118" spans="1:32" ht="11.25" customHeight="1" x14ac:dyDescent="0.2">
      <c r="A118" s="61"/>
      <c r="C118" s="63" t="s">
        <v>68</v>
      </c>
      <c r="D118" s="83" t="s">
        <v>175</v>
      </c>
      <c r="E118" s="69"/>
      <c r="F118" s="84"/>
      <c r="G118" s="351" t="s">
        <v>228</v>
      </c>
      <c r="H118" s="297"/>
      <c r="I118" s="27">
        <f t="shared" ref="I118:O118" si="102">I119+I120+I121</f>
        <v>0</v>
      </c>
      <c r="J118" s="27">
        <f t="shared" si="102"/>
        <v>0</v>
      </c>
      <c r="K118" s="27">
        <f t="shared" si="102"/>
        <v>0</v>
      </c>
      <c r="L118" s="27">
        <f t="shared" si="102"/>
        <v>0</v>
      </c>
      <c r="M118" s="27">
        <f t="shared" si="102"/>
        <v>0</v>
      </c>
      <c r="N118" s="27">
        <f t="shared" si="102"/>
        <v>0</v>
      </c>
      <c r="O118" s="27">
        <f t="shared" si="102"/>
        <v>0</v>
      </c>
      <c r="P118" s="27">
        <f t="shared" si="59"/>
        <v>0</v>
      </c>
      <c r="Q118" s="27">
        <f t="shared" ref="Q118:W118" si="103">Q119+Q120+Q121</f>
        <v>0</v>
      </c>
      <c r="R118" s="27">
        <f t="shared" si="103"/>
        <v>0</v>
      </c>
      <c r="S118" s="27">
        <f t="shared" si="103"/>
        <v>0</v>
      </c>
      <c r="T118" s="27">
        <f t="shared" si="103"/>
        <v>0</v>
      </c>
      <c r="U118" s="27">
        <f t="shared" si="103"/>
        <v>0</v>
      </c>
      <c r="V118" s="27">
        <f t="shared" si="103"/>
        <v>0</v>
      </c>
      <c r="W118" s="27">
        <f t="shared" si="103"/>
        <v>0</v>
      </c>
      <c r="X118" s="27">
        <f t="shared" si="61"/>
        <v>0</v>
      </c>
      <c r="Y118" s="27">
        <f t="shared" ref="Y118:AE118" si="104">Y119+Y120+Y121</f>
        <v>0</v>
      </c>
      <c r="Z118" s="27">
        <f t="shared" si="104"/>
        <v>0</v>
      </c>
      <c r="AA118" s="27">
        <f t="shared" si="104"/>
        <v>0</v>
      </c>
      <c r="AB118" s="27">
        <f t="shared" si="104"/>
        <v>0</v>
      </c>
      <c r="AC118" s="27">
        <f t="shared" si="104"/>
        <v>0</v>
      </c>
      <c r="AD118" s="27">
        <f t="shared" si="104"/>
        <v>0</v>
      </c>
      <c r="AE118" s="27">
        <f t="shared" si="104"/>
        <v>0</v>
      </c>
      <c r="AF118" s="27">
        <f t="shared" si="63"/>
        <v>0</v>
      </c>
    </row>
    <row r="119" spans="1:32" ht="11.25" customHeight="1" x14ac:dyDescent="0.2">
      <c r="A119" s="55"/>
      <c r="B119" s="80"/>
      <c r="C119" s="57"/>
      <c r="D119" s="81" t="s">
        <v>18</v>
      </c>
      <c r="E119" s="85" t="s">
        <v>177</v>
      </c>
      <c r="F119" s="84"/>
      <c r="G119" s="351" t="s">
        <v>229</v>
      </c>
      <c r="H119" s="297"/>
      <c r="I119" s="39"/>
      <c r="J119" s="39"/>
      <c r="K119" s="39"/>
      <c r="L119" s="39"/>
      <c r="M119" s="39"/>
      <c r="N119" s="152"/>
      <c r="O119" s="152"/>
      <c r="P119" s="27">
        <f t="shared" si="59"/>
        <v>0</v>
      </c>
      <c r="Q119" s="39"/>
      <c r="R119" s="39"/>
      <c r="S119" s="39"/>
      <c r="T119" s="39"/>
      <c r="U119" s="39"/>
      <c r="V119" s="39"/>
      <c r="W119" s="39"/>
      <c r="X119" s="27">
        <f t="shared" si="61"/>
        <v>0</v>
      </c>
      <c r="Y119" s="39"/>
      <c r="Z119" s="39"/>
      <c r="AA119" s="39"/>
      <c r="AB119" s="39"/>
      <c r="AC119" s="39"/>
      <c r="AD119" s="39"/>
      <c r="AE119" s="39"/>
      <c r="AF119" s="27">
        <f t="shared" si="63"/>
        <v>0</v>
      </c>
    </row>
    <row r="120" spans="1:32" ht="11.25" customHeight="1" x14ac:dyDescent="0.2">
      <c r="A120" s="61"/>
      <c r="D120" s="86" t="s">
        <v>21</v>
      </c>
      <c r="E120" s="69" t="s">
        <v>179</v>
      </c>
      <c r="F120" s="84"/>
      <c r="G120" s="351" t="s">
        <v>230</v>
      </c>
      <c r="H120" s="297"/>
      <c r="I120" s="39"/>
      <c r="J120" s="39"/>
      <c r="K120" s="39"/>
      <c r="L120" s="39"/>
      <c r="M120" s="39"/>
      <c r="N120" s="152"/>
      <c r="O120" s="152"/>
      <c r="P120" s="27">
        <f t="shared" si="59"/>
        <v>0</v>
      </c>
      <c r="Q120" s="39"/>
      <c r="R120" s="39"/>
      <c r="S120" s="39"/>
      <c r="T120" s="39"/>
      <c r="U120" s="39"/>
      <c r="V120" s="39"/>
      <c r="W120" s="39"/>
      <c r="X120" s="27">
        <f t="shared" si="61"/>
        <v>0</v>
      </c>
      <c r="Y120" s="39"/>
      <c r="Z120" s="39"/>
      <c r="AA120" s="39"/>
      <c r="AB120" s="39"/>
      <c r="AC120" s="39"/>
      <c r="AD120" s="39"/>
      <c r="AE120" s="39"/>
      <c r="AF120" s="27">
        <f t="shared" si="63"/>
        <v>0</v>
      </c>
    </row>
    <row r="121" spans="1:32" ht="11.25" customHeight="1" x14ac:dyDescent="0.2">
      <c r="A121" s="55"/>
      <c r="B121" s="80"/>
      <c r="C121" s="57"/>
      <c r="D121" s="81" t="s">
        <v>172</v>
      </c>
      <c r="E121" s="421" t="s">
        <v>181</v>
      </c>
      <c r="F121" s="422"/>
      <c r="G121" s="351" t="s">
        <v>231</v>
      </c>
      <c r="H121" s="297"/>
      <c r="I121" s="39"/>
      <c r="J121" s="39"/>
      <c r="K121" s="39"/>
      <c r="L121" s="39"/>
      <c r="M121" s="39"/>
      <c r="N121" s="152"/>
      <c r="O121" s="152"/>
      <c r="P121" s="27">
        <f t="shared" si="59"/>
        <v>0</v>
      </c>
      <c r="Q121" s="39"/>
      <c r="R121" s="39"/>
      <c r="S121" s="39"/>
      <c r="T121" s="39"/>
      <c r="U121" s="39"/>
      <c r="V121" s="39"/>
      <c r="W121" s="39"/>
      <c r="X121" s="27">
        <f t="shared" si="61"/>
        <v>0</v>
      </c>
      <c r="Y121" s="39"/>
      <c r="Z121" s="39"/>
      <c r="AA121" s="39"/>
      <c r="AB121" s="39"/>
      <c r="AC121" s="39"/>
      <c r="AD121" s="39"/>
      <c r="AE121" s="39"/>
      <c r="AF121" s="27">
        <f t="shared" si="63"/>
        <v>0</v>
      </c>
    </row>
    <row r="122" spans="1:32" ht="11.25" customHeight="1" x14ac:dyDescent="0.2">
      <c r="A122" s="282" t="s">
        <v>46</v>
      </c>
      <c r="B122" s="299"/>
      <c r="C122" s="78"/>
      <c r="D122" s="294"/>
      <c r="E122" s="210"/>
      <c r="F122" s="97"/>
      <c r="G122" s="352" t="s">
        <v>17</v>
      </c>
      <c r="H122" s="254"/>
      <c r="I122" s="26">
        <f t="shared" ref="I122:O122" si="105">+I10 + I74</f>
        <v>0</v>
      </c>
      <c r="J122" s="26">
        <f t="shared" si="105"/>
        <v>0</v>
      </c>
      <c r="K122" s="26">
        <f t="shared" si="105"/>
        <v>0</v>
      </c>
      <c r="L122" s="26">
        <f t="shared" si="105"/>
        <v>0</v>
      </c>
      <c r="M122" s="26">
        <f t="shared" si="105"/>
        <v>0</v>
      </c>
      <c r="N122" s="26">
        <f t="shared" si="105"/>
        <v>0</v>
      </c>
      <c r="O122" s="26">
        <f t="shared" si="105"/>
        <v>0</v>
      </c>
      <c r="P122" s="27">
        <f t="shared" si="59"/>
        <v>0</v>
      </c>
      <c r="Q122" s="26">
        <f t="shared" ref="Q122:W122" si="106">+Q10 + Q74</f>
        <v>0</v>
      </c>
      <c r="R122" s="26">
        <f t="shared" si="106"/>
        <v>0</v>
      </c>
      <c r="S122" s="26">
        <f t="shared" si="106"/>
        <v>0</v>
      </c>
      <c r="T122" s="26">
        <f t="shared" si="106"/>
        <v>0</v>
      </c>
      <c r="U122" s="26">
        <f t="shared" si="106"/>
        <v>0</v>
      </c>
      <c r="V122" s="26">
        <f t="shared" si="106"/>
        <v>0</v>
      </c>
      <c r="W122" s="26">
        <f t="shared" si="106"/>
        <v>0</v>
      </c>
      <c r="X122" s="27">
        <f t="shared" si="61"/>
        <v>0</v>
      </c>
      <c r="Y122" s="98">
        <f t="shared" ref="Y122:AE122" si="107">+Y10 + Y74</f>
        <v>0</v>
      </c>
      <c r="Z122" s="98">
        <f t="shared" si="107"/>
        <v>0</v>
      </c>
      <c r="AA122" s="98">
        <f t="shared" si="107"/>
        <v>0</v>
      </c>
      <c r="AB122" s="98">
        <f t="shared" si="107"/>
        <v>0</v>
      </c>
      <c r="AC122" s="98">
        <f t="shared" si="107"/>
        <v>0</v>
      </c>
      <c r="AD122" s="98">
        <f t="shared" si="107"/>
        <v>0</v>
      </c>
      <c r="AE122" s="98">
        <f t="shared" si="107"/>
        <v>0</v>
      </c>
      <c r="AF122" s="27">
        <f t="shared" si="63"/>
        <v>0</v>
      </c>
    </row>
    <row r="123" spans="1:32" ht="11.25" customHeight="1" x14ac:dyDescent="0.2">
      <c r="G123" s="264" t="s">
        <v>48</v>
      </c>
      <c r="I123" s="258"/>
      <c r="J123" s="258"/>
      <c r="K123" s="258"/>
      <c r="L123" s="258"/>
      <c r="M123" s="258"/>
      <c r="N123" s="258"/>
      <c r="O123" s="258"/>
      <c r="P123" s="258"/>
      <c r="Q123" s="258"/>
      <c r="R123" s="258"/>
      <c r="S123" s="258"/>
      <c r="T123" s="258"/>
      <c r="U123" s="258"/>
      <c r="V123" s="258"/>
      <c r="W123" s="258"/>
      <c r="X123" s="63"/>
      <c r="Y123" s="63"/>
      <c r="Z123" s="63"/>
      <c r="AA123" s="63"/>
      <c r="AB123" s="63"/>
      <c r="AC123" s="63"/>
      <c r="AD123" s="63"/>
      <c r="AE123" s="63"/>
    </row>
    <row r="124" spans="1:32" ht="11.25" customHeight="1" x14ac:dyDescent="0.2">
      <c r="I124" s="258"/>
      <c r="J124" s="258"/>
      <c r="K124" s="258"/>
      <c r="L124" s="258"/>
      <c r="M124" s="258"/>
      <c r="N124" s="258"/>
      <c r="O124" s="258"/>
      <c r="P124" s="258"/>
      <c r="Q124" s="258"/>
      <c r="R124" s="258"/>
      <c r="S124" s="258"/>
      <c r="T124" s="258"/>
      <c r="U124" s="258"/>
      <c r="V124" s="258"/>
      <c r="W124" s="258"/>
      <c r="X124" s="63"/>
      <c r="Y124" s="63"/>
      <c r="Z124" s="63"/>
      <c r="AA124" s="63"/>
      <c r="AB124" s="63"/>
      <c r="AC124" s="63"/>
      <c r="AD124" s="63"/>
      <c r="AE124" s="63"/>
    </row>
    <row r="125" spans="1:32" ht="11.25" customHeight="1" x14ac:dyDescent="0.2">
      <c r="F125" s="99"/>
      <c r="I125" s="258"/>
      <c r="J125" s="258"/>
      <c r="K125" s="258"/>
      <c r="L125" s="258"/>
      <c r="M125" s="258"/>
      <c r="N125" s="258"/>
      <c r="O125" s="258"/>
      <c r="P125" s="258"/>
      <c r="Q125" s="258"/>
      <c r="R125" s="258"/>
      <c r="S125" s="258"/>
      <c r="T125" s="258"/>
      <c r="U125" s="258"/>
      <c r="V125" s="258"/>
      <c r="W125" s="258"/>
      <c r="X125" s="63"/>
      <c r="Y125" s="63"/>
      <c r="Z125" s="63"/>
      <c r="AA125" s="63"/>
      <c r="AB125" s="63"/>
      <c r="AC125" s="63"/>
      <c r="AD125" s="63"/>
      <c r="AE125" s="63"/>
    </row>
    <row r="126" spans="1:32" ht="11.25" customHeight="1" x14ac:dyDescent="0.2">
      <c r="F126" s="99"/>
      <c r="I126" s="258"/>
      <c r="J126" s="258"/>
      <c r="K126" s="258"/>
      <c r="L126" s="258"/>
      <c r="M126" s="258"/>
      <c r="N126" s="258"/>
      <c r="O126" s="258"/>
      <c r="P126" s="258"/>
      <c r="Q126" s="258"/>
      <c r="R126" s="258"/>
      <c r="S126" s="258"/>
      <c r="T126" s="258"/>
      <c r="U126" s="258"/>
      <c r="V126" s="258"/>
      <c r="W126" s="258"/>
      <c r="X126" s="63"/>
      <c r="Y126" s="63"/>
      <c r="Z126" s="63"/>
      <c r="AA126" s="63"/>
      <c r="AB126" s="63"/>
      <c r="AC126" s="63"/>
      <c r="AD126" s="63"/>
      <c r="AE126" s="63"/>
    </row>
    <row r="127" spans="1:32" ht="11.25" customHeight="1" x14ac:dyDescent="0.2">
      <c r="F127" s="99"/>
    </row>
    <row r="128" spans="1:32" ht="11.25" customHeight="1" x14ac:dyDescent="0.2">
      <c r="F128" s="99"/>
    </row>
  </sheetData>
  <sheetProtection password="A6C5" sheet="1" objects="1" scenarios="1" selectLockedCells="1"/>
  <mergeCells count="40">
    <mergeCell ref="D48:F48"/>
    <mergeCell ref="D59:F59"/>
    <mergeCell ref="D62:F62"/>
    <mergeCell ref="E69:F69"/>
    <mergeCell ref="E117:F117"/>
    <mergeCell ref="E121:F121"/>
    <mergeCell ref="E73:F73"/>
    <mergeCell ref="D84:F84"/>
    <mergeCell ref="D99:F99"/>
    <mergeCell ref="D110:F110"/>
    <mergeCell ref="AF8:AF9"/>
    <mergeCell ref="D20:F20"/>
    <mergeCell ref="D23:F23"/>
    <mergeCell ref="D41:F41"/>
    <mergeCell ref="Y8:Y9"/>
    <mergeCell ref="Z8:AA8"/>
    <mergeCell ref="AB8:AC8"/>
    <mergeCell ref="AD8:AE8"/>
    <mergeCell ref="R8:S8"/>
    <mergeCell ref="T8:U8"/>
    <mergeCell ref="Q7:X7"/>
    <mergeCell ref="Y7:AF7"/>
    <mergeCell ref="I8:I9"/>
    <mergeCell ref="J8:K8"/>
    <mergeCell ref="V8:W8"/>
    <mergeCell ref="X8:X9"/>
    <mergeCell ref="L8:M8"/>
    <mergeCell ref="N8:O8"/>
    <mergeCell ref="P8:P9"/>
    <mergeCell ref="Q8:Q9"/>
    <mergeCell ref="A1:AF1"/>
    <mergeCell ref="A2:AF2"/>
    <mergeCell ref="A3:AF3"/>
    <mergeCell ref="A4:AF4"/>
    <mergeCell ref="A5:AF5"/>
    <mergeCell ref="A6:F9"/>
    <mergeCell ref="G6:G9"/>
    <mergeCell ref="H6:H9"/>
    <mergeCell ref="I6:P7"/>
    <mergeCell ref="Q6:AF6"/>
  </mergeCells>
  <phoneticPr fontId="8" type="noConversion"/>
  <dataValidations count="2">
    <dataValidation allowBlank="1" showInputMessage="1" showErrorMessage="1" sqref="N65:O66 I99:O100 N74:O76 I78:O79 Z103:AC106 V106:W106 V62:W62 V55:W55 N48:O49 N62:O62 V48:W49 V26:W28 N55:O55 N26:O28 Q41:W42 I41:O42 V23:W23 N122:O122 I10:O12 Q14:W15 N23:O23 I14:O15 N87:O89 I84:AF84 Q10:W12 N113:O114 P85:P91 P96:P109 P10:P19 P21:P30 I59:AF59 I20:AF20 I110:AF110 N106:O106 P38:P58 P60:P83 X38:X58 X21:X30 I22:M23 J45:M49 N45:O45 I52:M55 N52:O52 I61:M62 I64:M66 Q43:Q55 Z70:AE70 J103:M106 N103:O103 I112:M114 Y101:Y106 Q22:U23 I43:I49 R45:U49 V45:W45 R52:U55 V52:W52 Q61:U62 Q64:U66 V65:W66 V87:W89 I101:I106 AD55:AE55 Y14:AE15 AD26:AE28 Z118:AE118 AD87:AE89 R103:U106 V103:W103 J25:M28 X10:X19 AF10:AF19 Y10:AE12 AD23:AE23 Y22:AC23 AF21:AF58 I31:AE31 I34:AE34 I37:AE37 Y41:AE42 AD48:AE49 Z45:AC49 AD45:AE45 X60:X83 AF60:AF83 Q78:W79 AD62:AE62 Y61:AC62 AD65:AE66 Y64:AC66 Y78:AE79 V74:W76 J70:O70 R70:W70 AD74:AE76 Q101:Q106 X85:X109 I92:W92 I95:W95 Q99:W100 V113:W114 AF85:AF109 Y92:AE92 Y95:AE95 Y99:AE100 AD106:AE106 AD103:AE103 AD122:AE122 AF111:AF122 R118:W118 AD113:AE114 Y112:AC114 X111:X122 V122:W122 Q112:U114 P111:P122 J118:O118 Z52:AC55 AD52:AE52 I25:I30 I32:I33 I35:I36 I38:I40 R25:U28 Q25:Q30 P32:Q33 P35:Q36 Q38:Q40 Z25:AC28 Y25:Y30 X32:Y33 X35:Y36 Y38:Y40 I70:I76 J71:M76 Q70:Q76 R71:U76 Y70:Y76 Z71:AC76 J86:M89 I86:I91 I93:I94 I96:I98 R86:U89 Q86:Q91 P93:Q94 Q96:Q98 Z86:AC89 Y86:Y91 Y93:Y94 Y96:Y98 I118:I122 J119:M122 Q118:Q122 R119:U122 Y118:Y122 Z119:AC122 Y43:Y55"/>
    <dataValidation type="decimal" operator="greaterThanOrEqual" allowBlank="1" showInputMessage="1" showErrorMessage="1" sqref="I13:O13 Q13:W13 Y13:AE13 Y16:AE19 Q16:W19 I16:O19 I21:O21 Q21:W21 Y21:AE21 Y24:AE24 Q24:W24 I24:O24 N22:O22 N25:O25 V22:W22 V25:W25 AD22:AE22 AD25:AE25 Z29:AE30 R29:W30 J29:O30 J32:O33 R32:W33 Z32:AE33 Z35:AE36 R35:W36 J35:O36 J38:O40 R38:W40 Z38:AE40 Z43:AE44 R43:W44 J43:O44 I50:O51 N46:O47 R50:W51 V46:W47 Z50:AE51 AD46:AE47 Y56:AE58 Q56:W58 I56:O58 I60:O60 N61:O61 Q60:W60 V61:W61 Y60:AE60 AD61:AE61 Y63:AE63 AD64:AE64 V64:W64 Q63:W63 N64:O64 I63:O63 I67:O69 Q67:W69 Y67:AE69 AD71:AE73 V71:W73 N71:O73 I77:O77 Q77:W77 Y77:AE77 Y80:AE83 Q80:W83 I80:O83 I85:O85 Q85:W85 Y85:AE85 AD86:AE86 V86:W86 N86:O86 J90:O91 J93:O94 J96:O98 J101:O102 N104:O105 R90:W91 R93:W94 R96:W98 R101:W102 V104:W105 Z90:AE91 Z93:AE94 Z96:AE98 Z101:AE102 AD104:AE105 Y107:AE109 Y111:AE111 AD112:AE112 Y115:AE117 AD119:AE121 V119:W121 Q115:W117 Q111:W111 V112:W112 Q107:W109 I107:O109 I111:O111 N112:O112 I115:O117 N119:O121 N53:O54 V53:W54 AD53:AE54">
      <formula1>0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13a&amp;U
  &amp;P of &amp;N&amp;C&amp;"Arial,Bold"&amp;8 MAXIMUM SAVINGS BANK, INC.  [ 03-070011 ]
 As of: June 30, 2019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I126"/>
  <sheetViews>
    <sheetView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AF1"/>
    </sheetView>
  </sheetViews>
  <sheetFormatPr defaultRowHeight="11.25" customHeight="1" x14ac:dyDescent="0.2"/>
  <cols>
    <col min="1" max="1" width="1.85546875" style="14" customWidth="1"/>
    <col min="2" max="2" width="2.42578125" style="79" customWidth="1"/>
    <col min="3" max="3" width="2.85546875" style="63" customWidth="1"/>
    <col min="4" max="4" width="4.42578125" style="63" customWidth="1"/>
    <col min="5" max="5" width="37.28515625" style="63" customWidth="1"/>
    <col min="6" max="6" width="34.42578125" style="63" hidden="1" customWidth="1"/>
    <col min="7" max="7" width="17.7109375" style="14" customWidth="1"/>
    <col min="8" max="8" width="1.140625" style="14" hidden="1" customWidth="1"/>
    <col min="9" max="13" width="22.7109375" style="14" customWidth="1"/>
    <col min="14" max="15" width="22.7109375" style="63" hidden="1" customWidth="1"/>
    <col min="16" max="16" width="22.7109375" style="63" customWidth="1"/>
    <col min="17" max="21" width="22.7109375" style="14" customWidth="1"/>
    <col min="22" max="23" width="22.7109375" style="63" hidden="1" customWidth="1"/>
    <col min="24" max="24" width="22.7109375" style="63" customWidth="1"/>
    <col min="25" max="29" width="22.7109375" style="14" customWidth="1"/>
    <col min="30" max="31" width="22.7109375" style="63" hidden="1" customWidth="1"/>
    <col min="32" max="32" width="22.7109375" style="63" customWidth="1"/>
    <col min="33" max="33" width="6.85546875" style="14" customWidth="1"/>
    <col min="34" max="34" width="6.28515625" style="14" customWidth="1"/>
    <col min="35" max="35" width="6.140625" style="14" customWidth="1"/>
    <col min="36" max="16384" width="9.140625" style="14"/>
  </cols>
  <sheetData>
    <row r="1" spans="1:35" ht="11.25" customHeight="1" x14ac:dyDescent="0.2">
      <c r="A1" s="397" t="s">
        <v>232</v>
      </c>
      <c r="B1" s="397"/>
      <c r="C1" s="397"/>
      <c r="D1" s="397"/>
      <c r="E1" s="397"/>
      <c r="F1" s="397"/>
      <c r="G1" s="397"/>
      <c r="H1" s="397"/>
      <c r="I1" s="397"/>
      <c r="J1" s="397"/>
      <c r="K1" s="397"/>
      <c r="L1" s="397"/>
      <c r="M1" s="397"/>
      <c r="N1" s="397"/>
      <c r="O1" s="397"/>
      <c r="P1" s="397"/>
      <c r="Q1" s="397"/>
      <c r="R1" s="397"/>
      <c r="S1" s="397"/>
      <c r="T1" s="397"/>
      <c r="U1" s="397"/>
      <c r="V1" s="397"/>
      <c r="W1" s="397"/>
      <c r="X1" s="397"/>
      <c r="Y1" s="397"/>
      <c r="Z1" s="397"/>
      <c r="AA1" s="397"/>
      <c r="AB1" s="397"/>
      <c r="AC1" s="397"/>
      <c r="AD1" s="397"/>
      <c r="AE1" s="397"/>
      <c r="AF1" s="397"/>
      <c r="AG1" s="13"/>
      <c r="AH1" s="13"/>
      <c r="AI1" s="13"/>
    </row>
    <row r="2" spans="1:35" ht="11.25" hidden="1" customHeight="1" x14ac:dyDescent="0.2">
      <c r="A2" s="398"/>
      <c r="B2" s="398"/>
      <c r="C2" s="398"/>
      <c r="D2" s="398"/>
      <c r="E2" s="398"/>
      <c r="F2" s="398"/>
      <c r="G2" s="398"/>
      <c r="H2" s="398"/>
      <c r="I2" s="398"/>
      <c r="J2" s="398"/>
      <c r="K2" s="398"/>
      <c r="L2" s="398"/>
      <c r="M2" s="398"/>
      <c r="N2" s="398"/>
      <c r="O2" s="398"/>
      <c r="P2" s="398"/>
      <c r="Q2" s="398"/>
      <c r="R2" s="398"/>
      <c r="S2" s="398"/>
      <c r="T2" s="398"/>
      <c r="U2" s="398"/>
      <c r="V2" s="398"/>
      <c r="W2" s="398"/>
      <c r="X2" s="398"/>
      <c r="Y2" s="398"/>
      <c r="Z2" s="398"/>
      <c r="AA2" s="398"/>
      <c r="AB2" s="398"/>
      <c r="AC2" s="398"/>
      <c r="AD2" s="398"/>
      <c r="AE2" s="398"/>
      <c r="AF2" s="398"/>
      <c r="AG2" s="13"/>
      <c r="AH2" s="13"/>
      <c r="AI2" s="13"/>
    </row>
    <row r="3" spans="1:35" ht="11.25" hidden="1" customHeight="1" x14ac:dyDescent="0.2">
      <c r="A3" s="398"/>
      <c r="B3" s="398"/>
      <c r="C3" s="398"/>
      <c r="D3" s="398"/>
      <c r="E3" s="398"/>
      <c r="F3" s="398"/>
      <c r="G3" s="398"/>
      <c r="H3" s="398"/>
      <c r="I3" s="398"/>
      <c r="J3" s="398"/>
      <c r="K3" s="398"/>
      <c r="L3" s="398"/>
      <c r="M3" s="398"/>
      <c r="N3" s="398"/>
      <c r="O3" s="398"/>
      <c r="P3" s="398"/>
      <c r="Q3" s="398"/>
      <c r="R3" s="398"/>
      <c r="S3" s="398"/>
      <c r="T3" s="398"/>
      <c r="U3" s="398"/>
      <c r="V3" s="398"/>
      <c r="W3" s="398"/>
      <c r="X3" s="398"/>
      <c r="Y3" s="398"/>
      <c r="Z3" s="398"/>
      <c r="AA3" s="398"/>
      <c r="AB3" s="398"/>
      <c r="AC3" s="398"/>
      <c r="AD3" s="398"/>
      <c r="AE3" s="398"/>
      <c r="AF3" s="398"/>
      <c r="AG3" s="13"/>
      <c r="AH3" s="13"/>
      <c r="AI3" s="13"/>
    </row>
    <row r="4" spans="1:35" ht="11.25" hidden="1" customHeight="1" x14ac:dyDescent="0.2">
      <c r="A4" s="398"/>
      <c r="B4" s="398"/>
      <c r="C4" s="398"/>
      <c r="D4" s="398"/>
      <c r="E4" s="398"/>
      <c r="F4" s="398"/>
      <c r="G4" s="398"/>
      <c r="H4" s="398"/>
      <c r="I4" s="398"/>
      <c r="J4" s="398"/>
      <c r="K4" s="398"/>
      <c r="L4" s="398"/>
      <c r="M4" s="398"/>
      <c r="N4" s="398"/>
      <c r="O4" s="398"/>
      <c r="P4" s="398"/>
      <c r="Q4" s="398"/>
      <c r="R4" s="398"/>
      <c r="S4" s="398"/>
      <c r="T4" s="398"/>
      <c r="U4" s="398"/>
      <c r="V4" s="398"/>
      <c r="W4" s="398"/>
      <c r="X4" s="398"/>
      <c r="Y4" s="398"/>
      <c r="Z4" s="398"/>
      <c r="AA4" s="398"/>
      <c r="AB4" s="398"/>
      <c r="AC4" s="398"/>
      <c r="AD4" s="398"/>
      <c r="AE4" s="398"/>
      <c r="AF4" s="398"/>
      <c r="AG4" s="13"/>
      <c r="AH4" s="13"/>
      <c r="AI4" s="13"/>
    </row>
    <row r="5" spans="1:35" ht="11.25" customHeight="1" x14ac:dyDescent="0.2">
      <c r="A5" s="398"/>
      <c r="B5" s="398"/>
      <c r="C5" s="398"/>
      <c r="D5" s="398"/>
      <c r="E5" s="398"/>
      <c r="F5" s="398"/>
      <c r="G5" s="398"/>
      <c r="H5" s="398"/>
      <c r="I5" s="398"/>
      <c r="J5" s="398"/>
      <c r="K5" s="398"/>
      <c r="L5" s="398"/>
      <c r="M5" s="398"/>
      <c r="N5" s="398"/>
      <c r="O5" s="398"/>
      <c r="P5" s="398"/>
      <c r="Q5" s="398"/>
      <c r="R5" s="398"/>
      <c r="S5" s="398"/>
      <c r="T5" s="398"/>
      <c r="U5" s="398"/>
      <c r="V5" s="398"/>
      <c r="W5" s="398"/>
      <c r="X5" s="398"/>
      <c r="Y5" s="398"/>
      <c r="Z5" s="398"/>
      <c r="AA5" s="398"/>
      <c r="AB5" s="398"/>
      <c r="AC5" s="398"/>
      <c r="AD5" s="398"/>
      <c r="AE5" s="398"/>
      <c r="AF5" s="398"/>
    </row>
    <row r="6" spans="1:35" ht="11.25" customHeight="1" x14ac:dyDescent="0.2">
      <c r="A6" s="401" t="s">
        <v>1</v>
      </c>
      <c r="B6" s="401"/>
      <c r="C6" s="401"/>
      <c r="D6" s="401"/>
      <c r="E6" s="401"/>
      <c r="F6" s="401"/>
      <c r="G6" s="401" t="s">
        <v>2</v>
      </c>
      <c r="H6" s="406"/>
      <c r="I6" s="401" t="s">
        <v>51</v>
      </c>
      <c r="J6" s="425"/>
      <c r="K6" s="425"/>
      <c r="L6" s="425"/>
      <c r="M6" s="425"/>
      <c r="N6" s="425"/>
      <c r="O6" s="425"/>
      <c r="P6" s="425"/>
      <c r="Q6" s="401" t="s">
        <v>52</v>
      </c>
      <c r="R6" s="425"/>
      <c r="S6" s="425"/>
      <c r="T6" s="425"/>
      <c r="U6" s="425"/>
      <c r="V6" s="425"/>
      <c r="W6" s="425"/>
      <c r="X6" s="425"/>
      <c r="Y6" s="425"/>
      <c r="Z6" s="425"/>
      <c r="AA6" s="425"/>
      <c r="AB6" s="425"/>
      <c r="AC6" s="425"/>
      <c r="AD6" s="425"/>
      <c r="AE6" s="425"/>
      <c r="AF6" s="425"/>
      <c r="AG6" s="15"/>
      <c r="AH6" s="15"/>
      <c r="AI6" s="15"/>
    </row>
    <row r="7" spans="1:35" ht="11.25" customHeight="1" x14ac:dyDescent="0.2">
      <c r="A7" s="401"/>
      <c r="B7" s="401"/>
      <c r="C7" s="401"/>
      <c r="D7" s="401"/>
      <c r="E7" s="401"/>
      <c r="F7" s="401"/>
      <c r="G7" s="401"/>
      <c r="H7" s="406"/>
      <c r="I7" s="425"/>
      <c r="J7" s="425"/>
      <c r="K7" s="425"/>
      <c r="L7" s="425"/>
      <c r="M7" s="425"/>
      <c r="N7" s="425"/>
      <c r="O7" s="425"/>
      <c r="P7" s="425"/>
      <c r="Q7" s="406" t="s">
        <v>53</v>
      </c>
      <c r="R7" s="425"/>
      <c r="S7" s="425"/>
      <c r="T7" s="425"/>
      <c r="U7" s="425"/>
      <c r="V7" s="425"/>
      <c r="W7" s="425"/>
      <c r="X7" s="425"/>
      <c r="Y7" s="406" t="s">
        <v>54</v>
      </c>
      <c r="Z7" s="425"/>
      <c r="AA7" s="425"/>
      <c r="AB7" s="425"/>
      <c r="AC7" s="425"/>
      <c r="AD7" s="425"/>
      <c r="AE7" s="425"/>
      <c r="AF7" s="425"/>
      <c r="AG7" s="17"/>
      <c r="AH7" s="17"/>
      <c r="AI7" s="18"/>
    </row>
    <row r="8" spans="1:35" ht="11.25" customHeight="1" x14ac:dyDescent="0.2">
      <c r="A8" s="401"/>
      <c r="B8" s="401"/>
      <c r="C8" s="401"/>
      <c r="D8" s="401"/>
      <c r="E8" s="401"/>
      <c r="F8" s="401"/>
      <c r="G8" s="402"/>
      <c r="H8" s="424"/>
      <c r="I8" s="406" t="s">
        <v>55</v>
      </c>
      <c r="J8" s="406" t="s">
        <v>4</v>
      </c>
      <c r="K8" s="425"/>
      <c r="L8" s="406" t="s">
        <v>5</v>
      </c>
      <c r="M8" s="425"/>
      <c r="N8" s="408" t="s">
        <v>6</v>
      </c>
      <c r="O8" s="426"/>
      <c r="P8" s="408" t="s">
        <v>56</v>
      </c>
      <c r="Q8" s="406" t="s">
        <v>55</v>
      </c>
      <c r="R8" s="406" t="s">
        <v>4</v>
      </c>
      <c r="S8" s="425"/>
      <c r="T8" s="406" t="s">
        <v>5</v>
      </c>
      <c r="U8" s="425"/>
      <c r="V8" s="408" t="s">
        <v>6</v>
      </c>
      <c r="W8" s="426"/>
      <c r="X8" s="408" t="s">
        <v>56</v>
      </c>
      <c r="Y8" s="406" t="s">
        <v>55</v>
      </c>
      <c r="Z8" s="406" t="s">
        <v>4</v>
      </c>
      <c r="AA8" s="425"/>
      <c r="AB8" s="406" t="s">
        <v>5</v>
      </c>
      <c r="AC8" s="425"/>
      <c r="AD8" s="408" t="s">
        <v>6</v>
      </c>
      <c r="AE8" s="426"/>
      <c r="AF8" s="408" t="s">
        <v>56</v>
      </c>
      <c r="AG8" s="18"/>
      <c r="AH8" s="18"/>
      <c r="AI8" s="18"/>
    </row>
    <row r="9" spans="1:35" ht="11.25" customHeight="1" x14ac:dyDescent="0.2">
      <c r="A9" s="423"/>
      <c r="B9" s="423"/>
      <c r="C9" s="423"/>
      <c r="D9" s="423"/>
      <c r="E9" s="423"/>
      <c r="F9" s="423"/>
      <c r="G9" s="402"/>
      <c r="H9" s="424"/>
      <c r="I9" s="425"/>
      <c r="J9" s="19" t="s">
        <v>11</v>
      </c>
      <c r="K9" s="20" t="s">
        <v>12</v>
      </c>
      <c r="L9" s="19" t="s">
        <v>11</v>
      </c>
      <c r="M9" s="20" t="s">
        <v>12</v>
      </c>
      <c r="N9" s="100" t="s">
        <v>11</v>
      </c>
      <c r="O9" s="101" t="s">
        <v>12</v>
      </c>
      <c r="P9" s="426"/>
      <c r="Q9" s="425"/>
      <c r="R9" s="19" t="s">
        <v>11</v>
      </c>
      <c r="S9" s="20" t="s">
        <v>12</v>
      </c>
      <c r="T9" s="19" t="s">
        <v>11</v>
      </c>
      <c r="U9" s="20" t="s">
        <v>12</v>
      </c>
      <c r="V9" s="100" t="s">
        <v>11</v>
      </c>
      <c r="W9" s="101" t="s">
        <v>12</v>
      </c>
      <c r="X9" s="426"/>
      <c r="Y9" s="425"/>
      <c r="Z9" s="19" t="s">
        <v>11</v>
      </c>
      <c r="AA9" s="20" t="s">
        <v>12</v>
      </c>
      <c r="AB9" s="19" t="s">
        <v>11</v>
      </c>
      <c r="AC9" s="20" t="s">
        <v>12</v>
      </c>
      <c r="AD9" s="100" t="s">
        <v>11</v>
      </c>
      <c r="AE9" s="101" t="s">
        <v>12</v>
      </c>
      <c r="AF9" s="426"/>
      <c r="AG9" s="21"/>
      <c r="AH9" s="21"/>
      <c r="AI9" s="18"/>
    </row>
    <row r="10" spans="1:35" ht="11.25" customHeight="1" x14ac:dyDescent="0.2">
      <c r="A10" s="22" t="s">
        <v>57</v>
      </c>
      <c r="B10" s="23"/>
      <c r="C10" s="23"/>
      <c r="D10" s="24"/>
      <c r="E10" s="23"/>
      <c r="F10" s="25"/>
      <c r="G10" s="351" t="s">
        <v>233</v>
      </c>
      <c r="H10" s="102"/>
      <c r="I10" s="103">
        <f>I11+I26+I55+I65</f>
        <v>0</v>
      </c>
      <c r="J10" s="103">
        <f t="shared" ref="J10:O10" si="0">J11+J26+J55+J65</f>
        <v>0</v>
      </c>
      <c r="K10" s="103">
        <f t="shared" si="0"/>
        <v>0</v>
      </c>
      <c r="L10" s="103">
        <f t="shared" si="0"/>
        <v>0</v>
      </c>
      <c r="M10" s="103">
        <f t="shared" si="0"/>
        <v>0</v>
      </c>
      <c r="N10" s="103">
        <f t="shared" si="0"/>
        <v>0</v>
      </c>
      <c r="O10" s="103">
        <f t="shared" si="0"/>
        <v>0</v>
      </c>
      <c r="P10" s="104">
        <f>I10+K10+M10+O10</f>
        <v>0</v>
      </c>
      <c r="Q10" s="103">
        <f t="shared" ref="Q10:W10" si="1">Q11+Q26+Q55+Q65</f>
        <v>0</v>
      </c>
      <c r="R10" s="103">
        <f t="shared" si="1"/>
        <v>0</v>
      </c>
      <c r="S10" s="103">
        <f t="shared" si="1"/>
        <v>0</v>
      </c>
      <c r="T10" s="103">
        <f t="shared" si="1"/>
        <v>0</v>
      </c>
      <c r="U10" s="103">
        <f t="shared" si="1"/>
        <v>0</v>
      </c>
      <c r="V10" s="103">
        <f t="shared" si="1"/>
        <v>0</v>
      </c>
      <c r="W10" s="103">
        <f t="shared" si="1"/>
        <v>0</v>
      </c>
      <c r="X10" s="104">
        <f>Q10+S10+U10+W10</f>
        <v>0</v>
      </c>
      <c r="Y10" s="103">
        <f t="shared" ref="Y10:AE10" si="2">Y11+Y26+Y55+Y65</f>
        <v>0</v>
      </c>
      <c r="Z10" s="103">
        <f t="shared" si="2"/>
        <v>0</v>
      </c>
      <c r="AA10" s="103">
        <f t="shared" si="2"/>
        <v>0</v>
      </c>
      <c r="AB10" s="103">
        <f t="shared" si="2"/>
        <v>0</v>
      </c>
      <c r="AC10" s="103">
        <f t="shared" si="2"/>
        <v>0</v>
      </c>
      <c r="AD10" s="104">
        <f t="shared" si="2"/>
        <v>0</v>
      </c>
      <c r="AE10" s="104">
        <f t="shared" si="2"/>
        <v>0</v>
      </c>
      <c r="AF10" s="104">
        <f>Y10+AA10+AC10+AE10</f>
        <v>0</v>
      </c>
      <c r="AG10" s="21"/>
      <c r="AH10" s="21"/>
      <c r="AI10" s="28"/>
    </row>
    <row r="11" spans="1:35" ht="11.25" customHeight="1" x14ac:dyDescent="0.2">
      <c r="A11" s="29"/>
      <c r="B11" s="30" t="s">
        <v>59</v>
      </c>
      <c r="C11" s="31" t="s">
        <v>60</v>
      </c>
      <c r="D11" s="31"/>
      <c r="E11" s="32"/>
      <c r="F11" s="33"/>
      <c r="G11" s="351" t="s">
        <v>234</v>
      </c>
      <c r="H11" s="102"/>
      <c r="I11" s="103">
        <f>I12+I14+I19+I20+I23</f>
        <v>0</v>
      </c>
      <c r="J11" s="103">
        <f t="shared" ref="J11:O11" si="3">J12+J14+J19+J20+J23</f>
        <v>0</v>
      </c>
      <c r="K11" s="103">
        <f t="shared" si="3"/>
        <v>0</v>
      </c>
      <c r="L11" s="103">
        <f t="shared" si="3"/>
        <v>0</v>
      </c>
      <c r="M11" s="103">
        <f t="shared" si="3"/>
        <v>0</v>
      </c>
      <c r="N11" s="103">
        <f t="shared" si="3"/>
        <v>0</v>
      </c>
      <c r="O11" s="103">
        <f t="shared" si="3"/>
        <v>0</v>
      </c>
      <c r="P11" s="104">
        <f t="shared" ref="P11:P74" si="4">I11+K11+M11+O11</f>
        <v>0</v>
      </c>
      <c r="Q11" s="103">
        <f t="shared" ref="Q11:W11" si="5">Q12+Q14+Q19+Q20+Q23</f>
        <v>0</v>
      </c>
      <c r="R11" s="103">
        <f t="shared" si="5"/>
        <v>0</v>
      </c>
      <c r="S11" s="103">
        <f t="shared" si="5"/>
        <v>0</v>
      </c>
      <c r="T11" s="103">
        <f t="shared" si="5"/>
        <v>0</v>
      </c>
      <c r="U11" s="103">
        <f t="shared" si="5"/>
        <v>0</v>
      </c>
      <c r="V11" s="103">
        <f t="shared" si="5"/>
        <v>0</v>
      </c>
      <c r="W11" s="103">
        <f t="shared" si="5"/>
        <v>0</v>
      </c>
      <c r="X11" s="104">
        <f t="shared" ref="X11:X74" si="6">Q11+S11+U11+W11</f>
        <v>0</v>
      </c>
      <c r="Y11" s="103">
        <f t="shared" ref="Y11:AE11" si="7">Y12+Y14+Y19+Y20+Y23</f>
        <v>0</v>
      </c>
      <c r="Z11" s="103">
        <f t="shared" si="7"/>
        <v>0</v>
      </c>
      <c r="AA11" s="103">
        <f t="shared" si="7"/>
        <v>0</v>
      </c>
      <c r="AB11" s="103">
        <f t="shared" si="7"/>
        <v>0</v>
      </c>
      <c r="AC11" s="103">
        <f t="shared" si="7"/>
        <v>0</v>
      </c>
      <c r="AD11" s="104">
        <f t="shared" si="7"/>
        <v>0</v>
      </c>
      <c r="AE11" s="104">
        <f t="shared" si="7"/>
        <v>0</v>
      </c>
      <c r="AF11" s="104">
        <f t="shared" ref="AF11:AF74" si="8">Y11+AA11+AC11+AE11</f>
        <v>0</v>
      </c>
      <c r="AG11" s="21"/>
      <c r="AH11" s="21"/>
      <c r="AI11" s="28"/>
    </row>
    <row r="12" spans="1:35" ht="11.25" customHeight="1" x14ac:dyDescent="0.2">
      <c r="A12" s="34"/>
      <c r="B12" s="18"/>
      <c r="C12" s="14" t="s">
        <v>62</v>
      </c>
      <c r="D12" s="14" t="s">
        <v>63</v>
      </c>
      <c r="E12" s="18"/>
      <c r="F12" s="33"/>
      <c r="G12" s="351" t="s">
        <v>235</v>
      </c>
      <c r="H12" s="102"/>
      <c r="I12" s="103">
        <f>I13</f>
        <v>0</v>
      </c>
      <c r="J12" s="103">
        <f t="shared" ref="J12:O12" si="9">J13</f>
        <v>0</v>
      </c>
      <c r="K12" s="103">
        <f t="shared" si="9"/>
        <v>0</v>
      </c>
      <c r="L12" s="103">
        <f t="shared" si="9"/>
        <v>0</v>
      </c>
      <c r="M12" s="103">
        <f t="shared" si="9"/>
        <v>0</v>
      </c>
      <c r="N12" s="103">
        <f t="shared" si="9"/>
        <v>0</v>
      </c>
      <c r="O12" s="103">
        <f t="shared" si="9"/>
        <v>0</v>
      </c>
      <c r="P12" s="104">
        <f t="shared" si="4"/>
        <v>0</v>
      </c>
      <c r="Q12" s="103">
        <f t="shared" ref="Q12:W12" si="10">Q13</f>
        <v>0</v>
      </c>
      <c r="R12" s="103">
        <f t="shared" si="10"/>
        <v>0</v>
      </c>
      <c r="S12" s="103">
        <f t="shared" si="10"/>
        <v>0</v>
      </c>
      <c r="T12" s="103">
        <f t="shared" si="10"/>
        <v>0</v>
      </c>
      <c r="U12" s="103">
        <f t="shared" si="10"/>
        <v>0</v>
      </c>
      <c r="V12" s="103">
        <f t="shared" si="10"/>
        <v>0</v>
      </c>
      <c r="W12" s="103">
        <f t="shared" si="10"/>
        <v>0</v>
      </c>
      <c r="X12" s="104">
        <f t="shared" si="6"/>
        <v>0</v>
      </c>
      <c r="Y12" s="103">
        <f t="shared" ref="Y12:AE12" si="11">Y13</f>
        <v>0</v>
      </c>
      <c r="Z12" s="103">
        <f t="shared" si="11"/>
        <v>0</v>
      </c>
      <c r="AA12" s="103">
        <f t="shared" si="11"/>
        <v>0</v>
      </c>
      <c r="AB12" s="103">
        <f t="shared" si="11"/>
        <v>0</v>
      </c>
      <c r="AC12" s="103">
        <f t="shared" si="11"/>
        <v>0</v>
      </c>
      <c r="AD12" s="104">
        <f t="shared" si="11"/>
        <v>0</v>
      </c>
      <c r="AE12" s="104">
        <f t="shared" si="11"/>
        <v>0</v>
      </c>
      <c r="AF12" s="104">
        <f t="shared" si="8"/>
        <v>0</v>
      </c>
    </row>
    <row r="13" spans="1:35" ht="11.25" customHeight="1" x14ac:dyDescent="0.2">
      <c r="A13" s="29"/>
      <c r="B13" s="35"/>
      <c r="C13" s="36"/>
      <c r="D13" s="37" t="s">
        <v>65</v>
      </c>
      <c r="E13" s="38" t="s">
        <v>66</v>
      </c>
      <c r="F13" s="33"/>
      <c r="G13" s="351" t="s">
        <v>236</v>
      </c>
      <c r="H13" s="102"/>
      <c r="I13" s="106"/>
      <c r="J13" s="106"/>
      <c r="K13" s="106"/>
      <c r="L13" s="106"/>
      <c r="M13" s="106"/>
      <c r="N13" s="107"/>
      <c r="O13" s="107"/>
      <c r="P13" s="104">
        <f t="shared" si="4"/>
        <v>0</v>
      </c>
      <c r="Q13" s="106"/>
      <c r="R13" s="106"/>
      <c r="S13" s="106"/>
      <c r="T13" s="106"/>
      <c r="U13" s="106"/>
      <c r="V13" s="106"/>
      <c r="W13" s="106"/>
      <c r="X13" s="104">
        <f t="shared" si="6"/>
        <v>0</v>
      </c>
      <c r="Y13" s="106"/>
      <c r="Z13" s="106"/>
      <c r="AA13" s="106"/>
      <c r="AB13" s="106"/>
      <c r="AC13" s="106"/>
      <c r="AD13" s="107"/>
      <c r="AE13" s="107"/>
      <c r="AF13" s="104">
        <f t="shared" si="8"/>
        <v>0</v>
      </c>
    </row>
    <row r="14" spans="1:35" ht="11.25" customHeight="1" x14ac:dyDescent="0.2">
      <c r="A14" s="34"/>
      <c r="B14" s="18"/>
      <c r="C14" s="40" t="s">
        <v>68</v>
      </c>
      <c r="D14" s="41" t="s">
        <v>69</v>
      </c>
      <c r="E14" s="14"/>
      <c r="F14" s="33"/>
      <c r="G14" s="351" t="s">
        <v>237</v>
      </c>
      <c r="H14" s="102"/>
      <c r="I14" s="103">
        <f>I15+I18</f>
        <v>0</v>
      </c>
      <c r="J14" s="103">
        <f t="shared" ref="J14:O14" si="12">J15+J18</f>
        <v>0</v>
      </c>
      <c r="K14" s="103">
        <f t="shared" si="12"/>
        <v>0</v>
      </c>
      <c r="L14" s="103">
        <f t="shared" si="12"/>
        <v>0</v>
      </c>
      <c r="M14" s="103">
        <f t="shared" si="12"/>
        <v>0</v>
      </c>
      <c r="N14" s="103">
        <f t="shared" si="12"/>
        <v>0</v>
      </c>
      <c r="O14" s="103">
        <f t="shared" si="12"/>
        <v>0</v>
      </c>
      <c r="P14" s="104">
        <f t="shared" si="4"/>
        <v>0</v>
      </c>
      <c r="Q14" s="103">
        <f t="shared" ref="Q14:W14" si="13">Q15+Q18</f>
        <v>0</v>
      </c>
      <c r="R14" s="103">
        <f t="shared" si="13"/>
        <v>0</v>
      </c>
      <c r="S14" s="103">
        <f t="shared" si="13"/>
        <v>0</v>
      </c>
      <c r="T14" s="103">
        <f t="shared" si="13"/>
        <v>0</v>
      </c>
      <c r="U14" s="103">
        <f t="shared" si="13"/>
        <v>0</v>
      </c>
      <c r="V14" s="103">
        <f t="shared" si="13"/>
        <v>0</v>
      </c>
      <c r="W14" s="103">
        <f t="shared" si="13"/>
        <v>0</v>
      </c>
      <c r="X14" s="104">
        <f t="shared" si="6"/>
        <v>0</v>
      </c>
      <c r="Y14" s="103">
        <f t="shared" ref="Y14:AE14" si="14">Y15+Y18</f>
        <v>0</v>
      </c>
      <c r="Z14" s="103">
        <f t="shared" si="14"/>
        <v>0</v>
      </c>
      <c r="AA14" s="103">
        <f t="shared" si="14"/>
        <v>0</v>
      </c>
      <c r="AB14" s="103">
        <f t="shared" si="14"/>
        <v>0</v>
      </c>
      <c r="AC14" s="103">
        <f t="shared" si="14"/>
        <v>0</v>
      </c>
      <c r="AD14" s="104">
        <f t="shared" si="14"/>
        <v>0</v>
      </c>
      <c r="AE14" s="104">
        <f t="shared" si="14"/>
        <v>0</v>
      </c>
      <c r="AF14" s="104">
        <f t="shared" si="8"/>
        <v>0</v>
      </c>
    </row>
    <row r="15" spans="1:35" ht="11.25" customHeight="1" x14ac:dyDescent="0.2">
      <c r="A15" s="29"/>
      <c r="B15" s="35"/>
      <c r="C15" s="36"/>
      <c r="D15" s="42" t="s">
        <v>71</v>
      </c>
      <c r="E15" s="43" t="s">
        <v>72</v>
      </c>
      <c r="F15" s="33"/>
      <c r="G15" s="351" t="s">
        <v>238</v>
      </c>
      <c r="H15" s="102"/>
      <c r="I15" s="104">
        <f>I16+I17</f>
        <v>0</v>
      </c>
      <c r="J15" s="104">
        <f t="shared" ref="J15:O15" si="15">J16+J17</f>
        <v>0</v>
      </c>
      <c r="K15" s="104">
        <f t="shared" si="15"/>
        <v>0</v>
      </c>
      <c r="L15" s="104">
        <f t="shared" si="15"/>
        <v>0</v>
      </c>
      <c r="M15" s="104">
        <f t="shared" si="15"/>
        <v>0</v>
      </c>
      <c r="N15" s="104">
        <f t="shared" si="15"/>
        <v>0</v>
      </c>
      <c r="O15" s="104">
        <f t="shared" si="15"/>
        <v>0</v>
      </c>
      <c r="P15" s="104">
        <f t="shared" si="4"/>
        <v>0</v>
      </c>
      <c r="Q15" s="104">
        <f t="shared" ref="Q15:W15" si="16">Q16+Q17</f>
        <v>0</v>
      </c>
      <c r="R15" s="104">
        <f t="shared" si="16"/>
        <v>0</v>
      </c>
      <c r="S15" s="104">
        <f t="shared" si="16"/>
        <v>0</v>
      </c>
      <c r="T15" s="104">
        <f t="shared" si="16"/>
        <v>0</v>
      </c>
      <c r="U15" s="104">
        <f t="shared" si="16"/>
        <v>0</v>
      </c>
      <c r="V15" s="104">
        <f t="shared" si="16"/>
        <v>0</v>
      </c>
      <c r="W15" s="104">
        <f t="shared" si="16"/>
        <v>0</v>
      </c>
      <c r="X15" s="104">
        <f t="shared" si="6"/>
        <v>0</v>
      </c>
      <c r="Y15" s="104">
        <f t="shared" ref="Y15:AE15" si="17">Y16+Y17</f>
        <v>0</v>
      </c>
      <c r="Z15" s="104">
        <f t="shared" si="17"/>
        <v>0</v>
      </c>
      <c r="AA15" s="104">
        <f t="shared" si="17"/>
        <v>0</v>
      </c>
      <c r="AB15" s="104">
        <f t="shared" si="17"/>
        <v>0</v>
      </c>
      <c r="AC15" s="104">
        <f t="shared" si="17"/>
        <v>0</v>
      </c>
      <c r="AD15" s="104">
        <f t="shared" si="17"/>
        <v>0</v>
      </c>
      <c r="AE15" s="104">
        <f t="shared" si="17"/>
        <v>0</v>
      </c>
      <c r="AF15" s="104">
        <f t="shared" si="8"/>
        <v>0</v>
      </c>
    </row>
    <row r="16" spans="1:35" ht="11.25" customHeight="1" x14ac:dyDescent="0.2">
      <c r="A16" s="34"/>
      <c r="B16" s="18"/>
      <c r="C16" s="40"/>
      <c r="D16" s="44" t="s">
        <v>18</v>
      </c>
      <c r="E16" s="14" t="s">
        <v>74</v>
      </c>
      <c r="F16" s="33"/>
      <c r="G16" s="351" t="s">
        <v>239</v>
      </c>
      <c r="H16" s="102"/>
      <c r="I16" s="107"/>
      <c r="J16" s="106"/>
      <c r="K16" s="106"/>
      <c r="L16" s="106"/>
      <c r="M16" s="106"/>
      <c r="N16" s="107"/>
      <c r="O16" s="107"/>
      <c r="P16" s="104">
        <f t="shared" si="4"/>
        <v>0</v>
      </c>
      <c r="Q16" s="106"/>
      <c r="R16" s="106"/>
      <c r="S16" s="106"/>
      <c r="T16" s="106"/>
      <c r="U16" s="106"/>
      <c r="V16" s="106"/>
      <c r="W16" s="106"/>
      <c r="X16" s="104">
        <f t="shared" si="6"/>
        <v>0</v>
      </c>
      <c r="Y16" s="106"/>
      <c r="Z16" s="106"/>
      <c r="AA16" s="106"/>
      <c r="AB16" s="106"/>
      <c r="AC16" s="106"/>
      <c r="AD16" s="107"/>
      <c r="AE16" s="107"/>
      <c r="AF16" s="104">
        <f t="shared" si="8"/>
        <v>0</v>
      </c>
    </row>
    <row r="17" spans="1:32" ht="11.25" customHeight="1" x14ac:dyDescent="0.2">
      <c r="A17" s="29"/>
      <c r="B17" s="35"/>
      <c r="C17" s="45"/>
      <c r="D17" s="46" t="s">
        <v>21</v>
      </c>
      <c r="E17" s="43" t="s">
        <v>76</v>
      </c>
      <c r="F17" s="33"/>
      <c r="G17" s="351" t="s">
        <v>240</v>
      </c>
      <c r="H17" s="102"/>
      <c r="I17" s="107"/>
      <c r="J17" s="106"/>
      <c r="K17" s="106"/>
      <c r="L17" s="106"/>
      <c r="M17" s="106"/>
      <c r="N17" s="107"/>
      <c r="O17" s="107"/>
      <c r="P17" s="104">
        <f t="shared" si="4"/>
        <v>0</v>
      </c>
      <c r="Q17" s="106"/>
      <c r="R17" s="106"/>
      <c r="S17" s="106"/>
      <c r="T17" s="106"/>
      <c r="U17" s="106"/>
      <c r="V17" s="106"/>
      <c r="W17" s="106"/>
      <c r="X17" s="104">
        <f t="shared" si="6"/>
        <v>0</v>
      </c>
      <c r="Y17" s="106"/>
      <c r="Z17" s="106"/>
      <c r="AA17" s="106"/>
      <c r="AB17" s="106"/>
      <c r="AC17" s="106"/>
      <c r="AD17" s="107"/>
      <c r="AE17" s="107"/>
      <c r="AF17" s="104">
        <f t="shared" si="8"/>
        <v>0</v>
      </c>
    </row>
    <row r="18" spans="1:32" ht="11.25" customHeight="1" x14ac:dyDescent="0.2">
      <c r="A18" s="34"/>
      <c r="B18" s="18"/>
      <c r="C18" s="14"/>
      <c r="D18" s="47" t="s">
        <v>78</v>
      </c>
      <c r="E18" s="14" t="s">
        <v>79</v>
      </c>
      <c r="F18" s="33"/>
      <c r="G18" s="351" t="s">
        <v>241</v>
      </c>
      <c r="H18" s="102"/>
      <c r="I18" s="107"/>
      <c r="J18" s="106"/>
      <c r="K18" s="106"/>
      <c r="L18" s="106"/>
      <c r="M18" s="106"/>
      <c r="N18" s="107"/>
      <c r="O18" s="107"/>
      <c r="P18" s="104">
        <f t="shared" si="4"/>
        <v>0</v>
      </c>
      <c r="Q18" s="106"/>
      <c r="R18" s="106"/>
      <c r="S18" s="106"/>
      <c r="T18" s="106"/>
      <c r="U18" s="106"/>
      <c r="V18" s="106"/>
      <c r="W18" s="106"/>
      <c r="X18" s="104">
        <f t="shared" si="6"/>
        <v>0</v>
      </c>
      <c r="Y18" s="106"/>
      <c r="Z18" s="106"/>
      <c r="AA18" s="106"/>
      <c r="AB18" s="106"/>
      <c r="AC18" s="106"/>
      <c r="AD18" s="107"/>
      <c r="AE18" s="107"/>
      <c r="AF18" s="104">
        <f t="shared" si="8"/>
        <v>0</v>
      </c>
    </row>
    <row r="19" spans="1:32" ht="11.25" customHeight="1" x14ac:dyDescent="0.2">
      <c r="A19" s="29"/>
      <c r="B19" s="35"/>
      <c r="C19" s="36" t="s">
        <v>81</v>
      </c>
      <c r="D19" s="48" t="s">
        <v>82</v>
      </c>
      <c r="E19" s="43"/>
      <c r="F19" s="49"/>
      <c r="G19" s="351" t="s">
        <v>242</v>
      </c>
      <c r="H19" s="108"/>
      <c r="I19" s="107"/>
      <c r="J19" s="106"/>
      <c r="K19" s="106"/>
      <c r="L19" s="106"/>
      <c r="M19" s="106"/>
      <c r="N19" s="107"/>
      <c r="O19" s="107"/>
      <c r="P19" s="104">
        <f t="shared" si="4"/>
        <v>0</v>
      </c>
      <c r="Q19" s="106"/>
      <c r="R19" s="106"/>
      <c r="S19" s="106"/>
      <c r="T19" s="106"/>
      <c r="U19" s="106"/>
      <c r="V19" s="106"/>
      <c r="W19" s="106"/>
      <c r="X19" s="104">
        <f t="shared" si="6"/>
        <v>0</v>
      </c>
      <c r="Y19" s="106"/>
      <c r="Z19" s="106"/>
      <c r="AA19" s="106"/>
      <c r="AB19" s="106"/>
      <c r="AC19" s="106"/>
      <c r="AD19" s="107"/>
      <c r="AE19" s="107"/>
      <c r="AF19" s="104">
        <f t="shared" si="8"/>
        <v>0</v>
      </c>
    </row>
    <row r="20" spans="1:32" ht="11.25" customHeight="1" x14ac:dyDescent="0.2">
      <c r="A20" s="34"/>
      <c r="B20" s="18"/>
      <c r="C20" s="40" t="s">
        <v>84</v>
      </c>
      <c r="D20" s="409" t="s">
        <v>85</v>
      </c>
      <c r="E20" s="410"/>
      <c r="F20" s="411"/>
      <c r="G20" s="351" t="s">
        <v>243</v>
      </c>
      <c r="H20" s="108"/>
      <c r="I20" s="104">
        <f>I21+I22</f>
        <v>0</v>
      </c>
      <c r="J20" s="104">
        <f t="shared" ref="J20:AE20" si="18">J21+J22</f>
        <v>0</v>
      </c>
      <c r="K20" s="104">
        <f t="shared" si="18"/>
        <v>0</v>
      </c>
      <c r="L20" s="104">
        <f t="shared" si="18"/>
        <v>0</v>
      </c>
      <c r="M20" s="104">
        <f t="shared" si="18"/>
        <v>0</v>
      </c>
      <c r="N20" s="104">
        <f t="shared" si="18"/>
        <v>0</v>
      </c>
      <c r="O20" s="104">
        <f t="shared" si="18"/>
        <v>0</v>
      </c>
      <c r="P20" s="104">
        <f t="shared" si="4"/>
        <v>0</v>
      </c>
      <c r="Q20" s="104">
        <f t="shared" si="18"/>
        <v>0</v>
      </c>
      <c r="R20" s="104">
        <f t="shared" si="18"/>
        <v>0</v>
      </c>
      <c r="S20" s="104">
        <f t="shared" si="18"/>
        <v>0</v>
      </c>
      <c r="T20" s="104">
        <f t="shared" si="18"/>
        <v>0</v>
      </c>
      <c r="U20" s="104">
        <f t="shared" si="18"/>
        <v>0</v>
      </c>
      <c r="V20" s="104">
        <f t="shared" si="18"/>
        <v>0</v>
      </c>
      <c r="W20" s="104">
        <f t="shared" si="18"/>
        <v>0</v>
      </c>
      <c r="X20" s="104">
        <f t="shared" si="6"/>
        <v>0</v>
      </c>
      <c r="Y20" s="104">
        <f t="shared" si="18"/>
        <v>0</v>
      </c>
      <c r="Z20" s="104">
        <f t="shared" si="18"/>
        <v>0</v>
      </c>
      <c r="AA20" s="104">
        <f t="shared" si="18"/>
        <v>0</v>
      </c>
      <c r="AB20" s="104">
        <f t="shared" si="18"/>
        <v>0</v>
      </c>
      <c r="AC20" s="104">
        <f t="shared" si="18"/>
        <v>0</v>
      </c>
      <c r="AD20" s="104">
        <f t="shared" si="18"/>
        <v>0</v>
      </c>
      <c r="AE20" s="104">
        <f t="shared" si="18"/>
        <v>0</v>
      </c>
      <c r="AF20" s="104">
        <f t="shared" si="8"/>
        <v>0</v>
      </c>
    </row>
    <row r="21" spans="1:32" ht="11.25" customHeight="1" x14ac:dyDescent="0.2">
      <c r="A21" s="29"/>
      <c r="B21" s="35"/>
      <c r="C21" s="36"/>
      <c r="D21" s="46" t="s">
        <v>18</v>
      </c>
      <c r="E21" s="43" t="s">
        <v>87</v>
      </c>
      <c r="F21" s="49"/>
      <c r="G21" s="351" t="s">
        <v>244</v>
      </c>
      <c r="H21" s="108"/>
      <c r="I21" s="106"/>
      <c r="J21" s="106"/>
      <c r="K21" s="106"/>
      <c r="L21" s="106"/>
      <c r="M21" s="106"/>
      <c r="N21" s="106"/>
      <c r="O21" s="106"/>
      <c r="P21" s="104">
        <f t="shared" si="4"/>
        <v>0</v>
      </c>
      <c r="Q21" s="106"/>
      <c r="R21" s="106"/>
      <c r="S21" s="106"/>
      <c r="T21" s="106"/>
      <c r="U21" s="106"/>
      <c r="V21" s="106"/>
      <c r="W21" s="106"/>
      <c r="X21" s="104">
        <f t="shared" si="6"/>
        <v>0</v>
      </c>
      <c r="Y21" s="106"/>
      <c r="Z21" s="106"/>
      <c r="AA21" s="106"/>
      <c r="AB21" s="106"/>
      <c r="AC21" s="106"/>
      <c r="AD21" s="107"/>
      <c r="AE21" s="107"/>
      <c r="AF21" s="104">
        <f t="shared" si="8"/>
        <v>0</v>
      </c>
    </row>
    <row r="22" spans="1:32" ht="11.25" customHeight="1" x14ac:dyDescent="0.2">
      <c r="A22" s="34"/>
      <c r="B22" s="18"/>
      <c r="C22" s="14"/>
      <c r="D22" s="44" t="s">
        <v>21</v>
      </c>
      <c r="E22" s="14" t="s">
        <v>89</v>
      </c>
      <c r="F22" s="49"/>
      <c r="G22" s="351" t="s">
        <v>245</v>
      </c>
      <c r="H22" s="108"/>
      <c r="I22" s="109"/>
      <c r="J22" s="109"/>
      <c r="K22" s="109"/>
      <c r="L22" s="109"/>
      <c r="M22" s="109"/>
      <c r="N22" s="106"/>
      <c r="O22" s="106"/>
      <c r="P22" s="104">
        <f t="shared" si="4"/>
        <v>0</v>
      </c>
      <c r="Q22" s="109"/>
      <c r="R22" s="109"/>
      <c r="S22" s="109"/>
      <c r="T22" s="109"/>
      <c r="U22" s="109"/>
      <c r="V22" s="106"/>
      <c r="W22" s="106"/>
      <c r="X22" s="104">
        <f t="shared" si="6"/>
        <v>0</v>
      </c>
      <c r="Y22" s="109"/>
      <c r="Z22" s="109"/>
      <c r="AA22" s="109"/>
      <c r="AB22" s="109"/>
      <c r="AC22" s="109"/>
      <c r="AD22" s="107"/>
      <c r="AE22" s="107"/>
      <c r="AF22" s="104">
        <f t="shared" si="8"/>
        <v>0</v>
      </c>
    </row>
    <row r="23" spans="1:32" ht="11.25" customHeight="1" x14ac:dyDescent="0.2">
      <c r="A23" s="29"/>
      <c r="B23" s="35"/>
      <c r="C23" s="45" t="s">
        <v>91</v>
      </c>
      <c r="D23" s="412" t="s">
        <v>92</v>
      </c>
      <c r="E23" s="413"/>
      <c r="F23" s="414"/>
      <c r="G23" s="351" t="s">
        <v>246</v>
      </c>
      <c r="H23" s="108"/>
      <c r="I23" s="104">
        <f>I24+I25</f>
        <v>0</v>
      </c>
      <c r="J23" s="104">
        <f t="shared" ref="J23:AE23" si="19">J24+J25</f>
        <v>0</v>
      </c>
      <c r="K23" s="104">
        <f t="shared" si="19"/>
        <v>0</v>
      </c>
      <c r="L23" s="104">
        <f t="shared" si="19"/>
        <v>0</v>
      </c>
      <c r="M23" s="104">
        <f t="shared" si="19"/>
        <v>0</v>
      </c>
      <c r="N23" s="104">
        <f t="shared" si="19"/>
        <v>0</v>
      </c>
      <c r="O23" s="104">
        <f t="shared" si="19"/>
        <v>0</v>
      </c>
      <c r="P23" s="104">
        <f t="shared" si="4"/>
        <v>0</v>
      </c>
      <c r="Q23" s="104">
        <f t="shared" si="19"/>
        <v>0</v>
      </c>
      <c r="R23" s="104">
        <f t="shared" si="19"/>
        <v>0</v>
      </c>
      <c r="S23" s="104">
        <f t="shared" si="19"/>
        <v>0</v>
      </c>
      <c r="T23" s="104">
        <f t="shared" si="19"/>
        <v>0</v>
      </c>
      <c r="U23" s="104">
        <f t="shared" si="19"/>
        <v>0</v>
      </c>
      <c r="V23" s="104">
        <f t="shared" si="19"/>
        <v>0</v>
      </c>
      <c r="W23" s="104">
        <f t="shared" si="19"/>
        <v>0</v>
      </c>
      <c r="X23" s="104">
        <f t="shared" si="6"/>
        <v>0</v>
      </c>
      <c r="Y23" s="104">
        <f t="shared" si="19"/>
        <v>0</v>
      </c>
      <c r="Z23" s="104">
        <f t="shared" si="19"/>
        <v>0</v>
      </c>
      <c r="AA23" s="104">
        <f t="shared" si="19"/>
        <v>0</v>
      </c>
      <c r="AB23" s="104">
        <f t="shared" si="19"/>
        <v>0</v>
      </c>
      <c r="AC23" s="104">
        <f t="shared" si="19"/>
        <v>0</v>
      </c>
      <c r="AD23" s="104">
        <f t="shared" si="19"/>
        <v>0</v>
      </c>
      <c r="AE23" s="104">
        <f t="shared" si="19"/>
        <v>0</v>
      </c>
      <c r="AF23" s="104">
        <f t="shared" si="8"/>
        <v>0</v>
      </c>
    </row>
    <row r="24" spans="1:32" ht="11.25" customHeight="1" x14ac:dyDescent="0.2">
      <c r="A24" s="34"/>
      <c r="B24" s="18"/>
      <c r="C24" s="14"/>
      <c r="D24" s="44" t="s">
        <v>18</v>
      </c>
      <c r="E24" s="14" t="s">
        <v>87</v>
      </c>
      <c r="F24" s="49"/>
      <c r="G24" s="351" t="s">
        <v>247</v>
      </c>
      <c r="H24" s="108"/>
      <c r="I24" s="106"/>
      <c r="J24" s="106"/>
      <c r="K24" s="106"/>
      <c r="L24" s="106"/>
      <c r="M24" s="106"/>
      <c r="N24" s="106"/>
      <c r="O24" s="106"/>
      <c r="P24" s="104">
        <f t="shared" si="4"/>
        <v>0</v>
      </c>
      <c r="Q24" s="106"/>
      <c r="R24" s="106"/>
      <c r="S24" s="106"/>
      <c r="T24" s="106"/>
      <c r="U24" s="106"/>
      <c r="V24" s="106"/>
      <c r="W24" s="106"/>
      <c r="X24" s="104">
        <f t="shared" si="6"/>
        <v>0</v>
      </c>
      <c r="Y24" s="106"/>
      <c r="Z24" s="106"/>
      <c r="AA24" s="106"/>
      <c r="AB24" s="106"/>
      <c r="AC24" s="106"/>
      <c r="AD24" s="107"/>
      <c r="AE24" s="107"/>
      <c r="AF24" s="104">
        <f t="shared" si="8"/>
        <v>0</v>
      </c>
    </row>
    <row r="25" spans="1:32" ht="11.25" customHeight="1" x14ac:dyDescent="0.2">
      <c r="A25" s="29"/>
      <c r="B25" s="35"/>
      <c r="C25" s="36"/>
      <c r="D25" s="46" t="s">
        <v>21</v>
      </c>
      <c r="E25" s="43" t="s">
        <v>89</v>
      </c>
      <c r="F25" s="49"/>
      <c r="G25" s="351" t="s">
        <v>248</v>
      </c>
      <c r="H25" s="108"/>
      <c r="I25" s="109"/>
      <c r="J25" s="109"/>
      <c r="K25" s="109"/>
      <c r="L25" s="109"/>
      <c r="M25" s="109"/>
      <c r="N25" s="106"/>
      <c r="O25" s="106"/>
      <c r="P25" s="104">
        <f t="shared" si="4"/>
        <v>0</v>
      </c>
      <c r="Q25" s="109"/>
      <c r="R25" s="109"/>
      <c r="S25" s="109"/>
      <c r="T25" s="109"/>
      <c r="U25" s="109"/>
      <c r="V25" s="106"/>
      <c r="W25" s="106"/>
      <c r="X25" s="104">
        <f t="shared" si="6"/>
        <v>0</v>
      </c>
      <c r="Y25" s="109"/>
      <c r="Z25" s="109"/>
      <c r="AA25" s="109"/>
      <c r="AB25" s="109"/>
      <c r="AC25" s="109"/>
      <c r="AD25" s="107"/>
      <c r="AE25" s="107"/>
      <c r="AF25" s="104">
        <f t="shared" si="8"/>
        <v>0</v>
      </c>
    </row>
    <row r="26" spans="1:32" ht="11.25" customHeight="1" x14ac:dyDescent="0.2">
      <c r="A26" s="34"/>
      <c r="B26" s="51" t="s">
        <v>95</v>
      </c>
      <c r="C26" s="52" t="s">
        <v>96</v>
      </c>
      <c r="D26" s="53"/>
      <c r="E26" s="14"/>
      <c r="F26" s="49"/>
      <c r="G26" s="351" t="s">
        <v>249</v>
      </c>
      <c r="H26" s="108"/>
      <c r="I26" s="110"/>
      <c r="J26" s="104">
        <f t="shared" ref="J26:O26" si="20">J27+J37+J40+J41+J48</f>
        <v>0</v>
      </c>
      <c r="K26" s="104">
        <f t="shared" si="20"/>
        <v>0</v>
      </c>
      <c r="L26" s="104">
        <f t="shared" si="20"/>
        <v>0</v>
      </c>
      <c r="M26" s="104">
        <f t="shared" si="20"/>
        <v>0</v>
      </c>
      <c r="N26" s="104">
        <f t="shared" si="20"/>
        <v>0</v>
      </c>
      <c r="O26" s="104">
        <f t="shared" si="20"/>
        <v>0</v>
      </c>
      <c r="P26" s="104">
        <f t="shared" si="4"/>
        <v>0</v>
      </c>
      <c r="Q26" s="104">
        <f>Q27+Q37+Q40+Q41+Q48</f>
        <v>0</v>
      </c>
      <c r="R26" s="110"/>
      <c r="S26" s="110"/>
      <c r="T26" s="104">
        <f>T27+T37+T40+T41+T48</f>
        <v>0</v>
      </c>
      <c r="U26" s="104">
        <f>U27+U37+U40+U41+U48</f>
        <v>0</v>
      </c>
      <c r="V26" s="104">
        <f>V27+V37+V40+V41+V48</f>
        <v>0</v>
      </c>
      <c r="W26" s="104">
        <f>W27+W37+W40+W41+W48</f>
        <v>0</v>
      </c>
      <c r="X26" s="104">
        <f t="shared" si="6"/>
        <v>0</v>
      </c>
      <c r="Y26" s="104">
        <f>Y27+Y37+Y40+Y41+Y48</f>
        <v>0</v>
      </c>
      <c r="Z26" s="104">
        <f t="shared" ref="Z26:AE26" si="21">Z27+Z37+Z40+Z41+Z48</f>
        <v>0</v>
      </c>
      <c r="AA26" s="104">
        <f t="shared" si="21"/>
        <v>0</v>
      </c>
      <c r="AB26" s="110"/>
      <c r="AC26" s="110"/>
      <c r="AD26" s="104">
        <f t="shared" si="21"/>
        <v>0</v>
      </c>
      <c r="AE26" s="104">
        <f t="shared" si="21"/>
        <v>0</v>
      </c>
      <c r="AF26" s="104">
        <f t="shared" si="8"/>
        <v>0</v>
      </c>
    </row>
    <row r="27" spans="1:32" ht="11.25" customHeight="1" x14ac:dyDescent="0.2">
      <c r="A27" s="29"/>
      <c r="B27" s="35"/>
      <c r="C27" s="36" t="s">
        <v>62</v>
      </c>
      <c r="D27" s="48" t="s">
        <v>98</v>
      </c>
      <c r="E27" s="43"/>
      <c r="F27" s="49"/>
      <c r="G27" s="351" t="s">
        <v>250</v>
      </c>
      <c r="H27" s="108"/>
      <c r="I27" s="110"/>
      <c r="J27" s="103">
        <f t="shared" ref="J27:O27" si="22">J28+J31+J34</f>
        <v>0</v>
      </c>
      <c r="K27" s="103">
        <f t="shared" si="22"/>
        <v>0</v>
      </c>
      <c r="L27" s="103">
        <f t="shared" si="22"/>
        <v>0</v>
      </c>
      <c r="M27" s="103">
        <f t="shared" si="22"/>
        <v>0</v>
      </c>
      <c r="N27" s="103">
        <f t="shared" si="22"/>
        <v>0</v>
      </c>
      <c r="O27" s="103">
        <f t="shared" si="22"/>
        <v>0</v>
      </c>
      <c r="P27" s="104">
        <f t="shared" si="4"/>
        <v>0</v>
      </c>
      <c r="Q27" s="103">
        <f>Q28+Q31+Q34</f>
        <v>0</v>
      </c>
      <c r="R27" s="110"/>
      <c r="S27" s="110"/>
      <c r="T27" s="103">
        <f>T28+T31+T34</f>
        <v>0</v>
      </c>
      <c r="U27" s="103">
        <f>U28+U31+U34</f>
        <v>0</v>
      </c>
      <c r="V27" s="103">
        <f>V28+V31+V34</f>
        <v>0</v>
      </c>
      <c r="W27" s="103">
        <f>W28+W31+W34</f>
        <v>0</v>
      </c>
      <c r="X27" s="104">
        <f t="shared" si="6"/>
        <v>0</v>
      </c>
      <c r="Y27" s="103">
        <f>Y28+Y31+Y34</f>
        <v>0</v>
      </c>
      <c r="Z27" s="103">
        <f t="shared" ref="Z27:AE27" si="23">Z28+Z31+Z34</f>
        <v>0</v>
      </c>
      <c r="AA27" s="103">
        <f t="shared" si="23"/>
        <v>0</v>
      </c>
      <c r="AB27" s="110"/>
      <c r="AC27" s="110"/>
      <c r="AD27" s="104">
        <f t="shared" si="23"/>
        <v>0</v>
      </c>
      <c r="AE27" s="104">
        <f t="shared" si="23"/>
        <v>0</v>
      </c>
      <c r="AF27" s="104">
        <f t="shared" si="8"/>
        <v>0</v>
      </c>
    </row>
    <row r="28" spans="1:32" ht="11.25" customHeight="1" x14ac:dyDescent="0.2">
      <c r="A28" s="34"/>
      <c r="B28" s="18"/>
      <c r="C28" s="14"/>
      <c r="D28" s="53">
        <v>-1</v>
      </c>
      <c r="E28" s="14" t="s">
        <v>251</v>
      </c>
      <c r="F28" s="49"/>
      <c r="G28" s="351" t="s">
        <v>252</v>
      </c>
      <c r="H28" s="108"/>
      <c r="I28" s="110"/>
      <c r="J28" s="103">
        <f t="shared" ref="J28:O28" si="24">J29+J30</f>
        <v>0</v>
      </c>
      <c r="K28" s="103">
        <f t="shared" si="24"/>
        <v>0</v>
      </c>
      <c r="L28" s="103">
        <f t="shared" si="24"/>
        <v>0</v>
      </c>
      <c r="M28" s="103">
        <f t="shared" si="24"/>
        <v>0</v>
      </c>
      <c r="N28" s="103">
        <f t="shared" si="24"/>
        <v>0</v>
      </c>
      <c r="O28" s="103">
        <f t="shared" si="24"/>
        <v>0</v>
      </c>
      <c r="P28" s="104">
        <f t="shared" si="4"/>
        <v>0</v>
      </c>
      <c r="Q28" s="103">
        <f>Q29+Q30</f>
        <v>0</v>
      </c>
      <c r="R28" s="110"/>
      <c r="S28" s="110"/>
      <c r="T28" s="103">
        <f>T29+T30</f>
        <v>0</v>
      </c>
      <c r="U28" s="103">
        <f>U29+U30</f>
        <v>0</v>
      </c>
      <c r="V28" s="103">
        <f>V29+V30</f>
        <v>0</v>
      </c>
      <c r="W28" s="103">
        <f>W29+W30</f>
        <v>0</v>
      </c>
      <c r="X28" s="104">
        <f t="shared" si="6"/>
        <v>0</v>
      </c>
      <c r="Y28" s="103">
        <f>Y29+Y30</f>
        <v>0</v>
      </c>
      <c r="Z28" s="103">
        <f t="shared" ref="Z28:AE28" si="25">Z29+Z30</f>
        <v>0</v>
      </c>
      <c r="AA28" s="103">
        <f t="shared" si="25"/>
        <v>0</v>
      </c>
      <c r="AB28" s="110"/>
      <c r="AC28" s="110"/>
      <c r="AD28" s="104">
        <f t="shared" si="25"/>
        <v>0</v>
      </c>
      <c r="AE28" s="104">
        <f t="shared" si="25"/>
        <v>0</v>
      </c>
      <c r="AF28" s="104">
        <f t="shared" si="8"/>
        <v>0</v>
      </c>
    </row>
    <row r="29" spans="1:32" ht="11.25" customHeight="1" x14ac:dyDescent="0.2">
      <c r="A29" s="55"/>
      <c r="B29" s="56"/>
      <c r="C29" s="57"/>
      <c r="D29" s="58" t="s">
        <v>102</v>
      </c>
      <c r="E29" s="59" t="s">
        <v>87</v>
      </c>
      <c r="F29" s="60"/>
      <c r="G29" s="351" t="s">
        <v>253</v>
      </c>
      <c r="H29" s="108"/>
      <c r="I29" s="109"/>
      <c r="J29" s="106"/>
      <c r="K29" s="106"/>
      <c r="L29" s="106"/>
      <c r="M29" s="106"/>
      <c r="N29" s="106"/>
      <c r="O29" s="106"/>
      <c r="P29" s="104">
        <f t="shared" si="4"/>
        <v>0</v>
      </c>
      <c r="Q29" s="107"/>
      <c r="R29" s="109"/>
      <c r="S29" s="109"/>
      <c r="T29" s="106"/>
      <c r="U29" s="106"/>
      <c r="V29" s="106"/>
      <c r="W29" s="106"/>
      <c r="X29" s="104">
        <f t="shared" si="6"/>
        <v>0</v>
      </c>
      <c r="Y29" s="107"/>
      <c r="Z29" s="106"/>
      <c r="AA29" s="106"/>
      <c r="AB29" s="109"/>
      <c r="AC29" s="109"/>
      <c r="AD29" s="107"/>
      <c r="AE29" s="107"/>
      <c r="AF29" s="104">
        <f t="shared" si="8"/>
        <v>0</v>
      </c>
    </row>
    <row r="30" spans="1:32" ht="11.25" customHeight="1" x14ac:dyDescent="0.2">
      <c r="A30" s="61"/>
      <c r="B30" s="62"/>
      <c r="D30" s="64" t="s">
        <v>104</v>
      </c>
      <c r="E30" s="63" t="s">
        <v>89</v>
      </c>
      <c r="F30" s="60"/>
      <c r="G30" s="351" t="s">
        <v>254</v>
      </c>
      <c r="H30" s="108"/>
      <c r="I30" s="109"/>
      <c r="J30" s="106"/>
      <c r="K30" s="106"/>
      <c r="L30" s="106"/>
      <c r="M30" s="106"/>
      <c r="N30" s="106"/>
      <c r="O30" s="106"/>
      <c r="P30" s="104">
        <f t="shared" si="4"/>
        <v>0</v>
      </c>
      <c r="Q30" s="107"/>
      <c r="R30" s="109"/>
      <c r="S30" s="109"/>
      <c r="T30" s="106"/>
      <c r="U30" s="106"/>
      <c r="V30" s="106"/>
      <c r="W30" s="106"/>
      <c r="X30" s="104">
        <f t="shared" si="6"/>
        <v>0</v>
      </c>
      <c r="Y30" s="107"/>
      <c r="Z30" s="106"/>
      <c r="AA30" s="106"/>
      <c r="AB30" s="109"/>
      <c r="AC30" s="109"/>
      <c r="AD30" s="107"/>
      <c r="AE30" s="107"/>
      <c r="AF30" s="104">
        <f t="shared" si="8"/>
        <v>0</v>
      </c>
    </row>
    <row r="31" spans="1:32" ht="11.25" customHeight="1" x14ac:dyDescent="0.2">
      <c r="A31" s="55"/>
      <c r="B31" s="56"/>
      <c r="C31" s="57"/>
      <c r="D31" s="65">
        <v>-2</v>
      </c>
      <c r="E31" s="59" t="s">
        <v>106</v>
      </c>
      <c r="F31" s="60"/>
      <c r="G31" s="351" t="s">
        <v>255</v>
      </c>
      <c r="H31" s="108"/>
      <c r="I31" s="110"/>
      <c r="J31" s="104">
        <f t="shared" ref="J31:O31" si="26">J32+J33</f>
        <v>0</v>
      </c>
      <c r="K31" s="104">
        <f t="shared" si="26"/>
        <v>0</v>
      </c>
      <c r="L31" s="104">
        <f t="shared" si="26"/>
        <v>0</v>
      </c>
      <c r="M31" s="104">
        <f t="shared" si="26"/>
        <v>0</v>
      </c>
      <c r="N31" s="104">
        <f t="shared" si="26"/>
        <v>0</v>
      </c>
      <c r="O31" s="104">
        <f t="shared" si="26"/>
        <v>0</v>
      </c>
      <c r="P31" s="104">
        <f t="shared" si="4"/>
        <v>0</v>
      </c>
      <c r="Q31" s="104">
        <f t="shared" ref="Q31:W31" si="27">Q32+Q33</f>
        <v>0</v>
      </c>
      <c r="R31" s="110"/>
      <c r="S31" s="110"/>
      <c r="T31" s="104">
        <f t="shared" si="27"/>
        <v>0</v>
      </c>
      <c r="U31" s="104">
        <f t="shared" si="27"/>
        <v>0</v>
      </c>
      <c r="V31" s="104">
        <f t="shared" si="27"/>
        <v>0</v>
      </c>
      <c r="W31" s="104">
        <f t="shared" si="27"/>
        <v>0</v>
      </c>
      <c r="X31" s="104">
        <f t="shared" si="6"/>
        <v>0</v>
      </c>
      <c r="Y31" s="104">
        <f t="shared" ref="Y31:AE31" si="28">Y32+Y33</f>
        <v>0</v>
      </c>
      <c r="Z31" s="104">
        <f t="shared" si="28"/>
        <v>0</v>
      </c>
      <c r="AA31" s="104">
        <f t="shared" si="28"/>
        <v>0</v>
      </c>
      <c r="AB31" s="110"/>
      <c r="AC31" s="110"/>
      <c r="AD31" s="104">
        <f t="shared" si="28"/>
        <v>0</v>
      </c>
      <c r="AE31" s="104">
        <f t="shared" si="28"/>
        <v>0</v>
      </c>
      <c r="AF31" s="104">
        <f t="shared" si="8"/>
        <v>0</v>
      </c>
    </row>
    <row r="32" spans="1:32" ht="11.25" customHeight="1" x14ac:dyDescent="0.2">
      <c r="A32" s="61"/>
      <c r="B32" s="62"/>
      <c r="D32" s="64" t="s">
        <v>108</v>
      </c>
      <c r="E32" s="63" t="s">
        <v>87</v>
      </c>
      <c r="F32" s="60"/>
      <c r="G32" s="351" t="s">
        <v>256</v>
      </c>
      <c r="H32" s="108"/>
      <c r="I32" s="109"/>
      <c r="J32" s="106"/>
      <c r="K32" s="106"/>
      <c r="L32" s="106"/>
      <c r="M32" s="106"/>
      <c r="N32" s="106"/>
      <c r="O32" s="106"/>
      <c r="P32" s="104">
        <f t="shared" si="4"/>
        <v>0</v>
      </c>
      <c r="Q32" s="107"/>
      <c r="R32" s="109"/>
      <c r="S32" s="109"/>
      <c r="T32" s="106"/>
      <c r="U32" s="106"/>
      <c r="V32" s="106"/>
      <c r="W32" s="106"/>
      <c r="X32" s="104">
        <f t="shared" si="6"/>
        <v>0</v>
      </c>
      <c r="Y32" s="107"/>
      <c r="Z32" s="106"/>
      <c r="AA32" s="106"/>
      <c r="AB32" s="109"/>
      <c r="AC32" s="109"/>
      <c r="AD32" s="107"/>
      <c r="AE32" s="107"/>
      <c r="AF32" s="104">
        <f t="shared" si="8"/>
        <v>0</v>
      </c>
    </row>
    <row r="33" spans="1:32" ht="11.25" customHeight="1" x14ac:dyDescent="0.2">
      <c r="A33" s="55"/>
      <c r="B33" s="56"/>
      <c r="C33" s="57"/>
      <c r="D33" s="58" t="s">
        <v>110</v>
      </c>
      <c r="E33" s="59" t="s">
        <v>89</v>
      </c>
      <c r="F33" s="60"/>
      <c r="G33" s="351" t="s">
        <v>257</v>
      </c>
      <c r="H33" s="108"/>
      <c r="I33" s="109"/>
      <c r="J33" s="106"/>
      <c r="K33" s="106"/>
      <c r="L33" s="106"/>
      <c r="M33" s="106"/>
      <c r="N33" s="106"/>
      <c r="O33" s="106"/>
      <c r="P33" s="104">
        <f t="shared" si="4"/>
        <v>0</v>
      </c>
      <c r="Q33" s="107"/>
      <c r="R33" s="109"/>
      <c r="S33" s="109"/>
      <c r="T33" s="106"/>
      <c r="U33" s="106"/>
      <c r="V33" s="106"/>
      <c r="W33" s="106"/>
      <c r="X33" s="104">
        <f t="shared" si="6"/>
        <v>0</v>
      </c>
      <c r="Y33" s="107"/>
      <c r="Z33" s="106"/>
      <c r="AA33" s="106"/>
      <c r="AB33" s="109"/>
      <c r="AC33" s="109"/>
      <c r="AD33" s="107"/>
      <c r="AE33" s="107"/>
      <c r="AF33" s="104">
        <f t="shared" si="8"/>
        <v>0</v>
      </c>
    </row>
    <row r="34" spans="1:32" ht="11.25" customHeight="1" x14ac:dyDescent="0.2">
      <c r="A34" s="61"/>
      <c r="B34" s="62"/>
      <c r="D34" s="66">
        <v>-3</v>
      </c>
      <c r="E34" s="63" t="s">
        <v>112</v>
      </c>
      <c r="F34" s="60"/>
      <c r="G34" s="351" t="s">
        <v>258</v>
      </c>
      <c r="H34" s="108"/>
      <c r="I34" s="110"/>
      <c r="J34" s="104">
        <f t="shared" ref="J34:O34" si="29">J35+J36</f>
        <v>0</v>
      </c>
      <c r="K34" s="104">
        <f t="shared" si="29"/>
        <v>0</v>
      </c>
      <c r="L34" s="104">
        <f t="shared" si="29"/>
        <v>0</v>
      </c>
      <c r="M34" s="104">
        <f t="shared" si="29"/>
        <v>0</v>
      </c>
      <c r="N34" s="104">
        <f t="shared" si="29"/>
        <v>0</v>
      </c>
      <c r="O34" s="104">
        <f t="shared" si="29"/>
        <v>0</v>
      </c>
      <c r="P34" s="104">
        <f t="shared" si="4"/>
        <v>0</v>
      </c>
      <c r="Q34" s="104">
        <f t="shared" ref="Q34:W34" si="30">Q35+Q36</f>
        <v>0</v>
      </c>
      <c r="R34" s="110"/>
      <c r="S34" s="110"/>
      <c r="T34" s="104">
        <f t="shared" si="30"/>
        <v>0</v>
      </c>
      <c r="U34" s="104">
        <f t="shared" si="30"/>
        <v>0</v>
      </c>
      <c r="V34" s="104">
        <f t="shared" si="30"/>
        <v>0</v>
      </c>
      <c r="W34" s="104">
        <f t="shared" si="30"/>
        <v>0</v>
      </c>
      <c r="X34" s="104">
        <f t="shared" si="6"/>
        <v>0</v>
      </c>
      <c r="Y34" s="104">
        <f t="shared" ref="Y34:AE34" si="31">Y35+Y36</f>
        <v>0</v>
      </c>
      <c r="Z34" s="104">
        <f t="shared" si="31"/>
        <v>0</v>
      </c>
      <c r="AA34" s="104">
        <f t="shared" si="31"/>
        <v>0</v>
      </c>
      <c r="AB34" s="110"/>
      <c r="AC34" s="110"/>
      <c r="AD34" s="104">
        <f t="shared" si="31"/>
        <v>0</v>
      </c>
      <c r="AE34" s="104">
        <f t="shared" si="31"/>
        <v>0</v>
      </c>
      <c r="AF34" s="104">
        <f t="shared" si="8"/>
        <v>0</v>
      </c>
    </row>
    <row r="35" spans="1:32" ht="11.25" customHeight="1" x14ac:dyDescent="0.2">
      <c r="A35" s="55"/>
      <c r="B35" s="56"/>
      <c r="C35" s="57"/>
      <c r="D35" s="58" t="s">
        <v>114</v>
      </c>
      <c r="E35" s="59" t="s">
        <v>87</v>
      </c>
      <c r="F35" s="60"/>
      <c r="G35" s="351" t="s">
        <v>259</v>
      </c>
      <c r="H35" s="108"/>
      <c r="I35" s="109"/>
      <c r="J35" s="106"/>
      <c r="K35" s="106"/>
      <c r="L35" s="106"/>
      <c r="M35" s="106"/>
      <c r="N35" s="106"/>
      <c r="O35" s="106"/>
      <c r="P35" s="104">
        <f t="shared" si="4"/>
        <v>0</v>
      </c>
      <c r="Q35" s="107"/>
      <c r="R35" s="109"/>
      <c r="S35" s="109"/>
      <c r="T35" s="106"/>
      <c r="U35" s="106"/>
      <c r="V35" s="106"/>
      <c r="W35" s="106"/>
      <c r="X35" s="104">
        <f t="shared" si="6"/>
        <v>0</v>
      </c>
      <c r="Y35" s="107"/>
      <c r="Z35" s="106"/>
      <c r="AA35" s="106"/>
      <c r="AB35" s="109"/>
      <c r="AC35" s="109"/>
      <c r="AD35" s="107"/>
      <c r="AE35" s="107"/>
      <c r="AF35" s="104">
        <f t="shared" si="8"/>
        <v>0</v>
      </c>
    </row>
    <row r="36" spans="1:32" ht="11.25" customHeight="1" x14ac:dyDescent="0.2">
      <c r="A36" s="61"/>
      <c r="B36" s="62"/>
      <c r="D36" s="64" t="s">
        <v>116</v>
      </c>
      <c r="E36" s="63" t="s">
        <v>89</v>
      </c>
      <c r="F36" s="60"/>
      <c r="G36" s="351" t="s">
        <v>260</v>
      </c>
      <c r="H36" s="108"/>
      <c r="I36" s="109"/>
      <c r="J36" s="106"/>
      <c r="K36" s="106"/>
      <c r="L36" s="106"/>
      <c r="M36" s="106"/>
      <c r="N36" s="106"/>
      <c r="O36" s="106"/>
      <c r="P36" s="104">
        <f t="shared" si="4"/>
        <v>0</v>
      </c>
      <c r="Q36" s="107"/>
      <c r="R36" s="109"/>
      <c r="S36" s="109"/>
      <c r="T36" s="106"/>
      <c r="U36" s="106"/>
      <c r="V36" s="106"/>
      <c r="W36" s="106"/>
      <c r="X36" s="104">
        <f t="shared" si="6"/>
        <v>0</v>
      </c>
      <c r="Y36" s="107"/>
      <c r="Z36" s="106"/>
      <c r="AA36" s="106"/>
      <c r="AB36" s="109"/>
      <c r="AC36" s="109"/>
      <c r="AD36" s="107"/>
      <c r="AE36" s="107"/>
      <c r="AF36" s="104">
        <f t="shared" si="8"/>
        <v>0</v>
      </c>
    </row>
    <row r="37" spans="1:32" ht="11.25" customHeight="1" x14ac:dyDescent="0.2">
      <c r="A37" s="55"/>
      <c r="B37" s="56"/>
      <c r="C37" s="57" t="s">
        <v>68</v>
      </c>
      <c r="D37" s="68" t="s">
        <v>118</v>
      </c>
      <c r="E37" s="59"/>
      <c r="F37" s="60"/>
      <c r="G37" s="351" t="s">
        <v>261</v>
      </c>
      <c r="H37" s="108"/>
      <c r="I37" s="110"/>
      <c r="J37" s="103">
        <f t="shared" ref="J37:O37" si="32">J38+J39</f>
        <v>0</v>
      </c>
      <c r="K37" s="103">
        <f t="shared" si="32"/>
        <v>0</v>
      </c>
      <c r="L37" s="103">
        <f t="shared" si="32"/>
        <v>0</v>
      </c>
      <c r="M37" s="103">
        <f t="shared" si="32"/>
        <v>0</v>
      </c>
      <c r="N37" s="103">
        <f t="shared" si="32"/>
        <v>0</v>
      </c>
      <c r="O37" s="103">
        <f t="shared" si="32"/>
        <v>0</v>
      </c>
      <c r="P37" s="104">
        <f t="shared" si="4"/>
        <v>0</v>
      </c>
      <c r="Q37" s="103">
        <f t="shared" ref="Q37:W37" si="33">Q38+Q39</f>
        <v>0</v>
      </c>
      <c r="R37" s="110"/>
      <c r="S37" s="110"/>
      <c r="T37" s="103">
        <f t="shared" si="33"/>
        <v>0</v>
      </c>
      <c r="U37" s="103">
        <f t="shared" si="33"/>
        <v>0</v>
      </c>
      <c r="V37" s="103">
        <f t="shared" si="33"/>
        <v>0</v>
      </c>
      <c r="W37" s="103">
        <f t="shared" si="33"/>
        <v>0</v>
      </c>
      <c r="X37" s="104">
        <f t="shared" si="6"/>
        <v>0</v>
      </c>
      <c r="Y37" s="103">
        <f t="shared" ref="Y37:AE37" si="34">Y38+Y39</f>
        <v>0</v>
      </c>
      <c r="Z37" s="103">
        <f t="shared" si="34"/>
        <v>0</v>
      </c>
      <c r="AA37" s="103">
        <f t="shared" si="34"/>
        <v>0</v>
      </c>
      <c r="AB37" s="110"/>
      <c r="AC37" s="110"/>
      <c r="AD37" s="104">
        <f t="shared" si="34"/>
        <v>0</v>
      </c>
      <c r="AE37" s="104">
        <f t="shared" si="34"/>
        <v>0</v>
      </c>
      <c r="AF37" s="104">
        <f t="shared" si="8"/>
        <v>0</v>
      </c>
    </row>
    <row r="38" spans="1:32" ht="11.25" customHeight="1" x14ac:dyDescent="0.2">
      <c r="A38" s="61"/>
      <c r="B38" s="62"/>
      <c r="C38" s="69"/>
      <c r="D38" s="70" t="s">
        <v>18</v>
      </c>
      <c r="E38" s="63" t="s">
        <v>120</v>
      </c>
      <c r="F38" s="60"/>
      <c r="G38" s="351" t="s">
        <v>262</v>
      </c>
      <c r="H38" s="108"/>
      <c r="I38" s="109"/>
      <c r="J38" s="106"/>
      <c r="K38" s="106"/>
      <c r="L38" s="106"/>
      <c r="M38" s="106"/>
      <c r="N38" s="106"/>
      <c r="O38" s="106"/>
      <c r="P38" s="104">
        <f t="shared" si="4"/>
        <v>0</v>
      </c>
      <c r="Q38" s="107"/>
      <c r="R38" s="109"/>
      <c r="S38" s="109"/>
      <c r="T38" s="106"/>
      <c r="U38" s="106"/>
      <c r="V38" s="106"/>
      <c r="W38" s="106"/>
      <c r="X38" s="104">
        <f t="shared" si="6"/>
        <v>0</v>
      </c>
      <c r="Y38" s="107"/>
      <c r="Z38" s="106"/>
      <c r="AA38" s="106"/>
      <c r="AB38" s="109"/>
      <c r="AC38" s="109"/>
      <c r="AD38" s="107"/>
      <c r="AE38" s="107"/>
      <c r="AF38" s="104">
        <f t="shared" si="8"/>
        <v>0</v>
      </c>
    </row>
    <row r="39" spans="1:32" ht="11.25" customHeight="1" x14ac:dyDescent="0.2">
      <c r="A39" s="55"/>
      <c r="B39" s="56"/>
      <c r="C39" s="71"/>
      <c r="D39" s="72" t="s">
        <v>21</v>
      </c>
      <c r="E39" s="59" t="s">
        <v>122</v>
      </c>
      <c r="F39" s="60"/>
      <c r="G39" s="351" t="s">
        <v>263</v>
      </c>
      <c r="H39" s="108"/>
      <c r="I39" s="109"/>
      <c r="J39" s="106"/>
      <c r="K39" s="106"/>
      <c r="L39" s="106"/>
      <c r="M39" s="106"/>
      <c r="N39" s="106"/>
      <c r="O39" s="106"/>
      <c r="P39" s="104">
        <f t="shared" si="4"/>
        <v>0</v>
      </c>
      <c r="Q39" s="107"/>
      <c r="R39" s="109"/>
      <c r="S39" s="109"/>
      <c r="T39" s="106"/>
      <c r="U39" s="106"/>
      <c r="V39" s="106"/>
      <c r="W39" s="106"/>
      <c r="X39" s="104">
        <f t="shared" si="6"/>
        <v>0</v>
      </c>
      <c r="Y39" s="107"/>
      <c r="Z39" s="106"/>
      <c r="AA39" s="106"/>
      <c r="AB39" s="109"/>
      <c r="AC39" s="109"/>
      <c r="AD39" s="107"/>
      <c r="AE39" s="107"/>
      <c r="AF39" s="104">
        <f t="shared" si="8"/>
        <v>0</v>
      </c>
    </row>
    <row r="40" spans="1:32" ht="11.25" customHeight="1" x14ac:dyDescent="0.2">
      <c r="A40" s="61"/>
      <c r="B40" s="62"/>
      <c r="C40" s="63" t="s">
        <v>81</v>
      </c>
      <c r="D40" s="73" t="s">
        <v>124</v>
      </c>
      <c r="F40" s="60"/>
      <c r="G40" s="351" t="s">
        <v>264</v>
      </c>
      <c r="H40" s="108"/>
      <c r="I40" s="109"/>
      <c r="J40" s="106"/>
      <c r="K40" s="106"/>
      <c r="L40" s="106"/>
      <c r="M40" s="106"/>
      <c r="N40" s="106"/>
      <c r="O40" s="106"/>
      <c r="P40" s="104">
        <f t="shared" si="4"/>
        <v>0</v>
      </c>
      <c r="Q40" s="107"/>
      <c r="R40" s="109"/>
      <c r="S40" s="109"/>
      <c r="T40" s="106"/>
      <c r="U40" s="106"/>
      <c r="V40" s="106"/>
      <c r="W40" s="106"/>
      <c r="X40" s="104">
        <f t="shared" si="6"/>
        <v>0</v>
      </c>
      <c r="Y40" s="107"/>
      <c r="Z40" s="106"/>
      <c r="AA40" s="106"/>
      <c r="AB40" s="109"/>
      <c r="AC40" s="109"/>
      <c r="AD40" s="107"/>
      <c r="AE40" s="107"/>
      <c r="AF40" s="104">
        <f t="shared" si="8"/>
        <v>0</v>
      </c>
    </row>
    <row r="41" spans="1:32" ht="11.25" customHeight="1" x14ac:dyDescent="0.2">
      <c r="A41" s="55"/>
      <c r="B41" s="56"/>
      <c r="C41" s="71" t="s">
        <v>126</v>
      </c>
      <c r="D41" s="415" t="s">
        <v>127</v>
      </c>
      <c r="E41" s="416"/>
      <c r="F41" s="417"/>
      <c r="G41" s="351" t="s">
        <v>265</v>
      </c>
      <c r="H41" s="108"/>
      <c r="I41" s="110"/>
      <c r="J41" s="103">
        <f t="shared" ref="J41:O41" si="35">J42+J45</f>
        <v>0</v>
      </c>
      <c r="K41" s="103">
        <f t="shared" si="35"/>
        <v>0</v>
      </c>
      <c r="L41" s="103">
        <f t="shared" si="35"/>
        <v>0</v>
      </c>
      <c r="M41" s="103">
        <f t="shared" si="35"/>
        <v>0</v>
      </c>
      <c r="N41" s="103">
        <f t="shared" si="35"/>
        <v>0</v>
      </c>
      <c r="O41" s="103">
        <f t="shared" si="35"/>
        <v>0</v>
      </c>
      <c r="P41" s="104">
        <f t="shared" si="4"/>
        <v>0</v>
      </c>
      <c r="Q41" s="103">
        <f>Q42+Q45</f>
        <v>0</v>
      </c>
      <c r="R41" s="110"/>
      <c r="S41" s="110"/>
      <c r="T41" s="103">
        <f>T42+T45</f>
        <v>0</v>
      </c>
      <c r="U41" s="103">
        <f>U42+U45</f>
        <v>0</v>
      </c>
      <c r="V41" s="103">
        <f>V42+V45</f>
        <v>0</v>
      </c>
      <c r="W41" s="103">
        <f>W42+W45</f>
        <v>0</v>
      </c>
      <c r="X41" s="104">
        <f t="shared" si="6"/>
        <v>0</v>
      </c>
      <c r="Y41" s="103">
        <f>Y42+Y45</f>
        <v>0</v>
      </c>
      <c r="Z41" s="103">
        <f t="shared" ref="Z41:AE41" si="36">Z42+Z45</f>
        <v>0</v>
      </c>
      <c r="AA41" s="103">
        <f t="shared" si="36"/>
        <v>0</v>
      </c>
      <c r="AB41" s="110"/>
      <c r="AC41" s="110"/>
      <c r="AD41" s="104">
        <f t="shared" si="36"/>
        <v>0</v>
      </c>
      <c r="AE41" s="104">
        <f t="shared" si="36"/>
        <v>0</v>
      </c>
      <c r="AF41" s="104">
        <f t="shared" si="8"/>
        <v>0</v>
      </c>
    </row>
    <row r="42" spans="1:32" ht="11.25" customHeight="1" x14ac:dyDescent="0.2">
      <c r="A42" s="61"/>
      <c r="B42" s="62"/>
      <c r="D42" s="70" t="s">
        <v>18</v>
      </c>
      <c r="E42" s="63" t="s">
        <v>87</v>
      </c>
      <c r="F42" s="60"/>
      <c r="G42" s="351" t="s">
        <v>266</v>
      </c>
      <c r="H42" s="108"/>
      <c r="I42" s="110"/>
      <c r="J42" s="103">
        <f t="shared" ref="J42:O42" si="37">J43+J44</f>
        <v>0</v>
      </c>
      <c r="K42" s="103">
        <f t="shared" si="37"/>
        <v>0</v>
      </c>
      <c r="L42" s="103">
        <f t="shared" si="37"/>
        <v>0</v>
      </c>
      <c r="M42" s="103">
        <f t="shared" si="37"/>
        <v>0</v>
      </c>
      <c r="N42" s="103">
        <f t="shared" si="37"/>
        <v>0</v>
      </c>
      <c r="O42" s="103">
        <f t="shared" si="37"/>
        <v>0</v>
      </c>
      <c r="P42" s="104">
        <f t="shared" si="4"/>
        <v>0</v>
      </c>
      <c r="Q42" s="103">
        <f>Q43+Q44</f>
        <v>0</v>
      </c>
      <c r="R42" s="110"/>
      <c r="S42" s="110"/>
      <c r="T42" s="103">
        <f>T43+T44</f>
        <v>0</v>
      </c>
      <c r="U42" s="103">
        <f>U43+U44</f>
        <v>0</v>
      </c>
      <c r="V42" s="103">
        <f>V43+V44</f>
        <v>0</v>
      </c>
      <c r="W42" s="103">
        <f>W43+W44</f>
        <v>0</v>
      </c>
      <c r="X42" s="104">
        <f t="shared" si="6"/>
        <v>0</v>
      </c>
      <c r="Y42" s="103">
        <f>Y43+Y44</f>
        <v>0</v>
      </c>
      <c r="Z42" s="103">
        <f t="shared" ref="Z42:AE42" si="38">Z43+Z44</f>
        <v>0</v>
      </c>
      <c r="AA42" s="103">
        <f t="shared" si="38"/>
        <v>0</v>
      </c>
      <c r="AB42" s="110"/>
      <c r="AC42" s="110"/>
      <c r="AD42" s="104">
        <f t="shared" si="38"/>
        <v>0</v>
      </c>
      <c r="AE42" s="104">
        <f t="shared" si="38"/>
        <v>0</v>
      </c>
      <c r="AF42" s="104">
        <f t="shared" si="8"/>
        <v>0</v>
      </c>
    </row>
    <row r="43" spans="1:32" ht="11.25" customHeight="1" x14ac:dyDescent="0.2">
      <c r="A43" s="55"/>
      <c r="B43" s="56"/>
      <c r="C43" s="57"/>
      <c r="D43" s="58" t="s">
        <v>102</v>
      </c>
      <c r="E43" s="59" t="s">
        <v>130</v>
      </c>
      <c r="F43" s="60"/>
      <c r="G43" s="351" t="s">
        <v>267</v>
      </c>
      <c r="H43" s="108"/>
      <c r="I43" s="109"/>
      <c r="J43" s="106"/>
      <c r="K43" s="106"/>
      <c r="L43" s="106"/>
      <c r="M43" s="106"/>
      <c r="N43" s="106"/>
      <c r="O43" s="106"/>
      <c r="P43" s="104">
        <f t="shared" si="4"/>
        <v>0</v>
      </c>
      <c r="Q43" s="107"/>
      <c r="R43" s="109"/>
      <c r="S43" s="109"/>
      <c r="T43" s="106"/>
      <c r="U43" s="106"/>
      <c r="V43" s="106"/>
      <c r="W43" s="106"/>
      <c r="X43" s="104">
        <f t="shared" si="6"/>
        <v>0</v>
      </c>
      <c r="Y43" s="107"/>
      <c r="Z43" s="106"/>
      <c r="AA43" s="106"/>
      <c r="AB43" s="109"/>
      <c r="AC43" s="109"/>
      <c r="AD43" s="107"/>
      <c r="AE43" s="107"/>
      <c r="AF43" s="104">
        <f t="shared" si="8"/>
        <v>0</v>
      </c>
    </row>
    <row r="44" spans="1:32" ht="11.25" customHeight="1" x14ac:dyDescent="0.2">
      <c r="A44" s="61"/>
      <c r="B44" s="62"/>
      <c r="D44" s="64" t="s">
        <v>104</v>
      </c>
      <c r="E44" s="63" t="s">
        <v>132</v>
      </c>
      <c r="F44" s="60"/>
      <c r="G44" s="351" t="s">
        <v>268</v>
      </c>
      <c r="H44" s="108"/>
      <c r="I44" s="109"/>
      <c r="J44" s="106"/>
      <c r="K44" s="106"/>
      <c r="L44" s="106"/>
      <c r="M44" s="106"/>
      <c r="N44" s="106"/>
      <c r="O44" s="106"/>
      <c r="P44" s="104">
        <f t="shared" si="4"/>
        <v>0</v>
      </c>
      <c r="Q44" s="107"/>
      <c r="R44" s="109"/>
      <c r="S44" s="109"/>
      <c r="T44" s="106"/>
      <c r="U44" s="106"/>
      <c r="V44" s="106"/>
      <c r="W44" s="106"/>
      <c r="X44" s="104">
        <f t="shared" si="6"/>
        <v>0</v>
      </c>
      <c r="Y44" s="107"/>
      <c r="Z44" s="106"/>
      <c r="AA44" s="106"/>
      <c r="AB44" s="109"/>
      <c r="AC44" s="109"/>
      <c r="AD44" s="107"/>
      <c r="AE44" s="107"/>
      <c r="AF44" s="104">
        <f t="shared" si="8"/>
        <v>0</v>
      </c>
    </row>
    <row r="45" spans="1:32" ht="11.25" customHeight="1" x14ac:dyDescent="0.2">
      <c r="A45" s="55"/>
      <c r="B45" s="56"/>
      <c r="C45" s="57"/>
      <c r="D45" s="72" t="s">
        <v>21</v>
      </c>
      <c r="E45" s="59" t="s">
        <v>89</v>
      </c>
      <c r="F45" s="60"/>
      <c r="G45" s="351" t="s">
        <v>269</v>
      </c>
      <c r="H45" s="108"/>
      <c r="I45" s="110"/>
      <c r="J45" s="110"/>
      <c r="K45" s="110"/>
      <c r="L45" s="110"/>
      <c r="M45" s="110"/>
      <c r="N45" s="104">
        <f>N46+N47</f>
        <v>0</v>
      </c>
      <c r="O45" s="104">
        <f>O46+O47</f>
        <v>0</v>
      </c>
      <c r="P45" s="104">
        <f t="shared" si="4"/>
        <v>0</v>
      </c>
      <c r="Q45" s="110"/>
      <c r="R45" s="110"/>
      <c r="S45" s="110"/>
      <c r="T45" s="110"/>
      <c r="U45" s="110"/>
      <c r="V45" s="104">
        <f>V46+V47</f>
        <v>0</v>
      </c>
      <c r="W45" s="104">
        <f>W46+W47</f>
        <v>0</v>
      </c>
      <c r="X45" s="104">
        <f t="shared" si="6"/>
        <v>0</v>
      </c>
      <c r="Y45" s="110"/>
      <c r="Z45" s="110"/>
      <c r="AA45" s="110"/>
      <c r="AB45" s="110"/>
      <c r="AC45" s="110"/>
      <c r="AD45" s="104">
        <f>AD46+AD47</f>
        <v>0</v>
      </c>
      <c r="AE45" s="104">
        <f>AE46+AE47</f>
        <v>0</v>
      </c>
      <c r="AF45" s="104">
        <f t="shared" si="8"/>
        <v>0</v>
      </c>
    </row>
    <row r="46" spans="1:32" ht="11.25" customHeight="1" x14ac:dyDescent="0.2">
      <c r="A46" s="61"/>
      <c r="B46" s="62"/>
      <c r="D46" s="64" t="s">
        <v>108</v>
      </c>
      <c r="E46" s="63" t="s">
        <v>130</v>
      </c>
      <c r="F46" s="60"/>
      <c r="G46" s="351" t="s">
        <v>270</v>
      </c>
      <c r="H46" s="108"/>
      <c r="I46" s="109"/>
      <c r="J46" s="109"/>
      <c r="K46" s="109"/>
      <c r="L46" s="109"/>
      <c r="M46" s="109"/>
      <c r="N46" s="106"/>
      <c r="O46" s="106"/>
      <c r="P46" s="104">
        <f t="shared" si="4"/>
        <v>0</v>
      </c>
      <c r="Q46" s="109"/>
      <c r="R46" s="109"/>
      <c r="S46" s="109"/>
      <c r="T46" s="109"/>
      <c r="U46" s="109"/>
      <c r="V46" s="106"/>
      <c r="W46" s="106"/>
      <c r="X46" s="104">
        <f t="shared" si="6"/>
        <v>0</v>
      </c>
      <c r="Y46" s="109"/>
      <c r="Z46" s="109"/>
      <c r="AA46" s="109"/>
      <c r="AB46" s="109"/>
      <c r="AC46" s="109"/>
      <c r="AD46" s="107"/>
      <c r="AE46" s="107"/>
      <c r="AF46" s="104">
        <f t="shared" si="8"/>
        <v>0</v>
      </c>
    </row>
    <row r="47" spans="1:32" ht="11.25" customHeight="1" x14ac:dyDescent="0.2">
      <c r="A47" s="55"/>
      <c r="B47" s="56"/>
      <c r="C47" s="57"/>
      <c r="D47" s="58" t="s">
        <v>110</v>
      </c>
      <c r="E47" s="59" t="s">
        <v>132</v>
      </c>
      <c r="F47" s="60"/>
      <c r="G47" s="351" t="s">
        <v>271</v>
      </c>
      <c r="H47" s="108"/>
      <c r="I47" s="109"/>
      <c r="J47" s="109"/>
      <c r="K47" s="109"/>
      <c r="L47" s="109"/>
      <c r="M47" s="109"/>
      <c r="N47" s="106"/>
      <c r="O47" s="106"/>
      <c r="P47" s="104">
        <f t="shared" si="4"/>
        <v>0</v>
      </c>
      <c r="Q47" s="109"/>
      <c r="R47" s="109"/>
      <c r="S47" s="109"/>
      <c r="T47" s="109"/>
      <c r="U47" s="109"/>
      <c r="V47" s="106"/>
      <c r="W47" s="106"/>
      <c r="X47" s="104">
        <f t="shared" si="6"/>
        <v>0</v>
      </c>
      <c r="Y47" s="109"/>
      <c r="Z47" s="109"/>
      <c r="AA47" s="109"/>
      <c r="AB47" s="109"/>
      <c r="AC47" s="109"/>
      <c r="AD47" s="107"/>
      <c r="AE47" s="107"/>
      <c r="AF47" s="104">
        <f t="shared" si="8"/>
        <v>0</v>
      </c>
    </row>
    <row r="48" spans="1:32" ht="11.25" customHeight="1" x14ac:dyDescent="0.2">
      <c r="A48" s="61"/>
      <c r="B48" s="62"/>
      <c r="C48" s="69" t="s">
        <v>137</v>
      </c>
      <c r="D48" s="418" t="s">
        <v>138</v>
      </c>
      <c r="E48" s="419"/>
      <c r="F48" s="420"/>
      <c r="G48" s="351" t="s">
        <v>272</v>
      </c>
      <c r="H48" s="108"/>
      <c r="I48" s="110"/>
      <c r="J48" s="103">
        <f t="shared" ref="J48:O48" si="39">J49+J52</f>
        <v>0</v>
      </c>
      <c r="K48" s="103">
        <f t="shared" si="39"/>
        <v>0</v>
      </c>
      <c r="L48" s="103">
        <f t="shared" si="39"/>
        <v>0</v>
      </c>
      <c r="M48" s="103">
        <f t="shared" si="39"/>
        <v>0</v>
      </c>
      <c r="N48" s="103">
        <f t="shared" si="39"/>
        <v>0</v>
      </c>
      <c r="O48" s="103">
        <f t="shared" si="39"/>
        <v>0</v>
      </c>
      <c r="P48" s="104">
        <f t="shared" si="4"/>
        <v>0</v>
      </c>
      <c r="Q48" s="103">
        <f>Q49+Q52</f>
        <v>0</v>
      </c>
      <c r="R48" s="110"/>
      <c r="S48" s="110"/>
      <c r="T48" s="103">
        <f>T49+T52</f>
        <v>0</v>
      </c>
      <c r="U48" s="103">
        <f>U49+U52</f>
        <v>0</v>
      </c>
      <c r="V48" s="103">
        <f>V49+V52</f>
        <v>0</v>
      </c>
      <c r="W48" s="103">
        <f>W49+W52</f>
        <v>0</v>
      </c>
      <c r="X48" s="104">
        <f t="shared" si="6"/>
        <v>0</v>
      </c>
      <c r="Y48" s="103">
        <f>Y49+Y52</f>
        <v>0</v>
      </c>
      <c r="Z48" s="103">
        <f t="shared" ref="Z48:AE48" si="40">Z49+Z52</f>
        <v>0</v>
      </c>
      <c r="AA48" s="103">
        <f t="shared" si="40"/>
        <v>0</v>
      </c>
      <c r="AB48" s="110"/>
      <c r="AC48" s="110"/>
      <c r="AD48" s="104">
        <f t="shared" si="40"/>
        <v>0</v>
      </c>
      <c r="AE48" s="104">
        <f t="shared" si="40"/>
        <v>0</v>
      </c>
      <c r="AF48" s="104">
        <f t="shared" si="8"/>
        <v>0</v>
      </c>
    </row>
    <row r="49" spans="1:32" ht="11.25" customHeight="1" x14ac:dyDescent="0.2">
      <c r="A49" s="55"/>
      <c r="B49" s="56"/>
      <c r="C49" s="57"/>
      <c r="D49" s="72" t="s">
        <v>18</v>
      </c>
      <c r="E49" s="59" t="s">
        <v>87</v>
      </c>
      <c r="F49" s="60"/>
      <c r="G49" s="351" t="s">
        <v>273</v>
      </c>
      <c r="H49" s="108"/>
      <c r="I49" s="110"/>
      <c r="J49" s="103">
        <f t="shared" ref="J49:O49" si="41">J50+J51</f>
        <v>0</v>
      </c>
      <c r="K49" s="103">
        <f t="shared" si="41"/>
        <v>0</v>
      </c>
      <c r="L49" s="103">
        <f t="shared" si="41"/>
        <v>0</v>
      </c>
      <c r="M49" s="103">
        <f t="shared" si="41"/>
        <v>0</v>
      </c>
      <c r="N49" s="103">
        <f t="shared" si="41"/>
        <v>0</v>
      </c>
      <c r="O49" s="103">
        <f t="shared" si="41"/>
        <v>0</v>
      </c>
      <c r="P49" s="104">
        <f t="shared" si="4"/>
        <v>0</v>
      </c>
      <c r="Q49" s="103">
        <f>Q50+Q51</f>
        <v>0</v>
      </c>
      <c r="R49" s="110"/>
      <c r="S49" s="110"/>
      <c r="T49" s="103">
        <f>T50+T51</f>
        <v>0</v>
      </c>
      <c r="U49" s="103">
        <f>U50+U51</f>
        <v>0</v>
      </c>
      <c r="V49" s="103">
        <f>V50+V51</f>
        <v>0</v>
      </c>
      <c r="W49" s="103">
        <f>W50+W51</f>
        <v>0</v>
      </c>
      <c r="X49" s="104">
        <f t="shared" si="6"/>
        <v>0</v>
      </c>
      <c r="Y49" s="103">
        <f>Y50+Y51</f>
        <v>0</v>
      </c>
      <c r="Z49" s="103">
        <f t="shared" ref="Z49:AE49" si="42">Z50+Z51</f>
        <v>0</v>
      </c>
      <c r="AA49" s="103">
        <f t="shared" si="42"/>
        <v>0</v>
      </c>
      <c r="AB49" s="110"/>
      <c r="AC49" s="110"/>
      <c r="AD49" s="104">
        <f t="shared" si="42"/>
        <v>0</v>
      </c>
      <c r="AE49" s="104">
        <f t="shared" si="42"/>
        <v>0</v>
      </c>
      <c r="AF49" s="104">
        <f t="shared" si="8"/>
        <v>0</v>
      </c>
    </row>
    <row r="50" spans="1:32" ht="11.25" customHeight="1" x14ac:dyDescent="0.2">
      <c r="A50" s="61"/>
      <c r="B50" s="62"/>
      <c r="D50" s="64" t="s">
        <v>102</v>
      </c>
      <c r="E50" s="63" t="s">
        <v>130</v>
      </c>
      <c r="F50" s="60"/>
      <c r="G50" s="351" t="s">
        <v>274</v>
      </c>
      <c r="H50" s="108"/>
      <c r="I50" s="109"/>
      <c r="J50" s="106"/>
      <c r="K50" s="106"/>
      <c r="L50" s="106"/>
      <c r="M50" s="106"/>
      <c r="N50" s="106"/>
      <c r="O50" s="106"/>
      <c r="P50" s="104">
        <f t="shared" si="4"/>
        <v>0</v>
      </c>
      <c r="Q50" s="107"/>
      <c r="R50" s="109"/>
      <c r="S50" s="109"/>
      <c r="T50" s="106"/>
      <c r="U50" s="106"/>
      <c r="V50" s="106"/>
      <c r="W50" s="106"/>
      <c r="X50" s="104">
        <f t="shared" si="6"/>
        <v>0</v>
      </c>
      <c r="Y50" s="107"/>
      <c r="Z50" s="106"/>
      <c r="AA50" s="106"/>
      <c r="AB50" s="109"/>
      <c r="AC50" s="109"/>
      <c r="AD50" s="107"/>
      <c r="AE50" s="107"/>
      <c r="AF50" s="104">
        <f t="shared" si="8"/>
        <v>0</v>
      </c>
    </row>
    <row r="51" spans="1:32" ht="11.25" customHeight="1" x14ac:dyDescent="0.2">
      <c r="A51" s="55"/>
      <c r="B51" s="56"/>
      <c r="C51" s="57"/>
      <c r="D51" s="58" t="s">
        <v>104</v>
      </c>
      <c r="E51" s="59" t="s">
        <v>132</v>
      </c>
      <c r="F51" s="60"/>
      <c r="G51" s="351" t="s">
        <v>275</v>
      </c>
      <c r="H51" s="108"/>
      <c r="I51" s="109"/>
      <c r="J51" s="106"/>
      <c r="K51" s="106"/>
      <c r="L51" s="106"/>
      <c r="M51" s="106"/>
      <c r="N51" s="106"/>
      <c r="O51" s="106"/>
      <c r="P51" s="104">
        <f t="shared" si="4"/>
        <v>0</v>
      </c>
      <c r="Q51" s="107"/>
      <c r="R51" s="109"/>
      <c r="S51" s="109"/>
      <c r="T51" s="106"/>
      <c r="U51" s="106"/>
      <c r="V51" s="106"/>
      <c r="W51" s="106"/>
      <c r="X51" s="104">
        <f t="shared" si="6"/>
        <v>0</v>
      </c>
      <c r="Y51" s="107"/>
      <c r="Z51" s="106"/>
      <c r="AA51" s="106"/>
      <c r="AB51" s="109"/>
      <c r="AC51" s="109"/>
      <c r="AD51" s="107"/>
      <c r="AE51" s="107"/>
      <c r="AF51" s="104">
        <f t="shared" si="8"/>
        <v>0</v>
      </c>
    </row>
    <row r="52" spans="1:32" ht="11.25" customHeight="1" x14ac:dyDescent="0.2">
      <c r="A52" s="61"/>
      <c r="B52" s="62"/>
      <c r="D52" s="70" t="s">
        <v>21</v>
      </c>
      <c r="E52" s="63" t="s">
        <v>89</v>
      </c>
      <c r="F52" s="60"/>
      <c r="G52" s="351" t="s">
        <v>276</v>
      </c>
      <c r="H52" s="108"/>
      <c r="I52" s="110"/>
      <c r="J52" s="110"/>
      <c r="K52" s="110"/>
      <c r="L52" s="110"/>
      <c r="M52" s="110"/>
      <c r="N52" s="104">
        <f>N53+N54</f>
        <v>0</v>
      </c>
      <c r="O52" s="104">
        <f>O53+O54</f>
        <v>0</v>
      </c>
      <c r="P52" s="104">
        <f t="shared" si="4"/>
        <v>0</v>
      </c>
      <c r="Q52" s="110"/>
      <c r="R52" s="110"/>
      <c r="S52" s="110"/>
      <c r="T52" s="110"/>
      <c r="U52" s="110"/>
      <c r="V52" s="104">
        <f>V53+V54</f>
        <v>0</v>
      </c>
      <c r="W52" s="104">
        <f>W53+W54</f>
        <v>0</v>
      </c>
      <c r="X52" s="104">
        <f t="shared" si="6"/>
        <v>0</v>
      </c>
      <c r="Y52" s="110"/>
      <c r="Z52" s="110"/>
      <c r="AA52" s="110"/>
      <c r="AB52" s="110"/>
      <c r="AC52" s="110"/>
      <c r="AD52" s="104">
        <f>AD53+AD54</f>
        <v>0</v>
      </c>
      <c r="AE52" s="104">
        <f>AE53+AE54</f>
        <v>0</v>
      </c>
      <c r="AF52" s="104">
        <f t="shared" si="8"/>
        <v>0</v>
      </c>
    </row>
    <row r="53" spans="1:32" ht="11.25" customHeight="1" x14ac:dyDescent="0.2">
      <c r="A53" s="55"/>
      <c r="B53" s="56"/>
      <c r="C53" s="57"/>
      <c r="D53" s="58" t="s">
        <v>108</v>
      </c>
      <c r="E53" s="59" t="s">
        <v>130</v>
      </c>
      <c r="F53" s="60"/>
      <c r="G53" s="351" t="s">
        <v>277</v>
      </c>
      <c r="H53" s="108"/>
      <c r="I53" s="109"/>
      <c r="J53" s="109"/>
      <c r="K53" s="109"/>
      <c r="L53" s="109"/>
      <c r="M53" s="109"/>
      <c r="N53" s="106"/>
      <c r="O53" s="106"/>
      <c r="P53" s="104">
        <f t="shared" si="4"/>
        <v>0</v>
      </c>
      <c r="Q53" s="109"/>
      <c r="R53" s="109"/>
      <c r="S53" s="109"/>
      <c r="T53" s="109"/>
      <c r="U53" s="109"/>
      <c r="V53" s="106"/>
      <c r="W53" s="106"/>
      <c r="X53" s="104">
        <f t="shared" si="6"/>
        <v>0</v>
      </c>
      <c r="Y53" s="109"/>
      <c r="Z53" s="109"/>
      <c r="AA53" s="109"/>
      <c r="AB53" s="109"/>
      <c r="AC53" s="109"/>
      <c r="AD53" s="107"/>
      <c r="AE53" s="107"/>
      <c r="AF53" s="104">
        <f t="shared" si="8"/>
        <v>0</v>
      </c>
    </row>
    <row r="54" spans="1:32" ht="11.25" customHeight="1" x14ac:dyDescent="0.2">
      <c r="A54" s="61"/>
      <c r="B54" s="62"/>
      <c r="D54" s="64" t="s">
        <v>110</v>
      </c>
      <c r="E54" s="63" t="s">
        <v>132</v>
      </c>
      <c r="F54" s="60"/>
      <c r="G54" s="351" t="s">
        <v>278</v>
      </c>
      <c r="H54" s="108"/>
      <c r="I54" s="109"/>
      <c r="J54" s="109"/>
      <c r="K54" s="109"/>
      <c r="L54" s="109"/>
      <c r="M54" s="109"/>
      <c r="N54" s="106"/>
      <c r="O54" s="106"/>
      <c r="P54" s="104">
        <f t="shared" si="4"/>
        <v>0</v>
      </c>
      <c r="Q54" s="109"/>
      <c r="R54" s="109"/>
      <c r="S54" s="109"/>
      <c r="T54" s="109"/>
      <c r="U54" s="109"/>
      <c r="V54" s="106"/>
      <c r="W54" s="106"/>
      <c r="X54" s="104">
        <f t="shared" si="6"/>
        <v>0</v>
      </c>
      <c r="Y54" s="109"/>
      <c r="Z54" s="109"/>
      <c r="AA54" s="109"/>
      <c r="AB54" s="109"/>
      <c r="AC54" s="109"/>
      <c r="AD54" s="107"/>
      <c r="AE54" s="107"/>
      <c r="AF54" s="104">
        <f t="shared" si="8"/>
        <v>0</v>
      </c>
    </row>
    <row r="55" spans="1:32" ht="11.25" customHeight="1" x14ac:dyDescent="0.2">
      <c r="A55" s="55"/>
      <c r="B55" s="75" t="s">
        <v>146</v>
      </c>
      <c r="C55" s="76" t="s">
        <v>147</v>
      </c>
      <c r="D55" s="65"/>
      <c r="E55" s="59"/>
      <c r="F55" s="60"/>
      <c r="G55" s="351" t="s">
        <v>279</v>
      </c>
      <c r="H55" s="108"/>
      <c r="I55" s="103">
        <f>I56+I57+I58+I59+I62</f>
        <v>0</v>
      </c>
      <c r="J55" s="103">
        <f>J56+J57+J58+J59+J62</f>
        <v>0</v>
      </c>
      <c r="K55" s="103">
        <f t="shared" ref="K55:AE55" si="43">K56+K57+K58+K59+K62</f>
        <v>0</v>
      </c>
      <c r="L55" s="103">
        <f t="shared" si="43"/>
        <v>0</v>
      </c>
      <c r="M55" s="103">
        <f t="shared" si="43"/>
        <v>0</v>
      </c>
      <c r="N55" s="103">
        <f t="shared" si="43"/>
        <v>0</v>
      </c>
      <c r="O55" s="103">
        <f t="shared" si="43"/>
        <v>0</v>
      </c>
      <c r="P55" s="104">
        <f t="shared" si="4"/>
        <v>0</v>
      </c>
      <c r="Q55" s="103">
        <f t="shared" si="43"/>
        <v>0</v>
      </c>
      <c r="R55" s="103">
        <f t="shared" si="43"/>
        <v>0</v>
      </c>
      <c r="S55" s="103">
        <f t="shared" si="43"/>
        <v>0</v>
      </c>
      <c r="T55" s="103">
        <f t="shared" si="43"/>
        <v>0</v>
      </c>
      <c r="U55" s="103">
        <f t="shared" si="43"/>
        <v>0</v>
      </c>
      <c r="V55" s="103">
        <f t="shared" si="43"/>
        <v>0</v>
      </c>
      <c r="W55" s="103">
        <f t="shared" si="43"/>
        <v>0</v>
      </c>
      <c r="X55" s="104">
        <f t="shared" si="6"/>
        <v>0</v>
      </c>
      <c r="Y55" s="103">
        <f t="shared" si="43"/>
        <v>0</v>
      </c>
      <c r="Z55" s="103">
        <f t="shared" si="43"/>
        <v>0</v>
      </c>
      <c r="AA55" s="103">
        <f t="shared" si="43"/>
        <v>0</v>
      </c>
      <c r="AB55" s="103">
        <f t="shared" si="43"/>
        <v>0</v>
      </c>
      <c r="AC55" s="103">
        <f t="shared" si="43"/>
        <v>0</v>
      </c>
      <c r="AD55" s="104">
        <f t="shared" si="43"/>
        <v>0</v>
      </c>
      <c r="AE55" s="104">
        <f t="shared" si="43"/>
        <v>0</v>
      </c>
      <c r="AF55" s="104">
        <f t="shared" si="8"/>
        <v>0</v>
      </c>
    </row>
    <row r="56" spans="1:32" ht="11.25" customHeight="1" x14ac:dyDescent="0.2">
      <c r="A56" s="61"/>
      <c r="B56" s="62"/>
      <c r="C56" s="63" t="s">
        <v>62</v>
      </c>
      <c r="D56" s="66" t="s">
        <v>149</v>
      </c>
      <c r="F56" s="60"/>
      <c r="G56" s="351" t="s">
        <v>280</v>
      </c>
      <c r="H56" s="108"/>
      <c r="I56" s="106"/>
      <c r="J56" s="106"/>
      <c r="K56" s="106"/>
      <c r="L56" s="106"/>
      <c r="M56" s="106"/>
      <c r="N56" s="106"/>
      <c r="O56" s="106"/>
      <c r="P56" s="104">
        <f t="shared" si="4"/>
        <v>0</v>
      </c>
      <c r="Q56" s="106"/>
      <c r="R56" s="106"/>
      <c r="S56" s="106"/>
      <c r="T56" s="106"/>
      <c r="U56" s="106"/>
      <c r="V56" s="106"/>
      <c r="W56" s="106"/>
      <c r="X56" s="104">
        <f t="shared" si="6"/>
        <v>0</v>
      </c>
      <c r="Y56" s="106"/>
      <c r="Z56" s="106"/>
      <c r="AA56" s="106"/>
      <c r="AB56" s="106"/>
      <c r="AC56" s="106"/>
      <c r="AD56" s="107"/>
      <c r="AE56" s="107"/>
      <c r="AF56" s="104">
        <f t="shared" si="8"/>
        <v>0</v>
      </c>
    </row>
    <row r="57" spans="1:32" ht="11.25" customHeight="1" x14ac:dyDescent="0.2">
      <c r="A57" s="55"/>
      <c r="B57" s="56"/>
      <c r="C57" s="57" t="s">
        <v>68</v>
      </c>
      <c r="D57" s="65" t="s">
        <v>151</v>
      </c>
      <c r="E57" s="59"/>
      <c r="F57" s="60"/>
      <c r="G57" s="351" t="s">
        <v>281</v>
      </c>
      <c r="H57" s="108"/>
      <c r="I57" s="106"/>
      <c r="J57" s="106"/>
      <c r="K57" s="106"/>
      <c r="L57" s="106"/>
      <c r="M57" s="106"/>
      <c r="N57" s="106"/>
      <c r="O57" s="106"/>
      <c r="P57" s="104">
        <f t="shared" si="4"/>
        <v>0</v>
      </c>
      <c r="Q57" s="106"/>
      <c r="R57" s="106"/>
      <c r="S57" s="106"/>
      <c r="T57" s="106"/>
      <c r="U57" s="106"/>
      <c r="V57" s="106"/>
      <c r="W57" s="106"/>
      <c r="X57" s="104">
        <f t="shared" si="6"/>
        <v>0</v>
      </c>
      <c r="Y57" s="106"/>
      <c r="Z57" s="106"/>
      <c r="AA57" s="106"/>
      <c r="AB57" s="106"/>
      <c r="AC57" s="106"/>
      <c r="AD57" s="107"/>
      <c r="AE57" s="107"/>
      <c r="AF57" s="104">
        <f t="shared" si="8"/>
        <v>0</v>
      </c>
    </row>
    <row r="58" spans="1:32" ht="11.25" customHeight="1" x14ac:dyDescent="0.2">
      <c r="A58" s="55"/>
      <c r="B58" s="56"/>
      <c r="C58" s="57" t="s">
        <v>81</v>
      </c>
      <c r="D58" s="65" t="s">
        <v>153</v>
      </c>
      <c r="E58" s="59"/>
      <c r="F58" s="60"/>
      <c r="G58" s="351" t="s">
        <v>282</v>
      </c>
      <c r="H58" s="108"/>
      <c r="I58" s="106"/>
      <c r="J58" s="106"/>
      <c r="K58" s="106"/>
      <c r="L58" s="106"/>
      <c r="M58" s="106"/>
      <c r="N58" s="106"/>
      <c r="O58" s="106"/>
      <c r="P58" s="104">
        <f t="shared" si="4"/>
        <v>0</v>
      </c>
      <c r="Q58" s="106"/>
      <c r="R58" s="106"/>
      <c r="S58" s="106"/>
      <c r="T58" s="106"/>
      <c r="U58" s="106"/>
      <c r="V58" s="106"/>
      <c r="W58" s="106"/>
      <c r="X58" s="104">
        <f t="shared" si="6"/>
        <v>0</v>
      </c>
      <c r="Y58" s="106"/>
      <c r="Z58" s="106"/>
      <c r="AA58" s="106"/>
      <c r="AB58" s="106"/>
      <c r="AC58" s="106"/>
      <c r="AD58" s="107"/>
      <c r="AE58" s="107"/>
      <c r="AF58" s="104">
        <f t="shared" si="8"/>
        <v>0</v>
      </c>
    </row>
    <row r="59" spans="1:32" ht="11.25" customHeight="1" x14ac:dyDescent="0.2">
      <c r="A59" s="55"/>
      <c r="B59" s="56"/>
      <c r="C59" s="71" t="s">
        <v>126</v>
      </c>
      <c r="D59" s="415" t="s">
        <v>155</v>
      </c>
      <c r="E59" s="416"/>
      <c r="F59" s="417"/>
      <c r="G59" s="351" t="s">
        <v>283</v>
      </c>
      <c r="H59" s="108"/>
      <c r="I59" s="103">
        <f>I60+I61</f>
        <v>0</v>
      </c>
      <c r="J59" s="103">
        <f>J60+J61</f>
        <v>0</v>
      </c>
      <c r="K59" s="103">
        <f t="shared" ref="K59:AE59" si="44">K60+K61</f>
        <v>0</v>
      </c>
      <c r="L59" s="103">
        <f t="shared" si="44"/>
        <v>0</v>
      </c>
      <c r="M59" s="103">
        <f t="shared" si="44"/>
        <v>0</v>
      </c>
      <c r="N59" s="103">
        <f t="shared" si="44"/>
        <v>0</v>
      </c>
      <c r="O59" s="103">
        <f t="shared" si="44"/>
        <v>0</v>
      </c>
      <c r="P59" s="104">
        <f t="shared" si="4"/>
        <v>0</v>
      </c>
      <c r="Q59" s="103">
        <f t="shared" si="44"/>
        <v>0</v>
      </c>
      <c r="R59" s="103">
        <f t="shared" si="44"/>
        <v>0</v>
      </c>
      <c r="S59" s="103">
        <f t="shared" si="44"/>
        <v>0</v>
      </c>
      <c r="T59" s="103">
        <f t="shared" si="44"/>
        <v>0</v>
      </c>
      <c r="U59" s="103">
        <f t="shared" si="44"/>
        <v>0</v>
      </c>
      <c r="V59" s="103">
        <f t="shared" si="44"/>
        <v>0</v>
      </c>
      <c r="W59" s="103">
        <f t="shared" si="44"/>
        <v>0</v>
      </c>
      <c r="X59" s="104">
        <f t="shared" si="6"/>
        <v>0</v>
      </c>
      <c r="Y59" s="103">
        <f t="shared" si="44"/>
        <v>0</v>
      </c>
      <c r="Z59" s="103">
        <f t="shared" si="44"/>
        <v>0</v>
      </c>
      <c r="AA59" s="103">
        <f t="shared" si="44"/>
        <v>0</v>
      </c>
      <c r="AB59" s="103">
        <f t="shared" si="44"/>
        <v>0</v>
      </c>
      <c r="AC59" s="103">
        <f t="shared" si="44"/>
        <v>0</v>
      </c>
      <c r="AD59" s="104">
        <f t="shared" si="44"/>
        <v>0</v>
      </c>
      <c r="AE59" s="104">
        <f t="shared" si="44"/>
        <v>0</v>
      </c>
      <c r="AF59" s="104">
        <f t="shared" si="8"/>
        <v>0</v>
      </c>
    </row>
    <row r="60" spans="1:32" ht="11.25" customHeight="1" x14ac:dyDescent="0.2">
      <c r="A60" s="61"/>
      <c r="B60" s="62"/>
      <c r="D60" s="70" t="s">
        <v>18</v>
      </c>
      <c r="E60" s="63" t="s">
        <v>87</v>
      </c>
      <c r="F60" s="74"/>
      <c r="G60" s="351" t="s">
        <v>284</v>
      </c>
      <c r="H60" s="108"/>
      <c r="I60" s="106"/>
      <c r="J60" s="106"/>
      <c r="K60" s="106"/>
      <c r="L60" s="106"/>
      <c r="M60" s="106"/>
      <c r="N60" s="106"/>
      <c r="O60" s="106"/>
      <c r="P60" s="104">
        <f t="shared" si="4"/>
        <v>0</v>
      </c>
      <c r="Q60" s="106"/>
      <c r="R60" s="106"/>
      <c r="S60" s="106"/>
      <c r="T60" s="106"/>
      <c r="U60" s="106"/>
      <c r="V60" s="106"/>
      <c r="W60" s="106"/>
      <c r="X60" s="104">
        <f t="shared" si="6"/>
        <v>0</v>
      </c>
      <c r="Y60" s="106"/>
      <c r="Z60" s="106"/>
      <c r="AA60" s="106"/>
      <c r="AB60" s="106"/>
      <c r="AC60" s="106"/>
      <c r="AD60" s="107"/>
      <c r="AE60" s="107"/>
      <c r="AF60" s="104">
        <f t="shared" si="8"/>
        <v>0</v>
      </c>
    </row>
    <row r="61" spans="1:32" ht="11.25" customHeight="1" x14ac:dyDescent="0.2">
      <c r="A61" s="55"/>
      <c r="B61" s="56"/>
      <c r="C61" s="57"/>
      <c r="D61" s="72" t="s">
        <v>21</v>
      </c>
      <c r="E61" s="59" t="s">
        <v>89</v>
      </c>
      <c r="F61" s="74"/>
      <c r="G61" s="351" t="s">
        <v>285</v>
      </c>
      <c r="H61" s="108"/>
      <c r="I61" s="109"/>
      <c r="J61" s="109"/>
      <c r="K61" s="109"/>
      <c r="L61" s="109"/>
      <c r="M61" s="109"/>
      <c r="N61" s="106"/>
      <c r="O61" s="106"/>
      <c r="P61" s="104">
        <f t="shared" si="4"/>
        <v>0</v>
      </c>
      <c r="Q61" s="109"/>
      <c r="R61" s="109"/>
      <c r="S61" s="109"/>
      <c r="T61" s="109"/>
      <c r="U61" s="109"/>
      <c r="V61" s="106"/>
      <c r="W61" s="106"/>
      <c r="X61" s="104">
        <f t="shared" si="6"/>
        <v>0</v>
      </c>
      <c r="Y61" s="109"/>
      <c r="Z61" s="109"/>
      <c r="AA61" s="109"/>
      <c r="AB61" s="109"/>
      <c r="AC61" s="109"/>
      <c r="AD61" s="107"/>
      <c r="AE61" s="107"/>
      <c r="AF61" s="104">
        <f t="shared" si="8"/>
        <v>0</v>
      </c>
    </row>
    <row r="62" spans="1:32" ht="11.25" customHeight="1" x14ac:dyDescent="0.2">
      <c r="A62" s="61"/>
      <c r="B62" s="62"/>
      <c r="C62" s="69" t="s">
        <v>137</v>
      </c>
      <c r="D62" s="418" t="s">
        <v>159</v>
      </c>
      <c r="E62" s="419"/>
      <c r="F62" s="420"/>
      <c r="G62" s="352" t="s">
        <v>286</v>
      </c>
      <c r="H62" s="112"/>
      <c r="I62" s="103">
        <f>I63+I64</f>
        <v>0</v>
      </c>
      <c r="J62" s="103">
        <f>J63+J64</f>
        <v>0</v>
      </c>
      <c r="K62" s="103">
        <f t="shared" ref="K62:AE62" si="45">K63+K64</f>
        <v>0</v>
      </c>
      <c r="L62" s="103">
        <f t="shared" si="45"/>
        <v>0</v>
      </c>
      <c r="M62" s="103">
        <f t="shared" si="45"/>
        <v>0</v>
      </c>
      <c r="N62" s="103">
        <f t="shared" si="45"/>
        <v>0</v>
      </c>
      <c r="O62" s="103">
        <f t="shared" si="45"/>
        <v>0</v>
      </c>
      <c r="P62" s="104">
        <f t="shared" si="4"/>
        <v>0</v>
      </c>
      <c r="Q62" s="103">
        <f t="shared" si="45"/>
        <v>0</v>
      </c>
      <c r="R62" s="103">
        <f t="shared" si="45"/>
        <v>0</v>
      </c>
      <c r="S62" s="103">
        <f t="shared" si="45"/>
        <v>0</v>
      </c>
      <c r="T62" s="103">
        <f t="shared" si="45"/>
        <v>0</v>
      </c>
      <c r="U62" s="103">
        <f t="shared" si="45"/>
        <v>0</v>
      </c>
      <c r="V62" s="103">
        <f t="shared" si="45"/>
        <v>0</v>
      </c>
      <c r="W62" s="103">
        <f t="shared" si="45"/>
        <v>0</v>
      </c>
      <c r="X62" s="104">
        <f t="shared" si="6"/>
        <v>0</v>
      </c>
      <c r="Y62" s="103">
        <f t="shared" si="45"/>
        <v>0</v>
      </c>
      <c r="Z62" s="103">
        <f t="shared" si="45"/>
        <v>0</v>
      </c>
      <c r="AA62" s="103">
        <f t="shared" si="45"/>
        <v>0</v>
      </c>
      <c r="AB62" s="103">
        <f t="shared" si="45"/>
        <v>0</v>
      </c>
      <c r="AC62" s="103">
        <f t="shared" si="45"/>
        <v>0</v>
      </c>
      <c r="AD62" s="104">
        <f t="shared" si="45"/>
        <v>0</v>
      </c>
      <c r="AE62" s="104">
        <f t="shared" si="45"/>
        <v>0</v>
      </c>
      <c r="AF62" s="104">
        <f t="shared" si="8"/>
        <v>0</v>
      </c>
    </row>
    <row r="63" spans="1:32" ht="11.25" customHeight="1" x14ac:dyDescent="0.2">
      <c r="A63" s="55"/>
      <c r="B63" s="56"/>
      <c r="C63" s="57"/>
      <c r="D63" s="72" t="s">
        <v>18</v>
      </c>
      <c r="E63" s="59" t="s">
        <v>87</v>
      </c>
      <c r="F63" s="74"/>
      <c r="G63" s="352" t="s">
        <v>287</v>
      </c>
      <c r="H63" s="112"/>
      <c r="I63" s="106"/>
      <c r="J63" s="106"/>
      <c r="K63" s="106"/>
      <c r="L63" s="106"/>
      <c r="M63" s="106"/>
      <c r="N63" s="106"/>
      <c r="O63" s="106"/>
      <c r="P63" s="104">
        <f t="shared" si="4"/>
        <v>0</v>
      </c>
      <c r="Q63" s="106"/>
      <c r="R63" s="106"/>
      <c r="S63" s="106"/>
      <c r="T63" s="106"/>
      <c r="U63" s="106"/>
      <c r="V63" s="106"/>
      <c r="W63" s="106"/>
      <c r="X63" s="104">
        <f t="shared" si="6"/>
        <v>0</v>
      </c>
      <c r="Y63" s="106"/>
      <c r="Z63" s="106"/>
      <c r="AA63" s="106"/>
      <c r="AB63" s="106"/>
      <c r="AC63" s="106"/>
      <c r="AD63" s="107"/>
      <c r="AE63" s="107"/>
      <c r="AF63" s="104">
        <f t="shared" si="8"/>
        <v>0</v>
      </c>
    </row>
    <row r="64" spans="1:32" ht="11.25" customHeight="1" x14ac:dyDescent="0.2">
      <c r="A64" s="61"/>
      <c r="B64" s="62"/>
      <c r="D64" s="70" t="s">
        <v>21</v>
      </c>
      <c r="E64" s="63" t="s">
        <v>89</v>
      </c>
      <c r="F64" s="74"/>
      <c r="G64" s="352" t="s">
        <v>288</v>
      </c>
      <c r="H64" s="112"/>
      <c r="I64" s="109"/>
      <c r="J64" s="109"/>
      <c r="K64" s="109"/>
      <c r="L64" s="109"/>
      <c r="M64" s="109"/>
      <c r="N64" s="106"/>
      <c r="O64" s="106"/>
      <c r="P64" s="104">
        <f t="shared" si="4"/>
        <v>0</v>
      </c>
      <c r="Q64" s="109"/>
      <c r="R64" s="109"/>
      <c r="S64" s="109"/>
      <c r="T64" s="109"/>
      <c r="U64" s="109"/>
      <c r="V64" s="106"/>
      <c r="W64" s="106"/>
      <c r="X64" s="104">
        <f t="shared" si="6"/>
        <v>0</v>
      </c>
      <c r="Y64" s="109"/>
      <c r="Z64" s="109"/>
      <c r="AA64" s="109"/>
      <c r="AB64" s="109"/>
      <c r="AC64" s="109"/>
      <c r="AD64" s="107"/>
      <c r="AE64" s="107"/>
      <c r="AF64" s="104">
        <f t="shared" si="8"/>
        <v>0</v>
      </c>
    </row>
    <row r="65" spans="1:32" ht="11.25" customHeight="1" x14ac:dyDescent="0.2">
      <c r="A65" s="55"/>
      <c r="B65" s="77" t="s">
        <v>163</v>
      </c>
      <c r="C65" s="78" t="s">
        <v>164</v>
      </c>
      <c r="D65" s="68"/>
      <c r="E65" s="59"/>
      <c r="F65" s="60"/>
      <c r="G65" s="351" t="s">
        <v>289</v>
      </c>
      <c r="H65" s="108"/>
      <c r="I65" s="103">
        <f>I66+I70</f>
        <v>0</v>
      </c>
      <c r="J65" s="103">
        <f>J66+J70</f>
        <v>0</v>
      </c>
      <c r="K65" s="103">
        <f t="shared" ref="K65:AE65" si="46">K66+K70</f>
        <v>0</v>
      </c>
      <c r="L65" s="103">
        <f t="shared" si="46"/>
        <v>0</v>
      </c>
      <c r="M65" s="103">
        <f t="shared" si="46"/>
        <v>0</v>
      </c>
      <c r="N65" s="103">
        <f t="shared" si="46"/>
        <v>0</v>
      </c>
      <c r="O65" s="103">
        <f t="shared" si="46"/>
        <v>0</v>
      </c>
      <c r="P65" s="104">
        <f t="shared" si="4"/>
        <v>0</v>
      </c>
      <c r="Q65" s="103">
        <f t="shared" si="46"/>
        <v>0</v>
      </c>
      <c r="R65" s="103">
        <f t="shared" si="46"/>
        <v>0</v>
      </c>
      <c r="S65" s="103">
        <f t="shared" si="46"/>
        <v>0</v>
      </c>
      <c r="T65" s="103">
        <f t="shared" si="46"/>
        <v>0</v>
      </c>
      <c r="U65" s="103">
        <f t="shared" si="46"/>
        <v>0</v>
      </c>
      <c r="V65" s="103">
        <f t="shared" si="46"/>
        <v>0</v>
      </c>
      <c r="W65" s="103">
        <f t="shared" si="46"/>
        <v>0</v>
      </c>
      <c r="X65" s="104">
        <f t="shared" si="6"/>
        <v>0</v>
      </c>
      <c r="Y65" s="103">
        <f t="shared" si="46"/>
        <v>0</v>
      </c>
      <c r="Z65" s="103">
        <f t="shared" si="46"/>
        <v>0</v>
      </c>
      <c r="AA65" s="103">
        <f t="shared" si="46"/>
        <v>0</v>
      </c>
      <c r="AB65" s="103">
        <f t="shared" si="46"/>
        <v>0</v>
      </c>
      <c r="AC65" s="103">
        <f t="shared" si="46"/>
        <v>0</v>
      </c>
      <c r="AD65" s="104">
        <f t="shared" si="46"/>
        <v>0</v>
      </c>
      <c r="AE65" s="104">
        <f t="shared" si="46"/>
        <v>0</v>
      </c>
      <c r="AF65" s="104">
        <f t="shared" si="8"/>
        <v>0</v>
      </c>
    </row>
    <row r="66" spans="1:32" ht="11.25" customHeight="1" x14ac:dyDescent="0.2">
      <c r="A66" s="61"/>
      <c r="C66" s="63" t="s">
        <v>62</v>
      </c>
      <c r="D66" s="73" t="s">
        <v>166</v>
      </c>
      <c r="F66" s="60"/>
      <c r="G66" s="351" t="s">
        <v>290</v>
      </c>
      <c r="H66" s="108"/>
      <c r="I66" s="103">
        <f>I67+I68+I69</f>
        <v>0</v>
      </c>
      <c r="J66" s="103">
        <f>J67+J68+J69</f>
        <v>0</v>
      </c>
      <c r="K66" s="103">
        <f t="shared" ref="K66:AE66" si="47">K67+K68+K69</f>
        <v>0</v>
      </c>
      <c r="L66" s="103">
        <f t="shared" si="47"/>
        <v>0</v>
      </c>
      <c r="M66" s="103">
        <f t="shared" si="47"/>
        <v>0</v>
      </c>
      <c r="N66" s="103">
        <f t="shared" si="47"/>
        <v>0</v>
      </c>
      <c r="O66" s="103">
        <f t="shared" si="47"/>
        <v>0</v>
      </c>
      <c r="P66" s="104">
        <f t="shared" si="4"/>
        <v>0</v>
      </c>
      <c r="Q66" s="103">
        <f t="shared" si="47"/>
        <v>0</v>
      </c>
      <c r="R66" s="103">
        <f t="shared" si="47"/>
        <v>0</v>
      </c>
      <c r="S66" s="103">
        <f t="shared" si="47"/>
        <v>0</v>
      </c>
      <c r="T66" s="103">
        <f t="shared" si="47"/>
        <v>0</v>
      </c>
      <c r="U66" s="103">
        <f t="shared" si="47"/>
        <v>0</v>
      </c>
      <c r="V66" s="103">
        <f t="shared" si="47"/>
        <v>0</v>
      </c>
      <c r="W66" s="103">
        <f t="shared" si="47"/>
        <v>0</v>
      </c>
      <c r="X66" s="104">
        <f t="shared" si="6"/>
        <v>0</v>
      </c>
      <c r="Y66" s="103">
        <f t="shared" si="47"/>
        <v>0</v>
      </c>
      <c r="Z66" s="103">
        <f t="shared" si="47"/>
        <v>0</v>
      </c>
      <c r="AA66" s="103">
        <f t="shared" si="47"/>
        <v>0</v>
      </c>
      <c r="AB66" s="103">
        <f t="shared" si="47"/>
        <v>0</v>
      </c>
      <c r="AC66" s="103">
        <f t="shared" si="47"/>
        <v>0</v>
      </c>
      <c r="AD66" s="104">
        <f t="shared" si="47"/>
        <v>0</v>
      </c>
      <c r="AE66" s="104">
        <f t="shared" si="47"/>
        <v>0</v>
      </c>
      <c r="AF66" s="104">
        <f t="shared" si="8"/>
        <v>0</v>
      </c>
    </row>
    <row r="67" spans="1:32" ht="11.25" customHeight="1" x14ac:dyDescent="0.2">
      <c r="A67" s="55"/>
      <c r="B67" s="80"/>
      <c r="C67" s="57"/>
      <c r="D67" s="72" t="s">
        <v>18</v>
      </c>
      <c r="E67" s="59" t="s">
        <v>168</v>
      </c>
      <c r="F67" s="60"/>
      <c r="G67" s="351" t="s">
        <v>291</v>
      </c>
      <c r="H67" s="108"/>
      <c r="I67" s="106"/>
      <c r="J67" s="106"/>
      <c r="K67" s="106"/>
      <c r="L67" s="106"/>
      <c r="M67" s="106"/>
      <c r="N67" s="106"/>
      <c r="O67" s="106"/>
      <c r="P67" s="104">
        <f t="shared" si="4"/>
        <v>0</v>
      </c>
      <c r="Q67" s="106"/>
      <c r="R67" s="106"/>
      <c r="S67" s="106"/>
      <c r="T67" s="106"/>
      <c r="U67" s="106"/>
      <c r="V67" s="106"/>
      <c r="W67" s="106"/>
      <c r="X67" s="104">
        <f t="shared" si="6"/>
        <v>0</v>
      </c>
      <c r="Y67" s="106"/>
      <c r="Z67" s="106"/>
      <c r="AA67" s="106"/>
      <c r="AB67" s="106"/>
      <c r="AC67" s="106"/>
      <c r="AD67" s="107"/>
      <c r="AE67" s="107"/>
      <c r="AF67" s="104">
        <f t="shared" si="8"/>
        <v>0</v>
      </c>
    </row>
    <row r="68" spans="1:32" ht="11.25" customHeight="1" x14ac:dyDescent="0.2">
      <c r="A68" s="61"/>
      <c r="D68" s="70" t="s">
        <v>21</v>
      </c>
      <c r="E68" s="63" t="s">
        <v>170</v>
      </c>
      <c r="F68" s="60"/>
      <c r="G68" s="351" t="s">
        <v>292</v>
      </c>
      <c r="H68" s="108"/>
      <c r="I68" s="106"/>
      <c r="J68" s="106"/>
      <c r="K68" s="106"/>
      <c r="L68" s="106"/>
      <c r="M68" s="106"/>
      <c r="N68" s="106"/>
      <c r="O68" s="106"/>
      <c r="P68" s="104">
        <f t="shared" si="4"/>
        <v>0</v>
      </c>
      <c r="Q68" s="106"/>
      <c r="R68" s="106"/>
      <c r="S68" s="106"/>
      <c r="T68" s="106"/>
      <c r="U68" s="106"/>
      <c r="V68" s="106"/>
      <c r="W68" s="106"/>
      <c r="X68" s="104">
        <f t="shared" si="6"/>
        <v>0</v>
      </c>
      <c r="Y68" s="106"/>
      <c r="Z68" s="106"/>
      <c r="AA68" s="106"/>
      <c r="AB68" s="106"/>
      <c r="AC68" s="106"/>
      <c r="AD68" s="107"/>
      <c r="AE68" s="107"/>
      <c r="AF68" s="104">
        <f t="shared" si="8"/>
        <v>0</v>
      </c>
    </row>
    <row r="69" spans="1:32" ht="11.25" customHeight="1" x14ac:dyDescent="0.2">
      <c r="A69" s="55"/>
      <c r="B69" s="80"/>
      <c r="C69" s="57"/>
      <c r="D69" s="81" t="s">
        <v>172</v>
      </c>
      <c r="E69" s="421" t="s">
        <v>173</v>
      </c>
      <c r="F69" s="422"/>
      <c r="G69" s="351" t="s">
        <v>293</v>
      </c>
      <c r="H69" s="108"/>
      <c r="I69" s="106"/>
      <c r="J69" s="106"/>
      <c r="K69" s="106"/>
      <c r="L69" s="106"/>
      <c r="M69" s="106"/>
      <c r="N69" s="106"/>
      <c r="O69" s="106"/>
      <c r="P69" s="104">
        <f t="shared" si="4"/>
        <v>0</v>
      </c>
      <c r="Q69" s="106"/>
      <c r="R69" s="106"/>
      <c r="S69" s="106"/>
      <c r="T69" s="106"/>
      <c r="U69" s="106"/>
      <c r="V69" s="106"/>
      <c r="W69" s="106"/>
      <c r="X69" s="104">
        <f t="shared" si="6"/>
        <v>0</v>
      </c>
      <c r="Y69" s="106"/>
      <c r="Z69" s="106"/>
      <c r="AA69" s="106"/>
      <c r="AB69" s="106"/>
      <c r="AC69" s="106"/>
      <c r="AD69" s="107"/>
      <c r="AE69" s="107"/>
      <c r="AF69" s="104">
        <f t="shared" si="8"/>
        <v>0</v>
      </c>
    </row>
    <row r="70" spans="1:32" ht="11.25" customHeight="1" x14ac:dyDescent="0.2">
      <c r="A70" s="61"/>
      <c r="C70" s="63" t="s">
        <v>68</v>
      </c>
      <c r="D70" s="83" t="s">
        <v>175</v>
      </c>
      <c r="E70" s="69"/>
      <c r="F70" s="84"/>
      <c r="G70" s="351" t="s">
        <v>294</v>
      </c>
      <c r="H70" s="108"/>
      <c r="I70" s="104">
        <f t="shared" ref="I70:O70" si="48">I71+I72+I73</f>
        <v>0</v>
      </c>
      <c r="J70" s="104">
        <f t="shared" si="48"/>
        <v>0</v>
      </c>
      <c r="K70" s="104">
        <f t="shared" si="48"/>
        <v>0</v>
      </c>
      <c r="L70" s="104">
        <f t="shared" si="48"/>
        <v>0</v>
      </c>
      <c r="M70" s="104">
        <f t="shared" si="48"/>
        <v>0</v>
      </c>
      <c r="N70" s="104">
        <f t="shared" si="48"/>
        <v>0</v>
      </c>
      <c r="O70" s="104">
        <f t="shared" si="48"/>
        <v>0</v>
      </c>
      <c r="P70" s="104">
        <f t="shared" si="4"/>
        <v>0</v>
      </c>
      <c r="Q70" s="104">
        <f t="shared" ref="Q70:W70" si="49">Q71+Q72+Q73</f>
        <v>0</v>
      </c>
      <c r="R70" s="104">
        <f t="shared" si="49"/>
        <v>0</v>
      </c>
      <c r="S70" s="104">
        <f t="shared" si="49"/>
        <v>0</v>
      </c>
      <c r="T70" s="104">
        <f t="shared" si="49"/>
        <v>0</v>
      </c>
      <c r="U70" s="104">
        <f t="shared" si="49"/>
        <v>0</v>
      </c>
      <c r="V70" s="104">
        <f t="shared" si="49"/>
        <v>0</v>
      </c>
      <c r="W70" s="104">
        <f t="shared" si="49"/>
        <v>0</v>
      </c>
      <c r="X70" s="104">
        <f t="shared" si="6"/>
        <v>0</v>
      </c>
      <c r="Y70" s="104">
        <f t="shared" ref="Y70:AE70" si="50">Y71+Y72+Y73</f>
        <v>0</v>
      </c>
      <c r="Z70" s="104">
        <f t="shared" si="50"/>
        <v>0</v>
      </c>
      <c r="AA70" s="104">
        <f t="shared" si="50"/>
        <v>0</v>
      </c>
      <c r="AB70" s="104">
        <f t="shared" si="50"/>
        <v>0</v>
      </c>
      <c r="AC70" s="104">
        <f t="shared" si="50"/>
        <v>0</v>
      </c>
      <c r="AD70" s="104">
        <f t="shared" si="50"/>
        <v>0</v>
      </c>
      <c r="AE70" s="104">
        <f t="shared" si="50"/>
        <v>0</v>
      </c>
      <c r="AF70" s="104">
        <f t="shared" si="8"/>
        <v>0</v>
      </c>
    </row>
    <row r="71" spans="1:32" ht="11.25" customHeight="1" x14ac:dyDescent="0.2">
      <c r="A71" s="55"/>
      <c r="B71" s="80"/>
      <c r="C71" s="57"/>
      <c r="D71" s="81" t="s">
        <v>18</v>
      </c>
      <c r="E71" s="85" t="s">
        <v>177</v>
      </c>
      <c r="F71" s="84"/>
      <c r="G71" s="351" t="s">
        <v>295</v>
      </c>
      <c r="H71" s="108"/>
      <c r="I71" s="107"/>
      <c r="J71" s="107"/>
      <c r="K71" s="107"/>
      <c r="L71" s="107"/>
      <c r="M71" s="107"/>
      <c r="N71" s="106"/>
      <c r="O71" s="106"/>
      <c r="P71" s="104">
        <f t="shared" si="4"/>
        <v>0</v>
      </c>
      <c r="Q71" s="107"/>
      <c r="R71" s="107"/>
      <c r="S71" s="107"/>
      <c r="T71" s="107"/>
      <c r="U71" s="107"/>
      <c r="V71" s="106"/>
      <c r="W71" s="106"/>
      <c r="X71" s="104">
        <f t="shared" si="6"/>
        <v>0</v>
      </c>
      <c r="Y71" s="107"/>
      <c r="Z71" s="107"/>
      <c r="AA71" s="107"/>
      <c r="AB71" s="107"/>
      <c r="AC71" s="107"/>
      <c r="AD71" s="107"/>
      <c r="AE71" s="107"/>
      <c r="AF71" s="104">
        <f t="shared" si="8"/>
        <v>0</v>
      </c>
    </row>
    <row r="72" spans="1:32" ht="11.25" customHeight="1" x14ac:dyDescent="0.2">
      <c r="A72" s="61"/>
      <c r="D72" s="86" t="s">
        <v>21</v>
      </c>
      <c r="E72" s="69" t="s">
        <v>179</v>
      </c>
      <c r="F72" s="84"/>
      <c r="G72" s="351" t="s">
        <v>296</v>
      </c>
      <c r="H72" s="108"/>
      <c r="I72" s="107"/>
      <c r="J72" s="107"/>
      <c r="K72" s="107"/>
      <c r="L72" s="107"/>
      <c r="M72" s="107"/>
      <c r="N72" s="106"/>
      <c r="O72" s="106"/>
      <c r="P72" s="104">
        <f t="shared" si="4"/>
        <v>0</v>
      </c>
      <c r="Q72" s="107"/>
      <c r="R72" s="107"/>
      <c r="S72" s="107"/>
      <c r="T72" s="107"/>
      <c r="U72" s="107"/>
      <c r="V72" s="106"/>
      <c r="W72" s="106"/>
      <c r="X72" s="104">
        <f t="shared" si="6"/>
        <v>0</v>
      </c>
      <c r="Y72" s="107"/>
      <c r="Z72" s="107"/>
      <c r="AA72" s="107"/>
      <c r="AB72" s="107"/>
      <c r="AC72" s="107"/>
      <c r="AD72" s="107"/>
      <c r="AE72" s="107"/>
      <c r="AF72" s="104">
        <f t="shared" si="8"/>
        <v>0</v>
      </c>
    </row>
    <row r="73" spans="1:32" ht="11.25" customHeight="1" x14ac:dyDescent="0.2">
      <c r="A73" s="55"/>
      <c r="B73" s="80"/>
      <c r="C73" s="57"/>
      <c r="D73" s="81" t="s">
        <v>172</v>
      </c>
      <c r="E73" s="421" t="s">
        <v>181</v>
      </c>
      <c r="F73" s="422"/>
      <c r="G73" s="351" t="s">
        <v>297</v>
      </c>
      <c r="H73" s="108"/>
      <c r="I73" s="107"/>
      <c r="J73" s="107"/>
      <c r="K73" s="107"/>
      <c r="L73" s="107"/>
      <c r="M73" s="107"/>
      <c r="N73" s="106"/>
      <c r="O73" s="106"/>
      <c r="P73" s="104">
        <f t="shared" si="4"/>
        <v>0</v>
      </c>
      <c r="Q73" s="107"/>
      <c r="R73" s="107"/>
      <c r="S73" s="107"/>
      <c r="T73" s="107"/>
      <c r="U73" s="107"/>
      <c r="V73" s="106"/>
      <c r="W73" s="106"/>
      <c r="X73" s="104">
        <f t="shared" si="6"/>
        <v>0</v>
      </c>
      <c r="Y73" s="107"/>
      <c r="Z73" s="107"/>
      <c r="AA73" s="107"/>
      <c r="AB73" s="107"/>
      <c r="AC73" s="107"/>
      <c r="AD73" s="107"/>
      <c r="AE73" s="107"/>
      <c r="AF73" s="104">
        <f t="shared" si="8"/>
        <v>0</v>
      </c>
    </row>
    <row r="74" spans="1:32" ht="11.25" customHeight="1" x14ac:dyDescent="0.2">
      <c r="A74" s="61" t="s">
        <v>183</v>
      </c>
      <c r="B74" s="62"/>
      <c r="C74" s="62"/>
      <c r="D74" s="87"/>
      <c r="E74" s="62"/>
      <c r="F74" s="88"/>
      <c r="G74" s="351" t="s">
        <v>298</v>
      </c>
      <c r="H74" s="102"/>
      <c r="I74" s="103">
        <f>I75+I87+I106+I113</f>
        <v>0</v>
      </c>
      <c r="J74" s="103">
        <f>J75+J87+J106+J113</f>
        <v>0</v>
      </c>
      <c r="K74" s="103">
        <f t="shared" ref="K74:AE74" si="51">K75+K87+K106+K113</f>
        <v>0</v>
      </c>
      <c r="L74" s="103">
        <f t="shared" si="51"/>
        <v>0</v>
      </c>
      <c r="M74" s="103">
        <f t="shared" si="51"/>
        <v>0</v>
      </c>
      <c r="N74" s="103">
        <f t="shared" si="51"/>
        <v>0</v>
      </c>
      <c r="O74" s="103">
        <f t="shared" si="51"/>
        <v>0</v>
      </c>
      <c r="P74" s="104">
        <f t="shared" si="4"/>
        <v>0</v>
      </c>
      <c r="Q74" s="103">
        <f t="shared" si="51"/>
        <v>0</v>
      </c>
      <c r="R74" s="103">
        <f t="shared" si="51"/>
        <v>0</v>
      </c>
      <c r="S74" s="103">
        <f t="shared" si="51"/>
        <v>0</v>
      </c>
      <c r="T74" s="103">
        <f t="shared" si="51"/>
        <v>0</v>
      </c>
      <c r="U74" s="103">
        <f t="shared" si="51"/>
        <v>0</v>
      </c>
      <c r="V74" s="103">
        <f t="shared" si="51"/>
        <v>0</v>
      </c>
      <c r="W74" s="103">
        <f t="shared" si="51"/>
        <v>0</v>
      </c>
      <c r="X74" s="104">
        <f t="shared" si="6"/>
        <v>0</v>
      </c>
      <c r="Y74" s="103">
        <f t="shared" si="51"/>
        <v>0</v>
      </c>
      <c r="Z74" s="103">
        <f t="shared" si="51"/>
        <v>0</v>
      </c>
      <c r="AA74" s="103">
        <f t="shared" si="51"/>
        <v>0</v>
      </c>
      <c r="AB74" s="103">
        <f t="shared" si="51"/>
        <v>0</v>
      </c>
      <c r="AC74" s="103">
        <f t="shared" si="51"/>
        <v>0</v>
      </c>
      <c r="AD74" s="104">
        <f t="shared" si="51"/>
        <v>0</v>
      </c>
      <c r="AE74" s="104">
        <f t="shared" si="51"/>
        <v>0</v>
      </c>
      <c r="AF74" s="104">
        <f t="shared" si="8"/>
        <v>0</v>
      </c>
    </row>
    <row r="75" spans="1:32" ht="11.25" customHeight="1" x14ac:dyDescent="0.2">
      <c r="A75" s="55"/>
      <c r="B75" s="75" t="s">
        <v>59</v>
      </c>
      <c r="C75" s="76" t="s">
        <v>60</v>
      </c>
      <c r="D75" s="76"/>
      <c r="E75" s="89"/>
      <c r="F75" s="88"/>
      <c r="G75" s="351" t="s">
        <v>299</v>
      </c>
      <c r="H75" s="102"/>
      <c r="I75" s="103">
        <f>I76+I78+I83+I84</f>
        <v>0</v>
      </c>
      <c r="J75" s="103">
        <f>J76+J78+J83+J84</f>
        <v>0</v>
      </c>
      <c r="K75" s="103">
        <f t="shared" ref="K75:AE75" si="52">K76+K78+K83+K84</f>
        <v>0</v>
      </c>
      <c r="L75" s="103">
        <f t="shared" si="52"/>
        <v>0</v>
      </c>
      <c r="M75" s="103">
        <f t="shared" si="52"/>
        <v>0</v>
      </c>
      <c r="N75" s="103">
        <f t="shared" si="52"/>
        <v>0</v>
      </c>
      <c r="O75" s="103">
        <f t="shared" si="52"/>
        <v>0</v>
      </c>
      <c r="P75" s="104">
        <f t="shared" ref="P75:P122" si="53">I75+K75+M75+O75</f>
        <v>0</v>
      </c>
      <c r="Q75" s="103">
        <f t="shared" si="52"/>
        <v>0</v>
      </c>
      <c r="R75" s="103">
        <f t="shared" si="52"/>
        <v>0</v>
      </c>
      <c r="S75" s="103">
        <f t="shared" si="52"/>
        <v>0</v>
      </c>
      <c r="T75" s="103">
        <f t="shared" si="52"/>
        <v>0</v>
      </c>
      <c r="U75" s="103">
        <f t="shared" si="52"/>
        <v>0</v>
      </c>
      <c r="V75" s="103">
        <f t="shared" si="52"/>
        <v>0</v>
      </c>
      <c r="W75" s="103">
        <f t="shared" si="52"/>
        <v>0</v>
      </c>
      <c r="X75" s="104">
        <f t="shared" ref="X75:X122" si="54">Q75+S75+U75+W75</f>
        <v>0</v>
      </c>
      <c r="Y75" s="103">
        <f t="shared" si="52"/>
        <v>0</v>
      </c>
      <c r="Z75" s="103">
        <f t="shared" si="52"/>
        <v>0</v>
      </c>
      <c r="AA75" s="103">
        <f t="shared" si="52"/>
        <v>0</v>
      </c>
      <c r="AB75" s="103">
        <f t="shared" si="52"/>
        <v>0</v>
      </c>
      <c r="AC75" s="103">
        <f t="shared" si="52"/>
        <v>0</v>
      </c>
      <c r="AD75" s="104">
        <f t="shared" si="52"/>
        <v>0</v>
      </c>
      <c r="AE75" s="104">
        <f t="shared" si="52"/>
        <v>0</v>
      </c>
      <c r="AF75" s="104">
        <f t="shared" ref="AF75:AF122" si="55">Y75+AA75+AC75+AE75</f>
        <v>0</v>
      </c>
    </row>
    <row r="76" spans="1:32" ht="11.25" customHeight="1" x14ac:dyDescent="0.2">
      <c r="A76" s="61"/>
      <c r="B76" s="62"/>
      <c r="C76" s="63" t="s">
        <v>62</v>
      </c>
      <c r="D76" s="14" t="s">
        <v>63</v>
      </c>
      <c r="E76" s="62"/>
      <c r="F76" s="88"/>
      <c r="G76" s="351" t="s">
        <v>300</v>
      </c>
      <c r="H76" s="102"/>
      <c r="I76" s="103">
        <f>I77</f>
        <v>0</v>
      </c>
      <c r="J76" s="103">
        <f>J77</f>
        <v>0</v>
      </c>
      <c r="K76" s="103">
        <f t="shared" ref="K76:AE76" si="56">K77</f>
        <v>0</v>
      </c>
      <c r="L76" s="103">
        <f t="shared" si="56"/>
        <v>0</v>
      </c>
      <c r="M76" s="103">
        <f t="shared" si="56"/>
        <v>0</v>
      </c>
      <c r="N76" s="103">
        <f t="shared" si="56"/>
        <v>0</v>
      </c>
      <c r="O76" s="103">
        <f t="shared" si="56"/>
        <v>0</v>
      </c>
      <c r="P76" s="104">
        <f t="shared" si="53"/>
        <v>0</v>
      </c>
      <c r="Q76" s="103">
        <f t="shared" si="56"/>
        <v>0</v>
      </c>
      <c r="R76" s="103">
        <f t="shared" si="56"/>
        <v>0</v>
      </c>
      <c r="S76" s="103">
        <f t="shared" si="56"/>
        <v>0</v>
      </c>
      <c r="T76" s="103">
        <f t="shared" si="56"/>
        <v>0</v>
      </c>
      <c r="U76" s="103">
        <f t="shared" si="56"/>
        <v>0</v>
      </c>
      <c r="V76" s="103">
        <f t="shared" si="56"/>
        <v>0</v>
      </c>
      <c r="W76" s="103">
        <f t="shared" si="56"/>
        <v>0</v>
      </c>
      <c r="X76" s="104">
        <f t="shared" si="54"/>
        <v>0</v>
      </c>
      <c r="Y76" s="103">
        <f t="shared" si="56"/>
        <v>0</v>
      </c>
      <c r="Z76" s="103">
        <f t="shared" si="56"/>
        <v>0</v>
      </c>
      <c r="AA76" s="103">
        <f t="shared" si="56"/>
        <v>0</v>
      </c>
      <c r="AB76" s="103">
        <f t="shared" si="56"/>
        <v>0</v>
      </c>
      <c r="AC76" s="103">
        <f t="shared" si="56"/>
        <v>0</v>
      </c>
      <c r="AD76" s="104">
        <f t="shared" si="56"/>
        <v>0</v>
      </c>
      <c r="AE76" s="104">
        <f t="shared" si="56"/>
        <v>0</v>
      </c>
      <c r="AF76" s="104">
        <f t="shared" si="55"/>
        <v>0</v>
      </c>
    </row>
    <row r="77" spans="1:32" ht="11.25" customHeight="1" x14ac:dyDescent="0.2">
      <c r="A77" s="55"/>
      <c r="B77" s="56"/>
      <c r="C77" s="57"/>
      <c r="D77" s="65" t="s">
        <v>65</v>
      </c>
      <c r="E77" s="90" t="s">
        <v>66</v>
      </c>
      <c r="F77" s="88"/>
      <c r="G77" s="351" t="s">
        <v>301</v>
      </c>
      <c r="H77" s="102"/>
      <c r="I77" s="106"/>
      <c r="J77" s="106"/>
      <c r="K77" s="106"/>
      <c r="L77" s="106"/>
      <c r="M77" s="106"/>
      <c r="N77" s="106"/>
      <c r="O77" s="106"/>
      <c r="P77" s="104">
        <f t="shared" si="53"/>
        <v>0</v>
      </c>
      <c r="Q77" s="106"/>
      <c r="R77" s="106"/>
      <c r="S77" s="106"/>
      <c r="T77" s="106"/>
      <c r="U77" s="106"/>
      <c r="V77" s="106"/>
      <c r="W77" s="106"/>
      <c r="X77" s="104">
        <f t="shared" si="54"/>
        <v>0</v>
      </c>
      <c r="Y77" s="106"/>
      <c r="Z77" s="106"/>
      <c r="AA77" s="106"/>
      <c r="AB77" s="106"/>
      <c r="AC77" s="106"/>
      <c r="AD77" s="107"/>
      <c r="AE77" s="107"/>
      <c r="AF77" s="104">
        <f t="shared" si="55"/>
        <v>0</v>
      </c>
    </row>
    <row r="78" spans="1:32" ht="11.25" customHeight="1" x14ac:dyDescent="0.2">
      <c r="A78" s="61"/>
      <c r="B78" s="62"/>
      <c r="C78" s="69" t="s">
        <v>68</v>
      </c>
      <c r="D78" s="73" t="s">
        <v>69</v>
      </c>
      <c r="F78" s="88"/>
      <c r="G78" s="351" t="s">
        <v>302</v>
      </c>
      <c r="H78" s="102"/>
      <c r="I78" s="103">
        <f>I79+I82</f>
        <v>0</v>
      </c>
      <c r="J78" s="103">
        <f>J79+J82</f>
        <v>0</v>
      </c>
      <c r="K78" s="103">
        <f t="shared" ref="K78:AE78" si="57">K79+K82</f>
        <v>0</v>
      </c>
      <c r="L78" s="103">
        <f t="shared" si="57"/>
        <v>0</v>
      </c>
      <c r="M78" s="103">
        <f t="shared" si="57"/>
        <v>0</v>
      </c>
      <c r="N78" s="103">
        <f t="shared" si="57"/>
        <v>0</v>
      </c>
      <c r="O78" s="103">
        <f t="shared" si="57"/>
        <v>0</v>
      </c>
      <c r="P78" s="104">
        <f t="shared" si="53"/>
        <v>0</v>
      </c>
      <c r="Q78" s="103">
        <f t="shared" si="57"/>
        <v>0</v>
      </c>
      <c r="R78" s="103">
        <f t="shared" si="57"/>
        <v>0</v>
      </c>
      <c r="S78" s="103">
        <f t="shared" si="57"/>
        <v>0</v>
      </c>
      <c r="T78" s="103">
        <f t="shared" si="57"/>
        <v>0</v>
      </c>
      <c r="U78" s="103">
        <f t="shared" si="57"/>
        <v>0</v>
      </c>
      <c r="V78" s="103">
        <f t="shared" si="57"/>
        <v>0</v>
      </c>
      <c r="W78" s="103">
        <f t="shared" si="57"/>
        <v>0</v>
      </c>
      <c r="X78" s="104">
        <f t="shared" si="54"/>
        <v>0</v>
      </c>
      <c r="Y78" s="103">
        <f t="shared" si="57"/>
        <v>0</v>
      </c>
      <c r="Z78" s="103">
        <f t="shared" si="57"/>
        <v>0</v>
      </c>
      <c r="AA78" s="103">
        <f t="shared" si="57"/>
        <v>0</v>
      </c>
      <c r="AB78" s="103">
        <f t="shared" si="57"/>
        <v>0</v>
      </c>
      <c r="AC78" s="103">
        <f t="shared" si="57"/>
        <v>0</v>
      </c>
      <c r="AD78" s="104">
        <f t="shared" si="57"/>
        <v>0</v>
      </c>
      <c r="AE78" s="104">
        <f t="shared" si="57"/>
        <v>0</v>
      </c>
      <c r="AF78" s="104">
        <f t="shared" si="55"/>
        <v>0</v>
      </c>
    </row>
    <row r="79" spans="1:32" ht="11.25" customHeight="1" x14ac:dyDescent="0.2">
      <c r="A79" s="55"/>
      <c r="B79" s="56"/>
      <c r="C79" s="57"/>
      <c r="D79" s="82" t="s">
        <v>71</v>
      </c>
      <c r="E79" s="59" t="s">
        <v>72</v>
      </c>
      <c r="F79" s="88"/>
      <c r="G79" s="351" t="s">
        <v>303</v>
      </c>
      <c r="H79" s="102"/>
      <c r="I79" s="103">
        <f>I80+I81</f>
        <v>0</v>
      </c>
      <c r="J79" s="103">
        <f>J80+J81</f>
        <v>0</v>
      </c>
      <c r="K79" s="103">
        <f t="shared" ref="K79:AE79" si="58">K80+K81</f>
        <v>0</v>
      </c>
      <c r="L79" s="103">
        <f t="shared" si="58"/>
        <v>0</v>
      </c>
      <c r="M79" s="103">
        <f t="shared" si="58"/>
        <v>0</v>
      </c>
      <c r="N79" s="103">
        <f t="shared" si="58"/>
        <v>0</v>
      </c>
      <c r="O79" s="103">
        <f t="shared" si="58"/>
        <v>0</v>
      </c>
      <c r="P79" s="104">
        <f t="shared" si="53"/>
        <v>0</v>
      </c>
      <c r="Q79" s="103">
        <f t="shared" si="58"/>
        <v>0</v>
      </c>
      <c r="R79" s="103">
        <f t="shared" si="58"/>
        <v>0</v>
      </c>
      <c r="S79" s="103">
        <f t="shared" si="58"/>
        <v>0</v>
      </c>
      <c r="T79" s="103">
        <f t="shared" si="58"/>
        <v>0</v>
      </c>
      <c r="U79" s="103">
        <f t="shared" si="58"/>
        <v>0</v>
      </c>
      <c r="V79" s="103">
        <f t="shared" si="58"/>
        <v>0</v>
      </c>
      <c r="W79" s="103">
        <f t="shared" si="58"/>
        <v>0</v>
      </c>
      <c r="X79" s="104">
        <f t="shared" si="54"/>
        <v>0</v>
      </c>
      <c r="Y79" s="103">
        <f t="shared" si="58"/>
        <v>0</v>
      </c>
      <c r="Z79" s="103">
        <f t="shared" si="58"/>
        <v>0</v>
      </c>
      <c r="AA79" s="103">
        <f t="shared" si="58"/>
        <v>0</v>
      </c>
      <c r="AB79" s="103">
        <f t="shared" si="58"/>
        <v>0</v>
      </c>
      <c r="AC79" s="103">
        <f t="shared" si="58"/>
        <v>0</v>
      </c>
      <c r="AD79" s="104">
        <f t="shared" si="58"/>
        <v>0</v>
      </c>
      <c r="AE79" s="104">
        <f t="shared" si="58"/>
        <v>0</v>
      </c>
      <c r="AF79" s="104">
        <f t="shared" si="55"/>
        <v>0</v>
      </c>
    </row>
    <row r="80" spans="1:32" ht="11.25" customHeight="1" x14ac:dyDescent="0.2">
      <c r="A80" s="61"/>
      <c r="B80" s="62"/>
      <c r="C80" s="69"/>
      <c r="D80" s="70" t="s">
        <v>18</v>
      </c>
      <c r="E80" s="63" t="s">
        <v>74</v>
      </c>
      <c r="F80" s="88"/>
      <c r="G80" s="351" t="s">
        <v>304</v>
      </c>
      <c r="H80" s="102"/>
      <c r="I80" s="106"/>
      <c r="J80" s="106"/>
      <c r="K80" s="106"/>
      <c r="L80" s="106"/>
      <c r="M80" s="106"/>
      <c r="N80" s="106"/>
      <c r="O80" s="106"/>
      <c r="P80" s="104">
        <f t="shared" si="53"/>
        <v>0</v>
      </c>
      <c r="Q80" s="106"/>
      <c r="R80" s="106"/>
      <c r="S80" s="106"/>
      <c r="T80" s="106"/>
      <c r="U80" s="106"/>
      <c r="V80" s="106"/>
      <c r="W80" s="106"/>
      <c r="X80" s="104">
        <f t="shared" si="54"/>
        <v>0</v>
      </c>
      <c r="Y80" s="106"/>
      <c r="Z80" s="106"/>
      <c r="AA80" s="106"/>
      <c r="AB80" s="106"/>
      <c r="AC80" s="106"/>
      <c r="AD80" s="107"/>
      <c r="AE80" s="107"/>
      <c r="AF80" s="104">
        <f t="shared" si="55"/>
        <v>0</v>
      </c>
    </row>
    <row r="81" spans="1:34" ht="11.25" customHeight="1" x14ac:dyDescent="0.2">
      <c r="A81" s="55"/>
      <c r="B81" s="56"/>
      <c r="C81" s="71"/>
      <c r="D81" s="72" t="s">
        <v>21</v>
      </c>
      <c r="E81" s="59" t="s">
        <v>76</v>
      </c>
      <c r="F81" s="88"/>
      <c r="G81" s="351" t="s">
        <v>305</v>
      </c>
      <c r="H81" s="102"/>
      <c r="I81" s="106"/>
      <c r="J81" s="106"/>
      <c r="K81" s="106"/>
      <c r="L81" s="106"/>
      <c r="M81" s="106"/>
      <c r="N81" s="106"/>
      <c r="O81" s="106"/>
      <c r="P81" s="104">
        <f t="shared" si="53"/>
        <v>0</v>
      </c>
      <c r="Q81" s="106"/>
      <c r="R81" s="106"/>
      <c r="S81" s="106"/>
      <c r="T81" s="106"/>
      <c r="U81" s="106"/>
      <c r="V81" s="106"/>
      <c r="W81" s="106"/>
      <c r="X81" s="104">
        <f t="shared" si="54"/>
        <v>0</v>
      </c>
      <c r="Y81" s="106"/>
      <c r="Z81" s="106"/>
      <c r="AA81" s="106"/>
      <c r="AB81" s="106"/>
      <c r="AC81" s="106"/>
      <c r="AD81" s="107"/>
      <c r="AE81" s="107"/>
      <c r="AF81" s="104">
        <f t="shared" si="55"/>
        <v>0</v>
      </c>
    </row>
    <row r="82" spans="1:34" ht="11.25" customHeight="1" x14ac:dyDescent="0.2">
      <c r="A82" s="61"/>
      <c r="B82" s="62"/>
      <c r="D82" s="83" t="s">
        <v>78</v>
      </c>
      <c r="E82" s="63" t="s">
        <v>79</v>
      </c>
      <c r="F82" s="88"/>
      <c r="G82" s="351" t="s">
        <v>306</v>
      </c>
      <c r="H82" s="102"/>
      <c r="I82" s="106"/>
      <c r="J82" s="106"/>
      <c r="K82" s="106"/>
      <c r="L82" s="106"/>
      <c r="M82" s="106"/>
      <c r="N82" s="106"/>
      <c r="O82" s="106"/>
      <c r="P82" s="104">
        <f t="shared" si="53"/>
        <v>0</v>
      </c>
      <c r="Q82" s="106"/>
      <c r="R82" s="106"/>
      <c r="S82" s="106"/>
      <c r="T82" s="106"/>
      <c r="U82" s="106"/>
      <c r="V82" s="106"/>
      <c r="W82" s="106"/>
      <c r="X82" s="104">
        <f t="shared" si="54"/>
        <v>0</v>
      </c>
      <c r="Y82" s="106"/>
      <c r="Z82" s="106"/>
      <c r="AA82" s="106"/>
      <c r="AB82" s="106"/>
      <c r="AC82" s="106"/>
      <c r="AD82" s="107"/>
      <c r="AE82" s="107"/>
      <c r="AF82" s="104">
        <f t="shared" si="55"/>
        <v>0</v>
      </c>
    </row>
    <row r="83" spans="1:34" ht="11.25" customHeight="1" x14ac:dyDescent="0.2">
      <c r="A83" s="55"/>
      <c r="B83" s="56"/>
      <c r="C83" s="57" t="s">
        <v>81</v>
      </c>
      <c r="D83" s="68" t="s">
        <v>82</v>
      </c>
      <c r="E83" s="59"/>
      <c r="F83" s="60"/>
      <c r="G83" s="351" t="s">
        <v>307</v>
      </c>
      <c r="H83" s="108"/>
      <c r="I83" s="106"/>
      <c r="J83" s="106"/>
      <c r="K83" s="106"/>
      <c r="L83" s="106"/>
      <c r="M83" s="106"/>
      <c r="N83" s="106"/>
      <c r="O83" s="106"/>
      <c r="P83" s="104">
        <f t="shared" si="53"/>
        <v>0</v>
      </c>
      <c r="Q83" s="106"/>
      <c r="R83" s="106"/>
      <c r="S83" s="106"/>
      <c r="T83" s="106"/>
      <c r="U83" s="106"/>
      <c r="V83" s="106"/>
      <c r="W83" s="106"/>
      <c r="X83" s="104">
        <f t="shared" si="54"/>
        <v>0</v>
      </c>
      <c r="Y83" s="106"/>
      <c r="Z83" s="106"/>
      <c r="AA83" s="106"/>
      <c r="AB83" s="106"/>
      <c r="AC83" s="106"/>
      <c r="AD83" s="107"/>
      <c r="AE83" s="107"/>
      <c r="AF83" s="104">
        <f t="shared" si="55"/>
        <v>0</v>
      </c>
    </row>
    <row r="84" spans="1:34" ht="11.25" customHeight="1" x14ac:dyDescent="0.2">
      <c r="A84" s="61"/>
      <c r="B84" s="62"/>
      <c r="C84" s="69" t="s">
        <v>84</v>
      </c>
      <c r="D84" s="418" t="s">
        <v>85</v>
      </c>
      <c r="E84" s="419"/>
      <c r="F84" s="420"/>
      <c r="G84" s="351" t="s">
        <v>308</v>
      </c>
      <c r="H84" s="108"/>
      <c r="I84" s="103">
        <f>I85+I86</f>
        <v>0</v>
      </c>
      <c r="J84" s="103">
        <f>J85+J86</f>
        <v>0</v>
      </c>
      <c r="K84" s="103">
        <f t="shared" ref="K84:AE84" si="59">K85+K86</f>
        <v>0</v>
      </c>
      <c r="L84" s="103">
        <f t="shared" si="59"/>
        <v>0</v>
      </c>
      <c r="M84" s="103">
        <f t="shared" si="59"/>
        <v>0</v>
      </c>
      <c r="N84" s="103">
        <f t="shared" si="59"/>
        <v>0</v>
      </c>
      <c r="O84" s="103">
        <f t="shared" si="59"/>
        <v>0</v>
      </c>
      <c r="P84" s="104">
        <f t="shared" si="53"/>
        <v>0</v>
      </c>
      <c r="Q84" s="103">
        <f t="shared" si="59"/>
        <v>0</v>
      </c>
      <c r="R84" s="103">
        <f t="shared" si="59"/>
        <v>0</v>
      </c>
      <c r="S84" s="103">
        <f t="shared" si="59"/>
        <v>0</v>
      </c>
      <c r="T84" s="103">
        <f t="shared" si="59"/>
        <v>0</v>
      </c>
      <c r="U84" s="103">
        <f t="shared" si="59"/>
        <v>0</v>
      </c>
      <c r="V84" s="103">
        <f t="shared" si="59"/>
        <v>0</v>
      </c>
      <c r="W84" s="103">
        <f t="shared" si="59"/>
        <v>0</v>
      </c>
      <c r="X84" s="104">
        <f t="shared" si="54"/>
        <v>0</v>
      </c>
      <c r="Y84" s="103">
        <f t="shared" si="59"/>
        <v>0</v>
      </c>
      <c r="Z84" s="103">
        <f t="shared" si="59"/>
        <v>0</v>
      </c>
      <c r="AA84" s="103">
        <f t="shared" si="59"/>
        <v>0</v>
      </c>
      <c r="AB84" s="103">
        <f t="shared" si="59"/>
        <v>0</v>
      </c>
      <c r="AC84" s="103">
        <f t="shared" si="59"/>
        <v>0</v>
      </c>
      <c r="AD84" s="104">
        <f t="shared" si="59"/>
        <v>0</v>
      </c>
      <c r="AE84" s="104">
        <f t="shared" si="59"/>
        <v>0</v>
      </c>
      <c r="AF84" s="104">
        <f t="shared" si="55"/>
        <v>0</v>
      </c>
    </row>
    <row r="85" spans="1:34" ht="11.25" customHeight="1" x14ac:dyDescent="0.2">
      <c r="A85" s="55"/>
      <c r="B85" s="56"/>
      <c r="C85" s="57"/>
      <c r="D85" s="72" t="s">
        <v>18</v>
      </c>
      <c r="E85" s="59" t="s">
        <v>87</v>
      </c>
      <c r="F85" s="60"/>
      <c r="G85" s="351" t="s">
        <v>309</v>
      </c>
      <c r="H85" s="108"/>
      <c r="I85" s="106"/>
      <c r="J85" s="106"/>
      <c r="K85" s="106"/>
      <c r="L85" s="106"/>
      <c r="M85" s="106"/>
      <c r="N85" s="106"/>
      <c r="O85" s="106"/>
      <c r="P85" s="104">
        <f t="shared" si="53"/>
        <v>0</v>
      </c>
      <c r="Q85" s="106"/>
      <c r="R85" s="106"/>
      <c r="S85" s="106"/>
      <c r="T85" s="106"/>
      <c r="U85" s="106"/>
      <c r="V85" s="106"/>
      <c r="W85" s="106"/>
      <c r="X85" s="104">
        <f t="shared" si="54"/>
        <v>0</v>
      </c>
      <c r="Y85" s="106"/>
      <c r="Z85" s="106"/>
      <c r="AA85" s="106"/>
      <c r="AB85" s="106"/>
      <c r="AC85" s="106"/>
      <c r="AD85" s="107"/>
      <c r="AE85" s="107"/>
      <c r="AF85" s="104">
        <f t="shared" si="55"/>
        <v>0</v>
      </c>
    </row>
    <row r="86" spans="1:34" ht="11.25" customHeight="1" x14ac:dyDescent="0.2">
      <c r="A86" s="61"/>
      <c r="B86" s="62"/>
      <c r="D86" s="70" t="s">
        <v>21</v>
      </c>
      <c r="E86" s="63" t="s">
        <v>89</v>
      </c>
      <c r="F86" s="60"/>
      <c r="G86" s="351" t="s">
        <v>310</v>
      </c>
      <c r="H86" s="108"/>
      <c r="I86" s="109"/>
      <c r="J86" s="109"/>
      <c r="K86" s="109"/>
      <c r="L86" s="109"/>
      <c r="M86" s="109"/>
      <c r="N86" s="106"/>
      <c r="O86" s="106"/>
      <c r="P86" s="104">
        <f t="shared" si="53"/>
        <v>0</v>
      </c>
      <c r="Q86" s="109"/>
      <c r="R86" s="109"/>
      <c r="S86" s="109"/>
      <c r="T86" s="109"/>
      <c r="U86" s="109"/>
      <c r="V86" s="106"/>
      <c r="W86" s="106"/>
      <c r="X86" s="104">
        <f t="shared" si="54"/>
        <v>0</v>
      </c>
      <c r="Y86" s="109"/>
      <c r="Z86" s="109"/>
      <c r="AA86" s="109"/>
      <c r="AB86" s="109"/>
      <c r="AC86" s="109"/>
      <c r="AD86" s="107"/>
      <c r="AE86" s="107"/>
      <c r="AF86" s="104">
        <f t="shared" si="55"/>
        <v>0</v>
      </c>
    </row>
    <row r="87" spans="1:34" ht="11.25" customHeight="1" x14ac:dyDescent="0.2">
      <c r="A87" s="55"/>
      <c r="B87" s="75" t="s">
        <v>95</v>
      </c>
      <c r="C87" s="76" t="s">
        <v>96</v>
      </c>
      <c r="D87" s="65"/>
      <c r="E87" s="59"/>
      <c r="F87" s="60"/>
      <c r="G87" s="351" t="s">
        <v>311</v>
      </c>
      <c r="H87" s="108"/>
      <c r="I87" s="110"/>
      <c r="J87" s="103">
        <f t="shared" ref="J87:O87" si="60">J88+J95+J98+J99</f>
        <v>0</v>
      </c>
      <c r="K87" s="103">
        <f t="shared" si="60"/>
        <v>0</v>
      </c>
      <c r="L87" s="103">
        <f t="shared" si="60"/>
        <v>0</v>
      </c>
      <c r="M87" s="103">
        <f t="shared" si="60"/>
        <v>0</v>
      </c>
      <c r="N87" s="103">
        <f t="shared" si="60"/>
        <v>0</v>
      </c>
      <c r="O87" s="103">
        <f t="shared" si="60"/>
        <v>0</v>
      </c>
      <c r="P87" s="104">
        <f t="shared" si="53"/>
        <v>0</v>
      </c>
      <c r="Q87" s="103">
        <f>Q88+Q95+Q98+Q99</f>
        <v>0</v>
      </c>
      <c r="R87" s="110"/>
      <c r="S87" s="110"/>
      <c r="T87" s="103">
        <f>T88+T95+T98+T99</f>
        <v>0</v>
      </c>
      <c r="U87" s="103">
        <f>U88+U95+U98+U99</f>
        <v>0</v>
      </c>
      <c r="V87" s="103">
        <f>V88+V95+V98+V99</f>
        <v>0</v>
      </c>
      <c r="W87" s="103">
        <f>W88+W95+W98+W99</f>
        <v>0</v>
      </c>
      <c r="X87" s="104">
        <f t="shared" si="54"/>
        <v>0</v>
      </c>
      <c r="Y87" s="103">
        <f>Y88+Y95+Y98+Y99</f>
        <v>0</v>
      </c>
      <c r="Z87" s="110"/>
      <c r="AA87" s="110"/>
      <c r="AB87" s="103">
        <f>AB88+AB95+AB98+AB99</f>
        <v>0</v>
      </c>
      <c r="AC87" s="103">
        <f>AC88+AC95+AC98+AC99</f>
        <v>0</v>
      </c>
      <c r="AD87" s="104">
        <f>AD88+AD95+AD98+AD99</f>
        <v>0</v>
      </c>
      <c r="AE87" s="104">
        <f>AE88+AE95+AE98+AE99</f>
        <v>0</v>
      </c>
      <c r="AF87" s="104">
        <f t="shared" si="55"/>
        <v>0</v>
      </c>
    </row>
    <row r="88" spans="1:34" ht="11.25" customHeight="1" x14ac:dyDescent="0.2">
      <c r="A88" s="61"/>
      <c r="B88" s="62"/>
      <c r="C88" s="63" t="s">
        <v>62</v>
      </c>
      <c r="D88" s="73" t="s">
        <v>98</v>
      </c>
      <c r="F88" s="60"/>
      <c r="G88" s="351" t="s">
        <v>312</v>
      </c>
      <c r="H88" s="108"/>
      <c r="I88" s="110"/>
      <c r="J88" s="103">
        <f t="shared" ref="J88:O88" si="61">J89+J92</f>
        <v>0</v>
      </c>
      <c r="K88" s="103">
        <f t="shared" si="61"/>
        <v>0</v>
      </c>
      <c r="L88" s="103">
        <f t="shared" si="61"/>
        <v>0</v>
      </c>
      <c r="M88" s="103">
        <f t="shared" si="61"/>
        <v>0</v>
      </c>
      <c r="N88" s="103">
        <f t="shared" si="61"/>
        <v>0</v>
      </c>
      <c r="O88" s="103">
        <f t="shared" si="61"/>
        <v>0</v>
      </c>
      <c r="P88" s="104">
        <f t="shared" si="53"/>
        <v>0</v>
      </c>
      <c r="Q88" s="103">
        <f>Q89+Q92</f>
        <v>0</v>
      </c>
      <c r="R88" s="110"/>
      <c r="S88" s="110"/>
      <c r="T88" s="103">
        <f>T89+T92</f>
        <v>0</v>
      </c>
      <c r="U88" s="103">
        <f>U89+U92</f>
        <v>0</v>
      </c>
      <c r="V88" s="103">
        <f>V89+V92</f>
        <v>0</v>
      </c>
      <c r="W88" s="103">
        <f>W89+W92</f>
        <v>0</v>
      </c>
      <c r="X88" s="104">
        <f t="shared" si="54"/>
        <v>0</v>
      </c>
      <c r="Y88" s="103">
        <f>Y89+Y92</f>
        <v>0</v>
      </c>
      <c r="Z88" s="110"/>
      <c r="AA88" s="110"/>
      <c r="AB88" s="103">
        <f>AB89+AB92</f>
        <v>0</v>
      </c>
      <c r="AC88" s="103">
        <f>AC89+AC92</f>
        <v>0</v>
      </c>
      <c r="AD88" s="104">
        <f>AD89+AD92</f>
        <v>0</v>
      </c>
      <c r="AE88" s="104">
        <f>AE89+AE92</f>
        <v>0</v>
      </c>
      <c r="AF88" s="104">
        <f t="shared" si="55"/>
        <v>0</v>
      </c>
      <c r="AG88" s="21"/>
      <c r="AH88" s="21"/>
    </row>
    <row r="89" spans="1:34" ht="11.25" customHeight="1" x14ac:dyDescent="0.2">
      <c r="A89" s="55"/>
      <c r="B89" s="56"/>
      <c r="C89" s="57"/>
      <c r="D89" s="65">
        <v>-1</v>
      </c>
      <c r="E89" s="59" t="s">
        <v>100</v>
      </c>
      <c r="F89" s="60"/>
      <c r="G89" s="351" t="s">
        <v>313</v>
      </c>
      <c r="H89" s="108"/>
      <c r="I89" s="110"/>
      <c r="J89" s="103">
        <f t="shared" ref="J89:O89" si="62">J90+J91</f>
        <v>0</v>
      </c>
      <c r="K89" s="103">
        <f t="shared" si="62"/>
        <v>0</v>
      </c>
      <c r="L89" s="103">
        <f t="shared" si="62"/>
        <v>0</v>
      </c>
      <c r="M89" s="103">
        <f t="shared" si="62"/>
        <v>0</v>
      </c>
      <c r="N89" s="103">
        <f t="shared" si="62"/>
        <v>0</v>
      </c>
      <c r="O89" s="103">
        <f t="shared" si="62"/>
        <v>0</v>
      </c>
      <c r="P89" s="104">
        <f t="shared" si="53"/>
        <v>0</v>
      </c>
      <c r="Q89" s="103">
        <f>Q90+Q91</f>
        <v>0</v>
      </c>
      <c r="R89" s="110"/>
      <c r="S89" s="110"/>
      <c r="T89" s="103">
        <f>T90+T91</f>
        <v>0</v>
      </c>
      <c r="U89" s="103">
        <f>U90+U91</f>
        <v>0</v>
      </c>
      <c r="V89" s="103">
        <f>V90+V91</f>
        <v>0</v>
      </c>
      <c r="W89" s="103">
        <f>W90+W91</f>
        <v>0</v>
      </c>
      <c r="X89" s="104">
        <f t="shared" si="54"/>
        <v>0</v>
      </c>
      <c r="Y89" s="103">
        <f>Y90+Y91</f>
        <v>0</v>
      </c>
      <c r="Z89" s="110"/>
      <c r="AA89" s="110"/>
      <c r="AB89" s="103">
        <f>AB90+AB91</f>
        <v>0</v>
      </c>
      <c r="AC89" s="103">
        <f>AC90+AC91</f>
        <v>0</v>
      </c>
      <c r="AD89" s="104">
        <f>AD90+AD91</f>
        <v>0</v>
      </c>
      <c r="AE89" s="104">
        <f>AE90+AE91</f>
        <v>0</v>
      </c>
      <c r="AF89" s="104">
        <f t="shared" si="55"/>
        <v>0</v>
      </c>
      <c r="AG89" s="21"/>
      <c r="AH89" s="21"/>
    </row>
    <row r="90" spans="1:34" ht="11.25" customHeight="1" x14ac:dyDescent="0.2">
      <c r="A90" s="61"/>
      <c r="B90" s="62"/>
      <c r="D90" s="64" t="s">
        <v>102</v>
      </c>
      <c r="E90" s="63" t="s">
        <v>87</v>
      </c>
      <c r="F90" s="60"/>
      <c r="G90" s="351" t="s">
        <v>314</v>
      </c>
      <c r="H90" s="108"/>
      <c r="I90" s="109"/>
      <c r="J90" s="106"/>
      <c r="K90" s="106"/>
      <c r="L90" s="106"/>
      <c r="M90" s="106"/>
      <c r="N90" s="106"/>
      <c r="O90" s="106"/>
      <c r="P90" s="104">
        <f t="shared" si="53"/>
        <v>0</v>
      </c>
      <c r="Q90" s="107"/>
      <c r="R90" s="109"/>
      <c r="S90" s="109"/>
      <c r="T90" s="106"/>
      <c r="U90" s="106"/>
      <c r="V90" s="106"/>
      <c r="W90" s="106"/>
      <c r="X90" s="104">
        <f t="shared" si="54"/>
        <v>0</v>
      </c>
      <c r="Y90" s="107"/>
      <c r="Z90" s="109"/>
      <c r="AA90" s="109"/>
      <c r="AB90" s="106"/>
      <c r="AC90" s="106"/>
      <c r="AD90" s="107"/>
      <c r="AE90" s="107"/>
      <c r="AF90" s="104">
        <f t="shared" si="55"/>
        <v>0</v>
      </c>
      <c r="AG90" s="21"/>
      <c r="AH90" s="21"/>
    </row>
    <row r="91" spans="1:34" ht="11.25" customHeight="1" x14ac:dyDescent="0.2">
      <c r="A91" s="55"/>
      <c r="B91" s="56"/>
      <c r="C91" s="57"/>
      <c r="D91" s="58" t="s">
        <v>104</v>
      </c>
      <c r="E91" s="59" t="s">
        <v>89</v>
      </c>
      <c r="F91" s="60"/>
      <c r="G91" s="351" t="s">
        <v>315</v>
      </c>
      <c r="H91" s="108"/>
      <c r="I91" s="109"/>
      <c r="J91" s="106"/>
      <c r="K91" s="106"/>
      <c r="L91" s="106"/>
      <c r="M91" s="106"/>
      <c r="N91" s="106"/>
      <c r="O91" s="106"/>
      <c r="P91" s="104">
        <f t="shared" si="53"/>
        <v>0</v>
      </c>
      <c r="Q91" s="107"/>
      <c r="R91" s="109"/>
      <c r="S91" s="109"/>
      <c r="T91" s="106"/>
      <c r="U91" s="106"/>
      <c r="V91" s="106"/>
      <c r="W91" s="106"/>
      <c r="X91" s="104">
        <f t="shared" si="54"/>
        <v>0</v>
      </c>
      <c r="Y91" s="107"/>
      <c r="Z91" s="109"/>
      <c r="AA91" s="109"/>
      <c r="AB91" s="106"/>
      <c r="AC91" s="106"/>
      <c r="AD91" s="107"/>
      <c r="AE91" s="107"/>
      <c r="AF91" s="104">
        <f t="shared" si="55"/>
        <v>0</v>
      </c>
      <c r="AG91" s="21"/>
      <c r="AH91" s="21"/>
    </row>
    <row r="92" spans="1:34" ht="11.25" customHeight="1" x14ac:dyDescent="0.2">
      <c r="A92" s="61"/>
      <c r="B92" s="62"/>
      <c r="D92" s="66">
        <v>-2</v>
      </c>
      <c r="E92" s="63" t="s">
        <v>106</v>
      </c>
      <c r="F92" s="60"/>
      <c r="G92" s="351" t="s">
        <v>316</v>
      </c>
      <c r="H92" s="108"/>
      <c r="I92" s="110"/>
      <c r="J92" s="104">
        <f t="shared" ref="J92:O92" si="63">J93+J94</f>
        <v>0</v>
      </c>
      <c r="K92" s="104">
        <f t="shared" si="63"/>
        <v>0</v>
      </c>
      <c r="L92" s="104">
        <f t="shared" si="63"/>
        <v>0</v>
      </c>
      <c r="M92" s="104">
        <f t="shared" si="63"/>
        <v>0</v>
      </c>
      <c r="N92" s="104">
        <f t="shared" si="63"/>
        <v>0</v>
      </c>
      <c r="O92" s="104">
        <f t="shared" si="63"/>
        <v>0</v>
      </c>
      <c r="P92" s="104">
        <f t="shared" si="53"/>
        <v>0</v>
      </c>
      <c r="Q92" s="104">
        <f t="shared" ref="Q92:W92" si="64">Q93+Q94</f>
        <v>0</v>
      </c>
      <c r="R92" s="110"/>
      <c r="S92" s="110"/>
      <c r="T92" s="104">
        <f t="shared" si="64"/>
        <v>0</v>
      </c>
      <c r="U92" s="104">
        <f t="shared" si="64"/>
        <v>0</v>
      </c>
      <c r="V92" s="104">
        <f t="shared" si="64"/>
        <v>0</v>
      </c>
      <c r="W92" s="104">
        <f t="shared" si="64"/>
        <v>0</v>
      </c>
      <c r="X92" s="104">
        <f t="shared" si="54"/>
        <v>0</v>
      </c>
      <c r="Y92" s="104">
        <f t="shared" ref="Y92:AE92" si="65">Y93+Y94</f>
        <v>0</v>
      </c>
      <c r="Z92" s="110"/>
      <c r="AA92" s="110"/>
      <c r="AB92" s="104">
        <f t="shared" si="65"/>
        <v>0</v>
      </c>
      <c r="AC92" s="104">
        <f t="shared" si="65"/>
        <v>0</v>
      </c>
      <c r="AD92" s="104">
        <f t="shared" si="65"/>
        <v>0</v>
      </c>
      <c r="AE92" s="104">
        <f t="shared" si="65"/>
        <v>0</v>
      </c>
      <c r="AF92" s="104">
        <f t="shared" si="55"/>
        <v>0</v>
      </c>
    </row>
    <row r="93" spans="1:34" ht="11.25" customHeight="1" x14ac:dyDescent="0.2">
      <c r="A93" s="55"/>
      <c r="B93" s="56"/>
      <c r="C93" s="57"/>
      <c r="D93" s="58" t="s">
        <v>108</v>
      </c>
      <c r="E93" s="59" t="s">
        <v>87</v>
      </c>
      <c r="F93" s="60"/>
      <c r="G93" s="351" t="s">
        <v>317</v>
      </c>
      <c r="H93" s="108"/>
      <c r="I93" s="109"/>
      <c r="J93" s="106"/>
      <c r="K93" s="106"/>
      <c r="L93" s="106"/>
      <c r="M93" s="106"/>
      <c r="N93" s="106"/>
      <c r="O93" s="106"/>
      <c r="P93" s="104">
        <f t="shared" si="53"/>
        <v>0</v>
      </c>
      <c r="Q93" s="107"/>
      <c r="R93" s="109"/>
      <c r="S93" s="109"/>
      <c r="T93" s="106"/>
      <c r="U93" s="106"/>
      <c r="V93" s="106"/>
      <c r="W93" s="106"/>
      <c r="X93" s="104">
        <f t="shared" si="54"/>
        <v>0</v>
      </c>
      <c r="Y93" s="107"/>
      <c r="Z93" s="109"/>
      <c r="AA93" s="109"/>
      <c r="AB93" s="106"/>
      <c r="AC93" s="106"/>
      <c r="AD93" s="107"/>
      <c r="AE93" s="107"/>
      <c r="AF93" s="104">
        <f t="shared" si="55"/>
        <v>0</v>
      </c>
    </row>
    <row r="94" spans="1:34" ht="11.25" customHeight="1" x14ac:dyDescent="0.2">
      <c r="A94" s="61"/>
      <c r="B94" s="62"/>
      <c r="D94" s="64" t="s">
        <v>110</v>
      </c>
      <c r="E94" s="63" t="s">
        <v>89</v>
      </c>
      <c r="F94" s="60"/>
      <c r="G94" s="351" t="s">
        <v>318</v>
      </c>
      <c r="H94" s="108"/>
      <c r="I94" s="109"/>
      <c r="J94" s="106"/>
      <c r="K94" s="106"/>
      <c r="L94" s="106"/>
      <c r="M94" s="106"/>
      <c r="N94" s="106"/>
      <c r="O94" s="106"/>
      <c r="P94" s="104">
        <f t="shared" si="53"/>
        <v>0</v>
      </c>
      <c r="Q94" s="107"/>
      <c r="R94" s="109"/>
      <c r="S94" s="109"/>
      <c r="T94" s="106"/>
      <c r="U94" s="106"/>
      <c r="V94" s="106"/>
      <c r="W94" s="106"/>
      <c r="X94" s="104">
        <f t="shared" si="54"/>
        <v>0</v>
      </c>
      <c r="Y94" s="107"/>
      <c r="Z94" s="109"/>
      <c r="AA94" s="109"/>
      <c r="AB94" s="106"/>
      <c r="AC94" s="106"/>
      <c r="AD94" s="107"/>
      <c r="AE94" s="107"/>
      <c r="AF94" s="104">
        <f t="shared" si="55"/>
        <v>0</v>
      </c>
    </row>
    <row r="95" spans="1:34" ht="11.25" customHeight="1" x14ac:dyDescent="0.2">
      <c r="A95" s="55"/>
      <c r="B95" s="56"/>
      <c r="C95" s="57" t="s">
        <v>68</v>
      </c>
      <c r="D95" s="68" t="s">
        <v>118</v>
      </c>
      <c r="E95" s="59"/>
      <c r="F95" s="60"/>
      <c r="G95" s="351" t="s">
        <v>319</v>
      </c>
      <c r="H95" s="108"/>
      <c r="I95" s="110"/>
      <c r="J95" s="103">
        <f t="shared" ref="J95:O95" si="66">J96+J97</f>
        <v>0</v>
      </c>
      <c r="K95" s="103">
        <f t="shared" si="66"/>
        <v>0</v>
      </c>
      <c r="L95" s="103">
        <f t="shared" si="66"/>
        <v>0</v>
      </c>
      <c r="M95" s="103">
        <f t="shared" si="66"/>
        <v>0</v>
      </c>
      <c r="N95" s="103">
        <f t="shared" si="66"/>
        <v>0</v>
      </c>
      <c r="O95" s="103">
        <f t="shared" si="66"/>
        <v>0</v>
      </c>
      <c r="P95" s="104">
        <f t="shared" si="53"/>
        <v>0</v>
      </c>
      <c r="Q95" s="103">
        <f t="shared" ref="Q95:W95" si="67">Q96+Q97</f>
        <v>0</v>
      </c>
      <c r="R95" s="110"/>
      <c r="S95" s="110"/>
      <c r="T95" s="103">
        <f t="shared" si="67"/>
        <v>0</v>
      </c>
      <c r="U95" s="103">
        <f t="shared" si="67"/>
        <v>0</v>
      </c>
      <c r="V95" s="103">
        <f t="shared" si="67"/>
        <v>0</v>
      </c>
      <c r="W95" s="103">
        <f t="shared" si="67"/>
        <v>0</v>
      </c>
      <c r="X95" s="104">
        <f t="shared" si="54"/>
        <v>0</v>
      </c>
      <c r="Y95" s="103">
        <f t="shared" ref="Y95:AE95" si="68">Y96+Y97</f>
        <v>0</v>
      </c>
      <c r="Z95" s="110"/>
      <c r="AA95" s="110"/>
      <c r="AB95" s="103">
        <f t="shared" si="68"/>
        <v>0</v>
      </c>
      <c r="AC95" s="103">
        <f t="shared" si="68"/>
        <v>0</v>
      </c>
      <c r="AD95" s="104">
        <f t="shared" si="68"/>
        <v>0</v>
      </c>
      <c r="AE95" s="104">
        <f t="shared" si="68"/>
        <v>0</v>
      </c>
      <c r="AF95" s="104">
        <f t="shared" si="55"/>
        <v>0</v>
      </c>
    </row>
    <row r="96" spans="1:34" ht="11.25" customHeight="1" x14ac:dyDescent="0.2">
      <c r="A96" s="61"/>
      <c r="B96" s="62"/>
      <c r="C96" s="69"/>
      <c r="D96" s="70" t="s">
        <v>18</v>
      </c>
      <c r="E96" s="63" t="s">
        <v>120</v>
      </c>
      <c r="F96" s="60"/>
      <c r="G96" s="351" t="s">
        <v>320</v>
      </c>
      <c r="H96" s="108"/>
      <c r="I96" s="109"/>
      <c r="J96" s="106"/>
      <c r="K96" s="106"/>
      <c r="L96" s="106"/>
      <c r="M96" s="106"/>
      <c r="N96" s="106"/>
      <c r="O96" s="106"/>
      <c r="P96" s="104">
        <f t="shared" si="53"/>
        <v>0</v>
      </c>
      <c r="Q96" s="107"/>
      <c r="R96" s="109"/>
      <c r="S96" s="109"/>
      <c r="T96" s="106"/>
      <c r="U96" s="106"/>
      <c r="V96" s="106"/>
      <c r="W96" s="106"/>
      <c r="X96" s="104">
        <f t="shared" si="54"/>
        <v>0</v>
      </c>
      <c r="Y96" s="107"/>
      <c r="Z96" s="109"/>
      <c r="AA96" s="109"/>
      <c r="AB96" s="106"/>
      <c r="AC96" s="106"/>
      <c r="AD96" s="107"/>
      <c r="AE96" s="107"/>
      <c r="AF96" s="104">
        <f t="shared" si="55"/>
        <v>0</v>
      </c>
    </row>
    <row r="97" spans="1:32" ht="11.25" customHeight="1" x14ac:dyDescent="0.2">
      <c r="A97" s="55"/>
      <c r="B97" s="56"/>
      <c r="C97" s="71"/>
      <c r="D97" s="72" t="s">
        <v>21</v>
      </c>
      <c r="E97" s="59" t="s">
        <v>122</v>
      </c>
      <c r="F97" s="60"/>
      <c r="G97" s="351" t="s">
        <v>321</v>
      </c>
      <c r="H97" s="108"/>
      <c r="I97" s="109"/>
      <c r="J97" s="106"/>
      <c r="K97" s="106"/>
      <c r="L97" s="106"/>
      <c r="M97" s="106"/>
      <c r="N97" s="106"/>
      <c r="O97" s="106"/>
      <c r="P97" s="104">
        <f t="shared" si="53"/>
        <v>0</v>
      </c>
      <c r="Q97" s="107"/>
      <c r="R97" s="109"/>
      <c r="S97" s="109"/>
      <c r="T97" s="106"/>
      <c r="U97" s="106"/>
      <c r="V97" s="106"/>
      <c r="W97" s="106"/>
      <c r="X97" s="104">
        <f t="shared" si="54"/>
        <v>0</v>
      </c>
      <c r="Y97" s="107"/>
      <c r="Z97" s="109"/>
      <c r="AA97" s="109"/>
      <c r="AB97" s="106"/>
      <c r="AC97" s="106"/>
      <c r="AD97" s="107"/>
      <c r="AE97" s="107"/>
      <c r="AF97" s="104">
        <f t="shared" si="55"/>
        <v>0</v>
      </c>
    </row>
    <row r="98" spans="1:32" ht="11.25" customHeight="1" x14ac:dyDescent="0.2">
      <c r="A98" s="61"/>
      <c r="B98" s="62"/>
      <c r="C98" s="63" t="s">
        <v>81</v>
      </c>
      <c r="D98" s="73" t="s">
        <v>124</v>
      </c>
      <c r="F98" s="60"/>
      <c r="G98" s="351" t="s">
        <v>322</v>
      </c>
      <c r="H98" s="108"/>
      <c r="I98" s="109"/>
      <c r="J98" s="106"/>
      <c r="K98" s="106"/>
      <c r="L98" s="106"/>
      <c r="M98" s="106"/>
      <c r="N98" s="106"/>
      <c r="O98" s="106"/>
      <c r="P98" s="104">
        <f t="shared" si="53"/>
        <v>0</v>
      </c>
      <c r="Q98" s="107"/>
      <c r="R98" s="109"/>
      <c r="S98" s="109"/>
      <c r="T98" s="106"/>
      <c r="U98" s="106"/>
      <c r="V98" s="106"/>
      <c r="W98" s="106"/>
      <c r="X98" s="104">
        <f t="shared" si="54"/>
        <v>0</v>
      </c>
      <c r="Y98" s="107"/>
      <c r="Z98" s="109"/>
      <c r="AA98" s="109"/>
      <c r="AB98" s="106"/>
      <c r="AC98" s="106"/>
      <c r="AD98" s="107"/>
      <c r="AE98" s="107"/>
      <c r="AF98" s="104">
        <f t="shared" si="55"/>
        <v>0</v>
      </c>
    </row>
    <row r="99" spans="1:32" ht="11.25" customHeight="1" x14ac:dyDescent="0.2">
      <c r="A99" s="55"/>
      <c r="B99" s="56"/>
      <c r="C99" s="71" t="s">
        <v>126</v>
      </c>
      <c r="D99" s="415" t="s">
        <v>127</v>
      </c>
      <c r="E99" s="416"/>
      <c r="F99" s="417"/>
      <c r="G99" s="351" t="s">
        <v>323</v>
      </c>
      <c r="H99" s="108"/>
      <c r="I99" s="110"/>
      <c r="J99" s="103">
        <f t="shared" ref="J99:O99" si="69">J100+J103</f>
        <v>0</v>
      </c>
      <c r="K99" s="103">
        <f t="shared" si="69"/>
        <v>0</v>
      </c>
      <c r="L99" s="103">
        <f t="shared" si="69"/>
        <v>0</v>
      </c>
      <c r="M99" s="103">
        <f t="shared" si="69"/>
        <v>0</v>
      </c>
      <c r="N99" s="103">
        <f t="shared" si="69"/>
        <v>0</v>
      </c>
      <c r="O99" s="103">
        <f t="shared" si="69"/>
        <v>0</v>
      </c>
      <c r="P99" s="104">
        <f t="shared" si="53"/>
        <v>0</v>
      </c>
      <c r="Q99" s="103">
        <f>Q100+Q103</f>
        <v>0</v>
      </c>
      <c r="R99" s="110"/>
      <c r="S99" s="110"/>
      <c r="T99" s="103">
        <f>T100+T103</f>
        <v>0</v>
      </c>
      <c r="U99" s="103">
        <f>U100+U103</f>
        <v>0</v>
      </c>
      <c r="V99" s="103">
        <f>V100+V103</f>
        <v>0</v>
      </c>
      <c r="W99" s="103">
        <f>W100+W103</f>
        <v>0</v>
      </c>
      <c r="X99" s="104">
        <f t="shared" si="54"/>
        <v>0</v>
      </c>
      <c r="Y99" s="103">
        <f>Y100+Y103</f>
        <v>0</v>
      </c>
      <c r="Z99" s="110"/>
      <c r="AA99" s="110"/>
      <c r="AB99" s="103">
        <f>AB100+AB103</f>
        <v>0</v>
      </c>
      <c r="AC99" s="103">
        <f>AC100+AC103</f>
        <v>0</v>
      </c>
      <c r="AD99" s="104">
        <f>AD100+AD103</f>
        <v>0</v>
      </c>
      <c r="AE99" s="104">
        <f>AE100+AE103</f>
        <v>0</v>
      </c>
      <c r="AF99" s="104">
        <f t="shared" si="55"/>
        <v>0</v>
      </c>
    </row>
    <row r="100" spans="1:32" ht="11.25" customHeight="1" x14ac:dyDescent="0.2">
      <c r="A100" s="61"/>
      <c r="B100" s="62"/>
      <c r="D100" s="70" t="s">
        <v>18</v>
      </c>
      <c r="E100" s="63" t="s">
        <v>87</v>
      </c>
      <c r="F100" s="60"/>
      <c r="G100" s="351" t="s">
        <v>324</v>
      </c>
      <c r="H100" s="108"/>
      <c r="I100" s="110"/>
      <c r="J100" s="103">
        <f t="shared" ref="J100:O100" si="70">J101+J102</f>
        <v>0</v>
      </c>
      <c r="K100" s="103">
        <f t="shared" si="70"/>
        <v>0</v>
      </c>
      <c r="L100" s="103">
        <f t="shared" si="70"/>
        <v>0</v>
      </c>
      <c r="M100" s="103">
        <f t="shared" si="70"/>
        <v>0</v>
      </c>
      <c r="N100" s="103">
        <f t="shared" si="70"/>
        <v>0</v>
      </c>
      <c r="O100" s="103">
        <f t="shared" si="70"/>
        <v>0</v>
      </c>
      <c r="P100" s="104">
        <f t="shared" si="53"/>
        <v>0</v>
      </c>
      <c r="Q100" s="103">
        <f>Q101+Q102</f>
        <v>0</v>
      </c>
      <c r="R100" s="110"/>
      <c r="S100" s="110"/>
      <c r="T100" s="103">
        <f>T101+T102</f>
        <v>0</v>
      </c>
      <c r="U100" s="103">
        <f>U101+U102</f>
        <v>0</v>
      </c>
      <c r="V100" s="103">
        <f>V101+V102</f>
        <v>0</v>
      </c>
      <c r="W100" s="103">
        <f>W101+W102</f>
        <v>0</v>
      </c>
      <c r="X100" s="104">
        <f t="shared" si="54"/>
        <v>0</v>
      </c>
      <c r="Y100" s="103">
        <f>Y101+Y102</f>
        <v>0</v>
      </c>
      <c r="Z100" s="110"/>
      <c r="AA100" s="110"/>
      <c r="AB100" s="103">
        <f>AB101+AB102</f>
        <v>0</v>
      </c>
      <c r="AC100" s="103">
        <f>AC101+AC102</f>
        <v>0</v>
      </c>
      <c r="AD100" s="104">
        <f>AD101+AD102</f>
        <v>0</v>
      </c>
      <c r="AE100" s="104">
        <f>AE101+AE102</f>
        <v>0</v>
      </c>
      <c r="AF100" s="104">
        <f t="shared" si="55"/>
        <v>0</v>
      </c>
    </row>
    <row r="101" spans="1:32" ht="11.25" customHeight="1" x14ac:dyDescent="0.2">
      <c r="A101" s="55"/>
      <c r="B101" s="56"/>
      <c r="C101" s="57"/>
      <c r="D101" s="58" t="s">
        <v>102</v>
      </c>
      <c r="E101" s="59" t="s">
        <v>130</v>
      </c>
      <c r="F101" s="60"/>
      <c r="G101" s="351" t="s">
        <v>325</v>
      </c>
      <c r="H101" s="108"/>
      <c r="I101" s="109"/>
      <c r="J101" s="106"/>
      <c r="K101" s="106"/>
      <c r="L101" s="106"/>
      <c r="M101" s="106"/>
      <c r="N101" s="106"/>
      <c r="O101" s="106"/>
      <c r="P101" s="104">
        <f t="shared" si="53"/>
        <v>0</v>
      </c>
      <c r="Q101" s="107"/>
      <c r="R101" s="109"/>
      <c r="S101" s="109"/>
      <c r="T101" s="106"/>
      <c r="U101" s="106"/>
      <c r="V101" s="106"/>
      <c r="W101" s="106"/>
      <c r="X101" s="104">
        <f t="shared" si="54"/>
        <v>0</v>
      </c>
      <c r="Y101" s="107"/>
      <c r="Z101" s="109"/>
      <c r="AA101" s="109"/>
      <c r="AB101" s="106"/>
      <c r="AC101" s="106"/>
      <c r="AD101" s="107"/>
      <c r="AE101" s="107"/>
      <c r="AF101" s="104">
        <f t="shared" si="55"/>
        <v>0</v>
      </c>
    </row>
    <row r="102" spans="1:32" ht="11.25" customHeight="1" x14ac:dyDescent="0.2">
      <c r="A102" s="61"/>
      <c r="B102" s="62"/>
      <c r="D102" s="64" t="s">
        <v>104</v>
      </c>
      <c r="E102" s="63" t="s">
        <v>132</v>
      </c>
      <c r="F102" s="60"/>
      <c r="G102" s="351" t="s">
        <v>326</v>
      </c>
      <c r="H102" s="108"/>
      <c r="I102" s="109"/>
      <c r="J102" s="106"/>
      <c r="K102" s="106"/>
      <c r="L102" s="106"/>
      <c r="M102" s="106"/>
      <c r="N102" s="106"/>
      <c r="O102" s="106"/>
      <c r="P102" s="104">
        <f t="shared" si="53"/>
        <v>0</v>
      </c>
      <c r="Q102" s="107"/>
      <c r="R102" s="109"/>
      <c r="S102" s="109"/>
      <c r="T102" s="106"/>
      <c r="U102" s="106"/>
      <c r="V102" s="106"/>
      <c r="W102" s="106"/>
      <c r="X102" s="104">
        <f t="shared" si="54"/>
        <v>0</v>
      </c>
      <c r="Y102" s="107"/>
      <c r="Z102" s="109"/>
      <c r="AA102" s="109"/>
      <c r="AB102" s="106"/>
      <c r="AC102" s="106"/>
      <c r="AD102" s="107"/>
      <c r="AE102" s="107"/>
      <c r="AF102" s="104">
        <f t="shared" si="55"/>
        <v>0</v>
      </c>
    </row>
    <row r="103" spans="1:32" ht="11.25" customHeight="1" x14ac:dyDescent="0.2">
      <c r="A103" s="55"/>
      <c r="B103" s="56"/>
      <c r="C103" s="57"/>
      <c r="D103" s="72" t="s">
        <v>21</v>
      </c>
      <c r="E103" s="59" t="s">
        <v>89</v>
      </c>
      <c r="F103" s="60"/>
      <c r="G103" s="353" t="s">
        <v>327</v>
      </c>
      <c r="H103" s="108"/>
      <c r="I103" s="110"/>
      <c r="J103" s="110"/>
      <c r="K103" s="110"/>
      <c r="L103" s="110"/>
      <c r="M103" s="110"/>
      <c r="N103" s="104">
        <f>N104+N105</f>
        <v>0</v>
      </c>
      <c r="O103" s="104">
        <f>O104+O105</f>
        <v>0</v>
      </c>
      <c r="P103" s="104">
        <f t="shared" si="53"/>
        <v>0</v>
      </c>
      <c r="Q103" s="110"/>
      <c r="R103" s="110"/>
      <c r="S103" s="110"/>
      <c r="T103" s="110"/>
      <c r="U103" s="110"/>
      <c r="V103" s="104">
        <f>V104+V105</f>
        <v>0</v>
      </c>
      <c r="W103" s="104">
        <f>W104+W105</f>
        <v>0</v>
      </c>
      <c r="X103" s="104">
        <f t="shared" si="54"/>
        <v>0</v>
      </c>
      <c r="Y103" s="110"/>
      <c r="Z103" s="110"/>
      <c r="AA103" s="110"/>
      <c r="AB103" s="110"/>
      <c r="AC103" s="110"/>
      <c r="AD103" s="104">
        <f>AD104+AD105</f>
        <v>0</v>
      </c>
      <c r="AE103" s="104">
        <f>AE104+AE105</f>
        <v>0</v>
      </c>
      <c r="AF103" s="104">
        <f t="shared" si="55"/>
        <v>0</v>
      </c>
    </row>
    <row r="104" spans="1:32" ht="11.25" customHeight="1" x14ac:dyDescent="0.2">
      <c r="A104" s="61"/>
      <c r="B104" s="62"/>
      <c r="D104" s="64" t="s">
        <v>108</v>
      </c>
      <c r="E104" s="63" t="s">
        <v>130</v>
      </c>
      <c r="F104" s="60"/>
      <c r="G104" s="351" t="s">
        <v>328</v>
      </c>
      <c r="H104" s="108"/>
      <c r="I104" s="109"/>
      <c r="J104" s="109"/>
      <c r="K104" s="109"/>
      <c r="L104" s="109"/>
      <c r="M104" s="109"/>
      <c r="N104" s="106"/>
      <c r="O104" s="106"/>
      <c r="P104" s="104">
        <f t="shared" si="53"/>
        <v>0</v>
      </c>
      <c r="Q104" s="109"/>
      <c r="R104" s="109"/>
      <c r="S104" s="109"/>
      <c r="T104" s="109"/>
      <c r="U104" s="109"/>
      <c r="V104" s="106"/>
      <c r="W104" s="106"/>
      <c r="X104" s="104">
        <f t="shared" si="54"/>
        <v>0</v>
      </c>
      <c r="Y104" s="109"/>
      <c r="Z104" s="109"/>
      <c r="AA104" s="109"/>
      <c r="AB104" s="109"/>
      <c r="AC104" s="109"/>
      <c r="AD104" s="107"/>
      <c r="AE104" s="107"/>
      <c r="AF104" s="104">
        <f t="shared" si="55"/>
        <v>0</v>
      </c>
    </row>
    <row r="105" spans="1:32" ht="11.25" customHeight="1" x14ac:dyDescent="0.2">
      <c r="A105" s="55"/>
      <c r="B105" s="56"/>
      <c r="C105" s="57"/>
      <c r="D105" s="58" t="s">
        <v>110</v>
      </c>
      <c r="E105" s="59" t="s">
        <v>132</v>
      </c>
      <c r="F105" s="60"/>
      <c r="G105" s="351" t="s">
        <v>329</v>
      </c>
      <c r="H105" s="108"/>
      <c r="I105" s="109"/>
      <c r="J105" s="109"/>
      <c r="K105" s="109"/>
      <c r="L105" s="109"/>
      <c r="M105" s="109"/>
      <c r="N105" s="106"/>
      <c r="O105" s="106"/>
      <c r="P105" s="104">
        <f t="shared" si="53"/>
        <v>0</v>
      </c>
      <c r="Q105" s="109"/>
      <c r="R105" s="109"/>
      <c r="S105" s="109"/>
      <c r="T105" s="109"/>
      <c r="U105" s="109"/>
      <c r="V105" s="106"/>
      <c r="W105" s="106"/>
      <c r="X105" s="104">
        <f t="shared" si="54"/>
        <v>0</v>
      </c>
      <c r="Y105" s="109"/>
      <c r="Z105" s="109"/>
      <c r="AA105" s="109"/>
      <c r="AB105" s="109"/>
      <c r="AC105" s="109"/>
      <c r="AD105" s="107"/>
      <c r="AE105" s="107"/>
      <c r="AF105" s="104">
        <f t="shared" si="55"/>
        <v>0</v>
      </c>
    </row>
    <row r="106" spans="1:32" ht="11.25" customHeight="1" x14ac:dyDescent="0.2">
      <c r="A106" s="61"/>
      <c r="B106" s="91" t="s">
        <v>146</v>
      </c>
      <c r="C106" s="92" t="s">
        <v>147</v>
      </c>
      <c r="D106" s="66"/>
      <c r="F106" s="60"/>
      <c r="G106" s="351" t="s">
        <v>330</v>
      </c>
      <c r="H106" s="108"/>
      <c r="I106" s="103">
        <f>I107+I108+I109+I110</f>
        <v>0</v>
      </c>
      <c r="J106" s="103">
        <f>J107+J108+J109+J110</f>
        <v>0</v>
      </c>
      <c r="K106" s="103">
        <f t="shared" ref="K106:AE106" si="71">K107+K108+K109+K110</f>
        <v>0</v>
      </c>
      <c r="L106" s="103">
        <f t="shared" si="71"/>
        <v>0</v>
      </c>
      <c r="M106" s="103">
        <f t="shared" si="71"/>
        <v>0</v>
      </c>
      <c r="N106" s="103">
        <f t="shared" si="71"/>
        <v>0</v>
      </c>
      <c r="O106" s="103">
        <f t="shared" si="71"/>
        <v>0</v>
      </c>
      <c r="P106" s="104">
        <f t="shared" si="53"/>
        <v>0</v>
      </c>
      <c r="Q106" s="103">
        <f t="shared" si="71"/>
        <v>0</v>
      </c>
      <c r="R106" s="103">
        <f t="shared" si="71"/>
        <v>0</v>
      </c>
      <c r="S106" s="103">
        <f t="shared" si="71"/>
        <v>0</v>
      </c>
      <c r="T106" s="103">
        <f t="shared" si="71"/>
        <v>0</v>
      </c>
      <c r="U106" s="103">
        <f t="shared" si="71"/>
        <v>0</v>
      </c>
      <c r="V106" s="103">
        <f t="shared" si="71"/>
        <v>0</v>
      </c>
      <c r="W106" s="103">
        <f t="shared" si="71"/>
        <v>0</v>
      </c>
      <c r="X106" s="104">
        <f t="shared" si="54"/>
        <v>0</v>
      </c>
      <c r="Y106" s="103">
        <f t="shared" si="71"/>
        <v>0</v>
      </c>
      <c r="Z106" s="103">
        <f t="shared" si="71"/>
        <v>0</v>
      </c>
      <c r="AA106" s="103">
        <f t="shared" si="71"/>
        <v>0</v>
      </c>
      <c r="AB106" s="103">
        <f t="shared" si="71"/>
        <v>0</v>
      </c>
      <c r="AC106" s="103">
        <f t="shared" si="71"/>
        <v>0</v>
      </c>
      <c r="AD106" s="104">
        <f t="shared" si="71"/>
        <v>0</v>
      </c>
      <c r="AE106" s="104">
        <f t="shared" si="71"/>
        <v>0</v>
      </c>
      <c r="AF106" s="104">
        <f t="shared" si="55"/>
        <v>0</v>
      </c>
    </row>
    <row r="107" spans="1:32" ht="11.25" customHeight="1" x14ac:dyDescent="0.2">
      <c r="A107" s="55"/>
      <c r="B107" s="56"/>
      <c r="C107" s="57" t="s">
        <v>62</v>
      </c>
      <c r="D107" s="65" t="s">
        <v>149</v>
      </c>
      <c r="E107" s="59"/>
      <c r="F107" s="60"/>
      <c r="G107" s="351" t="s">
        <v>331</v>
      </c>
      <c r="H107" s="108"/>
      <c r="I107" s="106"/>
      <c r="J107" s="106"/>
      <c r="K107" s="106"/>
      <c r="L107" s="106"/>
      <c r="M107" s="106"/>
      <c r="N107" s="106"/>
      <c r="O107" s="106"/>
      <c r="P107" s="104">
        <f t="shared" si="53"/>
        <v>0</v>
      </c>
      <c r="Q107" s="106"/>
      <c r="R107" s="106"/>
      <c r="S107" s="106"/>
      <c r="T107" s="106"/>
      <c r="U107" s="106"/>
      <c r="V107" s="106"/>
      <c r="W107" s="106"/>
      <c r="X107" s="104">
        <f t="shared" si="54"/>
        <v>0</v>
      </c>
      <c r="Y107" s="106"/>
      <c r="Z107" s="106"/>
      <c r="AA107" s="106"/>
      <c r="AB107" s="106"/>
      <c r="AC107" s="106"/>
      <c r="AD107" s="107"/>
      <c r="AE107" s="107"/>
      <c r="AF107" s="104">
        <f t="shared" si="55"/>
        <v>0</v>
      </c>
    </row>
    <row r="108" spans="1:32" ht="11.25" customHeight="1" x14ac:dyDescent="0.2">
      <c r="A108" s="55"/>
      <c r="B108" s="56"/>
      <c r="C108" s="57" t="s">
        <v>68</v>
      </c>
      <c r="D108" s="65" t="s">
        <v>151</v>
      </c>
      <c r="E108" s="59"/>
      <c r="F108" s="60"/>
      <c r="G108" s="351" t="s">
        <v>332</v>
      </c>
      <c r="H108" s="108"/>
      <c r="I108" s="106"/>
      <c r="J108" s="106"/>
      <c r="K108" s="106"/>
      <c r="L108" s="106"/>
      <c r="M108" s="106"/>
      <c r="N108" s="106"/>
      <c r="O108" s="106"/>
      <c r="P108" s="104">
        <f t="shared" si="53"/>
        <v>0</v>
      </c>
      <c r="Q108" s="106"/>
      <c r="R108" s="106"/>
      <c r="S108" s="106"/>
      <c r="T108" s="106"/>
      <c r="U108" s="106"/>
      <c r="V108" s="106"/>
      <c r="W108" s="106"/>
      <c r="X108" s="104">
        <f t="shared" si="54"/>
        <v>0</v>
      </c>
      <c r="Y108" s="106"/>
      <c r="Z108" s="106"/>
      <c r="AA108" s="106"/>
      <c r="AB108" s="106"/>
      <c r="AC108" s="106"/>
      <c r="AD108" s="107"/>
      <c r="AE108" s="107"/>
      <c r="AF108" s="104">
        <f t="shared" si="55"/>
        <v>0</v>
      </c>
    </row>
    <row r="109" spans="1:32" ht="11.25" customHeight="1" x14ac:dyDescent="0.2">
      <c r="A109" s="55"/>
      <c r="B109" s="56"/>
      <c r="C109" s="57" t="s">
        <v>81</v>
      </c>
      <c r="D109" s="65" t="s">
        <v>153</v>
      </c>
      <c r="E109" s="59"/>
      <c r="F109" s="60"/>
      <c r="G109" s="351" t="s">
        <v>333</v>
      </c>
      <c r="H109" s="108"/>
      <c r="I109" s="106"/>
      <c r="J109" s="106"/>
      <c r="K109" s="106"/>
      <c r="L109" s="106"/>
      <c r="M109" s="106"/>
      <c r="N109" s="106"/>
      <c r="O109" s="106"/>
      <c r="P109" s="104">
        <f t="shared" si="53"/>
        <v>0</v>
      </c>
      <c r="Q109" s="106"/>
      <c r="R109" s="106"/>
      <c r="S109" s="106"/>
      <c r="T109" s="106"/>
      <c r="U109" s="106"/>
      <c r="V109" s="106"/>
      <c r="W109" s="106"/>
      <c r="X109" s="104">
        <f t="shared" si="54"/>
        <v>0</v>
      </c>
      <c r="Y109" s="106"/>
      <c r="Z109" s="106"/>
      <c r="AA109" s="106"/>
      <c r="AB109" s="106"/>
      <c r="AC109" s="106"/>
      <c r="AD109" s="107"/>
      <c r="AE109" s="107"/>
      <c r="AF109" s="104">
        <f t="shared" si="55"/>
        <v>0</v>
      </c>
    </row>
    <row r="110" spans="1:32" ht="11.25" customHeight="1" x14ac:dyDescent="0.2">
      <c r="A110" s="61"/>
      <c r="B110" s="62"/>
      <c r="C110" s="69" t="s">
        <v>126</v>
      </c>
      <c r="D110" s="418" t="s">
        <v>155</v>
      </c>
      <c r="E110" s="419"/>
      <c r="F110" s="420"/>
      <c r="G110" s="351" t="s">
        <v>334</v>
      </c>
      <c r="H110" s="108"/>
      <c r="I110" s="103">
        <f>I111+I112</f>
        <v>0</v>
      </c>
      <c r="J110" s="103">
        <f>J111+J112</f>
        <v>0</v>
      </c>
      <c r="K110" s="103">
        <f t="shared" ref="K110:AE110" si="72">K111+K112</f>
        <v>0</v>
      </c>
      <c r="L110" s="103">
        <f t="shared" si="72"/>
        <v>0</v>
      </c>
      <c r="M110" s="103">
        <f t="shared" si="72"/>
        <v>0</v>
      </c>
      <c r="N110" s="103">
        <f t="shared" si="72"/>
        <v>0</v>
      </c>
      <c r="O110" s="103">
        <f t="shared" si="72"/>
        <v>0</v>
      </c>
      <c r="P110" s="104">
        <f t="shared" si="53"/>
        <v>0</v>
      </c>
      <c r="Q110" s="103">
        <f t="shared" si="72"/>
        <v>0</v>
      </c>
      <c r="R110" s="103">
        <f t="shared" si="72"/>
        <v>0</v>
      </c>
      <c r="S110" s="103">
        <f t="shared" si="72"/>
        <v>0</v>
      </c>
      <c r="T110" s="103">
        <f t="shared" si="72"/>
        <v>0</v>
      </c>
      <c r="U110" s="103">
        <f t="shared" si="72"/>
        <v>0</v>
      </c>
      <c r="V110" s="103">
        <f t="shared" si="72"/>
        <v>0</v>
      </c>
      <c r="W110" s="103">
        <f t="shared" si="72"/>
        <v>0</v>
      </c>
      <c r="X110" s="104">
        <f t="shared" si="54"/>
        <v>0</v>
      </c>
      <c r="Y110" s="103">
        <f t="shared" si="72"/>
        <v>0</v>
      </c>
      <c r="Z110" s="103">
        <f t="shared" si="72"/>
        <v>0</v>
      </c>
      <c r="AA110" s="103">
        <f t="shared" si="72"/>
        <v>0</v>
      </c>
      <c r="AB110" s="103">
        <f t="shared" si="72"/>
        <v>0</v>
      </c>
      <c r="AC110" s="103">
        <f t="shared" si="72"/>
        <v>0</v>
      </c>
      <c r="AD110" s="104">
        <f t="shared" si="72"/>
        <v>0</v>
      </c>
      <c r="AE110" s="104">
        <f t="shared" si="72"/>
        <v>0</v>
      </c>
      <c r="AF110" s="104">
        <f t="shared" si="55"/>
        <v>0</v>
      </c>
    </row>
    <row r="111" spans="1:32" ht="11.25" customHeight="1" x14ac:dyDescent="0.2">
      <c r="A111" s="55"/>
      <c r="B111" s="56"/>
      <c r="C111" s="57"/>
      <c r="D111" s="72" t="s">
        <v>18</v>
      </c>
      <c r="E111" s="59" t="s">
        <v>87</v>
      </c>
      <c r="F111" s="74"/>
      <c r="G111" s="351" t="s">
        <v>335</v>
      </c>
      <c r="H111" s="108"/>
      <c r="I111" s="106"/>
      <c r="J111" s="106"/>
      <c r="K111" s="106"/>
      <c r="L111" s="106"/>
      <c r="M111" s="106"/>
      <c r="N111" s="106"/>
      <c r="O111" s="106"/>
      <c r="P111" s="104">
        <f t="shared" si="53"/>
        <v>0</v>
      </c>
      <c r="Q111" s="106"/>
      <c r="R111" s="106"/>
      <c r="S111" s="106"/>
      <c r="T111" s="106"/>
      <c r="U111" s="106"/>
      <c r="V111" s="106"/>
      <c r="W111" s="106"/>
      <c r="X111" s="104">
        <f t="shared" si="54"/>
        <v>0</v>
      </c>
      <c r="Y111" s="106"/>
      <c r="Z111" s="106"/>
      <c r="AA111" s="106"/>
      <c r="AB111" s="106"/>
      <c r="AC111" s="106"/>
      <c r="AD111" s="107"/>
      <c r="AE111" s="107"/>
      <c r="AF111" s="104">
        <f t="shared" si="55"/>
        <v>0</v>
      </c>
    </row>
    <row r="112" spans="1:32" ht="11.25" customHeight="1" x14ac:dyDescent="0.2">
      <c r="A112" s="61"/>
      <c r="B112" s="62"/>
      <c r="D112" s="70" t="s">
        <v>21</v>
      </c>
      <c r="E112" s="63" t="s">
        <v>89</v>
      </c>
      <c r="F112" s="74"/>
      <c r="G112" s="351" t="s">
        <v>336</v>
      </c>
      <c r="H112" s="108"/>
      <c r="I112" s="109"/>
      <c r="J112" s="109"/>
      <c r="K112" s="109"/>
      <c r="L112" s="109"/>
      <c r="M112" s="109"/>
      <c r="N112" s="106"/>
      <c r="O112" s="106"/>
      <c r="P112" s="104">
        <f t="shared" si="53"/>
        <v>0</v>
      </c>
      <c r="Q112" s="109"/>
      <c r="R112" s="109"/>
      <c r="S112" s="109"/>
      <c r="T112" s="109"/>
      <c r="U112" s="109"/>
      <c r="V112" s="106"/>
      <c r="W112" s="106"/>
      <c r="X112" s="104">
        <f t="shared" si="54"/>
        <v>0</v>
      </c>
      <c r="Y112" s="109"/>
      <c r="Z112" s="109"/>
      <c r="AA112" s="109"/>
      <c r="AB112" s="109"/>
      <c r="AC112" s="109"/>
      <c r="AD112" s="107"/>
      <c r="AE112" s="107"/>
      <c r="AF112" s="104">
        <f t="shared" si="55"/>
        <v>0</v>
      </c>
    </row>
    <row r="113" spans="1:32" ht="11.25" customHeight="1" x14ac:dyDescent="0.2">
      <c r="A113" s="55"/>
      <c r="B113" s="77" t="s">
        <v>163</v>
      </c>
      <c r="C113" s="78" t="s">
        <v>164</v>
      </c>
      <c r="D113" s="68"/>
      <c r="E113" s="59"/>
      <c r="F113" s="60"/>
      <c r="G113" s="351" t="s">
        <v>337</v>
      </c>
      <c r="H113" s="108"/>
      <c r="I113" s="103">
        <f>I114+I118</f>
        <v>0</v>
      </c>
      <c r="J113" s="103">
        <f>J114+J118</f>
        <v>0</v>
      </c>
      <c r="K113" s="103">
        <f t="shared" ref="K113:AE113" si="73">K114+K118</f>
        <v>0</v>
      </c>
      <c r="L113" s="103">
        <f t="shared" si="73"/>
        <v>0</v>
      </c>
      <c r="M113" s="103">
        <f t="shared" si="73"/>
        <v>0</v>
      </c>
      <c r="N113" s="103">
        <f t="shared" si="73"/>
        <v>0</v>
      </c>
      <c r="O113" s="103">
        <f t="shared" si="73"/>
        <v>0</v>
      </c>
      <c r="P113" s="104">
        <f t="shared" si="53"/>
        <v>0</v>
      </c>
      <c r="Q113" s="103">
        <f t="shared" si="73"/>
        <v>0</v>
      </c>
      <c r="R113" s="103">
        <f t="shared" si="73"/>
        <v>0</v>
      </c>
      <c r="S113" s="103">
        <f t="shared" si="73"/>
        <v>0</v>
      </c>
      <c r="T113" s="103">
        <f t="shared" si="73"/>
        <v>0</v>
      </c>
      <c r="U113" s="103">
        <f t="shared" si="73"/>
        <v>0</v>
      </c>
      <c r="V113" s="103">
        <f t="shared" si="73"/>
        <v>0</v>
      </c>
      <c r="W113" s="103">
        <f t="shared" si="73"/>
        <v>0</v>
      </c>
      <c r="X113" s="104">
        <f t="shared" si="54"/>
        <v>0</v>
      </c>
      <c r="Y113" s="103">
        <f t="shared" si="73"/>
        <v>0</v>
      </c>
      <c r="Z113" s="103">
        <f t="shared" si="73"/>
        <v>0</v>
      </c>
      <c r="AA113" s="103">
        <f t="shared" si="73"/>
        <v>0</v>
      </c>
      <c r="AB113" s="103">
        <f t="shared" si="73"/>
        <v>0</v>
      </c>
      <c r="AC113" s="103">
        <f t="shared" si="73"/>
        <v>0</v>
      </c>
      <c r="AD113" s="104">
        <f t="shared" si="73"/>
        <v>0</v>
      </c>
      <c r="AE113" s="104">
        <f t="shared" si="73"/>
        <v>0</v>
      </c>
      <c r="AF113" s="104">
        <f t="shared" si="55"/>
        <v>0</v>
      </c>
    </row>
    <row r="114" spans="1:32" ht="11.25" customHeight="1" x14ac:dyDescent="0.2">
      <c r="A114" s="61"/>
      <c r="C114" s="63" t="s">
        <v>62</v>
      </c>
      <c r="D114" s="73" t="s">
        <v>166</v>
      </c>
      <c r="F114" s="60"/>
      <c r="G114" s="351" t="s">
        <v>338</v>
      </c>
      <c r="H114" s="108"/>
      <c r="I114" s="103">
        <f>I115+I116+I117</f>
        <v>0</v>
      </c>
      <c r="J114" s="103">
        <f>J115+J116+J117</f>
        <v>0</v>
      </c>
      <c r="K114" s="103">
        <f t="shared" ref="K114:AE114" si="74">K115+K116+K117</f>
        <v>0</v>
      </c>
      <c r="L114" s="103">
        <f t="shared" si="74"/>
        <v>0</v>
      </c>
      <c r="M114" s="103">
        <f t="shared" si="74"/>
        <v>0</v>
      </c>
      <c r="N114" s="103">
        <f t="shared" si="74"/>
        <v>0</v>
      </c>
      <c r="O114" s="103">
        <f t="shared" si="74"/>
        <v>0</v>
      </c>
      <c r="P114" s="104">
        <f t="shared" si="53"/>
        <v>0</v>
      </c>
      <c r="Q114" s="103">
        <f t="shared" si="74"/>
        <v>0</v>
      </c>
      <c r="R114" s="103">
        <f t="shared" si="74"/>
        <v>0</v>
      </c>
      <c r="S114" s="103">
        <f t="shared" si="74"/>
        <v>0</v>
      </c>
      <c r="T114" s="103">
        <f t="shared" si="74"/>
        <v>0</v>
      </c>
      <c r="U114" s="103">
        <f t="shared" si="74"/>
        <v>0</v>
      </c>
      <c r="V114" s="103">
        <f t="shared" si="74"/>
        <v>0</v>
      </c>
      <c r="W114" s="103">
        <f t="shared" si="74"/>
        <v>0</v>
      </c>
      <c r="X114" s="104">
        <f t="shared" si="54"/>
        <v>0</v>
      </c>
      <c r="Y114" s="103">
        <f t="shared" si="74"/>
        <v>0</v>
      </c>
      <c r="Z114" s="103">
        <f t="shared" si="74"/>
        <v>0</v>
      </c>
      <c r="AA114" s="103">
        <f t="shared" si="74"/>
        <v>0</v>
      </c>
      <c r="AB114" s="103">
        <f t="shared" si="74"/>
        <v>0</v>
      </c>
      <c r="AC114" s="103">
        <f t="shared" si="74"/>
        <v>0</v>
      </c>
      <c r="AD114" s="104">
        <f t="shared" si="74"/>
        <v>0</v>
      </c>
      <c r="AE114" s="104">
        <f t="shared" si="74"/>
        <v>0</v>
      </c>
      <c r="AF114" s="104">
        <f t="shared" si="55"/>
        <v>0</v>
      </c>
    </row>
    <row r="115" spans="1:32" ht="11.25" customHeight="1" x14ac:dyDescent="0.2">
      <c r="A115" s="55"/>
      <c r="B115" s="80"/>
      <c r="C115" s="57"/>
      <c r="D115" s="72" t="s">
        <v>18</v>
      </c>
      <c r="E115" s="59" t="s">
        <v>168</v>
      </c>
      <c r="F115" s="60"/>
      <c r="G115" s="351" t="s">
        <v>339</v>
      </c>
      <c r="H115" s="108"/>
      <c r="I115" s="106"/>
      <c r="J115" s="106"/>
      <c r="K115" s="106"/>
      <c r="L115" s="106"/>
      <c r="M115" s="106"/>
      <c r="N115" s="106"/>
      <c r="O115" s="106"/>
      <c r="P115" s="104">
        <f t="shared" si="53"/>
        <v>0</v>
      </c>
      <c r="Q115" s="106"/>
      <c r="R115" s="106"/>
      <c r="S115" s="106"/>
      <c r="T115" s="106"/>
      <c r="U115" s="106"/>
      <c r="V115" s="106"/>
      <c r="W115" s="106"/>
      <c r="X115" s="104">
        <f t="shared" si="54"/>
        <v>0</v>
      </c>
      <c r="Y115" s="106"/>
      <c r="Z115" s="106"/>
      <c r="AA115" s="106"/>
      <c r="AB115" s="106"/>
      <c r="AC115" s="106"/>
      <c r="AD115" s="107"/>
      <c r="AE115" s="107"/>
      <c r="AF115" s="104">
        <f t="shared" si="55"/>
        <v>0</v>
      </c>
    </row>
    <row r="116" spans="1:32" ht="11.25" customHeight="1" x14ac:dyDescent="0.2">
      <c r="A116" s="61"/>
      <c r="D116" s="70" t="s">
        <v>21</v>
      </c>
      <c r="E116" s="63" t="s">
        <v>170</v>
      </c>
      <c r="F116" s="60"/>
      <c r="G116" s="351" t="s">
        <v>340</v>
      </c>
      <c r="H116" s="108"/>
      <c r="I116" s="106"/>
      <c r="J116" s="106"/>
      <c r="K116" s="106"/>
      <c r="L116" s="106"/>
      <c r="M116" s="106"/>
      <c r="N116" s="106"/>
      <c r="O116" s="106"/>
      <c r="P116" s="104">
        <f t="shared" si="53"/>
        <v>0</v>
      </c>
      <c r="Q116" s="106"/>
      <c r="R116" s="106"/>
      <c r="S116" s="106"/>
      <c r="T116" s="106"/>
      <c r="U116" s="106"/>
      <c r="V116" s="106"/>
      <c r="W116" s="106"/>
      <c r="X116" s="104">
        <f t="shared" si="54"/>
        <v>0</v>
      </c>
      <c r="Y116" s="106"/>
      <c r="Z116" s="106"/>
      <c r="AA116" s="106"/>
      <c r="AB116" s="106"/>
      <c r="AC116" s="106"/>
      <c r="AD116" s="107"/>
      <c r="AE116" s="107"/>
      <c r="AF116" s="104">
        <f t="shared" si="55"/>
        <v>0</v>
      </c>
    </row>
    <row r="117" spans="1:32" ht="11.25" customHeight="1" x14ac:dyDescent="0.2">
      <c r="A117" s="55"/>
      <c r="B117" s="80"/>
      <c r="C117" s="57"/>
      <c r="D117" s="81" t="s">
        <v>172</v>
      </c>
      <c r="E117" s="421" t="s">
        <v>173</v>
      </c>
      <c r="F117" s="422"/>
      <c r="G117" s="351" t="s">
        <v>341</v>
      </c>
      <c r="H117" s="108"/>
      <c r="I117" s="106"/>
      <c r="J117" s="106"/>
      <c r="K117" s="106"/>
      <c r="L117" s="106"/>
      <c r="M117" s="106"/>
      <c r="N117" s="106"/>
      <c r="O117" s="106"/>
      <c r="P117" s="104">
        <f t="shared" si="53"/>
        <v>0</v>
      </c>
      <c r="Q117" s="106"/>
      <c r="R117" s="106"/>
      <c r="S117" s="106"/>
      <c r="T117" s="106"/>
      <c r="U117" s="106"/>
      <c r="V117" s="106"/>
      <c r="W117" s="106"/>
      <c r="X117" s="104">
        <f t="shared" si="54"/>
        <v>0</v>
      </c>
      <c r="Y117" s="106"/>
      <c r="Z117" s="106"/>
      <c r="AA117" s="106"/>
      <c r="AB117" s="106"/>
      <c r="AC117" s="106"/>
      <c r="AD117" s="107"/>
      <c r="AE117" s="107"/>
      <c r="AF117" s="104">
        <f t="shared" si="55"/>
        <v>0</v>
      </c>
    </row>
    <row r="118" spans="1:32" ht="11.25" customHeight="1" x14ac:dyDescent="0.2">
      <c r="A118" s="61"/>
      <c r="C118" s="63" t="s">
        <v>68</v>
      </c>
      <c r="D118" s="83" t="s">
        <v>175</v>
      </c>
      <c r="E118" s="69"/>
      <c r="F118" s="84"/>
      <c r="G118" s="351" t="s">
        <v>342</v>
      </c>
      <c r="H118" s="108"/>
      <c r="I118" s="104">
        <f t="shared" ref="I118:O118" si="75">I119+I120+I121</f>
        <v>0</v>
      </c>
      <c r="J118" s="104">
        <f t="shared" si="75"/>
        <v>0</v>
      </c>
      <c r="K118" s="104">
        <f t="shared" si="75"/>
        <v>0</v>
      </c>
      <c r="L118" s="104">
        <f t="shared" si="75"/>
        <v>0</v>
      </c>
      <c r="M118" s="104">
        <f t="shared" si="75"/>
        <v>0</v>
      </c>
      <c r="N118" s="104">
        <f t="shared" si="75"/>
        <v>0</v>
      </c>
      <c r="O118" s="104">
        <f t="shared" si="75"/>
        <v>0</v>
      </c>
      <c r="P118" s="104">
        <f t="shared" si="53"/>
        <v>0</v>
      </c>
      <c r="Q118" s="104">
        <f t="shared" ref="Q118:W118" si="76">Q119+Q120+Q121</f>
        <v>0</v>
      </c>
      <c r="R118" s="104">
        <f t="shared" si="76"/>
        <v>0</v>
      </c>
      <c r="S118" s="104">
        <f t="shared" si="76"/>
        <v>0</v>
      </c>
      <c r="T118" s="104">
        <f t="shared" si="76"/>
        <v>0</v>
      </c>
      <c r="U118" s="104">
        <f t="shared" si="76"/>
        <v>0</v>
      </c>
      <c r="V118" s="104">
        <f t="shared" si="76"/>
        <v>0</v>
      </c>
      <c r="W118" s="104">
        <f t="shared" si="76"/>
        <v>0</v>
      </c>
      <c r="X118" s="104">
        <f t="shared" si="54"/>
        <v>0</v>
      </c>
      <c r="Y118" s="104">
        <f t="shared" ref="Y118:AE118" si="77">Y119+Y120+Y121</f>
        <v>0</v>
      </c>
      <c r="Z118" s="104">
        <f t="shared" si="77"/>
        <v>0</v>
      </c>
      <c r="AA118" s="104">
        <f t="shared" si="77"/>
        <v>0</v>
      </c>
      <c r="AB118" s="104">
        <f t="shared" si="77"/>
        <v>0</v>
      </c>
      <c r="AC118" s="104">
        <f t="shared" si="77"/>
        <v>0</v>
      </c>
      <c r="AD118" s="104">
        <f t="shared" si="77"/>
        <v>0</v>
      </c>
      <c r="AE118" s="104">
        <f t="shared" si="77"/>
        <v>0</v>
      </c>
      <c r="AF118" s="104">
        <f t="shared" si="55"/>
        <v>0</v>
      </c>
    </row>
    <row r="119" spans="1:32" ht="11.25" customHeight="1" x14ac:dyDescent="0.2">
      <c r="A119" s="55"/>
      <c r="B119" s="80"/>
      <c r="C119" s="57"/>
      <c r="D119" s="81" t="s">
        <v>18</v>
      </c>
      <c r="E119" s="85" t="s">
        <v>177</v>
      </c>
      <c r="F119" s="84"/>
      <c r="G119" s="351" t="s">
        <v>343</v>
      </c>
      <c r="H119" s="108"/>
      <c r="I119" s="107"/>
      <c r="J119" s="107"/>
      <c r="K119" s="107"/>
      <c r="L119" s="107"/>
      <c r="M119" s="107"/>
      <c r="N119" s="106"/>
      <c r="O119" s="106"/>
      <c r="P119" s="104">
        <f t="shared" si="53"/>
        <v>0</v>
      </c>
      <c r="Q119" s="107"/>
      <c r="R119" s="107"/>
      <c r="S119" s="107"/>
      <c r="T119" s="107"/>
      <c r="U119" s="107"/>
      <c r="V119" s="106"/>
      <c r="W119" s="106"/>
      <c r="X119" s="104">
        <f t="shared" si="54"/>
        <v>0</v>
      </c>
      <c r="Y119" s="107"/>
      <c r="Z119" s="107"/>
      <c r="AA119" s="107"/>
      <c r="AB119" s="107"/>
      <c r="AC119" s="107"/>
      <c r="AD119" s="107"/>
      <c r="AE119" s="107"/>
      <c r="AF119" s="104">
        <f t="shared" si="55"/>
        <v>0</v>
      </c>
    </row>
    <row r="120" spans="1:32" ht="11.25" customHeight="1" x14ac:dyDescent="0.2">
      <c r="A120" s="61"/>
      <c r="D120" s="86" t="s">
        <v>21</v>
      </c>
      <c r="E120" s="69" t="s">
        <v>179</v>
      </c>
      <c r="F120" s="84"/>
      <c r="G120" s="351" t="s">
        <v>344</v>
      </c>
      <c r="H120" s="108"/>
      <c r="I120" s="107"/>
      <c r="J120" s="107"/>
      <c r="K120" s="107"/>
      <c r="L120" s="107"/>
      <c r="M120" s="107"/>
      <c r="N120" s="106"/>
      <c r="O120" s="106"/>
      <c r="P120" s="104">
        <f t="shared" si="53"/>
        <v>0</v>
      </c>
      <c r="Q120" s="107"/>
      <c r="R120" s="107"/>
      <c r="S120" s="107"/>
      <c r="T120" s="107"/>
      <c r="U120" s="107"/>
      <c r="V120" s="106"/>
      <c r="W120" s="106"/>
      <c r="X120" s="104">
        <f t="shared" si="54"/>
        <v>0</v>
      </c>
      <c r="Y120" s="107"/>
      <c r="Z120" s="107"/>
      <c r="AA120" s="107"/>
      <c r="AB120" s="107"/>
      <c r="AC120" s="107"/>
      <c r="AD120" s="107"/>
      <c r="AE120" s="107"/>
      <c r="AF120" s="104">
        <f t="shared" si="55"/>
        <v>0</v>
      </c>
    </row>
    <row r="121" spans="1:32" ht="11.25" customHeight="1" x14ac:dyDescent="0.2">
      <c r="A121" s="55"/>
      <c r="B121" s="80"/>
      <c r="C121" s="57"/>
      <c r="D121" s="81" t="s">
        <v>172</v>
      </c>
      <c r="E121" s="421" t="s">
        <v>181</v>
      </c>
      <c r="F121" s="422"/>
      <c r="G121" s="351" t="s">
        <v>345</v>
      </c>
      <c r="H121" s="108"/>
      <c r="I121" s="107"/>
      <c r="J121" s="107"/>
      <c r="K121" s="107"/>
      <c r="L121" s="107"/>
      <c r="M121" s="107"/>
      <c r="N121" s="106"/>
      <c r="O121" s="106"/>
      <c r="P121" s="104">
        <f t="shared" si="53"/>
        <v>0</v>
      </c>
      <c r="Q121" s="107"/>
      <c r="R121" s="107"/>
      <c r="S121" s="107"/>
      <c r="T121" s="107"/>
      <c r="U121" s="107"/>
      <c r="V121" s="106"/>
      <c r="W121" s="106"/>
      <c r="X121" s="104">
        <f t="shared" si="54"/>
        <v>0</v>
      </c>
      <c r="Y121" s="107"/>
      <c r="Z121" s="107"/>
      <c r="AA121" s="107"/>
      <c r="AB121" s="107"/>
      <c r="AC121" s="107"/>
      <c r="AD121" s="107"/>
      <c r="AE121" s="107"/>
      <c r="AF121" s="104">
        <f t="shared" si="55"/>
        <v>0</v>
      </c>
    </row>
    <row r="122" spans="1:32" ht="11.25" customHeight="1" x14ac:dyDescent="0.2">
      <c r="A122" s="283" t="s">
        <v>46</v>
      </c>
      <c r="B122" s="94"/>
      <c r="C122" s="95"/>
      <c r="D122" s="96"/>
      <c r="E122" s="95"/>
      <c r="F122" s="97"/>
      <c r="G122" s="352" t="s">
        <v>26</v>
      </c>
      <c r="H122" s="112"/>
      <c r="I122" s="103">
        <f>I10+I74</f>
        <v>0</v>
      </c>
      <c r="J122" s="103">
        <f>J10+J74</f>
        <v>0</v>
      </c>
      <c r="K122" s="103">
        <f t="shared" ref="K122:AE122" si="78">K10+K74</f>
        <v>0</v>
      </c>
      <c r="L122" s="103">
        <f t="shared" si="78"/>
        <v>0</v>
      </c>
      <c r="M122" s="103">
        <f t="shared" si="78"/>
        <v>0</v>
      </c>
      <c r="N122" s="103">
        <f t="shared" si="78"/>
        <v>0</v>
      </c>
      <c r="O122" s="103">
        <f t="shared" si="78"/>
        <v>0</v>
      </c>
      <c r="P122" s="104">
        <f t="shared" si="53"/>
        <v>0</v>
      </c>
      <c r="Q122" s="103">
        <f t="shared" si="78"/>
        <v>0</v>
      </c>
      <c r="R122" s="103">
        <f t="shared" si="78"/>
        <v>0</v>
      </c>
      <c r="S122" s="103">
        <f t="shared" si="78"/>
        <v>0</v>
      </c>
      <c r="T122" s="103">
        <f t="shared" si="78"/>
        <v>0</v>
      </c>
      <c r="U122" s="103">
        <f t="shared" si="78"/>
        <v>0</v>
      </c>
      <c r="V122" s="103">
        <f t="shared" si="78"/>
        <v>0</v>
      </c>
      <c r="W122" s="103">
        <f t="shared" si="78"/>
        <v>0</v>
      </c>
      <c r="X122" s="104">
        <f t="shared" si="54"/>
        <v>0</v>
      </c>
      <c r="Y122" s="103">
        <f t="shared" si="78"/>
        <v>0</v>
      </c>
      <c r="Z122" s="103">
        <f t="shared" si="78"/>
        <v>0</v>
      </c>
      <c r="AA122" s="103">
        <f t="shared" si="78"/>
        <v>0</v>
      </c>
      <c r="AB122" s="103">
        <f t="shared" si="78"/>
        <v>0</v>
      </c>
      <c r="AC122" s="103">
        <f t="shared" si="78"/>
        <v>0</v>
      </c>
      <c r="AD122" s="104">
        <f t="shared" si="78"/>
        <v>0</v>
      </c>
      <c r="AE122" s="104">
        <f t="shared" si="78"/>
        <v>0</v>
      </c>
      <c r="AF122" s="104">
        <f t="shared" si="55"/>
        <v>0</v>
      </c>
    </row>
    <row r="123" spans="1:32" ht="11.25" customHeight="1" x14ac:dyDescent="0.2">
      <c r="G123" s="264" t="s">
        <v>48</v>
      </c>
      <c r="I123" s="63"/>
      <c r="J123" s="63"/>
      <c r="K123" s="63"/>
      <c r="L123" s="63"/>
      <c r="M123" s="63"/>
      <c r="Q123" s="63"/>
      <c r="R123" s="63"/>
      <c r="S123" s="63"/>
      <c r="T123" s="63"/>
      <c r="U123" s="63"/>
      <c r="Y123" s="63"/>
      <c r="Z123" s="63"/>
      <c r="AA123" s="63"/>
      <c r="AB123" s="63"/>
      <c r="AC123" s="63"/>
    </row>
    <row r="124" spans="1:32" ht="11.25" customHeight="1" x14ac:dyDescent="0.2">
      <c r="I124" s="63"/>
      <c r="J124" s="63"/>
      <c r="K124" s="63"/>
      <c r="L124" s="63"/>
      <c r="M124" s="63"/>
      <c r="Q124" s="63"/>
      <c r="R124" s="63"/>
      <c r="S124" s="63"/>
      <c r="T124" s="63"/>
      <c r="U124" s="63"/>
      <c r="Y124" s="63"/>
      <c r="Z124" s="63"/>
      <c r="AA124" s="63"/>
      <c r="AB124" s="63"/>
      <c r="AC124" s="63"/>
    </row>
    <row r="125" spans="1:32" ht="11.25" customHeight="1" x14ac:dyDescent="0.2">
      <c r="I125" s="63"/>
      <c r="J125" s="63"/>
      <c r="K125" s="63"/>
      <c r="L125" s="63"/>
      <c r="M125" s="63"/>
      <c r="Q125" s="63"/>
      <c r="R125" s="63"/>
      <c r="S125" s="63"/>
      <c r="T125" s="63"/>
      <c r="U125" s="63"/>
      <c r="Y125" s="63"/>
      <c r="Z125" s="63"/>
      <c r="AA125" s="63"/>
      <c r="AB125" s="63"/>
      <c r="AC125" s="63"/>
    </row>
    <row r="126" spans="1:32" ht="11.25" customHeight="1" x14ac:dyDescent="0.2">
      <c r="I126" s="63"/>
      <c r="J126" s="63"/>
      <c r="K126" s="63"/>
      <c r="L126" s="63"/>
      <c r="M126" s="63"/>
      <c r="Q126" s="63"/>
      <c r="R126" s="63"/>
      <c r="S126" s="63"/>
      <c r="T126" s="63"/>
      <c r="U126" s="63"/>
      <c r="Y126" s="63"/>
      <c r="Z126" s="63"/>
      <c r="AA126" s="63"/>
      <c r="AB126" s="63"/>
      <c r="AC126" s="63"/>
    </row>
  </sheetData>
  <sheetProtection password="A0C5" sheet="1" objects="1" scenarios="1" selectLockedCells="1"/>
  <mergeCells count="40">
    <mergeCell ref="D48:F48"/>
    <mergeCell ref="D59:F59"/>
    <mergeCell ref="D62:F62"/>
    <mergeCell ref="E69:F69"/>
    <mergeCell ref="E117:F117"/>
    <mergeCell ref="E121:F121"/>
    <mergeCell ref="E73:F73"/>
    <mergeCell ref="D84:F84"/>
    <mergeCell ref="D99:F99"/>
    <mergeCell ref="D110:F110"/>
    <mergeCell ref="AF8:AF9"/>
    <mergeCell ref="D20:F20"/>
    <mergeCell ref="D23:F23"/>
    <mergeCell ref="D41:F41"/>
    <mergeCell ref="Y8:Y9"/>
    <mergeCell ref="Z8:AA8"/>
    <mergeCell ref="AB8:AC8"/>
    <mergeCell ref="AD8:AE8"/>
    <mergeCell ref="R8:S8"/>
    <mergeCell ref="T8:U8"/>
    <mergeCell ref="Q7:X7"/>
    <mergeCell ref="Y7:AF7"/>
    <mergeCell ref="I8:I9"/>
    <mergeCell ref="J8:K8"/>
    <mergeCell ref="V8:W8"/>
    <mergeCell ref="X8:X9"/>
    <mergeCell ref="L8:M8"/>
    <mergeCell ref="N8:O8"/>
    <mergeCell ref="P8:P9"/>
    <mergeCell ref="Q8:Q9"/>
    <mergeCell ref="A1:AF1"/>
    <mergeCell ref="A2:AF2"/>
    <mergeCell ref="A3:AF3"/>
    <mergeCell ref="A4:AF4"/>
    <mergeCell ref="A5:AF5"/>
    <mergeCell ref="A6:F9"/>
    <mergeCell ref="G6:G9"/>
    <mergeCell ref="H6:H9"/>
    <mergeCell ref="I6:P7"/>
    <mergeCell ref="Q6:AF6"/>
  </mergeCells>
  <phoneticPr fontId="8" type="noConversion"/>
  <dataValidations count="1">
    <dataValidation type="decimal" operator="greaterThanOrEqual" allowBlank="1" showInputMessage="1" showErrorMessage="1" sqref="I10:AF122">
      <formula1>0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13b&amp;U
  &amp;P of &amp;N&amp;C&amp;"Arial,Bold"&amp;8 MAXIMUM SAVINGS BANK, INC.  [ 03-070011 ]
 As of: June 30, 2019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61"/>
  <sheetViews>
    <sheetView zoomScale="75" workbookViewId="0">
      <pane xSplit="7" ySplit="9" topLeftCell="L10" activePane="bottomRight" state="frozen"/>
      <selection activeCell="B1" sqref="B1"/>
      <selection pane="topRight" activeCell="H1" sqref="H1"/>
      <selection pane="bottomLeft" activeCell="B10" sqref="B10"/>
      <selection pane="bottomRight" sqref="A1:AF1"/>
    </sheetView>
  </sheetViews>
  <sheetFormatPr defaultRowHeight="11.25" customHeight="1" x14ac:dyDescent="0.2"/>
  <cols>
    <col min="1" max="1" width="3.28515625" style="14" customWidth="1"/>
    <col min="2" max="3" width="3.7109375" style="14" customWidth="1"/>
    <col min="4" max="4" width="34.140625" style="14" customWidth="1"/>
    <col min="5" max="5" width="34.7109375" style="14" hidden="1" customWidth="1"/>
    <col min="6" max="6" width="19" style="14" hidden="1" customWidth="1"/>
    <col min="7" max="7" width="17.7109375" style="14" customWidth="1"/>
    <col min="8" max="8" width="17.7109375" style="14" hidden="1" customWidth="1"/>
    <col min="9" max="13" width="22.7109375" style="14" customWidth="1"/>
    <col min="14" max="15" width="22.7109375" style="14" hidden="1" customWidth="1"/>
    <col min="16" max="21" width="22.7109375" style="14" customWidth="1"/>
    <col min="22" max="23" width="22.7109375" style="14" hidden="1" customWidth="1"/>
    <col min="24" max="29" width="22.7109375" style="14" customWidth="1"/>
    <col min="30" max="31" width="22.7109375" style="14" hidden="1" customWidth="1"/>
    <col min="32" max="32" width="22.7109375" style="14" customWidth="1"/>
    <col min="33" max="16384" width="9.140625" style="14"/>
  </cols>
  <sheetData>
    <row r="1" spans="1:32" ht="11.25" customHeight="1" x14ac:dyDescent="0.2">
      <c r="A1" s="397" t="s">
        <v>346</v>
      </c>
      <c r="B1" s="397"/>
      <c r="C1" s="397"/>
      <c r="D1" s="397"/>
      <c r="E1" s="397"/>
      <c r="F1" s="397"/>
      <c r="G1" s="397"/>
      <c r="H1" s="397"/>
      <c r="I1" s="397"/>
      <c r="J1" s="397"/>
      <c r="K1" s="397"/>
      <c r="L1" s="397"/>
      <c r="M1" s="397"/>
      <c r="N1" s="397"/>
      <c r="O1" s="397"/>
      <c r="P1" s="397"/>
      <c r="Q1" s="397"/>
      <c r="R1" s="397"/>
      <c r="S1" s="397"/>
      <c r="T1" s="397"/>
      <c r="U1" s="397"/>
      <c r="V1" s="397"/>
      <c r="W1" s="397"/>
      <c r="X1" s="397"/>
      <c r="Y1" s="397"/>
      <c r="Z1" s="397"/>
      <c r="AA1" s="397"/>
      <c r="AB1" s="427"/>
      <c r="AC1" s="427"/>
      <c r="AD1" s="427"/>
      <c r="AE1" s="427"/>
      <c r="AF1" s="427"/>
    </row>
    <row r="2" spans="1:32" ht="11.25" hidden="1" customHeight="1" x14ac:dyDescent="0.2">
      <c r="A2" s="398"/>
      <c r="B2" s="398"/>
      <c r="C2" s="398"/>
      <c r="D2" s="398"/>
      <c r="E2" s="398"/>
      <c r="F2" s="398"/>
      <c r="G2" s="398"/>
      <c r="H2" s="398"/>
      <c r="I2" s="398"/>
      <c r="J2" s="398"/>
      <c r="K2" s="398"/>
      <c r="L2" s="398"/>
      <c r="M2" s="398"/>
      <c r="N2" s="398"/>
      <c r="O2" s="398"/>
      <c r="P2" s="398"/>
      <c r="Q2" s="398"/>
      <c r="R2" s="398"/>
      <c r="S2" s="398"/>
      <c r="T2" s="398"/>
      <c r="U2" s="398"/>
      <c r="V2" s="398"/>
      <c r="W2" s="398"/>
      <c r="X2" s="398"/>
      <c r="Y2" s="398"/>
      <c r="Z2" s="398"/>
      <c r="AA2" s="398"/>
      <c r="AB2" s="428"/>
      <c r="AC2" s="428"/>
      <c r="AD2" s="428"/>
      <c r="AE2" s="428"/>
      <c r="AF2" s="428"/>
    </row>
    <row r="3" spans="1:32" ht="11.25" hidden="1" customHeight="1" x14ac:dyDescent="0.2">
      <c r="A3" s="398"/>
      <c r="B3" s="398"/>
      <c r="C3" s="398"/>
      <c r="D3" s="398"/>
      <c r="E3" s="398"/>
      <c r="F3" s="398"/>
      <c r="G3" s="398"/>
      <c r="H3" s="398"/>
      <c r="I3" s="398"/>
      <c r="J3" s="398"/>
      <c r="K3" s="398"/>
      <c r="L3" s="398"/>
      <c r="M3" s="398"/>
      <c r="N3" s="398"/>
      <c r="O3" s="398"/>
      <c r="P3" s="398"/>
      <c r="Q3" s="398"/>
      <c r="R3" s="398"/>
      <c r="S3" s="398"/>
      <c r="T3" s="398"/>
      <c r="U3" s="398"/>
      <c r="V3" s="398"/>
      <c r="W3" s="398"/>
      <c r="X3" s="398"/>
      <c r="Y3" s="398"/>
      <c r="Z3" s="398"/>
      <c r="AA3" s="398"/>
      <c r="AB3" s="428"/>
      <c r="AC3" s="428"/>
      <c r="AD3" s="428"/>
      <c r="AE3" s="428"/>
      <c r="AF3" s="428"/>
    </row>
    <row r="4" spans="1:32" ht="11.25" hidden="1" customHeight="1" x14ac:dyDescent="0.2">
      <c r="A4" s="398"/>
      <c r="B4" s="398"/>
      <c r="C4" s="398"/>
      <c r="D4" s="398"/>
      <c r="E4" s="398"/>
      <c r="F4" s="398"/>
      <c r="G4" s="398"/>
      <c r="H4" s="398"/>
      <c r="I4" s="398"/>
      <c r="J4" s="398"/>
      <c r="K4" s="398"/>
      <c r="L4" s="398"/>
      <c r="M4" s="398"/>
      <c r="N4" s="398"/>
      <c r="O4" s="398"/>
      <c r="P4" s="398"/>
      <c r="Q4" s="398"/>
      <c r="R4" s="398"/>
      <c r="S4" s="398"/>
      <c r="T4" s="398"/>
      <c r="U4" s="398"/>
      <c r="V4" s="398"/>
      <c r="W4" s="398"/>
      <c r="X4" s="398"/>
      <c r="Y4" s="398"/>
      <c r="Z4" s="398"/>
      <c r="AA4" s="398"/>
      <c r="AB4" s="428"/>
      <c r="AC4" s="428"/>
      <c r="AD4" s="428"/>
      <c r="AE4" s="428"/>
      <c r="AF4" s="428"/>
    </row>
    <row r="5" spans="1:32" ht="11.25" hidden="1" customHeight="1" x14ac:dyDescent="0.2">
      <c r="A5" s="398"/>
      <c r="B5" s="398"/>
      <c r="C5" s="398"/>
      <c r="D5" s="398"/>
      <c r="E5" s="398"/>
      <c r="F5" s="398"/>
      <c r="G5" s="398"/>
      <c r="H5" s="398"/>
      <c r="I5" s="398"/>
      <c r="J5" s="398"/>
      <c r="K5" s="398"/>
      <c r="L5" s="398"/>
      <c r="M5" s="398"/>
      <c r="N5" s="398"/>
      <c r="O5" s="398"/>
      <c r="P5" s="398"/>
      <c r="Q5" s="398"/>
      <c r="R5" s="398"/>
      <c r="S5" s="398"/>
      <c r="T5" s="398"/>
      <c r="U5" s="398"/>
      <c r="V5" s="398"/>
      <c r="W5" s="398"/>
      <c r="X5" s="398"/>
      <c r="Y5" s="398"/>
      <c r="Z5" s="398"/>
      <c r="AA5" s="398"/>
      <c r="AB5" s="428"/>
      <c r="AC5" s="428"/>
      <c r="AD5" s="428"/>
      <c r="AE5" s="428"/>
      <c r="AF5" s="428"/>
    </row>
    <row r="6" spans="1:32" ht="11.25" customHeight="1" x14ac:dyDescent="0.2">
      <c r="A6" s="398"/>
      <c r="B6" s="398"/>
      <c r="C6" s="398"/>
      <c r="D6" s="398"/>
      <c r="E6" s="398"/>
      <c r="F6" s="398"/>
      <c r="G6" s="398"/>
      <c r="H6" s="398"/>
      <c r="I6" s="398"/>
      <c r="J6" s="398"/>
      <c r="K6" s="398"/>
      <c r="L6" s="398"/>
      <c r="M6" s="398"/>
      <c r="N6" s="398"/>
      <c r="O6" s="398"/>
      <c r="P6" s="398"/>
      <c r="Q6" s="398"/>
      <c r="R6" s="398"/>
      <c r="S6" s="398"/>
      <c r="T6" s="398"/>
      <c r="U6" s="398"/>
      <c r="V6" s="398"/>
      <c r="W6" s="398"/>
      <c r="X6" s="398"/>
      <c r="Y6" s="398"/>
      <c r="Z6" s="398"/>
      <c r="AA6" s="398"/>
      <c r="AB6" s="428"/>
      <c r="AC6" s="428"/>
      <c r="AD6" s="428"/>
      <c r="AE6" s="428"/>
      <c r="AF6" s="428"/>
    </row>
    <row r="7" spans="1:32" ht="11.25" customHeight="1" x14ac:dyDescent="0.2">
      <c r="A7" s="429" t="s">
        <v>1</v>
      </c>
      <c r="B7" s="430"/>
      <c r="C7" s="430"/>
      <c r="D7" s="431"/>
      <c r="E7" s="326"/>
      <c r="G7" s="423" t="s">
        <v>2</v>
      </c>
      <c r="H7" s="329"/>
      <c r="I7" s="406" t="s">
        <v>51</v>
      </c>
      <c r="J7" s="406"/>
      <c r="K7" s="406"/>
      <c r="L7" s="406"/>
      <c r="M7" s="406"/>
      <c r="N7" s="406"/>
      <c r="O7" s="406"/>
      <c r="P7" s="406"/>
      <c r="Q7" s="406" t="s">
        <v>53</v>
      </c>
      <c r="R7" s="406"/>
      <c r="S7" s="406"/>
      <c r="T7" s="406"/>
      <c r="U7" s="406"/>
      <c r="V7" s="406"/>
      <c r="W7" s="406"/>
      <c r="X7" s="406"/>
      <c r="Y7" s="406" t="s">
        <v>54</v>
      </c>
      <c r="Z7" s="406"/>
      <c r="AA7" s="406"/>
      <c r="AB7" s="406"/>
      <c r="AC7" s="406"/>
      <c r="AD7" s="406"/>
      <c r="AE7" s="406"/>
      <c r="AF7" s="406"/>
    </row>
    <row r="8" spans="1:32" ht="11.25" customHeight="1" x14ac:dyDescent="0.2">
      <c r="A8" s="432"/>
      <c r="B8" s="433"/>
      <c r="C8" s="433"/>
      <c r="D8" s="434"/>
      <c r="E8" s="327"/>
      <c r="G8" s="438"/>
      <c r="H8" s="330"/>
      <c r="I8" s="406" t="s">
        <v>55</v>
      </c>
      <c r="J8" s="406" t="s">
        <v>4</v>
      </c>
      <c r="K8" s="406"/>
      <c r="L8" s="406" t="s">
        <v>5</v>
      </c>
      <c r="M8" s="406"/>
      <c r="N8" s="406" t="s">
        <v>6</v>
      </c>
      <c r="O8" s="406"/>
      <c r="P8" s="406" t="s">
        <v>56</v>
      </c>
      <c r="Q8" s="406" t="s">
        <v>55</v>
      </c>
      <c r="R8" s="406" t="s">
        <v>4</v>
      </c>
      <c r="S8" s="406"/>
      <c r="T8" s="406" t="s">
        <v>5</v>
      </c>
      <c r="U8" s="406"/>
      <c r="V8" s="406" t="s">
        <v>6</v>
      </c>
      <c r="W8" s="406"/>
      <c r="X8" s="406" t="s">
        <v>56</v>
      </c>
      <c r="Y8" s="406" t="s">
        <v>55</v>
      </c>
      <c r="Z8" s="406" t="s">
        <v>4</v>
      </c>
      <c r="AA8" s="406"/>
      <c r="AB8" s="406" t="s">
        <v>5</v>
      </c>
      <c r="AC8" s="406"/>
      <c r="AD8" s="406" t="s">
        <v>6</v>
      </c>
      <c r="AE8" s="406"/>
      <c r="AF8" s="406" t="s">
        <v>56</v>
      </c>
    </row>
    <row r="9" spans="1:32" ht="11.25" customHeight="1" x14ac:dyDescent="0.2">
      <c r="A9" s="435"/>
      <c r="B9" s="436"/>
      <c r="C9" s="436"/>
      <c r="D9" s="437"/>
      <c r="E9" s="328"/>
      <c r="G9" s="439"/>
      <c r="H9" s="331"/>
      <c r="I9" s="406"/>
      <c r="J9" s="19" t="s">
        <v>11</v>
      </c>
      <c r="K9" s="20" t="s">
        <v>12</v>
      </c>
      <c r="L9" s="19" t="s">
        <v>11</v>
      </c>
      <c r="M9" s="20" t="s">
        <v>12</v>
      </c>
      <c r="N9" s="19" t="s">
        <v>11</v>
      </c>
      <c r="O9" s="20" t="s">
        <v>12</v>
      </c>
      <c r="P9" s="406"/>
      <c r="Q9" s="406"/>
      <c r="R9" s="19" t="s">
        <v>11</v>
      </c>
      <c r="S9" s="20" t="s">
        <v>12</v>
      </c>
      <c r="T9" s="19" t="s">
        <v>11</v>
      </c>
      <c r="U9" s="20" t="s">
        <v>12</v>
      </c>
      <c r="V9" s="19" t="s">
        <v>11</v>
      </c>
      <c r="W9" s="20" t="s">
        <v>12</v>
      </c>
      <c r="X9" s="406"/>
      <c r="Y9" s="406"/>
      <c r="Z9" s="19" t="s">
        <v>11</v>
      </c>
      <c r="AA9" s="20" t="s">
        <v>12</v>
      </c>
      <c r="AB9" s="19" t="s">
        <v>11</v>
      </c>
      <c r="AC9" s="20" t="s">
        <v>12</v>
      </c>
      <c r="AD9" s="19" t="s">
        <v>11</v>
      </c>
      <c r="AE9" s="20" t="s">
        <v>12</v>
      </c>
      <c r="AF9" s="406"/>
    </row>
    <row r="10" spans="1:32" ht="11.25" customHeight="1" x14ac:dyDescent="0.2">
      <c r="A10" s="141" t="s">
        <v>96</v>
      </c>
      <c r="B10" s="142"/>
      <c r="C10" s="143"/>
      <c r="D10" s="143"/>
      <c r="E10" s="144"/>
      <c r="G10" s="112"/>
      <c r="H10" s="112"/>
      <c r="I10" s="50"/>
      <c r="J10" s="265"/>
      <c r="K10" s="265"/>
      <c r="L10" s="265"/>
      <c r="M10" s="265"/>
      <c r="N10" s="265"/>
      <c r="O10" s="265"/>
      <c r="P10" s="265">
        <f>I10+K10+M10+O10</f>
        <v>0</v>
      </c>
      <c r="Q10" s="39"/>
      <c r="R10" s="348"/>
      <c r="S10" s="348"/>
      <c r="T10" s="265"/>
      <c r="U10" s="265"/>
      <c r="V10" s="265"/>
      <c r="W10" s="265"/>
      <c r="X10" s="265">
        <f>Q10+S10+U10+W10</f>
        <v>0</v>
      </c>
      <c r="Y10" s="39"/>
      <c r="Z10" s="348"/>
      <c r="AA10" s="348"/>
      <c r="AB10" s="265"/>
      <c r="AC10" s="265"/>
      <c r="AD10" s="265"/>
      <c r="AE10" s="265"/>
      <c r="AF10" s="265">
        <f>Y10+AA10+AC10+AE10</f>
        <v>0</v>
      </c>
    </row>
    <row r="11" spans="1:32" ht="11.25" customHeight="1" x14ac:dyDescent="0.2">
      <c r="A11" s="138" t="s">
        <v>57</v>
      </c>
      <c r="B11" s="147"/>
      <c r="C11" s="36"/>
      <c r="D11" s="43"/>
      <c r="E11" s="49"/>
      <c r="G11" s="352" t="s">
        <v>347</v>
      </c>
      <c r="H11" s="112"/>
      <c r="I11" s="54"/>
      <c r="J11" s="26">
        <f t="shared" ref="J11:O11" si="0">J12+J22+J25+J26+J33</f>
        <v>0</v>
      </c>
      <c r="K11" s="26">
        <f t="shared" si="0"/>
        <v>0</v>
      </c>
      <c r="L11" s="26">
        <f t="shared" si="0"/>
        <v>0</v>
      </c>
      <c r="M11" s="26">
        <f t="shared" si="0"/>
        <v>0</v>
      </c>
      <c r="N11" s="26">
        <f t="shared" si="0"/>
        <v>0</v>
      </c>
      <c r="O11" s="26">
        <f t="shared" si="0"/>
        <v>0</v>
      </c>
      <c r="P11" s="26">
        <f t="shared" ref="P11:P59" si="1">I11+K11+M11+O11</f>
        <v>0</v>
      </c>
      <c r="Q11" s="26">
        <f>Q12+Q22+Q25+Q26+Q33</f>
        <v>0</v>
      </c>
      <c r="R11" s="26">
        <f>R12+R22+R25+R26+R33</f>
        <v>0</v>
      </c>
      <c r="S11" s="26">
        <f>S12+S22+S25+S26+S33</f>
        <v>0</v>
      </c>
      <c r="T11" s="26">
        <f t="shared" ref="T11:AE11" si="2">T12+T22+T25+T26+T33</f>
        <v>0</v>
      </c>
      <c r="U11" s="26">
        <f t="shared" si="2"/>
        <v>0</v>
      </c>
      <c r="V11" s="26">
        <f t="shared" si="2"/>
        <v>0</v>
      </c>
      <c r="W11" s="26">
        <f t="shared" si="2"/>
        <v>0</v>
      </c>
      <c r="X11" s="26">
        <f t="shared" ref="X11:X59" si="3">Q11+S11+U11+W11</f>
        <v>0</v>
      </c>
      <c r="Y11" s="26">
        <f>Y12+Y22+Y25+Y26+Y33</f>
        <v>0</v>
      </c>
      <c r="Z11" s="26">
        <f>Z12+Z22+Z25+Z26+Z33</f>
        <v>0</v>
      </c>
      <c r="AA11" s="26">
        <f>AA12+AA22+AA25+AA26+AA33</f>
        <v>0</v>
      </c>
      <c r="AB11" s="26">
        <f t="shared" si="2"/>
        <v>0</v>
      </c>
      <c r="AC11" s="26">
        <f t="shared" si="2"/>
        <v>0</v>
      </c>
      <c r="AD11" s="26">
        <f t="shared" si="2"/>
        <v>0</v>
      </c>
      <c r="AE11" s="26">
        <f t="shared" si="2"/>
        <v>0</v>
      </c>
      <c r="AF11" s="26">
        <f t="shared" ref="AF11:AF59" si="4">Y11+AA11+AC11+AE11</f>
        <v>0</v>
      </c>
    </row>
    <row r="12" spans="1:32" ht="11.25" customHeight="1" x14ac:dyDescent="0.2">
      <c r="A12" s="145" t="s">
        <v>62</v>
      </c>
      <c r="B12" s="63" t="s">
        <v>98</v>
      </c>
      <c r="C12" s="63"/>
      <c r="D12" s="63"/>
      <c r="E12" s="60"/>
      <c r="G12" s="352" t="s">
        <v>348</v>
      </c>
      <c r="H12" s="112"/>
      <c r="I12" s="54"/>
      <c r="J12" s="26">
        <f t="shared" ref="J12:O12" si="5">J13+J16+J19</f>
        <v>0</v>
      </c>
      <c r="K12" s="26">
        <f t="shared" si="5"/>
        <v>0</v>
      </c>
      <c r="L12" s="26">
        <f t="shared" si="5"/>
        <v>0</v>
      </c>
      <c r="M12" s="26">
        <f t="shared" si="5"/>
        <v>0</v>
      </c>
      <c r="N12" s="26">
        <f t="shared" si="5"/>
        <v>0</v>
      </c>
      <c r="O12" s="26">
        <f t="shared" si="5"/>
        <v>0</v>
      </c>
      <c r="P12" s="26">
        <f t="shared" si="1"/>
        <v>0</v>
      </c>
      <c r="Q12" s="26">
        <f>Q13+Q16+Q19</f>
        <v>0</v>
      </c>
      <c r="R12" s="54"/>
      <c r="S12" s="54"/>
      <c r="T12" s="26">
        <f t="shared" ref="T12:AE12" si="6">T13+T16+T19</f>
        <v>0</v>
      </c>
      <c r="U12" s="26">
        <f t="shared" si="6"/>
        <v>0</v>
      </c>
      <c r="V12" s="26">
        <f t="shared" si="6"/>
        <v>0</v>
      </c>
      <c r="W12" s="26">
        <f t="shared" si="6"/>
        <v>0</v>
      </c>
      <c r="X12" s="26">
        <f t="shared" si="3"/>
        <v>0</v>
      </c>
      <c r="Y12" s="26">
        <f>Y13+Y16+Y19</f>
        <v>0</v>
      </c>
      <c r="Z12" s="54"/>
      <c r="AA12" s="54"/>
      <c r="AB12" s="26">
        <f t="shared" si="6"/>
        <v>0</v>
      </c>
      <c r="AC12" s="26">
        <f t="shared" si="6"/>
        <v>0</v>
      </c>
      <c r="AD12" s="26">
        <f t="shared" si="6"/>
        <v>0</v>
      </c>
      <c r="AE12" s="26">
        <f t="shared" si="6"/>
        <v>0</v>
      </c>
      <c r="AF12" s="26">
        <f t="shared" si="4"/>
        <v>0</v>
      </c>
    </row>
    <row r="13" spans="1:32" ht="11.25" customHeight="1" x14ac:dyDescent="0.2">
      <c r="A13" s="139"/>
      <c r="B13" s="65">
        <v>-1</v>
      </c>
      <c r="C13" s="57" t="s">
        <v>251</v>
      </c>
      <c r="D13" s="59"/>
      <c r="E13" s="60"/>
      <c r="G13" s="352" t="s">
        <v>349</v>
      </c>
      <c r="H13" s="112"/>
      <c r="I13" s="54"/>
      <c r="J13" s="26">
        <f t="shared" ref="J13:O13" si="7">J14+J15</f>
        <v>0</v>
      </c>
      <c r="K13" s="26">
        <f t="shared" si="7"/>
        <v>0</v>
      </c>
      <c r="L13" s="26">
        <f t="shared" si="7"/>
        <v>0</v>
      </c>
      <c r="M13" s="26">
        <f t="shared" si="7"/>
        <v>0</v>
      </c>
      <c r="N13" s="26">
        <f t="shared" si="7"/>
        <v>0</v>
      </c>
      <c r="O13" s="26">
        <f t="shared" si="7"/>
        <v>0</v>
      </c>
      <c r="P13" s="26">
        <f t="shared" si="1"/>
        <v>0</v>
      </c>
      <c r="Q13" s="26">
        <f>Q14+Q15</f>
        <v>0</v>
      </c>
      <c r="R13" s="54"/>
      <c r="S13" s="54"/>
      <c r="T13" s="26">
        <f t="shared" ref="T13:AE13" si="8">T14+T15</f>
        <v>0</v>
      </c>
      <c r="U13" s="26">
        <f t="shared" si="8"/>
        <v>0</v>
      </c>
      <c r="V13" s="26">
        <f t="shared" si="8"/>
        <v>0</v>
      </c>
      <c r="W13" s="26">
        <f t="shared" si="8"/>
        <v>0</v>
      </c>
      <c r="X13" s="26">
        <f t="shared" si="3"/>
        <v>0</v>
      </c>
      <c r="Y13" s="26">
        <f>Y14+Y15</f>
        <v>0</v>
      </c>
      <c r="Z13" s="54"/>
      <c r="AA13" s="54"/>
      <c r="AB13" s="26">
        <f t="shared" si="8"/>
        <v>0</v>
      </c>
      <c r="AC13" s="26">
        <f t="shared" si="8"/>
        <v>0</v>
      </c>
      <c r="AD13" s="26">
        <f t="shared" si="8"/>
        <v>0</v>
      </c>
      <c r="AE13" s="26">
        <f t="shared" si="8"/>
        <v>0</v>
      </c>
      <c r="AF13" s="26">
        <f t="shared" si="4"/>
        <v>0</v>
      </c>
    </row>
    <row r="14" spans="1:32" ht="11.25" customHeight="1" x14ac:dyDescent="0.2">
      <c r="A14" s="145"/>
      <c r="B14" s="135" t="s">
        <v>102</v>
      </c>
      <c r="C14" s="63" t="s">
        <v>87</v>
      </c>
      <c r="D14" s="63"/>
      <c r="E14" s="60"/>
      <c r="G14" s="352" t="s">
        <v>350</v>
      </c>
      <c r="H14" s="112"/>
      <c r="I14" s="50"/>
      <c r="J14" s="152"/>
      <c r="K14" s="152"/>
      <c r="L14" s="152"/>
      <c r="M14" s="152"/>
      <c r="N14" s="152"/>
      <c r="O14" s="152"/>
      <c r="P14" s="26">
        <f t="shared" si="1"/>
        <v>0</v>
      </c>
      <c r="Q14" s="39"/>
      <c r="R14" s="50"/>
      <c r="S14" s="50"/>
      <c r="T14" s="152"/>
      <c r="U14" s="152"/>
      <c r="V14" s="152"/>
      <c r="W14" s="152"/>
      <c r="X14" s="26">
        <f t="shared" si="3"/>
        <v>0</v>
      </c>
      <c r="Y14" s="39"/>
      <c r="Z14" s="50"/>
      <c r="AA14" s="50"/>
      <c r="AB14" s="152"/>
      <c r="AC14" s="152"/>
      <c r="AD14" s="152"/>
      <c r="AE14" s="152"/>
      <c r="AF14" s="26">
        <f t="shared" si="4"/>
        <v>0</v>
      </c>
    </row>
    <row r="15" spans="1:32" ht="11.25" customHeight="1" x14ac:dyDescent="0.2">
      <c r="A15" s="139"/>
      <c r="B15" s="149" t="s">
        <v>104</v>
      </c>
      <c r="C15" s="57" t="s">
        <v>89</v>
      </c>
      <c r="D15" s="59"/>
      <c r="E15" s="60"/>
      <c r="G15" s="352" t="s">
        <v>351</v>
      </c>
      <c r="H15" s="112"/>
      <c r="I15" s="50"/>
      <c r="J15" s="39"/>
      <c r="K15" s="39"/>
      <c r="L15" s="39"/>
      <c r="M15" s="39"/>
      <c r="N15" s="39"/>
      <c r="O15" s="39"/>
      <c r="P15" s="26">
        <f t="shared" si="1"/>
        <v>0</v>
      </c>
      <c r="Q15" s="39"/>
      <c r="R15" s="50"/>
      <c r="S15" s="50"/>
      <c r="T15" s="152"/>
      <c r="U15" s="152"/>
      <c r="V15" s="152"/>
      <c r="W15" s="152"/>
      <c r="X15" s="26">
        <f t="shared" si="3"/>
        <v>0</v>
      </c>
      <c r="Y15" s="39"/>
      <c r="Z15" s="50"/>
      <c r="AA15" s="50"/>
      <c r="AB15" s="152"/>
      <c r="AC15" s="152"/>
      <c r="AD15" s="152"/>
      <c r="AE15" s="152"/>
      <c r="AF15" s="26">
        <f t="shared" si="4"/>
        <v>0</v>
      </c>
    </row>
    <row r="16" spans="1:32" ht="11.25" customHeight="1" x14ac:dyDescent="0.2">
      <c r="A16" s="145"/>
      <c r="B16" s="66">
        <f>B13-1</f>
        <v>-2</v>
      </c>
      <c r="C16" s="63" t="s">
        <v>106</v>
      </c>
      <c r="D16" s="63"/>
      <c r="E16" s="60"/>
      <c r="G16" s="352" t="s">
        <v>352</v>
      </c>
      <c r="H16" s="112"/>
      <c r="I16" s="54"/>
      <c r="J16" s="26">
        <f>J17+J18</f>
        <v>0</v>
      </c>
      <c r="K16" s="26">
        <f t="shared" ref="K16:AE16" si="9">K17+K18</f>
        <v>0</v>
      </c>
      <c r="L16" s="26">
        <f t="shared" si="9"/>
        <v>0</v>
      </c>
      <c r="M16" s="26">
        <f t="shared" si="9"/>
        <v>0</v>
      </c>
      <c r="N16" s="26">
        <f t="shared" si="9"/>
        <v>0</v>
      </c>
      <c r="O16" s="26">
        <f t="shared" si="9"/>
        <v>0</v>
      </c>
      <c r="P16" s="26">
        <f t="shared" si="1"/>
        <v>0</v>
      </c>
      <c r="Q16" s="26">
        <f t="shared" si="9"/>
        <v>0</v>
      </c>
      <c r="R16" s="54"/>
      <c r="S16" s="54"/>
      <c r="T16" s="26">
        <f t="shared" si="9"/>
        <v>0</v>
      </c>
      <c r="U16" s="26">
        <f t="shared" si="9"/>
        <v>0</v>
      </c>
      <c r="V16" s="26">
        <f t="shared" si="9"/>
        <v>0</v>
      </c>
      <c r="W16" s="26">
        <f t="shared" si="9"/>
        <v>0</v>
      </c>
      <c r="X16" s="26">
        <f t="shared" si="3"/>
        <v>0</v>
      </c>
      <c r="Y16" s="26">
        <f t="shared" si="9"/>
        <v>0</v>
      </c>
      <c r="Z16" s="54"/>
      <c r="AA16" s="54"/>
      <c r="AB16" s="26">
        <f t="shared" si="9"/>
        <v>0</v>
      </c>
      <c r="AC16" s="26">
        <f t="shared" si="9"/>
        <v>0</v>
      </c>
      <c r="AD16" s="26">
        <f t="shared" si="9"/>
        <v>0</v>
      </c>
      <c r="AE16" s="26">
        <f t="shared" si="9"/>
        <v>0</v>
      </c>
      <c r="AF16" s="26">
        <f t="shared" si="4"/>
        <v>0</v>
      </c>
    </row>
    <row r="17" spans="1:32" ht="11.25" customHeight="1" x14ac:dyDescent="0.2">
      <c r="A17" s="139"/>
      <c r="B17" s="149" t="s">
        <v>108</v>
      </c>
      <c r="C17" s="57" t="s">
        <v>87</v>
      </c>
      <c r="D17" s="59"/>
      <c r="E17" s="60"/>
      <c r="G17" s="352" t="s">
        <v>353</v>
      </c>
      <c r="H17" s="112"/>
      <c r="I17" s="50"/>
      <c r="J17" s="152"/>
      <c r="K17" s="152"/>
      <c r="L17" s="152"/>
      <c r="M17" s="152"/>
      <c r="N17" s="152"/>
      <c r="O17" s="152"/>
      <c r="P17" s="26">
        <f t="shared" si="1"/>
        <v>0</v>
      </c>
      <c r="Q17" s="39"/>
      <c r="R17" s="50"/>
      <c r="S17" s="50"/>
      <c r="T17" s="152"/>
      <c r="U17" s="152"/>
      <c r="V17" s="152"/>
      <c r="W17" s="152"/>
      <c r="X17" s="26">
        <f t="shared" si="3"/>
        <v>0</v>
      </c>
      <c r="Y17" s="39"/>
      <c r="Z17" s="50"/>
      <c r="AA17" s="50"/>
      <c r="AB17" s="152"/>
      <c r="AC17" s="152"/>
      <c r="AD17" s="152"/>
      <c r="AE17" s="152"/>
      <c r="AF17" s="26">
        <f t="shared" si="4"/>
        <v>0</v>
      </c>
    </row>
    <row r="18" spans="1:32" ht="11.25" customHeight="1" x14ac:dyDescent="0.2">
      <c r="A18" s="145"/>
      <c r="B18" s="135" t="s">
        <v>110</v>
      </c>
      <c r="C18" s="63" t="s">
        <v>89</v>
      </c>
      <c r="D18" s="63"/>
      <c r="E18" s="60"/>
      <c r="G18" s="352" t="s">
        <v>354</v>
      </c>
      <c r="H18" s="112"/>
      <c r="I18" s="50"/>
      <c r="J18" s="152"/>
      <c r="K18" s="152"/>
      <c r="L18" s="152"/>
      <c r="M18" s="152"/>
      <c r="N18" s="152"/>
      <c r="O18" s="152"/>
      <c r="P18" s="26">
        <f t="shared" si="1"/>
        <v>0</v>
      </c>
      <c r="Q18" s="39"/>
      <c r="R18" s="50"/>
      <c r="S18" s="50"/>
      <c r="T18" s="152"/>
      <c r="U18" s="152"/>
      <c r="V18" s="152"/>
      <c r="W18" s="152"/>
      <c r="X18" s="26">
        <f t="shared" si="3"/>
        <v>0</v>
      </c>
      <c r="Y18" s="39"/>
      <c r="Z18" s="50"/>
      <c r="AA18" s="50"/>
      <c r="AB18" s="152"/>
      <c r="AC18" s="152"/>
      <c r="AD18" s="152"/>
      <c r="AE18" s="152"/>
      <c r="AF18" s="26">
        <f t="shared" si="4"/>
        <v>0</v>
      </c>
    </row>
    <row r="19" spans="1:32" ht="11.25" customHeight="1" x14ac:dyDescent="0.2">
      <c r="A19" s="139"/>
      <c r="B19" s="65">
        <f>B16-1</f>
        <v>-3</v>
      </c>
      <c r="C19" s="57" t="s">
        <v>112</v>
      </c>
      <c r="D19" s="59"/>
      <c r="E19" s="60"/>
      <c r="G19" s="352" t="s">
        <v>355</v>
      </c>
      <c r="H19" s="112"/>
      <c r="I19" s="54"/>
      <c r="J19" s="26">
        <f>J20+J21</f>
        <v>0</v>
      </c>
      <c r="K19" s="26">
        <f t="shared" ref="K19:AE19" si="10">K20+K21</f>
        <v>0</v>
      </c>
      <c r="L19" s="26">
        <f t="shared" si="10"/>
        <v>0</v>
      </c>
      <c r="M19" s="26">
        <f t="shared" si="10"/>
        <v>0</v>
      </c>
      <c r="N19" s="26">
        <f t="shared" si="10"/>
        <v>0</v>
      </c>
      <c r="O19" s="26">
        <f t="shared" si="10"/>
        <v>0</v>
      </c>
      <c r="P19" s="26">
        <f t="shared" si="1"/>
        <v>0</v>
      </c>
      <c r="Q19" s="26">
        <f t="shared" si="10"/>
        <v>0</v>
      </c>
      <c r="R19" s="54"/>
      <c r="S19" s="54"/>
      <c r="T19" s="26">
        <f t="shared" si="10"/>
        <v>0</v>
      </c>
      <c r="U19" s="26">
        <f t="shared" si="10"/>
        <v>0</v>
      </c>
      <c r="V19" s="26">
        <f t="shared" si="10"/>
        <v>0</v>
      </c>
      <c r="W19" s="26">
        <f t="shared" si="10"/>
        <v>0</v>
      </c>
      <c r="X19" s="26">
        <f t="shared" si="3"/>
        <v>0</v>
      </c>
      <c r="Y19" s="26">
        <f t="shared" si="10"/>
        <v>0</v>
      </c>
      <c r="Z19" s="54"/>
      <c r="AA19" s="54"/>
      <c r="AB19" s="26">
        <f t="shared" si="10"/>
        <v>0</v>
      </c>
      <c r="AC19" s="26">
        <f t="shared" si="10"/>
        <v>0</v>
      </c>
      <c r="AD19" s="26">
        <f t="shared" si="10"/>
        <v>0</v>
      </c>
      <c r="AE19" s="26">
        <f t="shared" si="10"/>
        <v>0</v>
      </c>
      <c r="AF19" s="26">
        <f t="shared" si="4"/>
        <v>0</v>
      </c>
    </row>
    <row r="20" spans="1:32" ht="11.25" customHeight="1" x14ac:dyDescent="0.2">
      <c r="A20" s="145"/>
      <c r="B20" s="135" t="s">
        <v>114</v>
      </c>
      <c r="C20" s="63" t="s">
        <v>87</v>
      </c>
      <c r="D20" s="63"/>
      <c r="E20" s="60"/>
      <c r="G20" s="352" t="s">
        <v>356</v>
      </c>
      <c r="H20" s="112"/>
      <c r="I20" s="50"/>
      <c r="J20" s="152"/>
      <c r="K20" s="152"/>
      <c r="L20" s="152"/>
      <c r="M20" s="152"/>
      <c r="N20" s="152"/>
      <c r="O20" s="152"/>
      <c r="P20" s="26">
        <f t="shared" si="1"/>
        <v>0</v>
      </c>
      <c r="Q20" s="39"/>
      <c r="R20" s="50"/>
      <c r="S20" s="50"/>
      <c r="T20" s="152"/>
      <c r="U20" s="152"/>
      <c r="V20" s="152"/>
      <c r="W20" s="152"/>
      <c r="X20" s="26">
        <f t="shared" si="3"/>
        <v>0</v>
      </c>
      <c r="Y20" s="39"/>
      <c r="Z20" s="50"/>
      <c r="AA20" s="50"/>
      <c r="AB20" s="152"/>
      <c r="AC20" s="152"/>
      <c r="AD20" s="152"/>
      <c r="AE20" s="152"/>
      <c r="AF20" s="26">
        <f t="shared" si="4"/>
        <v>0</v>
      </c>
    </row>
    <row r="21" spans="1:32" ht="11.25" customHeight="1" x14ac:dyDescent="0.2">
      <c r="A21" s="139"/>
      <c r="B21" s="149" t="s">
        <v>116</v>
      </c>
      <c r="C21" s="57" t="s">
        <v>89</v>
      </c>
      <c r="D21" s="59"/>
      <c r="E21" s="60"/>
      <c r="G21" s="352" t="s">
        <v>357</v>
      </c>
      <c r="H21" s="112"/>
      <c r="I21" s="50"/>
      <c r="J21" s="152"/>
      <c r="K21" s="152"/>
      <c r="L21" s="152"/>
      <c r="M21" s="152"/>
      <c r="N21" s="152"/>
      <c r="O21" s="152"/>
      <c r="P21" s="26">
        <f t="shared" si="1"/>
        <v>0</v>
      </c>
      <c r="Q21" s="39"/>
      <c r="R21" s="50"/>
      <c r="S21" s="50"/>
      <c r="T21" s="152"/>
      <c r="U21" s="152"/>
      <c r="V21" s="152"/>
      <c r="W21" s="152"/>
      <c r="X21" s="26">
        <f t="shared" si="3"/>
        <v>0</v>
      </c>
      <c r="Y21" s="39"/>
      <c r="Z21" s="50"/>
      <c r="AA21" s="50"/>
      <c r="AB21" s="152"/>
      <c r="AC21" s="152"/>
      <c r="AD21" s="152"/>
      <c r="AE21" s="152"/>
      <c r="AF21" s="26">
        <f t="shared" si="4"/>
        <v>0</v>
      </c>
    </row>
    <row r="22" spans="1:32" ht="11.25" customHeight="1" x14ac:dyDescent="0.2">
      <c r="A22" s="145" t="s">
        <v>68</v>
      </c>
      <c r="B22" s="63" t="s">
        <v>118</v>
      </c>
      <c r="C22" s="63"/>
      <c r="D22" s="63"/>
      <c r="E22" s="60"/>
      <c r="G22" s="352" t="s">
        <v>358</v>
      </c>
      <c r="H22" s="112"/>
      <c r="I22" s="54"/>
      <c r="J22" s="26">
        <f>J23+J24</f>
        <v>0</v>
      </c>
      <c r="K22" s="26">
        <f t="shared" ref="K22:AE22" si="11">K23+K24</f>
        <v>0</v>
      </c>
      <c r="L22" s="26">
        <f t="shared" si="11"/>
        <v>0</v>
      </c>
      <c r="M22" s="26">
        <f t="shared" si="11"/>
        <v>0</v>
      </c>
      <c r="N22" s="26">
        <f t="shared" si="11"/>
        <v>0</v>
      </c>
      <c r="O22" s="26">
        <f t="shared" si="11"/>
        <v>0</v>
      </c>
      <c r="P22" s="26">
        <f t="shared" si="1"/>
        <v>0</v>
      </c>
      <c r="Q22" s="26">
        <f t="shared" si="11"/>
        <v>0</v>
      </c>
      <c r="R22" s="54"/>
      <c r="S22" s="54"/>
      <c r="T22" s="26">
        <f t="shared" si="11"/>
        <v>0</v>
      </c>
      <c r="U22" s="26">
        <f t="shared" si="11"/>
        <v>0</v>
      </c>
      <c r="V22" s="26">
        <f t="shared" si="11"/>
        <v>0</v>
      </c>
      <c r="W22" s="26">
        <f t="shared" si="11"/>
        <v>0</v>
      </c>
      <c r="X22" s="26">
        <f t="shared" si="3"/>
        <v>0</v>
      </c>
      <c r="Y22" s="26">
        <f t="shared" si="11"/>
        <v>0</v>
      </c>
      <c r="Z22" s="54"/>
      <c r="AA22" s="54"/>
      <c r="AB22" s="26">
        <f t="shared" si="11"/>
        <v>0</v>
      </c>
      <c r="AC22" s="26">
        <f t="shared" si="11"/>
        <v>0</v>
      </c>
      <c r="AD22" s="26">
        <f t="shared" si="11"/>
        <v>0</v>
      </c>
      <c r="AE22" s="26">
        <f t="shared" si="11"/>
        <v>0</v>
      </c>
      <c r="AF22" s="26">
        <f t="shared" si="4"/>
        <v>0</v>
      </c>
    </row>
    <row r="23" spans="1:32" ht="11.25" customHeight="1" x14ac:dyDescent="0.2">
      <c r="A23" s="150"/>
      <c r="B23" s="151" t="s">
        <v>18</v>
      </c>
      <c r="C23" s="57" t="s">
        <v>120</v>
      </c>
      <c r="D23" s="59"/>
      <c r="E23" s="60"/>
      <c r="G23" s="352" t="s">
        <v>359</v>
      </c>
      <c r="H23" s="112"/>
      <c r="I23" s="50"/>
      <c r="J23" s="152"/>
      <c r="K23" s="152"/>
      <c r="L23" s="152"/>
      <c r="M23" s="152"/>
      <c r="N23" s="152"/>
      <c r="O23" s="152"/>
      <c r="P23" s="26">
        <f t="shared" si="1"/>
        <v>0</v>
      </c>
      <c r="Q23" s="39"/>
      <c r="R23" s="50"/>
      <c r="S23" s="50"/>
      <c r="T23" s="152"/>
      <c r="U23" s="152"/>
      <c r="V23" s="152"/>
      <c r="W23" s="152"/>
      <c r="X23" s="26">
        <f t="shared" si="3"/>
        <v>0</v>
      </c>
      <c r="Y23" s="39"/>
      <c r="Z23" s="50"/>
      <c r="AA23" s="50"/>
      <c r="AB23" s="152"/>
      <c r="AC23" s="152"/>
      <c r="AD23" s="152"/>
      <c r="AE23" s="152"/>
      <c r="AF23" s="26">
        <f t="shared" si="4"/>
        <v>0</v>
      </c>
    </row>
    <row r="24" spans="1:32" ht="11.25" customHeight="1" x14ac:dyDescent="0.2">
      <c r="A24" s="146"/>
      <c r="B24" s="136" t="s">
        <v>21</v>
      </c>
      <c r="C24" s="63" t="s">
        <v>122</v>
      </c>
      <c r="D24" s="63"/>
      <c r="E24" s="60"/>
      <c r="G24" s="352" t="s">
        <v>360</v>
      </c>
      <c r="H24" s="112"/>
      <c r="I24" s="50"/>
      <c r="J24" s="152"/>
      <c r="K24" s="152"/>
      <c r="L24" s="152"/>
      <c r="M24" s="152"/>
      <c r="N24" s="152"/>
      <c r="O24" s="152"/>
      <c r="P24" s="26">
        <f t="shared" si="1"/>
        <v>0</v>
      </c>
      <c r="Q24" s="39"/>
      <c r="R24" s="50"/>
      <c r="S24" s="50"/>
      <c r="T24" s="152"/>
      <c r="U24" s="152"/>
      <c r="V24" s="152"/>
      <c r="W24" s="152"/>
      <c r="X24" s="26">
        <f t="shared" si="3"/>
        <v>0</v>
      </c>
      <c r="Y24" s="39"/>
      <c r="Z24" s="50"/>
      <c r="AA24" s="50"/>
      <c r="AB24" s="152"/>
      <c r="AC24" s="152"/>
      <c r="AD24" s="152"/>
      <c r="AE24" s="152"/>
      <c r="AF24" s="26">
        <f t="shared" si="4"/>
        <v>0</v>
      </c>
    </row>
    <row r="25" spans="1:32" ht="11.25" customHeight="1" x14ac:dyDescent="0.2">
      <c r="A25" s="139" t="s">
        <v>81</v>
      </c>
      <c r="B25" s="57" t="s">
        <v>124</v>
      </c>
      <c r="C25" s="57"/>
      <c r="D25" s="59"/>
      <c r="E25" s="60"/>
      <c r="G25" s="352" t="s">
        <v>361</v>
      </c>
      <c r="H25" s="112"/>
      <c r="I25" s="50"/>
      <c r="J25" s="152"/>
      <c r="K25" s="152"/>
      <c r="L25" s="152"/>
      <c r="M25" s="152"/>
      <c r="N25" s="152"/>
      <c r="O25" s="152"/>
      <c r="P25" s="26">
        <f t="shared" si="1"/>
        <v>0</v>
      </c>
      <c r="Q25" s="39"/>
      <c r="R25" s="50"/>
      <c r="S25" s="50"/>
      <c r="T25" s="152"/>
      <c r="U25" s="152"/>
      <c r="V25" s="152"/>
      <c r="W25" s="152"/>
      <c r="X25" s="26">
        <f t="shared" si="3"/>
        <v>0</v>
      </c>
      <c r="Y25" s="39"/>
      <c r="Z25" s="50"/>
      <c r="AA25" s="50"/>
      <c r="AB25" s="152"/>
      <c r="AC25" s="152"/>
      <c r="AD25" s="152"/>
      <c r="AE25" s="152"/>
      <c r="AF25" s="26">
        <f t="shared" si="4"/>
        <v>0</v>
      </c>
    </row>
    <row r="26" spans="1:32" ht="11.25" customHeight="1" x14ac:dyDescent="0.2">
      <c r="A26" s="146" t="s">
        <v>126</v>
      </c>
      <c r="B26" s="415" t="s">
        <v>127</v>
      </c>
      <c r="C26" s="415"/>
      <c r="D26" s="415"/>
      <c r="E26" s="74"/>
      <c r="G26" s="352" t="s">
        <v>362</v>
      </c>
      <c r="H26" s="112"/>
      <c r="I26" s="54"/>
      <c r="J26" s="26">
        <f>J27+J30</f>
        <v>0</v>
      </c>
      <c r="K26" s="26">
        <f t="shared" ref="K26:AE26" si="12">K27+K30</f>
        <v>0</v>
      </c>
      <c r="L26" s="26">
        <f t="shared" si="12"/>
        <v>0</v>
      </c>
      <c r="M26" s="26">
        <f t="shared" si="12"/>
        <v>0</v>
      </c>
      <c r="N26" s="26">
        <f t="shared" si="12"/>
        <v>0</v>
      </c>
      <c r="O26" s="26">
        <f t="shared" si="12"/>
        <v>0</v>
      </c>
      <c r="P26" s="26">
        <f t="shared" si="1"/>
        <v>0</v>
      </c>
      <c r="Q26" s="26">
        <f>Q27+Q30</f>
        <v>0</v>
      </c>
      <c r="R26" s="54"/>
      <c r="S26" s="54"/>
      <c r="T26" s="26">
        <f t="shared" si="12"/>
        <v>0</v>
      </c>
      <c r="U26" s="26">
        <f t="shared" si="12"/>
        <v>0</v>
      </c>
      <c r="V26" s="26">
        <f t="shared" si="12"/>
        <v>0</v>
      </c>
      <c r="W26" s="26">
        <f t="shared" si="12"/>
        <v>0</v>
      </c>
      <c r="X26" s="26">
        <f t="shared" si="3"/>
        <v>0</v>
      </c>
      <c r="Y26" s="26">
        <f>Y27+Y30</f>
        <v>0</v>
      </c>
      <c r="Z26" s="54"/>
      <c r="AA26" s="54"/>
      <c r="AB26" s="26">
        <f t="shared" si="12"/>
        <v>0</v>
      </c>
      <c r="AC26" s="26">
        <f t="shared" si="12"/>
        <v>0</v>
      </c>
      <c r="AD26" s="26">
        <f t="shared" si="12"/>
        <v>0</v>
      </c>
      <c r="AE26" s="26">
        <f t="shared" si="12"/>
        <v>0</v>
      </c>
      <c r="AF26" s="26">
        <f t="shared" si="4"/>
        <v>0</v>
      </c>
    </row>
    <row r="27" spans="1:32" ht="11.25" customHeight="1" x14ac:dyDescent="0.2">
      <c r="A27" s="139"/>
      <c r="B27" s="151" t="s">
        <v>18</v>
      </c>
      <c r="C27" s="57" t="s">
        <v>87</v>
      </c>
      <c r="D27" s="59"/>
      <c r="E27" s="60"/>
      <c r="G27" s="352" t="s">
        <v>363</v>
      </c>
      <c r="H27" s="112"/>
      <c r="I27" s="54"/>
      <c r="J27" s="26">
        <f>J28+J29</f>
        <v>0</v>
      </c>
      <c r="K27" s="26">
        <f t="shared" ref="K27:AE27" si="13">K28+K29</f>
        <v>0</v>
      </c>
      <c r="L27" s="26">
        <f t="shared" si="13"/>
        <v>0</v>
      </c>
      <c r="M27" s="26">
        <f t="shared" si="13"/>
        <v>0</v>
      </c>
      <c r="N27" s="26">
        <f t="shared" si="13"/>
        <v>0</v>
      </c>
      <c r="O27" s="26">
        <f t="shared" si="13"/>
        <v>0</v>
      </c>
      <c r="P27" s="26">
        <f t="shared" si="1"/>
        <v>0</v>
      </c>
      <c r="Q27" s="26">
        <f>Q28+Q29</f>
        <v>0</v>
      </c>
      <c r="R27" s="54"/>
      <c r="S27" s="54"/>
      <c r="T27" s="26">
        <f t="shared" si="13"/>
        <v>0</v>
      </c>
      <c r="U27" s="26">
        <f t="shared" si="13"/>
        <v>0</v>
      </c>
      <c r="V27" s="26">
        <f t="shared" si="13"/>
        <v>0</v>
      </c>
      <c r="W27" s="26">
        <f t="shared" si="13"/>
        <v>0</v>
      </c>
      <c r="X27" s="26">
        <f t="shared" si="3"/>
        <v>0</v>
      </c>
      <c r="Y27" s="26">
        <f>Y28+Y29</f>
        <v>0</v>
      </c>
      <c r="Z27" s="54"/>
      <c r="AA27" s="54"/>
      <c r="AB27" s="26">
        <f t="shared" si="13"/>
        <v>0</v>
      </c>
      <c r="AC27" s="26">
        <f t="shared" si="13"/>
        <v>0</v>
      </c>
      <c r="AD27" s="26">
        <f t="shared" si="13"/>
        <v>0</v>
      </c>
      <c r="AE27" s="26">
        <f t="shared" si="13"/>
        <v>0</v>
      </c>
      <c r="AF27" s="26">
        <f t="shared" si="4"/>
        <v>0</v>
      </c>
    </row>
    <row r="28" spans="1:32" ht="11.25" customHeight="1" x14ac:dyDescent="0.2">
      <c r="A28" s="145"/>
      <c r="B28" s="135" t="s">
        <v>102</v>
      </c>
      <c r="C28" s="63" t="s">
        <v>130</v>
      </c>
      <c r="D28" s="63"/>
      <c r="E28" s="60"/>
      <c r="G28" s="352" t="s">
        <v>689</v>
      </c>
      <c r="H28" s="112"/>
      <c r="I28" s="50"/>
      <c r="J28" s="152"/>
      <c r="K28" s="152"/>
      <c r="L28" s="152"/>
      <c r="M28" s="152"/>
      <c r="N28" s="152"/>
      <c r="O28" s="152"/>
      <c r="P28" s="26">
        <f t="shared" si="1"/>
        <v>0</v>
      </c>
      <c r="Q28" s="39"/>
      <c r="R28" s="50"/>
      <c r="S28" s="50"/>
      <c r="T28" s="152"/>
      <c r="U28" s="152"/>
      <c r="V28" s="152"/>
      <c r="W28" s="152"/>
      <c r="X28" s="26">
        <f t="shared" si="3"/>
        <v>0</v>
      </c>
      <c r="Y28" s="39"/>
      <c r="Z28" s="50"/>
      <c r="AA28" s="50"/>
      <c r="AB28" s="152"/>
      <c r="AC28" s="152"/>
      <c r="AD28" s="152"/>
      <c r="AE28" s="152"/>
      <c r="AF28" s="26">
        <f t="shared" si="4"/>
        <v>0</v>
      </c>
    </row>
    <row r="29" spans="1:32" ht="11.25" customHeight="1" x14ac:dyDescent="0.2">
      <c r="A29" s="139"/>
      <c r="B29" s="149" t="s">
        <v>104</v>
      </c>
      <c r="C29" s="57" t="s">
        <v>132</v>
      </c>
      <c r="D29" s="59"/>
      <c r="E29" s="60"/>
      <c r="G29" s="352" t="s">
        <v>690</v>
      </c>
      <c r="H29" s="112"/>
      <c r="I29" s="50"/>
      <c r="J29" s="152"/>
      <c r="K29" s="152"/>
      <c r="L29" s="152"/>
      <c r="M29" s="152"/>
      <c r="N29" s="152"/>
      <c r="O29" s="152"/>
      <c r="P29" s="26">
        <f t="shared" si="1"/>
        <v>0</v>
      </c>
      <c r="Q29" s="39"/>
      <c r="R29" s="50"/>
      <c r="S29" s="50"/>
      <c r="T29" s="152"/>
      <c r="U29" s="152"/>
      <c r="V29" s="152"/>
      <c r="W29" s="152"/>
      <c r="X29" s="26">
        <f t="shared" si="3"/>
        <v>0</v>
      </c>
      <c r="Y29" s="39"/>
      <c r="Z29" s="50"/>
      <c r="AA29" s="50"/>
      <c r="AB29" s="152"/>
      <c r="AC29" s="152"/>
      <c r="AD29" s="152"/>
      <c r="AE29" s="152"/>
      <c r="AF29" s="26">
        <f t="shared" si="4"/>
        <v>0</v>
      </c>
    </row>
    <row r="30" spans="1:32" ht="11.25" customHeight="1" x14ac:dyDescent="0.2">
      <c r="A30" s="145"/>
      <c r="B30" s="136" t="s">
        <v>21</v>
      </c>
      <c r="C30" s="63" t="s">
        <v>89</v>
      </c>
      <c r="D30" s="63"/>
      <c r="E30" s="60"/>
      <c r="G30" s="352" t="s">
        <v>364</v>
      </c>
      <c r="H30" s="112"/>
      <c r="I30" s="54"/>
      <c r="J30" s="50"/>
      <c r="K30" s="50"/>
      <c r="L30" s="50"/>
      <c r="M30" s="50"/>
      <c r="N30" s="26">
        <f>N31+N32</f>
        <v>0</v>
      </c>
      <c r="O30" s="26">
        <f>O31+O32</f>
        <v>0</v>
      </c>
      <c r="P30" s="26">
        <f t="shared" si="1"/>
        <v>0</v>
      </c>
      <c r="Q30" s="54"/>
      <c r="R30" s="54"/>
      <c r="S30" s="54"/>
      <c r="T30" s="54"/>
      <c r="U30" s="54"/>
      <c r="V30" s="27">
        <f>V31+V32</f>
        <v>0</v>
      </c>
      <c r="W30" s="27">
        <f>W31+W32</f>
        <v>0</v>
      </c>
      <c r="X30" s="26">
        <f t="shared" si="3"/>
        <v>0</v>
      </c>
      <c r="Y30" s="54"/>
      <c r="Z30" s="54"/>
      <c r="AA30" s="54"/>
      <c r="AB30" s="54"/>
      <c r="AC30" s="54"/>
      <c r="AD30" s="27">
        <f>AD31+AD32</f>
        <v>0</v>
      </c>
      <c r="AE30" s="27">
        <f>AE31+AE32</f>
        <v>0</v>
      </c>
      <c r="AF30" s="26">
        <f t="shared" si="4"/>
        <v>0</v>
      </c>
    </row>
    <row r="31" spans="1:32" ht="11.25" customHeight="1" x14ac:dyDescent="0.2">
      <c r="A31" s="139"/>
      <c r="B31" s="149" t="s">
        <v>108</v>
      </c>
      <c r="C31" s="57" t="s">
        <v>130</v>
      </c>
      <c r="D31" s="59"/>
      <c r="E31" s="60"/>
      <c r="G31" s="352" t="s">
        <v>691</v>
      </c>
      <c r="H31" s="112"/>
      <c r="I31" s="50"/>
      <c r="J31" s="50"/>
      <c r="K31" s="50"/>
      <c r="L31" s="50"/>
      <c r="M31" s="50"/>
      <c r="N31" s="152"/>
      <c r="O31" s="152"/>
      <c r="P31" s="26">
        <f t="shared" si="1"/>
        <v>0</v>
      </c>
      <c r="Q31" s="50"/>
      <c r="R31" s="50"/>
      <c r="S31" s="50"/>
      <c r="T31" s="50"/>
      <c r="U31" s="50"/>
      <c r="V31" s="152"/>
      <c r="W31" s="152"/>
      <c r="X31" s="26">
        <f t="shared" si="3"/>
        <v>0</v>
      </c>
      <c r="Y31" s="50"/>
      <c r="Z31" s="50"/>
      <c r="AA31" s="50"/>
      <c r="AB31" s="50"/>
      <c r="AC31" s="50"/>
      <c r="AD31" s="152"/>
      <c r="AE31" s="152"/>
      <c r="AF31" s="26">
        <f t="shared" si="4"/>
        <v>0</v>
      </c>
    </row>
    <row r="32" spans="1:32" ht="11.25" customHeight="1" x14ac:dyDescent="0.2">
      <c r="A32" s="145"/>
      <c r="B32" s="135" t="s">
        <v>110</v>
      </c>
      <c r="C32" s="63" t="s">
        <v>132</v>
      </c>
      <c r="D32" s="63"/>
      <c r="E32" s="60"/>
      <c r="G32" s="352" t="s">
        <v>692</v>
      </c>
      <c r="H32" s="112"/>
      <c r="I32" s="50"/>
      <c r="J32" s="50"/>
      <c r="K32" s="50"/>
      <c r="L32" s="50"/>
      <c r="M32" s="50"/>
      <c r="N32" s="152"/>
      <c r="O32" s="152"/>
      <c r="P32" s="26">
        <f t="shared" si="1"/>
        <v>0</v>
      </c>
      <c r="Q32" s="50"/>
      <c r="R32" s="50"/>
      <c r="S32" s="50"/>
      <c r="T32" s="50"/>
      <c r="U32" s="50"/>
      <c r="V32" s="152"/>
      <c r="W32" s="152"/>
      <c r="X32" s="26">
        <f t="shared" si="3"/>
        <v>0</v>
      </c>
      <c r="Y32" s="50"/>
      <c r="Z32" s="50"/>
      <c r="AA32" s="50"/>
      <c r="AB32" s="50"/>
      <c r="AC32" s="50"/>
      <c r="AD32" s="152"/>
      <c r="AE32" s="152"/>
      <c r="AF32" s="26">
        <f t="shared" si="4"/>
        <v>0</v>
      </c>
    </row>
    <row r="33" spans="1:32" ht="11.25" customHeight="1" x14ac:dyDescent="0.2">
      <c r="A33" s="150" t="s">
        <v>137</v>
      </c>
      <c r="B33" s="415" t="s">
        <v>138</v>
      </c>
      <c r="C33" s="415"/>
      <c r="D33" s="415"/>
      <c r="E33" s="312"/>
      <c r="G33" s="354" t="s">
        <v>365</v>
      </c>
      <c r="H33" s="112"/>
      <c r="I33" s="54"/>
      <c r="J33" s="26">
        <f>J34+J37</f>
        <v>0</v>
      </c>
      <c r="K33" s="26">
        <f t="shared" ref="K33:AE33" si="14">K34+K37</f>
        <v>0</v>
      </c>
      <c r="L33" s="26">
        <f t="shared" si="14"/>
        <v>0</v>
      </c>
      <c r="M33" s="26">
        <f t="shared" si="14"/>
        <v>0</v>
      </c>
      <c r="N33" s="26">
        <f t="shared" si="14"/>
        <v>0</v>
      </c>
      <c r="O33" s="26">
        <f t="shared" si="14"/>
        <v>0</v>
      </c>
      <c r="P33" s="26">
        <f t="shared" si="1"/>
        <v>0</v>
      </c>
      <c r="Q33" s="26">
        <f>Q34+Q37</f>
        <v>0</v>
      </c>
      <c r="R33" s="26">
        <f t="shared" si="14"/>
        <v>0</v>
      </c>
      <c r="S33" s="26">
        <f t="shared" si="14"/>
        <v>0</v>
      </c>
      <c r="T33" s="26">
        <f t="shared" si="14"/>
        <v>0</v>
      </c>
      <c r="U33" s="26">
        <f t="shared" si="14"/>
        <v>0</v>
      </c>
      <c r="V33" s="26">
        <f t="shared" si="14"/>
        <v>0</v>
      </c>
      <c r="W33" s="26">
        <f t="shared" si="14"/>
        <v>0</v>
      </c>
      <c r="X33" s="26">
        <f t="shared" si="3"/>
        <v>0</v>
      </c>
      <c r="Y33" s="26">
        <f>Y34+Y37</f>
        <v>0</v>
      </c>
      <c r="Z33" s="26">
        <f t="shared" si="14"/>
        <v>0</v>
      </c>
      <c r="AA33" s="26">
        <f t="shared" si="14"/>
        <v>0</v>
      </c>
      <c r="AB33" s="26">
        <f t="shared" si="14"/>
        <v>0</v>
      </c>
      <c r="AC33" s="26">
        <f t="shared" si="14"/>
        <v>0</v>
      </c>
      <c r="AD33" s="26">
        <f t="shared" si="14"/>
        <v>0</v>
      </c>
      <c r="AE33" s="26">
        <f t="shared" si="14"/>
        <v>0</v>
      </c>
      <c r="AF33" s="26">
        <f t="shared" si="4"/>
        <v>0</v>
      </c>
    </row>
    <row r="34" spans="1:32" ht="11.25" customHeight="1" x14ac:dyDescent="0.2">
      <c r="A34" s="145"/>
      <c r="B34" s="136" t="s">
        <v>18</v>
      </c>
      <c r="C34" s="63" t="s">
        <v>87</v>
      </c>
      <c r="D34" s="63"/>
      <c r="E34" s="60"/>
      <c r="G34" s="352" t="s">
        <v>366</v>
      </c>
      <c r="H34" s="112"/>
      <c r="I34" s="54"/>
      <c r="J34" s="26">
        <f>J35+J36</f>
        <v>0</v>
      </c>
      <c r="K34" s="26">
        <f t="shared" ref="K34:AE34" si="15">K35+K36</f>
        <v>0</v>
      </c>
      <c r="L34" s="26">
        <f t="shared" si="15"/>
        <v>0</v>
      </c>
      <c r="M34" s="26">
        <f t="shared" si="15"/>
        <v>0</v>
      </c>
      <c r="N34" s="26">
        <f t="shared" si="15"/>
        <v>0</v>
      </c>
      <c r="O34" s="26">
        <f t="shared" si="15"/>
        <v>0</v>
      </c>
      <c r="P34" s="26">
        <f t="shared" si="1"/>
        <v>0</v>
      </c>
      <c r="Q34" s="26">
        <f>Q35+Q36</f>
        <v>0</v>
      </c>
      <c r="R34" s="26">
        <f t="shared" si="15"/>
        <v>0</v>
      </c>
      <c r="S34" s="26">
        <f t="shared" si="15"/>
        <v>0</v>
      </c>
      <c r="T34" s="26">
        <f t="shared" si="15"/>
        <v>0</v>
      </c>
      <c r="U34" s="26">
        <f t="shared" si="15"/>
        <v>0</v>
      </c>
      <c r="V34" s="26">
        <f t="shared" si="15"/>
        <v>0</v>
      </c>
      <c r="W34" s="26">
        <f t="shared" si="15"/>
        <v>0</v>
      </c>
      <c r="X34" s="26">
        <f t="shared" si="3"/>
        <v>0</v>
      </c>
      <c r="Y34" s="26">
        <f>Y35+Y36</f>
        <v>0</v>
      </c>
      <c r="Z34" s="26">
        <f t="shared" si="15"/>
        <v>0</v>
      </c>
      <c r="AA34" s="26">
        <f t="shared" si="15"/>
        <v>0</v>
      </c>
      <c r="AB34" s="26">
        <f t="shared" si="15"/>
        <v>0</v>
      </c>
      <c r="AC34" s="26">
        <f t="shared" si="15"/>
        <v>0</v>
      </c>
      <c r="AD34" s="26">
        <f t="shared" si="15"/>
        <v>0</v>
      </c>
      <c r="AE34" s="26">
        <f t="shared" si="15"/>
        <v>0</v>
      </c>
      <c r="AF34" s="26">
        <f t="shared" si="4"/>
        <v>0</v>
      </c>
    </row>
    <row r="35" spans="1:32" ht="11.25" customHeight="1" x14ac:dyDescent="0.2">
      <c r="A35" s="139"/>
      <c r="B35" s="149" t="s">
        <v>102</v>
      </c>
      <c r="C35" s="57" t="s">
        <v>130</v>
      </c>
      <c r="D35" s="59"/>
      <c r="E35" s="60"/>
      <c r="G35" s="352" t="s">
        <v>685</v>
      </c>
      <c r="H35" s="112"/>
      <c r="I35" s="50"/>
      <c r="J35" s="152"/>
      <c r="K35" s="152"/>
      <c r="L35" s="152"/>
      <c r="M35" s="152"/>
      <c r="N35" s="152"/>
      <c r="O35" s="152"/>
      <c r="P35" s="26">
        <f t="shared" si="1"/>
        <v>0</v>
      </c>
      <c r="Q35" s="39"/>
      <c r="R35" s="152"/>
      <c r="S35" s="152"/>
      <c r="T35" s="152"/>
      <c r="U35" s="152"/>
      <c r="V35" s="152"/>
      <c r="W35" s="152"/>
      <c r="X35" s="26">
        <f t="shared" si="3"/>
        <v>0</v>
      </c>
      <c r="Y35" s="39"/>
      <c r="Z35" s="152"/>
      <c r="AA35" s="152"/>
      <c r="AB35" s="152"/>
      <c r="AC35" s="152"/>
      <c r="AD35" s="152"/>
      <c r="AE35" s="152"/>
      <c r="AF35" s="26">
        <f t="shared" si="4"/>
        <v>0</v>
      </c>
    </row>
    <row r="36" spans="1:32" ht="11.25" customHeight="1" x14ac:dyDescent="0.2">
      <c r="A36" s="145"/>
      <c r="B36" s="135" t="s">
        <v>104</v>
      </c>
      <c r="C36" s="63" t="s">
        <v>132</v>
      </c>
      <c r="D36" s="63"/>
      <c r="E36" s="60"/>
      <c r="G36" s="352" t="s">
        <v>686</v>
      </c>
      <c r="H36" s="112"/>
      <c r="I36" s="50"/>
      <c r="J36" s="152"/>
      <c r="K36" s="152"/>
      <c r="L36" s="152"/>
      <c r="M36" s="152"/>
      <c r="N36" s="152"/>
      <c r="O36" s="152"/>
      <c r="P36" s="26">
        <f t="shared" si="1"/>
        <v>0</v>
      </c>
      <c r="Q36" s="39"/>
      <c r="R36" s="152"/>
      <c r="S36" s="152"/>
      <c r="T36" s="152"/>
      <c r="U36" s="152"/>
      <c r="V36" s="152"/>
      <c r="W36" s="152"/>
      <c r="X36" s="26">
        <f t="shared" si="3"/>
        <v>0</v>
      </c>
      <c r="Y36" s="39"/>
      <c r="Z36" s="152"/>
      <c r="AA36" s="152"/>
      <c r="AB36" s="152"/>
      <c r="AC36" s="152"/>
      <c r="AD36" s="152"/>
      <c r="AE36" s="152"/>
      <c r="AF36" s="26">
        <f t="shared" si="4"/>
        <v>0</v>
      </c>
    </row>
    <row r="37" spans="1:32" ht="11.25" customHeight="1" x14ac:dyDescent="0.2">
      <c r="A37" s="139"/>
      <c r="B37" s="151" t="s">
        <v>21</v>
      </c>
      <c r="C37" s="57" t="s">
        <v>89</v>
      </c>
      <c r="D37" s="59"/>
      <c r="E37" s="60"/>
      <c r="G37" s="352" t="s">
        <v>367</v>
      </c>
      <c r="H37" s="112"/>
      <c r="I37" s="54"/>
      <c r="J37" s="50"/>
      <c r="K37" s="50"/>
      <c r="L37" s="50"/>
      <c r="M37" s="50"/>
      <c r="N37" s="26">
        <f>N38+N39</f>
        <v>0</v>
      </c>
      <c r="O37" s="26">
        <f>O38+O39</f>
        <v>0</v>
      </c>
      <c r="P37" s="26">
        <f t="shared" si="1"/>
        <v>0</v>
      </c>
      <c r="Q37" s="54"/>
      <c r="R37" s="54"/>
      <c r="S37" s="54"/>
      <c r="T37" s="54"/>
      <c r="U37" s="54"/>
      <c r="V37" s="27">
        <f>V38+V39</f>
        <v>0</v>
      </c>
      <c r="W37" s="27">
        <f>W38+W39</f>
        <v>0</v>
      </c>
      <c r="X37" s="26">
        <f t="shared" si="3"/>
        <v>0</v>
      </c>
      <c r="Y37" s="54"/>
      <c r="Z37" s="54"/>
      <c r="AA37" s="54"/>
      <c r="AB37" s="54"/>
      <c r="AC37" s="54"/>
      <c r="AD37" s="27">
        <f>AD38+AD39</f>
        <v>0</v>
      </c>
      <c r="AE37" s="27">
        <f>AE38+AE39</f>
        <v>0</v>
      </c>
      <c r="AF37" s="26">
        <f t="shared" si="4"/>
        <v>0</v>
      </c>
    </row>
    <row r="38" spans="1:32" ht="11.25" customHeight="1" x14ac:dyDescent="0.2">
      <c r="A38" s="145"/>
      <c r="B38" s="135" t="s">
        <v>108</v>
      </c>
      <c r="C38" s="63" t="s">
        <v>130</v>
      </c>
      <c r="D38" s="63"/>
      <c r="E38" s="60"/>
      <c r="G38" s="352" t="s">
        <v>687</v>
      </c>
      <c r="H38" s="112"/>
      <c r="I38" s="50"/>
      <c r="J38" s="50"/>
      <c r="K38" s="50"/>
      <c r="L38" s="50"/>
      <c r="M38" s="50"/>
      <c r="N38" s="152"/>
      <c r="O38" s="152"/>
      <c r="P38" s="26">
        <f t="shared" si="1"/>
        <v>0</v>
      </c>
      <c r="Q38" s="50"/>
      <c r="R38" s="50"/>
      <c r="S38" s="50"/>
      <c r="T38" s="50"/>
      <c r="U38" s="50"/>
      <c r="V38" s="152"/>
      <c r="W38" s="152"/>
      <c r="X38" s="26">
        <f t="shared" si="3"/>
        <v>0</v>
      </c>
      <c r="Y38" s="50"/>
      <c r="Z38" s="50"/>
      <c r="AA38" s="50"/>
      <c r="AB38" s="50"/>
      <c r="AC38" s="50"/>
      <c r="AD38" s="152"/>
      <c r="AE38" s="152"/>
      <c r="AF38" s="26">
        <f t="shared" si="4"/>
        <v>0</v>
      </c>
    </row>
    <row r="39" spans="1:32" ht="11.25" customHeight="1" x14ac:dyDescent="0.2">
      <c r="A39" s="139"/>
      <c r="B39" s="149" t="s">
        <v>110</v>
      </c>
      <c r="C39" s="57" t="s">
        <v>132</v>
      </c>
      <c r="D39" s="59"/>
      <c r="E39" s="60"/>
      <c r="G39" s="352" t="s">
        <v>688</v>
      </c>
      <c r="H39" s="112"/>
      <c r="I39" s="50"/>
      <c r="J39" s="50"/>
      <c r="K39" s="50"/>
      <c r="L39" s="50"/>
      <c r="M39" s="50"/>
      <c r="N39" s="152"/>
      <c r="O39" s="152"/>
      <c r="P39" s="26">
        <f t="shared" si="1"/>
        <v>0</v>
      </c>
      <c r="Q39" s="50"/>
      <c r="R39" s="50"/>
      <c r="S39" s="50"/>
      <c r="T39" s="50"/>
      <c r="U39" s="50"/>
      <c r="V39" s="152"/>
      <c r="W39" s="152"/>
      <c r="X39" s="26">
        <f t="shared" si="3"/>
        <v>0</v>
      </c>
      <c r="Y39" s="50"/>
      <c r="Z39" s="50"/>
      <c r="AA39" s="50"/>
      <c r="AB39" s="50"/>
      <c r="AC39" s="50"/>
      <c r="AD39" s="152"/>
      <c r="AE39" s="152"/>
      <c r="AF39" s="26">
        <f t="shared" si="4"/>
        <v>0</v>
      </c>
    </row>
    <row r="40" spans="1:32" ht="11.25" customHeight="1" x14ac:dyDescent="0.2">
      <c r="A40" s="34" t="s">
        <v>183</v>
      </c>
      <c r="B40" s="135"/>
      <c r="C40" s="63"/>
      <c r="D40" s="63"/>
      <c r="E40" s="60"/>
      <c r="G40" s="352" t="s">
        <v>368</v>
      </c>
      <c r="H40" s="112"/>
      <c r="I40" s="54"/>
      <c r="J40" s="27">
        <f>J41+J48+J51+J52</f>
        <v>0</v>
      </c>
      <c r="K40" s="27">
        <f t="shared" ref="K40:AE40" si="16">K41+K48+K51+K52</f>
        <v>0</v>
      </c>
      <c r="L40" s="27">
        <f t="shared" si="16"/>
        <v>0</v>
      </c>
      <c r="M40" s="27">
        <f t="shared" si="16"/>
        <v>0</v>
      </c>
      <c r="N40" s="27">
        <f t="shared" si="16"/>
        <v>0</v>
      </c>
      <c r="O40" s="27">
        <f t="shared" si="16"/>
        <v>0</v>
      </c>
      <c r="P40" s="26">
        <f t="shared" si="1"/>
        <v>0</v>
      </c>
      <c r="Q40" s="27">
        <f>Q41+Q48+Q51+Q52</f>
        <v>0</v>
      </c>
      <c r="R40" s="54"/>
      <c r="S40" s="54"/>
      <c r="T40" s="27">
        <f t="shared" si="16"/>
        <v>0</v>
      </c>
      <c r="U40" s="27">
        <f t="shared" si="16"/>
        <v>0</v>
      </c>
      <c r="V40" s="27">
        <f t="shared" si="16"/>
        <v>0</v>
      </c>
      <c r="W40" s="27">
        <f t="shared" si="16"/>
        <v>0</v>
      </c>
      <c r="X40" s="26">
        <f t="shared" si="3"/>
        <v>0</v>
      </c>
      <c r="Y40" s="27">
        <f>Y41+Y48+Y51+Y52</f>
        <v>0</v>
      </c>
      <c r="Z40" s="54"/>
      <c r="AA40" s="54"/>
      <c r="AB40" s="27">
        <f t="shared" si="16"/>
        <v>0</v>
      </c>
      <c r="AC40" s="27">
        <f t="shared" si="16"/>
        <v>0</v>
      </c>
      <c r="AD40" s="27">
        <f t="shared" si="16"/>
        <v>0</v>
      </c>
      <c r="AE40" s="27">
        <f t="shared" si="16"/>
        <v>0</v>
      </c>
      <c r="AF40" s="26">
        <f t="shared" si="4"/>
        <v>0</v>
      </c>
    </row>
    <row r="41" spans="1:32" ht="11.25" customHeight="1" x14ac:dyDescent="0.2">
      <c r="A41" s="139" t="s">
        <v>62</v>
      </c>
      <c r="B41" s="57" t="s">
        <v>98</v>
      </c>
      <c r="C41" s="57"/>
      <c r="D41" s="59"/>
      <c r="E41" s="60"/>
      <c r="G41" s="352" t="s">
        <v>369</v>
      </c>
      <c r="H41" s="112"/>
      <c r="I41" s="54"/>
      <c r="J41" s="27">
        <f>J42+J45</f>
        <v>0</v>
      </c>
      <c r="K41" s="27">
        <f t="shared" ref="K41:AE41" si="17">K42+K45</f>
        <v>0</v>
      </c>
      <c r="L41" s="27">
        <f t="shared" si="17"/>
        <v>0</v>
      </c>
      <c r="M41" s="27">
        <f t="shared" si="17"/>
        <v>0</v>
      </c>
      <c r="N41" s="27">
        <f t="shared" si="17"/>
        <v>0</v>
      </c>
      <c r="O41" s="27">
        <f t="shared" si="17"/>
        <v>0</v>
      </c>
      <c r="P41" s="26">
        <f t="shared" si="1"/>
        <v>0</v>
      </c>
      <c r="Q41" s="27">
        <f>Q42+Q45</f>
        <v>0</v>
      </c>
      <c r="R41" s="54"/>
      <c r="S41" s="54"/>
      <c r="T41" s="27">
        <f t="shared" si="17"/>
        <v>0</v>
      </c>
      <c r="U41" s="27">
        <f t="shared" si="17"/>
        <v>0</v>
      </c>
      <c r="V41" s="27">
        <f t="shared" si="17"/>
        <v>0</v>
      </c>
      <c r="W41" s="27">
        <f t="shared" si="17"/>
        <v>0</v>
      </c>
      <c r="X41" s="26">
        <f t="shared" si="3"/>
        <v>0</v>
      </c>
      <c r="Y41" s="27">
        <f>Y42+Y45</f>
        <v>0</v>
      </c>
      <c r="Z41" s="54"/>
      <c r="AA41" s="54"/>
      <c r="AB41" s="27">
        <f t="shared" si="17"/>
        <v>0</v>
      </c>
      <c r="AC41" s="27">
        <f t="shared" si="17"/>
        <v>0</v>
      </c>
      <c r="AD41" s="27">
        <f t="shared" si="17"/>
        <v>0</v>
      </c>
      <c r="AE41" s="27">
        <f t="shared" si="17"/>
        <v>0</v>
      </c>
      <c r="AF41" s="26">
        <f t="shared" si="4"/>
        <v>0</v>
      </c>
    </row>
    <row r="42" spans="1:32" ht="11.25" customHeight="1" x14ac:dyDescent="0.2">
      <c r="A42" s="145"/>
      <c r="B42" s="66">
        <v>-1</v>
      </c>
      <c r="C42" s="63" t="s">
        <v>251</v>
      </c>
      <c r="D42" s="63"/>
      <c r="E42" s="60"/>
      <c r="G42" s="352" t="s">
        <v>370</v>
      </c>
      <c r="H42" s="112"/>
      <c r="I42" s="54"/>
      <c r="J42" s="27">
        <f>J43+J44</f>
        <v>0</v>
      </c>
      <c r="K42" s="27">
        <f t="shared" ref="K42:AE42" si="18">K43+K44</f>
        <v>0</v>
      </c>
      <c r="L42" s="27">
        <f t="shared" si="18"/>
        <v>0</v>
      </c>
      <c r="M42" s="27">
        <f t="shared" si="18"/>
        <v>0</v>
      </c>
      <c r="N42" s="27">
        <f t="shared" si="18"/>
        <v>0</v>
      </c>
      <c r="O42" s="27">
        <f t="shared" si="18"/>
        <v>0</v>
      </c>
      <c r="P42" s="26">
        <f t="shared" si="1"/>
        <v>0</v>
      </c>
      <c r="Q42" s="27">
        <f>Q43+Q44</f>
        <v>0</v>
      </c>
      <c r="R42" s="54"/>
      <c r="S42" s="54"/>
      <c r="T42" s="27">
        <f t="shared" si="18"/>
        <v>0</v>
      </c>
      <c r="U42" s="27">
        <f t="shared" si="18"/>
        <v>0</v>
      </c>
      <c r="V42" s="27">
        <f t="shared" si="18"/>
        <v>0</v>
      </c>
      <c r="W42" s="27">
        <f t="shared" si="18"/>
        <v>0</v>
      </c>
      <c r="X42" s="26">
        <f t="shared" si="3"/>
        <v>0</v>
      </c>
      <c r="Y42" s="27">
        <f>Y43+Y44</f>
        <v>0</v>
      </c>
      <c r="Z42" s="54"/>
      <c r="AA42" s="54"/>
      <c r="AB42" s="27">
        <f t="shared" si="18"/>
        <v>0</v>
      </c>
      <c r="AC42" s="27">
        <f t="shared" si="18"/>
        <v>0</v>
      </c>
      <c r="AD42" s="27">
        <f t="shared" si="18"/>
        <v>0</v>
      </c>
      <c r="AE42" s="27">
        <f t="shared" si="18"/>
        <v>0</v>
      </c>
      <c r="AF42" s="26">
        <f t="shared" si="4"/>
        <v>0</v>
      </c>
    </row>
    <row r="43" spans="1:32" ht="11.25" customHeight="1" x14ac:dyDescent="0.2">
      <c r="A43" s="139"/>
      <c r="B43" s="149" t="s">
        <v>102</v>
      </c>
      <c r="C43" s="57" t="s">
        <v>87</v>
      </c>
      <c r="D43" s="59"/>
      <c r="E43" s="60"/>
      <c r="G43" s="352" t="s">
        <v>371</v>
      </c>
      <c r="H43" s="112"/>
      <c r="I43" s="50"/>
      <c r="J43" s="152"/>
      <c r="K43" s="152"/>
      <c r="L43" s="152"/>
      <c r="M43" s="152"/>
      <c r="N43" s="152"/>
      <c r="O43" s="152"/>
      <c r="P43" s="26">
        <f t="shared" si="1"/>
        <v>0</v>
      </c>
      <c r="Q43" s="39"/>
      <c r="R43" s="50"/>
      <c r="S43" s="50"/>
      <c r="T43" s="152"/>
      <c r="U43" s="152"/>
      <c r="V43" s="152"/>
      <c r="W43" s="152"/>
      <c r="X43" s="26">
        <f t="shared" si="3"/>
        <v>0</v>
      </c>
      <c r="Y43" s="39"/>
      <c r="Z43" s="50"/>
      <c r="AA43" s="50"/>
      <c r="AB43" s="152"/>
      <c r="AC43" s="152"/>
      <c r="AD43" s="152"/>
      <c r="AE43" s="152"/>
      <c r="AF43" s="26">
        <f t="shared" si="4"/>
        <v>0</v>
      </c>
    </row>
    <row r="44" spans="1:32" ht="11.25" customHeight="1" x14ac:dyDescent="0.2">
      <c r="A44" s="145"/>
      <c r="B44" s="135" t="s">
        <v>104</v>
      </c>
      <c r="C44" s="63" t="s">
        <v>89</v>
      </c>
      <c r="D44" s="63"/>
      <c r="E44" s="60"/>
      <c r="G44" s="352" t="s">
        <v>372</v>
      </c>
      <c r="H44" s="112"/>
      <c r="I44" s="50"/>
      <c r="J44" s="152"/>
      <c r="K44" s="152"/>
      <c r="L44" s="152"/>
      <c r="M44" s="152"/>
      <c r="N44" s="152"/>
      <c r="O44" s="152"/>
      <c r="P44" s="26">
        <f t="shared" si="1"/>
        <v>0</v>
      </c>
      <c r="Q44" s="39"/>
      <c r="R44" s="50"/>
      <c r="S44" s="50"/>
      <c r="T44" s="152"/>
      <c r="U44" s="152"/>
      <c r="V44" s="152"/>
      <c r="W44" s="152"/>
      <c r="X44" s="26">
        <f t="shared" si="3"/>
        <v>0</v>
      </c>
      <c r="Y44" s="39"/>
      <c r="Z44" s="50"/>
      <c r="AA44" s="50"/>
      <c r="AB44" s="152"/>
      <c r="AC44" s="152"/>
      <c r="AD44" s="152"/>
      <c r="AE44" s="152"/>
      <c r="AF44" s="26">
        <f t="shared" si="4"/>
        <v>0</v>
      </c>
    </row>
    <row r="45" spans="1:32" ht="11.25" customHeight="1" x14ac:dyDescent="0.2">
      <c r="A45" s="139"/>
      <c r="B45" s="65">
        <f>B42-1</f>
        <v>-2</v>
      </c>
      <c r="C45" s="57" t="s">
        <v>106</v>
      </c>
      <c r="D45" s="59"/>
      <c r="E45" s="60"/>
      <c r="G45" s="352" t="s">
        <v>373</v>
      </c>
      <c r="H45" s="112"/>
      <c r="I45" s="54"/>
      <c r="J45" s="27">
        <f>J46+J47</f>
        <v>0</v>
      </c>
      <c r="K45" s="27">
        <f t="shared" ref="K45:AE45" si="19">K46+K47</f>
        <v>0</v>
      </c>
      <c r="L45" s="27">
        <f t="shared" si="19"/>
        <v>0</v>
      </c>
      <c r="M45" s="27">
        <f t="shared" si="19"/>
        <v>0</v>
      </c>
      <c r="N45" s="27">
        <f t="shared" si="19"/>
        <v>0</v>
      </c>
      <c r="O45" s="27">
        <f t="shared" si="19"/>
        <v>0</v>
      </c>
      <c r="P45" s="26">
        <f t="shared" si="1"/>
        <v>0</v>
      </c>
      <c r="Q45" s="27">
        <f t="shared" si="19"/>
        <v>0</v>
      </c>
      <c r="R45" s="54"/>
      <c r="S45" s="54"/>
      <c r="T45" s="27">
        <f t="shared" si="19"/>
        <v>0</v>
      </c>
      <c r="U45" s="27">
        <f t="shared" si="19"/>
        <v>0</v>
      </c>
      <c r="V45" s="27">
        <f t="shared" si="19"/>
        <v>0</v>
      </c>
      <c r="W45" s="27">
        <f t="shared" si="19"/>
        <v>0</v>
      </c>
      <c r="X45" s="26">
        <f t="shared" si="3"/>
        <v>0</v>
      </c>
      <c r="Y45" s="27">
        <f t="shared" si="19"/>
        <v>0</v>
      </c>
      <c r="Z45" s="54"/>
      <c r="AA45" s="54"/>
      <c r="AB45" s="27">
        <f t="shared" si="19"/>
        <v>0</v>
      </c>
      <c r="AC45" s="27">
        <f t="shared" si="19"/>
        <v>0</v>
      </c>
      <c r="AD45" s="27">
        <f t="shared" si="19"/>
        <v>0</v>
      </c>
      <c r="AE45" s="27">
        <f t="shared" si="19"/>
        <v>0</v>
      </c>
      <c r="AF45" s="26">
        <f t="shared" si="4"/>
        <v>0</v>
      </c>
    </row>
    <row r="46" spans="1:32" ht="11.25" customHeight="1" x14ac:dyDescent="0.2">
      <c r="A46" s="145"/>
      <c r="B46" s="135" t="s">
        <v>108</v>
      </c>
      <c r="C46" s="63" t="s">
        <v>87</v>
      </c>
      <c r="D46" s="63"/>
      <c r="E46" s="60"/>
      <c r="G46" s="352" t="s">
        <v>374</v>
      </c>
      <c r="H46" s="112"/>
      <c r="I46" s="50"/>
      <c r="J46" s="152"/>
      <c r="K46" s="152"/>
      <c r="L46" s="152"/>
      <c r="M46" s="152"/>
      <c r="N46" s="152"/>
      <c r="O46" s="152"/>
      <c r="P46" s="26">
        <f t="shared" si="1"/>
        <v>0</v>
      </c>
      <c r="Q46" s="39"/>
      <c r="R46" s="50"/>
      <c r="S46" s="50"/>
      <c r="T46" s="152"/>
      <c r="U46" s="152"/>
      <c r="V46" s="152"/>
      <c r="W46" s="152"/>
      <c r="X46" s="26">
        <f t="shared" si="3"/>
        <v>0</v>
      </c>
      <c r="Y46" s="39"/>
      <c r="Z46" s="50"/>
      <c r="AA46" s="50"/>
      <c r="AB46" s="152"/>
      <c r="AC46" s="152"/>
      <c r="AD46" s="152"/>
      <c r="AE46" s="152"/>
      <c r="AF46" s="26">
        <f t="shared" si="4"/>
        <v>0</v>
      </c>
    </row>
    <row r="47" spans="1:32" ht="11.25" customHeight="1" x14ac:dyDescent="0.2">
      <c r="A47" s="139"/>
      <c r="B47" s="149" t="s">
        <v>110</v>
      </c>
      <c r="C47" s="57" t="s">
        <v>89</v>
      </c>
      <c r="D47" s="59"/>
      <c r="E47" s="60"/>
      <c r="G47" s="352" t="s">
        <v>375</v>
      </c>
      <c r="H47" s="112"/>
      <c r="I47" s="50"/>
      <c r="J47" s="152"/>
      <c r="K47" s="152"/>
      <c r="L47" s="152"/>
      <c r="M47" s="152"/>
      <c r="N47" s="152"/>
      <c r="O47" s="152"/>
      <c r="P47" s="26">
        <f t="shared" si="1"/>
        <v>0</v>
      </c>
      <c r="Q47" s="39"/>
      <c r="R47" s="50"/>
      <c r="S47" s="50"/>
      <c r="T47" s="152"/>
      <c r="U47" s="152"/>
      <c r="V47" s="152"/>
      <c r="W47" s="152"/>
      <c r="X47" s="26">
        <f t="shared" si="3"/>
        <v>0</v>
      </c>
      <c r="Y47" s="39"/>
      <c r="Z47" s="50"/>
      <c r="AA47" s="50"/>
      <c r="AB47" s="152"/>
      <c r="AC47" s="152"/>
      <c r="AD47" s="152"/>
      <c r="AE47" s="152"/>
      <c r="AF47" s="26">
        <f t="shared" si="4"/>
        <v>0</v>
      </c>
    </row>
    <row r="48" spans="1:32" ht="11.25" customHeight="1" x14ac:dyDescent="0.2">
      <c r="A48" s="145" t="s">
        <v>68</v>
      </c>
      <c r="B48" s="63" t="s">
        <v>118</v>
      </c>
      <c r="C48" s="63"/>
      <c r="D48" s="63"/>
      <c r="E48" s="60"/>
      <c r="G48" s="352" t="s">
        <v>376</v>
      </c>
      <c r="H48" s="112"/>
      <c r="I48" s="54"/>
      <c r="J48" s="27">
        <f>J49+J50</f>
        <v>0</v>
      </c>
      <c r="K48" s="27">
        <f t="shared" ref="K48:AE48" si="20">K49+K50</f>
        <v>0</v>
      </c>
      <c r="L48" s="27">
        <f t="shared" si="20"/>
        <v>0</v>
      </c>
      <c r="M48" s="27">
        <f t="shared" si="20"/>
        <v>0</v>
      </c>
      <c r="N48" s="27">
        <f t="shared" si="20"/>
        <v>0</v>
      </c>
      <c r="O48" s="27">
        <f t="shared" si="20"/>
        <v>0</v>
      </c>
      <c r="P48" s="26">
        <f t="shared" si="1"/>
        <v>0</v>
      </c>
      <c r="Q48" s="27">
        <f t="shared" si="20"/>
        <v>0</v>
      </c>
      <c r="R48" s="54"/>
      <c r="S48" s="54"/>
      <c r="T48" s="27">
        <f t="shared" si="20"/>
        <v>0</v>
      </c>
      <c r="U48" s="27">
        <f t="shared" si="20"/>
        <v>0</v>
      </c>
      <c r="V48" s="27">
        <f t="shared" si="20"/>
        <v>0</v>
      </c>
      <c r="W48" s="27">
        <f t="shared" si="20"/>
        <v>0</v>
      </c>
      <c r="X48" s="26">
        <f t="shared" si="3"/>
        <v>0</v>
      </c>
      <c r="Y48" s="27">
        <f t="shared" si="20"/>
        <v>0</v>
      </c>
      <c r="Z48" s="54"/>
      <c r="AA48" s="54"/>
      <c r="AB48" s="27">
        <f t="shared" si="20"/>
        <v>0</v>
      </c>
      <c r="AC48" s="27">
        <f t="shared" si="20"/>
        <v>0</v>
      </c>
      <c r="AD48" s="27">
        <f t="shared" si="20"/>
        <v>0</v>
      </c>
      <c r="AE48" s="27">
        <f t="shared" si="20"/>
        <v>0</v>
      </c>
      <c r="AF48" s="26">
        <f t="shared" si="4"/>
        <v>0</v>
      </c>
    </row>
    <row r="49" spans="1:32" ht="11.25" customHeight="1" x14ac:dyDescent="0.2">
      <c r="A49" s="150"/>
      <c r="B49" s="151" t="s">
        <v>18</v>
      </c>
      <c r="C49" s="57" t="s">
        <v>120</v>
      </c>
      <c r="D49" s="59"/>
      <c r="E49" s="60"/>
      <c r="G49" s="352" t="s">
        <v>377</v>
      </c>
      <c r="H49" s="112"/>
      <c r="I49" s="50"/>
      <c r="J49" s="152"/>
      <c r="K49" s="152"/>
      <c r="L49" s="152"/>
      <c r="M49" s="152"/>
      <c r="N49" s="152"/>
      <c r="O49" s="152"/>
      <c r="P49" s="26">
        <f t="shared" si="1"/>
        <v>0</v>
      </c>
      <c r="Q49" s="39"/>
      <c r="R49" s="50"/>
      <c r="S49" s="50"/>
      <c r="T49" s="152"/>
      <c r="U49" s="152"/>
      <c r="V49" s="152"/>
      <c r="W49" s="152"/>
      <c r="X49" s="26">
        <f t="shared" si="3"/>
        <v>0</v>
      </c>
      <c r="Y49" s="39"/>
      <c r="Z49" s="50"/>
      <c r="AA49" s="50"/>
      <c r="AB49" s="152"/>
      <c r="AC49" s="152"/>
      <c r="AD49" s="152"/>
      <c r="AE49" s="152"/>
      <c r="AF49" s="26">
        <f t="shared" si="4"/>
        <v>0</v>
      </c>
    </row>
    <row r="50" spans="1:32" ht="11.25" customHeight="1" x14ac:dyDescent="0.2">
      <c r="A50" s="146"/>
      <c r="B50" s="136" t="s">
        <v>21</v>
      </c>
      <c r="C50" s="63" t="s">
        <v>122</v>
      </c>
      <c r="D50" s="63"/>
      <c r="E50" s="60"/>
      <c r="G50" s="352" t="s">
        <v>378</v>
      </c>
      <c r="H50" s="112"/>
      <c r="I50" s="50"/>
      <c r="J50" s="152"/>
      <c r="K50" s="152"/>
      <c r="L50" s="152"/>
      <c r="M50" s="152"/>
      <c r="N50" s="152"/>
      <c r="O50" s="152"/>
      <c r="P50" s="26">
        <f t="shared" si="1"/>
        <v>0</v>
      </c>
      <c r="Q50" s="39"/>
      <c r="R50" s="50"/>
      <c r="S50" s="50"/>
      <c r="T50" s="152"/>
      <c r="U50" s="152"/>
      <c r="V50" s="152"/>
      <c r="W50" s="152"/>
      <c r="X50" s="26">
        <f t="shared" si="3"/>
        <v>0</v>
      </c>
      <c r="Y50" s="39"/>
      <c r="Z50" s="50"/>
      <c r="AA50" s="50"/>
      <c r="AB50" s="152"/>
      <c r="AC50" s="152"/>
      <c r="AD50" s="152"/>
      <c r="AE50" s="152"/>
      <c r="AF50" s="26">
        <f t="shared" si="4"/>
        <v>0</v>
      </c>
    </row>
    <row r="51" spans="1:32" ht="11.25" customHeight="1" x14ac:dyDescent="0.2">
      <c r="A51" s="139" t="s">
        <v>81</v>
      </c>
      <c r="B51" s="57" t="s">
        <v>124</v>
      </c>
      <c r="C51" s="57"/>
      <c r="D51" s="59"/>
      <c r="E51" s="60"/>
      <c r="G51" s="352" t="s">
        <v>379</v>
      </c>
      <c r="H51" s="112"/>
      <c r="I51" s="50"/>
      <c r="J51" s="152"/>
      <c r="K51" s="152"/>
      <c r="L51" s="152"/>
      <c r="M51" s="152"/>
      <c r="N51" s="152"/>
      <c r="O51" s="152"/>
      <c r="P51" s="26">
        <f t="shared" si="1"/>
        <v>0</v>
      </c>
      <c r="Q51" s="39"/>
      <c r="R51" s="50"/>
      <c r="S51" s="50"/>
      <c r="T51" s="152"/>
      <c r="U51" s="152"/>
      <c r="V51" s="152"/>
      <c r="W51" s="152"/>
      <c r="X51" s="26">
        <f t="shared" si="3"/>
        <v>0</v>
      </c>
      <c r="Y51" s="39"/>
      <c r="Z51" s="50"/>
      <c r="AA51" s="50"/>
      <c r="AB51" s="152"/>
      <c r="AC51" s="152"/>
      <c r="AD51" s="152"/>
      <c r="AE51" s="152"/>
      <c r="AF51" s="26">
        <f t="shared" si="4"/>
        <v>0</v>
      </c>
    </row>
    <row r="52" spans="1:32" ht="11.25" customHeight="1" x14ac:dyDescent="0.2">
      <c r="A52" s="146" t="s">
        <v>126</v>
      </c>
      <c r="B52" s="415" t="s">
        <v>127</v>
      </c>
      <c r="C52" s="415"/>
      <c r="D52" s="415"/>
      <c r="E52" s="74"/>
      <c r="G52" s="352" t="s">
        <v>380</v>
      </c>
      <c r="H52" s="112"/>
      <c r="I52" s="54"/>
      <c r="J52" s="27">
        <f>J53+J56</f>
        <v>0</v>
      </c>
      <c r="K52" s="27">
        <f t="shared" ref="K52:AE52" si="21">K53+K56</f>
        <v>0</v>
      </c>
      <c r="L52" s="27">
        <f t="shared" si="21"/>
        <v>0</v>
      </c>
      <c r="M52" s="27">
        <f t="shared" si="21"/>
        <v>0</v>
      </c>
      <c r="N52" s="27">
        <f t="shared" si="21"/>
        <v>0</v>
      </c>
      <c r="O52" s="27">
        <f t="shared" si="21"/>
        <v>0</v>
      </c>
      <c r="P52" s="26">
        <f t="shared" si="1"/>
        <v>0</v>
      </c>
      <c r="Q52" s="27">
        <f>Q53+Q56</f>
        <v>0</v>
      </c>
      <c r="R52" s="54"/>
      <c r="S52" s="54"/>
      <c r="T52" s="27">
        <f t="shared" si="21"/>
        <v>0</v>
      </c>
      <c r="U52" s="27">
        <f t="shared" si="21"/>
        <v>0</v>
      </c>
      <c r="V52" s="27">
        <f t="shared" si="21"/>
        <v>0</v>
      </c>
      <c r="W52" s="27">
        <f t="shared" si="21"/>
        <v>0</v>
      </c>
      <c r="X52" s="26">
        <f t="shared" si="3"/>
        <v>0</v>
      </c>
      <c r="Y52" s="27">
        <f>Y53+Y56</f>
        <v>0</v>
      </c>
      <c r="Z52" s="54"/>
      <c r="AA52" s="54"/>
      <c r="AB52" s="27">
        <f t="shared" si="21"/>
        <v>0</v>
      </c>
      <c r="AC52" s="27">
        <f t="shared" si="21"/>
        <v>0</v>
      </c>
      <c r="AD52" s="27">
        <f t="shared" si="21"/>
        <v>0</v>
      </c>
      <c r="AE52" s="27">
        <f t="shared" si="21"/>
        <v>0</v>
      </c>
      <c r="AF52" s="26">
        <f t="shared" si="4"/>
        <v>0</v>
      </c>
    </row>
    <row r="53" spans="1:32" ht="11.25" customHeight="1" x14ac:dyDescent="0.2">
      <c r="A53" s="139"/>
      <c r="B53" s="151" t="s">
        <v>18</v>
      </c>
      <c r="C53" s="57" t="s">
        <v>87</v>
      </c>
      <c r="D53" s="59"/>
      <c r="E53" s="60"/>
      <c r="G53" s="352" t="s">
        <v>381</v>
      </c>
      <c r="H53" s="112"/>
      <c r="I53" s="54"/>
      <c r="J53" s="27">
        <f>J54+J55</f>
        <v>0</v>
      </c>
      <c r="K53" s="27">
        <f t="shared" ref="K53:AE53" si="22">K54+K55</f>
        <v>0</v>
      </c>
      <c r="L53" s="27">
        <f t="shared" si="22"/>
        <v>0</v>
      </c>
      <c r="M53" s="27">
        <f t="shared" si="22"/>
        <v>0</v>
      </c>
      <c r="N53" s="27">
        <f t="shared" si="22"/>
        <v>0</v>
      </c>
      <c r="O53" s="27">
        <f t="shared" si="22"/>
        <v>0</v>
      </c>
      <c r="P53" s="26">
        <f t="shared" si="1"/>
        <v>0</v>
      </c>
      <c r="Q53" s="27">
        <f>Q54+Q55</f>
        <v>0</v>
      </c>
      <c r="R53" s="54"/>
      <c r="S53" s="54"/>
      <c r="T53" s="27">
        <f t="shared" si="22"/>
        <v>0</v>
      </c>
      <c r="U53" s="27">
        <f t="shared" si="22"/>
        <v>0</v>
      </c>
      <c r="V53" s="27">
        <f t="shared" si="22"/>
        <v>0</v>
      </c>
      <c r="W53" s="27">
        <f t="shared" si="22"/>
        <v>0</v>
      </c>
      <c r="X53" s="26">
        <f t="shared" si="3"/>
        <v>0</v>
      </c>
      <c r="Y53" s="27">
        <f>Y54+Y55</f>
        <v>0</v>
      </c>
      <c r="Z53" s="54"/>
      <c r="AA53" s="54"/>
      <c r="AB53" s="27">
        <f t="shared" si="22"/>
        <v>0</v>
      </c>
      <c r="AC53" s="27">
        <f t="shared" si="22"/>
        <v>0</v>
      </c>
      <c r="AD53" s="27">
        <f t="shared" si="22"/>
        <v>0</v>
      </c>
      <c r="AE53" s="27">
        <f t="shared" si="22"/>
        <v>0</v>
      </c>
      <c r="AF53" s="26">
        <f t="shared" si="4"/>
        <v>0</v>
      </c>
    </row>
    <row r="54" spans="1:32" ht="11.25" customHeight="1" x14ac:dyDescent="0.2">
      <c r="A54" s="145"/>
      <c r="B54" s="135" t="s">
        <v>102</v>
      </c>
      <c r="C54" s="63" t="s">
        <v>130</v>
      </c>
      <c r="D54" s="63"/>
      <c r="E54" s="60"/>
      <c r="G54" s="352" t="s">
        <v>693</v>
      </c>
      <c r="H54" s="112"/>
      <c r="I54" s="50"/>
      <c r="J54" s="152"/>
      <c r="K54" s="152"/>
      <c r="L54" s="152"/>
      <c r="M54" s="152"/>
      <c r="N54" s="152"/>
      <c r="O54" s="152"/>
      <c r="P54" s="26">
        <f t="shared" si="1"/>
        <v>0</v>
      </c>
      <c r="Q54" s="39"/>
      <c r="R54" s="50"/>
      <c r="S54" s="50"/>
      <c r="T54" s="152"/>
      <c r="U54" s="152"/>
      <c r="V54" s="152"/>
      <c r="W54" s="152"/>
      <c r="X54" s="26">
        <f t="shared" si="3"/>
        <v>0</v>
      </c>
      <c r="Y54" s="39"/>
      <c r="Z54" s="50"/>
      <c r="AA54" s="50"/>
      <c r="AB54" s="152"/>
      <c r="AC54" s="152"/>
      <c r="AD54" s="152"/>
      <c r="AE54" s="152"/>
      <c r="AF54" s="26">
        <f t="shared" si="4"/>
        <v>0</v>
      </c>
    </row>
    <row r="55" spans="1:32" ht="11.25" customHeight="1" x14ac:dyDescent="0.2">
      <c r="A55" s="139"/>
      <c r="B55" s="149" t="s">
        <v>104</v>
      </c>
      <c r="C55" s="57" t="s">
        <v>132</v>
      </c>
      <c r="D55" s="59"/>
      <c r="E55" s="60"/>
      <c r="G55" s="352" t="s">
        <v>694</v>
      </c>
      <c r="H55" s="112"/>
      <c r="I55" s="50"/>
      <c r="J55" s="152"/>
      <c r="K55" s="152"/>
      <c r="L55" s="152"/>
      <c r="M55" s="152"/>
      <c r="N55" s="152"/>
      <c r="O55" s="152"/>
      <c r="P55" s="26">
        <f t="shared" si="1"/>
        <v>0</v>
      </c>
      <c r="Q55" s="39"/>
      <c r="R55" s="50"/>
      <c r="S55" s="50"/>
      <c r="T55" s="152"/>
      <c r="U55" s="152"/>
      <c r="V55" s="152"/>
      <c r="W55" s="152"/>
      <c r="X55" s="26">
        <f t="shared" si="3"/>
        <v>0</v>
      </c>
      <c r="Y55" s="39"/>
      <c r="Z55" s="50"/>
      <c r="AA55" s="50"/>
      <c r="AB55" s="152"/>
      <c r="AC55" s="152"/>
      <c r="AD55" s="152"/>
      <c r="AE55" s="152"/>
      <c r="AF55" s="26">
        <f t="shared" si="4"/>
        <v>0</v>
      </c>
    </row>
    <row r="56" spans="1:32" ht="11.25" customHeight="1" x14ac:dyDescent="0.2">
      <c r="A56" s="145"/>
      <c r="B56" s="136" t="s">
        <v>21</v>
      </c>
      <c r="C56" s="63" t="s">
        <v>89</v>
      </c>
      <c r="D56" s="63"/>
      <c r="E56" s="60"/>
      <c r="G56" s="352" t="s">
        <v>382</v>
      </c>
      <c r="H56" s="112"/>
      <c r="I56" s="54"/>
      <c r="J56" s="50"/>
      <c r="K56" s="50"/>
      <c r="L56" s="50"/>
      <c r="M56" s="50"/>
      <c r="N56" s="27">
        <f>N57+N58</f>
        <v>0</v>
      </c>
      <c r="O56" s="27">
        <f>O57+O58</f>
        <v>0</v>
      </c>
      <c r="P56" s="26">
        <f t="shared" si="1"/>
        <v>0</v>
      </c>
      <c r="Q56" s="50"/>
      <c r="R56" s="54"/>
      <c r="S56" s="54"/>
      <c r="T56" s="54"/>
      <c r="U56" s="54"/>
      <c r="V56" s="27">
        <f>V57+V58</f>
        <v>0</v>
      </c>
      <c r="W56" s="27">
        <f>W57+W58</f>
        <v>0</v>
      </c>
      <c r="X56" s="26">
        <f t="shared" si="3"/>
        <v>0</v>
      </c>
      <c r="Y56" s="54"/>
      <c r="Z56" s="54"/>
      <c r="AA56" s="54"/>
      <c r="AB56" s="54"/>
      <c r="AC56" s="54"/>
      <c r="AD56" s="27">
        <f>AD57+AD58</f>
        <v>0</v>
      </c>
      <c r="AE56" s="27">
        <f>AE57+AE58</f>
        <v>0</v>
      </c>
      <c r="AF56" s="26">
        <f t="shared" si="4"/>
        <v>0</v>
      </c>
    </row>
    <row r="57" spans="1:32" ht="11.25" customHeight="1" x14ac:dyDescent="0.2">
      <c r="A57" s="139"/>
      <c r="B57" s="149" t="s">
        <v>108</v>
      </c>
      <c r="C57" s="57" t="s">
        <v>130</v>
      </c>
      <c r="D57" s="59"/>
      <c r="E57" s="60"/>
      <c r="G57" s="352" t="s">
        <v>695</v>
      </c>
      <c r="H57" s="112"/>
      <c r="I57" s="50"/>
      <c r="J57" s="50"/>
      <c r="K57" s="50"/>
      <c r="L57" s="50"/>
      <c r="M57" s="50"/>
      <c r="N57" s="152"/>
      <c r="O57" s="152"/>
      <c r="P57" s="26">
        <f t="shared" si="1"/>
        <v>0</v>
      </c>
      <c r="Q57" s="50"/>
      <c r="R57" s="50"/>
      <c r="S57" s="50"/>
      <c r="T57" s="50"/>
      <c r="U57" s="50"/>
      <c r="V57" s="152"/>
      <c r="W57" s="152"/>
      <c r="X57" s="26">
        <f t="shared" si="3"/>
        <v>0</v>
      </c>
      <c r="Y57" s="50"/>
      <c r="Z57" s="50"/>
      <c r="AA57" s="50"/>
      <c r="AB57" s="50"/>
      <c r="AC57" s="50"/>
      <c r="AD57" s="152"/>
      <c r="AE57" s="152"/>
      <c r="AF57" s="26">
        <f t="shared" si="4"/>
        <v>0</v>
      </c>
    </row>
    <row r="58" spans="1:32" ht="11.25" customHeight="1" x14ac:dyDescent="0.2">
      <c r="A58" s="139"/>
      <c r="B58" s="149" t="s">
        <v>110</v>
      </c>
      <c r="C58" s="57" t="s">
        <v>132</v>
      </c>
      <c r="D58" s="59"/>
      <c r="E58" s="60"/>
      <c r="G58" s="352" t="s">
        <v>696</v>
      </c>
      <c r="H58" s="112"/>
      <c r="I58" s="50"/>
      <c r="J58" s="50"/>
      <c r="K58" s="50"/>
      <c r="L58" s="50"/>
      <c r="M58" s="50"/>
      <c r="N58" s="152"/>
      <c r="O58" s="152"/>
      <c r="P58" s="26">
        <f t="shared" si="1"/>
        <v>0</v>
      </c>
      <c r="Q58" s="50"/>
      <c r="R58" s="50"/>
      <c r="S58" s="50"/>
      <c r="T58" s="50"/>
      <c r="U58" s="50"/>
      <c r="V58" s="152"/>
      <c r="W58" s="152"/>
      <c r="X58" s="26">
        <f t="shared" si="3"/>
        <v>0</v>
      </c>
      <c r="Y58" s="50"/>
      <c r="Z58" s="50"/>
      <c r="AA58" s="50"/>
      <c r="AB58" s="50"/>
      <c r="AC58" s="50"/>
      <c r="AD58" s="152"/>
      <c r="AE58" s="152"/>
      <c r="AF58" s="26">
        <f t="shared" si="4"/>
        <v>0</v>
      </c>
    </row>
    <row r="59" spans="1:32" ht="11.25" customHeight="1" x14ac:dyDescent="0.2">
      <c r="A59" s="220" t="s">
        <v>46</v>
      </c>
      <c r="B59" s="294"/>
      <c r="C59" s="294"/>
      <c r="D59" s="67"/>
      <c r="E59" s="97"/>
      <c r="G59" s="352" t="s">
        <v>383</v>
      </c>
      <c r="H59" s="112"/>
      <c r="I59" s="343"/>
      <c r="J59" s="116">
        <f>J11+J40</f>
        <v>0</v>
      </c>
      <c r="K59" s="116">
        <f t="shared" ref="K59:AE59" si="23">K11+K40</f>
        <v>0</v>
      </c>
      <c r="L59" s="116">
        <f t="shared" si="23"/>
        <v>0</v>
      </c>
      <c r="M59" s="116">
        <f t="shared" si="23"/>
        <v>0</v>
      </c>
      <c r="N59" s="116">
        <f t="shared" si="23"/>
        <v>0</v>
      </c>
      <c r="O59" s="116">
        <f t="shared" si="23"/>
        <v>0</v>
      </c>
      <c r="P59" s="26">
        <f t="shared" si="1"/>
        <v>0</v>
      </c>
      <c r="Q59" s="116">
        <f t="shared" si="23"/>
        <v>0</v>
      </c>
      <c r="R59" s="116">
        <f t="shared" si="23"/>
        <v>0</v>
      </c>
      <c r="S59" s="116">
        <f t="shared" si="23"/>
        <v>0</v>
      </c>
      <c r="T59" s="116">
        <f t="shared" si="23"/>
        <v>0</v>
      </c>
      <c r="U59" s="116">
        <f t="shared" si="23"/>
        <v>0</v>
      </c>
      <c r="V59" s="116">
        <f t="shared" si="23"/>
        <v>0</v>
      </c>
      <c r="W59" s="116">
        <f t="shared" si="23"/>
        <v>0</v>
      </c>
      <c r="X59" s="26">
        <f t="shared" si="3"/>
        <v>0</v>
      </c>
      <c r="Y59" s="116">
        <f t="shared" si="23"/>
        <v>0</v>
      </c>
      <c r="Z59" s="116">
        <f t="shared" si="23"/>
        <v>0</v>
      </c>
      <c r="AA59" s="116">
        <f t="shared" si="23"/>
        <v>0</v>
      </c>
      <c r="AB59" s="116">
        <f t="shared" si="23"/>
        <v>0</v>
      </c>
      <c r="AC59" s="116">
        <f t="shared" si="23"/>
        <v>0</v>
      </c>
      <c r="AD59" s="116">
        <f t="shared" si="23"/>
        <v>0</v>
      </c>
      <c r="AE59" s="116">
        <f t="shared" si="23"/>
        <v>0</v>
      </c>
      <c r="AF59" s="26">
        <f t="shared" si="4"/>
        <v>0</v>
      </c>
    </row>
    <row r="60" spans="1:32" ht="11.25" customHeight="1" x14ac:dyDescent="0.2">
      <c r="G60" s="264" t="s">
        <v>48</v>
      </c>
      <c r="H60" s="264"/>
      <c r="I60" s="63"/>
      <c r="P60" s="63"/>
      <c r="AB60" s="115"/>
    </row>
    <row r="61" spans="1:32" ht="11.25" customHeight="1" x14ac:dyDescent="0.2">
      <c r="AB61" s="115"/>
    </row>
  </sheetData>
  <sheetProtection password="A2C5" sheet="1" objects="1" scenarios="1" selectLockedCells="1"/>
  <mergeCells count="29">
    <mergeCell ref="B33:D33"/>
    <mergeCell ref="B26:D26"/>
    <mergeCell ref="B52:D52"/>
    <mergeCell ref="AF8:AF9"/>
    <mergeCell ref="G7:G9"/>
    <mergeCell ref="X8:X9"/>
    <mergeCell ref="Z8:AA8"/>
    <mergeCell ref="AB8:AC8"/>
    <mergeCell ref="AD8:AE8"/>
    <mergeCell ref="Y8:Y9"/>
    <mergeCell ref="I8:I9"/>
    <mergeCell ref="J8:K8"/>
    <mergeCell ref="L8:M8"/>
    <mergeCell ref="N8:O8"/>
    <mergeCell ref="V8:W8"/>
    <mergeCell ref="Q8:Q9"/>
    <mergeCell ref="P8:P9"/>
    <mergeCell ref="R8:S8"/>
    <mergeCell ref="T8:U8"/>
    <mergeCell ref="I7:P7"/>
    <mergeCell ref="Q7:X7"/>
    <mergeCell ref="Y7:AF7"/>
    <mergeCell ref="A1:AF1"/>
    <mergeCell ref="A2:AF2"/>
    <mergeCell ref="A3:AF3"/>
    <mergeCell ref="A4:AF4"/>
    <mergeCell ref="A5:AF5"/>
    <mergeCell ref="A6:AF6"/>
    <mergeCell ref="A7:D9"/>
  </mergeCells>
  <phoneticPr fontId="8" type="noConversion"/>
  <dataValidations count="1">
    <dataValidation type="decimal" operator="greaterThanOrEqual" allowBlank="1" showInputMessage="1" showErrorMessage="1" sqref="I10:AF59">
      <formula1>0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13c&amp;U
  &amp;P of &amp;N&amp;C&amp;"Arial,Bold"&amp;8 MAXIMUM SAVINGS BANK, INC.  [ 03-070011 ]
 As of: June 30, 2019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F127"/>
  <sheetViews>
    <sheetView zoomScale="75" workbookViewId="0">
      <pane xSplit="8" ySplit="9" topLeftCell="I10" activePane="bottomRight" state="frozen"/>
      <selection activeCell="B1" sqref="B1"/>
      <selection pane="topRight" activeCell="I1" sqref="I1"/>
      <selection pane="bottomLeft" activeCell="B10" sqref="B10"/>
      <selection pane="bottomRight" activeCell="I12" sqref="I12"/>
    </sheetView>
  </sheetViews>
  <sheetFormatPr defaultRowHeight="11.25" customHeight="1" x14ac:dyDescent="0.2"/>
  <cols>
    <col min="1" max="1" width="2.140625" style="114" customWidth="1"/>
    <col min="2" max="2" width="3" style="113" customWidth="1"/>
    <col min="3" max="3" width="2.85546875" style="114" customWidth="1"/>
    <col min="4" max="4" width="32.7109375" style="114" customWidth="1"/>
    <col min="5" max="5" width="31.7109375" style="114" hidden="1" customWidth="1"/>
    <col min="6" max="6" width="16.140625" style="114" hidden="1" customWidth="1"/>
    <col min="7" max="7" width="17.7109375" style="164" customWidth="1"/>
    <col min="8" max="8" width="16.5703125" style="164" hidden="1" customWidth="1"/>
    <col min="9" max="13" width="22.7109375" style="114" customWidth="1"/>
    <col min="14" max="15" width="22.7109375" style="114" hidden="1" customWidth="1"/>
    <col min="16" max="21" width="22.7109375" style="114" customWidth="1"/>
    <col min="22" max="23" width="22.7109375" style="114" hidden="1" customWidth="1"/>
    <col min="24" max="29" width="22.7109375" style="114" customWidth="1"/>
    <col min="30" max="31" width="22.7109375" style="114" hidden="1" customWidth="1"/>
    <col min="32" max="32" width="22.7109375" style="114" customWidth="1"/>
    <col min="33" max="16384" width="9.140625" style="114"/>
  </cols>
  <sheetData>
    <row r="1" spans="1:32" ht="11.25" customHeight="1" x14ac:dyDescent="0.2">
      <c r="A1" s="440" t="s">
        <v>649</v>
      </c>
      <c r="B1" s="440"/>
      <c r="C1" s="440"/>
      <c r="D1" s="440"/>
      <c r="E1" s="440"/>
      <c r="F1" s="440"/>
      <c r="G1" s="440"/>
      <c r="H1" s="440"/>
      <c r="I1" s="440"/>
      <c r="J1" s="440"/>
      <c r="K1" s="440"/>
      <c r="L1" s="440"/>
      <c r="M1" s="440"/>
      <c r="N1" s="440"/>
      <c r="O1" s="440"/>
      <c r="P1" s="440"/>
      <c r="Q1" s="440"/>
      <c r="R1" s="440"/>
      <c r="S1" s="440"/>
      <c r="T1" s="440"/>
      <c r="U1" s="440"/>
      <c r="V1" s="440"/>
      <c r="W1" s="440"/>
      <c r="X1" s="440"/>
      <c r="Y1" s="440"/>
      <c r="Z1" s="440"/>
      <c r="AA1" s="440"/>
      <c r="AB1" s="440"/>
      <c r="AC1" s="440"/>
      <c r="AD1" s="440"/>
      <c r="AE1" s="440"/>
      <c r="AF1" s="440"/>
    </row>
    <row r="2" spans="1:32" ht="11.25" hidden="1" customHeight="1" x14ac:dyDescent="0.2">
      <c r="B2" s="443"/>
      <c r="C2" s="443"/>
      <c r="D2" s="443"/>
      <c r="E2" s="443"/>
      <c r="F2" s="443"/>
      <c r="G2" s="443"/>
      <c r="H2" s="443"/>
      <c r="I2" s="443"/>
      <c r="J2" s="443"/>
      <c r="K2" s="443"/>
      <c r="L2" s="443"/>
      <c r="M2" s="443"/>
      <c r="N2" s="443"/>
      <c r="O2" s="443"/>
      <c r="P2" s="443"/>
      <c r="Q2" s="443"/>
      <c r="R2" s="443"/>
      <c r="S2" s="443"/>
      <c r="T2" s="443"/>
      <c r="U2" s="443"/>
      <c r="V2" s="443"/>
      <c r="W2" s="443"/>
      <c r="X2" s="443"/>
      <c r="Y2" s="443"/>
      <c r="Z2" s="443"/>
      <c r="AA2" s="443"/>
      <c r="AB2" s="443"/>
      <c r="AC2" s="443"/>
      <c r="AD2" s="443"/>
      <c r="AE2" s="443"/>
      <c r="AF2" s="443"/>
    </row>
    <row r="3" spans="1:32" ht="11.25" hidden="1" customHeight="1" x14ac:dyDescent="0.2">
      <c r="B3" s="443"/>
      <c r="C3" s="443"/>
      <c r="D3" s="443"/>
      <c r="E3" s="443"/>
      <c r="F3" s="443"/>
      <c r="G3" s="443"/>
      <c r="H3" s="443"/>
      <c r="I3" s="443"/>
      <c r="J3" s="443"/>
      <c r="K3" s="443"/>
      <c r="L3" s="443"/>
      <c r="M3" s="443"/>
      <c r="N3" s="443"/>
      <c r="O3" s="443"/>
      <c r="P3" s="443"/>
      <c r="Q3" s="443"/>
      <c r="R3" s="443"/>
      <c r="S3" s="443"/>
      <c r="T3" s="443"/>
      <c r="U3" s="443"/>
      <c r="V3" s="443"/>
      <c r="W3" s="443"/>
      <c r="X3" s="443"/>
      <c r="Y3" s="443"/>
      <c r="Z3" s="443"/>
      <c r="AA3" s="443"/>
      <c r="AB3" s="443"/>
      <c r="AC3" s="443"/>
      <c r="AD3" s="443"/>
      <c r="AE3" s="443"/>
      <c r="AF3" s="443"/>
    </row>
    <row r="4" spans="1:32" ht="11.25" hidden="1" customHeight="1" x14ac:dyDescent="0.2">
      <c r="B4" s="443"/>
      <c r="C4" s="443"/>
      <c r="D4" s="443"/>
      <c r="E4" s="443"/>
      <c r="F4" s="443"/>
      <c r="G4" s="443"/>
      <c r="H4" s="443"/>
      <c r="I4" s="443"/>
      <c r="J4" s="443"/>
      <c r="K4" s="443"/>
      <c r="L4" s="443"/>
      <c r="M4" s="443"/>
      <c r="N4" s="443"/>
      <c r="O4" s="443"/>
      <c r="P4" s="443"/>
      <c r="Q4" s="443"/>
      <c r="R4" s="443"/>
      <c r="S4" s="443"/>
      <c r="T4" s="443"/>
      <c r="U4" s="443"/>
      <c r="V4" s="443"/>
      <c r="W4" s="443"/>
      <c r="X4" s="443"/>
      <c r="Y4" s="443"/>
      <c r="Z4" s="443"/>
      <c r="AA4" s="443"/>
      <c r="AB4" s="443"/>
      <c r="AC4" s="443"/>
      <c r="AD4" s="443"/>
      <c r="AE4" s="443"/>
      <c r="AF4" s="443"/>
    </row>
    <row r="5" spans="1:32" ht="11.25" customHeight="1" x14ac:dyDescent="0.2">
      <c r="B5" s="443"/>
      <c r="C5" s="443"/>
      <c r="D5" s="443"/>
      <c r="E5" s="443"/>
      <c r="F5" s="443"/>
      <c r="G5" s="443"/>
      <c r="H5" s="443"/>
      <c r="I5" s="443"/>
      <c r="J5" s="443"/>
      <c r="K5" s="443"/>
      <c r="L5" s="443"/>
      <c r="M5" s="443"/>
      <c r="N5" s="443"/>
      <c r="O5" s="443"/>
      <c r="P5" s="443"/>
      <c r="Q5" s="443"/>
      <c r="R5" s="443"/>
      <c r="S5" s="443"/>
      <c r="T5" s="443"/>
      <c r="U5" s="443"/>
      <c r="V5" s="443"/>
      <c r="W5" s="443"/>
      <c r="X5" s="443"/>
      <c r="Y5" s="443"/>
      <c r="Z5" s="443"/>
      <c r="AA5" s="443"/>
      <c r="AB5" s="443"/>
      <c r="AC5" s="443"/>
      <c r="AD5" s="443"/>
      <c r="AE5" s="443"/>
      <c r="AF5" s="443"/>
    </row>
    <row r="6" spans="1:32" ht="11.25" customHeight="1" x14ac:dyDescent="0.2">
      <c r="A6" s="450" t="s">
        <v>1</v>
      </c>
      <c r="B6" s="451"/>
      <c r="C6" s="451"/>
      <c r="D6" s="451"/>
      <c r="E6" s="325"/>
      <c r="G6" s="447" t="s">
        <v>2</v>
      </c>
      <c r="H6" s="154"/>
      <c r="I6" s="429" t="s">
        <v>384</v>
      </c>
      <c r="J6" s="430"/>
      <c r="K6" s="430"/>
      <c r="L6" s="430"/>
      <c r="M6" s="430"/>
      <c r="N6" s="430"/>
      <c r="O6" s="430"/>
      <c r="P6" s="430"/>
      <c r="Q6" s="430"/>
      <c r="R6" s="430"/>
      <c r="S6" s="430"/>
      <c r="T6" s="430"/>
      <c r="U6" s="430"/>
      <c r="V6" s="430"/>
      <c r="W6" s="430"/>
      <c r="X6" s="430"/>
      <c r="Y6" s="430"/>
      <c r="Z6" s="430"/>
      <c r="AA6" s="430"/>
      <c r="AB6" s="430"/>
      <c r="AC6" s="430"/>
      <c r="AD6" s="430"/>
      <c r="AE6" s="430"/>
      <c r="AF6" s="431"/>
    </row>
    <row r="7" spans="1:32" ht="11.25" customHeight="1" x14ac:dyDescent="0.2">
      <c r="A7" s="452"/>
      <c r="B7" s="453"/>
      <c r="C7" s="453"/>
      <c r="D7" s="453"/>
      <c r="E7" s="324"/>
      <c r="G7" s="448"/>
      <c r="H7" s="156"/>
      <c r="I7" s="456" t="s">
        <v>51</v>
      </c>
      <c r="J7" s="457"/>
      <c r="K7" s="457"/>
      <c r="L7" s="457"/>
      <c r="M7" s="457"/>
      <c r="N7" s="457"/>
      <c r="O7" s="457"/>
      <c r="P7" s="458"/>
      <c r="Q7" s="406" t="s">
        <v>53</v>
      </c>
      <c r="R7" s="406"/>
      <c r="S7" s="406"/>
      <c r="T7" s="406"/>
      <c r="U7" s="406"/>
      <c r="V7" s="406"/>
      <c r="W7" s="406"/>
      <c r="X7" s="406"/>
      <c r="Y7" s="441" t="s">
        <v>54</v>
      </c>
      <c r="Z7" s="446"/>
      <c r="AA7" s="446"/>
      <c r="AB7" s="446"/>
      <c r="AC7" s="446"/>
      <c r="AD7" s="446"/>
      <c r="AE7" s="446"/>
      <c r="AF7" s="442"/>
    </row>
    <row r="8" spans="1:32" ht="11.25" customHeight="1" x14ac:dyDescent="0.2">
      <c r="A8" s="452"/>
      <c r="B8" s="453"/>
      <c r="C8" s="453"/>
      <c r="D8" s="453"/>
      <c r="E8" s="324"/>
      <c r="G8" s="448"/>
      <c r="H8" s="155"/>
      <c r="I8" s="444" t="s">
        <v>55</v>
      </c>
      <c r="J8" s="441" t="s">
        <v>4</v>
      </c>
      <c r="K8" s="442"/>
      <c r="L8" s="441" t="s">
        <v>5</v>
      </c>
      <c r="M8" s="442"/>
      <c r="N8" s="441" t="s">
        <v>6</v>
      </c>
      <c r="O8" s="442"/>
      <c r="P8" s="444" t="s">
        <v>56</v>
      </c>
      <c r="Q8" s="406" t="s">
        <v>55</v>
      </c>
      <c r="R8" s="441" t="s">
        <v>4</v>
      </c>
      <c r="S8" s="442"/>
      <c r="T8" s="441" t="s">
        <v>5</v>
      </c>
      <c r="U8" s="442"/>
      <c r="V8" s="441" t="s">
        <v>6</v>
      </c>
      <c r="W8" s="442"/>
      <c r="X8" s="406" t="s">
        <v>56</v>
      </c>
      <c r="Y8" s="406" t="s">
        <v>55</v>
      </c>
      <c r="Z8" s="441" t="s">
        <v>4</v>
      </c>
      <c r="AA8" s="442"/>
      <c r="AB8" s="441" t="s">
        <v>5</v>
      </c>
      <c r="AC8" s="442"/>
      <c r="AD8" s="441" t="s">
        <v>6</v>
      </c>
      <c r="AE8" s="442"/>
      <c r="AF8" s="444" t="s">
        <v>56</v>
      </c>
    </row>
    <row r="9" spans="1:32" ht="11.25" customHeight="1" x14ac:dyDescent="0.2">
      <c r="A9" s="454"/>
      <c r="B9" s="455"/>
      <c r="C9" s="455"/>
      <c r="D9" s="455"/>
      <c r="E9" s="324"/>
      <c r="G9" s="449"/>
      <c r="H9" s="157"/>
      <c r="I9" s="445"/>
      <c r="J9" s="19" t="s">
        <v>11</v>
      </c>
      <c r="K9" s="158" t="s">
        <v>12</v>
      </c>
      <c r="L9" s="19" t="s">
        <v>11</v>
      </c>
      <c r="M9" s="158" t="s">
        <v>12</v>
      </c>
      <c r="N9" s="19" t="s">
        <v>11</v>
      </c>
      <c r="O9" s="158" t="s">
        <v>12</v>
      </c>
      <c r="P9" s="445"/>
      <c r="Q9" s="406"/>
      <c r="R9" s="19" t="s">
        <v>11</v>
      </c>
      <c r="S9" s="20" t="s">
        <v>12</v>
      </c>
      <c r="T9" s="19" t="s">
        <v>11</v>
      </c>
      <c r="U9" s="20" t="s">
        <v>12</v>
      </c>
      <c r="V9" s="19" t="s">
        <v>11</v>
      </c>
      <c r="W9" s="20" t="s">
        <v>12</v>
      </c>
      <c r="X9" s="406"/>
      <c r="Y9" s="406"/>
      <c r="Z9" s="19" t="s">
        <v>11</v>
      </c>
      <c r="AA9" s="20" t="s">
        <v>12</v>
      </c>
      <c r="AB9" s="19" t="s">
        <v>11</v>
      </c>
      <c r="AC9" s="20" t="s">
        <v>12</v>
      </c>
      <c r="AD9" s="19" t="s">
        <v>11</v>
      </c>
      <c r="AE9" s="20" t="s">
        <v>12</v>
      </c>
      <c r="AF9" s="445"/>
    </row>
    <row r="10" spans="1:32" ht="11.25" customHeight="1" x14ac:dyDescent="0.2">
      <c r="A10" s="141" t="s">
        <v>60</v>
      </c>
      <c r="B10" s="153"/>
      <c r="C10" s="167"/>
      <c r="D10" s="167"/>
      <c r="E10" s="168"/>
      <c r="G10" s="159"/>
      <c r="H10" s="159"/>
      <c r="I10" s="266"/>
      <c r="J10" s="266"/>
      <c r="K10" s="266"/>
      <c r="L10" s="266"/>
      <c r="M10" s="266"/>
      <c r="N10" s="266"/>
      <c r="O10" s="266"/>
      <c r="P10" s="266">
        <f>I10+K10+M10+O10</f>
        <v>0</v>
      </c>
      <c r="Q10" s="266"/>
      <c r="R10" s="266"/>
      <c r="S10" s="266"/>
      <c r="T10" s="266"/>
      <c r="U10" s="266"/>
      <c r="V10" s="266"/>
      <c r="W10" s="266"/>
      <c r="X10" s="266">
        <f t="shared" ref="X10:X25" si="0">Q10+S10+U10+W10</f>
        <v>0</v>
      </c>
      <c r="Y10" s="267"/>
      <c r="Z10" s="267"/>
      <c r="AA10" s="267"/>
      <c r="AB10" s="267"/>
      <c r="AC10" s="267"/>
      <c r="AD10" s="267"/>
      <c r="AE10" s="267"/>
      <c r="AF10" s="266">
        <f t="shared" ref="AF10:AF25" si="1">Y10+AA10+AC10+AE10</f>
        <v>0</v>
      </c>
    </row>
    <row r="11" spans="1:32" ht="11.25" customHeight="1" x14ac:dyDescent="0.2">
      <c r="A11" s="139" t="s">
        <v>62</v>
      </c>
      <c r="B11" s="148" t="s">
        <v>63</v>
      </c>
      <c r="C11" s="56"/>
      <c r="D11" s="89"/>
      <c r="E11" s="88"/>
      <c r="G11" s="355" t="s">
        <v>385</v>
      </c>
      <c r="H11" s="159"/>
      <c r="I11" s="103">
        <f>I12</f>
        <v>0</v>
      </c>
      <c r="J11" s="103">
        <f t="shared" ref="J11:AE11" si="2">J12</f>
        <v>0</v>
      </c>
      <c r="K11" s="103">
        <f t="shared" si="2"/>
        <v>0</v>
      </c>
      <c r="L11" s="103">
        <f t="shared" si="2"/>
        <v>0</v>
      </c>
      <c r="M11" s="103">
        <f t="shared" si="2"/>
        <v>0</v>
      </c>
      <c r="N11" s="103">
        <f t="shared" si="2"/>
        <v>0</v>
      </c>
      <c r="O11" s="103">
        <f t="shared" si="2"/>
        <v>0</v>
      </c>
      <c r="P11" s="118">
        <f t="shared" ref="P11:P25" si="3">I11+K11+M11+O11</f>
        <v>0</v>
      </c>
      <c r="Q11" s="103">
        <f t="shared" si="2"/>
        <v>0</v>
      </c>
      <c r="R11" s="103">
        <f t="shared" si="2"/>
        <v>0</v>
      </c>
      <c r="S11" s="103">
        <f t="shared" si="2"/>
        <v>0</v>
      </c>
      <c r="T11" s="103">
        <f t="shared" si="2"/>
        <v>0</v>
      </c>
      <c r="U11" s="103">
        <f t="shared" si="2"/>
        <v>0</v>
      </c>
      <c r="V11" s="103">
        <f t="shared" si="2"/>
        <v>0</v>
      </c>
      <c r="W11" s="103">
        <f t="shared" si="2"/>
        <v>0</v>
      </c>
      <c r="X11" s="118">
        <f t="shared" si="0"/>
        <v>0</v>
      </c>
      <c r="Y11" s="103">
        <f t="shared" si="2"/>
        <v>0</v>
      </c>
      <c r="Z11" s="103">
        <f t="shared" si="2"/>
        <v>0</v>
      </c>
      <c r="AA11" s="103">
        <f t="shared" si="2"/>
        <v>0</v>
      </c>
      <c r="AB11" s="103">
        <f t="shared" si="2"/>
        <v>0</v>
      </c>
      <c r="AC11" s="103">
        <f t="shared" si="2"/>
        <v>0</v>
      </c>
      <c r="AD11" s="103">
        <f t="shared" si="2"/>
        <v>0</v>
      </c>
      <c r="AE11" s="103">
        <f t="shared" si="2"/>
        <v>0</v>
      </c>
      <c r="AF11" s="118">
        <f t="shared" si="1"/>
        <v>0</v>
      </c>
    </row>
    <row r="12" spans="1:32" ht="11.25" customHeight="1" x14ac:dyDescent="0.2">
      <c r="A12" s="145"/>
      <c r="B12" s="134" t="s">
        <v>65</v>
      </c>
      <c r="C12" s="134" t="s">
        <v>66</v>
      </c>
      <c r="D12" s="18"/>
      <c r="E12" s="33"/>
      <c r="G12" s="355" t="s">
        <v>386</v>
      </c>
      <c r="H12" s="159"/>
      <c r="I12" s="117"/>
      <c r="J12" s="117"/>
      <c r="K12" s="117"/>
      <c r="L12" s="117"/>
      <c r="M12" s="117"/>
      <c r="N12" s="117"/>
      <c r="O12" s="117"/>
      <c r="P12" s="118">
        <f t="shared" si="3"/>
        <v>0</v>
      </c>
      <c r="Q12" s="117"/>
      <c r="R12" s="117"/>
      <c r="S12" s="117"/>
      <c r="T12" s="117"/>
      <c r="U12" s="117"/>
      <c r="V12" s="117"/>
      <c r="W12" s="117"/>
      <c r="X12" s="118">
        <f t="shared" si="0"/>
        <v>0</v>
      </c>
      <c r="Y12" s="117"/>
      <c r="Z12" s="117"/>
      <c r="AA12" s="117"/>
      <c r="AB12" s="117"/>
      <c r="AC12" s="117"/>
      <c r="AD12" s="117"/>
      <c r="AE12" s="117"/>
      <c r="AF12" s="118">
        <f t="shared" si="1"/>
        <v>0</v>
      </c>
    </row>
    <row r="13" spans="1:32" ht="11.25" customHeight="1" x14ac:dyDescent="0.2">
      <c r="A13" s="139" t="s">
        <v>68</v>
      </c>
      <c r="B13" s="148" t="s">
        <v>387</v>
      </c>
      <c r="C13" s="57"/>
      <c r="D13" s="59"/>
      <c r="E13" s="60"/>
      <c r="G13" s="355" t="s">
        <v>388</v>
      </c>
      <c r="H13" s="159"/>
      <c r="I13" s="103">
        <f>I14+I17</f>
        <v>0</v>
      </c>
      <c r="J13" s="103">
        <f t="shared" ref="J13:AE13" si="4">J14+J17</f>
        <v>0</v>
      </c>
      <c r="K13" s="103">
        <f t="shared" si="4"/>
        <v>0</v>
      </c>
      <c r="L13" s="103">
        <f t="shared" si="4"/>
        <v>0</v>
      </c>
      <c r="M13" s="103">
        <f t="shared" si="4"/>
        <v>0</v>
      </c>
      <c r="N13" s="103">
        <f t="shared" si="4"/>
        <v>0</v>
      </c>
      <c r="O13" s="103">
        <f t="shared" si="4"/>
        <v>0</v>
      </c>
      <c r="P13" s="118">
        <f t="shared" si="3"/>
        <v>0</v>
      </c>
      <c r="Q13" s="103">
        <f t="shared" si="4"/>
        <v>0</v>
      </c>
      <c r="R13" s="103">
        <f t="shared" si="4"/>
        <v>0</v>
      </c>
      <c r="S13" s="103">
        <f t="shared" si="4"/>
        <v>0</v>
      </c>
      <c r="T13" s="103">
        <f t="shared" si="4"/>
        <v>0</v>
      </c>
      <c r="U13" s="103">
        <f t="shared" si="4"/>
        <v>0</v>
      </c>
      <c r="V13" s="103">
        <f t="shared" si="4"/>
        <v>0</v>
      </c>
      <c r="W13" s="103">
        <f t="shared" si="4"/>
        <v>0</v>
      </c>
      <c r="X13" s="118">
        <f t="shared" si="0"/>
        <v>0</v>
      </c>
      <c r="Y13" s="103">
        <f t="shared" si="4"/>
        <v>0</v>
      </c>
      <c r="Z13" s="103">
        <f t="shared" si="4"/>
        <v>0</v>
      </c>
      <c r="AA13" s="103">
        <f t="shared" si="4"/>
        <v>0</v>
      </c>
      <c r="AB13" s="103">
        <f t="shared" si="4"/>
        <v>0</v>
      </c>
      <c r="AC13" s="103">
        <f t="shared" si="4"/>
        <v>0</v>
      </c>
      <c r="AD13" s="103">
        <f t="shared" si="4"/>
        <v>0</v>
      </c>
      <c r="AE13" s="103">
        <f t="shared" si="4"/>
        <v>0</v>
      </c>
      <c r="AF13" s="118">
        <f t="shared" si="1"/>
        <v>0</v>
      </c>
    </row>
    <row r="14" spans="1:32" ht="11.25" customHeight="1" x14ac:dyDescent="0.2">
      <c r="A14" s="145"/>
      <c r="B14" s="133">
        <v>-1</v>
      </c>
      <c r="C14" s="63" t="s">
        <v>389</v>
      </c>
      <c r="D14" s="63"/>
      <c r="E14" s="60"/>
      <c r="G14" s="355" t="s">
        <v>390</v>
      </c>
      <c r="H14" s="159"/>
      <c r="I14" s="103">
        <f>I15+I16</f>
        <v>0</v>
      </c>
      <c r="J14" s="103">
        <f t="shared" ref="J14:AE14" si="5">J15+J16</f>
        <v>0</v>
      </c>
      <c r="K14" s="103">
        <f t="shared" si="5"/>
        <v>0</v>
      </c>
      <c r="L14" s="103">
        <f t="shared" si="5"/>
        <v>0</v>
      </c>
      <c r="M14" s="103">
        <f t="shared" si="5"/>
        <v>0</v>
      </c>
      <c r="N14" s="103">
        <f t="shared" si="5"/>
        <v>0</v>
      </c>
      <c r="O14" s="103">
        <f t="shared" si="5"/>
        <v>0</v>
      </c>
      <c r="P14" s="118">
        <f t="shared" si="3"/>
        <v>0</v>
      </c>
      <c r="Q14" s="103">
        <f t="shared" si="5"/>
        <v>0</v>
      </c>
      <c r="R14" s="103">
        <f t="shared" si="5"/>
        <v>0</v>
      </c>
      <c r="S14" s="103">
        <f t="shared" si="5"/>
        <v>0</v>
      </c>
      <c r="T14" s="103">
        <f t="shared" si="5"/>
        <v>0</v>
      </c>
      <c r="U14" s="103">
        <f t="shared" si="5"/>
        <v>0</v>
      </c>
      <c r="V14" s="103">
        <f t="shared" si="5"/>
        <v>0</v>
      </c>
      <c r="W14" s="103">
        <f t="shared" si="5"/>
        <v>0</v>
      </c>
      <c r="X14" s="118">
        <f t="shared" si="0"/>
        <v>0</v>
      </c>
      <c r="Y14" s="103">
        <f t="shared" si="5"/>
        <v>0</v>
      </c>
      <c r="Z14" s="103">
        <f t="shared" si="5"/>
        <v>0</v>
      </c>
      <c r="AA14" s="103">
        <f t="shared" si="5"/>
        <v>0</v>
      </c>
      <c r="AB14" s="103">
        <f t="shared" si="5"/>
        <v>0</v>
      </c>
      <c r="AC14" s="103">
        <f t="shared" si="5"/>
        <v>0</v>
      </c>
      <c r="AD14" s="103">
        <f t="shared" si="5"/>
        <v>0</v>
      </c>
      <c r="AE14" s="103">
        <f t="shared" si="5"/>
        <v>0</v>
      </c>
      <c r="AF14" s="118">
        <f t="shared" si="1"/>
        <v>0</v>
      </c>
    </row>
    <row r="15" spans="1:32" ht="11.25" customHeight="1" x14ac:dyDescent="0.2">
      <c r="A15" s="139"/>
      <c r="B15" s="148"/>
      <c r="C15" s="57" t="s">
        <v>391</v>
      </c>
      <c r="D15" s="59" t="s">
        <v>74</v>
      </c>
      <c r="E15" s="60"/>
      <c r="G15" s="355" t="s">
        <v>392</v>
      </c>
      <c r="H15" s="159"/>
      <c r="I15" s="117"/>
      <c r="J15" s="117"/>
      <c r="K15" s="117"/>
      <c r="L15" s="117"/>
      <c r="M15" s="117"/>
      <c r="N15" s="117"/>
      <c r="O15" s="117"/>
      <c r="P15" s="118">
        <f t="shared" si="3"/>
        <v>0</v>
      </c>
      <c r="Q15" s="117"/>
      <c r="R15" s="117"/>
      <c r="S15" s="117"/>
      <c r="T15" s="117"/>
      <c r="U15" s="117"/>
      <c r="V15" s="117"/>
      <c r="W15" s="117"/>
      <c r="X15" s="118">
        <f t="shared" si="0"/>
        <v>0</v>
      </c>
      <c r="Y15" s="107"/>
      <c r="Z15" s="107"/>
      <c r="AA15" s="107"/>
      <c r="AB15" s="107"/>
      <c r="AC15" s="107"/>
      <c r="AD15" s="107"/>
      <c r="AE15" s="107"/>
      <c r="AF15" s="118">
        <f t="shared" si="1"/>
        <v>0</v>
      </c>
    </row>
    <row r="16" spans="1:32" ht="11.25" customHeight="1" x14ac:dyDescent="0.2">
      <c r="A16" s="145"/>
      <c r="B16" s="133"/>
      <c r="C16" s="63" t="s">
        <v>393</v>
      </c>
      <c r="D16" s="63" t="s">
        <v>76</v>
      </c>
      <c r="E16" s="60"/>
      <c r="G16" s="355" t="s">
        <v>394</v>
      </c>
      <c r="H16" s="159"/>
      <c r="I16" s="117"/>
      <c r="J16" s="117"/>
      <c r="K16" s="117"/>
      <c r="L16" s="117"/>
      <c r="M16" s="117"/>
      <c r="N16" s="117"/>
      <c r="O16" s="117"/>
      <c r="P16" s="118">
        <f t="shared" si="3"/>
        <v>0</v>
      </c>
      <c r="Q16" s="117"/>
      <c r="R16" s="117"/>
      <c r="S16" s="117"/>
      <c r="T16" s="117"/>
      <c r="U16" s="117"/>
      <c r="V16" s="117"/>
      <c r="W16" s="117"/>
      <c r="X16" s="118">
        <f t="shared" si="0"/>
        <v>0</v>
      </c>
      <c r="Y16" s="107"/>
      <c r="Z16" s="107"/>
      <c r="AA16" s="107"/>
      <c r="AB16" s="107"/>
      <c r="AC16" s="107"/>
      <c r="AD16" s="107"/>
      <c r="AE16" s="107"/>
      <c r="AF16" s="118">
        <f t="shared" si="1"/>
        <v>0</v>
      </c>
    </row>
    <row r="17" spans="1:32" ht="11.25" customHeight="1" x14ac:dyDescent="0.2">
      <c r="A17" s="139"/>
      <c r="B17" s="148">
        <f>B14-1</f>
        <v>-2</v>
      </c>
      <c r="C17" s="57" t="s">
        <v>79</v>
      </c>
      <c r="D17" s="59"/>
      <c r="E17" s="60"/>
      <c r="G17" s="355" t="s">
        <v>395</v>
      </c>
      <c r="H17" s="159"/>
      <c r="I17" s="117"/>
      <c r="J17" s="117"/>
      <c r="K17" s="117"/>
      <c r="L17" s="117"/>
      <c r="M17" s="117"/>
      <c r="N17" s="117"/>
      <c r="O17" s="117"/>
      <c r="P17" s="118">
        <f t="shared" si="3"/>
        <v>0</v>
      </c>
      <c r="Q17" s="117"/>
      <c r="R17" s="117"/>
      <c r="S17" s="117"/>
      <c r="T17" s="117"/>
      <c r="U17" s="117"/>
      <c r="V17" s="117"/>
      <c r="W17" s="117"/>
      <c r="X17" s="118">
        <f t="shared" si="0"/>
        <v>0</v>
      </c>
      <c r="Y17" s="107"/>
      <c r="Z17" s="107"/>
      <c r="AA17" s="107"/>
      <c r="AB17" s="107"/>
      <c r="AC17" s="107"/>
      <c r="AD17" s="107"/>
      <c r="AE17" s="107"/>
      <c r="AF17" s="118">
        <f t="shared" si="1"/>
        <v>0</v>
      </c>
    </row>
    <row r="18" spans="1:32" ht="11.25" customHeight="1" x14ac:dyDescent="0.2">
      <c r="A18" s="145" t="s">
        <v>81</v>
      </c>
      <c r="B18" s="63" t="s">
        <v>82</v>
      </c>
      <c r="C18" s="63"/>
      <c r="D18" s="63"/>
      <c r="E18" s="60"/>
      <c r="G18" s="355" t="s">
        <v>396</v>
      </c>
      <c r="H18" s="159"/>
      <c r="I18" s="117"/>
      <c r="J18" s="117"/>
      <c r="K18" s="117"/>
      <c r="L18" s="117"/>
      <c r="M18" s="117"/>
      <c r="N18" s="117"/>
      <c r="O18" s="117"/>
      <c r="P18" s="118">
        <f t="shared" si="3"/>
        <v>0</v>
      </c>
      <c r="Q18" s="117"/>
      <c r="R18" s="117"/>
      <c r="S18" s="117"/>
      <c r="T18" s="117"/>
      <c r="U18" s="117"/>
      <c r="V18" s="117"/>
      <c r="W18" s="117"/>
      <c r="X18" s="118">
        <f t="shared" si="0"/>
        <v>0</v>
      </c>
      <c r="Y18" s="107"/>
      <c r="Z18" s="107"/>
      <c r="AA18" s="107"/>
      <c r="AB18" s="107"/>
      <c r="AC18" s="107"/>
      <c r="AD18" s="107"/>
      <c r="AE18" s="107"/>
      <c r="AF18" s="118">
        <f t="shared" si="1"/>
        <v>0</v>
      </c>
    </row>
    <row r="19" spans="1:32" ht="11.25" customHeight="1" x14ac:dyDescent="0.2">
      <c r="A19" s="150" t="s">
        <v>84</v>
      </c>
      <c r="B19" s="415" t="s">
        <v>85</v>
      </c>
      <c r="C19" s="415"/>
      <c r="D19" s="415"/>
      <c r="E19" s="321"/>
      <c r="G19" s="355" t="s">
        <v>397</v>
      </c>
      <c r="H19" s="159"/>
      <c r="I19" s="119">
        <f>I20+I21</f>
        <v>0</v>
      </c>
      <c r="J19" s="119">
        <f t="shared" ref="J19:AE19" si="6">J20+J21</f>
        <v>0</v>
      </c>
      <c r="K19" s="119">
        <f t="shared" si="6"/>
        <v>0</v>
      </c>
      <c r="L19" s="119">
        <f t="shared" si="6"/>
        <v>0</v>
      </c>
      <c r="M19" s="119">
        <f t="shared" si="6"/>
        <v>0</v>
      </c>
      <c r="N19" s="119">
        <f t="shared" si="6"/>
        <v>0</v>
      </c>
      <c r="O19" s="119">
        <f t="shared" si="6"/>
        <v>0</v>
      </c>
      <c r="P19" s="118">
        <f t="shared" si="3"/>
        <v>0</v>
      </c>
      <c r="Q19" s="119">
        <f t="shared" si="6"/>
        <v>0</v>
      </c>
      <c r="R19" s="119">
        <f t="shared" si="6"/>
        <v>0</v>
      </c>
      <c r="S19" s="119">
        <f t="shared" si="6"/>
        <v>0</v>
      </c>
      <c r="T19" s="119">
        <f t="shared" si="6"/>
        <v>0</v>
      </c>
      <c r="U19" s="119">
        <f t="shared" si="6"/>
        <v>0</v>
      </c>
      <c r="V19" s="119">
        <f t="shared" si="6"/>
        <v>0</v>
      </c>
      <c r="W19" s="119">
        <f t="shared" si="6"/>
        <v>0</v>
      </c>
      <c r="X19" s="118">
        <f t="shared" si="0"/>
        <v>0</v>
      </c>
      <c r="Y19" s="119">
        <f t="shared" si="6"/>
        <v>0</v>
      </c>
      <c r="Z19" s="119">
        <f t="shared" si="6"/>
        <v>0</v>
      </c>
      <c r="AA19" s="119">
        <f t="shared" si="6"/>
        <v>0</v>
      </c>
      <c r="AB19" s="119">
        <f t="shared" si="6"/>
        <v>0</v>
      </c>
      <c r="AC19" s="119">
        <f t="shared" si="6"/>
        <v>0</v>
      </c>
      <c r="AD19" s="119">
        <f t="shared" si="6"/>
        <v>0</v>
      </c>
      <c r="AE19" s="119">
        <f t="shared" si="6"/>
        <v>0</v>
      </c>
      <c r="AF19" s="118">
        <f t="shared" si="1"/>
        <v>0</v>
      </c>
    </row>
    <row r="20" spans="1:32" ht="11.25" customHeight="1" x14ac:dyDescent="0.2">
      <c r="A20" s="145"/>
      <c r="B20" s="136" t="s">
        <v>18</v>
      </c>
      <c r="C20" s="63" t="s">
        <v>87</v>
      </c>
      <c r="D20" s="63"/>
      <c r="E20" s="60"/>
      <c r="G20" s="355" t="s">
        <v>398</v>
      </c>
      <c r="H20" s="159"/>
      <c r="I20" s="117"/>
      <c r="J20" s="117"/>
      <c r="K20" s="117"/>
      <c r="L20" s="117"/>
      <c r="M20" s="117"/>
      <c r="N20" s="117"/>
      <c r="O20" s="117"/>
      <c r="P20" s="118">
        <f t="shared" si="3"/>
        <v>0</v>
      </c>
      <c r="Q20" s="117"/>
      <c r="R20" s="117"/>
      <c r="S20" s="117"/>
      <c r="T20" s="117"/>
      <c r="U20" s="117"/>
      <c r="V20" s="117"/>
      <c r="W20" s="117"/>
      <c r="X20" s="118">
        <f t="shared" si="0"/>
        <v>0</v>
      </c>
      <c r="Y20" s="107"/>
      <c r="Z20" s="107"/>
      <c r="AA20" s="107"/>
      <c r="AB20" s="107"/>
      <c r="AC20" s="107"/>
      <c r="AD20" s="107"/>
      <c r="AE20" s="107"/>
      <c r="AF20" s="118">
        <f t="shared" si="1"/>
        <v>0</v>
      </c>
    </row>
    <row r="21" spans="1:32" ht="11.25" customHeight="1" x14ac:dyDescent="0.2">
      <c r="A21" s="139"/>
      <c r="B21" s="151" t="s">
        <v>21</v>
      </c>
      <c r="C21" s="57" t="s">
        <v>89</v>
      </c>
      <c r="D21" s="59"/>
      <c r="E21" s="60"/>
      <c r="G21" s="355" t="s">
        <v>399</v>
      </c>
      <c r="H21" s="159"/>
      <c r="I21" s="109"/>
      <c r="J21" s="109"/>
      <c r="K21" s="109"/>
      <c r="L21" s="109"/>
      <c r="M21" s="109"/>
      <c r="N21" s="117"/>
      <c r="O21" s="117"/>
      <c r="P21" s="118">
        <f t="shared" si="3"/>
        <v>0</v>
      </c>
      <c r="Q21" s="109"/>
      <c r="R21" s="109"/>
      <c r="S21" s="109"/>
      <c r="T21" s="109"/>
      <c r="U21" s="109"/>
      <c r="V21" s="117"/>
      <c r="W21" s="117"/>
      <c r="X21" s="118">
        <f t="shared" si="0"/>
        <v>0</v>
      </c>
      <c r="Y21" s="109"/>
      <c r="Z21" s="109"/>
      <c r="AA21" s="109"/>
      <c r="AB21" s="109"/>
      <c r="AC21" s="109"/>
      <c r="AD21" s="107"/>
      <c r="AE21" s="107"/>
      <c r="AF21" s="118">
        <f t="shared" si="1"/>
        <v>0</v>
      </c>
    </row>
    <row r="22" spans="1:32" ht="11.25" customHeight="1" x14ac:dyDescent="0.2">
      <c r="A22" s="146" t="s">
        <v>91</v>
      </c>
      <c r="B22" s="415" t="s">
        <v>92</v>
      </c>
      <c r="C22" s="415"/>
      <c r="D22" s="415"/>
      <c r="E22" s="322"/>
      <c r="G22" s="355" t="s">
        <v>400</v>
      </c>
      <c r="H22" s="159"/>
      <c r="I22" s="119">
        <f>I23+I24</f>
        <v>0</v>
      </c>
      <c r="J22" s="119">
        <f t="shared" ref="J22:AE22" si="7">J23+J24</f>
        <v>0</v>
      </c>
      <c r="K22" s="119">
        <f t="shared" si="7"/>
        <v>0</v>
      </c>
      <c r="L22" s="119">
        <f t="shared" si="7"/>
        <v>0</v>
      </c>
      <c r="M22" s="119">
        <f t="shared" si="7"/>
        <v>0</v>
      </c>
      <c r="N22" s="119">
        <f t="shared" si="7"/>
        <v>0</v>
      </c>
      <c r="O22" s="119">
        <f t="shared" si="7"/>
        <v>0</v>
      </c>
      <c r="P22" s="118">
        <f t="shared" si="3"/>
        <v>0</v>
      </c>
      <c r="Q22" s="119">
        <f t="shared" si="7"/>
        <v>0</v>
      </c>
      <c r="R22" s="119">
        <f t="shared" si="7"/>
        <v>0</v>
      </c>
      <c r="S22" s="119">
        <f t="shared" si="7"/>
        <v>0</v>
      </c>
      <c r="T22" s="119">
        <f t="shared" si="7"/>
        <v>0</v>
      </c>
      <c r="U22" s="119">
        <f t="shared" si="7"/>
        <v>0</v>
      </c>
      <c r="V22" s="119">
        <f t="shared" si="7"/>
        <v>0</v>
      </c>
      <c r="W22" s="119">
        <f t="shared" si="7"/>
        <v>0</v>
      </c>
      <c r="X22" s="118">
        <f t="shared" si="0"/>
        <v>0</v>
      </c>
      <c r="Y22" s="119">
        <f t="shared" si="7"/>
        <v>0</v>
      </c>
      <c r="Z22" s="119">
        <f t="shared" si="7"/>
        <v>0</v>
      </c>
      <c r="AA22" s="119">
        <f t="shared" si="7"/>
        <v>0</v>
      </c>
      <c r="AB22" s="119">
        <f t="shared" si="7"/>
        <v>0</v>
      </c>
      <c r="AC22" s="119">
        <f t="shared" si="7"/>
        <v>0</v>
      </c>
      <c r="AD22" s="119">
        <f t="shared" si="7"/>
        <v>0</v>
      </c>
      <c r="AE22" s="119">
        <f t="shared" si="7"/>
        <v>0</v>
      </c>
      <c r="AF22" s="118">
        <f t="shared" si="1"/>
        <v>0</v>
      </c>
    </row>
    <row r="23" spans="1:32" ht="11.25" customHeight="1" x14ac:dyDescent="0.2">
      <c r="A23" s="139"/>
      <c r="B23" s="151" t="s">
        <v>18</v>
      </c>
      <c r="C23" s="57" t="s">
        <v>87</v>
      </c>
      <c r="D23" s="59"/>
      <c r="E23" s="60"/>
      <c r="G23" s="355" t="s">
        <v>401</v>
      </c>
      <c r="H23" s="159"/>
      <c r="I23" s="117"/>
      <c r="J23" s="117"/>
      <c r="K23" s="117"/>
      <c r="L23" s="117"/>
      <c r="M23" s="117"/>
      <c r="N23" s="117"/>
      <c r="O23" s="117"/>
      <c r="P23" s="118">
        <f t="shared" si="3"/>
        <v>0</v>
      </c>
      <c r="Q23" s="117"/>
      <c r="R23" s="117"/>
      <c r="S23" s="117"/>
      <c r="T23" s="117"/>
      <c r="U23" s="117"/>
      <c r="V23" s="117"/>
      <c r="W23" s="117"/>
      <c r="X23" s="118">
        <f t="shared" si="0"/>
        <v>0</v>
      </c>
      <c r="Y23" s="107"/>
      <c r="Z23" s="107"/>
      <c r="AA23" s="107"/>
      <c r="AB23" s="107"/>
      <c r="AC23" s="107"/>
      <c r="AD23" s="107"/>
      <c r="AE23" s="107"/>
      <c r="AF23" s="118">
        <f t="shared" si="1"/>
        <v>0</v>
      </c>
    </row>
    <row r="24" spans="1:32" ht="11.25" customHeight="1" x14ac:dyDescent="0.2">
      <c r="A24" s="145"/>
      <c r="B24" s="136" t="s">
        <v>21</v>
      </c>
      <c r="C24" s="63" t="s">
        <v>89</v>
      </c>
      <c r="D24" s="63"/>
      <c r="E24" s="60"/>
      <c r="G24" s="355" t="s">
        <v>402</v>
      </c>
      <c r="H24" s="159"/>
      <c r="I24" s="109"/>
      <c r="J24" s="109"/>
      <c r="K24" s="109"/>
      <c r="L24" s="109"/>
      <c r="M24" s="109"/>
      <c r="N24" s="117"/>
      <c r="O24" s="117"/>
      <c r="P24" s="118">
        <f t="shared" si="3"/>
        <v>0</v>
      </c>
      <c r="Q24" s="109"/>
      <c r="R24" s="109"/>
      <c r="S24" s="109"/>
      <c r="T24" s="109"/>
      <c r="U24" s="109"/>
      <c r="V24" s="117"/>
      <c r="W24" s="117"/>
      <c r="X24" s="118">
        <f t="shared" si="0"/>
        <v>0</v>
      </c>
      <c r="Y24" s="109"/>
      <c r="Z24" s="109"/>
      <c r="AA24" s="109"/>
      <c r="AB24" s="109"/>
      <c r="AC24" s="109"/>
      <c r="AD24" s="107"/>
      <c r="AE24" s="107"/>
      <c r="AF24" s="118">
        <f t="shared" si="1"/>
        <v>0</v>
      </c>
    </row>
    <row r="25" spans="1:32" ht="11.25" customHeight="1" x14ac:dyDescent="0.2">
      <c r="A25" s="319" t="s">
        <v>46</v>
      </c>
      <c r="B25" s="320"/>
      <c r="C25" s="320"/>
      <c r="D25" s="323"/>
      <c r="E25" s="97"/>
      <c r="G25" s="352" t="s">
        <v>34</v>
      </c>
      <c r="H25" s="160"/>
      <c r="I25" s="120">
        <f>I11+I13+I18+I19+I22</f>
        <v>0</v>
      </c>
      <c r="J25" s="120">
        <f t="shared" ref="J25:AE25" si="8">J11+J13+J18+J19+J22</f>
        <v>0</v>
      </c>
      <c r="K25" s="120">
        <f t="shared" si="8"/>
        <v>0</v>
      </c>
      <c r="L25" s="120">
        <f t="shared" si="8"/>
        <v>0</v>
      </c>
      <c r="M25" s="120">
        <f t="shared" si="8"/>
        <v>0</v>
      </c>
      <c r="N25" s="120">
        <f t="shared" si="8"/>
        <v>0</v>
      </c>
      <c r="O25" s="120">
        <f t="shared" si="8"/>
        <v>0</v>
      </c>
      <c r="P25" s="118">
        <f t="shared" si="3"/>
        <v>0</v>
      </c>
      <c r="Q25" s="120">
        <f t="shared" si="8"/>
        <v>0</v>
      </c>
      <c r="R25" s="120">
        <f t="shared" si="8"/>
        <v>0</v>
      </c>
      <c r="S25" s="120">
        <f t="shared" si="8"/>
        <v>0</v>
      </c>
      <c r="T25" s="120">
        <f t="shared" si="8"/>
        <v>0</v>
      </c>
      <c r="U25" s="120">
        <f t="shared" si="8"/>
        <v>0</v>
      </c>
      <c r="V25" s="120">
        <f t="shared" si="8"/>
        <v>0</v>
      </c>
      <c r="W25" s="120">
        <f t="shared" si="8"/>
        <v>0</v>
      </c>
      <c r="X25" s="118">
        <f t="shared" si="0"/>
        <v>0</v>
      </c>
      <c r="Y25" s="120">
        <f t="shared" si="8"/>
        <v>0</v>
      </c>
      <c r="Z25" s="120">
        <f t="shared" si="8"/>
        <v>0</v>
      </c>
      <c r="AA25" s="120">
        <f t="shared" si="8"/>
        <v>0</v>
      </c>
      <c r="AB25" s="120">
        <f t="shared" si="8"/>
        <v>0</v>
      </c>
      <c r="AC25" s="120">
        <f t="shared" si="8"/>
        <v>0</v>
      </c>
      <c r="AD25" s="120">
        <f t="shared" si="8"/>
        <v>0</v>
      </c>
      <c r="AE25" s="120">
        <f t="shared" si="8"/>
        <v>0</v>
      </c>
      <c r="AF25" s="118">
        <f t="shared" si="1"/>
        <v>0</v>
      </c>
    </row>
    <row r="26" spans="1:32" s="63" customFormat="1" ht="11.25" customHeight="1" x14ac:dyDescent="0.2">
      <c r="A26" s="332" t="s">
        <v>684</v>
      </c>
      <c r="B26" s="166"/>
      <c r="C26" s="166"/>
      <c r="D26" s="166"/>
      <c r="E26" s="166"/>
      <c r="G26" s="161" t="s">
        <v>48</v>
      </c>
      <c r="H26" s="162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</row>
    <row r="27" spans="1:32" ht="11.25" customHeight="1" x14ac:dyDescent="0.2">
      <c r="A27" s="450" t="s">
        <v>1</v>
      </c>
      <c r="B27" s="451"/>
      <c r="C27" s="451"/>
      <c r="D27" s="451"/>
      <c r="E27" s="324"/>
      <c r="G27" s="448" t="s">
        <v>2</v>
      </c>
      <c r="H27" s="156"/>
      <c r="I27" s="432" t="s">
        <v>403</v>
      </c>
      <c r="J27" s="433"/>
      <c r="K27" s="433"/>
      <c r="L27" s="433"/>
      <c r="M27" s="433"/>
      <c r="N27" s="433"/>
      <c r="O27" s="433"/>
      <c r="P27" s="433"/>
      <c r="Q27" s="433"/>
      <c r="R27" s="433"/>
      <c r="S27" s="433"/>
      <c r="T27" s="433"/>
      <c r="U27" s="433"/>
      <c r="V27" s="433"/>
      <c r="W27" s="433"/>
      <c r="X27" s="433"/>
      <c r="Y27" s="433"/>
      <c r="Z27" s="433"/>
      <c r="AA27" s="433"/>
      <c r="AB27" s="433"/>
      <c r="AC27" s="433"/>
      <c r="AD27" s="433"/>
      <c r="AE27" s="433"/>
      <c r="AF27" s="434"/>
    </row>
    <row r="28" spans="1:32" ht="11.25" customHeight="1" x14ac:dyDescent="0.2">
      <c r="A28" s="452"/>
      <c r="B28" s="453"/>
      <c r="C28" s="453"/>
      <c r="D28" s="453"/>
      <c r="E28" s="324"/>
      <c r="G28" s="448"/>
      <c r="H28" s="156"/>
      <c r="I28" s="456" t="s">
        <v>51</v>
      </c>
      <c r="J28" s="457"/>
      <c r="K28" s="457"/>
      <c r="L28" s="457"/>
      <c r="M28" s="457"/>
      <c r="N28" s="457"/>
      <c r="O28" s="457"/>
      <c r="P28" s="458"/>
      <c r="Q28" s="406" t="s">
        <v>53</v>
      </c>
      <c r="R28" s="406"/>
      <c r="S28" s="406"/>
      <c r="T28" s="406"/>
      <c r="U28" s="406"/>
      <c r="V28" s="406"/>
      <c r="W28" s="406"/>
      <c r="X28" s="406"/>
      <c r="Y28" s="441" t="s">
        <v>54</v>
      </c>
      <c r="Z28" s="446"/>
      <c r="AA28" s="446"/>
      <c r="AB28" s="446"/>
      <c r="AC28" s="446"/>
      <c r="AD28" s="446"/>
      <c r="AE28" s="446"/>
      <c r="AF28" s="442"/>
    </row>
    <row r="29" spans="1:32" ht="11.25" customHeight="1" x14ac:dyDescent="0.2">
      <c r="A29" s="452"/>
      <c r="B29" s="453"/>
      <c r="C29" s="453"/>
      <c r="D29" s="453"/>
      <c r="E29" s="324"/>
      <c r="G29" s="448"/>
      <c r="H29" s="155"/>
      <c r="I29" s="444" t="s">
        <v>55</v>
      </c>
      <c r="J29" s="441" t="s">
        <v>4</v>
      </c>
      <c r="K29" s="442"/>
      <c r="L29" s="441" t="s">
        <v>5</v>
      </c>
      <c r="M29" s="442"/>
      <c r="N29" s="441" t="s">
        <v>6</v>
      </c>
      <c r="O29" s="442"/>
      <c r="P29" s="444" t="s">
        <v>56</v>
      </c>
      <c r="Q29" s="406" t="s">
        <v>55</v>
      </c>
      <c r="R29" s="441" t="s">
        <v>4</v>
      </c>
      <c r="S29" s="442"/>
      <c r="T29" s="441" t="s">
        <v>5</v>
      </c>
      <c r="U29" s="442"/>
      <c r="V29" s="441" t="s">
        <v>6</v>
      </c>
      <c r="W29" s="442"/>
      <c r="X29" s="406" t="s">
        <v>56</v>
      </c>
      <c r="Y29" s="406" t="s">
        <v>55</v>
      </c>
      <c r="Z29" s="441" t="s">
        <v>4</v>
      </c>
      <c r="AA29" s="442"/>
      <c r="AB29" s="441" t="s">
        <v>5</v>
      </c>
      <c r="AC29" s="442"/>
      <c r="AD29" s="441" t="s">
        <v>6</v>
      </c>
      <c r="AE29" s="442"/>
      <c r="AF29" s="444" t="s">
        <v>56</v>
      </c>
    </row>
    <row r="30" spans="1:32" ht="11.25" customHeight="1" x14ac:dyDescent="0.2">
      <c r="A30" s="454"/>
      <c r="B30" s="455"/>
      <c r="C30" s="455"/>
      <c r="D30" s="455"/>
      <c r="E30" s="324"/>
      <c r="G30" s="449"/>
      <c r="H30" s="157"/>
      <c r="I30" s="445"/>
      <c r="J30" s="19" t="s">
        <v>11</v>
      </c>
      <c r="K30" s="158" t="s">
        <v>12</v>
      </c>
      <c r="L30" s="19" t="s">
        <v>11</v>
      </c>
      <c r="M30" s="158" t="s">
        <v>12</v>
      </c>
      <c r="N30" s="19" t="s">
        <v>11</v>
      </c>
      <c r="O30" s="158" t="s">
        <v>12</v>
      </c>
      <c r="P30" s="445"/>
      <c r="Q30" s="406"/>
      <c r="R30" s="19" t="s">
        <v>11</v>
      </c>
      <c r="S30" s="20" t="s">
        <v>12</v>
      </c>
      <c r="T30" s="19" t="s">
        <v>11</v>
      </c>
      <c r="U30" s="20" t="s">
        <v>12</v>
      </c>
      <c r="V30" s="19" t="s">
        <v>11</v>
      </c>
      <c r="W30" s="20" t="s">
        <v>12</v>
      </c>
      <c r="X30" s="406"/>
      <c r="Y30" s="406"/>
      <c r="Z30" s="19" t="s">
        <v>11</v>
      </c>
      <c r="AA30" s="20" t="s">
        <v>12</v>
      </c>
      <c r="AB30" s="19" t="s">
        <v>11</v>
      </c>
      <c r="AC30" s="20" t="s">
        <v>12</v>
      </c>
      <c r="AD30" s="19" t="s">
        <v>11</v>
      </c>
      <c r="AE30" s="20" t="s">
        <v>12</v>
      </c>
      <c r="AF30" s="445"/>
    </row>
    <row r="31" spans="1:32" ht="11.25" customHeight="1" x14ac:dyDescent="0.2">
      <c r="A31" s="141" t="s">
        <v>60</v>
      </c>
      <c r="B31" s="153"/>
      <c r="C31" s="167"/>
      <c r="D31" s="167"/>
      <c r="E31" s="168"/>
      <c r="G31" s="159"/>
      <c r="H31" s="159"/>
      <c r="I31" s="266"/>
      <c r="J31" s="266"/>
      <c r="K31" s="266"/>
      <c r="L31" s="266"/>
      <c r="M31" s="266"/>
      <c r="N31" s="266"/>
      <c r="O31" s="266"/>
      <c r="P31" s="266">
        <f>I31+K31+M31+O31</f>
        <v>0</v>
      </c>
      <c r="Q31" s="266"/>
      <c r="R31" s="266"/>
      <c r="S31" s="266"/>
      <c r="T31" s="266"/>
      <c r="U31" s="266"/>
      <c r="V31" s="266"/>
      <c r="W31" s="266"/>
      <c r="X31" s="266">
        <f t="shared" ref="X31:X46" si="9">Q31+S31+U31+W31</f>
        <v>0</v>
      </c>
      <c r="Y31" s="267"/>
      <c r="Z31" s="267"/>
      <c r="AA31" s="267"/>
      <c r="AB31" s="267"/>
      <c r="AC31" s="267"/>
      <c r="AD31" s="267"/>
      <c r="AE31" s="267"/>
      <c r="AF31" s="266">
        <f t="shared" ref="AF31:AF46" si="10">Y31+AA31+AC31+AE31</f>
        <v>0</v>
      </c>
    </row>
    <row r="32" spans="1:32" ht="11.25" customHeight="1" x14ac:dyDescent="0.2">
      <c r="A32" s="139" t="s">
        <v>62</v>
      </c>
      <c r="B32" s="148" t="s">
        <v>63</v>
      </c>
      <c r="C32" s="56"/>
      <c r="D32" s="89"/>
      <c r="E32" s="88"/>
      <c r="G32" s="355" t="s">
        <v>385</v>
      </c>
      <c r="H32" s="159"/>
      <c r="I32" s="103">
        <f t="shared" ref="I32:O32" si="11">I33</f>
        <v>0</v>
      </c>
      <c r="J32" s="103">
        <f t="shared" si="11"/>
        <v>0</v>
      </c>
      <c r="K32" s="103">
        <f t="shared" si="11"/>
        <v>0</v>
      </c>
      <c r="L32" s="103">
        <f t="shared" si="11"/>
        <v>0</v>
      </c>
      <c r="M32" s="103">
        <f t="shared" si="11"/>
        <v>0</v>
      </c>
      <c r="N32" s="103">
        <f t="shared" si="11"/>
        <v>0</v>
      </c>
      <c r="O32" s="103">
        <f t="shared" si="11"/>
        <v>0</v>
      </c>
      <c r="P32" s="118">
        <f t="shared" ref="P32:P46" si="12">I32+K32+M32+O32</f>
        <v>0</v>
      </c>
      <c r="Q32" s="103">
        <f t="shared" ref="Q32:W32" si="13">Q33</f>
        <v>0</v>
      </c>
      <c r="R32" s="103">
        <f t="shared" si="13"/>
        <v>0</v>
      </c>
      <c r="S32" s="103">
        <f t="shared" si="13"/>
        <v>0</v>
      </c>
      <c r="T32" s="103">
        <f t="shared" si="13"/>
        <v>0</v>
      </c>
      <c r="U32" s="103">
        <f t="shared" si="13"/>
        <v>0</v>
      </c>
      <c r="V32" s="103">
        <f t="shared" si="13"/>
        <v>0</v>
      </c>
      <c r="W32" s="103">
        <f t="shared" si="13"/>
        <v>0</v>
      </c>
      <c r="X32" s="118">
        <f t="shared" si="9"/>
        <v>0</v>
      </c>
      <c r="Y32" s="103">
        <f t="shared" ref="Y32:AE32" si="14">Y33</f>
        <v>0</v>
      </c>
      <c r="Z32" s="103">
        <f t="shared" si="14"/>
        <v>0</v>
      </c>
      <c r="AA32" s="103">
        <f t="shared" si="14"/>
        <v>0</v>
      </c>
      <c r="AB32" s="103">
        <f t="shared" si="14"/>
        <v>0</v>
      </c>
      <c r="AC32" s="103">
        <f t="shared" si="14"/>
        <v>0</v>
      </c>
      <c r="AD32" s="103">
        <f t="shared" si="14"/>
        <v>0</v>
      </c>
      <c r="AE32" s="103">
        <f t="shared" si="14"/>
        <v>0</v>
      </c>
      <c r="AF32" s="118">
        <f t="shared" si="10"/>
        <v>0</v>
      </c>
    </row>
    <row r="33" spans="1:32" ht="11.25" customHeight="1" x14ac:dyDescent="0.2">
      <c r="A33" s="145"/>
      <c r="B33" s="134" t="s">
        <v>65</v>
      </c>
      <c r="C33" s="134" t="s">
        <v>66</v>
      </c>
      <c r="D33" s="18"/>
      <c r="E33" s="33"/>
      <c r="G33" s="355" t="s">
        <v>386</v>
      </c>
      <c r="H33" s="159"/>
      <c r="I33" s="117"/>
      <c r="J33" s="117"/>
      <c r="K33" s="117"/>
      <c r="L33" s="117"/>
      <c r="M33" s="117"/>
      <c r="N33" s="117"/>
      <c r="O33" s="117"/>
      <c r="P33" s="118">
        <f t="shared" si="12"/>
        <v>0</v>
      </c>
      <c r="Q33" s="117"/>
      <c r="R33" s="117"/>
      <c r="S33" s="117"/>
      <c r="T33" s="117"/>
      <c r="U33" s="117"/>
      <c r="V33" s="117"/>
      <c r="W33" s="117"/>
      <c r="X33" s="118">
        <f t="shared" si="9"/>
        <v>0</v>
      </c>
      <c r="Y33" s="117"/>
      <c r="Z33" s="117"/>
      <c r="AA33" s="117"/>
      <c r="AB33" s="117"/>
      <c r="AC33" s="117"/>
      <c r="AD33" s="117"/>
      <c r="AE33" s="117"/>
      <c r="AF33" s="118">
        <f t="shared" si="10"/>
        <v>0</v>
      </c>
    </row>
    <row r="34" spans="1:32" ht="11.25" customHeight="1" x14ac:dyDescent="0.2">
      <c r="A34" s="139" t="s">
        <v>68</v>
      </c>
      <c r="B34" s="148" t="s">
        <v>387</v>
      </c>
      <c r="C34" s="57"/>
      <c r="D34" s="59"/>
      <c r="E34" s="60"/>
      <c r="G34" s="352" t="s">
        <v>388</v>
      </c>
      <c r="H34" s="112"/>
      <c r="I34" s="103">
        <f t="shared" ref="I34:O34" si="15">I35+I38</f>
        <v>0</v>
      </c>
      <c r="J34" s="103">
        <f t="shared" si="15"/>
        <v>0</v>
      </c>
      <c r="K34" s="103">
        <f t="shared" si="15"/>
        <v>0</v>
      </c>
      <c r="L34" s="103">
        <f t="shared" si="15"/>
        <v>0</v>
      </c>
      <c r="M34" s="103">
        <f t="shared" si="15"/>
        <v>0</v>
      </c>
      <c r="N34" s="103">
        <f t="shared" si="15"/>
        <v>0</v>
      </c>
      <c r="O34" s="103">
        <f t="shared" si="15"/>
        <v>0</v>
      </c>
      <c r="P34" s="118">
        <f t="shared" si="12"/>
        <v>0</v>
      </c>
      <c r="Q34" s="103">
        <f t="shared" ref="Q34:W34" si="16">Q35+Q38</f>
        <v>0</v>
      </c>
      <c r="R34" s="103">
        <f t="shared" si="16"/>
        <v>0</v>
      </c>
      <c r="S34" s="103">
        <f t="shared" si="16"/>
        <v>0</v>
      </c>
      <c r="T34" s="103">
        <f t="shared" si="16"/>
        <v>0</v>
      </c>
      <c r="U34" s="103">
        <f t="shared" si="16"/>
        <v>0</v>
      </c>
      <c r="V34" s="103">
        <f t="shared" si="16"/>
        <v>0</v>
      </c>
      <c r="W34" s="103">
        <f t="shared" si="16"/>
        <v>0</v>
      </c>
      <c r="X34" s="118">
        <f t="shared" si="9"/>
        <v>0</v>
      </c>
      <c r="Y34" s="103">
        <f t="shared" ref="Y34:AE34" si="17">Y35+Y38</f>
        <v>0</v>
      </c>
      <c r="Z34" s="103">
        <f t="shared" si="17"/>
        <v>0</v>
      </c>
      <c r="AA34" s="103">
        <f t="shared" si="17"/>
        <v>0</v>
      </c>
      <c r="AB34" s="103">
        <f t="shared" si="17"/>
        <v>0</v>
      </c>
      <c r="AC34" s="103">
        <f t="shared" si="17"/>
        <v>0</v>
      </c>
      <c r="AD34" s="103">
        <f t="shared" si="17"/>
        <v>0</v>
      </c>
      <c r="AE34" s="103">
        <f t="shared" si="17"/>
        <v>0</v>
      </c>
      <c r="AF34" s="118">
        <f t="shared" si="10"/>
        <v>0</v>
      </c>
    </row>
    <row r="35" spans="1:32" ht="11.25" customHeight="1" x14ac:dyDescent="0.2">
      <c r="A35" s="145"/>
      <c r="B35" s="133">
        <v>-1</v>
      </c>
      <c r="C35" s="63" t="s">
        <v>389</v>
      </c>
      <c r="D35" s="63"/>
      <c r="E35" s="60"/>
      <c r="G35" s="352" t="s">
        <v>390</v>
      </c>
      <c r="H35" s="112"/>
      <c r="I35" s="103">
        <f t="shared" ref="I35:O35" si="18">I36+I37</f>
        <v>0</v>
      </c>
      <c r="J35" s="103">
        <f t="shared" si="18"/>
        <v>0</v>
      </c>
      <c r="K35" s="103">
        <f t="shared" si="18"/>
        <v>0</v>
      </c>
      <c r="L35" s="103">
        <f t="shared" si="18"/>
        <v>0</v>
      </c>
      <c r="M35" s="103">
        <f t="shared" si="18"/>
        <v>0</v>
      </c>
      <c r="N35" s="103">
        <f t="shared" si="18"/>
        <v>0</v>
      </c>
      <c r="O35" s="103">
        <f t="shared" si="18"/>
        <v>0</v>
      </c>
      <c r="P35" s="118">
        <f t="shared" si="12"/>
        <v>0</v>
      </c>
      <c r="Q35" s="103">
        <f t="shared" ref="Q35:W35" si="19">Q36+Q37</f>
        <v>0</v>
      </c>
      <c r="R35" s="103">
        <f t="shared" si="19"/>
        <v>0</v>
      </c>
      <c r="S35" s="103">
        <f t="shared" si="19"/>
        <v>0</v>
      </c>
      <c r="T35" s="103">
        <f t="shared" si="19"/>
        <v>0</v>
      </c>
      <c r="U35" s="103">
        <f t="shared" si="19"/>
        <v>0</v>
      </c>
      <c r="V35" s="103">
        <f t="shared" si="19"/>
        <v>0</v>
      </c>
      <c r="W35" s="103">
        <f t="shared" si="19"/>
        <v>0</v>
      </c>
      <c r="X35" s="118">
        <f t="shared" si="9"/>
        <v>0</v>
      </c>
      <c r="Y35" s="103">
        <f t="shared" ref="Y35:AE35" si="20">Y36+Y37</f>
        <v>0</v>
      </c>
      <c r="Z35" s="103">
        <f t="shared" si="20"/>
        <v>0</v>
      </c>
      <c r="AA35" s="103">
        <f t="shared" si="20"/>
        <v>0</v>
      </c>
      <c r="AB35" s="103">
        <f t="shared" si="20"/>
        <v>0</v>
      </c>
      <c r="AC35" s="103">
        <f t="shared" si="20"/>
        <v>0</v>
      </c>
      <c r="AD35" s="103">
        <f t="shared" si="20"/>
        <v>0</v>
      </c>
      <c r="AE35" s="103">
        <f t="shared" si="20"/>
        <v>0</v>
      </c>
      <c r="AF35" s="118">
        <f t="shared" si="10"/>
        <v>0</v>
      </c>
    </row>
    <row r="36" spans="1:32" ht="11.25" customHeight="1" x14ac:dyDescent="0.2">
      <c r="A36" s="139"/>
      <c r="B36" s="148"/>
      <c r="C36" s="57" t="s">
        <v>391</v>
      </c>
      <c r="D36" s="59" t="s">
        <v>74</v>
      </c>
      <c r="E36" s="60"/>
      <c r="G36" s="352" t="s">
        <v>392</v>
      </c>
      <c r="H36" s="112"/>
      <c r="I36" s="117"/>
      <c r="J36" s="117"/>
      <c r="K36" s="117"/>
      <c r="L36" s="117"/>
      <c r="M36" s="117"/>
      <c r="N36" s="117"/>
      <c r="O36" s="117"/>
      <c r="P36" s="118">
        <f t="shared" si="12"/>
        <v>0</v>
      </c>
      <c r="Q36" s="117"/>
      <c r="R36" s="117"/>
      <c r="S36" s="117"/>
      <c r="T36" s="117"/>
      <c r="U36" s="117"/>
      <c r="V36" s="117"/>
      <c r="W36" s="117"/>
      <c r="X36" s="118">
        <f t="shared" si="9"/>
        <v>0</v>
      </c>
      <c r="Y36" s="107"/>
      <c r="Z36" s="107"/>
      <c r="AA36" s="107"/>
      <c r="AB36" s="107"/>
      <c r="AC36" s="107"/>
      <c r="AD36" s="107"/>
      <c r="AE36" s="107"/>
      <c r="AF36" s="118">
        <f t="shared" si="10"/>
        <v>0</v>
      </c>
    </row>
    <row r="37" spans="1:32" ht="11.25" customHeight="1" x14ac:dyDescent="0.2">
      <c r="A37" s="145"/>
      <c r="B37" s="133"/>
      <c r="C37" s="63" t="s">
        <v>393</v>
      </c>
      <c r="D37" s="63" t="s">
        <v>76</v>
      </c>
      <c r="E37" s="60"/>
      <c r="G37" s="352" t="s">
        <v>394</v>
      </c>
      <c r="H37" s="112"/>
      <c r="I37" s="117"/>
      <c r="J37" s="117"/>
      <c r="K37" s="117"/>
      <c r="L37" s="117"/>
      <c r="M37" s="117"/>
      <c r="N37" s="117"/>
      <c r="O37" s="117"/>
      <c r="P37" s="118">
        <f t="shared" si="12"/>
        <v>0</v>
      </c>
      <c r="Q37" s="117"/>
      <c r="R37" s="117"/>
      <c r="S37" s="117"/>
      <c r="T37" s="117"/>
      <c r="U37" s="117"/>
      <c r="V37" s="117"/>
      <c r="W37" s="117"/>
      <c r="X37" s="118">
        <f t="shared" si="9"/>
        <v>0</v>
      </c>
      <c r="Y37" s="107"/>
      <c r="Z37" s="107"/>
      <c r="AA37" s="107"/>
      <c r="AB37" s="107"/>
      <c r="AC37" s="107"/>
      <c r="AD37" s="107"/>
      <c r="AE37" s="107"/>
      <c r="AF37" s="118">
        <f t="shared" si="10"/>
        <v>0</v>
      </c>
    </row>
    <row r="38" spans="1:32" ht="11.25" customHeight="1" x14ac:dyDescent="0.2">
      <c r="A38" s="139"/>
      <c r="B38" s="148">
        <f>B35-1</f>
        <v>-2</v>
      </c>
      <c r="C38" s="57" t="s">
        <v>79</v>
      </c>
      <c r="D38" s="59"/>
      <c r="E38" s="60"/>
      <c r="G38" s="352" t="s">
        <v>395</v>
      </c>
      <c r="H38" s="112"/>
      <c r="I38" s="117"/>
      <c r="J38" s="117"/>
      <c r="K38" s="117"/>
      <c r="L38" s="117"/>
      <c r="M38" s="117"/>
      <c r="N38" s="117"/>
      <c r="O38" s="117"/>
      <c r="P38" s="118">
        <f t="shared" si="12"/>
        <v>0</v>
      </c>
      <c r="Q38" s="117"/>
      <c r="R38" s="117"/>
      <c r="S38" s="117"/>
      <c r="T38" s="117"/>
      <c r="U38" s="117"/>
      <c r="V38" s="117"/>
      <c r="W38" s="117"/>
      <c r="X38" s="118">
        <f t="shared" si="9"/>
        <v>0</v>
      </c>
      <c r="Y38" s="107"/>
      <c r="Z38" s="107"/>
      <c r="AA38" s="107"/>
      <c r="AB38" s="107"/>
      <c r="AC38" s="107"/>
      <c r="AD38" s="107"/>
      <c r="AE38" s="107"/>
      <c r="AF38" s="118">
        <f t="shared" si="10"/>
        <v>0</v>
      </c>
    </row>
    <row r="39" spans="1:32" ht="11.25" customHeight="1" x14ac:dyDescent="0.2">
      <c r="A39" s="145" t="s">
        <v>81</v>
      </c>
      <c r="B39" s="63" t="s">
        <v>82</v>
      </c>
      <c r="C39" s="63"/>
      <c r="D39" s="63"/>
      <c r="E39" s="60"/>
      <c r="G39" s="352" t="s">
        <v>396</v>
      </c>
      <c r="H39" s="112"/>
      <c r="I39" s="117"/>
      <c r="J39" s="117"/>
      <c r="K39" s="117"/>
      <c r="L39" s="117"/>
      <c r="M39" s="117"/>
      <c r="N39" s="117"/>
      <c r="O39" s="117"/>
      <c r="P39" s="118">
        <f t="shared" si="12"/>
        <v>0</v>
      </c>
      <c r="Q39" s="117"/>
      <c r="R39" s="117"/>
      <c r="S39" s="117"/>
      <c r="T39" s="117"/>
      <c r="U39" s="117"/>
      <c r="V39" s="117"/>
      <c r="W39" s="117"/>
      <c r="X39" s="118">
        <f t="shared" si="9"/>
        <v>0</v>
      </c>
      <c r="Y39" s="107"/>
      <c r="Z39" s="107"/>
      <c r="AA39" s="107"/>
      <c r="AB39" s="107"/>
      <c r="AC39" s="107"/>
      <c r="AD39" s="107"/>
      <c r="AE39" s="107"/>
      <c r="AF39" s="118">
        <f t="shared" si="10"/>
        <v>0</v>
      </c>
    </row>
    <row r="40" spans="1:32" ht="11.25" customHeight="1" x14ac:dyDescent="0.2">
      <c r="A40" s="150" t="s">
        <v>84</v>
      </c>
      <c r="B40" s="415" t="s">
        <v>85</v>
      </c>
      <c r="C40" s="415"/>
      <c r="D40" s="415"/>
      <c r="E40" s="321"/>
      <c r="G40" s="352" t="s">
        <v>397</v>
      </c>
      <c r="H40" s="112"/>
      <c r="I40" s="119">
        <f t="shared" ref="I40:O40" si="21">I41+I42</f>
        <v>0</v>
      </c>
      <c r="J40" s="119">
        <f t="shared" si="21"/>
        <v>0</v>
      </c>
      <c r="K40" s="119">
        <f t="shared" si="21"/>
        <v>0</v>
      </c>
      <c r="L40" s="119">
        <f t="shared" si="21"/>
        <v>0</v>
      </c>
      <c r="M40" s="119">
        <f t="shared" si="21"/>
        <v>0</v>
      </c>
      <c r="N40" s="119">
        <f t="shared" si="21"/>
        <v>0</v>
      </c>
      <c r="O40" s="119">
        <f t="shared" si="21"/>
        <v>0</v>
      </c>
      <c r="P40" s="118">
        <f t="shared" si="12"/>
        <v>0</v>
      </c>
      <c r="Q40" s="119">
        <f t="shared" ref="Q40:W40" si="22">Q41+Q42</f>
        <v>0</v>
      </c>
      <c r="R40" s="119">
        <f t="shared" si="22"/>
        <v>0</v>
      </c>
      <c r="S40" s="119">
        <f t="shared" si="22"/>
        <v>0</v>
      </c>
      <c r="T40" s="119">
        <f t="shared" si="22"/>
        <v>0</v>
      </c>
      <c r="U40" s="119">
        <f t="shared" si="22"/>
        <v>0</v>
      </c>
      <c r="V40" s="119">
        <f t="shared" si="22"/>
        <v>0</v>
      </c>
      <c r="W40" s="119">
        <f t="shared" si="22"/>
        <v>0</v>
      </c>
      <c r="X40" s="118">
        <f t="shared" si="9"/>
        <v>0</v>
      </c>
      <c r="Y40" s="119">
        <f t="shared" ref="Y40:AE40" si="23">Y41+Y42</f>
        <v>0</v>
      </c>
      <c r="Z40" s="119">
        <f t="shared" si="23"/>
        <v>0</v>
      </c>
      <c r="AA40" s="119">
        <f t="shared" si="23"/>
        <v>0</v>
      </c>
      <c r="AB40" s="119">
        <f t="shared" si="23"/>
        <v>0</v>
      </c>
      <c r="AC40" s="119">
        <f t="shared" si="23"/>
        <v>0</v>
      </c>
      <c r="AD40" s="119">
        <f t="shared" si="23"/>
        <v>0</v>
      </c>
      <c r="AE40" s="119">
        <f t="shared" si="23"/>
        <v>0</v>
      </c>
      <c r="AF40" s="118">
        <f t="shared" si="10"/>
        <v>0</v>
      </c>
    </row>
    <row r="41" spans="1:32" ht="11.25" customHeight="1" x14ac:dyDescent="0.2">
      <c r="A41" s="145"/>
      <c r="B41" s="136" t="s">
        <v>18</v>
      </c>
      <c r="C41" s="63" t="s">
        <v>87</v>
      </c>
      <c r="D41" s="63"/>
      <c r="E41" s="60"/>
      <c r="G41" s="352" t="s">
        <v>398</v>
      </c>
      <c r="H41" s="112"/>
      <c r="I41" s="117"/>
      <c r="J41" s="117"/>
      <c r="K41" s="117"/>
      <c r="L41" s="117"/>
      <c r="M41" s="117"/>
      <c r="N41" s="117"/>
      <c r="O41" s="117"/>
      <c r="P41" s="118">
        <f t="shared" si="12"/>
        <v>0</v>
      </c>
      <c r="Q41" s="117"/>
      <c r="R41" s="117"/>
      <c r="S41" s="117"/>
      <c r="T41" s="117"/>
      <c r="U41" s="117"/>
      <c r="V41" s="117"/>
      <c r="W41" s="117"/>
      <c r="X41" s="118">
        <f t="shared" si="9"/>
        <v>0</v>
      </c>
      <c r="Y41" s="107"/>
      <c r="Z41" s="107"/>
      <c r="AA41" s="107"/>
      <c r="AB41" s="107"/>
      <c r="AC41" s="107"/>
      <c r="AD41" s="107"/>
      <c r="AE41" s="107"/>
      <c r="AF41" s="118">
        <f t="shared" si="10"/>
        <v>0</v>
      </c>
    </row>
    <row r="42" spans="1:32" ht="11.25" customHeight="1" x14ac:dyDescent="0.2">
      <c r="A42" s="139"/>
      <c r="B42" s="151" t="s">
        <v>21</v>
      </c>
      <c r="C42" s="57" t="s">
        <v>89</v>
      </c>
      <c r="D42" s="59"/>
      <c r="E42" s="60"/>
      <c r="G42" s="352" t="s">
        <v>399</v>
      </c>
      <c r="H42" s="112"/>
      <c r="I42" s="109"/>
      <c r="J42" s="109"/>
      <c r="K42" s="109"/>
      <c r="L42" s="109"/>
      <c r="M42" s="109"/>
      <c r="N42" s="117"/>
      <c r="O42" s="117"/>
      <c r="P42" s="118">
        <f t="shared" si="12"/>
        <v>0</v>
      </c>
      <c r="Q42" s="109"/>
      <c r="R42" s="109"/>
      <c r="S42" s="109"/>
      <c r="T42" s="109"/>
      <c r="U42" s="109"/>
      <c r="V42" s="117"/>
      <c r="W42" s="117"/>
      <c r="X42" s="118">
        <f t="shared" si="9"/>
        <v>0</v>
      </c>
      <c r="Y42" s="109"/>
      <c r="Z42" s="109"/>
      <c r="AA42" s="109"/>
      <c r="AB42" s="109"/>
      <c r="AC42" s="109"/>
      <c r="AD42" s="107"/>
      <c r="AE42" s="107"/>
      <c r="AF42" s="118">
        <f t="shared" si="10"/>
        <v>0</v>
      </c>
    </row>
    <row r="43" spans="1:32" ht="11.25" customHeight="1" x14ac:dyDescent="0.2">
      <c r="A43" s="146" t="s">
        <v>91</v>
      </c>
      <c r="B43" s="415" t="s">
        <v>92</v>
      </c>
      <c r="C43" s="415"/>
      <c r="D43" s="415"/>
      <c r="E43" s="322"/>
      <c r="G43" s="352" t="s">
        <v>400</v>
      </c>
      <c r="H43" s="112"/>
      <c r="I43" s="119">
        <f t="shared" ref="I43:O43" si="24">I44+I45</f>
        <v>0</v>
      </c>
      <c r="J43" s="119">
        <f t="shared" si="24"/>
        <v>0</v>
      </c>
      <c r="K43" s="119">
        <f t="shared" si="24"/>
        <v>0</v>
      </c>
      <c r="L43" s="119">
        <f t="shared" si="24"/>
        <v>0</v>
      </c>
      <c r="M43" s="119">
        <f t="shared" si="24"/>
        <v>0</v>
      </c>
      <c r="N43" s="119">
        <f t="shared" si="24"/>
        <v>0</v>
      </c>
      <c r="O43" s="119">
        <f t="shared" si="24"/>
        <v>0</v>
      </c>
      <c r="P43" s="118">
        <f t="shared" si="12"/>
        <v>0</v>
      </c>
      <c r="Q43" s="119">
        <f t="shared" ref="Q43:W43" si="25">Q44+Q45</f>
        <v>0</v>
      </c>
      <c r="R43" s="119">
        <f t="shared" si="25"/>
        <v>0</v>
      </c>
      <c r="S43" s="119">
        <f t="shared" si="25"/>
        <v>0</v>
      </c>
      <c r="T43" s="119">
        <f t="shared" si="25"/>
        <v>0</v>
      </c>
      <c r="U43" s="119">
        <f t="shared" si="25"/>
        <v>0</v>
      </c>
      <c r="V43" s="119">
        <f t="shared" si="25"/>
        <v>0</v>
      </c>
      <c r="W43" s="119">
        <f t="shared" si="25"/>
        <v>0</v>
      </c>
      <c r="X43" s="118">
        <f t="shared" si="9"/>
        <v>0</v>
      </c>
      <c r="Y43" s="119">
        <f t="shared" ref="Y43:AE43" si="26">Y44+Y45</f>
        <v>0</v>
      </c>
      <c r="Z43" s="119">
        <f t="shared" si="26"/>
        <v>0</v>
      </c>
      <c r="AA43" s="119">
        <f t="shared" si="26"/>
        <v>0</v>
      </c>
      <c r="AB43" s="119">
        <f t="shared" si="26"/>
        <v>0</v>
      </c>
      <c r="AC43" s="119">
        <f t="shared" si="26"/>
        <v>0</v>
      </c>
      <c r="AD43" s="119">
        <f t="shared" si="26"/>
        <v>0</v>
      </c>
      <c r="AE43" s="119">
        <f t="shared" si="26"/>
        <v>0</v>
      </c>
      <c r="AF43" s="118">
        <f t="shared" si="10"/>
        <v>0</v>
      </c>
    </row>
    <row r="44" spans="1:32" ht="11.25" customHeight="1" x14ac:dyDescent="0.2">
      <c r="A44" s="139"/>
      <c r="B44" s="151" t="s">
        <v>18</v>
      </c>
      <c r="C44" s="57" t="s">
        <v>87</v>
      </c>
      <c r="D44" s="59"/>
      <c r="E44" s="60"/>
      <c r="G44" s="352" t="s">
        <v>401</v>
      </c>
      <c r="H44" s="112"/>
      <c r="I44" s="117"/>
      <c r="J44" s="117"/>
      <c r="K44" s="117"/>
      <c r="L44" s="117"/>
      <c r="M44" s="117"/>
      <c r="N44" s="117"/>
      <c r="O44" s="117"/>
      <c r="P44" s="118">
        <f t="shared" si="12"/>
        <v>0</v>
      </c>
      <c r="Q44" s="117"/>
      <c r="R44" s="117"/>
      <c r="S44" s="117"/>
      <c r="T44" s="117"/>
      <c r="U44" s="117"/>
      <c r="V44" s="117"/>
      <c r="W44" s="117"/>
      <c r="X44" s="118">
        <f t="shared" si="9"/>
        <v>0</v>
      </c>
      <c r="Y44" s="107"/>
      <c r="Z44" s="107"/>
      <c r="AA44" s="107"/>
      <c r="AB44" s="107"/>
      <c r="AC44" s="107"/>
      <c r="AD44" s="107"/>
      <c r="AE44" s="107"/>
      <c r="AF44" s="118">
        <f t="shared" si="10"/>
        <v>0</v>
      </c>
    </row>
    <row r="45" spans="1:32" ht="11.25" customHeight="1" x14ac:dyDescent="0.2">
      <c r="A45" s="93"/>
      <c r="B45" s="169" t="s">
        <v>21</v>
      </c>
      <c r="C45" s="166" t="s">
        <v>89</v>
      </c>
      <c r="D45" s="166"/>
      <c r="E45" s="97"/>
      <c r="G45" s="352" t="s">
        <v>402</v>
      </c>
      <c r="H45" s="112"/>
      <c r="I45" s="109"/>
      <c r="J45" s="109"/>
      <c r="K45" s="109"/>
      <c r="L45" s="109"/>
      <c r="M45" s="109"/>
      <c r="N45" s="117"/>
      <c r="O45" s="117"/>
      <c r="P45" s="118">
        <f t="shared" si="12"/>
        <v>0</v>
      </c>
      <c r="Q45" s="109"/>
      <c r="R45" s="109"/>
      <c r="S45" s="109"/>
      <c r="T45" s="109"/>
      <c r="U45" s="109"/>
      <c r="V45" s="117"/>
      <c r="W45" s="117"/>
      <c r="X45" s="118">
        <f t="shared" si="9"/>
        <v>0</v>
      </c>
      <c r="Y45" s="109"/>
      <c r="Z45" s="109"/>
      <c r="AA45" s="109"/>
      <c r="AB45" s="109"/>
      <c r="AC45" s="109"/>
      <c r="AD45" s="107"/>
      <c r="AE45" s="107"/>
      <c r="AF45" s="118">
        <f t="shared" si="10"/>
        <v>0</v>
      </c>
    </row>
    <row r="46" spans="1:32" ht="11.25" customHeight="1" x14ac:dyDescent="0.2">
      <c r="A46" s="319" t="s">
        <v>46</v>
      </c>
      <c r="B46" s="320"/>
      <c r="C46" s="320"/>
      <c r="D46" s="320"/>
      <c r="E46" s="97"/>
      <c r="G46" s="352" t="s">
        <v>34</v>
      </c>
      <c r="H46" s="140"/>
      <c r="I46" s="103">
        <f t="shared" ref="I46:O46" si="27">I32+I34+I39+I40+I43</f>
        <v>0</v>
      </c>
      <c r="J46" s="260">
        <f t="shared" si="27"/>
        <v>0</v>
      </c>
      <c r="K46" s="260">
        <f t="shared" si="27"/>
        <v>0</v>
      </c>
      <c r="L46" s="260">
        <f t="shared" si="27"/>
        <v>0</v>
      </c>
      <c r="M46" s="260">
        <f t="shared" si="27"/>
        <v>0</v>
      </c>
      <c r="N46" s="260">
        <f t="shared" si="27"/>
        <v>0</v>
      </c>
      <c r="O46" s="260">
        <f t="shared" si="27"/>
        <v>0</v>
      </c>
      <c r="P46" s="118">
        <f t="shared" si="12"/>
        <v>0</v>
      </c>
      <c r="Q46" s="260">
        <f t="shared" ref="Q46:W46" si="28">Q32+Q34+Q39+Q40+Q43</f>
        <v>0</v>
      </c>
      <c r="R46" s="260">
        <f t="shared" si="28"/>
        <v>0</v>
      </c>
      <c r="S46" s="260">
        <f t="shared" si="28"/>
        <v>0</v>
      </c>
      <c r="T46" s="260">
        <f t="shared" si="28"/>
        <v>0</v>
      </c>
      <c r="U46" s="260">
        <f t="shared" si="28"/>
        <v>0</v>
      </c>
      <c r="V46" s="260">
        <f t="shared" si="28"/>
        <v>0</v>
      </c>
      <c r="W46" s="260">
        <f t="shared" si="28"/>
        <v>0</v>
      </c>
      <c r="X46" s="118">
        <f t="shared" si="9"/>
        <v>0</v>
      </c>
      <c r="Y46" s="260">
        <f t="shared" ref="Y46:AE46" si="29">Y32+Y34+Y39+Y40+Y43</f>
        <v>0</v>
      </c>
      <c r="Z46" s="260">
        <f t="shared" si="29"/>
        <v>0</v>
      </c>
      <c r="AA46" s="260">
        <f t="shared" si="29"/>
        <v>0</v>
      </c>
      <c r="AB46" s="260">
        <f t="shared" si="29"/>
        <v>0</v>
      </c>
      <c r="AC46" s="260">
        <f t="shared" si="29"/>
        <v>0</v>
      </c>
      <c r="AD46" s="260">
        <f t="shared" si="29"/>
        <v>0</v>
      </c>
      <c r="AE46" s="260">
        <f t="shared" si="29"/>
        <v>0</v>
      </c>
      <c r="AF46" s="118">
        <f t="shared" si="10"/>
        <v>0</v>
      </c>
    </row>
    <row r="47" spans="1:32" ht="11.25" customHeight="1" x14ac:dyDescent="0.2">
      <c r="G47" s="163" t="s">
        <v>48</v>
      </c>
    </row>
    <row r="124" spans="6:6" ht="11.25" customHeight="1" x14ac:dyDescent="0.2">
      <c r="F124" s="165" t="s">
        <v>404</v>
      </c>
    </row>
    <row r="125" spans="6:6" ht="11.25" customHeight="1" x14ac:dyDescent="0.2">
      <c r="F125" s="165"/>
    </row>
    <row r="126" spans="6:6" ht="11.25" customHeight="1" x14ac:dyDescent="0.2">
      <c r="F126" s="165"/>
    </row>
    <row r="127" spans="6:6" ht="11.25" customHeight="1" x14ac:dyDescent="0.2">
      <c r="F127" s="165" t="s">
        <v>404</v>
      </c>
    </row>
  </sheetData>
  <sheetProtection password="ACC5" sheet="1" objects="1" scenarios="1" selectLockedCells="1"/>
  <mergeCells count="51">
    <mergeCell ref="L29:M29"/>
    <mergeCell ref="P29:P30"/>
    <mergeCell ref="T29:U29"/>
    <mergeCell ref="X8:X9"/>
    <mergeCell ref="P8:P9"/>
    <mergeCell ref="Z29:AA29"/>
    <mergeCell ref="X29:X30"/>
    <mergeCell ref="Q29:Q30"/>
    <mergeCell ref="AD29:AE29"/>
    <mergeCell ref="Y29:Y30"/>
    <mergeCell ref="R29:S29"/>
    <mergeCell ref="B43:D43"/>
    <mergeCell ref="G27:G30"/>
    <mergeCell ref="I27:AF27"/>
    <mergeCell ref="I28:P28"/>
    <mergeCell ref="Q28:X28"/>
    <mergeCell ref="B19:D19"/>
    <mergeCell ref="AB29:AC29"/>
    <mergeCell ref="B22:D22"/>
    <mergeCell ref="A27:D30"/>
    <mergeCell ref="N29:O29"/>
    <mergeCell ref="B40:D40"/>
    <mergeCell ref="Z8:AA8"/>
    <mergeCell ref="A6:D9"/>
    <mergeCell ref="I7:P7"/>
    <mergeCell ref="I6:AF6"/>
    <mergeCell ref="V8:W8"/>
    <mergeCell ref="J29:K29"/>
    <mergeCell ref="V29:W29"/>
    <mergeCell ref="AB8:AC8"/>
    <mergeCell ref="Y8:Y9"/>
    <mergeCell ref="G6:G9"/>
    <mergeCell ref="N8:O8"/>
    <mergeCell ref="Q7:X7"/>
    <mergeCell ref="I8:I9"/>
    <mergeCell ref="J8:K8"/>
    <mergeCell ref="AF29:AF30"/>
    <mergeCell ref="I29:I30"/>
    <mergeCell ref="Y28:AF28"/>
    <mergeCell ref="L8:M8"/>
    <mergeCell ref="T8:U8"/>
    <mergeCell ref="A1:AF1"/>
    <mergeCell ref="AD8:AE8"/>
    <mergeCell ref="R8:S8"/>
    <mergeCell ref="B2:AF2"/>
    <mergeCell ref="B3:AF3"/>
    <mergeCell ref="B4:AF4"/>
    <mergeCell ref="B5:AF5"/>
    <mergeCell ref="AF8:AF9"/>
    <mergeCell ref="Q8:Q9"/>
    <mergeCell ref="Y7:AF7"/>
  </mergeCells>
  <phoneticPr fontId="8" type="noConversion"/>
  <dataValidations count="1">
    <dataValidation type="decimal" operator="greaterThanOrEqual" allowBlank="1" showInputMessage="1" showErrorMessage="1" sqref="I10:AF46">
      <formula1>0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13d&amp;U
  &amp;P of &amp;N&amp;C&amp;"Arial,Bold"&amp;8 MAXIMUM SAVINGS BANK, INC.  [ 03-070011 ]
 As of: June 30, 2019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9"/>
  <sheetViews>
    <sheetView zoomScale="75" workbookViewId="0">
      <pane xSplit="8" ySplit="8" topLeftCell="I11" activePane="bottomRight" state="frozen"/>
      <selection pane="topRight" activeCell="I1" sqref="I1"/>
      <selection pane="bottomLeft" activeCell="A9" sqref="A9"/>
      <selection pane="bottomRight" sqref="A1:P1"/>
    </sheetView>
  </sheetViews>
  <sheetFormatPr defaultRowHeight="11.25" customHeight="1" x14ac:dyDescent="0.2"/>
  <cols>
    <col min="1" max="1" width="3.5703125" style="171" customWidth="1"/>
    <col min="2" max="2" width="3" style="171" customWidth="1"/>
    <col min="3" max="3" width="62.28515625" style="171" customWidth="1"/>
    <col min="4" max="5" width="0" style="171" hidden="1" customWidth="1"/>
    <col min="6" max="6" width="17.28515625" style="171" hidden="1" customWidth="1"/>
    <col min="7" max="7" width="19.28515625" style="171" customWidth="1"/>
    <col min="8" max="8" width="18.28515625" style="171" hidden="1" customWidth="1"/>
    <col min="9" max="13" width="22.7109375" style="171" customWidth="1"/>
    <col min="14" max="15" width="22.7109375" style="171" hidden="1" customWidth="1"/>
    <col min="16" max="16" width="22.7109375" style="171" customWidth="1"/>
    <col min="17" max="16384" width="9.140625" style="171"/>
  </cols>
  <sheetData>
    <row r="1" spans="1:18" ht="11.25" customHeight="1" x14ac:dyDescent="0.2">
      <c r="A1" s="460" t="s">
        <v>405</v>
      </c>
      <c r="B1" s="460"/>
      <c r="C1" s="460"/>
      <c r="D1" s="460"/>
      <c r="E1" s="460"/>
      <c r="F1" s="460"/>
      <c r="G1" s="460"/>
      <c r="H1" s="460"/>
      <c r="I1" s="460"/>
      <c r="J1" s="460"/>
      <c r="K1" s="460"/>
      <c r="L1" s="460"/>
      <c r="M1" s="460"/>
      <c r="N1" s="460"/>
      <c r="O1" s="460"/>
      <c r="P1" s="460"/>
    </row>
    <row r="2" spans="1:18" ht="11.25" hidden="1" customHeight="1" x14ac:dyDescent="0.2">
      <c r="A2" s="461"/>
      <c r="B2" s="461"/>
      <c r="C2" s="461"/>
      <c r="D2" s="461"/>
      <c r="E2" s="461"/>
      <c r="F2" s="461"/>
      <c r="G2" s="461"/>
      <c r="H2" s="461"/>
      <c r="I2" s="461"/>
      <c r="J2" s="461"/>
      <c r="K2" s="461"/>
      <c r="L2" s="461"/>
      <c r="M2" s="461"/>
      <c r="N2" s="461"/>
      <c r="O2" s="461"/>
      <c r="P2" s="461"/>
      <c r="Q2" s="170"/>
      <c r="R2" s="170"/>
    </row>
    <row r="3" spans="1:18" ht="11.25" hidden="1" customHeight="1" x14ac:dyDescent="0.2">
      <c r="A3" s="461"/>
      <c r="B3" s="461"/>
      <c r="C3" s="461"/>
      <c r="D3" s="461"/>
      <c r="E3" s="461"/>
      <c r="F3" s="461"/>
      <c r="G3" s="461"/>
      <c r="H3" s="461"/>
      <c r="I3" s="461"/>
      <c r="J3" s="461"/>
      <c r="K3" s="461"/>
      <c r="L3" s="461"/>
      <c r="M3" s="461"/>
      <c r="N3" s="461"/>
      <c r="O3" s="461"/>
      <c r="P3" s="461"/>
      <c r="Q3" s="170"/>
      <c r="R3" s="170"/>
    </row>
    <row r="4" spans="1:18" ht="11.25" hidden="1" customHeight="1" x14ac:dyDescent="0.2">
      <c r="A4" s="461"/>
      <c r="B4" s="461"/>
      <c r="C4" s="461"/>
      <c r="D4" s="461"/>
      <c r="E4" s="461"/>
      <c r="F4" s="461"/>
      <c r="G4" s="461"/>
      <c r="H4" s="461"/>
      <c r="I4" s="461"/>
      <c r="J4" s="461"/>
      <c r="K4" s="461"/>
      <c r="L4" s="461"/>
      <c r="M4" s="461"/>
      <c r="N4" s="461"/>
      <c r="O4" s="461"/>
      <c r="P4" s="461"/>
      <c r="Q4" s="170"/>
      <c r="R4" s="170"/>
    </row>
    <row r="5" spans="1:18" ht="11.25" hidden="1" customHeight="1" x14ac:dyDescent="0.2">
      <c r="A5" s="461"/>
      <c r="B5" s="461"/>
      <c r="C5" s="461"/>
      <c r="D5" s="461"/>
      <c r="E5" s="461"/>
      <c r="F5" s="461"/>
      <c r="G5" s="461"/>
      <c r="H5" s="461"/>
      <c r="I5" s="461"/>
      <c r="J5" s="461"/>
      <c r="K5" s="461"/>
      <c r="L5" s="461"/>
      <c r="M5" s="461"/>
      <c r="N5" s="461"/>
      <c r="O5" s="461"/>
      <c r="P5" s="461"/>
      <c r="Q5" s="170"/>
      <c r="R5" s="170"/>
    </row>
    <row r="6" spans="1:18" ht="11.25" customHeight="1" x14ac:dyDescent="0.2">
      <c r="A6" s="461"/>
      <c r="B6" s="461"/>
      <c r="C6" s="461"/>
      <c r="D6" s="461"/>
      <c r="E6" s="461"/>
      <c r="F6" s="461"/>
      <c r="G6" s="461"/>
      <c r="H6" s="461"/>
      <c r="I6" s="461"/>
      <c r="J6" s="461"/>
      <c r="K6" s="461"/>
      <c r="L6" s="461"/>
      <c r="M6" s="461"/>
      <c r="N6" s="461"/>
      <c r="O6" s="461"/>
      <c r="P6" s="461"/>
    </row>
    <row r="7" spans="1:18" ht="11.25" customHeight="1" x14ac:dyDescent="0.2">
      <c r="A7" s="459" t="s">
        <v>1</v>
      </c>
      <c r="B7" s="459"/>
      <c r="C7" s="459"/>
      <c r="D7" s="459"/>
      <c r="E7" s="459"/>
      <c r="F7" s="459"/>
      <c r="G7" s="463" t="s">
        <v>2</v>
      </c>
      <c r="H7" s="176"/>
      <c r="I7" s="462" t="s">
        <v>3</v>
      </c>
      <c r="J7" s="462" t="s">
        <v>4</v>
      </c>
      <c r="K7" s="462"/>
      <c r="L7" s="459" t="s">
        <v>5</v>
      </c>
      <c r="M7" s="459"/>
      <c r="N7" s="459" t="s">
        <v>6</v>
      </c>
      <c r="O7" s="459"/>
      <c r="P7" s="462" t="s">
        <v>56</v>
      </c>
    </row>
    <row r="8" spans="1:18" ht="11.25" customHeight="1" x14ac:dyDescent="0.2">
      <c r="A8" s="473"/>
      <c r="B8" s="473"/>
      <c r="C8" s="473"/>
      <c r="D8" s="473"/>
      <c r="E8" s="473"/>
      <c r="F8" s="473"/>
      <c r="G8" s="463"/>
      <c r="H8" s="176"/>
      <c r="I8" s="462"/>
      <c r="J8" s="177" t="s">
        <v>11</v>
      </c>
      <c r="K8" s="177" t="s">
        <v>12</v>
      </c>
      <c r="L8" s="177" t="s">
        <v>11</v>
      </c>
      <c r="M8" s="177" t="s">
        <v>12</v>
      </c>
      <c r="N8" s="177" t="s">
        <v>11</v>
      </c>
      <c r="O8" s="177" t="s">
        <v>12</v>
      </c>
      <c r="P8" s="462"/>
    </row>
    <row r="9" spans="1:18" ht="11.25" customHeight="1" x14ac:dyDescent="0.2">
      <c r="A9" s="464" t="s">
        <v>406</v>
      </c>
      <c r="B9" s="465"/>
      <c r="C9" s="465"/>
      <c r="D9" s="465"/>
      <c r="E9" s="465"/>
      <c r="F9" s="466"/>
      <c r="G9" s="356"/>
      <c r="H9" s="178"/>
      <c r="I9" s="179"/>
      <c r="J9" s="179"/>
      <c r="K9" s="179"/>
      <c r="L9" s="179"/>
      <c r="M9" s="179"/>
      <c r="N9" s="179"/>
      <c r="O9" s="179"/>
      <c r="P9" s="179"/>
    </row>
    <row r="10" spans="1:18" ht="11.25" customHeight="1" x14ac:dyDescent="0.2">
      <c r="A10" s="194" t="s">
        <v>407</v>
      </c>
      <c r="B10" s="195"/>
      <c r="C10" s="184"/>
      <c r="D10" s="170"/>
      <c r="E10" s="170"/>
      <c r="F10" s="186"/>
      <c r="G10" s="349" t="s">
        <v>408</v>
      </c>
      <c r="H10" s="180"/>
      <c r="I10" s="121">
        <f>I11+I12+I13+I16+I17+I18+I19+I20+I24+I25+I26+I27</f>
        <v>0</v>
      </c>
      <c r="J10" s="121">
        <f t="shared" ref="J10:O10" si="0">J11+J12+J13+J16+J17+J18+J19+J20+J24+J25+J26+J27</f>
        <v>0</v>
      </c>
      <c r="K10" s="121">
        <f t="shared" si="0"/>
        <v>0</v>
      </c>
      <c r="L10" s="121">
        <f t="shared" si="0"/>
        <v>0</v>
      </c>
      <c r="M10" s="121">
        <f t="shared" si="0"/>
        <v>0</v>
      </c>
      <c r="N10" s="121">
        <f t="shared" si="0"/>
        <v>0</v>
      </c>
      <c r="O10" s="121">
        <f t="shared" si="0"/>
        <v>0</v>
      </c>
      <c r="P10" s="121">
        <f>I10+K10+M10+O10</f>
        <v>0</v>
      </c>
    </row>
    <row r="11" spans="1:18" ht="11.25" customHeight="1" x14ac:dyDescent="0.2">
      <c r="A11" s="187" t="s">
        <v>18</v>
      </c>
      <c r="B11" s="171" t="s">
        <v>409</v>
      </c>
      <c r="F11" s="188"/>
      <c r="G11" s="349" t="s">
        <v>410</v>
      </c>
      <c r="H11" s="180"/>
      <c r="I11" s="122"/>
      <c r="J11" s="122"/>
      <c r="K11" s="122"/>
      <c r="L11" s="122"/>
      <c r="M11" s="122"/>
      <c r="N11" s="122"/>
      <c r="O11" s="122"/>
      <c r="P11" s="121">
        <f t="shared" ref="P11:P80" si="1">I11+K11+M11+O11</f>
        <v>0</v>
      </c>
    </row>
    <row r="12" spans="1:18" ht="11.25" customHeight="1" x14ac:dyDescent="0.2">
      <c r="A12" s="196" t="s">
        <v>21</v>
      </c>
      <c r="B12" s="197" t="s">
        <v>411</v>
      </c>
      <c r="C12" s="198"/>
      <c r="F12" s="188"/>
      <c r="G12" s="349" t="s">
        <v>723</v>
      </c>
      <c r="H12" s="180"/>
      <c r="I12" s="122"/>
      <c r="J12" s="122"/>
      <c r="K12" s="122"/>
      <c r="L12" s="122"/>
      <c r="M12" s="122"/>
      <c r="N12" s="122"/>
      <c r="O12" s="122"/>
      <c r="P12" s="121">
        <f t="shared" si="1"/>
        <v>0</v>
      </c>
    </row>
    <row r="13" spans="1:18" ht="11.25" customHeight="1" x14ac:dyDescent="0.2">
      <c r="A13" s="187" t="s">
        <v>172</v>
      </c>
      <c r="B13" s="171" t="s">
        <v>412</v>
      </c>
      <c r="F13" s="188"/>
      <c r="G13" s="349" t="s">
        <v>413</v>
      </c>
      <c r="H13" s="180"/>
      <c r="I13" s="121">
        <f>I14+I15</f>
        <v>0</v>
      </c>
      <c r="J13" s="121">
        <f t="shared" ref="J13:O13" si="2">J14+J15</f>
        <v>0</v>
      </c>
      <c r="K13" s="121">
        <f t="shared" si="2"/>
        <v>0</v>
      </c>
      <c r="L13" s="121">
        <f t="shared" si="2"/>
        <v>0</v>
      </c>
      <c r="M13" s="121">
        <f t="shared" si="2"/>
        <v>0</v>
      </c>
      <c r="N13" s="121">
        <f t="shared" si="2"/>
        <v>0</v>
      </c>
      <c r="O13" s="121">
        <f t="shared" si="2"/>
        <v>0</v>
      </c>
      <c r="P13" s="121">
        <f t="shared" si="1"/>
        <v>0</v>
      </c>
    </row>
    <row r="14" spans="1:18" ht="11.25" customHeight="1" x14ac:dyDescent="0.2">
      <c r="A14" s="196"/>
      <c r="B14" s="197" t="s">
        <v>391</v>
      </c>
      <c r="C14" s="198" t="s">
        <v>414</v>
      </c>
      <c r="F14" s="188"/>
      <c r="G14" s="349" t="s">
        <v>415</v>
      </c>
      <c r="H14" s="180"/>
      <c r="I14" s="122"/>
      <c r="J14" s="122"/>
      <c r="K14" s="122"/>
      <c r="L14" s="122"/>
      <c r="M14" s="122"/>
      <c r="N14" s="122"/>
      <c r="O14" s="122"/>
      <c r="P14" s="121">
        <f t="shared" si="1"/>
        <v>0</v>
      </c>
    </row>
    <row r="15" spans="1:18" ht="11.25" customHeight="1" x14ac:dyDescent="0.2">
      <c r="A15" s="187"/>
      <c r="B15" s="172" t="s">
        <v>393</v>
      </c>
      <c r="C15" s="467" t="s">
        <v>705</v>
      </c>
      <c r="D15" s="467"/>
      <c r="E15" s="467"/>
      <c r="F15" s="468"/>
      <c r="G15" s="357" t="s">
        <v>416</v>
      </c>
      <c r="H15" s="181"/>
      <c r="I15" s="122"/>
      <c r="J15" s="122"/>
      <c r="K15" s="122"/>
      <c r="L15" s="122"/>
      <c r="M15" s="122"/>
      <c r="N15" s="122"/>
      <c r="O15" s="122"/>
      <c r="P15" s="121">
        <f t="shared" si="1"/>
        <v>0</v>
      </c>
    </row>
    <row r="16" spans="1:18" ht="11.25" customHeight="1" x14ac:dyDescent="0.2">
      <c r="A16" s="199" t="s">
        <v>417</v>
      </c>
      <c r="B16" s="469" t="s">
        <v>418</v>
      </c>
      <c r="C16" s="469"/>
      <c r="D16" s="469"/>
      <c r="E16" s="469"/>
      <c r="F16" s="470"/>
      <c r="G16" s="357" t="s">
        <v>419</v>
      </c>
      <c r="H16" s="181"/>
      <c r="I16" s="122"/>
      <c r="J16" s="122"/>
      <c r="K16" s="122"/>
      <c r="L16" s="122"/>
      <c r="M16" s="122"/>
      <c r="N16" s="122"/>
      <c r="O16" s="122"/>
      <c r="P16" s="121">
        <f t="shared" si="1"/>
        <v>0</v>
      </c>
    </row>
    <row r="17" spans="1:16" ht="11.25" customHeight="1" x14ac:dyDescent="0.2">
      <c r="A17" s="189" t="s">
        <v>420</v>
      </c>
      <c r="B17" s="171" t="s">
        <v>706</v>
      </c>
      <c r="F17" s="188"/>
      <c r="G17" s="349" t="s">
        <v>421</v>
      </c>
      <c r="H17" s="180"/>
      <c r="I17" s="122"/>
      <c r="J17" s="122"/>
      <c r="K17" s="122"/>
      <c r="L17" s="122"/>
      <c r="M17" s="122"/>
      <c r="N17" s="122"/>
      <c r="O17" s="122"/>
      <c r="P17" s="121">
        <f t="shared" si="1"/>
        <v>0</v>
      </c>
    </row>
    <row r="18" spans="1:16" ht="11.25" customHeight="1" x14ac:dyDescent="0.2">
      <c r="A18" s="199" t="s">
        <v>422</v>
      </c>
      <c r="B18" s="197" t="s">
        <v>423</v>
      </c>
      <c r="C18" s="198"/>
      <c r="F18" s="188"/>
      <c r="G18" s="349" t="s">
        <v>424</v>
      </c>
      <c r="H18" s="180"/>
      <c r="I18" s="122"/>
      <c r="J18" s="122"/>
      <c r="K18" s="122"/>
      <c r="L18" s="122"/>
      <c r="M18" s="122"/>
      <c r="N18" s="122"/>
      <c r="O18" s="122"/>
      <c r="P18" s="121">
        <f t="shared" si="1"/>
        <v>0</v>
      </c>
    </row>
    <row r="19" spans="1:16" ht="11.25" customHeight="1" x14ac:dyDescent="0.2">
      <c r="A19" s="189" t="s">
        <v>425</v>
      </c>
      <c r="B19" s="171" t="s">
        <v>426</v>
      </c>
      <c r="F19" s="188"/>
      <c r="G19" s="349" t="s">
        <v>427</v>
      </c>
      <c r="H19" s="180"/>
      <c r="I19" s="122"/>
      <c r="J19" s="122"/>
      <c r="K19" s="122"/>
      <c r="L19" s="122"/>
      <c r="M19" s="122"/>
      <c r="N19" s="122"/>
      <c r="O19" s="122"/>
      <c r="P19" s="121">
        <f t="shared" si="1"/>
        <v>0</v>
      </c>
    </row>
    <row r="20" spans="1:16" ht="11.25" customHeight="1" x14ac:dyDescent="0.2">
      <c r="A20" s="196" t="s">
        <v>428</v>
      </c>
      <c r="B20" s="197" t="s">
        <v>429</v>
      </c>
      <c r="C20" s="198"/>
      <c r="F20" s="188"/>
      <c r="G20" s="349" t="s">
        <v>430</v>
      </c>
      <c r="H20" s="180"/>
      <c r="I20" s="121">
        <f>I21+I22+I23</f>
        <v>0</v>
      </c>
      <c r="J20" s="121">
        <f t="shared" ref="J20:O20" si="3">J21+J22+J23</f>
        <v>0</v>
      </c>
      <c r="K20" s="121">
        <f t="shared" si="3"/>
        <v>0</v>
      </c>
      <c r="L20" s="121">
        <f t="shared" si="3"/>
        <v>0</v>
      </c>
      <c r="M20" s="121">
        <f t="shared" si="3"/>
        <v>0</v>
      </c>
      <c r="N20" s="121">
        <f t="shared" si="3"/>
        <v>0</v>
      </c>
      <c r="O20" s="121">
        <f t="shared" si="3"/>
        <v>0</v>
      </c>
      <c r="P20" s="121">
        <f t="shared" si="1"/>
        <v>0</v>
      </c>
    </row>
    <row r="21" spans="1:16" ht="11.25" customHeight="1" x14ac:dyDescent="0.2">
      <c r="A21" s="187"/>
      <c r="B21" s="171" t="s">
        <v>391</v>
      </c>
      <c r="C21" s="171" t="s">
        <v>431</v>
      </c>
      <c r="F21" s="188"/>
      <c r="G21" s="349" t="s">
        <v>432</v>
      </c>
      <c r="H21" s="180"/>
      <c r="I21" s="122"/>
      <c r="J21" s="122"/>
      <c r="K21" s="122"/>
      <c r="L21" s="122"/>
      <c r="M21" s="122"/>
      <c r="N21" s="122"/>
      <c r="O21" s="122"/>
      <c r="P21" s="121">
        <f t="shared" si="1"/>
        <v>0</v>
      </c>
    </row>
    <row r="22" spans="1:16" ht="11.25" customHeight="1" x14ac:dyDescent="0.2">
      <c r="A22" s="196"/>
      <c r="B22" s="197" t="s">
        <v>393</v>
      </c>
      <c r="C22" s="198" t="s">
        <v>433</v>
      </c>
      <c r="F22" s="188"/>
      <c r="G22" s="349" t="s">
        <v>434</v>
      </c>
      <c r="H22" s="180"/>
      <c r="I22" s="122"/>
      <c r="J22" s="122"/>
      <c r="K22" s="122"/>
      <c r="L22" s="122"/>
      <c r="M22" s="122"/>
      <c r="N22" s="122"/>
      <c r="O22" s="122"/>
      <c r="P22" s="121">
        <f t="shared" si="1"/>
        <v>0</v>
      </c>
    </row>
    <row r="23" spans="1:16" ht="11.25" customHeight="1" x14ac:dyDescent="0.2">
      <c r="A23" s="187"/>
      <c r="B23" s="171" t="s">
        <v>435</v>
      </c>
      <c r="C23" s="171" t="s">
        <v>436</v>
      </c>
      <c r="F23" s="188"/>
      <c r="G23" s="349" t="s">
        <v>437</v>
      </c>
      <c r="H23" s="180"/>
      <c r="I23" s="122"/>
      <c r="J23" s="122"/>
      <c r="K23" s="122"/>
      <c r="L23" s="122"/>
      <c r="M23" s="122"/>
      <c r="N23" s="122"/>
      <c r="O23" s="122"/>
      <c r="P23" s="121">
        <f t="shared" si="1"/>
        <v>0</v>
      </c>
    </row>
    <row r="24" spans="1:16" ht="24" customHeight="1" x14ac:dyDescent="0.2">
      <c r="A24" s="199" t="s">
        <v>438</v>
      </c>
      <c r="B24" s="471" t="s">
        <v>439</v>
      </c>
      <c r="C24" s="471"/>
      <c r="D24" s="471"/>
      <c r="E24" s="471"/>
      <c r="F24" s="472"/>
      <c r="G24" s="357" t="s">
        <v>440</v>
      </c>
      <c r="H24" s="251"/>
      <c r="I24" s="252"/>
      <c r="J24" s="252"/>
      <c r="K24" s="252"/>
      <c r="L24" s="252"/>
      <c r="M24" s="252"/>
      <c r="N24" s="252"/>
      <c r="O24" s="252"/>
      <c r="P24" s="253">
        <f t="shared" si="1"/>
        <v>0</v>
      </c>
    </row>
    <row r="25" spans="1:16" ht="11.25" customHeight="1" x14ac:dyDescent="0.2">
      <c r="A25" s="189" t="s">
        <v>441</v>
      </c>
      <c r="B25" s="471" t="s">
        <v>707</v>
      </c>
      <c r="C25" s="471"/>
      <c r="D25" s="471"/>
      <c r="E25" s="471"/>
      <c r="F25" s="472"/>
      <c r="G25" s="350" t="s">
        <v>442</v>
      </c>
      <c r="H25" s="182"/>
      <c r="I25" s="122"/>
      <c r="J25" s="122"/>
      <c r="K25" s="122"/>
      <c r="L25" s="122"/>
      <c r="M25" s="122"/>
      <c r="N25" s="122"/>
      <c r="O25" s="122"/>
      <c r="P25" s="121">
        <f t="shared" si="1"/>
        <v>0</v>
      </c>
    </row>
    <row r="26" spans="1:16" ht="11.25" customHeight="1" x14ac:dyDescent="0.2">
      <c r="A26" s="199" t="s">
        <v>443</v>
      </c>
      <c r="B26" s="471" t="s">
        <v>444</v>
      </c>
      <c r="C26" s="471"/>
      <c r="D26" s="471"/>
      <c r="E26" s="471"/>
      <c r="F26" s="472"/>
      <c r="G26" s="350" t="s">
        <v>445</v>
      </c>
      <c r="H26" s="182"/>
      <c r="I26" s="122"/>
      <c r="J26" s="122"/>
      <c r="K26" s="122"/>
      <c r="L26" s="122"/>
      <c r="M26" s="122"/>
      <c r="N26" s="122"/>
      <c r="O26" s="122"/>
      <c r="P26" s="121">
        <f t="shared" si="1"/>
        <v>0</v>
      </c>
    </row>
    <row r="27" spans="1:16" ht="11.25" customHeight="1" x14ac:dyDescent="0.2">
      <c r="A27" s="189" t="s">
        <v>446</v>
      </c>
      <c r="B27" s="474" t="s">
        <v>447</v>
      </c>
      <c r="C27" s="474"/>
      <c r="D27" s="173"/>
      <c r="E27" s="173"/>
      <c r="F27" s="190"/>
      <c r="G27" s="350" t="s">
        <v>448</v>
      </c>
      <c r="H27" s="182"/>
      <c r="I27" s="122"/>
      <c r="J27" s="122"/>
      <c r="K27" s="122"/>
      <c r="L27" s="122"/>
      <c r="M27" s="122"/>
      <c r="N27" s="122"/>
      <c r="O27" s="122"/>
      <c r="P27" s="121">
        <f t="shared" si="1"/>
        <v>0</v>
      </c>
    </row>
    <row r="28" spans="1:16" ht="11.25" customHeight="1" x14ac:dyDescent="0.2">
      <c r="A28" s="194" t="s">
        <v>449</v>
      </c>
      <c r="B28" s="195"/>
      <c r="C28" s="184"/>
      <c r="D28" s="170"/>
      <c r="E28" s="170"/>
      <c r="F28" s="186"/>
      <c r="G28" s="349" t="s">
        <v>450</v>
      </c>
      <c r="H28" s="180"/>
      <c r="I28" s="121">
        <f t="shared" ref="I28:O28" si="4">I29+I30+I33+I34+I35+I36+I37+I40+I41+I42+I43</f>
        <v>0</v>
      </c>
      <c r="J28" s="121">
        <f t="shared" si="4"/>
        <v>0</v>
      </c>
      <c r="K28" s="121">
        <f t="shared" si="4"/>
        <v>0</v>
      </c>
      <c r="L28" s="121">
        <f t="shared" si="4"/>
        <v>0</v>
      </c>
      <c r="M28" s="121">
        <f t="shared" si="4"/>
        <v>0</v>
      </c>
      <c r="N28" s="121">
        <f t="shared" si="4"/>
        <v>0</v>
      </c>
      <c r="O28" s="121">
        <f t="shared" si="4"/>
        <v>0</v>
      </c>
      <c r="P28" s="121">
        <f t="shared" si="1"/>
        <v>0</v>
      </c>
    </row>
    <row r="29" spans="1:16" ht="11.25" customHeight="1" x14ac:dyDescent="0.2">
      <c r="A29" s="187" t="s">
        <v>18</v>
      </c>
      <c r="B29" s="171" t="s">
        <v>411</v>
      </c>
      <c r="F29" s="188"/>
      <c r="G29" s="349" t="s">
        <v>451</v>
      </c>
      <c r="H29" s="180"/>
      <c r="I29" s="285"/>
      <c r="J29" s="122"/>
      <c r="K29" s="122"/>
      <c r="L29" s="122"/>
      <c r="M29" s="122"/>
      <c r="N29" s="122"/>
      <c r="O29" s="122"/>
      <c r="P29" s="121">
        <f t="shared" si="1"/>
        <v>0</v>
      </c>
    </row>
    <row r="30" spans="1:16" ht="11.25" customHeight="1" x14ac:dyDescent="0.2">
      <c r="A30" s="196" t="s">
        <v>21</v>
      </c>
      <c r="B30" s="197" t="s">
        <v>412</v>
      </c>
      <c r="C30" s="198"/>
      <c r="F30" s="188"/>
      <c r="G30" s="349" t="s">
        <v>452</v>
      </c>
      <c r="H30" s="180"/>
      <c r="I30" s="284"/>
      <c r="J30" s="121">
        <f t="shared" ref="J30:O30" si="5">J31+J32</f>
        <v>0</v>
      </c>
      <c r="K30" s="121">
        <f t="shared" si="5"/>
        <v>0</v>
      </c>
      <c r="L30" s="121">
        <f t="shared" si="5"/>
        <v>0</v>
      </c>
      <c r="M30" s="121">
        <f t="shared" si="5"/>
        <v>0</v>
      </c>
      <c r="N30" s="121">
        <f t="shared" si="5"/>
        <v>0</v>
      </c>
      <c r="O30" s="121">
        <f t="shared" si="5"/>
        <v>0</v>
      </c>
      <c r="P30" s="121">
        <f t="shared" si="1"/>
        <v>0</v>
      </c>
    </row>
    <row r="31" spans="1:16" ht="11.25" customHeight="1" x14ac:dyDescent="0.2">
      <c r="A31" s="187"/>
      <c r="B31" s="171" t="s">
        <v>391</v>
      </c>
      <c r="C31" s="171" t="s">
        <v>414</v>
      </c>
      <c r="F31" s="188"/>
      <c r="G31" s="349" t="s">
        <v>453</v>
      </c>
      <c r="H31" s="180"/>
      <c r="I31" s="285"/>
      <c r="J31" s="122"/>
      <c r="K31" s="122"/>
      <c r="L31" s="122"/>
      <c r="M31" s="122"/>
      <c r="N31" s="122"/>
      <c r="O31" s="122"/>
      <c r="P31" s="121">
        <f t="shared" si="1"/>
        <v>0</v>
      </c>
    </row>
    <row r="32" spans="1:16" ht="11.25" customHeight="1" x14ac:dyDescent="0.2">
      <c r="A32" s="196"/>
      <c r="B32" s="201" t="s">
        <v>393</v>
      </c>
      <c r="C32" s="469" t="s">
        <v>705</v>
      </c>
      <c r="D32" s="469"/>
      <c r="E32" s="469"/>
      <c r="F32" s="470"/>
      <c r="G32" s="358" t="s">
        <v>454</v>
      </c>
      <c r="H32" s="181"/>
      <c r="I32" s="285"/>
      <c r="J32" s="122"/>
      <c r="K32" s="122"/>
      <c r="L32" s="122"/>
      <c r="M32" s="122"/>
      <c r="N32" s="122"/>
      <c r="O32" s="122"/>
      <c r="P32" s="121">
        <f t="shared" si="1"/>
        <v>0</v>
      </c>
    </row>
    <row r="33" spans="1:16" ht="11.25" customHeight="1" x14ac:dyDescent="0.2">
      <c r="A33" s="189" t="s">
        <v>172</v>
      </c>
      <c r="B33" s="467" t="s">
        <v>418</v>
      </c>
      <c r="C33" s="467"/>
      <c r="D33" s="467"/>
      <c r="E33" s="467"/>
      <c r="F33" s="468"/>
      <c r="G33" s="357" t="s">
        <v>455</v>
      </c>
      <c r="H33" s="181"/>
      <c r="I33" s="285"/>
      <c r="J33" s="122"/>
      <c r="K33" s="122"/>
      <c r="L33" s="122"/>
      <c r="M33" s="122"/>
      <c r="N33" s="122"/>
      <c r="O33" s="122"/>
      <c r="P33" s="121">
        <f t="shared" si="1"/>
        <v>0</v>
      </c>
    </row>
    <row r="34" spans="1:16" ht="11.25" customHeight="1" x14ac:dyDescent="0.2">
      <c r="A34" s="199" t="s">
        <v>417</v>
      </c>
      <c r="B34" s="197" t="s">
        <v>706</v>
      </c>
      <c r="C34" s="198"/>
      <c r="F34" s="188"/>
      <c r="G34" s="349" t="s">
        <v>456</v>
      </c>
      <c r="H34" s="180"/>
      <c r="I34" s="285"/>
      <c r="J34" s="122"/>
      <c r="K34" s="122"/>
      <c r="L34" s="122"/>
      <c r="M34" s="122"/>
      <c r="N34" s="122"/>
      <c r="O34" s="122"/>
      <c r="P34" s="121">
        <f t="shared" si="1"/>
        <v>0</v>
      </c>
    </row>
    <row r="35" spans="1:16" ht="11.25" customHeight="1" x14ac:dyDescent="0.2">
      <c r="A35" s="189" t="s">
        <v>420</v>
      </c>
      <c r="B35" s="171" t="s">
        <v>423</v>
      </c>
      <c r="F35" s="188"/>
      <c r="G35" s="349" t="s">
        <v>457</v>
      </c>
      <c r="H35" s="180"/>
      <c r="I35" s="285"/>
      <c r="J35" s="122"/>
      <c r="K35" s="122"/>
      <c r="L35" s="122"/>
      <c r="M35" s="122"/>
      <c r="N35" s="122"/>
      <c r="O35" s="122"/>
      <c r="P35" s="121">
        <f t="shared" si="1"/>
        <v>0</v>
      </c>
    </row>
    <row r="36" spans="1:16" ht="11.25" customHeight="1" x14ac:dyDescent="0.2">
      <c r="A36" s="199" t="s">
        <v>422</v>
      </c>
      <c r="B36" s="197" t="s">
        <v>426</v>
      </c>
      <c r="C36" s="198"/>
      <c r="F36" s="188"/>
      <c r="G36" s="349" t="s">
        <v>458</v>
      </c>
      <c r="H36" s="180"/>
      <c r="I36" s="122"/>
      <c r="J36" s="122"/>
      <c r="K36" s="122"/>
      <c r="L36" s="122"/>
      <c r="M36" s="122"/>
      <c r="N36" s="122"/>
      <c r="O36" s="122"/>
      <c r="P36" s="121">
        <f t="shared" si="1"/>
        <v>0</v>
      </c>
    </row>
    <row r="37" spans="1:16" ht="11.25" customHeight="1" x14ac:dyDescent="0.2">
      <c r="A37" s="187" t="s">
        <v>425</v>
      </c>
      <c r="B37" s="171" t="s">
        <v>429</v>
      </c>
      <c r="F37" s="188"/>
      <c r="G37" s="349" t="s">
        <v>459</v>
      </c>
      <c r="H37" s="180"/>
      <c r="I37" s="121">
        <f t="shared" ref="I37:O37" si="6">I38+I39</f>
        <v>0</v>
      </c>
      <c r="J37" s="121">
        <f t="shared" si="6"/>
        <v>0</v>
      </c>
      <c r="K37" s="121">
        <f t="shared" si="6"/>
        <v>0</v>
      </c>
      <c r="L37" s="121">
        <f t="shared" si="6"/>
        <v>0</v>
      </c>
      <c r="M37" s="121">
        <f t="shared" si="6"/>
        <v>0</v>
      </c>
      <c r="N37" s="121">
        <f t="shared" si="6"/>
        <v>0</v>
      </c>
      <c r="O37" s="121">
        <f t="shared" si="6"/>
        <v>0</v>
      </c>
      <c r="P37" s="121">
        <f t="shared" si="1"/>
        <v>0</v>
      </c>
    </row>
    <row r="38" spans="1:16" ht="11.25" customHeight="1" x14ac:dyDescent="0.2">
      <c r="A38" s="196"/>
      <c r="B38" s="197" t="s">
        <v>391</v>
      </c>
      <c r="C38" s="198" t="s">
        <v>433</v>
      </c>
      <c r="F38" s="188"/>
      <c r="G38" s="349" t="s">
        <v>460</v>
      </c>
      <c r="H38" s="180"/>
      <c r="I38" s="285"/>
      <c r="J38" s="122"/>
      <c r="K38" s="122"/>
      <c r="L38" s="122"/>
      <c r="M38" s="122"/>
      <c r="N38" s="122"/>
      <c r="O38" s="122"/>
      <c r="P38" s="121">
        <f t="shared" si="1"/>
        <v>0</v>
      </c>
    </row>
    <row r="39" spans="1:16" ht="11.25" customHeight="1" x14ac:dyDescent="0.2">
      <c r="A39" s="187"/>
      <c r="B39" s="171" t="s">
        <v>393</v>
      </c>
      <c r="C39" s="171" t="s">
        <v>436</v>
      </c>
      <c r="F39" s="188"/>
      <c r="G39" s="349" t="s">
        <v>461</v>
      </c>
      <c r="H39" s="180"/>
      <c r="I39" s="122"/>
      <c r="J39" s="122"/>
      <c r="K39" s="122"/>
      <c r="L39" s="122"/>
      <c r="M39" s="122"/>
      <c r="N39" s="122"/>
      <c r="O39" s="122"/>
      <c r="P39" s="121">
        <f t="shared" si="1"/>
        <v>0</v>
      </c>
    </row>
    <row r="40" spans="1:16" ht="24" customHeight="1" x14ac:dyDescent="0.2">
      <c r="A40" s="199" t="s">
        <v>428</v>
      </c>
      <c r="B40" s="471" t="s">
        <v>439</v>
      </c>
      <c r="C40" s="471"/>
      <c r="D40" s="471"/>
      <c r="E40" s="471"/>
      <c r="F40" s="472"/>
      <c r="G40" s="357" t="s">
        <v>462</v>
      </c>
      <c r="H40" s="251"/>
      <c r="I40" s="286"/>
      <c r="J40" s="252"/>
      <c r="K40" s="252"/>
      <c r="L40" s="252"/>
      <c r="M40" s="252"/>
      <c r="N40" s="252"/>
      <c r="O40" s="252"/>
      <c r="P40" s="253">
        <f t="shared" si="1"/>
        <v>0</v>
      </c>
    </row>
    <row r="41" spans="1:16" ht="11.25" customHeight="1" x14ac:dyDescent="0.2">
      <c r="A41" s="189" t="s">
        <v>438</v>
      </c>
      <c r="B41" s="474" t="s">
        <v>707</v>
      </c>
      <c r="C41" s="474"/>
      <c r="D41" s="474"/>
      <c r="E41" s="474"/>
      <c r="F41" s="475"/>
      <c r="G41" s="350" t="s">
        <v>463</v>
      </c>
      <c r="H41" s="182"/>
      <c r="I41" s="285"/>
      <c r="J41" s="122"/>
      <c r="K41" s="122"/>
      <c r="L41" s="122"/>
      <c r="M41" s="122"/>
      <c r="N41" s="122"/>
      <c r="O41" s="122"/>
      <c r="P41" s="121">
        <f t="shared" si="1"/>
        <v>0</v>
      </c>
    </row>
    <row r="42" spans="1:16" ht="11.25" customHeight="1" x14ac:dyDescent="0.2">
      <c r="A42" s="199" t="s">
        <v>441</v>
      </c>
      <c r="B42" s="471" t="s">
        <v>444</v>
      </c>
      <c r="C42" s="471"/>
      <c r="D42" s="471"/>
      <c r="E42" s="471"/>
      <c r="F42" s="472"/>
      <c r="G42" s="350" t="s">
        <v>464</v>
      </c>
      <c r="H42" s="182"/>
      <c r="I42" s="285"/>
      <c r="J42" s="122"/>
      <c r="K42" s="122"/>
      <c r="L42" s="122"/>
      <c r="M42" s="122"/>
      <c r="N42" s="122"/>
      <c r="O42" s="122"/>
      <c r="P42" s="121">
        <f t="shared" si="1"/>
        <v>0</v>
      </c>
    </row>
    <row r="43" spans="1:16" ht="11.25" customHeight="1" x14ac:dyDescent="0.2">
      <c r="A43" s="189" t="s">
        <v>443</v>
      </c>
      <c r="B43" s="474" t="s">
        <v>447</v>
      </c>
      <c r="C43" s="474"/>
      <c r="D43" s="173"/>
      <c r="E43" s="173"/>
      <c r="F43" s="190"/>
      <c r="G43" s="350" t="s">
        <v>465</v>
      </c>
      <c r="H43" s="182"/>
      <c r="I43" s="285"/>
      <c r="J43" s="122"/>
      <c r="K43" s="122"/>
      <c r="L43" s="122"/>
      <c r="M43" s="122"/>
      <c r="N43" s="122"/>
      <c r="O43" s="122"/>
      <c r="P43" s="121">
        <f t="shared" si="1"/>
        <v>0</v>
      </c>
    </row>
    <row r="44" spans="1:16" ht="11.25" customHeight="1" x14ac:dyDescent="0.2">
      <c r="A44" s="480" t="s">
        <v>466</v>
      </c>
      <c r="B44" s="481"/>
      <c r="C44" s="481"/>
      <c r="D44" s="481"/>
      <c r="E44" s="481"/>
      <c r="F44" s="482"/>
      <c r="G44" s="359" t="s">
        <v>467</v>
      </c>
      <c r="H44" s="183"/>
      <c r="I44" s="121">
        <f>SUM(I45:I49)</f>
        <v>0</v>
      </c>
      <c r="J44" s="121">
        <f t="shared" ref="J44:O44" si="7">SUM(J45:J49)</f>
        <v>0</v>
      </c>
      <c r="K44" s="121">
        <f t="shared" si="7"/>
        <v>0</v>
      </c>
      <c r="L44" s="121">
        <f t="shared" si="7"/>
        <v>0</v>
      </c>
      <c r="M44" s="121">
        <f t="shared" si="7"/>
        <v>0</v>
      </c>
      <c r="N44" s="121">
        <f t="shared" si="7"/>
        <v>0</v>
      </c>
      <c r="O44" s="121">
        <f t="shared" si="7"/>
        <v>0</v>
      </c>
      <c r="P44" s="121">
        <f t="shared" si="1"/>
        <v>0</v>
      </c>
    </row>
    <row r="45" spans="1:16" ht="11.25" customHeight="1" x14ac:dyDescent="0.2">
      <c r="A45" s="344" t="s">
        <v>18</v>
      </c>
      <c r="B45" s="346" t="s">
        <v>412</v>
      </c>
      <c r="C45" s="345"/>
      <c r="D45" s="345"/>
      <c r="E45" s="345"/>
      <c r="F45" s="345"/>
      <c r="G45" s="349" t="s">
        <v>708</v>
      </c>
      <c r="H45" s="183"/>
      <c r="I45" s="122"/>
      <c r="J45" s="122"/>
      <c r="K45" s="122"/>
      <c r="L45" s="122"/>
      <c r="M45" s="122"/>
      <c r="N45" s="122"/>
      <c r="O45" s="122"/>
      <c r="P45" s="121">
        <f t="shared" si="1"/>
        <v>0</v>
      </c>
    </row>
    <row r="46" spans="1:16" ht="11.25" customHeight="1" x14ac:dyDescent="0.2">
      <c r="A46" s="344" t="s">
        <v>21</v>
      </c>
      <c r="B46" s="476" t="s">
        <v>418</v>
      </c>
      <c r="C46" s="476"/>
      <c r="D46" s="345"/>
      <c r="E46" s="345"/>
      <c r="F46" s="345"/>
      <c r="G46" s="357" t="s">
        <v>709</v>
      </c>
      <c r="H46" s="183"/>
      <c r="I46" s="122"/>
      <c r="J46" s="122"/>
      <c r="K46" s="122"/>
      <c r="L46" s="122"/>
      <c r="M46" s="122"/>
      <c r="N46" s="122"/>
      <c r="O46" s="122"/>
      <c r="P46" s="121">
        <f t="shared" si="1"/>
        <v>0</v>
      </c>
    </row>
    <row r="47" spans="1:16" ht="11.25" customHeight="1" x14ac:dyDescent="0.2">
      <c r="A47" s="344" t="s">
        <v>172</v>
      </c>
      <c r="B47" s="346" t="s">
        <v>706</v>
      </c>
      <c r="C47" s="345"/>
      <c r="D47" s="345"/>
      <c r="E47" s="345"/>
      <c r="F47" s="345"/>
      <c r="G47" s="349" t="s">
        <v>710</v>
      </c>
      <c r="H47" s="183"/>
      <c r="I47" s="122"/>
      <c r="J47" s="122"/>
      <c r="K47" s="122"/>
      <c r="L47" s="122"/>
      <c r="M47" s="122"/>
      <c r="N47" s="122"/>
      <c r="O47" s="122"/>
      <c r="P47" s="121">
        <f t="shared" si="1"/>
        <v>0</v>
      </c>
    </row>
    <row r="48" spans="1:16" ht="11.25" customHeight="1" x14ac:dyDescent="0.2">
      <c r="A48" s="344" t="s">
        <v>417</v>
      </c>
      <c r="B48" s="346" t="s">
        <v>423</v>
      </c>
      <c r="C48" s="345"/>
      <c r="D48" s="345"/>
      <c r="E48" s="345"/>
      <c r="F48" s="345"/>
      <c r="G48" s="349" t="s">
        <v>711</v>
      </c>
      <c r="H48" s="183"/>
      <c r="I48" s="122"/>
      <c r="J48" s="122"/>
      <c r="K48" s="122"/>
      <c r="L48" s="122"/>
      <c r="M48" s="122"/>
      <c r="N48" s="122"/>
      <c r="O48" s="122"/>
      <c r="P48" s="121">
        <f t="shared" si="1"/>
        <v>0</v>
      </c>
    </row>
    <row r="49" spans="1:16" ht="11.25" customHeight="1" x14ac:dyDescent="0.2">
      <c r="A49" s="344" t="s">
        <v>420</v>
      </c>
      <c r="B49" s="346" t="s">
        <v>426</v>
      </c>
      <c r="C49" s="345"/>
      <c r="D49" s="345"/>
      <c r="E49" s="345"/>
      <c r="F49" s="345"/>
      <c r="G49" s="349" t="s">
        <v>712</v>
      </c>
      <c r="H49" s="183"/>
      <c r="I49" s="122"/>
      <c r="J49" s="122"/>
      <c r="K49" s="122"/>
      <c r="L49" s="122"/>
      <c r="M49" s="122"/>
      <c r="N49" s="122"/>
      <c r="O49" s="122"/>
      <c r="P49" s="121">
        <f t="shared" si="1"/>
        <v>0</v>
      </c>
    </row>
    <row r="50" spans="1:16" ht="11.25" customHeight="1" x14ac:dyDescent="0.2">
      <c r="A50" s="483" t="s">
        <v>468</v>
      </c>
      <c r="B50" s="484"/>
      <c r="C50" s="484"/>
      <c r="D50" s="484"/>
      <c r="E50" s="484"/>
      <c r="F50" s="485"/>
      <c r="G50" s="359" t="s">
        <v>469</v>
      </c>
      <c r="H50" s="183"/>
      <c r="I50" s="121">
        <f>I10+I28+I44</f>
        <v>0</v>
      </c>
      <c r="J50" s="121">
        <f t="shared" ref="J50:O50" si="8">J10+J28+J44</f>
        <v>0</v>
      </c>
      <c r="K50" s="121">
        <f t="shared" si="8"/>
        <v>0</v>
      </c>
      <c r="L50" s="121">
        <f t="shared" si="8"/>
        <v>0</v>
      </c>
      <c r="M50" s="121">
        <f t="shared" si="8"/>
        <v>0</v>
      </c>
      <c r="N50" s="121">
        <f t="shared" si="8"/>
        <v>0</v>
      </c>
      <c r="O50" s="121">
        <f t="shared" si="8"/>
        <v>0</v>
      </c>
      <c r="P50" s="121">
        <f t="shared" si="1"/>
        <v>0</v>
      </c>
    </row>
    <row r="51" spans="1:16" ht="11.25" customHeight="1" x14ac:dyDescent="0.2">
      <c r="A51" s="202" t="s">
        <v>651</v>
      </c>
      <c r="B51" s="203"/>
      <c r="C51" s="204"/>
      <c r="D51" s="174"/>
      <c r="E51" s="174"/>
      <c r="F51" s="192"/>
      <c r="G51" s="359" t="s">
        <v>721</v>
      </c>
      <c r="H51" s="183"/>
      <c r="I51" s="122"/>
      <c r="J51" s="122"/>
      <c r="K51" s="122"/>
      <c r="L51" s="122"/>
      <c r="M51" s="122"/>
      <c r="N51" s="122"/>
      <c r="O51" s="122"/>
      <c r="P51" s="121">
        <f t="shared" si="1"/>
        <v>0</v>
      </c>
    </row>
    <row r="52" spans="1:16" ht="11.25" customHeight="1" x14ac:dyDescent="0.2">
      <c r="A52" s="191" t="s">
        <v>470</v>
      </c>
      <c r="B52" s="174"/>
      <c r="C52" s="174"/>
      <c r="D52" s="174"/>
      <c r="E52" s="174"/>
      <c r="F52" s="192"/>
      <c r="G52" s="359" t="s">
        <v>471</v>
      </c>
      <c r="H52" s="183"/>
      <c r="I52" s="121">
        <f>I50-I51</f>
        <v>0</v>
      </c>
      <c r="J52" s="121">
        <f t="shared" ref="J52:O52" si="9">J50-J51</f>
        <v>0</v>
      </c>
      <c r="K52" s="121">
        <f t="shared" si="9"/>
        <v>0</v>
      </c>
      <c r="L52" s="121">
        <f t="shared" si="9"/>
        <v>0</v>
      </c>
      <c r="M52" s="121">
        <f t="shared" si="9"/>
        <v>0</v>
      </c>
      <c r="N52" s="121">
        <f t="shared" si="9"/>
        <v>0</v>
      </c>
      <c r="O52" s="121">
        <f t="shared" si="9"/>
        <v>0</v>
      </c>
      <c r="P52" s="121">
        <f t="shared" si="1"/>
        <v>0</v>
      </c>
    </row>
    <row r="53" spans="1:16" ht="11.25" customHeight="1" x14ac:dyDescent="0.2">
      <c r="A53" s="486" t="s">
        <v>472</v>
      </c>
      <c r="B53" s="487"/>
      <c r="C53" s="487"/>
      <c r="D53" s="487"/>
      <c r="E53" s="487"/>
      <c r="F53" s="488"/>
      <c r="G53" s="349"/>
      <c r="H53" s="123"/>
      <c r="I53" s="124"/>
      <c r="J53" s="124"/>
      <c r="K53" s="124"/>
      <c r="L53" s="124"/>
      <c r="M53" s="124"/>
      <c r="N53" s="124"/>
      <c r="O53" s="124"/>
      <c r="P53" s="121"/>
    </row>
    <row r="54" spans="1:16" ht="11.25" customHeight="1" x14ac:dyDescent="0.2">
      <c r="A54" s="185" t="s">
        <v>407</v>
      </c>
      <c r="B54" s="175"/>
      <c r="C54" s="175"/>
      <c r="D54" s="175"/>
      <c r="E54" s="175"/>
      <c r="F54" s="193"/>
      <c r="G54" s="349" t="s">
        <v>473</v>
      </c>
      <c r="H54" s="123"/>
      <c r="I54" s="121">
        <f>I55+I58+I59+I65+I70+I71+I72+I73+I74+I75</f>
        <v>0</v>
      </c>
      <c r="J54" s="121">
        <f t="shared" ref="J54:O54" si="10">J55+J58+J59+J65+J70+J71+J72+J73+J74+J75</f>
        <v>0</v>
      </c>
      <c r="K54" s="121">
        <f t="shared" si="10"/>
        <v>0</v>
      </c>
      <c r="L54" s="121">
        <f t="shared" si="10"/>
        <v>0</v>
      </c>
      <c r="M54" s="121">
        <f t="shared" si="10"/>
        <v>0</v>
      </c>
      <c r="N54" s="121">
        <f t="shared" si="10"/>
        <v>0</v>
      </c>
      <c r="O54" s="121">
        <f t="shared" si="10"/>
        <v>0</v>
      </c>
      <c r="P54" s="121">
        <f t="shared" si="1"/>
        <v>0</v>
      </c>
    </row>
    <row r="55" spans="1:16" ht="11.25" customHeight="1" x14ac:dyDescent="0.2">
      <c r="A55" s="196" t="s">
        <v>18</v>
      </c>
      <c r="B55" s="197" t="s">
        <v>474</v>
      </c>
      <c r="C55" s="198"/>
      <c r="F55" s="188"/>
      <c r="G55" s="349" t="s">
        <v>475</v>
      </c>
      <c r="H55" s="180"/>
      <c r="I55" s="121">
        <f>I56+I57</f>
        <v>0</v>
      </c>
      <c r="J55" s="121">
        <f t="shared" ref="J55:O55" si="11">J56+J57</f>
        <v>0</v>
      </c>
      <c r="K55" s="121">
        <f t="shared" si="11"/>
        <v>0</v>
      </c>
      <c r="L55" s="121">
        <f t="shared" si="11"/>
        <v>0</v>
      </c>
      <c r="M55" s="121">
        <f t="shared" si="11"/>
        <v>0</v>
      </c>
      <c r="N55" s="121">
        <f t="shared" si="11"/>
        <v>0</v>
      </c>
      <c r="O55" s="121">
        <f t="shared" si="11"/>
        <v>0</v>
      </c>
      <c r="P55" s="121">
        <f t="shared" si="1"/>
        <v>0</v>
      </c>
    </row>
    <row r="56" spans="1:16" ht="11.25" customHeight="1" x14ac:dyDescent="0.2">
      <c r="A56" s="187"/>
      <c r="B56" s="171" t="s">
        <v>391</v>
      </c>
      <c r="C56" s="467" t="s">
        <v>713</v>
      </c>
      <c r="D56" s="467"/>
      <c r="E56" s="467"/>
      <c r="F56" s="468"/>
      <c r="G56" s="357" t="s">
        <v>476</v>
      </c>
      <c r="H56" s="181"/>
      <c r="I56" s="122"/>
      <c r="J56" s="122"/>
      <c r="K56" s="122"/>
      <c r="L56" s="122"/>
      <c r="M56" s="122"/>
      <c r="N56" s="122"/>
      <c r="O56" s="122"/>
      <c r="P56" s="121">
        <f t="shared" si="1"/>
        <v>0</v>
      </c>
    </row>
    <row r="57" spans="1:16" ht="11.25" customHeight="1" x14ac:dyDescent="0.2">
      <c r="A57" s="196"/>
      <c r="B57" s="197" t="s">
        <v>393</v>
      </c>
      <c r="C57" s="198" t="s">
        <v>477</v>
      </c>
      <c r="F57" s="188"/>
      <c r="G57" s="349" t="s">
        <v>478</v>
      </c>
      <c r="H57" s="180"/>
      <c r="I57" s="122"/>
      <c r="J57" s="122"/>
      <c r="K57" s="122"/>
      <c r="L57" s="122"/>
      <c r="M57" s="122"/>
      <c r="N57" s="122"/>
      <c r="O57" s="122"/>
      <c r="P57" s="121">
        <f t="shared" si="1"/>
        <v>0</v>
      </c>
    </row>
    <row r="58" spans="1:16" ht="11.25" customHeight="1" x14ac:dyDescent="0.2">
      <c r="A58" s="189" t="s">
        <v>21</v>
      </c>
      <c r="B58" s="474" t="s">
        <v>479</v>
      </c>
      <c r="C58" s="474"/>
      <c r="D58" s="474"/>
      <c r="E58" s="474"/>
      <c r="F58" s="475"/>
      <c r="G58" s="350" t="s">
        <v>480</v>
      </c>
      <c r="H58" s="182"/>
      <c r="I58" s="122"/>
      <c r="J58" s="122"/>
      <c r="K58" s="122"/>
      <c r="L58" s="122"/>
      <c r="M58" s="122"/>
      <c r="N58" s="122"/>
      <c r="O58" s="122"/>
      <c r="P58" s="121">
        <f t="shared" si="1"/>
        <v>0</v>
      </c>
    </row>
    <row r="59" spans="1:16" ht="11.25" customHeight="1" x14ac:dyDescent="0.2">
      <c r="A59" s="196" t="s">
        <v>172</v>
      </c>
      <c r="B59" s="197" t="s">
        <v>481</v>
      </c>
      <c r="C59" s="198"/>
      <c r="F59" s="188"/>
      <c r="G59" s="349" t="s">
        <v>482</v>
      </c>
      <c r="H59" s="180"/>
      <c r="I59" s="121">
        <f>I60+I61+I62+I63+I64</f>
        <v>0</v>
      </c>
      <c r="J59" s="284"/>
      <c r="K59" s="284"/>
      <c r="L59" s="121">
        <f>L60+L61+L62+L63+L64</f>
        <v>0</v>
      </c>
      <c r="M59" s="121">
        <f>M60+M61+M62+M63+M64</f>
        <v>0</v>
      </c>
      <c r="N59" s="121">
        <f>N60+N61+N62+N63+N64</f>
        <v>0</v>
      </c>
      <c r="O59" s="121">
        <f>O60+O61+O62+O63+O64</f>
        <v>0</v>
      </c>
      <c r="P59" s="121">
        <f t="shared" si="1"/>
        <v>0</v>
      </c>
    </row>
    <row r="60" spans="1:16" ht="11.25" customHeight="1" x14ac:dyDescent="0.2">
      <c r="A60" s="187"/>
      <c r="B60" s="171" t="s">
        <v>391</v>
      </c>
      <c r="C60" s="171" t="s">
        <v>483</v>
      </c>
      <c r="F60" s="188"/>
      <c r="G60" s="349" t="s">
        <v>484</v>
      </c>
      <c r="H60" s="180"/>
      <c r="I60" s="122"/>
      <c r="J60" s="285"/>
      <c r="K60" s="285"/>
      <c r="L60" s="122"/>
      <c r="M60" s="122"/>
      <c r="N60" s="122"/>
      <c r="O60" s="122"/>
      <c r="P60" s="121">
        <f t="shared" si="1"/>
        <v>0</v>
      </c>
    </row>
    <row r="61" spans="1:16" ht="11.25" customHeight="1" x14ac:dyDescent="0.2">
      <c r="A61" s="196"/>
      <c r="B61" s="197" t="s">
        <v>393</v>
      </c>
      <c r="C61" s="198" t="s">
        <v>485</v>
      </c>
      <c r="F61" s="188"/>
      <c r="G61" s="349" t="s">
        <v>486</v>
      </c>
      <c r="H61" s="180"/>
      <c r="I61" s="122"/>
      <c r="J61" s="285"/>
      <c r="K61" s="285"/>
      <c r="L61" s="122"/>
      <c r="M61" s="122"/>
      <c r="N61" s="122"/>
      <c r="O61" s="122"/>
      <c r="P61" s="121">
        <f t="shared" si="1"/>
        <v>0</v>
      </c>
    </row>
    <row r="62" spans="1:16" ht="11.25" customHeight="1" x14ac:dyDescent="0.2">
      <c r="A62" s="196"/>
      <c r="B62" s="197" t="s">
        <v>435</v>
      </c>
      <c r="C62" s="198" t="s">
        <v>487</v>
      </c>
      <c r="F62" s="188"/>
      <c r="G62" s="349" t="s">
        <v>491</v>
      </c>
      <c r="H62" s="180"/>
      <c r="I62" s="122"/>
      <c r="J62" s="285"/>
      <c r="K62" s="285"/>
      <c r="L62" s="122"/>
      <c r="M62" s="122"/>
      <c r="N62" s="122"/>
      <c r="O62" s="122"/>
      <c r="P62" s="121">
        <f t="shared" si="1"/>
        <v>0</v>
      </c>
    </row>
    <row r="63" spans="1:16" ht="11.25" customHeight="1" x14ac:dyDescent="0.2">
      <c r="A63" s="196"/>
      <c r="B63" s="197" t="s">
        <v>489</v>
      </c>
      <c r="C63" s="198" t="s">
        <v>490</v>
      </c>
      <c r="F63" s="188"/>
      <c r="G63" s="349" t="s">
        <v>488</v>
      </c>
      <c r="H63" s="180"/>
      <c r="I63" s="122"/>
      <c r="J63" s="285"/>
      <c r="K63" s="285"/>
      <c r="L63" s="122"/>
      <c r="M63" s="122"/>
      <c r="N63" s="122"/>
      <c r="O63" s="122"/>
      <c r="P63" s="121">
        <f t="shared" si="1"/>
        <v>0</v>
      </c>
    </row>
    <row r="64" spans="1:16" ht="11.25" customHeight="1" x14ac:dyDescent="0.2">
      <c r="A64" s="187"/>
      <c r="B64" s="171" t="s">
        <v>492</v>
      </c>
      <c r="C64" s="171" t="s">
        <v>493</v>
      </c>
      <c r="F64" s="188"/>
      <c r="G64" s="349" t="s">
        <v>494</v>
      </c>
      <c r="H64" s="180"/>
      <c r="I64" s="122"/>
      <c r="J64" s="285"/>
      <c r="K64" s="285"/>
      <c r="L64" s="285"/>
      <c r="M64" s="285"/>
      <c r="N64" s="122"/>
      <c r="O64" s="122"/>
      <c r="P64" s="121">
        <f t="shared" si="1"/>
        <v>0</v>
      </c>
    </row>
    <row r="65" spans="1:16" ht="11.25" customHeight="1" x14ac:dyDescent="0.2">
      <c r="A65" s="196" t="s">
        <v>417</v>
      </c>
      <c r="B65" s="197" t="s">
        <v>495</v>
      </c>
      <c r="C65" s="198"/>
      <c r="F65" s="188"/>
      <c r="G65" s="349" t="s">
        <v>496</v>
      </c>
      <c r="H65" s="180"/>
      <c r="I65" s="121">
        <f t="shared" ref="I65:O65" si="12">I66+I67+I68+I69</f>
        <v>0</v>
      </c>
      <c r="J65" s="121">
        <f t="shared" si="12"/>
        <v>0</v>
      </c>
      <c r="K65" s="121">
        <f t="shared" si="12"/>
        <v>0</v>
      </c>
      <c r="L65" s="121">
        <f t="shared" si="12"/>
        <v>0</v>
      </c>
      <c r="M65" s="121">
        <f t="shared" si="12"/>
        <v>0</v>
      </c>
      <c r="N65" s="121">
        <f t="shared" si="12"/>
        <v>0</v>
      </c>
      <c r="O65" s="121">
        <f t="shared" si="12"/>
        <v>0</v>
      </c>
      <c r="P65" s="121">
        <f t="shared" si="1"/>
        <v>0</v>
      </c>
    </row>
    <row r="66" spans="1:16" ht="11.25" customHeight="1" x14ac:dyDescent="0.2">
      <c r="A66" s="187"/>
      <c r="B66" s="171" t="s">
        <v>391</v>
      </c>
      <c r="C66" s="171" t="s">
        <v>497</v>
      </c>
      <c r="F66" s="188"/>
      <c r="G66" s="349" t="s">
        <v>498</v>
      </c>
      <c r="H66" s="180"/>
      <c r="I66" s="122"/>
      <c r="J66" s="122"/>
      <c r="K66" s="122"/>
      <c r="L66" s="122"/>
      <c r="M66" s="122"/>
      <c r="N66" s="122"/>
      <c r="O66" s="122"/>
      <c r="P66" s="121">
        <f t="shared" si="1"/>
        <v>0</v>
      </c>
    </row>
    <row r="67" spans="1:16" ht="11.25" customHeight="1" x14ac:dyDescent="0.2">
      <c r="A67" s="196"/>
      <c r="B67" s="197" t="s">
        <v>393</v>
      </c>
      <c r="C67" s="198" t="s">
        <v>499</v>
      </c>
      <c r="F67" s="188"/>
      <c r="G67" s="349" t="s">
        <v>500</v>
      </c>
      <c r="H67" s="180"/>
      <c r="I67" s="122"/>
      <c r="J67" s="122"/>
      <c r="K67" s="122"/>
      <c r="L67" s="122"/>
      <c r="M67" s="122"/>
      <c r="N67" s="122"/>
      <c r="O67" s="122"/>
      <c r="P67" s="121">
        <f t="shared" si="1"/>
        <v>0</v>
      </c>
    </row>
    <row r="68" spans="1:16" ht="11.25" customHeight="1" x14ac:dyDescent="0.2">
      <c r="A68" s="187"/>
      <c r="B68" s="171" t="s">
        <v>435</v>
      </c>
      <c r="C68" s="171" t="s">
        <v>501</v>
      </c>
      <c r="F68" s="188"/>
      <c r="G68" s="349" t="s">
        <v>502</v>
      </c>
      <c r="H68" s="180"/>
      <c r="I68" s="122"/>
      <c r="J68" s="122"/>
      <c r="K68" s="122"/>
      <c r="L68" s="122"/>
      <c r="M68" s="122"/>
      <c r="N68" s="122"/>
      <c r="O68" s="122"/>
      <c r="P68" s="121">
        <f t="shared" si="1"/>
        <v>0</v>
      </c>
    </row>
    <row r="69" spans="1:16" ht="11.25" customHeight="1" x14ac:dyDescent="0.2">
      <c r="A69" s="196"/>
      <c r="B69" s="197" t="s">
        <v>489</v>
      </c>
      <c r="C69" s="197" t="s">
        <v>447</v>
      </c>
      <c r="F69" s="188"/>
      <c r="G69" s="349" t="s">
        <v>725</v>
      </c>
      <c r="H69" s="180"/>
      <c r="I69" s="122"/>
      <c r="J69" s="122"/>
      <c r="K69" s="122"/>
      <c r="L69" s="122"/>
      <c r="M69" s="122"/>
      <c r="N69" s="122"/>
      <c r="O69" s="122"/>
      <c r="P69" s="121">
        <f t="shared" si="1"/>
        <v>0</v>
      </c>
    </row>
    <row r="70" spans="1:16" ht="11.25" customHeight="1" x14ac:dyDescent="0.2">
      <c r="A70" s="196" t="s">
        <v>420</v>
      </c>
      <c r="B70" s="197" t="s">
        <v>503</v>
      </c>
      <c r="C70" s="198"/>
      <c r="F70" s="188"/>
      <c r="G70" s="349" t="s">
        <v>504</v>
      </c>
      <c r="H70" s="180"/>
      <c r="I70" s="122"/>
      <c r="J70" s="122"/>
      <c r="K70" s="122"/>
      <c r="L70" s="122"/>
      <c r="M70" s="122"/>
      <c r="N70" s="122"/>
      <c r="O70" s="122"/>
      <c r="P70" s="121">
        <f t="shared" si="1"/>
        <v>0</v>
      </c>
    </row>
    <row r="71" spans="1:16" ht="11.25" customHeight="1" x14ac:dyDescent="0.2">
      <c r="A71" s="187" t="s">
        <v>422</v>
      </c>
      <c r="B71" s="171" t="s">
        <v>505</v>
      </c>
      <c r="F71" s="188"/>
      <c r="G71" s="349" t="s">
        <v>506</v>
      </c>
      <c r="H71" s="180"/>
      <c r="I71" s="122"/>
      <c r="J71" s="122"/>
      <c r="K71" s="122"/>
      <c r="L71" s="122"/>
      <c r="M71" s="122"/>
      <c r="N71" s="122"/>
      <c r="O71" s="122"/>
      <c r="P71" s="121">
        <f t="shared" si="1"/>
        <v>0</v>
      </c>
    </row>
    <row r="72" spans="1:16" ht="11.25" customHeight="1" x14ac:dyDescent="0.2">
      <c r="A72" s="196" t="s">
        <v>425</v>
      </c>
      <c r="B72" s="197" t="s">
        <v>507</v>
      </c>
      <c r="C72" s="198"/>
      <c r="F72" s="188"/>
      <c r="G72" s="349" t="s">
        <v>508</v>
      </c>
      <c r="H72" s="180"/>
      <c r="I72" s="122"/>
      <c r="J72" s="122"/>
      <c r="K72" s="122"/>
      <c r="L72" s="285"/>
      <c r="M72" s="285"/>
      <c r="N72" s="122"/>
      <c r="O72" s="122"/>
      <c r="P72" s="121">
        <f t="shared" si="1"/>
        <v>0</v>
      </c>
    </row>
    <row r="73" spans="1:16" ht="11.25" customHeight="1" x14ac:dyDescent="0.2">
      <c r="A73" s="187" t="s">
        <v>428</v>
      </c>
      <c r="B73" s="171" t="s">
        <v>714</v>
      </c>
      <c r="C73" s="173"/>
      <c r="F73" s="188"/>
      <c r="G73" s="349" t="s">
        <v>509</v>
      </c>
      <c r="H73" s="180"/>
      <c r="I73" s="122"/>
      <c r="J73" s="122"/>
      <c r="K73" s="122"/>
      <c r="L73" s="122"/>
      <c r="M73" s="122"/>
      <c r="N73" s="122"/>
      <c r="O73" s="122"/>
      <c r="P73" s="121">
        <f t="shared" si="1"/>
        <v>0</v>
      </c>
    </row>
    <row r="74" spans="1:16" ht="11.25" customHeight="1" x14ac:dyDescent="0.2">
      <c r="A74" s="196" t="s">
        <v>438</v>
      </c>
      <c r="B74" s="197" t="s">
        <v>510</v>
      </c>
      <c r="C74" s="200"/>
      <c r="F74" s="188"/>
      <c r="G74" s="349" t="s">
        <v>511</v>
      </c>
      <c r="H74" s="180"/>
      <c r="I74" s="122"/>
      <c r="J74" s="122"/>
      <c r="K74" s="122"/>
      <c r="L74" s="122"/>
      <c r="M74" s="122"/>
      <c r="N74" s="122"/>
      <c r="O74" s="122"/>
      <c r="P74" s="121">
        <f t="shared" si="1"/>
        <v>0</v>
      </c>
    </row>
    <row r="75" spans="1:16" ht="11.25" customHeight="1" x14ac:dyDescent="0.2">
      <c r="A75" s="187" t="s">
        <v>441</v>
      </c>
      <c r="B75" s="171" t="s">
        <v>447</v>
      </c>
      <c r="C75" s="173"/>
      <c r="F75" s="188"/>
      <c r="G75" s="349" t="s">
        <v>512</v>
      </c>
      <c r="H75" s="180"/>
      <c r="I75" s="122"/>
      <c r="J75" s="122"/>
      <c r="K75" s="122"/>
      <c r="L75" s="122"/>
      <c r="M75" s="122"/>
      <c r="N75" s="122"/>
      <c r="O75" s="122"/>
      <c r="P75" s="121">
        <f t="shared" si="1"/>
        <v>0</v>
      </c>
    </row>
    <row r="76" spans="1:16" ht="11.25" customHeight="1" x14ac:dyDescent="0.2">
      <c r="A76" s="194" t="s">
        <v>449</v>
      </c>
      <c r="B76" s="205"/>
      <c r="C76" s="206"/>
      <c r="D76" s="175"/>
      <c r="E76" s="175"/>
      <c r="F76" s="193"/>
      <c r="G76" s="349" t="s">
        <v>513</v>
      </c>
      <c r="H76" s="123"/>
      <c r="I76" s="121">
        <f>I77+I80+I81+I87+I91+I92+I93+I94+I95+I96</f>
        <v>0</v>
      </c>
      <c r="J76" s="121">
        <f t="shared" ref="J76:O76" si="13">J77+J80+J81+J87+J91+J92+J93+J94+J95+J96</f>
        <v>0</v>
      </c>
      <c r="K76" s="121">
        <f t="shared" si="13"/>
        <v>0</v>
      </c>
      <c r="L76" s="121">
        <f t="shared" si="13"/>
        <v>0</v>
      </c>
      <c r="M76" s="121">
        <f t="shared" si="13"/>
        <v>0</v>
      </c>
      <c r="N76" s="121">
        <f t="shared" si="13"/>
        <v>0</v>
      </c>
      <c r="O76" s="121">
        <f t="shared" si="13"/>
        <v>0</v>
      </c>
      <c r="P76" s="121">
        <f t="shared" si="1"/>
        <v>0</v>
      </c>
    </row>
    <row r="77" spans="1:16" ht="11.25" customHeight="1" x14ac:dyDescent="0.2">
      <c r="A77" s="187" t="s">
        <v>18</v>
      </c>
      <c r="B77" s="171" t="s">
        <v>474</v>
      </c>
      <c r="F77" s="188"/>
      <c r="G77" s="349" t="s">
        <v>514</v>
      </c>
      <c r="H77" s="180"/>
      <c r="I77" s="121">
        <f>I78+I79</f>
        <v>0</v>
      </c>
      <c r="J77" s="121">
        <f t="shared" ref="J77:O77" si="14">J78+J79</f>
        <v>0</v>
      </c>
      <c r="K77" s="121">
        <f t="shared" si="14"/>
        <v>0</v>
      </c>
      <c r="L77" s="121">
        <f t="shared" si="14"/>
        <v>0</v>
      </c>
      <c r="M77" s="121">
        <f t="shared" si="14"/>
        <v>0</v>
      </c>
      <c r="N77" s="121">
        <f t="shared" si="14"/>
        <v>0</v>
      </c>
      <c r="O77" s="121">
        <f t="shared" si="14"/>
        <v>0</v>
      </c>
      <c r="P77" s="121">
        <f t="shared" si="1"/>
        <v>0</v>
      </c>
    </row>
    <row r="78" spans="1:16" ht="11.25" customHeight="1" x14ac:dyDescent="0.2">
      <c r="A78" s="196"/>
      <c r="B78" s="197" t="s">
        <v>391</v>
      </c>
      <c r="C78" s="469" t="s">
        <v>713</v>
      </c>
      <c r="D78" s="469"/>
      <c r="E78" s="469"/>
      <c r="F78" s="470"/>
      <c r="G78" s="357" t="s">
        <v>515</v>
      </c>
      <c r="H78" s="181"/>
      <c r="I78" s="285"/>
      <c r="J78" s="122"/>
      <c r="K78" s="122"/>
      <c r="L78" s="122"/>
      <c r="M78" s="122"/>
      <c r="N78" s="122"/>
      <c r="O78" s="122"/>
      <c r="P78" s="121">
        <f t="shared" si="1"/>
        <v>0</v>
      </c>
    </row>
    <row r="79" spans="1:16" ht="11.25" customHeight="1" x14ac:dyDescent="0.2">
      <c r="A79" s="187"/>
      <c r="B79" s="171" t="s">
        <v>393</v>
      </c>
      <c r="C79" s="171" t="s">
        <v>477</v>
      </c>
      <c r="F79" s="188"/>
      <c r="G79" s="349" t="s">
        <v>516</v>
      </c>
      <c r="H79" s="180"/>
      <c r="I79" s="122"/>
      <c r="J79" s="122"/>
      <c r="K79" s="122"/>
      <c r="L79" s="122"/>
      <c r="M79" s="122"/>
      <c r="N79" s="122"/>
      <c r="O79" s="122"/>
      <c r="P79" s="121">
        <f t="shared" si="1"/>
        <v>0</v>
      </c>
    </row>
    <row r="80" spans="1:16" ht="11.25" customHeight="1" x14ac:dyDescent="0.2">
      <c r="A80" s="199" t="s">
        <v>21</v>
      </c>
      <c r="B80" s="471" t="s">
        <v>479</v>
      </c>
      <c r="C80" s="471"/>
      <c r="D80" s="471"/>
      <c r="E80" s="471"/>
      <c r="F80" s="472"/>
      <c r="G80" s="350" t="s">
        <v>517</v>
      </c>
      <c r="H80" s="182"/>
      <c r="I80" s="122"/>
      <c r="J80" s="122"/>
      <c r="K80" s="122"/>
      <c r="L80" s="122"/>
      <c r="M80" s="122"/>
      <c r="N80" s="122"/>
      <c r="O80" s="122"/>
      <c r="P80" s="121">
        <f t="shared" si="1"/>
        <v>0</v>
      </c>
    </row>
    <row r="81" spans="1:16" ht="11.25" customHeight="1" x14ac:dyDescent="0.2">
      <c r="A81" s="187" t="s">
        <v>172</v>
      </c>
      <c r="B81" s="171" t="s">
        <v>481</v>
      </c>
      <c r="F81" s="188"/>
      <c r="G81" s="349" t="s">
        <v>518</v>
      </c>
      <c r="H81" s="180"/>
      <c r="I81" s="121">
        <f t="shared" ref="I81:O81" si="15">I82+I83+I84+I85+I86</f>
        <v>0</v>
      </c>
      <c r="J81" s="284"/>
      <c r="K81" s="284"/>
      <c r="L81" s="121">
        <f t="shared" si="15"/>
        <v>0</v>
      </c>
      <c r="M81" s="121">
        <f t="shared" si="15"/>
        <v>0</v>
      </c>
      <c r="N81" s="121">
        <f t="shared" si="15"/>
        <v>0</v>
      </c>
      <c r="O81" s="121">
        <f t="shared" si="15"/>
        <v>0</v>
      </c>
      <c r="P81" s="121">
        <f t="shared" ref="P81:P97" si="16">I81+K81+M81+O81</f>
        <v>0</v>
      </c>
    </row>
    <row r="82" spans="1:16" ht="11.25" customHeight="1" x14ac:dyDescent="0.2">
      <c r="A82" s="196"/>
      <c r="B82" s="197" t="s">
        <v>391</v>
      </c>
      <c r="C82" s="198" t="s">
        <v>483</v>
      </c>
      <c r="F82" s="188"/>
      <c r="G82" s="349" t="s">
        <v>519</v>
      </c>
      <c r="H82" s="180"/>
      <c r="I82" s="122"/>
      <c r="J82" s="285"/>
      <c r="K82" s="285"/>
      <c r="L82" s="122"/>
      <c r="M82" s="122"/>
      <c r="N82" s="122"/>
      <c r="O82" s="122"/>
      <c r="P82" s="121">
        <f t="shared" si="16"/>
        <v>0</v>
      </c>
    </row>
    <row r="83" spans="1:16" ht="11.25" customHeight="1" x14ac:dyDescent="0.2">
      <c r="A83" s="187"/>
      <c r="B83" s="171" t="s">
        <v>393</v>
      </c>
      <c r="C83" s="171" t="s">
        <v>485</v>
      </c>
      <c r="F83" s="188"/>
      <c r="G83" s="349" t="s">
        <v>520</v>
      </c>
      <c r="H83" s="180"/>
      <c r="I83" s="122"/>
      <c r="J83" s="285"/>
      <c r="K83" s="285"/>
      <c r="L83" s="122"/>
      <c r="M83" s="122"/>
      <c r="N83" s="122"/>
      <c r="O83" s="122"/>
      <c r="P83" s="121">
        <f t="shared" si="16"/>
        <v>0</v>
      </c>
    </row>
    <row r="84" spans="1:16" ht="11.25" customHeight="1" x14ac:dyDescent="0.2">
      <c r="A84" s="196"/>
      <c r="B84" s="197" t="s">
        <v>435</v>
      </c>
      <c r="C84" s="198" t="s">
        <v>487</v>
      </c>
      <c r="F84" s="188"/>
      <c r="G84" s="349" t="s">
        <v>522</v>
      </c>
      <c r="H84" s="180"/>
      <c r="I84" s="122"/>
      <c r="J84" s="285"/>
      <c r="K84" s="285"/>
      <c r="L84" s="122"/>
      <c r="M84" s="122"/>
      <c r="N84" s="122"/>
      <c r="O84" s="122"/>
      <c r="P84" s="121">
        <f t="shared" si="16"/>
        <v>0</v>
      </c>
    </row>
    <row r="85" spans="1:16" ht="11.25" customHeight="1" x14ac:dyDescent="0.2">
      <c r="A85" s="187"/>
      <c r="B85" s="171" t="s">
        <v>489</v>
      </c>
      <c r="C85" s="171" t="s">
        <v>490</v>
      </c>
      <c r="F85" s="188"/>
      <c r="G85" s="349" t="s">
        <v>521</v>
      </c>
      <c r="H85" s="180"/>
      <c r="I85" s="122"/>
      <c r="J85" s="285"/>
      <c r="K85" s="285"/>
      <c r="L85" s="122"/>
      <c r="M85" s="122"/>
      <c r="N85" s="122"/>
      <c r="O85" s="122"/>
      <c r="P85" s="121">
        <f t="shared" si="16"/>
        <v>0</v>
      </c>
    </row>
    <row r="86" spans="1:16" ht="11.25" customHeight="1" x14ac:dyDescent="0.2">
      <c r="A86" s="196"/>
      <c r="B86" s="197" t="s">
        <v>492</v>
      </c>
      <c r="C86" s="198" t="s">
        <v>493</v>
      </c>
      <c r="F86" s="188"/>
      <c r="G86" s="349" t="s">
        <v>523</v>
      </c>
      <c r="H86" s="180"/>
      <c r="I86" s="122"/>
      <c r="J86" s="285"/>
      <c r="K86" s="285"/>
      <c r="L86" s="285"/>
      <c r="M86" s="285"/>
      <c r="N86" s="122"/>
      <c r="O86" s="122"/>
      <c r="P86" s="121">
        <f t="shared" si="16"/>
        <v>0</v>
      </c>
    </row>
    <row r="87" spans="1:16" ht="11.25" customHeight="1" x14ac:dyDescent="0.2">
      <c r="A87" s="187" t="s">
        <v>417</v>
      </c>
      <c r="B87" s="171" t="s">
        <v>495</v>
      </c>
      <c r="F87" s="188"/>
      <c r="G87" s="349" t="s">
        <v>524</v>
      </c>
      <c r="H87" s="180"/>
      <c r="I87" s="121">
        <f>I88+I89+I90</f>
        <v>0</v>
      </c>
      <c r="J87" s="121">
        <f t="shared" ref="J87:O87" si="17">J88+J89+J90</f>
        <v>0</v>
      </c>
      <c r="K87" s="121">
        <f t="shared" si="17"/>
        <v>0</v>
      </c>
      <c r="L87" s="121">
        <f t="shared" si="17"/>
        <v>0</v>
      </c>
      <c r="M87" s="121">
        <f t="shared" si="17"/>
        <v>0</v>
      </c>
      <c r="N87" s="121">
        <f t="shared" si="17"/>
        <v>0</v>
      </c>
      <c r="O87" s="121">
        <f t="shared" si="17"/>
        <v>0</v>
      </c>
      <c r="P87" s="121">
        <f t="shared" si="16"/>
        <v>0</v>
      </c>
    </row>
    <row r="88" spans="1:16" ht="11.25" customHeight="1" x14ac:dyDescent="0.2">
      <c r="A88" s="196"/>
      <c r="B88" s="197" t="s">
        <v>391</v>
      </c>
      <c r="C88" s="198" t="s">
        <v>499</v>
      </c>
      <c r="F88" s="188"/>
      <c r="G88" s="349" t="s">
        <v>525</v>
      </c>
      <c r="H88" s="180"/>
      <c r="I88" s="285"/>
      <c r="J88" s="122"/>
      <c r="K88" s="122"/>
      <c r="L88" s="122"/>
      <c r="M88" s="122"/>
      <c r="N88" s="122"/>
      <c r="O88" s="122"/>
      <c r="P88" s="121">
        <f t="shared" si="16"/>
        <v>0</v>
      </c>
    </row>
    <row r="89" spans="1:16" ht="11.25" customHeight="1" x14ac:dyDescent="0.2">
      <c r="A89" s="196"/>
      <c r="B89" s="171" t="s">
        <v>393</v>
      </c>
      <c r="C89" s="171" t="s">
        <v>501</v>
      </c>
      <c r="F89" s="188"/>
      <c r="G89" s="349" t="s">
        <v>526</v>
      </c>
      <c r="H89" s="180"/>
      <c r="I89" s="122"/>
      <c r="J89" s="122"/>
      <c r="K89" s="122"/>
      <c r="L89" s="122"/>
      <c r="M89" s="122"/>
      <c r="N89" s="122"/>
      <c r="O89" s="122"/>
      <c r="P89" s="121">
        <f t="shared" si="16"/>
        <v>0</v>
      </c>
    </row>
    <row r="90" spans="1:16" ht="11.25" customHeight="1" x14ac:dyDescent="0.2">
      <c r="A90" s="187"/>
      <c r="B90" s="197" t="s">
        <v>435</v>
      </c>
      <c r="C90" s="198" t="s">
        <v>447</v>
      </c>
      <c r="F90" s="188"/>
      <c r="G90" s="349" t="s">
        <v>715</v>
      </c>
      <c r="H90" s="180"/>
      <c r="I90" s="122"/>
      <c r="J90" s="122"/>
      <c r="K90" s="122"/>
      <c r="L90" s="122"/>
      <c r="M90" s="122"/>
      <c r="N90" s="122"/>
      <c r="O90" s="122"/>
      <c r="P90" s="121">
        <f t="shared" si="16"/>
        <v>0</v>
      </c>
    </row>
    <row r="91" spans="1:16" ht="11.25" customHeight="1" x14ac:dyDescent="0.2">
      <c r="A91" s="196" t="s">
        <v>420</v>
      </c>
      <c r="B91" s="197" t="s">
        <v>503</v>
      </c>
      <c r="C91" s="198"/>
      <c r="F91" s="188"/>
      <c r="G91" s="349" t="s">
        <v>527</v>
      </c>
      <c r="H91" s="180"/>
      <c r="I91" s="285"/>
      <c r="J91" s="122"/>
      <c r="K91" s="122"/>
      <c r="L91" s="122"/>
      <c r="M91" s="122"/>
      <c r="N91" s="122"/>
      <c r="O91" s="122"/>
      <c r="P91" s="121">
        <f t="shared" si="16"/>
        <v>0</v>
      </c>
    </row>
    <row r="92" spans="1:16" ht="11.25" customHeight="1" x14ac:dyDescent="0.2">
      <c r="A92" s="187" t="s">
        <v>422</v>
      </c>
      <c r="B92" s="171" t="s">
        <v>505</v>
      </c>
      <c r="F92" s="188"/>
      <c r="G92" s="349" t="s">
        <v>528</v>
      </c>
      <c r="H92" s="180"/>
      <c r="I92" s="285"/>
      <c r="J92" s="122"/>
      <c r="K92" s="122"/>
      <c r="L92" s="122"/>
      <c r="M92" s="122"/>
      <c r="N92" s="122"/>
      <c r="O92" s="122"/>
      <c r="P92" s="121">
        <f t="shared" si="16"/>
        <v>0</v>
      </c>
    </row>
    <row r="93" spans="1:16" ht="11.25" customHeight="1" x14ac:dyDescent="0.2">
      <c r="A93" s="196" t="s">
        <v>425</v>
      </c>
      <c r="B93" s="197" t="s">
        <v>507</v>
      </c>
      <c r="C93" s="198"/>
      <c r="F93" s="188"/>
      <c r="G93" s="349" t="s">
        <v>529</v>
      </c>
      <c r="H93" s="180"/>
      <c r="I93" s="285"/>
      <c r="J93" s="122"/>
      <c r="K93" s="122"/>
      <c r="L93" s="285"/>
      <c r="M93" s="285"/>
      <c r="N93" s="122"/>
      <c r="O93" s="122"/>
      <c r="P93" s="121">
        <f t="shared" si="16"/>
        <v>0</v>
      </c>
    </row>
    <row r="94" spans="1:16" ht="11.25" customHeight="1" x14ac:dyDescent="0.2">
      <c r="A94" s="187" t="s">
        <v>428</v>
      </c>
      <c r="B94" s="171" t="s">
        <v>714</v>
      </c>
      <c r="C94" s="173"/>
      <c r="F94" s="188"/>
      <c r="G94" s="349" t="s">
        <v>530</v>
      </c>
      <c r="H94" s="180"/>
      <c r="I94" s="285"/>
      <c r="J94" s="122"/>
      <c r="K94" s="122"/>
      <c r="L94" s="122"/>
      <c r="M94" s="122"/>
      <c r="N94" s="122"/>
      <c r="O94" s="122"/>
      <c r="P94" s="121">
        <f t="shared" si="16"/>
        <v>0</v>
      </c>
    </row>
    <row r="95" spans="1:16" ht="11.25" customHeight="1" x14ac:dyDescent="0.2">
      <c r="A95" s="196" t="s">
        <v>438</v>
      </c>
      <c r="B95" s="197" t="s">
        <v>510</v>
      </c>
      <c r="C95" s="200"/>
      <c r="F95" s="188"/>
      <c r="G95" s="349" t="s">
        <v>531</v>
      </c>
      <c r="H95" s="180"/>
      <c r="I95" s="285"/>
      <c r="J95" s="122"/>
      <c r="K95" s="122"/>
      <c r="L95" s="122"/>
      <c r="M95" s="122"/>
      <c r="N95" s="122"/>
      <c r="O95" s="122"/>
      <c r="P95" s="121">
        <f t="shared" si="16"/>
        <v>0</v>
      </c>
    </row>
    <row r="96" spans="1:16" ht="11.25" customHeight="1" x14ac:dyDescent="0.2">
      <c r="A96" s="187" t="s">
        <v>441</v>
      </c>
      <c r="B96" s="171" t="s">
        <v>447</v>
      </c>
      <c r="C96" s="173"/>
      <c r="F96" s="188"/>
      <c r="G96" s="349" t="s">
        <v>532</v>
      </c>
      <c r="H96" s="180"/>
      <c r="I96" s="122"/>
      <c r="J96" s="122"/>
      <c r="K96" s="122"/>
      <c r="L96" s="122"/>
      <c r="M96" s="122"/>
      <c r="N96" s="122"/>
      <c r="O96" s="122"/>
      <c r="P96" s="121">
        <f t="shared" si="16"/>
        <v>0</v>
      </c>
    </row>
    <row r="97" spans="1:16" ht="11.25" customHeight="1" x14ac:dyDescent="0.2">
      <c r="A97" s="477" t="s">
        <v>533</v>
      </c>
      <c r="B97" s="478"/>
      <c r="C97" s="478"/>
      <c r="D97" s="478"/>
      <c r="E97" s="478"/>
      <c r="F97" s="479"/>
      <c r="G97" s="349" t="s">
        <v>534</v>
      </c>
      <c r="H97" s="180"/>
      <c r="I97" s="121">
        <f>I54+I76</f>
        <v>0</v>
      </c>
      <c r="J97" s="121">
        <f t="shared" ref="J97:O97" si="18">J54+J76</f>
        <v>0</v>
      </c>
      <c r="K97" s="121">
        <f t="shared" si="18"/>
        <v>0</v>
      </c>
      <c r="L97" s="121">
        <f t="shared" si="18"/>
        <v>0</v>
      </c>
      <c r="M97" s="121">
        <f t="shared" si="18"/>
        <v>0</v>
      </c>
      <c r="N97" s="121">
        <f t="shared" si="18"/>
        <v>0</v>
      </c>
      <c r="O97" s="121">
        <f t="shared" si="18"/>
        <v>0</v>
      </c>
      <c r="P97" s="121">
        <f t="shared" si="16"/>
        <v>0</v>
      </c>
    </row>
    <row r="98" spans="1:16" ht="11.25" customHeight="1" x14ac:dyDescent="0.2">
      <c r="G98" s="336" t="s">
        <v>48</v>
      </c>
    </row>
    <row r="99" spans="1:16" ht="11.25" customHeight="1" x14ac:dyDescent="0.2">
      <c r="A99" s="347" t="s">
        <v>648</v>
      </c>
      <c r="B99" s="171" t="s">
        <v>716</v>
      </c>
    </row>
  </sheetData>
  <sheetProtection password="9BD8" sheet="1" objects="1" scenarios="1" selectLockedCells="1"/>
  <mergeCells count="35">
    <mergeCell ref="B42:F42"/>
    <mergeCell ref="C78:F78"/>
    <mergeCell ref="B80:F80"/>
    <mergeCell ref="A97:F97"/>
    <mergeCell ref="B43:C43"/>
    <mergeCell ref="A44:F44"/>
    <mergeCell ref="A50:F50"/>
    <mergeCell ref="A53:F53"/>
    <mergeCell ref="C56:F56"/>
    <mergeCell ref="I7:I8"/>
    <mergeCell ref="J7:K7"/>
    <mergeCell ref="B58:F58"/>
    <mergeCell ref="B26:F26"/>
    <mergeCell ref="B27:C27"/>
    <mergeCell ref="C32:F32"/>
    <mergeCell ref="B33:F33"/>
    <mergeCell ref="B40:F40"/>
    <mergeCell ref="B41:F41"/>
    <mergeCell ref="B46:C46"/>
    <mergeCell ref="A9:F9"/>
    <mergeCell ref="C15:F15"/>
    <mergeCell ref="B16:F16"/>
    <mergeCell ref="B24:F24"/>
    <mergeCell ref="B25:F25"/>
    <mergeCell ref="A7:F8"/>
    <mergeCell ref="L7:M7"/>
    <mergeCell ref="N7:O7"/>
    <mergeCell ref="A1:P1"/>
    <mergeCell ref="A2:P2"/>
    <mergeCell ref="A3:P3"/>
    <mergeCell ref="A4:P4"/>
    <mergeCell ref="A5:P5"/>
    <mergeCell ref="A6:P6"/>
    <mergeCell ref="P7:P8"/>
    <mergeCell ref="G7:G8"/>
  </mergeCells>
  <phoneticPr fontId="8" type="noConversion"/>
  <dataValidations count="2">
    <dataValidation allowBlank="1" showInputMessage="1" showErrorMessage="1" sqref="L64:M64 J97:P97 I52:P52 I50:P50 J30:P30 I40:I49 I13:P13 I10:P10 P82:P86 I65:P65 P60:P64 P53:P58 P51 J76:O77 P31:P36 P29 P21:P27 P14:P19 P11:P12 P66:P80 I57:M57 I88:I97 L93:M93 P88:P96 I81:P81 J44:O44 J79:M79 L72:M72 I20:P20 I37:P37 J60:K64 I87:P87 I54:O55 I59:P59 I76:I80 P38:P49 I82:I86 J28:P28 I38 I28:I35"/>
    <dataValidation type="decimal" operator="greaterThanOrEqual" allowBlank="1" showInputMessage="1" showErrorMessage="1" errorTitle="Invalid Entry" error="The value you entered is not valid." sqref="I58:O58 J80:O80 L94:M96 J93:K96 J73:M75 I66:O70 L60:O63 N57:O57 J72:K72 I21:O27 N93:O96 J88:O92 I11:O12 I14:O19 J31:O36 N79:O79 J29:O29 J82:O86 I53:O53 I56:O56 I51:O51 N64:O64 I71:I75 I60:I64 J71:O71 N72:O75 J78:O78 J38:O43 J45:O49 I39 I36">
      <formula1>0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14&amp;U
  &amp;P of &amp;N&amp;C&amp;"Arial,Bold"&amp;8 MAXIMUM SAVINGS BANK, INC.  [ 03-070011 ]
 As of: June 30, 2019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F48"/>
  <sheetViews>
    <sheetView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AF1"/>
    </sheetView>
  </sheetViews>
  <sheetFormatPr defaultRowHeight="11.25" customHeight="1" x14ac:dyDescent="0.2"/>
  <cols>
    <col min="1" max="1" width="2.28515625" style="14" customWidth="1"/>
    <col min="2" max="2" width="3" style="14" customWidth="1"/>
    <col min="3" max="3" width="2.7109375" style="14" customWidth="1"/>
    <col min="4" max="4" width="31.28515625" style="14" customWidth="1"/>
    <col min="5" max="5" width="0" style="14" hidden="1" customWidth="1"/>
    <col min="6" max="6" width="8" style="14" hidden="1" customWidth="1"/>
    <col min="7" max="7" width="19.5703125" style="14" customWidth="1"/>
    <col min="8" max="8" width="16.5703125" style="14" hidden="1" customWidth="1"/>
    <col min="9" max="13" width="22.7109375" style="14" customWidth="1"/>
    <col min="14" max="15" width="22.7109375" style="14" hidden="1" customWidth="1"/>
    <col min="16" max="21" width="22.7109375" style="14" customWidth="1"/>
    <col min="22" max="23" width="22.7109375" style="14" hidden="1" customWidth="1"/>
    <col min="24" max="29" width="22.7109375" style="14" customWidth="1"/>
    <col min="30" max="31" width="22.7109375" style="14" hidden="1" customWidth="1"/>
    <col min="32" max="32" width="22.7109375" style="14" customWidth="1"/>
    <col min="33" max="16384" width="9.140625" style="14"/>
  </cols>
  <sheetData>
    <row r="1" spans="1:32" ht="11.25" customHeight="1" x14ac:dyDescent="0.2">
      <c r="A1" s="489" t="s">
        <v>719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489"/>
      <c r="P1" s="489"/>
      <c r="Q1" s="489"/>
      <c r="R1" s="489"/>
      <c r="S1" s="489"/>
      <c r="T1" s="489"/>
      <c r="U1" s="489"/>
      <c r="V1" s="489"/>
      <c r="W1" s="489"/>
      <c r="X1" s="489"/>
      <c r="Y1" s="489"/>
      <c r="Z1" s="489"/>
      <c r="AA1" s="489"/>
      <c r="AB1" s="489"/>
      <c r="AC1" s="489"/>
      <c r="AD1" s="489"/>
      <c r="AE1" s="489"/>
      <c r="AF1" s="489"/>
    </row>
    <row r="2" spans="1:32" ht="11.25" hidden="1" customHeight="1" x14ac:dyDescent="0.2">
      <c r="A2" s="398"/>
      <c r="B2" s="398"/>
      <c r="C2" s="398"/>
      <c r="D2" s="398"/>
      <c r="E2" s="398"/>
      <c r="F2" s="398"/>
      <c r="G2" s="398"/>
      <c r="H2" s="398"/>
      <c r="I2" s="398"/>
      <c r="J2" s="398"/>
      <c r="K2" s="398"/>
      <c r="L2" s="398"/>
      <c r="M2" s="398"/>
      <c r="N2" s="398"/>
      <c r="O2" s="398"/>
      <c r="P2" s="398"/>
      <c r="Q2" s="398"/>
      <c r="R2" s="398"/>
      <c r="S2" s="398"/>
      <c r="T2" s="398"/>
      <c r="U2" s="398"/>
      <c r="V2" s="398"/>
      <c r="W2" s="398"/>
      <c r="X2" s="398"/>
      <c r="Y2" s="398"/>
      <c r="Z2" s="398"/>
      <c r="AA2" s="398"/>
      <c r="AB2" s="398"/>
      <c r="AC2" s="398"/>
      <c r="AD2" s="398"/>
      <c r="AE2" s="398"/>
      <c r="AF2" s="398"/>
    </row>
    <row r="3" spans="1:32" ht="11.25" hidden="1" customHeight="1" x14ac:dyDescent="0.2">
      <c r="A3" s="398"/>
      <c r="B3" s="398"/>
      <c r="C3" s="398"/>
      <c r="D3" s="398"/>
      <c r="E3" s="398"/>
      <c r="F3" s="398"/>
      <c r="G3" s="398"/>
      <c r="H3" s="398"/>
      <c r="I3" s="398"/>
      <c r="J3" s="398"/>
      <c r="K3" s="398"/>
      <c r="L3" s="398"/>
      <c r="M3" s="398"/>
      <c r="N3" s="398"/>
      <c r="O3" s="398"/>
      <c r="P3" s="398"/>
      <c r="Q3" s="398"/>
      <c r="R3" s="398"/>
      <c r="S3" s="398"/>
      <c r="T3" s="398"/>
      <c r="U3" s="398"/>
      <c r="V3" s="398"/>
      <c r="W3" s="398"/>
      <c r="X3" s="398"/>
      <c r="Y3" s="398"/>
      <c r="Z3" s="398"/>
      <c r="AA3" s="398"/>
      <c r="AB3" s="398"/>
      <c r="AC3" s="398"/>
      <c r="AD3" s="398"/>
      <c r="AE3" s="398"/>
      <c r="AF3" s="398"/>
    </row>
    <row r="4" spans="1:32" ht="11.25" hidden="1" customHeight="1" x14ac:dyDescent="0.2">
      <c r="A4" s="398"/>
      <c r="B4" s="398"/>
      <c r="C4" s="398"/>
      <c r="D4" s="398"/>
      <c r="E4" s="398"/>
      <c r="F4" s="398"/>
      <c r="G4" s="398"/>
      <c r="H4" s="398"/>
      <c r="I4" s="398"/>
      <c r="J4" s="398"/>
      <c r="K4" s="398"/>
      <c r="L4" s="398"/>
      <c r="M4" s="398"/>
      <c r="N4" s="398"/>
      <c r="O4" s="398"/>
      <c r="P4" s="398"/>
      <c r="Q4" s="398"/>
      <c r="R4" s="398"/>
      <c r="S4" s="398"/>
      <c r="T4" s="398"/>
      <c r="U4" s="398"/>
      <c r="V4" s="398"/>
      <c r="W4" s="398"/>
      <c r="X4" s="398"/>
      <c r="Y4" s="398"/>
      <c r="Z4" s="398"/>
      <c r="AA4" s="398"/>
      <c r="AB4" s="398"/>
      <c r="AC4" s="398"/>
      <c r="AD4" s="398"/>
      <c r="AE4" s="398"/>
      <c r="AF4" s="398"/>
    </row>
    <row r="5" spans="1:32" ht="11.25" hidden="1" customHeight="1" x14ac:dyDescent="0.2">
      <c r="A5" s="398"/>
      <c r="B5" s="398"/>
      <c r="C5" s="398"/>
      <c r="D5" s="398"/>
      <c r="E5" s="398"/>
      <c r="F5" s="398"/>
      <c r="G5" s="398"/>
      <c r="H5" s="398"/>
      <c r="I5" s="398"/>
      <c r="J5" s="398"/>
      <c r="K5" s="398"/>
      <c r="L5" s="398"/>
      <c r="M5" s="398"/>
      <c r="N5" s="398"/>
      <c r="O5" s="398"/>
      <c r="P5" s="398"/>
      <c r="Q5" s="398"/>
      <c r="R5" s="398"/>
      <c r="S5" s="398"/>
      <c r="T5" s="398"/>
      <c r="U5" s="398"/>
      <c r="V5" s="398"/>
      <c r="W5" s="398"/>
      <c r="X5" s="398"/>
      <c r="Y5" s="398"/>
      <c r="Z5" s="398"/>
      <c r="AA5" s="398"/>
      <c r="AB5" s="398"/>
      <c r="AC5" s="398"/>
      <c r="AD5" s="398"/>
      <c r="AE5" s="398"/>
      <c r="AF5" s="398"/>
    </row>
    <row r="6" spans="1:32" ht="11.25" customHeight="1" x14ac:dyDescent="0.2">
      <c r="A6" s="398"/>
      <c r="B6" s="398"/>
      <c r="C6" s="398"/>
      <c r="D6" s="398"/>
      <c r="E6" s="398"/>
      <c r="F6" s="398"/>
      <c r="G6" s="398"/>
      <c r="H6" s="398"/>
      <c r="I6" s="398"/>
      <c r="J6" s="398"/>
      <c r="K6" s="398"/>
      <c r="L6" s="398"/>
      <c r="M6" s="398"/>
      <c r="N6" s="398"/>
      <c r="O6" s="398"/>
      <c r="P6" s="398"/>
      <c r="Q6" s="398"/>
      <c r="R6" s="398"/>
      <c r="S6" s="398"/>
      <c r="T6" s="398"/>
      <c r="U6" s="398"/>
      <c r="V6" s="398"/>
      <c r="W6" s="398"/>
      <c r="X6" s="398"/>
      <c r="Y6" s="398"/>
      <c r="Z6" s="398"/>
      <c r="AA6" s="398"/>
      <c r="AB6" s="398"/>
      <c r="AC6" s="398"/>
      <c r="AD6" s="398"/>
      <c r="AE6" s="398"/>
      <c r="AF6" s="398"/>
    </row>
    <row r="7" spans="1:32" ht="11.25" customHeight="1" x14ac:dyDescent="0.2">
      <c r="A7" s="401" t="s">
        <v>1</v>
      </c>
      <c r="B7" s="401"/>
      <c r="C7" s="401"/>
      <c r="D7" s="401"/>
      <c r="E7" s="401"/>
      <c r="F7" s="401"/>
      <c r="G7" s="401" t="s">
        <v>2</v>
      </c>
      <c r="H7" s="16"/>
      <c r="I7" s="401" t="s">
        <v>698</v>
      </c>
      <c r="J7" s="401"/>
      <c r="K7" s="401"/>
      <c r="L7" s="401"/>
      <c r="M7" s="401"/>
      <c r="N7" s="401"/>
      <c r="O7" s="401"/>
      <c r="P7" s="401"/>
      <c r="Q7" s="399" t="s">
        <v>535</v>
      </c>
      <c r="R7" s="399"/>
      <c r="S7" s="399"/>
      <c r="T7" s="399"/>
      <c r="U7" s="399"/>
      <c r="V7" s="399"/>
      <c r="W7" s="399"/>
      <c r="X7" s="399"/>
      <c r="Y7" s="399" t="s">
        <v>536</v>
      </c>
      <c r="Z7" s="399"/>
      <c r="AA7" s="399"/>
      <c r="AB7" s="399"/>
      <c r="AC7" s="399"/>
      <c r="AD7" s="399"/>
      <c r="AE7" s="399"/>
      <c r="AF7" s="399"/>
    </row>
    <row r="8" spans="1:32" ht="11.25" customHeight="1" x14ac:dyDescent="0.2">
      <c r="A8" s="401"/>
      <c r="B8" s="401"/>
      <c r="C8" s="401"/>
      <c r="D8" s="401"/>
      <c r="E8" s="401"/>
      <c r="F8" s="401"/>
      <c r="G8" s="401"/>
      <c r="H8" s="16"/>
      <c r="I8" s="406" t="s">
        <v>55</v>
      </c>
      <c r="J8" s="406" t="s">
        <v>4</v>
      </c>
      <c r="K8" s="406"/>
      <c r="L8" s="401" t="s">
        <v>5</v>
      </c>
      <c r="M8" s="401"/>
      <c r="N8" s="406" t="s">
        <v>6</v>
      </c>
      <c r="O8" s="406"/>
      <c r="P8" s="408" t="s">
        <v>56</v>
      </c>
      <c r="Q8" s="406" t="s">
        <v>55</v>
      </c>
      <c r="R8" s="406" t="s">
        <v>4</v>
      </c>
      <c r="S8" s="406"/>
      <c r="T8" s="401" t="s">
        <v>5</v>
      </c>
      <c r="U8" s="401"/>
      <c r="V8" s="406" t="s">
        <v>6</v>
      </c>
      <c r="W8" s="406"/>
      <c r="X8" s="408" t="s">
        <v>56</v>
      </c>
      <c r="Y8" s="406" t="s">
        <v>55</v>
      </c>
      <c r="Z8" s="406" t="s">
        <v>4</v>
      </c>
      <c r="AA8" s="406"/>
      <c r="AB8" s="401" t="s">
        <v>5</v>
      </c>
      <c r="AC8" s="401"/>
      <c r="AD8" s="406" t="s">
        <v>6</v>
      </c>
      <c r="AE8" s="406"/>
      <c r="AF8" s="408" t="s">
        <v>56</v>
      </c>
    </row>
    <row r="9" spans="1:32" ht="11.25" customHeight="1" x14ac:dyDescent="0.2">
      <c r="A9" s="423"/>
      <c r="B9" s="423"/>
      <c r="C9" s="423"/>
      <c r="D9" s="423"/>
      <c r="E9" s="401"/>
      <c r="F9" s="401"/>
      <c r="G9" s="401"/>
      <c r="H9" s="16"/>
      <c r="I9" s="406"/>
      <c r="J9" s="19" t="s">
        <v>11</v>
      </c>
      <c r="K9" s="20" t="s">
        <v>12</v>
      </c>
      <c r="L9" s="19" t="s">
        <v>11</v>
      </c>
      <c r="M9" s="20" t="s">
        <v>12</v>
      </c>
      <c r="N9" s="19" t="s">
        <v>11</v>
      </c>
      <c r="O9" s="20" t="s">
        <v>12</v>
      </c>
      <c r="P9" s="408"/>
      <c r="Q9" s="406"/>
      <c r="R9" s="19" t="s">
        <v>11</v>
      </c>
      <c r="S9" s="20" t="s">
        <v>12</v>
      </c>
      <c r="T9" s="19" t="s">
        <v>11</v>
      </c>
      <c r="U9" s="20" t="s">
        <v>12</v>
      </c>
      <c r="V9" s="19" t="s">
        <v>11</v>
      </c>
      <c r="W9" s="20" t="s">
        <v>12</v>
      </c>
      <c r="X9" s="408"/>
      <c r="Y9" s="406"/>
      <c r="Z9" s="19" t="s">
        <v>11</v>
      </c>
      <c r="AA9" s="20" t="s">
        <v>12</v>
      </c>
      <c r="AB9" s="19" t="s">
        <v>11</v>
      </c>
      <c r="AC9" s="20" t="s">
        <v>12</v>
      </c>
      <c r="AD9" s="19" t="s">
        <v>11</v>
      </c>
      <c r="AE9" s="20" t="s">
        <v>12</v>
      </c>
      <c r="AF9" s="408"/>
    </row>
    <row r="10" spans="1:32" ht="11.25" customHeight="1" x14ac:dyDescent="0.2">
      <c r="A10" s="212" t="s">
        <v>407</v>
      </c>
      <c r="B10" s="213"/>
      <c r="C10" s="143"/>
      <c r="D10" s="144"/>
      <c r="E10" s="59"/>
      <c r="F10" s="111"/>
      <c r="G10" s="352" t="s">
        <v>537</v>
      </c>
      <c r="H10" s="112"/>
      <c r="I10" s="98">
        <f>I11+I21+I31</f>
        <v>0</v>
      </c>
      <c r="J10" s="98">
        <f>J11+J21+J31</f>
        <v>0</v>
      </c>
      <c r="K10" s="98">
        <f>K11+K21+K31</f>
        <v>0</v>
      </c>
      <c r="L10" s="125"/>
      <c r="M10" s="125"/>
      <c r="N10" s="132"/>
      <c r="O10" s="132"/>
      <c r="P10" s="98">
        <f>I10+K10+M10+O10</f>
        <v>0</v>
      </c>
      <c r="Q10" s="98">
        <f>Q11+Q21+Q31</f>
        <v>0</v>
      </c>
      <c r="R10" s="98">
        <f>R11+R21+R31</f>
        <v>0</v>
      </c>
      <c r="S10" s="98">
        <f>S11+S21+S31</f>
        <v>0</v>
      </c>
      <c r="T10" s="125"/>
      <c r="U10" s="125"/>
      <c r="V10" s="132"/>
      <c r="W10" s="132"/>
      <c r="X10" s="98">
        <f t="shared" ref="X10:X47" si="0">Q10+S10+U10+W10</f>
        <v>0</v>
      </c>
      <c r="Y10" s="98">
        <f>I10-Q10</f>
        <v>0</v>
      </c>
      <c r="Z10" s="98">
        <f>J10-R10</f>
        <v>0</v>
      </c>
      <c r="AA10" s="98">
        <f>K10-S10</f>
        <v>0</v>
      </c>
      <c r="AB10" s="125"/>
      <c r="AC10" s="125"/>
      <c r="AD10" s="132"/>
      <c r="AE10" s="132"/>
      <c r="AF10" s="98">
        <f t="shared" ref="AF10:AF47" si="1">Y10+AA10+AC10+AE10</f>
        <v>0</v>
      </c>
    </row>
    <row r="11" spans="1:32" ht="11.25" customHeight="1" x14ac:dyDescent="0.2">
      <c r="A11" s="217" t="s">
        <v>59</v>
      </c>
      <c r="B11" s="78" t="s">
        <v>538</v>
      </c>
      <c r="C11" s="78"/>
      <c r="D11" s="210"/>
      <c r="E11" s="210"/>
      <c r="F11" s="111"/>
      <c r="G11" s="352" t="s">
        <v>539</v>
      </c>
      <c r="H11" s="112"/>
      <c r="I11" s="126">
        <f>I12+I15+I18</f>
        <v>0</v>
      </c>
      <c r="J11" s="126">
        <f>J12+J15+J18</f>
        <v>0</v>
      </c>
      <c r="K11" s="126">
        <f>K12+K15+K18</f>
        <v>0</v>
      </c>
      <c r="L11" s="125"/>
      <c r="M11" s="125"/>
      <c r="N11" s="132"/>
      <c r="O11" s="132"/>
      <c r="P11" s="98">
        <f t="shared" ref="P11:P47" si="2">I11+K11+M11+O11</f>
        <v>0</v>
      </c>
      <c r="Q11" s="126">
        <f>Q12+Q15+Q18</f>
        <v>0</v>
      </c>
      <c r="R11" s="126">
        <f>R12+R15+R18</f>
        <v>0</v>
      </c>
      <c r="S11" s="126">
        <f>S12+S15+S18</f>
        <v>0</v>
      </c>
      <c r="T11" s="125"/>
      <c r="U11" s="125"/>
      <c r="V11" s="132"/>
      <c r="W11" s="132"/>
      <c r="X11" s="98">
        <f t="shared" si="0"/>
        <v>0</v>
      </c>
      <c r="Y11" s="98">
        <f t="shared" ref="Y11:Y40" si="3">I11-Q11</f>
        <v>0</v>
      </c>
      <c r="Z11" s="98">
        <f t="shared" ref="Z11:Z45" si="4">J11-R11</f>
        <v>0</v>
      </c>
      <c r="AA11" s="98">
        <f t="shared" ref="AA11:AA45" si="5">K11-S11</f>
        <v>0</v>
      </c>
      <c r="AB11" s="125"/>
      <c r="AC11" s="125"/>
      <c r="AD11" s="132"/>
      <c r="AE11" s="132"/>
      <c r="AF11" s="98">
        <f t="shared" si="1"/>
        <v>0</v>
      </c>
    </row>
    <row r="12" spans="1:32" ht="11.25" customHeight="1" x14ac:dyDescent="0.2">
      <c r="A12" s="214"/>
      <c r="B12" s="63" t="s">
        <v>15</v>
      </c>
      <c r="C12" s="63" t="s">
        <v>540</v>
      </c>
      <c r="D12" s="60"/>
      <c r="E12" s="59"/>
      <c r="F12" s="111"/>
      <c r="G12" s="352" t="s">
        <v>541</v>
      </c>
      <c r="H12" s="112"/>
      <c r="I12" s="126">
        <f>I13+I14</f>
        <v>0</v>
      </c>
      <c r="J12" s="126">
        <f>J13+J14</f>
        <v>0</v>
      </c>
      <c r="K12" s="126">
        <f>K13+K14</f>
        <v>0</v>
      </c>
      <c r="L12" s="125"/>
      <c r="M12" s="125"/>
      <c r="N12" s="132"/>
      <c r="O12" s="132"/>
      <c r="P12" s="98">
        <f t="shared" si="2"/>
        <v>0</v>
      </c>
      <c r="Q12" s="126">
        <f>Q13+Q14</f>
        <v>0</v>
      </c>
      <c r="R12" s="126">
        <f>R13+R14</f>
        <v>0</v>
      </c>
      <c r="S12" s="126">
        <f>S13+S14</f>
        <v>0</v>
      </c>
      <c r="T12" s="125"/>
      <c r="U12" s="125"/>
      <c r="V12" s="132"/>
      <c r="W12" s="132"/>
      <c r="X12" s="98">
        <f t="shared" si="0"/>
        <v>0</v>
      </c>
      <c r="Y12" s="98">
        <f t="shared" si="3"/>
        <v>0</v>
      </c>
      <c r="Z12" s="98">
        <f t="shared" si="4"/>
        <v>0</v>
      </c>
      <c r="AA12" s="98">
        <f t="shared" si="5"/>
        <v>0</v>
      </c>
      <c r="AB12" s="125"/>
      <c r="AC12" s="125"/>
      <c r="AD12" s="132"/>
      <c r="AE12" s="132"/>
      <c r="AF12" s="98">
        <f t="shared" si="1"/>
        <v>0</v>
      </c>
    </row>
    <row r="13" spans="1:32" ht="11.25" customHeight="1" x14ac:dyDescent="0.2">
      <c r="A13" s="218"/>
      <c r="B13" s="57"/>
      <c r="C13" s="148">
        <v>-1</v>
      </c>
      <c r="D13" s="85" t="s">
        <v>542</v>
      </c>
      <c r="E13" s="59"/>
      <c r="F13" s="209"/>
      <c r="G13" s="352" t="s">
        <v>543</v>
      </c>
      <c r="H13" s="112"/>
      <c r="I13" s="127"/>
      <c r="J13" s="127"/>
      <c r="K13" s="127"/>
      <c r="L13" s="128"/>
      <c r="M13" s="128"/>
      <c r="N13" s="287"/>
      <c r="O13" s="287"/>
      <c r="P13" s="98">
        <f t="shared" si="2"/>
        <v>0</v>
      </c>
      <c r="Q13" s="127"/>
      <c r="R13" s="127"/>
      <c r="S13" s="127"/>
      <c r="T13" s="128"/>
      <c r="U13" s="128"/>
      <c r="V13" s="287"/>
      <c r="W13" s="287"/>
      <c r="X13" s="98">
        <f t="shared" si="0"/>
        <v>0</v>
      </c>
      <c r="Y13" s="98">
        <f t="shared" si="3"/>
        <v>0</v>
      </c>
      <c r="Z13" s="98">
        <f t="shared" si="4"/>
        <v>0</v>
      </c>
      <c r="AA13" s="98">
        <f t="shared" si="5"/>
        <v>0</v>
      </c>
      <c r="AB13" s="128"/>
      <c r="AC13" s="128"/>
      <c r="AD13" s="132"/>
      <c r="AE13" s="132"/>
      <c r="AF13" s="98">
        <f t="shared" si="1"/>
        <v>0</v>
      </c>
    </row>
    <row r="14" spans="1:32" ht="11.25" customHeight="1" x14ac:dyDescent="0.2">
      <c r="A14" s="215"/>
      <c r="B14" s="63"/>
      <c r="C14" s="133">
        <f>C13-1</f>
        <v>-2</v>
      </c>
      <c r="D14" s="60" t="s">
        <v>544</v>
      </c>
      <c r="E14" s="59"/>
      <c r="F14" s="209"/>
      <c r="G14" s="352" t="s">
        <v>545</v>
      </c>
      <c r="H14" s="112"/>
      <c r="I14" s="127"/>
      <c r="J14" s="127"/>
      <c r="K14" s="127"/>
      <c r="L14" s="128"/>
      <c r="M14" s="128"/>
      <c r="N14" s="287"/>
      <c r="O14" s="287"/>
      <c r="P14" s="98">
        <f t="shared" si="2"/>
        <v>0</v>
      </c>
      <c r="Q14" s="127"/>
      <c r="R14" s="127"/>
      <c r="S14" s="127"/>
      <c r="T14" s="128"/>
      <c r="U14" s="128"/>
      <c r="V14" s="287"/>
      <c r="W14" s="287"/>
      <c r="X14" s="98">
        <f t="shared" si="0"/>
        <v>0</v>
      </c>
      <c r="Y14" s="98">
        <f t="shared" si="3"/>
        <v>0</v>
      </c>
      <c r="Z14" s="98">
        <f t="shared" si="4"/>
        <v>0</v>
      </c>
      <c r="AA14" s="98">
        <f t="shared" si="5"/>
        <v>0</v>
      </c>
      <c r="AB14" s="128"/>
      <c r="AC14" s="128"/>
      <c r="AD14" s="132"/>
      <c r="AE14" s="132"/>
      <c r="AF14" s="98">
        <f t="shared" si="1"/>
        <v>0</v>
      </c>
    </row>
    <row r="15" spans="1:32" ht="11.25" customHeight="1" x14ac:dyDescent="0.2">
      <c r="A15" s="218"/>
      <c r="B15" s="57" t="s">
        <v>24</v>
      </c>
      <c r="C15" s="57" t="s">
        <v>546</v>
      </c>
      <c r="D15" s="59"/>
      <c r="E15" s="59"/>
      <c r="F15" s="209"/>
      <c r="G15" s="352" t="s">
        <v>547</v>
      </c>
      <c r="H15" s="112"/>
      <c r="I15" s="126">
        <f>I16+I17</f>
        <v>0</v>
      </c>
      <c r="J15" s="126">
        <f>J16+J17</f>
        <v>0</v>
      </c>
      <c r="K15" s="126">
        <f>K16+K17</f>
        <v>0</v>
      </c>
      <c r="L15" s="125"/>
      <c r="M15" s="125"/>
      <c r="N15" s="132"/>
      <c r="O15" s="132"/>
      <c r="P15" s="98">
        <f t="shared" si="2"/>
        <v>0</v>
      </c>
      <c r="Q15" s="126">
        <f>Q16+Q17</f>
        <v>0</v>
      </c>
      <c r="R15" s="126">
        <f>R16+R17</f>
        <v>0</v>
      </c>
      <c r="S15" s="126">
        <f>S16+S17</f>
        <v>0</v>
      </c>
      <c r="T15" s="125"/>
      <c r="U15" s="125"/>
      <c r="V15" s="132"/>
      <c r="W15" s="132"/>
      <c r="X15" s="98">
        <f t="shared" si="0"/>
        <v>0</v>
      </c>
      <c r="Y15" s="98">
        <f t="shared" si="3"/>
        <v>0</v>
      </c>
      <c r="Z15" s="98">
        <f t="shared" si="4"/>
        <v>0</v>
      </c>
      <c r="AA15" s="98">
        <f t="shared" si="5"/>
        <v>0</v>
      </c>
      <c r="AB15" s="125"/>
      <c r="AC15" s="125"/>
      <c r="AD15" s="132"/>
      <c r="AE15" s="132"/>
      <c r="AF15" s="98">
        <f t="shared" si="1"/>
        <v>0</v>
      </c>
    </row>
    <row r="16" spans="1:32" ht="11.25" customHeight="1" x14ac:dyDescent="0.2">
      <c r="A16" s="215"/>
      <c r="B16" s="63"/>
      <c r="C16" s="133">
        <v>-1</v>
      </c>
      <c r="D16" s="84" t="s">
        <v>548</v>
      </c>
      <c r="E16" s="59"/>
      <c r="F16" s="209"/>
      <c r="G16" s="352" t="s">
        <v>549</v>
      </c>
      <c r="H16" s="112"/>
      <c r="I16" s="127"/>
      <c r="J16" s="127"/>
      <c r="K16" s="127"/>
      <c r="L16" s="128"/>
      <c r="M16" s="128"/>
      <c r="N16" s="287"/>
      <c r="O16" s="287"/>
      <c r="P16" s="98">
        <f t="shared" si="2"/>
        <v>0</v>
      </c>
      <c r="Q16" s="127"/>
      <c r="R16" s="127"/>
      <c r="S16" s="127"/>
      <c r="T16" s="128"/>
      <c r="U16" s="128"/>
      <c r="V16" s="287"/>
      <c r="W16" s="287"/>
      <c r="X16" s="98">
        <f t="shared" si="0"/>
        <v>0</v>
      </c>
      <c r="Y16" s="98">
        <f t="shared" si="3"/>
        <v>0</v>
      </c>
      <c r="Z16" s="98">
        <f t="shared" si="4"/>
        <v>0</v>
      </c>
      <c r="AA16" s="98">
        <f t="shared" si="5"/>
        <v>0</v>
      </c>
      <c r="AB16" s="128"/>
      <c r="AC16" s="128"/>
      <c r="AD16" s="132"/>
      <c r="AE16" s="132"/>
      <c r="AF16" s="98">
        <f t="shared" si="1"/>
        <v>0</v>
      </c>
    </row>
    <row r="17" spans="1:32" ht="11.25" customHeight="1" x14ac:dyDescent="0.2">
      <c r="A17" s="218"/>
      <c r="B17" s="57"/>
      <c r="C17" s="148">
        <f>C16-1</f>
        <v>-2</v>
      </c>
      <c r="D17" s="59" t="s">
        <v>550</v>
      </c>
      <c r="E17" s="59"/>
      <c r="F17" s="209"/>
      <c r="G17" s="352" t="s">
        <v>551</v>
      </c>
      <c r="H17" s="112"/>
      <c r="I17" s="127"/>
      <c r="J17" s="127"/>
      <c r="K17" s="127"/>
      <c r="L17" s="128"/>
      <c r="M17" s="128"/>
      <c r="N17" s="287"/>
      <c r="O17" s="287"/>
      <c r="P17" s="98">
        <f t="shared" si="2"/>
        <v>0</v>
      </c>
      <c r="Q17" s="127"/>
      <c r="R17" s="127"/>
      <c r="S17" s="127"/>
      <c r="T17" s="128"/>
      <c r="U17" s="128"/>
      <c r="V17" s="287"/>
      <c r="W17" s="287"/>
      <c r="X17" s="98">
        <f t="shared" si="0"/>
        <v>0</v>
      </c>
      <c r="Y17" s="98">
        <f t="shared" si="3"/>
        <v>0</v>
      </c>
      <c r="Z17" s="98">
        <f t="shared" si="4"/>
        <v>0</v>
      </c>
      <c r="AA17" s="98">
        <f t="shared" si="5"/>
        <v>0</v>
      </c>
      <c r="AB17" s="128"/>
      <c r="AC17" s="128"/>
      <c r="AD17" s="132"/>
      <c r="AE17" s="132"/>
      <c r="AF17" s="98">
        <f t="shared" si="1"/>
        <v>0</v>
      </c>
    </row>
    <row r="18" spans="1:32" ht="11.25" customHeight="1" x14ac:dyDescent="0.2">
      <c r="A18" s="215"/>
      <c r="B18" s="63" t="s">
        <v>29</v>
      </c>
      <c r="C18" s="63" t="s">
        <v>552</v>
      </c>
      <c r="D18" s="60"/>
      <c r="E18" s="59"/>
      <c r="F18" s="209"/>
      <c r="G18" s="352" t="s">
        <v>553</v>
      </c>
      <c r="H18" s="112"/>
      <c r="I18" s="126">
        <f>I19+I20</f>
        <v>0</v>
      </c>
      <c r="J18" s="126">
        <f>J19+J20</f>
        <v>0</v>
      </c>
      <c r="K18" s="126">
        <f>K19+K20</f>
        <v>0</v>
      </c>
      <c r="L18" s="125"/>
      <c r="M18" s="125"/>
      <c r="N18" s="132"/>
      <c r="O18" s="132"/>
      <c r="P18" s="98">
        <f t="shared" si="2"/>
        <v>0</v>
      </c>
      <c r="Q18" s="126">
        <f>Q19+Q20</f>
        <v>0</v>
      </c>
      <c r="R18" s="126">
        <f>R19+R20</f>
        <v>0</v>
      </c>
      <c r="S18" s="126">
        <f>S19+S20</f>
        <v>0</v>
      </c>
      <c r="T18" s="125"/>
      <c r="U18" s="125"/>
      <c r="V18" s="132"/>
      <c r="W18" s="132"/>
      <c r="X18" s="98">
        <f t="shared" si="0"/>
        <v>0</v>
      </c>
      <c r="Y18" s="98">
        <f t="shared" si="3"/>
        <v>0</v>
      </c>
      <c r="Z18" s="98">
        <f t="shared" si="4"/>
        <v>0</v>
      </c>
      <c r="AA18" s="98">
        <f t="shared" si="5"/>
        <v>0</v>
      </c>
      <c r="AB18" s="125"/>
      <c r="AC18" s="125"/>
      <c r="AD18" s="132"/>
      <c r="AE18" s="132"/>
      <c r="AF18" s="98">
        <f t="shared" si="1"/>
        <v>0</v>
      </c>
    </row>
    <row r="19" spans="1:32" ht="11.25" customHeight="1" x14ac:dyDescent="0.2">
      <c r="A19" s="218"/>
      <c r="B19" s="57"/>
      <c r="C19" s="148">
        <v>-1</v>
      </c>
      <c r="D19" s="59" t="s">
        <v>554</v>
      </c>
      <c r="E19" s="59"/>
      <c r="F19" s="209"/>
      <c r="G19" s="352" t="s">
        <v>555</v>
      </c>
      <c r="H19" s="112"/>
      <c r="I19" s="127"/>
      <c r="J19" s="127"/>
      <c r="K19" s="127"/>
      <c r="L19" s="128"/>
      <c r="M19" s="128"/>
      <c r="N19" s="287"/>
      <c r="O19" s="287"/>
      <c r="P19" s="98">
        <f t="shared" si="2"/>
        <v>0</v>
      </c>
      <c r="Q19" s="127"/>
      <c r="R19" s="127"/>
      <c r="S19" s="127"/>
      <c r="T19" s="128"/>
      <c r="U19" s="128"/>
      <c r="V19" s="287"/>
      <c r="W19" s="287"/>
      <c r="X19" s="98">
        <f t="shared" si="0"/>
        <v>0</v>
      </c>
      <c r="Y19" s="98">
        <f t="shared" si="3"/>
        <v>0</v>
      </c>
      <c r="Z19" s="98">
        <f t="shared" si="4"/>
        <v>0</v>
      </c>
      <c r="AA19" s="98">
        <f t="shared" si="5"/>
        <v>0</v>
      </c>
      <c r="AB19" s="128"/>
      <c r="AC19" s="128"/>
      <c r="AD19" s="132"/>
      <c r="AE19" s="132"/>
      <c r="AF19" s="98">
        <f t="shared" si="1"/>
        <v>0</v>
      </c>
    </row>
    <row r="20" spans="1:32" ht="11.25" customHeight="1" x14ac:dyDescent="0.2">
      <c r="A20" s="215"/>
      <c r="B20" s="63"/>
      <c r="C20" s="133">
        <f>C19-1</f>
        <v>-2</v>
      </c>
      <c r="D20" s="60" t="s">
        <v>544</v>
      </c>
      <c r="E20" s="59"/>
      <c r="F20" s="209"/>
      <c r="G20" s="352" t="s">
        <v>556</v>
      </c>
      <c r="H20" s="112"/>
      <c r="I20" s="127"/>
      <c r="J20" s="127"/>
      <c r="K20" s="127"/>
      <c r="L20" s="128"/>
      <c r="M20" s="128"/>
      <c r="N20" s="287"/>
      <c r="O20" s="287"/>
      <c r="P20" s="98">
        <f t="shared" si="2"/>
        <v>0</v>
      </c>
      <c r="Q20" s="127"/>
      <c r="R20" s="127"/>
      <c r="S20" s="127"/>
      <c r="T20" s="128"/>
      <c r="U20" s="128"/>
      <c r="V20" s="287"/>
      <c r="W20" s="287"/>
      <c r="X20" s="98">
        <f t="shared" si="0"/>
        <v>0</v>
      </c>
      <c r="Y20" s="98">
        <f t="shared" si="3"/>
        <v>0</v>
      </c>
      <c r="Z20" s="98">
        <f t="shared" si="4"/>
        <v>0</v>
      </c>
      <c r="AA20" s="98">
        <f t="shared" si="5"/>
        <v>0</v>
      </c>
      <c r="AB20" s="128"/>
      <c r="AC20" s="128"/>
      <c r="AD20" s="132"/>
      <c r="AE20" s="132"/>
      <c r="AF20" s="98">
        <f t="shared" si="1"/>
        <v>0</v>
      </c>
    </row>
    <row r="21" spans="1:32" ht="11.25" customHeight="1" x14ac:dyDescent="0.2">
      <c r="A21" s="217" t="s">
        <v>95</v>
      </c>
      <c r="B21" s="78" t="s">
        <v>557</v>
      </c>
      <c r="C21" s="78"/>
      <c r="D21" s="210"/>
      <c r="E21" s="210"/>
      <c r="F21" s="209"/>
      <c r="G21" s="352" t="s">
        <v>558</v>
      </c>
      <c r="H21" s="112"/>
      <c r="I21" s="126">
        <f>I22+I25+I28</f>
        <v>0</v>
      </c>
      <c r="J21" s="126">
        <f>J22+J25+J28</f>
        <v>0</v>
      </c>
      <c r="K21" s="126">
        <f>K22+K25+K28</f>
        <v>0</v>
      </c>
      <c r="L21" s="125"/>
      <c r="M21" s="125"/>
      <c r="N21" s="132"/>
      <c r="O21" s="132"/>
      <c r="P21" s="98">
        <f t="shared" si="2"/>
        <v>0</v>
      </c>
      <c r="Q21" s="126">
        <f>Q22+Q25+Q28</f>
        <v>0</v>
      </c>
      <c r="R21" s="126">
        <f>R22+R25+R28</f>
        <v>0</v>
      </c>
      <c r="S21" s="126">
        <f>S22+S25+S28</f>
        <v>0</v>
      </c>
      <c r="T21" s="125"/>
      <c r="U21" s="125"/>
      <c r="V21" s="132"/>
      <c r="W21" s="132"/>
      <c r="X21" s="98">
        <f t="shared" si="0"/>
        <v>0</v>
      </c>
      <c r="Y21" s="98">
        <f t="shared" si="3"/>
        <v>0</v>
      </c>
      <c r="Z21" s="98">
        <f t="shared" si="4"/>
        <v>0</v>
      </c>
      <c r="AA21" s="98">
        <f t="shared" si="5"/>
        <v>0</v>
      </c>
      <c r="AB21" s="125"/>
      <c r="AC21" s="125"/>
      <c r="AD21" s="132"/>
      <c r="AE21" s="132"/>
      <c r="AF21" s="98">
        <f t="shared" si="1"/>
        <v>0</v>
      </c>
    </row>
    <row r="22" spans="1:32" ht="11.25" customHeight="1" x14ac:dyDescent="0.2">
      <c r="A22" s="214"/>
      <c r="B22" s="63" t="s">
        <v>15</v>
      </c>
      <c r="C22" s="63" t="s">
        <v>540</v>
      </c>
      <c r="D22" s="60"/>
      <c r="E22" s="59"/>
      <c r="F22" s="209"/>
      <c r="G22" s="352" t="s">
        <v>559</v>
      </c>
      <c r="H22" s="112"/>
      <c r="I22" s="126">
        <f>I23+I24</f>
        <v>0</v>
      </c>
      <c r="J22" s="126">
        <f>J23+J24</f>
        <v>0</v>
      </c>
      <c r="K22" s="126">
        <f>K23+K24</f>
        <v>0</v>
      </c>
      <c r="L22" s="125"/>
      <c r="M22" s="125"/>
      <c r="N22" s="132"/>
      <c r="O22" s="132"/>
      <c r="P22" s="98">
        <f t="shared" si="2"/>
        <v>0</v>
      </c>
      <c r="Q22" s="126">
        <f>Q23+Q24</f>
        <v>0</v>
      </c>
      <c r="R22" s="126">
        <f>R23+R24</f>
        <v>0</v>
      </c>
      <c r="S22" s="126">
        <f>S23+S24</f>
        <v>0</v>
      </c>
      <c r="T22" s="125"/>
      <c r="U22" s="125"/>
      <c r="V22" s="132"/>
      <c r="W22" s="132"/>
      <c r="X22" s="98">
        <f t="shared" si="0"/>
        <v>0</v>
      </c>
      <c r="Y22" s="98">
        <f t="shared" si="3"/>
        <v>0</v>
      </c>
      <c r="Z22" s="98">
        <f t="shared" si="4"/>
        <v>0</v>
      </c>
      <c r="AA22" s="98">
        <f t="shared" si="5"/>
        <v>0</v>
      </c>
      <c r="AB22" s="125"/>
      <c r="AC22" s="125"/>
      <c r="AD22" s="132"/>
      <c r="AE22" s="132"/>
      <c r="AF22" s="98">
        <f t="shared" si="1"/>
        <v>0</v>
      </c>
    </row>
    <row r="23" spans="1:32" ht="11.25" customHeight="1" x14ac:dyDescent="0.2">
      <c r="A23" s="218"/>
      <c r="B23" s="57"/>
      <c r="C23" s="148">
        <v>-1</v>
      </c>
      <c r="D23" s="85" t="s">
        <v>542</v>
      </c>
      <c r="E23" s="59"/>
      <c r="F23" s="209"/>
      <c r="G23" s="352" t="s">
        <v>560</v>
      </c>
      <c r="H23" s="112"/>
      <c r="I23" s="127"/>
      <c r="J23" s="127"/>
      <c r="K23" s="127"/>
      <c r="L23" s="128"/>
      <c r="M23" s="128"/>
      <c r="N23" s="287"/>
      <c r="O23" s="287"/>
      <c r="P23" s="98">
        <f t="shared" si="2"/>
        <v>0</v>
      </c>
      <c r="Q23" s="127"/>
      <c r="R23" s="127"/>
      <c r="S23" s="127"/>
      <c r="T23" s="128"/>
      <c r="U23" s="128"/>
      <c r="V23" s="287"/>
      <c r="W23" s="287"/>
      <c r="X23" s="98">
        <f t="shared" si="0"/>
        <v>0</v>
      </c>
      <c r="Y23" s="98">
        <f t="shared" si="3"/>
        <v>0</v>
      </c>
      <c r="Z23" s="98">
        <f t="shared" si="4"/>
        <v>0</v>
      </c>
      <c r="AA23" s="98">
        <f t="shared" si="5"/>
        <v>0</v>
      </c>
      <c r="AB23" s="128"/>
      <c r="AC23" s="128"/>
      <c r="AD23" s="132"/>
      <c r="AE23" s="132"/>
      <c r="AF23" s="98">
        <f t="shared" si="1"/>
        <v>0</v>
      </c>
    </row>
    <row r="24" spans="1:32" ht="11.25" customHeight="1" x14ac:dyDescent="0.2">
      <c r="A24" s="215"/>
      <c r="B24" s="63"/>
      <c r="C24" s="133">
        <f>C23-1</f>
        <v>-2</v>
      </c>
      <c r="D24" s="60" t="s">
        <v>544</v>
      </c>
      <c r="E24" s="59"/>
      <c r="F24" s="209"/>
      <c r="G24" s="352" t="s">
        <v>561</v>
      </c>
      <c r="H24" s="112"/>
      <c r="I24" s="127"/>
      <c r="J24" s="127"/>
      <c r="K24" s="127"/>
      <c r="L24" s="128"/>
      <c r="M24" s="128"/>
      <c r="N24" s="287"/>
      <c r="O24" s="287"/>
      <c r="P24" s="98">
        <f t="shared" si="2"/>
        <v>0</v>
      </c>
      <c r="Q24" s="127"/>
      <c r="R24" s="127"/>
      <c r="S24" s="127"/>
      <c r="T24" s="128"/>
      <c r="U24" s="128"/>
      <c r="V24" s="287"/>
      <c r="W24" s="287"/>
      <c r="X24" s="98">
        <f t="shared" si="0"/>
        <v>0</v>
      </c>
      <c r="Y24" s="98">
        <f t="shared" si="3"/>
        <v>0</v>
      </c>
      <c r="Z24" s="98">
        <f t="shared" si="4"/>
        <v>0</v>
      </c>
      <c r="AA24" s="98">
        <f t="shared" si="5"/>
        <v>0</v>
      </c>
      <c r="AB24" s="128"/>
      <c r="AC24" s="128"/>
      <c r="AD24" s="132"/>
      <c r="AE24" s="132"/>
      <c r="AF24" s="98">
        <f t="shared" si="1"/>
        <v>0</v>
      </c>
    </row>
    <row r="25" spans="1:32" ht="11.25" customHeight="1" x14ac:dyDescent="0.2">
      <c r="A25" s="218"/>
      <c r="B25" s="57" t="s">
        <v>24</v>
      </c>
      <c r="C25" s="57" t="s">
        <v>546</v>
      </c>
      <c r="D25" s="59"/>
      <c r="E25" s="59"/>
      <c r="F25" s="209"/>
      <c r="G25" s="352" t="s">
        <v>562</v>
      </c>
      <c r="H25" s="112"/>
      <c r="I25" s="126">
        <f>I26+I27</f>
        <v>0</v>
      </c>
      <c r="J25" s="126">
        <f>J26+J27</f>
        <v>0</v>
      </c>
      <c r="K25" s="126">
        <f>K26+K27</f>
        <v>0</v>
      </c>
      <c r="L25" s="125"/>
      <c r="M25" s="125"/>
      <c r="N25" s="132"/>
      <c r="O25" s="132"/>
      <c r="P25" s="98">
        <f t="shared" si="2"/>
        <v>0</v>
      </c>
      <c r="Q25" s="126">
        <f>Q26+Q27</f>
        <v>0</v>
      </c>
      <c r="R25" s="126">
        <f>R26+R27</f>
        <v>0</v>
      </c>
      <c r="S25" s="126">
        <f>S26+S27</f>
        <v>0</v>
      </c>
      <c r="T25" s="125"/>
      <c r="U25" s="125"/>
      <c r="V25" s="132"/>
      <c r="W25" s="132"/>
      <c r="X25" s="98">
        <f t="shared" si="0"/>
        <v>0</v>
      </c>
      <c r="Y25" s="98">
        <f t="shared" si="3"/>
        <v>0</v>
      </c>
      <c r="Z25" s="98">
        <f t="shared" si="4"/>
        <v>0</v>
      </c>
      <c r="AA25" s="98">
        <f t="shared" si="5"/>
        <v>0</v>
      </c>
      <c r="AB25" s="125"/>
      <c r="AC25" s="125"/>
      <c r="AD25" s="132"/>
      <c r="AE25" s="132"/>
      <c r="AF25" s="98">
        <f t="shared" si="1"/>
        <v>0</v>
      </c>
    </row>
    <row r="26" spans="1:32" ht="11.25" customHeight="1" x14ac:dyDescent="0.2">
      <c r="A26" s="215"/>
      <c r="B26" s="63"/>
      <c r="C26" s="133">
        <v>-1</v>
      </c>
      <c r="D26" s="84" t="s">
        <v>548</v>
      </c>
      <c r="E26" s="59"/>
      <c r="F26" s="209"/>
      <c r="G26" s="352" t="s">
        <v>563</v>
      </c>
      <c r="H26" s="112"/>
      <c r="I26" s="127"/>
      <c r="J26" s="127"/>
      <c r="K26" s="127"/>
      <c r="L26" s="128"/>
      <c r="M26" s="128"/>
      <c r="N26" s="287"/>
      <c r="O26" s="287"/>
      <c r="P26" s="98">
        <f t="shared" si="2"/>
        <v>0</v>
      </c>
      <c r="Q26" s="127"/>
      <c r="R26" s="127"/>
      <c r="S26" s="127"/>
      <c r="T26" s="128"/>
      <c r="U26" s="128"/>
      <c r="V26" s="287"/>
      <c r="W26" s="287"/>
      <c r="X26" s="98">
        <f t="shared" si="0"/>
        <v>0</v>
      </c>
      <c r="Y26" s="98">
        <f t="shared" si="3"/>
        <v>0</v>
      </c>
      <c r="Z26" s="98">
        <f t="shared" si="4"/>
        <v>0</v>
      </c>
      <c r="AA26" s="98">
        <f t="shared" si="5"/>
        <v>0</v>
      </c>
      <c r="AB26" s="128"/>
      <c r="AC26" s="128"/>
      <c r="AD26" s="132"/>
      <c r="AE26" s="132"/>
      <c r="AF26" s="98">
        <f t="shared" si="1"/>
        <v>0</v>
      </c>
    </row>
    <row r="27" spans="1:32" ht="11.25" customHeight="1" x14ac:dyDescent="0.2">
      <c r="A27" s="218"/>
      <c r="B27" s="57"/>
      <c r="C27" s="148">
        <f>C26-1</f>
        <v>-2</v>
      </c>
      <c r="D27" s="59" t="s">
        <v>550</v>
      </c>
      <c r="E27" s="59"/>
      <c r="F27" s="209"/>
      <c r="G27" s="352" t="s">
        <v>564</v>
      </c>
      <c r="H27" s="112"/>
      <c r="I27" s="127"/>
      <c r="J27" s="127"/>
      <c r="K27" s="127"/>
      <c r="L27" s="128"/>
      <c r="M27" s="128"/>
      <c r="N27" s="287"/>
      <c r="O27" s="287"/>
      <c r="P27" s="98">
        <f t="shared" si="2"/>
        <v>0</v>
      </c>
      <c r="Q27" s="127"/>
      <c r="R27" s="127"/>
      <c r="S27" s="127"/>
      <c r="T27" s="128"/>
      <c r="U27" s="128"/>
      <c r="V27" s="287"/>
      <c r="W27" s="287"/>
      <c r="X27" s="98">
        <f t="shared" si="0"/>
        <v>0</v>
      </c>
      <c r="Y27" s="98">
        <f t="shared" si="3"/>
        <v>0</v>
      </c>
      <c r="Z27" s="98">
        <f t="shared" si="4"/>
        <v>0</v>
      </c>
      <c r="AA27" s="98">
        <f t="shared" si="5"/>
        <v>0</v>
      </c>
      <c r="AB27" s="128"/>
      <c r="AC27" s="128"/>
      <c r="AD27" s="132"/>
      <c r="AE27" s="132"/>
      <c r="AF27" s="98">
        <f t="shared" si="1"/>
        <v>0</v>
      </c>
    </row>
    <row r="28" spans="1:32" ht="11.25" customHeight="1" x14ac:dyDescent="0.2">
      <c r="A28" s="215"/>
      <c r="B28" s="63" t="s">
        <v>29</v>
      </c>
      <c r="C28" s="63" t="s">
        <v>552</v>
      </c>
      <c r="D28" s="60"/>
      <c r="E28" s="59"/>
      <c r="F28" s="209"/>
      <c r="G28" s="352" t="s">
        <v>565</v>
      </c>
      <c r="H28" s="112"/>
      <c r="I28" s="126">
        <f>I29+I30</f>
        <v>0</v>
      </c>
      <c r="J28" s="126">
        <f>J29+J30</f>
        <v>0</v>
      </c>
      <c r="K28" s="126">
        <f>K29+K30</f>
        <v>0</v>
      </c>
      <c r="L28" s="125"/>
      <c r="M28" s="125"/>
      <c r="N28" s="132"/>
      <c r="O28" s="132"/>
      <c r="P28" s="98">
        <f t="shared" si="2"/>
        <v>0</v>
      </c>
      <c r="Q28" s="126">
        <f>Q29+Q30</f>
        <v>0</v>
      </c>
      <c r="R28" s="126">
        <f>R29+R30</f>
        <v>0</v>
      </c>
      <c r="S28" s="126">
        <f>S29+S30</f>
        <v>0</v>
      </c>
      <c r="T28" s="125"/>
      <c r="U28" s="125"/>
      <c r="V28" s="132"/>
      <c r="W28" s="132"/>
      <c r="X28" s="98">
        <f t="shared" si="0"/>
        <v>0</v>
      </c>
      <c r="Y28" s="98">
        <f t="shared" si="3"/>
        <v>0</v>
      </c>
      <c r="Z28" s="98">
        <f t="shared" si="4"/>
        <v>0</v>
      </c>
      <c r="AA28" s="98">
        <f t="shared" si="5"/>
        <v>0</v>
      </c>
      <c r="AB28" s="125"/>
      <c r="AC28" s="125"/>
      <c r="AD28" s="132"/>
      <c r="AE28" s="132"/>
      <c r="AF28" s="98">
        <f t="shared" si="1"/>
        <v>0</v>
      </c>
    </row>
    <row r="29" spans="1:32" ht="11.25" customHeight="1" x14ac:dyDescent="0.2">
      <c r="A29" s="218"/>
      <c r="B29" s="57"/>
      <c r="C29" s="148">
        <v>-1</v>
      </c>
      <c r="D29" s="59" t="s">
        <v>554</v>
      </c>
      <c r="E29" s="59"/>
      <c r="F29" s="209"/>
      <c r="G29" s="352" t="s">
        <v>566</v>
      </c>
      <c r="H29" s="112"/>
      <c r="I29" s="127"/>
      <c r="J29" s="127"/>
      <c r="K29" s="127"/>
      <c r="L29" s="128"/>
      <c r="M29" s="128"/>
      <c r="N29" s="287"/>
      <c r="O29" s="287"/>
      <c r="P29" s="98">
        <f t="shared" si="2"/>
        <v>0</v>
      </c>
      <c r="Q29" s="127"/>
      <c r="R29" s="127"/>
      <c r="S29" s="127"/>
      <c r="T29" s="128"/>
      <c r="U29" s="128"/>
      <c r="V29" s="287"/>
      <c r="W29" s="287"/>
      <c r="X29" s="98">
        <f t="shared" si="0"/>
        <v>0</v>
      </c>
      <c r="Y29" s="98">
        <f t="shared" si="3"/>
        <v>0</v>
      </c>
      <c r="Z29" s="98">
        <f t="shared" si="4"/>
        <v>0</v>
      </c>
      <c r="AA29" s="98">
        <f t="shared" si="5"/>
        <v>0</v>
      </c>
      <c r="AB29" s="128"/>
      <c r="AC29" s="128"/>
      <c r="AD29" s="132"/>
      <c r="AE29" s="132"/>
      <c r="AF29" s="98">
        <f t="shared" si="1"/>
        <v>0</v>
      </c>
    </row>
    <row r="30" spans="1:32" ht="11.25" customHeight="1" x14ac:dyDescent="0.2">
      <c r="A30" s="215"/>
      <c r="B30" s="63"/>
      <c r="C30" s="133">
        <f>C29-1</f>
        <v>-2</v>
      </c>
      <c r="D30" s="60" t="s">
        <v>544</v>
      </c>
      <c r="E30" s="59"/>
      <c r="F30" s="209"/>
      <c r="G30" s="352" t="s">
        <v>567</v>
      </c>
      <c r="H30" s="112"/>
      <c r="I30" s="127"/>
      <c r="J30" s="127"/>
      <c r="K30" s="127"/>
      <c r="L30" s="128"/>
      <c r="M30" s="128"/>
      <c r="N30" s="287"/>
      <c r="O30" s="287"/>
      <c r="P30" s="98">
        <f t="shared" si="2"/>
        <v>0</v>
      </c>
      <c r="Q30" s="127"/>
      <c r="R30" s="127"/>
      <c r="S30" s="127"/>
      <c r="T30" s="128"/>
      <c r="U30" s="128"/>
      <c r="V30" s="287"/>
      <c r="W30" s="287"/>
      <c r="X30" s="98">
        <f t="shared" si="0"/>
        <v>0</v>
      </c>
      <c r="Y30" s="98">
        <f t="shared" si="3"/>
        <v>0</v>
      </c>
      <c r="Z30" s="98">
        <f t="shared" si="4"/>
        <v>0</v>
      </c>
      <c r="AA30" s="98">
        <f t="shared" si="5"/>
        <v>0</v>
      </c>
      <c r="AB30" s="128"/>
      <c r="AC30" s="128"/>
      <c r="AD30" s="132"/>
      <c r="AE30" s="132"/>
      <c r="AF30" s="98">
        <f t="shared" si="1"/>
        <v>0</v>
      </c>
    </row>
    <row r="31" spans="1:32" ht="11.25" customHeight="1" x14ac:dyDescent="0.2">
      <c r="A31" s="217" t="s">
        <v>146</v>
      </c>
      <c r="B31" s="78" t="s">
        <v>568</v>
      </c>
      <c r="C31" s="78"/>
      <c r="D31" s="210"/>
      <c r="E31" s="210"/>
      <c r="F31" s="209"/>
      <c r="G31" s="352" t="s">
        <v>569</v>
      </c>
      <c r="H31" s="112"/>
      <c r="I31" s="126">
        <f>I32+I35+I38</f>
        <v>0</v>
      </c>
      <c r="J31" s="126">
        <f>J32+J35+J38</f>
        <v>0</v>
      </c>
      <c r="K31" s="126">
        <f>K32+K35+K38</f>
        <v>0</v>
      </c>
      <c r="L31" s="125"/>
      <c r="M31" s="125"/>
      <c r="N31" s="132"/>
      <c r="O31" s="132"/>
      <c r="P31" s="98">
        <f t="shared" si="2"/>
        <v>0</v>
      </c>
      <c r="Q31" s="126">
        <f>Q32+Q35+Q38</f>
        <v>0</v>
      </c>
      <c r="R31" s="126">
        <f>R32+R35+R38</f>
        <v>0</v>
      </c>
      <c r="S31" s="126">
        <f>S32+S35+S38</f>
        <v>0</v>
      </c>
      <c r="T31" s="125"/>
      <c r="U31" s="125"/>
      <c r="V31" s="132"/>
      <c r="W31" s="132"/>
      <c r="X31" s="98">
        <f t="shared" si="0"/>
        <v>0</v>
      </c>
      <c r="Y31" s="98">
        <f t="shared" si="3"/>
        <v>0</v>
      </c>
      <c r="Z31" s="98">
        <f t="shared" si="4"/>
        <v>0</v>
      </c>
      <c r="AA31" s="98">
        <f t="shared" si="5"/>
        <v>0</v>
      </c>
      <c r="AB31" s="125"/>
      <c r="AC31" s="125"/>
      <c r="AD31" s="132"/>
      <c r="AE31" s="132"/>
      <c r="AF31" s="98">
        <f t="shared" si="1"/>
        <v>0</v>
      </c>
    </row>
    <row r="32" spans="1:32" ht="11.25" customHeight="1" x14ac:dyDescent="0.2">
      <c r="A32" s="214"/>
      <c r="B32" s="63" t="s">
        <v>15</v>
      </c>
      <c r="C32" s="63" t="s">
        <v>540</v>
      </c>
      <c r="D32" s="60"/>
      <c r="E32" s="59"/>
      <c r="F32" s="209"/>
      <c r="G32" s="352" t="s">
        <v>570</v>
      </c>
      <c r="H32" s="112"/>
      <c r="I32" s="126">
        <f>I33+I34</f>
        <v>0</v>
      </c>
      <c r="J32" s="126">
        <f>J33+J34</f>
        <v>0</v>
      </c>
      <c r="K32" s="126">
        <f>K33+K34</f>
        <v>0</v>
      </c>
      <c r="L32" s="125"/>
      <c r="M32" s="125"/>
      <c r="N32" s="132"/>
      <c r="O32" s="132"/>
      <c r="P32" s="98">
        <f t="shared" si="2"/>
        <v>0</v>
      </c>
      <c r="Q32" s="126">
        <f>Q33+Q34</f>
        <v>0</v>
      </c>
      <c r="R32" s="126">
        <f>R33+R34</f>
        <v>0</v>
      </c>
      <c r="S32" s="126">
        <f>S33+S34</f>
        <v>0</v>
      </c>
      <c r="T32" s="125"/>
      <c r="U32" s="125"/>
      <c r="V32" s="132"/>
      <c r="W32" s="132"/>
      <c r="X32" s="98">
        <f t="shared" si="0"/>
        <v>0</v>
      </c>
      <c r="Y32" s="98">
        <f t="shared" si="3"/>
        <v>0</v>
      </c>
      <c r="Z32" s="98">
        <f t="shared" si="4"/>
        <v>0</v>
      </c>
      <c r="AA32" s="98">
        <f t="shared" si="5"/>
        <v>0</v>
      </c>
      <c r="AB32" s="125"/>
      <c r="AC32" s="125"/>
      <c r="AD32" s="132"/>
      <c r="AE32" s="132"/>
      <c r="AF32" s="98">
        <f t="shared" si="1"/>
        <v>0</v>
      </c>
    </row>
    <row r="33" spans="1:32" ht="11.25" customHeight="1" x14ac:dyDescent="0.2">
      <c r="A33" s="218"/>
      <c r="B33" s="57"/>
      <c r="C33" s="148">
        <v>-1</v>
      </c>
      <c r="D33" s="85" t="s">
        <v>542</v>
      </c>
      <c r="E33" s="59"/>
      <c r="F33" s="209"/>
      <c r="G33" s="352" t="s">
        <v>571</v>
      </c>
      <c r="H33" s="112"/>
      <c r="I33" s="127"/>
      <c r="J33" s="127"/>
      <c r="K33" s="127"/>
      <c r="L33" s="128"/>
      <c r="M33" s="128"/>
      <c r="N33" s="287"/>
      <c r="O33" s="287"/>
      <c r="P33" s="98">
        <f t="shared" si="2"/>
        <v>0</v>
      </c>
      <c r="Q33" s="127"/>
      <c r="R33" s="127"/>
      <c r="S33" s="127"/>
      <c r="T33" s="128"/>
      <c r="U33" s="128"/>
      <c r="V33" s="287"/>
      <c r="W33" s="287"/>
      <c r="X33" s="98">
        <f t="shared" si="0"/>
        <v>0</v>
      </c>
      <c r="Y33" s="98">
        <f t="shared" si="3"/>
        <v>0</v>
      </c>
      <c r="Z33" s="98">
        <f t="shared" si="4"/>
        <v>0</v>
      </c>
      <c r="AA33" s="98">
        <f t="shared" si="5"/>
        <v>0</v>
      </c>
      <c r="AB33" s="128"/>
      <c r="AC33" s="128"/>
      <c r="AD33" s="132"/>
      <c r="AE33" s="132"/>
      <c r="AF33" s="98">
        <f t="shared" si="1"/>
        <v>0</v>
      </c>
    </row>
    <row r="34" spans="1:32" ht="11.25" customHeight="1" x14ac:dyDescent="0.2">
      <c r="A34" s="215"/>
      <c r="B34" s="63"/>
      <c r="C34" s="133">
        <f>C33-1</f>
        <v>-2</v>
      </c>
      <c r="D34" s="60" t="s">
        <v>544</v>
      </c>
      <c r="E34" s="59"/>
      <c r="F34" s="209"/>
      <c r="G34" s="352" t="s">
        <v>572</v>
      </c>
      <c r="H34" s="112"/>
      <c r="I34" s="127"/>
      <c r="J34" s="127"/>
      <c r="K34" s="127"/>
      <c r="L34" s="128"/>
      <c r="M34" s="128"/>
      <c r="N34" s="287"/>
      <c r="O34" s="287"/>
      <c r="P34" s="98">
        <f t="shared" si="2"/>
        <v>0</v>
      </c>
      <c r="Q34" s="127"/>
      <c r="R34" s="127"/>
      <c r="S34" s="127"/>
      <c r="T34" s="128"/>
      <c r="U34" s="128"/>
      <c r="V34" s="287"/>
      <c r="W34" s="287"/>
      <c r="X34" s="98">
        <f t="shared" si="0"/>
        <v>0</v>
      </c>
      <c r="Y34" s="98">
        <f t="shared" si="3"/>
        <v>0</v>
      </c>
      <c r="Z34" s="98">
        <f t="shared" si="4"/>
        <v>0</v>
      </c>
      <c r="AA34" s="98">
        <f t="shared" si="5"/>
        <v>0</v>
      </c>
      <c r="AB34" s="128"/>
      <c r="AC34" s="128"/>
      <c r="AD34" s="132"/>
      <c r="AE34" s="132"/>
      <c r="AF34" s="98">
        <f t="shared" si="1"/>
        <v>0</v>
      </c>
    </row>
    <row r="35" spans="1:32" ht="11.25" customHeight="1" x14ac:dyDescent="0.2">
      <c r="A35" s="218"/>
      <c r="B35" s="57" t="s">
        <v>24</v>
      </c>
      <c r="C35" s="57" t="s">
        <v>546</v>
      </c>
      <c r="D35" s="59"/>
      <c r="E35" s="59"/>
      <c r="F35" s="209"/>
      <c r="G35" s="352" t="s">
        <v>573</v>
      </c>
      <c r="H35" s="112"/>
      <c r="I35" s="126">
        <f>I36+I37</f>
        <v>0</v>
      </c>
      <c r="J35" s="126">
        <f>J36+J37</f>
        <v>0</v>
      </c>
      <c r="K35" s="126">
        <f>K36+K37</f>
        <v>0</v>
      </c>
      <c r="L35" s="125"/>
      <c r="M35" s="125"/>
      <c r="N35" s="132"/>
      <c r="O35" s="132"/>
      <c r="P35" s="98">
        <f t="shared" si="2"/>
        <v>0</v>
      </c>
      <c r="Q35" s="126">
        <f>Q36+Q37</f>
        <v>0</v>
      </c>
      <c r="R35" s="126">
        <f>R36+R37</f>
        <v>0</v>
      </c>
      <c r="S35" s="126">
        <f>S36+S37</f>
        <v>0</v>
      </c>
      <c r="T35" s="125"/>
      <c r="U35" s="125"/>
      <c r="V35" s="132"/>
      <c r="W35" s="132"/>
      <c r="X35" s="98">
        <f t="shared" si="0"/>
        <v>0</v>
      </c>
      <c r="Y35" s="98">
        <f t="shared" si="3"/>
        <v>0</v>
      </c>
      <c r="Z35" s="98">
        <f t="shared" si="4"/>
        <v>0</v>
      </c>
      <c r="AA35" s="98">
        <f t="shared" si="5"/>
        <v>0</v>
      </c>
      <c r="AB35" s="125"/>
      <c r="AC35" s="125"/>
      <c r="AD35" s="132"/>
      <c r="AE35" s="132"/>
      <c r="AF35" s="98">
        <f t="shared" si="1"/>
        <v>0</v>
      </c>
    </row>
    <row r="36" spans="1:32" ht="11.25" customHeight="1" x14ac:dyDescent="0.2">
      <c r="A36" s="215"/>
      <c r="B36" s="63"/>
      <c r="C36" s="133">
        <v>-1</v>
      </c>
      <c r="D36" s="84" t="s">
        <v>548</v>
      </c>
      <c r="E36" s="59"/>
      <c r="F36" s="209"/>
      <c r="G36" s="352" t="s">
        <v>574</v>
      </c>
      <c r="H36" s="112"/>
      <c r="I36" s="127"/>
      <c r="J36" s="127"/>
      <c r="K36" s="127"/>
      <c r="L36" s="128"/>
      <c r="M36" s="128"/>
      <c r="N36" s="287"/>
      <c r="O36" s="287"/>
      <c r="P36" s="98">
        <f t="shared" si="2"/>
        <v>0</v>
      </c>
      <c r="Q36" s="127"/>
      <c r="R36" s="127"/>
      <c r="S36" s="127"/>
      <c r="T36" s="128"/>
      <c r="U36" s="128"/>
      <c r="V36" s="287"/>
      <c r="W36" s="287"/>
      <c r="X36" s="98">
        <f t="shared" si="0"/>
        <v>0</v>
      </c>
      <c r="Y36" s="98">
        <f t="shared" si="3"/>
        <v>0</v>
      </c>
      <c r="Z36" s="98">
        <f t="shared" si="4"/>
        <v>0</v>
      </c>
      <c r="AA36" s="98">
        <f t="shared" si="5"/>
        <v>0</v>
      </c>
      <c r="AB36" s="128"/>
      <c r="AC36" s="128"/>
      <c r="AD36" s="132"/>
      <c r="AE36" s="132"/>
      <c r="AF36" s="98">
        <f t="shared" si="1"/>
        <v>0</v>
      </c>
    </row>
    <row r="37" spans="1:32" ht="11.25" customHeight="1" x14ac:dyDescent="0.2">
      <c r="A37" s="218"/>
      <c r="B37" s="57"/>
      <c r="C37" s="148">
        <f>C36-1</f>
        <v>-2</v>
      </c>
      <c r="D37" s="59" t="s">
        <v>550</v>
      </c>
      <c r="E37" s="59"/>
      <c r="F37" s="209"/>
      <c r="G37" s="352" t="s">
        <v>575</v>
      </c>
      <c r="H37" s="112"/>
      <c r="I37" s="127"/>
      <c r="J37" s="127"/>
      <c r="K37" s="127"/>
      <c r="L37" s="128"/>
      <c r="M37" s="128"/>
      <c r="N37" s="287"/>
      <c r="O37" s="287"/>
      <c r="P37" s="98">
        <f t="shared" si="2"/>
        <v>0</v>
      </c>
      <c r="Q37" s="127"/>
      <c r="R37" s="127"/>
      <c r="S37" s="127"/>
      <c r="T37" s="128"/>
      <c r="U37" s="128"/>
      <c r="V37" s="287"/>
      <c r="W37" s="287"/>
      <c r="X37" s="98">
        <f t="shared" si="0"/>
        <v>0</v>
      </c>
      <c r="Y37" s="98">
        <f t="shared" si="3"/>
        <v>0</v>
      </c>
      <c r="Z37" s="98">
        <f t="shared" si="4"/>
        <v>0</v>
      </c>
      <c r="AA37" s="98">
        <f t="shared" si="5"/>
        <v>0</v>
      </c>
      <c r="AB37" s="128"/>
      <c r="AC37" s="128"/>
      <c r="AD37" s="132"/>
      <c r="AE37" s="132"/>
      <c r="AF37" s="98">
        <f t="shared" si="1"/>
        <v>0</v>
      </c>
    </row>
    <row r="38" spans="1:32" ht="11.25" customHeight="1" x14ac:dyDescent="0.2">
      <c r="A38" s="215"/>
      <c r="B38" s="63" t="s">
        <v>29</v>
      </c>
      <c r="C38" s="63" t="s">
        <v>552</v>
      </c>
      <c r="D38" s="60"/>
      <c r="E38" s="59"/>
      <c r="F38" s="209"/>
      <c r="G38" s="352" t="s">
        <v>576</v>
      </c>
      <c r="H38" s="112"/>
      <c r="I38" s="126">
        <f>I39+I40</f>
        <v>0</v>
      </c>
      <c r="J38" s="126">
        <f>J39+J40</f>
        <v>0</v>
      </c>
      <c r="K38" s="126">
        <f>K39+K40</f>
        <v>0</v>
      </c>
      <c r="L38" s="125"/>
      <c r="M38" s="125"/>
      <c r="N38" s="132"/>
      <c r="O38" s="132"/>
      <c r="P38" s="98">
        <f t="shared" si="2"/>
        <v>0</v>
      </c>
      <c r="Q38" s="126">
        <f>Q39+Q40</f>
        <v>0</v>
      </c>
      <c r="R38" s="126">
        <f>R39+R40</f>
        <v>0</v>
      </c>
      <c r="S38" s="126">
        <f>S39+S40</f>
        <v>0</v>
      </c>
      <c r="T38" s="125"/>
      <c r="U38" s="125"/>
      <c r="V38" s="132"/>
      <c r="W38" s="132"/>
      <c r="X38" s="98">
        <f t="shared" si="0"/>
        <v>0</v>
      </c>
      <c r="Y38" s="98">
        <f t="shared" si="3"/>
        <v>0</v>
      </c>
      <c r="Z38" s="98">
        <f t="shared" si="4"/>
        <v>0</v>
      </c>
      <c r="AA38" s="98">
        <f t="shared" si="5"/>
        <v>0</v>
      </c>
      <c r="AB38" s="125"/>
      <c r="AC38" s="125"/>
      <c r="AD38" s="132"/>
      <c r="AE38" s="132"/>
      <c r="AF38" s="98">
        <f t="shared" si="1"/>
        <v>0</v>
      </c>
    </row>
    <row r="39" spans="1:32" ht="11.25" customHeight="1" x14ac:dyDescent="0.2">
      <c r="A39" s="218"/>
      <c r="B39" s="57"/>
      <c r="C39" s="148">
        <v>-1</v>
      </c>
      <c r="D39" s="59" t="s">
        <v>554</v>
      </c>
      <c r="E39" s="59"/>
      <c r="F39" s="209"/>
      <c r="G39" s="352" t="s">
        <v>577</v>
      </c>
      <c r="H39" s="112"/>
      <c r="I39" s="127"/>
      <c r="J39" s="127"/>
      <c r="K39" s="127"/>
      <c r="L39" s="128"/>
      <c r="M39" s="128"/>
      <c r="N39" s="287"/>
      <c r="O39" s="287"/>
      <c r="P39" s="98">
        <f t="shared" si="2"/>
        <v>0</v>
      </c>
      <c r="Q39" s="127"/>
      <c r="R39" s="127"/>
      <c r="S39" s="127"/>
      <c r="T39" s="128"/>
      <c r="U39" s="128"/>
      <c r="V39" s="287"/>
      <c r="W39" s="287"/>
      <c r="X39" s="98">
        <f t="shared" si="0"/>
        <v>0</v>
      </c>
      <c r="Y39" s="98">
        <f t="shared" si="3"/>
        <v>0</v>
      </c>
      <c r="Z39" s="98">
        <f t="shared" si="4"/>
        <v>0</v>
      </c>
      <c r="AA39" s="98">
        <f t="shared" si="5"/>
        <v>0</v>
      </c>
      <c r="AB39" s="128"/>
      <c r="AC39" s="128"/>
      <c r="AD39" s="132"/>
      <c r="AE39" s="132"/>
      <c r="AF39" s="98">
        <f t="shared" si="1"/>
        <v>0</v>
      </c>
    </row>
    <row r="40" spans="1:32" ht="11.25" customHeight="1" x14ac:dyDescent="0.2">
      <c r="A40" s="215"/>
      <c r="B40" s="63"/>
      <c r="C40" s="133">
        <f>C39-1</f>
        <v>-2</v>
      </c>
      <c r="D40" s="60" t="s">
        <v>544</v>
      </c>
      <c r="E40" s="59"/>
      <c r="F40" s="209"/>
      <c r="G40" s="352" t="s">
        <v>578</v>
      </c>
      <c r="H40" s="112"/>
      <c r="I40" s="127"/>
      <c r="J40" s="127"/>
      <c r="K40" s="127"/>
      <c r="L40" s="128"/>
      <c r="M40" s="128"/>
      <c r="N40" s="287"/>
      <c r="O40" s="287"/>
      <c r="P40" s="98">
        <f t="shared" si="2"/>
        <v>0</v>
      </c>
      <c r="Q40" s="127"/>
      <c r="R40" s="127"/>
      <c r="S40" s="127"/>
      <c r="T40" s="128"/>
      <c r="U40" s="128"/>
      <c r="V40" s="287"/>
      <c r="W40" s="287"/>
      <c r="X40" s="98">
        <f t="shared" si="0"/>
        <v>0</v>
      </c>
      <c r="Y40" s="98">
        <f t="shared" si="3"/>
        <v>0</v>
      </c>
      <c r="Z40" s="98">
        <f t="shared" si="4"/>
        <v>0</v>
      </c>
      <c r="AA40" s="98">
        <f t="shared" si="5"/>
        <v>0</v>
      </c>
      <c r="AB40" s="128"/>
      <c r="AC40" s="128"/>
      <c r="AD40" s="132"/>
      <c r="AE40" s="132"/>
      <c r="AF40" s="98">
        <f t="shared" si="1"/>
        <v>0</v>
      </c>
    </row>
    <row r="41" spans="1:32" ht="11.25" customHeight="1" x14ac:dyDescent="0.2">
      <c r="A41" s="29" t="s">
        <v>449</v>
      </c>
      <c r="B41" s="78"/>
      <c r="C41" s="57"/>
      <c r="D41" s="59"/>
      <c r="E41" s="59"/>
      <c r="F41" s="111"/>
      <c r="G41" s="352" t="s">
        <v>579</v>
      </c>
      <c r="H41" s="112"/>
      <c r="I41" s="125"/>
      <c r="J41" s="98">
        <f>J42+J43+J44</f>
        <v>0</v>
      </c>
      <c r="K41" s="98">
        <f>K42+K43+K44</f>
        <v>0</v>
      </c>
      <c r="L41" s="125"/>
      <c r="M41" s="125"/>
      <c r="N41" s="132"/>
      <c r="O41" s="132"/>
      <c r="P41" s="98">
        <f t="shared" si="2"/>
        <v>0</v>
      </c>
      <c r="Q41" s="125"/>
      <c r="R41" s="98">
        <f>R42+R43+R44</f>
        <v>0</v>
      </c>
      <c r="S41" s="98">
        <f>S42+S43+S44</f>
        <v>0</v>
      </c>
      <c r="T41" s="125"/>
      <c r="U41" s="125"/>
      <c r="V41" s="132"/>
      <c r="W41" s="132"/>
      <c r="X41" s="98">
        <f t="shared" si="0"/>
        <v>0</v>
      </c>
      <c r="Y41" s="125"/>
      <c r="Z41" s="98">
        <f t="shared" si="4"/>
        <v>0</v>
      </c>
      <c r="AA41" s="98">
        <f t="shared" si="5"/>
        <v>0</v>
      </c>
      <c r="AB41" s="125"/>
      <c r="AC41" s="125"/>
      <c r="AD41" s="132"/>
      <c r="AE41" s="132"/>
      <c r="AF41" s="98">
        <f t="shared" si="1"/>
        <v>0</v>
      </c>
    </row>
    <row r="42" spans="1:32" ht="11.25" customHeight="1" x14ac:dyDescent="0.2">
      <c r="A42" s="216" t="s">
        <v>59</v>
      </c>
      <c r="B42" s="63" t="s">
        <v>538</v>
      </c>
      <c r="C42" s="63"/>
      <c r="D42" s="60"/>
      <c r="E42" s="59"/>
      <c r="F42" s="111"/>
      <c r="G42" s="352" t="s">
        <v>580</v>
      </c>
      <c r="H42" s="112"/>
      <c r="I42" s="128"/>
      <c r="J42" s="127"/>
      <c r="K42" s="127"/>
      <c r="L42" s="128"/>
      <c r="M42" s="128"/>
      <c r="N42" s="287"/>
      <c r="O42" s="287"/>
      <c r="P42" s="98">
        <f t="shared" si="2"/>
        <v>0</v>
      </c>
      <c r="Q42" s="128"/>
      <c r="R42" s="127"/>
      <c r="S42" s="127"/>
      <c r="T42" s="128"/>
      <c r="U42" s="128"/>
      <c r="V42" s="287"/>
      <c r="W42" s="287"/>
      <c r="X42" s="98">
        <f t="shared" si="0"/>
        <v>0</v>
      </c>
      <c r="Y42" s="128"/>
      <c r="Z42" s="98">
        <f t="shared" si="4"/>
        <v>0</v>
      </c>
      <c r="AA42" s="98">
        <f t="shared" si="5"/>
        <v>0</v>
      </c>
      <c r="AB42" s="128"/>
      <c r="AC42" s="128"/>
      <c r="AD42" s="132"/>
      <c r="AE42" s="132"/>
      <c r="AF42" s="98">
        <f t="shared" si="1"/>
        <v>0</v>
      </c>
    </row>
    <row r="43" spans="1:32" ht="11.25" customHeight="1" x14ac:dyDescent="0.2">
      <c r="A43" s="219" t="s">
        <v>95</v>
      </c>
      <c r="B43" s="57" t="s">
        <v>557</v>
      </c>
      <c r="C43" s="57"/>
      <c r="D43" s="59"/>
      <c r="E43" s="59"/>
      <c r="F43" s="111"/>
      <c r="G43" s="352" t="s">
        <v>581</v>
      </c>
      <c r="H43" s="112"/>
      <c r="I43" s="128"/>
      <c r="J43" s="127"/>
      <c r="K43" s="127"/>
      <c r="L43" s="128"/>
      <c r="M43" s="128"/>
      <c r="N43" s="287"/>
      <c r="O43" s="287"/>
      <c r="P43" s="98">
        <f t="shared" si="2"/>
        <v>0</v>
      </c>
      <c r="Q43" s="128"/>
      <c r="R43" s="127"/>
      <c r="S43" s="127"/>
      <c r="T43" s="128"/>
      <c r="U43" s="128"/>
      <c r="V43" s="287"/>
      <c r="W43" s="287"/>
      <c r="X43" s="98">
        <f t="shared" si="0"/>
        <v>0</v>
      </c>
      <c r="Y43" s="128"/>
      <c r="Z43" s="98">
        <f t="shared" si="4"/>
        <v>0</v>
      </c>
      <c r="AA43" s="98">
        <f t="shared" si="5"/>
        <v>0</v>
      </c>
      <c r="AB43" s="128"/>
      <c r="AC43" s="128"/>
      <c r="AD43" s="132"/>
      <c r="AE43" s="132"/>
      <c r="AF43" s="98">
        <f t="shared" si="1"/>
        <v>0</v>
      </c>
    </row>
    <row r="44" spans="1:32" ht="11.25" customHeight="1" x14ac:dyDescent="0.2">
      <c r="A44" s="216" t="s">
        <v>146</v>
      </c>
      <c r="B44" s="63" t="s">
        <v>568</v>
      </c>
      <c r="C44" s="63"/>
      <c r="D44" s="60"/>
      <c r="E44" s="59"/>
      <c r="F44" s="111"/>
      <c r="G44" s="352" t="s">
        <v>582</v>
      </c>
      <c r="H44" s="112"/>
      <c r="I44" s="128"/>
      <c r="J44" s="127"/>
      <c r="K44" s="127"/>
      <c r="L44" s="128"/>
      <c r="M44" s="128"/>
      <c r="N44" s="287"/>
      <c r="O44" s="287"/>
      <c r="P44" s="98">
        <f t="shared" si="2"/>
        <v>0</v>
      </c>
      <c r="Q44" s="128"/>
      <c r="R44" s="127"/>
      <c r="S44" s="127"/>
      <c r="T44" s="128"/>
      <c r="U44" s="128"/>
      <c r="V44" s="287"/>
      <c r="W44" s="287"/>
      <c r="X44" s="98">
        <f t="shared" si="0"/>
        <v>0</v>
      </c>
      <c r="Y44" s="128"/>
      <c r="Z44" s="98">
        <f t="shared" si="4"/>
        <v>0</v>
      </c>
      <c r="AA44" s="98">
        <f t="shared" si="5"/>
        <v>0</v>
      </c>
      <c r="AB44" s="128"/>
      <c r="AC44" s="128"/>
      <c r="AD44" s="132"/>
      <c r="AE44" s="132"/>
      <c r="AF44" s="98">
        <f t="shared" si="1"/>
        <v>0</v>
      </c>
    </row>
    <row r="45" spans="1:32" ht="11.25" customHeight="1" x14ac:dyDescent="0.2">
      <c r="A45" s="220" t="s">
        <v>46</v>
      </c>
      <c r="B45" s="221"/>
      <c r="C45" s="221"/>
      <c r="D45" s="211"/>
      <c r="E45" s="211"/>
      <c r="F45" s="137"/>
      <c r="G45" s="352" t="s">
        <v>583</v>
      </c>
      <c r="H45" s="112"/>
      <c r="I45" s="118">
        <f>I10+I41</f>
        <v>0</v>
      </c>
      <c r="J45" s="118">
        <f>J10+J41</f>
        <v>0</v>
      </c>
      <c r="K45" s="118">
        <f>K10+K41</f>
        <v>0</v>
      </c>
      <c r="L45" s="129"/>
      <c r="M45" s="129"/>
      <c r="N45" s="335"/>
      <c r="O45" s="335"/>
      <c r="P45" s="98">
        <f t="shared" si="2"/>
        <v>0</v>
      </c>
      <c r="Q45" s="118">
        <f>Q10+Q41</f>
        <v>0</v>
      </c>
      <c r="R45" s="118">
        <f>R10+R41</f>
        <v>0</v>
      </c>
      <c r="S45" s="118">
        <f>S10+S41</f>
        <v>0</v>
      </c>
      <c r="T45" s="128"/>
      <c r="U45" s="128"/>
      <c r="V45" s="335"/>
      <c r="W45" s="335"/>
      <c r="X45" s="98">
        <f t="shared" si="0"/>
        <v>0</v>
      </c>
      <c r="Y45" s="98">
        <f>I45-Q45</f>
        <v>0</v>
      </c>
      <c r="Z45" s="98">
        <f t="shared" si="4"/>
        <v>0</v>
      </c>
      <c r="AA45" s="98">
        <f t="shared" si="5"/>
        <v>0</v>
      </c>
      <c r="AB45" s="128"/>
      <c r="AC45" s="128"/>
      <c r="AD45" s="132"/>
      <c r="AE45" s="132"/>
      <c r="AF45" s="98">
        <f t="shared" si="1"/>
        <v>0</v>
      </c>
    </row>
    <row r="46" spans="1:32" ht="11.25" customHeight="1" x14ac:dyDescent="0.2">
      <c r="A46" s="282" t="s">
        <v>699</v>
      </c>
      <c r="B46" s="361"/>
      <c r="C46" s="197"/>
      <c r="D46" s="198"/>
      <c r="E46" s="337"/>
      <c r="F46" s="337"/>
      <c r="G46" s="354"/>
      <c r="H46" s="112"/>
      <c r="I46" s="340"/>
      <c r="J46" s="340"/>
      <c r="K46" s="340"/>
      <c r="L46" s="340"/>
      <c r="M46" s="340"/>
      <c r="N46" s="340"/>
      <c r="O46" s="340"/>
      <c r="P46" s="130"/>
      <c r="Q46" s="340"/>
      <c r="R46" s="340"/>
      <c r="S46" s="340"/>
      <c r="T46" s="130"/>
      <c r="U46" s="130"/>
      <c r="V46" s="340"/>
      <c r="W46" s="340"/>
      <c r="X46" s="130"/>
      <c r="Y46" s="130"/>
      <c r="Z46" s="130"/>
      <c r="AA46" s="130"/>
      <c r="AB46" s="130"/>
      <c r="AC46" s="130"/>
      <c r="AD46" s="130"/>
      <c r="AE46" s="130"/>
      <c r="AF46" s="130"/>
    </row>
    <row r="47" spans="1:32" ht="11.25" customHeight="1" x14ac:dyDescent="0.2">
      <c r="A47" s="362" t="s">
        <v>59</v>
      </c>
      <c r="B47" s="363" t="s">
        <v>722</v>
      </c>
      <c r="C47" s="363"/>
      <c r="D47" s="364"/>
      <c r="E47" s="337"/>
      <c r="F47" s="337"/>
      <c r="G47" s="352" t="s">
        <v>724</v>
      </c>
      <c r="H47" s="112"/>
      <c r="I47" s="117"/>
      <c r="J47" s="117"/>
      <c r="K47" s="117"/>
      <c r="L47" s="338"/>
      <c r="M47" s="338"/>
      <c r="N47" s="339"/>
      <c r="O47" s="339"/>
      <c r="P47" s="98">
        <f t="shared" si="2"/>
        <v>0</v>
      </c>
      <c r="Q47" s="117"/>
      <c r="R47" s="117"/>
      <c r="S47" s="117"/>
      <c r="T47" s="128"/>
      <c r="U47" s="128"/>
      <c r="V47" s="339"/>
      <c r="W47" s="339"/>
      <c r="X47" s="98">
        <f t="shared" si="0"/>
        <v>0</v>
      </c>
      <c r="Y47" s="98">
        <f>I47-Q47</f>
        <v>0</v>
      </c>
      <c r="Z47" s="98">
        <f>J47-R47</f>
        <v>0</v>
      </c>
      <c r="AA47" s="98">
        <f>K47-S47</f>
        <v>0</v>
      </c>
      <c r="AB47" s="128"/>
      <c r="AC47" s="128"/>
      <c r="AD47" s="287"/>
      <c r="AE47" s="287"/>
      <c r="AF47" s="98">
        <f t="shared" si="1"/>
        <v>0</v>
      </c>
    </row>
    <row r="48" spans="1:32" ht="11.25" customHeight="1" x14ac:dyDescent="0.2">
      <c r="G48" s="264" t="s">
        <v>48</v>
      </c>
    </row>
  </sheetData>
  <sheetProtection password="9AD8" sheet="1" objects="1" scenarios="1" selectLockedCells="1"/>
  <mergeCells count="26">
    <mergeCell ref="Y7:AF7"/>
    <mergeCell ref="I8:I9"/>
    <mergeCell ref="J8:K8"/>
    <mergeCell ref="AB8:AC8"/>
    <mergeCell ref="AD8:AE8"/>
    <mergeCell ref="AF8:AF9"/>
    <mergeCell ref="V8:W8"/>
    <mergeCell ref="X8:X9"/>
    <mergeCell ref="Y8:Y9"/>
    <mergeCell ref="Z8:AA8"/>
    <mergeCell ref="A7:F9"/>
    <mergeCell ref="G7:G9"/>
    <mergeCell ref="I7:P7"/>
    <mergeCell ref="Q7:X7"/>
    <mergeCell ref="P8:P9"/>
    <mergeCell ref="Q8:Q9"/>
    <mergeCell ref="L8:M8"/>
    <mergeCell ref="N8:O8"/>
    <mergeCell ref="R8:S8"/>
    <mergeCell ref="T8:U8"/>
    <mergeCell ref="A6:AF6"/>
    <mergeCell ref="A5:AF5"/>
    <mergeCell ref="A1:AF1"/>
    <mergeCell ref="A2:AF2"/>
    <mergeCell ref="A3:AF3"/>
    <mergeCell ref="A4:AF4"/>
  </mergeCells>
  <phoneticPr fontId="8" type="noConversion"/>
  <dataValidations count="2">
    <dataValidation allowBlank="1" showInputMessage="1" showErrorMessage="1" sqref="I42:I47 L13:M14 L16:M17 Q31:S32 L19:M20 L23:M24 L26:M27 L29:M30 L33:M34 L36:M37 L39:M40 L42:M44 I10:O12 Q10:S12 AF10:AF47 I21:O22 I31:O32 I41:S41 P39:P40 V10:W12 P42:P44 V21:W22 V41:X41 V15:X15 V18:X18 V25:X25 V28:X28 V35:X35 V38:X38 V31:W32 P10:P24 I38:S38 I35:S35 I28:S28 I25:S25 Q18:S18 Q15:S15 Q42:Q47 Q21:S22 I15:O15 I18:O18 P26:P27 P29:P34 P36:P37 X10:X14 X16:X17 X19:X24 X26:X27 X29:X34 X36:X37 X39:X40 X42:X44 R45:S47 J45:P47 V45:X47"/>
    <dataValidation type="decimal" operator="greaterThanOrEqual" allowBlank="1" showInputMessage="1" showErrorMessage="1" errorTitle="Invalid Entry" error="The value you entered is not valid." sqref="I36:K37 I33:K34 Q26:S27 I29:K30 Q23:S24 I26:K27 N36:O37 I23:K24 Q19:S20 I19:K20 Q16:S17 I16:K17 Q39:S40 I13:K14 Q13:S14 N33:O34 N29:O30 N26:O27 Q29:S30 N23:O24 N19:O20 N42:O44 Q36:S37 N16:O17 J42:K44 N13:O14 V39:W40 I39:K40 N39:O40 R42:S44 V36:W37 V33:W34 V29:W30 V26:W27 V23:W24 V19:W20 V16:W17 V13:W14 V42:W44 Q33:S34">
      <formula1>0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15&amp;U
  &amp;P of &amp;N&amp;C&amp;"Arial,Bold"&amp;8 MAXIMUM SAVINGS BANK, INC.  [ 03-070011 ]
 As of: June 30, 2019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X53"/>
  <sheetViews>
    <sheetView zoomScale="75" workbookViewId="0">
      <pane xSplit="8" ySplit="9" topLeftCell="I12" activePane="bottomRight" state="frozen"/>
      <selection pane="topRight" activeCell="I1" sqref="I1"/>
      <selection pane="bottomLeft" activeCell="A10" sqref="A10"/>
      <selection pane="bottomRight" sqref="A1:X1"/>
    </sheetView>
  </sheetViews>
  <sheetFormatPr defaultRowHeight="11.25" customHeight="1" x14ac:dyDescent="0.2"/>
  <cols>
    <col min="1" max="1" width="3.28515625" style="14" customWidth="1"/>
    <col min="2" max="2" width="3" style="14" customWidth="1"/>
    <col min="3" max="3" width="55.5703125" style="14" customWidth="1"/>
    <col min="4" max="5" width="0" style="14" hidden="1" customWidth="1"/>
    <col min="6" max="6" width="13.7109375" style="14" hidden="1" customWidth="1"/>
    <col min="7" max="7" width="17.7109375" style="14" customWidth="1"/>
    <col min="8" max="8" width="17.140625" style="14" hidden="1" customWidth="1"/>
    <col min="9" max="13" width="22.7109375" style="14" customWidth="1"/>
    <col min="14" max="15" width="22.7109375" style="14" hidden="1" customWidth="1"/>
    <col min="16" max="21" width="22.7109375" style="14" customWidth="1"/>
    <col min="22" max="23" width="22.7109375" style="14" hidden="1" customWidth="1"/>
    <col min="24" max="24" width="22.7109375" style="14" customWidth="1"/>
    <col min="25" max="16384" width="9.140625" style="14"/>
  </cols>
  <sheetData>
    <row r="1" spans="1:24" ht="11.25" customHeight="1" x14ac:dyDescent="0.2">
      <c r="A1" s="397" t="s">
        <v>720</v>
      </c>
      <c r="B1" s="397"/>
      <c r="C1" s="397"/>
      <c r="D1" s="397"/>
      <c r="E1" s="397"/>
      <c r="F1" s="397"/>
      <c r="G1" s="397"/>
      <c r="H1" s="397"/>
      <c r="I1" s="397"/>
      <c r="J1" s="397"/>
      <c r="K1" s="397"/>
      <c r="L1" s="397"/>
      <c r="M1" s="397"/>
      <c r="N1" s="397"/>
      <c r="O1" s="397"/>
      <c r="P1" s="397"/>
      <c r="Q1" s="397"/>
      <c r="R1" s="397"/>
      <c r="S1" s="397"/>
      <c r="T1" s="397"/>
      <c r="U1" s="397"/>
      <c r="V1" s="397"/>
      <c r="W1" s="397"/>
      <c r="X1" s="397"/>
    </row>
    <row r="2" spans="1:24" ht="11.25" hidden="1" customHeight="1" x14ac:dyDescent="0.2">
      <c r="A2" s="398"/>
      <c r="B2" s="398"/>
      <c r="C2" s="398"/>
      <c r="D2" s="398"/>
      <c r="E2" s="398"/>
      <c r="F2" s="398"/>
      <c r="G2" s="398"/>
      <c r="H2" s="398"/>
      <c r="I2" s="398"/>
      <c r="J2" s="398"/>
      <c r="K2" s="398"/>
      <c r="L2" s="398"/>
      <c r="M2" s="398"/>
      <c r="N2" s="398"/>
      <c r="O2" s="398"/>
      <c r="P2" s="398"/>
      <c r="Q2" s="398"/>
      <c r="R2" s="398"/>
      <c r="S2" s="398"/>
      <c r="T2" s="398"/>
      <c r="U2" s="398"/>
      <c r="V2" s="398"/>
      <c r="W2" s="398"/>
      <c r="X2" s="398"/>
    </row>
    <row r="3" spans="1:24" ht="11.25" hidden="1" customHeight="1" x14ac:dyDescent="0.2">
      <c r="A3" s="398"/>
      <c r="B3" s="398"/>
      <c r="C3" s="398"/>
      <c r="D3" s="398"/>
      <c r="E3" s="398"/>
      <c r="F3" s="398"/>
      <c r="G3" s="398"/>
      <c r="H3" s="398"/>
      <c r="I3" s="398"/>
      <c r="J3" s="398"/>
      <c r="K3" s="398"/>
      <c r="L3" s="398"/>
      <c r="M3" s="398"/>
      <c r="N3" s="398"/>
      <c r="O3" s="398"/>
      <c r="P3" s="398"/>
      <c r="Q3" s="398"/>
      <c r="R3" s="398"/>
      <c r="S3" s="398"/>
      <c r="T3" s="398"/>
      <c r="U3" s="398"/>
      <c r="V3" s="398"/>
      <c r="W3" s="398"/>
      <c r="X3" s="398"/>
    </row>
    <row r="4" spans="1:24" ht="11.25" hidden="1" customHeight="1" x14ac:dyDescent="0.2">
      <c r="A4" s="398"/>
      <c r="B4" s="398"/>
      <c r="C4" s="398"/>
      <c r="D4" s="398"/>
      <c r="E4" s="398"/>
      <c r="F4" s="398"/>
      <c r="G4" s="398"/>
      <c r="H4" s="398"/>
      <c r="I4" s="398"/>
      <c r="J4" s="398"/>
      <c r="K4" s="398"/>
      <c r="L4" s="398"/>
      <c r="M4" s="398"/>
      <c r="N4" s="398"/>
      <c r="O4" s="398"/>
      <c r="P4" s="398"/>
      <c r="Q4" s="398"/>
      <c r="R4" s="398"/>
      <c r="S4" s="398"/>
      <c r="T4" s="398"/>
      <c r="U4" s="398"/>
      <c r="V4" s="398"/>
      <c r="W4" s="398"/>
      <c r="X4" s="398"/>
    </row>
    <row r="5" spans="1:24" ht="11.25" hidden="1" customHeight="1" x14ac:dyDescent="0.2">
      <c r="A5" s="398"/>
      <c r="B5" s="398"/>
      <c r="C5" s="398"/>
      <c r="D5" s="398"/>
      <c r="E5" s="398"/>
      <c r="F5" s="398"/>
      <c r="G5" s="398"/>
      <c r="H5" s="398"/>
      <c r="I5" s="398"/>
      <c r="J5" s="398"/>
      <c r="K5" s="398"/>
      <c r="L5" s="398"/>
      <c r="M5" s="398"/>
      <c r="N5" s="398"/>
      <c r="O5" s="398"/>
      <c r="P5" s="398"/>
      <c r="Q5" s="398"/>
      <c r="R5" s="398"/>
      <c r="S5" s="398"/>
      <c r="T5" s="398"/>
      <c r="U5" s="398"/>
      <c r="V5" s="398"/>
      <c r="W5" s="398"/>
      <c r="X5" s="398"/>
    </row>
    <row r="6" spans="1:24" ht="11.25" customHeight="1" x14ac:dyDescent="0.2">
      <c r="A6" s="398"/>
      <c r="B6" s="398"/>
      <c r="C6" s="398"/>
      <c r="D6" s="398"/>
      <c r="E6" s="398"/>
      <c r="F6" s="398"/>
      <c r="G6" s="398"/>
      <c r="H6" s="398"/>
      <c r="I6" s="398"/>
      <c r="J6" s="398"/>
      <c r="K6" s="398"/>
      <c r="L6" s="398"/>
      <c r="M6" s="398"/>
      <c r="N6" s="398"/>
      <c r="O6" s="398"/>
      <c r="P6" s="398"/>
      <c r="Q6" s="398"/>
      <c r="R6" s="398"/>
      <c r="S6" s="398"/>
      <c r="T6" s="398"/>
      <c r="U6" s="398"/>
      <c r="V6" s="398"/>
      <c r="W6" s="398"/>
      <c r="X6" s="398"/>
    </row>
    <row r="7" spans="1:24" ht="11.25" customHeight="1" x14ac:dyDescent="0.2">
      <c r="A7" s="401" t="s">
        <v>1</v>
      </c>
      <c r="B7" s="401"/>
      <c r="C7" s="401"/>
      <c r="D7" s="401"/>
      <c r="E7" s="401"/>
      <c r="F7" s="401"/>
      <c r="G7" s="401" t="s">
        <v>2</v>
      </c>
      <c r="H7" s="16"/>
      <c r="I7" s="492" t="s">
        <v>536</v>
      </c>
      <c r="J7" s="492"/>
      <c r="K7" s="492"/>
      <c r="L7" s="492"/>
      <c r="M7" s="492"/>
      <c r="N7" s="492"/>
      <c r="O7" s="492"/>
      <c r="P7" s="492"/>
      <c r="Q7" s="492" t="s">
        <v>584</v>
      </c>
      <c r="R7" s="492"/>
      <c r="S7" s="492"/>
      <c r="T7" s="492"/>
      <c r="U7" s="492"/>
      <c r="V7" s="492"/>
      <c r="W7" s="492"/>
      <c r="X7" s="492"/>
    </row>
    <row r="8" spans="1:24" ht="11.25" customHeight="1" x14ac:dyDescent="0.2">
      <c r="A8" s="401"/>
      <c r="B8" s="401"/>
      <c r="C8" s="401"/>
      <c r="D8" s="401"/>
      <c r="E8" s="401"/>
      <c r="F8" s="401"/>
      <c r="G8" s="401"/>
      <c r="H8" s="16"/>
      <c r="I8" s="406" t="s">
        <v>3</v>
      </c>
      <c r="J8" s="406" t="s">
        <v>4</v>
      </c>
      <c r="K8" s="406"/>
      <c r="L8" s="401" t="s">
        <v>5</v>
      </c>
      <c r="M8" s="401"/>
      <c r="N8" s="406" t="s">
        <v>6</v>
      </c>
      <c r="O8" s="406"/>
      <c r="P8" s="408" t="s">
        <v>56</v>
      </c>
      <c r="Q8" s="406" t="s">
        <v>3</v>
      </c>
      <c r="R8" s="406" t="s">
        <v>4</v>
      </c>
      <c r="S8" s="406"/>
      <c r="T8" s="401" t="s">
        <v>5</v>
      </c>
      <c r="U8" s="401"/>
      <c r="V8" s="406" t="s">
        <v>6</v>
      </c>
      <c r="W8" s="406"/>
      <c r="X8" s="408" t="s">
        <v>56</v>
      </c>
    </row>
    <row r="9" spans="1:24" ht="11.25" customHeight="1" x14ac:dyDescent="0.2">
      <c r="A9" s="423"/>
      <c r="B9" s="423"/>
      <c r="C9" s="423"/>
      <c r="D9" s="423"/>
      <c r="E9" s="401"/>
      <c r="F9" s="401"/>
      <c r="G9" s="401"/>
      <c r="H9" s="16"/>
      <c r="I9" s="406"/>
      <c r="J9" s="222" t="s">
        <v>11</v>
      </c>
      <c r="K9" s="222" t="s">
        <v>12</v>
      </c>
      <c r="L9" s="222" t="s">
        <v>11</v>
      </c>
      <c r="M9" s="222" t="s">
        <v>12</v>
      </c>
      <c r="N9" s="222" t="s">
        <v>11</v>
      </c>
      <c r="O9" s="222" t="s">
        <v>12</v>
      </c>
      <c r="P9" s="408"/>
      <c r="Q9" s="406"/>
      <c r="R9" s="222" t="s">
        <v>11</v>
      </c>
      <c r="S9" s="222" t="s">
        <v>12</v>
      </c>
      <c r="T9" s="222" t="s">
        <v>11</v>
      </c>
      <c r="U9" s="222" t="s">
        <v>12</v>
      </c>
      <c r="V9" s="222" t="s">
        <v>11</v>
      </c>
      <c r="W9" s="222" t="s">
        <v>12</v>
      </c>
      <c r="X9" s="408"/>
    </row>
    <row r="10" spans="1:24" ht="11.25" customHeight="1" x14ac:dyDescent="0.2">
      <c r="A10" s="223" t="s">
        <v>407</v>
      </c>
      <c r="B10" s="143"/>
      <c r="C10" s="143"/>
      <c r="D10" s="144"/>
      <c r="E10" s="43"/>
      <c r="F10" s="105"/>
      <c r="G10" s="352" t="s">
        <v>537</v>
      </c>
      <c r="H10" s="112"/>
      <c r="I10" s="126">
        <f>I11+I18+I25</f>
        <v>0</v>
      </c>
      <c r="J10" s="126">
        <f>J11+J18+J25</f>
        <v>0</v>
      </c>
      <c r="K10" s="126">
        <f>K11+K18+K25</f>
        <v>0</v>
      </c>
      <c r="L10" s="132"/>
      <c r="M10" s="132"/>
      <c r="N10" s="132"/>
      <c r="O10" s="132"/>
      <c r="P10" s="126">
        <f t="shared" ref="P10:P16" si="0">I10+K10+M10+O10</f>
        <v>0</v>
      </c>
      <c r="Q10" s="126">
        <f>Q11+Q18+Q25</f>
        <v>0</v>
      </c>
      <c r="R10" s="126">
        <f>R11+R18+R25</f>
        <v>0</v>
      </c>
      <c r="S10" s="126">
        <f>S11+S18+S25</f>
        <v>0</v>
      </c>
      <c r="T10" s="132"/>
      <c r="U10" s="132"/>
      <c r="V10" s="132"/>
      <c r="W10" s="132"/>
      <c r="X10" s="126">
        <f t="shared" ref="X10:X16" si="1">Q10+S10+U10+W10</f>
        <v>0</v>
      </c>
    </row>
    <row r="11" spans="1:24" ht="11.25" customHeight="1" x14ac:dyDescent="0.2">
      <c r="A11" s="226" t="s">
        <v>585</v>
      </c>
      <c r="B11" s="57" t="s">
        <v>586</v>
      </c>
      <c r="C11" s="59"/>
      <c r="D11" s="60"/>
      <c r="E11" s="43"/>
      <c r="F11" s="105"/>
      <c r="G11" s="352" t="s">
        <v>539</v>
      </c>
      <c r="H11" s="112"/>
      <c r="I11" s="126">
        <f>I12+I13+I14+I15+I16</f>
        <v>0</v>
      </c>
      <c r="J11" s="126">
        <f>J12+J13+J14+J15+J16</f>
        <v>0</v>
      </c>
      <c r="K11" s="126">
        <f>K12+K13+K14+K15+K16</f>
        <v>0</v>
      </c>
      <c r="L11" s="132"/>
      <c r="M11" s="132"/>
      <c r="N11" s="132"/>
      <c r="O11" s="132"/>
      <c r="P11" s="126">
        <f t="shared" si="0"/>
        <v>0</v>
      </c>
      <c r="Q11" s="126">
        <f>Q12+Q13+Q14+Q15+Q16</f>
        <v>0</v>
      </c>
      <c r="R11" s="126">
        <f>R12+R13+R14+R15+R16</f>
        <v>0</v>
      </c>
      <c r="S11" s="126">
        <f>S12+S13+S14+S15+S16</f>
        <v>0</v>
      </c>
      <c r="T11" s="132"/>
      <c r="U11" s="132"/>
      <c r="V11" s="132"/>
      <c r="W11" s="132"/>
      <c r="X11" s="126">
        <f t="shared" si="1"/>
        <v>0</v>
      </c>
    </row>
    <row r="12" spans="1:24" ht="11.25" customHeight="1" x14ac:dyDescent="0.2">
      <c r="A12" s="224"/>
      <c r="B12" s="63" t="s">
        <v>391</v>
      </c>
      <c r="C12" s="63" t="s">
        <v>717</v>
      </c>
      <c r="D12" s="60"/>
      <c r="E12" s="43"/>
      <c r="F12" s="105"/>
      <c r="G12" s="352" t="s">
        <v>587</v>
      </c>
      <c r="H12" s="112"/>
      <c r="I12" s="127"/>
      <c r="J12" s="127"/>
      <c r="K12" s="127"/>
      <c r="L12" s="287"/>
      <c r="M12" s="287"/>
      <c r="N12" s="287"/>
      <c r="O12" s="287"/>
      <c r="P12" s="126">
        <f t="shared" si="0"/>
        <v>0</v>
      </c>
      <c r="Q12" s="127"/>
      <c r="R12" s="127"/>
      <c r="S12" s="127"/>
      <c r="T12" s="287"/>
      <c r="U12" s="287"/>
      <c r="V12" s="287"/>
      <c r="W12" s="287"/>
      <c r="X12" s="126">
        <f t="shared" si="1"/>
        <v>0</v>
      </c>
    </row>
    <row r="13" spans="1:24" ht="11.25" customHeight="1" x14ac:dyDescent="0.2">
      <c r="A13" s="226"/>
      <c r="B13" s="57" t="s">
        <v>393</v>
      </c>
      <c r="C13" s="59" t="s">
        <v>588</v>
      </c>
      <c r="D13" s="60"/>
      <c r="E13" s="43"/>
      <c r="F13" s="105"/>
      <c r="G13" s="352" t="s">
        <v>589</v>
      </c>
      <c r="H13" s="112"/>
      <c r="I13" s="127"/>
      <c r="J13" s="127"/>
      <c r="K13" s="127"/>
      <c r="L13" s="287"/>
      <c r="M13" s="287"/>
      <c r="N13" s="287"/>
      <c r="O13" s="287"/>
      <c r="P13" s="126">
        <f t="shared" si="0"/>
        <v>0</v>
      </c>
      <c r="Q13" s="127"/>
      <c r="R13" s="127"/>
      <c r="S13" s="127"/>
      <c r="T13" s="287"/>
      <c r="U13" s="287"/>
      <c r="V13" s="287"/>
      <c r="W13" s="287"/>
      <c r="X13" s="126">
        <f t="shared" si="1"/>
        <v>0</v>
      </c>
    </row>
    <row r="14" spans="1:24" ht="11.25" customHeight="1" x14ac:dyDescent="0.2">
      <c r="A14" s="224"/>
      <c r="B14" s="63" t="s">
        <v>435</v>
      </c>
      <c r="C14" s="63" t="s">
        <v>590</v>
      </c>
      <c r="D14" s="60"/>
      <c r="E14" s="43"/>
      <c r="F14" s="105"/>
      <c r="G14" s="352" t="s">
        <v>591</v>
      </c>
      <c r="H14" s="112"/>
      <c r="I14" s="127"/>
      <c r="J14" s="127"/>
      <c r="K14" s="127"/>
      <c r="L14" s="287"/>
      <c r="M14" s="287"/>
      <c r="N14" s="287"/>
      <c r="O14" s="287"/>
      <c r="P14" s="126">
        <f t="shared" si="0"/>
        <v>0</v>
      </c>
      <c r="Q14" s="127"/>
      <c r="R14" s="127"/>
      <c r="S14" s="127"/>
      <c r="T14" s="287"/>
      <c r="U14" s="287"/>
      <c r="V14" s="287"/>
      <c r="W14" s="287"/>
      <c r="X14" s="126">
        <f t="shared" si="1"/>
        <v>0</v>
      </c>
    </row>
    <row r="15" spans="1:24" ht="11.25" customHeight="1" x14ac:dyDescent="0.2">
      <c r="A15" s="226"/>
      <c r="B15" s="57" t="s">
        <v>489</v>
      </c>
      <c r="C15" s="227" t="s">
        <v>592</v>
      </c>
      <c r="D15" s="60"/>
      <c r="E15" s="43"/>
      <c r="F15" s="105"/>
      <c r="G15" s="352" t="s">
        <v>593</v>
      </c>
      <c r="H15" s="112"/>
      <c r="I15" s="127"/>
      <c r="J15" s="127"/>
      <c r="K15" s="127"/>
      <c r="L15" s="287"/>
      <c r="M15" s="287"/>
      <c r="N15" s="287"/>
      <c r="O15" s="287"/>
      <c r="P15" s="126">
        <f t="shared" si="0"/>
        <v>0</v>
      </c>
      <c r="Q15" s="127"/>
      <c r="R15" s="127"/>
      <c r="S15" s="127"/>
      <c r="T15" s="287"/>
      <c r="U15" s="287"/>
      <c r="V15" s="287"/>
      <c r="W15" s="287"/>
      <c r="X15" s="126">
        <f t="shared" si="1"/>
        <v>0</v>
      </c>
    </row>
    <row r="16" spans="1:24" ht="11.25" customHeight="1" x14ac:dyDescent="0.2">
      <c r="A16" s="226"/>
      <c r="B16" s="197" t="s">
        <v>492</v>
      </c>
      <c r="C16" s="365" t="s">
        <v>598</v>
      </c>
      <c r="D16" s="366"/>
      <c r="E16" s="243"/>
      <c r="F16" s="367"/>
      <c r="G16" s="349" t="s">
        <v>635</v>
      </c>
      <c r="H16" s="112"/>
      <c r="I16" s="127"/>
      <c r="J16" s="127"/>
      <c r="K16" s="127"/>
      <c r="L16" s="287"/>
      <c r="M16" s="287"/>
      <c r="N16" s="287"/>
      <c r="O16" s="287"/>
      <c r="P16" s="126">
        <f t="shared" si="0"/>
        <v>0</v>
      </c>
      <c r="Q16" s="127"/>
      <c r="R16" s="127"/>
      <c r="S16" s="127"/>
      <c r="T16" s="287"/>
      <c r="U16" s="287"/>
      <c r="V16" s="287"/>
      <c r="W16" s="287"/>
      <c r="X16" s="126">
        <f t="shared" si="1"/>
        <v>0</v>
      </c>
    </row>
    <row r="17" spans="1:24" ht="11.25" customHeight="1" x14ac:dyDescent="0.2">
      <c r="A17" s="145"/>
      <c r="B17" s="63"/>
      <c r="C17" s="63"/>
      <c r="D17" s="60"/>
      <c r="E17" s="341"/>
      <c r="F17" s="342"/>
      <c r="G17" s="360"/>
      <c r="H17" s="112"/>
      <c r="I17" s="130"/>
      <c r="J17" s="130"/>
      <c r="K17" s="130"/>
      <c r="L17" s="287"/>
      <c r="M17" s="287"/>
      <c r="N17" s="287"/>
      <c r="O17" s="287"/>
      <c r="P17" s="126"/>
      <c r="Q17" s="130"/>
      <c r="R17" s="130"/>
      <c r="S17" s="130"/>
      <c r="T17" s="287"/>
      <c r="U17" s="287"/>
      <c r="V17" s="287"/>
      <c r="W17" s="287"/>
      <c r="X17" s="126"/>
    </row>
    <row r="18" spans="1:24" ht="11.25" customHeight="1" x14ac:dyDescent="0.2">
      <c r="A18" s="228" t="s">
        <v>95</v>
      </c>
      <c r="B18" s="57" t="s">
        <v>557</v>
      </c>
      <c r="C18" s="59"/>
      <c r="D18" s="60"/>
      <c r="E18" s="43"/>
      <c r="F18" s="105"/>
      <c r="G18" s="352" t="s">
        <v>558</v>
      </c>
      <c r="H18" s="112"/>
      <c r="I18" s="126">
        <f>I19+I20+I21+I22+I23</f>
        <v>0</v>
      </c>
      <c r="J18" s="126">
        <f>J19+J20+J21+J22+J23</f>
        <v>0</v>
      </c>
      <c r="K18" s="126">
        <f>K19+K20+K21+K22+K23</f>
        <v>0</v>
      </c>
      <c r="L18" s="132"/>
      <c r="M18" s="132"/>
      <c r="N18" s="132"/>
      <c r="O18" s="132"/>
      <c r="P18" s="126">
        <f t="shared" ref="P18:P23" si="2">I18+K18+M18+O18</f>
        <v>0</v>
      </c>
      <c r="Q18" s="126">
        <f>Q19+Q20+Q21+Q22+Q23</f>
        <v>0</v>
      </c>
      <c r="R18" s="126">
        <f>R19+R20+R21+R22+R23</f>
        <v>0</v>
      </c>
      <c r="S18" s="126">
        <f>S19+S20+S21+S22+S23</f>
        <v>0</v>
      </c>
      <c r="T18" s="132"/>
      <c r="U18" s="132"/>
      <c r="V18" s="132"/>
      <c r="W18" s="132"/>
      <c r="X18" s="126">
        <f t="shared" ref="X18:X23" si="3">Q18+S18+U18+W18</f>
        <v>0</v>
      </c>
    </row>
    <row r="19" spans="1:24" ht="11.25" customHeight="1" x14ac:dyDescent="0.2">
      <c r="A19" s="145"/>
      <c r="B19" s="63" t="s">
        <v>391</v>
      </c>
      <c r="C19" s="63" t="s">
        <v>717</v>
      </c>
      <c r="D19" s="60"/>
      <c r="E19" s="43"/>
      <c r="F19" s="105"/>
      <c r="G19" s="352" t="s">
        <v>594</v>
      </c>
      <c r="H19" s="112"/>
      <c r="I19" s="127"/>
      <c r="J19" s="127"/>
      <c r="K19" s="127"/>
      <c r="L19" s="287"/>
      <c r="M19" s="287"/>
      <c r="N19" s="287"/>
      <c r="O19" s="287"/>
      <c r="P19" s="126">
        <f t="shared" si="2"/>
        <v>0</v>
      </c>
      <c r="Q19" s="127"/>
      <c r="R19" s="127"/>
      <c r="S19" s="127"/>
      <c r="T19" s="287"/>
      <c r="U19" s="287"/>
      <c r="V19" s="287"/>
      <c r="W19" s="287"/>
      <c r="X19" s="126">
        <f t="shared" si="3"/>
        <v>0</v>
      </c>
    </row>
    <row r="20" spans="1:24" ht="11.25" customHeight="1" x14ac:dyDescent="0.2">
      <c r="A20" s="139"/>
      <c r="B20" s="57" t="s">
        <v>393</v>
      </c>
      <c r="C20" s="59" t="s">
        <v>588</v>
      </c>
      <c r="D20" s="60"/>
      <c r="E20" s="43"/>
      <c r="F20" s="105"/>
      <c r="G20" s="352" t="s">
        <v>595</v>
      </c>
      <c r="H20" s="112"/>
      <c r="I20" s="127"/>
      <c r="J20" s="127"/>
      <c r="K20" s="127"/>
      <c r="L20" s="287"/>
      <c r="M20" s="287"/>
      <c r="N20" s="287"/>
      <c r="O20" s="287"/>
      <c r="P20" s="126">
        <f t="shared" si="2"/>
        <v>0</v>
      </c>
      <c r="Q20" s="127"/>
      <c r="R20" s="127"/>
      <c r="S20" s="127"/>
      <c r="T20" s="287"/>
      <c r="U20" s="287"/>
      <c r="V20" s="287"/>
      <c r="W20" s="287"/>
      <c r="X20" s="126">
        <f t="shared" si="3"/>
        <v>0</v>
      </c>
    </row>
    <row r="21" spans="1:24" ht="11.25" customHeight="1" x14ac:dyDescent="0.2">
      <c r="A21" s="145"/>
      <c r="B21" s="63" t="s">
        <v>435</v>
      </c>
      <c r="C21" s="63" t="s">
        <v>590</v>
      </c>
      <c r="D21" s="60"/>
      <c r="E21" s="43"/>
      <c r="F21" s="105"/>
      <c r="G21" s="352" t="s">
        <v>596</v>
      </c>
      <c r="H21" s="112"/>
      <c r="I21" s="127"/>
      <c r="J21" s="127"/>
      <c r="K21" s="127"/>
      <c r="L21" s="287"/>
      <c r="M21" s="287"/>
      <c r="N21" s="287"/>
      <c r="O21" s="287"/>
      <c r="P21" s="126">
        <f t="shared" si="2"/>
        <v>0</v>
      </c>
      <c r="Q21" s="127"/>
      <c r="R21" s="127"/>
      <c r="S21" s="127"/>
      <c r="T21" s="287"/>
      <c r="U21" s="287"/>
      <c r="V21" s="287"/>
      <c r="W21" s="287"/>
      <c r="X21" s="126">
        <f t="shared" si="3"/>
        <v>0</v>
      </c>
    </row>
    <row r="22" spans="1:24" ht="11.25" customHeight="1" x14ac:dyDescent="0.2">
      <c r="A22" s="139"/>
      <c r="B22" s="57" t="s">
        <v>489</v>
      </c>
      <c r="C22" s="227" t="s">
        <v>592</v>
      </c>
      <c r="D22" s="60"/>
      <c r="E22" s="43"/>
      <c r="F22" s="105"/>
      <c r="G22" s="352" t="s">
        <v>597</v>
      </c>
      <c r="H22" s="112"/>
      <c r="I22" s="127"/>
      <c r="J22" s="127"/>
      <c r="K22" s="127"/>
      <c r="L22" s="287"/>
      <c r="M22" s="287"/>
      <c r="N22" s="287"/>
      <c r="O22" s="287"/>
      <c r="P22" s="126">
        <f t="shared" si="2"/>
        <v>0</v>
      </c>
      <c r="Q22" s="127"/>
      <c r="R22" s="127"/>
      <c r="S22" s="127"/>
      <c r="T22" s="287"/>
      <c r="U22" s="287"/>
      <c r="V22" s="287"/>
      <c r="W22" s="287"/>
      <c r="X22" s="126">
        <f t="shared" si="3"/>
        <v>0</v>
      </c>
    </row>
    <row r="23" spans="1:24" ht="11.25" customHeight="1" x14ac:dyDescent="0.2">
      <c r="A23" s="145"/>
      <c r="B23" s="63" t="s">
        <v>492</v>
      </c>
      <c r="C23" s="63" t="s">
        <v>598</v>
      </c>
      <c r="D23" s="60"/>
      <c r="E23" s="43"/>
      <c r="F23" s="105"/>
      <c r="G23" s="352" t="s">
        <v>599</v>
      </c>
      <c r="H23" s="112"/>
      <c r="I23" s="127"/>
      <c r="J23" s="127"/>
      <c r="K23" s="127"/>
      <c r="L23" s="287"/>
      <c r="M23" s="287"/>
      <c r="N23" s="287"/>
      <c r="O23" s="287"/>
      <c r="P23" s="126">
        <f t="shared" si="2"/>
        <v>0</v>
      </c>
      <c r="Q23" s="127"/>
      <c r="R23" s="127"/>
      <c r="S23" s="127"/>
      <c r="T23" s="287"/>
      <c r="U23" s="287"/>
      <c r="V23" s="287"/>
      <c r="W23" s="287"/>
      <c r="X23" s="126">
        <f t="shared" si="3"/>
        <v>0</v>
      </c>
    </row>
    <row r="24" spans="1:24" ht="11.25" customHeight="1" x14ac:dyDescent="0.2">
      <c r="A24" s="139"/>
      <c r="B24" s="57"/>
      <c r="C24" s="59"/>
      <c r="D24" s="60"/>
      <c r="E24" s="43"/>
      <c r="F24" s="105"/>
      <c r="G24" s="354"/>
      <c r="H24" s="112"/>
      <c r="I24" s="130"/>
      <c r="J24" s="130"/>
      <c r="K24" s="130"/>
      <c r="L24" s="287"/>
      <c r="M24" s="287"/>
      <c r="N24" s="287"/>
      <c r="O24" s="287"/>
      <c r="P24" s="126"/>
      <c r="Q24" s="130"/>
      <c r="R24" s="130"/>
      <c r="S24" s="130"/>
      <c r="T24" s="287"/>
      <c r="U24" s="287"/>
      <c r="V24" s="287"/>
      <c r="W24" s="287"/>
      <c r="X24" s="126"/>
    </row>
    <row r="25" spans="1:24" ht="11.25" customHeight="1" x14ac:dyDescent="0.2">
      <c r="A25" s="225" t="s">
        <v>146</v>
      </c>
      <c r="B25" s="63" t="s">
        <v>568</v>
      </c>
      <c r="C25" s="63"/>
      <c r="D25" s="60"/>
      <c r="E25" s="43"/>
      <c r="F25" s="105"/>
      <c r="G25" s="352" t="s">
        <v>569</v>
      </c>
      <c r="H25" s="112"/>
      <c r="I25" s="126">
        <f>I26+I27+I28+I29+I30</f>
        <v>0</v>
      </c>
      <c r="J25" s="126">
        <f>J26+J27+J28+J29+J30</f>
        <v>0</v>
      </c>
      <c r="K25" s="126">
        <f>K26+K27+K28+K29+K30</f>
        <v>0</v>
      </c>
      <c r="L25" s="132"/>
      <c r="M25" s="132"/>
      <c r="N25" s="132"/>
      <c r="O25" s="132"/>
      <c r="P25" s="126">
        <f t="shared" ref="P25:P30" si="4">I25+K25+M25+O25</f>
        <v>0</v>
      </c>
      <c r="Q25" s="126">
        <f>Q26+Q27+Q28+Q29+Q30</f>
        <v>0</v>
      </c>
      <c r="R25" s="126">
        <f>R26+R27+R28+R29+R30</f>
        <v>0</v>
      </c>
      <c r="S25" s="126">
        <f>S26+S27+S28+S29+S30</f>
        <v>0</v>
      </c>
      <c r="T25" s="132"/>
      <c r="U25" s="132"/>
      <c r="V25" s="132"/>
      <c r="W25" s="132"/>
      <c r="X25" s="126">
        <f t="shared" ref="X25:X30" si="5">Q25+S25+U25+W25</f>
        <v>0</v>
      </c>
    </row>
    <row r="26" spans="1:24" ht="11.25" customHeight="1" x14ac:dyDescent="0.2">
      <c r="A26" s="139"/>
      <c r="B26" s="57" t="s">
        <v>391</v>
      </c>
      <c r="C26" s="59" t="s">
        <v>717</v>
      </c>
      <c r="D26" s="60"/>
      <c r="E26" s="43"/>
      <c r="F26" s="105"/>
      <c r="G26" s="352" t="s">
        <v>600</v>
      </c>
      <c r="H26" s="112"/>
      <c r="I26" s="127"/>
      <c r="J26" s="127"/>
      <c r="K26" s="127"/>
      <c r="L26" s="287"/>
      <c r="M26" s="287"/>
      <c r="N26" s="287"/>
      <c r="O26" s="287"/>
      <c r="P26" s="126">
        <f t="shared" si="4"/>
        <v>0</v>
      </c>
      <c r="Q26" s="127"/>
      <c r="R26" s="127"/>
      <c r="S26" s="127"/>
      <c r="T26" s="287"/>
      <c r="U26" s="287"/>
      <c r="V26" s="287"/>
      <c r="W26" s="287"/>
      <c r="X26" s="126">
        <f t="shared" si="5"/>
        <v>0</v>
      </c>
    </row>
    <row r="27" spans="1:24" ht="11.25" customHeight="1" x14ac:dyDescent="0.2">
      <c r="A27" s="145"/>
      <c r="B27" s="63" t="s">
        <v>393</v>
      </c>
      <c r="C27" s="63" t="s">
        <v>588</v>
      </c>
      <c r="D27" s="60"/>
      <c r="E27" s="43"/>
      <c r="F27" s="105"/>
      <c r="G27" s="352" t="s">
        <v>601</v>
      </c>
      <c r="H27" s="112"/>
      <c r="I27" s="127"/>
      <c r="J27" s="127"/>
      <c r="K27" s="127"/>
      <c r="L27" s="287"/>
      <c r="M27" s="287"/>
      <c r="N27" s="287"/>
      <c r="O27" s="287"/>
      <c r="P27" s="126">
        <f t="shared" si="4"/>
        <v>0</v>
      </c>
      <c r="Q27" s="127"/>
      <c r="R27" s="127"/>
      <c r="S27" s="127"/>
      <c r="T27" s="287"/>
      <c r="U27" s="287"/>
      <c r="V27" s="287"/>
      <c r="W27" s="287"/>
      <c r="X27" s="126">
        <f t="shared" si="5"/>
        <v>0</v>
      </c>
    </row>
    <row r="28" spans="1:24" ht="11.25" customHeight="1" x14ac:dyDescent="0.2">
      <c r="A28" s="139"/>
      <c r="B28" s="57" t="s">
        <v>435</v>
      </c>
      <c r="C28" s="59" t="s">
        <v>590</v>
      </c>
      <c r="D28" s="60"/>
      <c r="E28" s="43"/>
      <c r="F28" s="105"/>
      <c r="G28" s="352" t="s">
        <v>602</v>
      </c>
      <c r="H28" s="112"/>
      <c r="I28" s="127"/>
      <c r="J28" s="127"/>
      <c r="K28" s="127"/>
      <c r="L28" s="287"/>
      <c r="M28" s="287"/>
      <c r="N28" s="287"/>
      <c r="O28" s="287"/>
      <c r="P28" s="126">
        <f t="shared" si="4"/>
        <v>0</v>
      </c>
      <c r="Q28" s="127"/>
      <c r="R28" s="127"/>
      <c r="S28" s="127"/>
      <c r="T28" s="287"/>
      <c r="U28" s="287"/>
      <c r="V28" s="287"/>
      <c r="W28" s="287"/>
      <c r="X28" s="126">
        <f t="shared" si="5"/>
        <v>0</v>
      </c>
    </row>
    <row r="29" spans="1:24" ht="11.25" customHeight="1" x14ac:dyDescent="0.2">
      <c r="A29" s="145"/>
      <c r="B29" s="63" t="s">
        <v>489</v>
      </c>
      <c r="C29" s="133" t="s">
        <v>592</v>
      </c>
      <c r="D29" s="60"/>
      <c r="E29" s="43"/>
      <c r="F29" s="105"/>
      <c r="G29" s="352" t="s">
        <v>603</v>
      </c>
      <c r="H29" s="112"/>
      <c r="I29" s="127"/>
      <c r="J29" s="127"/>
      <c r="K29" s="127"/>
      <c r="L29" s="287"/>
      <c r="M29" s="287"/>
      <c r="N29" s="287"/>
      <c r="O29" s="287"/>
      <c r="P29" s="126">
        <f t="shared" si="4"/>
        <v>0</v>
      </c>
      <c r="Q29" s="127"/>
      <c r="R29" s="127"/>
      <c r="S29" s="127"/>
      <c r="T29" s="287"/>
      <c r="U29" s="287"/>
      <c r="V29" s="287"/>
      <c r="W29" s="287"/>
      <c r="X29" s="126">
        <f t="shared" si="5"/>
        <v>0</v>
      </c>
    </row>
    <row r="30" spans="1:24" ht="11.25" customHeight="1" x14ac:dyDescent="0.2">
      <c r="A30" s="139"/>
      <c r="B30" s="57" t="s">
        <v>492</v>
      </c>
      <c r="C30" s="59" t="s">
        <v>598</v>
      </c>
      <c r="D30" s="60"/>
      <c r="E30" s="43"/>
      <c r="F30" s="105"/>
      <c r="G30" s="352" t="s">
        <v>604</v>
      </c>
      <c r="H30" s="112"/>
      <c r="I30" s="127"/>
      <c r="J30" s="127"/>
      <c r="K30" s="127"/>
      <c r="L30" s="287"/>
      <c r="M30" s="287"/>
      <c r="N30" s="287"/>
      <c r="O30" s="287"/>
      <c r="P30" s="126">
        <f t="shared" si="4"/>
        <v>0</v>
      </c>
      <c r="Q30" s="127"/>
      <c r="R30" s="127"/>
      <c r="S30" s="127"/>
      <c r="T30" s="287"/>
      <c r="U30" s="287"/>
      <c r="V30" s="287"/>
      <c r="W30" s="287"/>
      <c r="X30" s="126">
        <f t="shared" si="5"/>
        <v>0</v>
      </c>
    </row>
    <row r="31" spans="1:24" ht="11.25" customHeight="1" x14ac:dyDescent="0.2">
      <c r="A31" s="145"/>
      <c r="B31" s="63"/>
      <c r="C31" s="63"/>
      <c r="D31" s="60"/>
      <c r="E31" s="43"/>
      <c r="F31" s="105"/>
      <c r="G31" s="354"/>
      <c r="H31" s="112"/>
      <c r="I31" s="131"/>
      <c r="J31" s="131"/>
      <c r="K31" s="131"/>
      <c r="L31" s="131"/>
      <c r="M31" s="131"/>
      <c r="N31" s="130"/>
      <c r="O31" s="130"/>
      <c r="P31" s="98"/>
      <c r="Q31" s="131"/>
      <c r="R31" s="131"/>
      <c r="S31" s="131"/>
      <c r="T31" s="131"/>
      <c r="U31" s="131"/>
      <c r="V31" s="130"/>
      <c r="W31" s="130"/>
      <c r="X31" s="98"/>
    </row>
    <row r="32" spans="1:24" ht="11.25" customHeight="1" x14ac:dyDescent="0.2">
      <c r="A32" s="55" t="s">
        <v>449</v>
      </c>
      <c r="B32" s="57"/>
      <c r="C32" s="59"/>
      <c r="D32" s="60"/>
      <c r="E32" s="43"/>
      <c r="F32" s="105"/>
      <c r="G32" s="352" t="s">
        <v>579</v>
      </c>
      <c r="H32" s="112"/>
      <c r="I32" s="132"/>
      <c r="J32" s="98">
        <f>J33+J39+J46</f>
        <v>0</v>
      </c>
      <c r="K32" s="98">
        <f>K33+K39+K46</f>
        <v>0</v>
      </c>
      <c r="L32" s="132"/>
      <c r="M32" s="132"/>
      <c r="N32" s="132"/>
      <c r="O32" s="132"/>
      <c r="P32" s="126">
        <f t="shared" ref="P32:P37" si="6">I32+K32+M32+O32</f>
        <v>0</v>
      </c>
      <c r="Q32" s="132"/>
      <c r="R32" s="98">
        <f>R33+R39+R46</f>
        <v>0</v>
      </c>
      <c r="S32" s="98">
        <f>S33+S39+S46</f>
        <v>0</v>
      </c>
      <c r="T32" s="132"/>
      <c r="U32" s="132"/>
      <c r="V32" s="132"/>
      <c r="W32" s="132"/>
      <c r="X32" s="126">
        <f t="shared" ref="X32:X37" si="7">Q32+S32+U32+W32</f>
        <v>0</v>
      </c>
    </row>
    <row r="33" spans="1:24" ht="11.25" customHeight="1" x14ac:dyDescent="0.2">
      <c r="A33" s="224" t="s">
        <v>585</v>
      </c>
      <c r="B33" s="63" t="s">
        <v>605</v>
      </c>
      <c r="C33" s="63"/>
      <c r="D33" s="60"/>
      <c r="E33" s="43"/>
      <c r="F33" s="105"/>
      <c r="G33" s="352" t="s">
        <v>580</v>
      </c>
      <c r="H33" s="112"/>
      <c r="I33" s="132"/>
      <c r="J33" s="98">
        <f>J34+J35+J36+J37</f>
        <v>0</v>
      </c>
      <c r="K33" s="98">
        <f>K34+K35+K36+K37</f>
        <v>0</v>
      </c>
      <c r="L33" s="132"/>
      <c r="M33" s="132"/>
      <c r="N33" s="132"/>
      <c r="O33" s="132"/>
      <c r="P33" s="126">
        <f t="shared" si="6"/>
        <v>0</v>
      </c>
      <c r="Q33" s="132"/>
      <c r="R33" s="98">
        <f>R34+R35+R36+R37</f>
        <v>0</v>
      </c>
      <c r="S33" s="98">
        <f>S34+S35+S36+S37</f>
        <v>0</v>
      </c>
      <c r="T33" s="132"/>
      <c r="U33" s="132"/>
      <c r="V33" s="132"/>
      <c r="W33" s="132"/>
      <c r="X33" s="126">
        <f t="shared" si="7"/>
        <v>0</v>
      </c>
    </row>
    <row r="34" spans="1:24" ht="11.25" customHeight="1" x14ac:dyDescent="0.2">
      <c r="A34" s="226"/>
      <c r="B34" s="57" t="s">
        <v>391</v>
      </c>
      <c r="C34" s="59" t="s">
        <v>717</v>
      </c>
      <c r="D34" s="60"/>
      <c r="E34" s="43"/>
      <c r="F34" s="105"/>
      <c r="G34" s="352" t="s">
        <v>606</v>
      </c>
      <c r="H34" s="112"/>
      <c r="I34" s="287"/>
      <c r="J34" s="127"/>
      <c r="K34" s="127"/>
      <c r="L34" s="287"/>
      <c r="M34" s="287"/>
      <c r="N34" s="287"/>
      <c r="O34" s="287"/>
      <c r="P34" s="126">
        <f t="shared" si="6"/>
        <v>0</v>
      </c>
      <c r="Q34" s="287"/>
      <c r="R34" s="127"/>
      <c r="S34" s="127"/>
      <c r="T34" s="287"/>
      <c r="U34" s="287"/>
      <c r="V34" s="287"/>
      <c r="W34" s="287"/>
      <c r="X34" s="126">
        <f t="shared" si="7"/>
        <v>0</v>
      </c>
    </row>
    <row r="35" spans="1:24" ht="11.25" customHeight="1" x14ac:dyDescent="0.2">
      <c r="A35" s="224"/>
      <c r="B35" s="63" t="s">
        <v>393</v>
      </c>
      <c r="C35" s="63" t="s">
        <v>588</v>
      </c>
      <c r="D35" s="60"/>
      <c r="E35" s="43"/>
      <c r="F35" s="105"/>
      <c r="G35" s="352" t="s">
        <v>607</v>
      </c>
      <c r="H35" s="112"/>
      <c r="I35" s="287"/>
      <c r="J35" s="127"/>
      <c r="K35" s="127"/>
      <c r="L35" s="287"/>
      <c r="M35" s="287"/>
      <c r="N35" s="287"/>
      <c r="O35" s="287"/>
      <c r="P35" s="126">
        <f t="shared" si="6"/>
        <v>0</v>
      </c>
      <c r="Q35" s="287"/>
      <c r="R35" s="127"/>
      <c r="S35" s="127"/>
      <c r="T35" s="287"/>
      <c r="U35" s="287"/>
      <c r="V35" s="287"/>
      <c r="W35" s="287"/>
      <c r="X35" s="126">
        <f t="shared" si="7"/>
        <v>0</v>
      </c>
    </row>
    <row r="36" spans="1:24" ht="11.25" customHeight="1" x14ac:dyDescent="0.2">
      <c r="A36" s="226"/>
      <c r="B36" s="57" t="s">
        <v>435</v>
      </c>
      <c r="C36" s="59" t="s">
        <v>590</v>
      </c>
      <c r="D36" s="60"/>
      <c r="E36" s="43"/>
      <c r="F36" s="105"/>
      <c r="G36" s="352" t="s">
        <v>608</v>
      </c>
      <c r="H36" s="112"/>
      <c r="I36" s="287"/>
      <c r="J36" s="127"/>
      <c r="K36" s="127"/>
      <c r="L36" s="287"/>
      <c r="M36" s="287"/>
      <c r="N36" s="287"/>
      <c r="O36" s="287"/>
      <c r="P36" s="126">
        <f t="shared" si="6"/>
        <v>0</v>
      </c>
      <c r="Q36" s="287"/>
      <c r="R36" s="127"/>
      <c r="S36" s="127"/>
      <c r="T36" s="287"/>
      <c r="U36" s="287"/>
      <c r="V36" s="287"/>
      <c r="W36" s="287"/>
      <c r="X36" s="126">
        <f t="shared" si="7"/>
        <v>0</v>
      </c>
    </row>
    <row r="37" spans="1:24" ht="11.25" customHeight="1" x14ac:dyDescent="0.2">
      <c r="A37" s="224"/>
      <c r="B37" s="63" t="s">
        <v>489</v>
      </c>
      <c r="C37" s="133" t="s">
        <v>592</v>
      </c>
      <c r="D37" s="60"/>
      <c r="E37" s="43"/>
      <c r="F37" s="105"/>
      <c r="G37" s="352" t="s">
        <v>609</v>
      </c>
      <c r="H37" s="112"/>
      <c r="I37" s="287"/>
      <c r="J37" s="127"/>
      <c r="K37" s="127"/>
      <c r="L37" s="287"/>
      <c r="M37" s="287"/>
      <c r="N37" s="287"/>
      <c r="O37" s="287"/>
      <c r="P37" s="126">
        <f t="shared" si="6"/>
        <v>0</v>
      </c>
      <c r="Q37" s="287"/>
      <c r="R37" s="127"/>
      <c r="S37" s="127"/>
      <c r="T37" s="287"/>
      <c r="U37" s="287"/>
      <c r="V37" s="287"/>
      <c r="W37" s="287"/>
      <c r="X37" s="126">
        <f t="shared" si="7"/>
        <v>0</v>
      </c>
    </row>
    <row r="38" spans="1:24" ht="11.25" customHeight="1" x14ac:dyDescent="0.2">
      <c r="A38" s="139"/>
      <c r="B38" s="57"/>
      <c r="C38" s="59"/>
      <c r="D38" s="60"/>
      <c r="E38" s="43"/>
      <c r="F38" s="105"/>
      <c r="G38" s="354"/>
      <c r="H38" s="112"/>
      <c r="I38" s="287"/>
      <c r="J38" s="131"/>
      <c r="K38" s="131"/>
      <c r="L38" s="287"/>
      <c r="M38" s="287"/>
      <c r="N38" s="287"/>
      <c r="O38" s="287"/>
      <c r="P38" s="98"/>
      <c r="Q38" s="287"/>
      <c r="R38" s="131"/>
      <c r="S38" s="131"/>
      <c r="T38" s="287"/>
      <c r="U38" s="287"/>
      <c r="V38" s="287"/>
      <c r="W38" s="287"/>
      <c r="X38" s="98"/>
    </row>
    <row r="39" spans="1:24" ht="11.25" customHeight="1" x14ac:dyDescent="0.2">
      <c r="A39" s="225" t="s">
        <v>95</v>
      </c>
      <c r="B39" s="63" t="s">
        <v>557</v>
      </c>
      <c r="C39" s="63"/>
      <c r="D39" s="60"/>
      <c r="E39" s="43"/>
      <c r="F39" s="105"/>
      <c r="G39" s="352" t="s">
        <v>581</v>
      </c>
      <c r="H39" s="112"/>
      <c r="I39" s="132"/>
      <c r="J39" s="98">
        <f>J40+J41+J42+J43+J44</f>
        <v>0</v>
      </c>
      <c r="K39" s="98">
        <f>K40+K41+K42+K43+K44</f>
        <v>0</v>
      </c>
      <c r="L39" s="132"/>
      <c r="M39" s="132"/>
      <c r="N39" s="132"/>
      <c r="O39" s="132"/>
      <c r="P39" s="126">
        <f t="shared" ref="P39:P44" si="8">I39+K39+M39+O39</f>
        <v>0</v>
      </c>
      <c r="Q39" s="132"/>
      <c r="R39" s="98">
        <f>R40+R41+R42+R43+R44</f>
        <v>0</v>
      </c>
      <c r="S39" s="98">
        <f>S40+S41+S42+S43+S44</f>
        <v>0</v>
      </c>
      <c r="T39" s="132"/>
      <c r="U39" s="132"/>
      <c r="V39" s="132"/>
      <c r="W39" s="132"/>
      <c r="X39" s="126">
        <f t="shared" ref="X39:X44" si="9">Q39+S39+U39+W39</f>
        <v>0</v>
      </c>
    </row>
    <row r="40" spans="1:24" ht="11.25" customHeight="1" x14ac:dyDescent="0.2">
      <c r="A40" s="139"/>
      <c r="B40" s="57" t="s">
        <v>391</v>
      </c>
      <c r="C40" s="59" t="s">
        <v>717</v>
      </c>
      <c r="D40" s="60"/>
      <c r="E40" s="43"/>
      <c r="F40" s="105"/>
      <c r="G40" s="352" t="s">
        <v>610</v>
      </c>
      <c r="H40" s="112"/>
      <c r="I40" s="287"/>
      <c r="J40" s="127"/>
      <c r="K40" s="127"/>
      <c r="L40" s="287"/>
      <c r="M40" s="287"/>
      <c r="N40" s="287"/>
      <c r="O40" s="287"/>
      <c r="P40" s="126">
        <f t="shared" si="8"/>
        <v>0</v>
      </c>
      <c r="Q40" s="287"/>
      <c r="R40" s="127"/>
      <c r="S40" s="127"/>
      <c r="T40" s="287"/>
      <c r="U40" s="287"/>
      <c r="V40" s="287"/>
      <c r="W40" s="287"/>
      <c r="X40" s="126">
        <f t="shared" si="9"/>
        <v>0</v>
      </c>
    </row>
    <row r="41" spans="1:24" ht="11.25" customHeight="1" x14ac:dyDescent="0.2">
      <c r="A41" s="145"/>
      <c r="B41" s="63" t="s">
        <v>393</v>
      </c>
      <c r="C41" s="63" t="s">
        <v>588</v>
      </c>
      <c r="D41" s="60"/>
      <c r="E41" s="43"/>
      <c r="F41" s="105"/>
      <c r="G41" s="352" t="s">
        <v>611</v>
      </c>
      <c r="H41" s="112"/>
      <c r="I41" s="287"/>
      <c r="J41" s="127"/>
      <c r="K41" s="127"/>
      <c r="L41" s="287"/>
      <c r="M41" s="287"/>
      <c r="N41" s="287"/>
      <c r="O41" s="287"/>
      <c r="P41" s="126">
        <f t="shared" si="8"/>
        <v>0</v>
      </c>
      <c r="Q41" s="287"/>
      <c r="R41" s="127"/>
      <c r="S41" s="127"/>
      <c r="T41" s="287"/>
      <c r="U41" s="287"/>
      <c r="V41" s="287"/>
      <c r="W41" s="287"/>
      <c r="X41" s="126">
        <f t="shared" si="9"/>
        <v>0</v>
      </c>
    </row>
    <row r="42" spans="1:24" ht="11.25" customHeight="1" x14ac:dyDescent="0.2">
      <c r="A42" s="139"/>
      <c r="B42" s="57" t="s">
        <v>435</v>
      </c>
      <c r="C42" s="59" t="s">
        <v>590</v>
      </c>
      <c r="D42" s="60"/>
      <c r="E42" s="43"/>
      <c r="F42" s="105"/>
      <c r="G42" s="352" t="s">
        <v>612</v>
      </c>
      <c r="H42" s="112"/>
      <c r="I42" s="287"/>
      <c r="J42" s="127"/>
      <c r="K42" s="127"/>
      <c r="L42" s="287"/>
      <c r="M42" s="287"/>
      <c r="N42" s="287"/>
      <c r="O42" s="287"/>
      <c r="P42" s="126">
        <f t="shared" si="8"/>
        <v>0</v>
      </c>
      <c r="Q42" s="287"/>
      <c r="R42" s="127"/>
      <c r="S42" s="127"/>
      <c r="T42" s="287"/>
      <c r="U42" s="287"/>
      <c r="V42" s="287"/>
      <c r="W42" s="287"/>
      <c r="X42" s="126">
        <f t="shared" si="9"/>
        <v>0</v>
      </c>
    </row>
    <row r="43" spans="1:24" ht="11.25" customHeight="1" x14ac:dyDescent="0.2">
      <c r="A43" s="145"/>
      <c r="B43" s="63" t="s">
        <v>489</v>
      </c>
      <c r="C43" s="133" t="s">
        <v>592</v>
      </c>
      <c r="D43" s="60"/>
      <c r="E43" s="43"/>
      <c r="F43" s="105"/>
      <c r="G43" s="352" t="s">
        <v>613</v>
      </c>
      <c r="H43" s="112"/>
      <c r="I43" s="287"/>
      <c r="J43" s="127"/>
      <c r="K43" s="127"/>
      <c r="L43" s="287"/>
      <c r="M43" s="287"/>
      <c r="N43" s="287"/>
      <c r="O43" s="287"/>
      <c r="P43" s="126">
        <f t="shared" si="8"/>
        <v>0</v>
      </c>
      <c r="Q43" s="287"/>
      <c r="R43" s="127"/>
      <c r="S43" s="127"/>
      <c r="T43" s="287"/>
      <c r="U43" s="287"/>
      <c r="V43" s="287"/>
      <c r="W43" s="287"/>
      <c r="X43" s="126">
        <f t="shared" si="9"/>
        <v>0</v>
      </c>
    </row>
    <row r="44" spans="1:24" ht="11.25" customHeight="1" x14ac:dyDescent="0.2">
      <c r="A44" s="139"/>
      <c r="B44" s="57" t="s">
        <v>492</v>
      </c>
      <c r="C44" s="59" t="s">
        <v>598</v>
      </c>
      <c r="D44" s="60"/>
      <c r="E44" s="43"/>
      <c r="F44" s="105"/>
      <c r="G44" s="352" t="s">
        <v>614</v>
      </c>
      <c r="H44" s="112"/>
      <c r="I44" s="287"/>
      <c r="J44" s="127"/>
      <c r="K44" s="127"/>
      <c r="L44" s="287"/>
      <c r="M44" s="287"/>
      <c r="N44" s="287"/>
      <c r="O44" s="287"/>
      <c r="P44" s="126">
        <f t="shared" si="8"/>
        <v>0</v>
      </c>
      <c r="Q44" s="287"/>
      <c r="R44" s="127"/>
      <c r="S44" s="127"/>
      <c r="T44" s="287"/>
      <c r="U44" s="287"/>
      <c r="V44" s="287"/>
      <c r="W44" s="287"/>
      <c r="X44" s="126">
        <f t="shared" si="9"/>
        <v>0</v>
      </c>
    </row>
    <row r="45" spans="1:24" ht="11.25" customHeight="1" x14ac:dyDescent="0.2">
      <c r="A45" s="145"/>
      <c r="B45" s="63"/>
      <c r="C45" s="63"/>
      <c r="D45" s="60"/>
      <c r="E45" s="43"/>
      <c r="F45" s="105"/>
      <c r="G45" s="354"/>
      <c r="H45" s="112"/>
      <c r="I45" s="287"/>
      <c r="J45" s="131"/>
      <c r="K45" s="131"/>
      <c r="L45" s="287"/>
      <c r="M45" s="287"/>
      <c r="N45" s="287"/>
      <c r="O45" s="287"/>
      <c r="P45" s="98"/>
      <c r="Q45" s="287"/>
      <c r="R45" s="131"/>
      <c r="S45" s="131"/>
      <c r="T45" s="287"/>
      <c r="U45" s="287"/>
      <c r="V45" s="287"/>
      <c r="W45" s="287"/>
      <c r="X45" s="98"/>
    </row>
    <row r="46" spans="1:24" ht="11.25" customHeight="1" x14ac:dyDescent="0.2">
      <c r="A46" s="228" t="s">
        <v>146</v>
      </c>
      <c r="B46" s="57" t="s">
        <v>568</v>
      </c>
      <c r="C46" s="59"/>
      <c r="D46" s="60"/>
      <c r="E46" s="59"/>
      <c r="F46" s="111"/>
      <c r="G46" s="352" t="s">
        <v>582</v>
      </c>
      <c r="H46" s="112"/>
      <c r="I46" s="132"/>
      <c r="J46" s="98">
        <f>J47+J48+J49+J50+J51</f>
        <v>0</v>
      </c>
      <c r="K46" s="98">
        <f>K47+K48+K49+K50+K51</f>
        <v>0</v>
      </c>
      <c r="L46" s="132"/>
      <c r="M46" s="132"/>
      <c r="N46" s="132"/>
      <c r="O46" s="132"/>
      <c r="P46" s="126">
        <f t="shared" ref="P46:P52" si="10">I46+K46+M46+O46</f>
        <v>0</v>
      </c>
      <c r="Q46" s="132"/>
      <c r="R46" s="98">
        <f>R47+R48+R49+R50+R51</f>
        <v>0</v>
      </c>
      <c r="S46" s="98">
        <f>S47+S48+S49+S50+S51</f>
        <v>0</v>
      </c>
      <c r="T46" s="132"/>
      <c r="U46" s="132"/>
      <c r="V46" s="132"/>
      <c r="W46" s="132"/>
      <c r="X46" s="126">
        <f t="shared" ref="X46:X52" si="11">Q46+S46+U46+W46</f>
        <v>0</v>
      </c>
    </row>
    <row r="47" spans="1:24" ht="11.25" customHeight="1" x14ac:dyDescent="0.2">
      <c r="A47" s="145"/>
      <c r="B47" s="63" t="s">
        <v>391</v>
      </c>
      <c r="C47" s="59" t="s">
        <v>717</v>
      </c>
      <c r="D47" s="60"/>
      <c r="E47" s="59"/>
      <c r="F47" s="111"/>
      <c r="G47" s="352" t="s">
        <v>615</v>
      </c>
      <c r="H47" s="112"/>
      <c r="I47" s="287"/>
      <c r="J47" s="127"/>
      <c r="K47" s="127"/>
      <c r="L47" s="287"/>
      <c r="M47" s="287"/>
      <c r="N47" s="287"/>
      <c r="O47" s="287"/>
      <c r="P47" s="126">
        <f t="shared" si="10"/>
        <v>0</v>
      </c>
      <c r="Q47" s="287"/>
      <c r="R47" s="127"/>
      <c r="S47" s="127"/>
      <c r="T47" s="287"/>
      <c r="U47" s="287"/>
      <c r="V47" s="287"/>
      <c r="W47" s="287"/>
      <c r="X47" s="126">
        <f t="shared" si="11"/>
        <v>0</v>
      </c>
    </row>
    <row r="48" spans="1:24" ht="11.25" customHeight="1" x14ac:dyDescent="0.2">
      <c r="A48" s="139"/>
      <c r="B48" s="57" t="s">
        <v>393</v>
      </c>
      <c r="C48" s="59" t="s">
        <v>588</v>
      </c>
      <c r="D48" s="60"/>
      <c r="E48" s="59"/>
      <c r="F48" s="111"/>
      <c r="G48" s="352" t="s">
        <v>616</v>
      </c>
      <c r="H48" s="112"/>
      <c r="I48" s="287"/>
      <c r="J48" s="127"/>
      <c r="K48" s="127"/>
      <c r="L48" s="287"/>
      <c r="M48" s="287"/>
      <c r="N48" s="287"/>
      <c r="O48" s="287"/>
      <c r="P48" s="126">
        <f t="shared" si="10"/>
        <v>0</v>
      </c>
      <c r="Q48" s="287"/>
      <c r="R48" s="127"/>
      <c r="S48" s="127"/>
      <c r="T48" s="287"/>
      <c r="U48" s="287"/>
      <c r="V48" s="287"/>
      <c r="W48" s="287"/>
      <c r="X48" s="126">
        <f t="shared" si="11"/>
        <v>0</v>
      </c>
    </row>
    <row r="49" spans="1:24" ht="11.25" customHeight="1" x14ac:dyDescent="0.2">
      <c r="A49" s="145"/>
      <c r="B49" s="63" t="s">
        <v>435</v>
      </c>
      <c r="C49" s="63" t="s">
        <v>590</v>
      </c>
      <c r="D49" s="60"/>
      <c r="E49" s="59"/>
      <c r="F49" s="111"/>
      <c r="G49" s="352" t="s">
        <v>617</v>
      </c>
      <c r="H49" s="112"/>
      <c r="I49" s="287"/>
      <c r="J49" s="127"/>
      <c r="K49" s="127"/>
      <c r="L49" s="287"/>
      <c r="M49" s="287"/>
      <c r="N49" s="287"/>
      <c r="O49" s="287"/>
      <c r="P49" s="126">
        <f t="shared" si="10"/>
        <v>0</v>
      </c>
      <c r="Q49" s="287"/>
      <c r="R49" s="127"/>
      <c r="S49" s="127"/>
      <c r="T49" s="287"/>
      <c r="U49" s="287"/>
      <c r="V49" s="287"/>
      <c r="W49" s="287"/>
      <c r="X49" s="126">
        <f t="shared" si="11"/>
        <v>0</v>
      </c>
    </row>
    <row r="50" spans="1:24" ht="11.25" customHeight="1" x14ac:dyDescent="0.2">
      <c r="A50" s="139"/>
      <c r="B50" s="57" t="s">
        <v>489</v>
      </c>
      <c r="C50" s="227" t="s">
        <v>592</v>
      </c>
      <c r="D50" s="60"/>
      <c r="E50" s="59"/>
      <c r="F50" s="111"/>
      <c r="G50" s="352" t="s">
        <v>618</v>
      </c>
      <c r="H50" s="112"/>
      <c r="I50" s="287"/>
      <c r="J50" s="127"/>
      <c r="K50" s="127"/>
      <c r="L50" s="287"/>
      <c r="M50" s="287"/>
      <c r="N50" s="287"/>
      <c r="O50" s="287"/>
      <c r="P50" s="126">
        <f t="shared" si="10"/>
        <v>0</v>
      </c>
      <c r="Q50" s="287"/>
      <c r="R50" s="127"/>
      <c r="S50" s="127"/>
      <c r="T50" s="287"/>
      <c r="U50" s="287"/>
      <c r="V50" s="287"/>
      <c r="W50" s="287"/>
      <c r="X50" s="126">
        <f t="shared" si="11"/>
        <v>0</v>
      </c>
    </row>
    <row r="51" spans="1:24" ht="11.25" customHeight="1" x14ac:dyDescent="0.2">
      <c r="A51" s="145"/>
      <c r="B51" s="63" t="s">
        <v>492</v>
      </c>
      <c r="C51" s="63" t="s">
        <v>598</v>
      </c>
      <c r="D51" s="60"/>
      <c r="E51" s="59"/>
      <c r="F51" s="111"/>
      <c r="G51" s="352" t="s">
        <v>619</v>
      </c>
      <c r="H51" s="112"/>
      <c r="I51" s="287"/>
      <c r="J51" s="127"/>
      <c r="K51" s="127"/>
      <c r="L51" s="287"/>
      <c r="M51" s="287"/>
      <c r="N51" s="287"/>
      <c r="O51" s="287"/>
      <c r="P51" s="126">
        <f t="shared" si="10"/>
        <v>0</v>
      </c>
      <c r="Q51" s="287"/>
      <c r="R51" s="127"/>
      <c r="S51" s="127"/>
      <c r="T51" s="287"/>
      <c r="U51" s="287"/>
      <c r="V51" s="287"/>
      <c r="W51" s="287"/>
      <c r="X51" s="126">
        <f t="shared" si="11"/>
        <v>0</v>
      </c>
    </row>
    <row r="52" spans="1:24" ht="11.25" customHeight="1" x14ac:dyDescent="0.2">
      <c r="A52" s="282" t="s">
        <v>46</v>
      </c>
      <c r="B52" s="57"/>
      <c r="C52" s="490"/>
      <c r="D52" s="491"/>
      <c r="E52" s="59"/>
      <c r="F52" s="111"/>
      <c r="G52" s="352" t="s">
        <v>583</v>
      </c>
      <c r="H52" s="112"/>
      <c r="I52" s="98">
        <f>I10+I32</f>
        <v>0</v>
      </c>
      <c r="J52" s="98">
        <f>J10+J32</f>
        <v>0</v>
      </c>
      <c r="K52" s="98">
        <f>K10+K32</f>
        <v>0</v>
      </c>
      <c r="L52" s="132"/>
      <c r="M52" s="132"/>
      <c r="N52" s="132"/>
      <c r="O52" s="132"/>
      <c r="P52" s="126">
        <f t="shared" si="10"/>
        <v>0</v>
      </c>
      <c r="Q52" s="98">
        <f>Q10+Q32</f>
        <v>0</v>
      </c>
      <c r="R52" s="98">
        <f>R10+R32</f>
        <v>0</v>
      </c>
      <c r="S52" s="98">
        <f>S10+S32</f>
        <v>0</v>
      </c>
      <c r="T52" s="132"/>
      <c r="U52" s="132"/>
      <c r="V52" s="132"/>
      <c r="W52" s="132"/>
      <c r="X52" s="126">
        <f t="shared" si="11"/>
        <v>0</v>
      </c>
    </row>
    <row r="53" spans="1:24" ht="11.25" customHeight="1" x14ac:dyDescent="0.2">
      <c r="G53" s="264" t="s">
        <v>48</v>
      </c>
    </row>
  </sheetData>
  <sheetProtection password="A0C5" sheet="1" objects="1" scenarios="1" selectLockedCells="1"/>
  <mergeCells count="21">
    <mergeCell ref="Q7:X7"/>
    <mergeCell ref="V8:W8"/>
    <mergeCell ref="A7:F9"/>
    <mergeCell ref="G7:G9"/>
    <mergeCell ref="I7:P7"/>
    <mergeCell ref="I8:I9"/>
    <mergeCell ref="A1:X1"/>
    <mergeCell ref="A2:X2"/>
    <mergeCell ref="A3:X3"/>
    <mergeCell ref="A4:X4"/>
    <mergeCell ref="A6:X6"/>
    <mergeCell ref="A5:X5"/>
    <mergeCell ref="C52:D52"/>
    <mergeCell ref="Q8:Q9"/>
    <mergeCell ref="R8:S8"/>
    <mergeCell ref="T8:U8"/>
    <mergeCell ref="X8:X9"/>
    <mergeCell ref="N8:O8"/>
    <mergeCell ref="J8:K8"/>
    <mergeCell ref="P8:P9"/>
    <mergeCell ref="L8:M8"/>
  </mergeCells>
  <phoneticPr fontId="8" type="noConversion"/>
  <dataValidations count="2">
    <dataValidation allowBlank="1" showInputMessage="1" showErrorMessage="1" sqref="T47:U52 L47:M51 Q32:W33 T40:U45 L40:M45 T34:U38 L34:M38 I34:I52 J52:P52 L12:M17 P47:P51 L19:M24 L26:M30 J39:P39 Q34:Q52 J46:P46 T12:U17 T19:U24 T26:U30 P10:P17 R52:S52 I10:O11 P19:P38 I32:O33 R46:W46 P40:P45 V52:X52 I25:O25 R39:W39 X19:X51 I18:X18 Q25:W25 Q10:W11 X10:X17"/>
    <dataValidation type="decimal" operator="greaterThanOrEqual" allowBlank="1" showInputMessage="1" showErrorMessage="1" errorTitle="Invalid Entry" error="The value you entered is not valid." sqref="N12:O17 J34:K38 N26:O31 J47:K51 N34:O38 N47:O51 Q12:S17 Q26:S31 I19:K24 V40:W45 N40:O45 N19:O24 L31:M31 R34:S38 I12:K17 I26:K31 R47:S51 J40:K45 T31:U31 R40:S45 V34:W38 V47:W51 V19:W24 V12:W17 V26:W31 Q19:S24">
      <formula1>0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15a&amp;U
  &amp;P of &amp;N&amp;C&amp;"Arial,Bold"&amp;8 MAXIMUM SAVINGS BANK, INC.  [ 03-070011 ]
 As of: June 30, 2019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B86"/>
  <sheetViews>
    <sheetView zoomScale="75" workbookViewId="0">
      <pane xSplit="4" ySplit="9" topLeftCell="E40" activePane="bottomRight" state="frozen"/>
      <selection pane="topRight" activeCell="E1" sqref="E1"/>
      <selection pane="bottomLeft" activeCell="A10" sqref="A10"/>
      <selection pane="bottomRight" sqref="A1:X1"/>
    </sheetView>
  </sheetViews>
  <sheetFormatPr defaultRowHeight="11.25" customHeight="1" x14ac:dyDescent="0.2"/>
  <cols>
    <col min="1" max="1" width="3.7109375" style="14" customWidth="1"/>
    <col min="2" max="2" width="2.85546875" style="14" customWidth="1"/>
    <col min="3" max="3" width="2.5703125" style="14" customWidth="1"/>
    <col min="4" max="4" width="40.7109375" style="14" customWidth="1"/>
    <col min="5" max="5" width="23.42578125" style="261" customWidth="1"/>
    <col min="6" max="6" width="57.28515625" style="41" customWidth="1"/>
    <col min="7" max="7" width="16.5703125" style="21" customWidth="1"/>
    <col min="8" max="8" width="7" style="274" customWidth="1"/>
    <col min="9" max="9" width="47.5703125" style="274" customWidth="1"/>
    <col min="10" max="10" width="13.5703125" style="230" customWidth="1"/>
    <col min="11" max="11" width="13.5703125" style="277" customWidth="1"/>
    <col min="12" max="12" width="20" style="230" customWidth="1"/>
    <col min="13" max="13" width="15.140625" style="230" customWidth="1"/>
    <col min="14" max="14" width="15.5703125" style="318" customWidth="1"/>
    <col min="15" max="15" width="10.7109375" style="262" customWidth="1"/>
    <col min="16" max="18" width="20.7109375" style="230" customWidth="1"/>
    <col min="19" max="19" width="10.7109375" style="262" customWidth="1"/>
    <col min="20" max="24" width="20.7109375" style="230" customWidth="1"/>
    <col min="25" max="16384" width="9.140625" style="14"/>
  </cols>
  <sheetData>
    <row r="1" spans="1:28" ht="11.25" customHeight="1" x14ac:dyDescent="0.2">
      <c r="A1" s="489" t="s">
        <v>718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489"/>
      <c r="P1" s="489"/>
      <c r="Q1" s="489"/>
      <c r="R1" s="489"/>
      <c r="S1" s="489"/>
      <c r="T1" s="489"/>
      <c r="U1" s="489"/>
      <c r="V1" s="489"/>
      <c r="W1" s="489"/>
      <c r="X1" s="489"/>
      <c r="AB1" s="14">
        <v>1</v>
      </c>
    </row>
    <row r="2" spans="1:28" ht="11.25" hidden="1" customHeight="1" x14ac:dyDescent="0.2">
      <c r="A2" s="493"/>
      <c r="B2" s="493"/>
      <c r="C2" s="493"/>
      <c r="D2" s="493"/>
      <c r="E2" s="493"/>
      <c r="F2" s="493"/>
      <c r="G2" s="493"/>
      <c r="H2" s="493"/>
      <c r="I2" s="493"/>
      <c r="J2" s="493"/>
      <c r="K2" s="493"/>
      <c r="L2" s="493"/>
      <c r="M2" s="493"/>
      <c r="N2" s="493"/>
      <c r="O2" s="493"/>
      <c r="P2" s="493"/>
      <c r="Q2" s="493"/>
      <c r="R2" s="493"/>
      <c r="S2" s="493"/>
      <c r="T2" s="493"/>
      <c r="U2" s="493"/>
      <c r="V2" s="493"/>
      <c r="W2" s="493"/>
      <c r="X2" s="493"/>
    </row>
    <row r="3" spans="1:28" ht="11.25" hidden="1" customHeight="1" x14ac:dyDescent="0.2">
      <c r="A3" s="494" t="s">
        <v>620</v>
      </c>
      <c r="B3" s="494"/>
      <c r="C3" s="494"/>
      <c r="D3" s="494"/>
      <c r="E3" s="494"/>
      <c r="F3" s="494"/>
      <c r="G3" s="494"/>
      <c r="H3" s="494"/>
      <c r="I3" s="494"/>
      <c r="J3" s="494"/>
      <c r="K3" s="494"/>
      <c r="L3" s="494"/>
      <c r="M3" s="494"/>
      <c r="N3" s="494"/>
      <c r="O3" s="494"/>
      <c r="P3" s="494"/>
      <c r="Q3" s="494"/>
      <c r="R3" s="494"/>
      <c r="S3" s="494"/>
      <c r="T3" s="494"/>
      <c r="U3" s="494"/>
      <c r="V3" s="494"/>
      <c r="W3" s="494"/>
      <c r="X3" s="494"/>
    </row>
    <row r="4" spans="1:28" ht="11.25" hidden="1" customHeight="1" x14ac:dyDescent="0.2">
      <c r="A4" s="494" t="s">
        <v>621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4"/>
      <c r="O4" s="494"/>
      <c r="P4" s="494"/>
      <c r="Q4" s="494"/>
      <c r="R4" s="494"/>
      <c r="S4" s="494"/>
      <c r="T4" s="494"/>
      <c r="U4" s="494"/>
      <c r="V4" s="494"/>
      <c r="W4" s="494"/>
      <c r="X4" s="494"/>
    </row>
    <row r="5" spans="1:28" ht="11.25" hidden="1" customHeight="1" x14ac:dyDescent="0.2">
      <c r="A5" s="493"/>
      <c r="B5" s="493"/>
      <c r="C5" s="493"/>
      <c r="D5" s="493"/>
      <c r="E5" s="493"/>
      <c r="F5" s="493"/>
      <c r="G5" s="493"/>
      <c r="H5" s="493"/>
      <c r="I5" s="493"/>
      <c r="J5" s="493"/>
      <c r="K5" s="493"/>
      <c r="L5" s="493"/>
      <c r="M5" s="493"/>
      <c r="N5" s="493"/>
      <c r="O5" s="493"/>
      <c r="P5" s="493"/>
      <c r="Q5" s="493"/>
      <c r="R5" s="493"/>
      <c r="S5" s="493"/>
      <c r="T5" s="493"/>
      <c r="U5" s="493"/>
      <c r="V5" s="493"/>
      <c r="W5" s="493"/>
      <c r="X5" s="493"/>
    </row>
    <row r="6" spans="1:28" ht="11.25" customHeight="1" x14ac:dyDescent="0.2">
      <c r="A6" s="495"/>
      <c r="B6" s="495"/>
      <c r="C6" s="495"/>
      <c r="D6" s="495"/>
      <c r="E6" s="495"/>
      <c r="F6" s="495"/>
      <c r="G6" s="495"/>
      <c r="H6" s="495"/>
      <c r="I6" s="495"/>
      <c r="J6" s="495"/>
      <c r="K6" s="495"/>
      <c r="L6" s="495"/>
      <c r="M6" s="495"/>
      <c r="N6" s="495"/>
      <c r="O6" s="495"/>
      <c r="P6" s="495"/>
      <c r="Q6" s="495"/>
      <c r="R6" s="495"/>
      <c r="S6" s="495"/>
      <c r="T6" s="495"/>
      <c r="U6" s="495"/>
      <c r="V6" s="495"/>
      <c r="W6" s="495" t="s">
        <v>620</v>
      </c>
      <c r="X6" s="495" t="s">
        <v>621</v>
      </c>
    </row>
    <row r="7" spans="1:28" ht="11.25" customHeight="1" x14ac:dyDescent="0.2">
      <c r="A7" s="516"/>
      <c r="B7" s="517"/>
      <c r="C7" s="517"/>
      <c r="D7" s="510" t="s">
        <v>673</v>
      </c>
      <c r="E7" s="513" t="s">
        <v>674</v>
      </c>
      <c r="F7" s="496" t="s">
        <v>675</v>
      </c>
      <c r="G7" s="499" t="s">
        <v>2</v>
      </c>
      <c r="H7" s="501" t="s">
        <v>50</v>
      </c>
      <c r="I7" s="524" t="s">
        <v>700</v>
      </c>
      <c r="J7" s="523" t="s">
        <v>670</v>
      </c>
      <c r="K7" s="511"/>
      <c r="L7" s="499" t="s">
        <v>622</v>
      </c>
      <c r="M7" s="499" t="s">
        <v>623</v>
      </c>
      <c r="N7" s="505" t="s">
        <v>624</v>
      </c>
      <c r="O7" s="520" t="s">
        <v>3</v>
      </c>
      <c r="P7" s="521"/>
      <c r="Q7" s="521"/>
      <c r="R7" s="522"/>
      <c r="S7" s="507" t="s">
        <v>4</v>
      </c>
      <c r="T7" s="507"/>
      <c r="U7" s="507"/>
      <c r="V7" s="507"/>
      <c r="W7" s="507"/>
      <c r="X7" s="507"/>
    </row>
    <row r="8" spans="1:28" ht="11.25" customHeight="1" x14ac:dyDescent="0.2">
      <c r="A8" s="502"/>
      <c r="B8" s="518"/>
      <c r="C8" s="518"/>
      <c r="D8" s="511"/>
      <c r="E8" s="514"/>
      <c r="F8" s="497"/>
      <c r="G8" s="500"/>
      <c r="H8" s="502"/>
      <c r="I8" s="525"/>
      <c r="J8" s="496" t="s">
        <v>672</v>
      </c>
      <c r="K8" s="275" t="s">
        <v>671</v>
      </c>
      <c r="L8" s="504"/>
      <c r="M8" s="500"/>
      <c r="N8" s="506"/>
      <c r="O8" s="513" t="s">
        <v>625</v>
      </c>
      <c r="P8" s="496" t="s">
        <v>626</v>
      </c>
      <c r="Q8" s="496" t="s">
        <v>536</v>
      </c>
      <c r="R8" s="496" t="s">
        <v>628</v>
      </c>
      <c r="S8" s="508" t="s">
        <v>625</v>
      </c>
      <c r="T8" s="509" t="s">
        <v>626</v>
      </c>
      <c r="U8" s="509"/>
      <c r="V8" s="509" t="s">
        <v>536</v>
      </c>
      <c r="W8" s="509"/>
      <c r="X8" s="500" t="s">
        <v>627</v>
      </c>
    </row>
    <row r="9" spans="1:28" ht="11.25" customHeight="1" x14ac:dyDescent="0.2">
      <c r="A9" s="503"/>
      <c r="B9" s="519"/>
      <c r="C9" s="519"/>
      <c r="D9" s="512"/>
      <c r="E9" s="515"/>
      <c r="F9" s="498"/>
      <c r="G9" s="500"/>
      <c r="H9" s="503"/>
      <c r="I9" s="526"/>
      <c r="J9" s="499"/>
      <c r="K9" s="278" t="s">
        <v>676</v>
      </c>
      <c r="L9" s="504"/>
      <c r="M9" s="500"/>
      <c r="N9" s="506"/>
      <c r="O9" s="515"/>
      <c r="P9" s="499"/>
      <c r="Q9" s="499"/>
      <c r="R9" s="499"/>
      <c r="S9" s="508"/>
      <c r="T9" s="232" t="s">
        <v>629</v>
      </c>
      <c r="U9" s="232" t="s">
        <v>12</v>
      </c>
      <c r="V9" s="232" t="s">
        <v>629</v>
      </c>
      <c r="W9" s="232" t="s">
        <v>12</v>
      </c>
      <c r="X9" s="500"/>
    </row>
    <row r="10" spans="1:28" ht="11.25" customHeight="1" x14ac:dyDescent="0.2">
      <c r="A10" s="233" t="s">
        <v>407</v>
      </c>
      <c r="B10" s="234"/>
      <c r="C10" s="234"/>
      <c r="D10" s="235"/>
      <c r="E10" s="300"/>
      <c r="F10" s="307"/>
      <c r="G10" s="351" t="s">
        <v>537</v>
      </c>
      <c r="H10" s="269"/>
      <c r="I10" s="368"/>
      <c r="J10" s="304"/>
      <c r="K10" s="305"/>
      <c r="L10" s="280"/>
      <c r="M10" s="280"/>
      <c r="N10" s="313">
        <f>N11+N22+N33</f>
        <v>0</v>
      </c>
      <c r="O10" s="291">
        <f>O11+O22+O33</f>
        <v>0</v>
      </c>
      <c r="P10" s="288">
        <f>P11+P22+P33</f>
        <v>0</v>
      </c>
      <c r="Q10" s="288">
        <f>Q11+Q22+Q33</f>
        <v>0</v>
      </c>
      <c r="R10" s="288"/>
      <c r="S10" s="291">
        <f>S11+S22+S33</f>
        <v>0</v>
      </c>
      <c r="T10" s="288">
        <f>T11+T22+T33</f>
        <v>0</v>
      </c>
      <c r="U10" s="288">
        <f>U11+U22+U33</f>
        <v>0</v>
      </c>
      <c r="V10" s="288">
        <f>V11+V22+V33</f>
        <v>0</v>
      </c>
      <c r="W10" s="288">
        <f>W11+W22+W33</f>
        <v>0</v>
      </c>
      <c r="X10" s="288"/>
    </row>
    <row r="11" spans="1:28" ht="11.25" customHeight="1" x14ac:dyDescent="0.2">
      <c r="A11" s="241" t="s">
        <v>15</v>
      </c>
      <c r="B11" s="242" t="s">
        <v>538</v>
      </c>
      <c r="C11" s="242"/>
      <c r="D11" s="243"/>
      <c r="E11" s="300"/>
      <c r="F11" s="307"/>
      <c r="G11" s="351" t="s">
        <v>539</v>
      </c>
      <c r="H11" s="269"/>
      <c r="I11" s="368"/>
      <c r="J11" s="280"/>
      <c r="K11" s="281"/>
      <c r="L11" s="280"/>
      <c r="M11" s="280"/>
      <c r="N11" s="313">
        <f>N12+N19</f>
        <v>0</v>
      </c>
      <c r="O11" s="291">
        <f>O12+O19</f>
        <v>0</v>
      </c>
      <c r="P11" s="288">
        <f>P12+P19</f>
        <v>0</v>
      </c>
      <c r="Q11" s="288">
        <f>Q12+Q19</f>
        <v>0</v>
      </c>
      <c r="R11" s="288"/>
      <c r="S11" s="291">
        <f>S12+S19</f>
        <v>0</v>
      </c>
      <c r="T11" s="288">
        <f>T12+T19</f>
        <v>0</v>
      </c>
      <c r="U11" s="288">
        <f>U12+U19</f>
        <v>0</v>
      </c>
      <c r="V11" s="288">
        <f>V12+V19</f>
        <v>0</v>
      </c>
      <c r="W11" s="288">
        <f>W12+W19</f>
        <v>0</v>
      </c>
      <c r="X11" s="288"/>
    </row>
    <row r="12" spans="1:28" ht="11.25" customHeight="1" x14ac:dyDescent="0.2">
      <c r="A12" s="236"/>
      <c r="B12" s="208" t="s">
        <v>18</v>
      </c>
      <c r="C12" s="14" t="s">
        <v>630</v>
      </c>
      <c r="D12" s="49"/>
      <c r="E12" s="300"/>
      <c r="F12" s="307"/>
      <c r="G12" s="351" t="s">
        <v>631</v>
      </c>
      <c r="H12" s="269"/>
      <c r="I12" s="368"/>
      <c r="J12" s="280"/>
      <c r="K12" s="281"/>
      <c r="L12" s="280"/>
      <c r="M12" s="280"/>
      <c r="N12" s="313">
        <f>N13+N16</f>
        <v>0</v>
      </c>
      <c r="O12" s="291">
        <f>O13+O16</f>
        <v>0</v>
      </c>
      <c r="P12" s="288">
        <f>P13+P16</f>
        <v>0</v>
      </c>
      <c r="Q12" s="288">
        <f>Q13+Q16</f>
        <v>0</v>
      </c>
      <c r="R12" s="288"/>
      <c r="S12" s="291">
        <f>S13+S16</f>
        <v>0</v>
      </c>
      <c r="T12" s="288">
        <f>T13+T16</f>
        <v>0</v>
      </c>
      <c r="U12" s="288">
        <f>U13+U16</f>
        <v>0</v>
      </c>
      <c r="V12" s="288">
        <f>V13+V16</f>
        <v>0</v>
      </c>
      <c r="W12" s="288">
        <f>W13+W16</f>
        <v>0</v>
      </c>
      <c r="X12" s="288"/>
    </row>
    <row r="13" spans="1:28" ht="11.25" customHeight="1" x14ac:dyDescent="0.2">
      <c r="A13" s="244"/>
      <c r="B13" s="245"/>
      <c r="C13" s="36" t="s">
        <v>62</v>
      </c>
      <c r="D13" s="43" t="s">
        <v>632</v>
      </c>
      <c r="E13" s="300"/>
      <c r="F13" s="308"/>
      <c r="G13" s="351" t="s">
        <v>633</v>
      </c>
      <c r="H13" s="270" t="s">
        <v>652</v>
      </c>
      <c r="I13" s="368"/>
      <c r="J13" s="280"/>
      <c r="K13" s="281"/>
      <c r="L13" s="280"/>
      <c r="M13" s="280"/>
      <c r="N13" s="313">
        <f>SUM(N14:N15)</f>
        <v>0</v>
      </c>
      <c r="O13" s="291">
        <f>SUM(O14:O15)</f>
        <v>0</v>
      </c>
      <c r="P13" s="288">
        <f>SUM(P14:P15)</f>
        <v>0</v>
      </c>
      <c r="Q13" s="288">
        <f>SUM(Q14:Q15)</f>
        <v>0</v>
      </c>
      <c r="R13" s="288"/>
      <c r="S13" s="291">
        <f>SUM(S14:S15)</f>
        <v>0</v>
      </c>
      <c r="T13" s="288">
        <f>SUM(T14:T15)</f>
        <v>0</v>
      </c>
      <c r="U13" s="288">
        <f>SUM(U14:U15)</f>
        <v>0</v>
      </c>
      <c r="V13" s="288">
        <f>SUM(V14:V15)</f>
        <v>0</v>
      </c>
      <c r="W13" s="288">
        <f>SUM(W14:W15)</f>
        <v>0</v>
      </c>
      <c r="X13" s="288"/>
    </row>
    <row r="14" spans="1:28" ht="11.25" customHeight="1" x14ac:dyDescent="0.2">
      <c r="A14" s="244"/>
      <c r="B14" s="245"/>
      <c r="C14" s="245" t="s">
        <v>640</v>
      </c>
      <c r="D14" s="248"/>
      <c r="E14" s="306"/>
      <c r="F14" s="309"/>
      <c r="G14" s="353"/>
      <c r="H14" s="271">
        <v>1</v>
      </c>
      <c r="I14" s="369"/>
      <c r="J14" s="263"/>
      <c r="K14" s="276"/>
      <c r="L14" s="263"/>
      <c r="M14" s="263"/>
      <c r="N14" s="314"/>
      <c r="O14" s="292"/>
      <c r="P14" s="289"/>
      <c r="Q14" s="289"/>
      <c r="R14" s="289"/>
      <c r="S14" s="292"/>
      <c r="T14" s="289"/>
      <c r="U14" s="289"/>
      <c r="V14" s="289"/>
      <c r="W14" s="289"/>
      <c r="X14" s="289"/>
    </row>
    <row r="15" spans="1:28" ht="11.25" customHeight="1" x14ac:dyDescent="0.2">
      <c r="A15" s="244"/>
      <c r="B15" s="245"/>
      <c r="C15" s="245"/>
      <c r="D15" s="43"/>
      <c r="E15" s="300"/>
      <c r="F15" s="310"/>
      <c r="G15" s="354"/>
      <c r="H15" s="279" t="str">
        <f>CHAR(132)</f>
        <v>„</v>
      </c>
      <c r="I15" s="279"/>
      <c r="J15" s="280"/>
      <c r="K15" s="281"/>
      <c r="L15" s="280"/>
      <c r="M15" s="280"/>
      <c r="N15" s="315"/>
      <c r="O15" s="293"/>
      <c r="P15" s="290"/>
      <c r="Q15" s="290"/>
      <c r="R15" s="290"/>
      <c r="S15" s="293"/>
      <c r="T15" s="290"/>
      <c r="U15" s="290"/>
      <c r="V15" s="290"/>
      <c r="W15" s="290"/>
      <c r="X15" s="290"/>
    </row>
    <row r="16" spans="1:28" ht="11.25" customHeight="1" x14ac:dyDescent="0.2">
      <c r="A16" s="236"/>
      <c r="B16" s="208"/>
      <c r="C16" s="14" t="s">
        <v>68</v>
      </c>
      <c r="D16" s="49" t="s">
        <v>592</v>
      </c>
      <c r="E16" s="300"/>
      <c r="F16" s="308"/>
      <c r="G16" s="351" t="s">
        <v>593</v>
      </c>
      <c r="H16" s="270" t="s">
        <v>653</v>
      </c>
      <c r="I16" s="368"/>
      <c r="J16" s="280"/>
      <c r="K16" s="281"/>
      <c r="L16" s="280"/>
      <c r="M16" s="280"/>
      <c r="N16" s="313">
        <f>SUM(N17:N18)</f>
        <v>0</v>
      </c>
      <c r="O16" s="291">
        <f>SUM(O17:O18)</f>
        <v>0</v>
      </c>
      <c r="P16" s="288">
        <f>SUM(P17:P18)</f>
        <v>0</v>
      </c>
      <c r="Q16" s="288">
        <f>SUM(Q17:Q18)</f>
        <v>0</v>
      </c>
      <c r="R16" s="288"/>
      <c r="S16" s="291">
        <f>SUM(S17:S18)</f>
        <v>0</v>
      </c>
      <c r="T16" s="288">
        <f>SUM(T17:T18)</f>
        <v>0</v>
      </c>
      <c r="U16" s="288">
        <f>SUM(U17:U18)</f>
        <v>0</v>
      </c>
      <c r="V16" s="288">
        <f>SUM(V17:V18)</f>
        <v>0</v>
      </c>
      <c r="W16" s="288">
        <f>SUM(W17:W18)</f>
        <v>0</v>
      </c>
      <c r="X16" s="288"/>
    </row>
    <row r="17" spans="1:24" ht="11.25" customHeight="1" x14ac:dyDescent="0.2">
      <c r="A17" s="244"/>
      <c r="B17" s="245"/>
      <c r="C17" s="245" t="s">
        <v>640</v>
      </c>
      <c r="D17" s="248"/>
      <c r="E17" s="306"/>
      <c r="F17" s="309"/>
      <c r="G17" s="353"/>
      <c r="H17" s="271">
        <v>1</v>
      </c>
      <c r="I17" s="369"/>
      <c r="J17" s="263"/>
      <c r="K17" s="276"/>
      <c r="L17" s="263"/>
      <c r="M17" s="263"/>
      <c r="N17" s="314"/>
      <c r="O17" s="292"/>
      <c r="P17" s="289"/>
      <c r="Q17" s="289"/>
      <c r="R17" s="289"/>
      <c r="S17" s="292"/>
      <c r="T17" s="289"/>
      <c r="U17" s="289"/>
      <c r="V17" s="289"/>
      <c r="W17" s="289"/>
      <c r="X17" s="289"/>
    </row>
    <row r="18" spans="1:24" ht="11.25" customHeight="1" x14ac:dyDescent="0.2">
      <c r="A18" s="244"/>
      <c r="B18" s="245"/>
      <c r="C18" s="245"/>
      <c r="D18" s="43"/>
      <c r="E18" s="300"/>
      <c r="F18" s="310"/>
      <c r="G18" s="354"/>
      <c r="H18" s="279" t="str">
        <f>CHAR(132)</f>
        <v>„</v>
      </c>
      <c r="I18" s="279"/>
      <c r="J18" s="280"/>
      <c r="K18" s="281"/>
      <c r="L18" s="280"/>
      <c r="M18" s="280"/>
      <c r="N18" s="315"/>
      <c r="O18" s="293"/>
      <c r="P18" s="290"/>
      <c r="Q18" s="290"/>
      <c r="R18" s="290"/>
      <c r="S18" s="293"/>
      <c r="T18" s="290"/>
      <c r="U18" s="290"/>
      <c r="V18" s="290"/>
      <c r="W18" s="290"/>
      <c r="X18" s="290"/>
    </row>
    <row r="19" spans="1:24" ht="11.25" customHeight="1" x14ac:dyDescent="0.2">
      <c r="A19" s="244"/>
      <c r="B19" s="245" t="s">
        <v>21</v>
      </c>
      <c r="C19" s="36" t="s">
        <v>634</v>
      </c>
      <c r="D19" s="43"/>
      <c r="E19" s="300"/>
      <c r="F19" s="308"/>
      <c r="G19" s="351" t="s">
        <v>635</v>
      </c>
      <c r="H19" s="270" t="s">
        <v>654</v>
      </c>
      <c r="I19" s="368"/>
      <c r="J19" s="280"/>
      <c r="K19" s="281"/>
      <c r="L19" s="280"/>
      <c r="M19" s="280"/>
      <c r="N19" s="313">
        <f t="shared" ref="N19:W19" si="0">SUM(N20:N21)</f>
        <v>0</v>
      </c>
      <c r="O19" s="291">
        <f t="shared" si="0"/>
        <v>0</v>
      </c>
      <c r="P19" s="288">
        <f t="shared" si="0"/>
        <v>0</v>
      </c>
      <c r="Q19" s="288">
        <f t="shared" si="0"/>
        <v>0</v>
      </c>
      <c r="R19" s="288"/>
      <c r="S19" s="291">
        <f t="shared" si="0"/>
        <v>0</v>
      </c>
      <c r="T19" s="288">
        <f t="shared" si="0"/>
        <v>0</v>
      </c>
      <c r="U19" s="288">
        <f t="shared" si="0"/>
        <v>0</v>
      </c>
      <c r="V19" s="288">
        <f t="shared" si="0"/>
        <v>0</v>
      </c>
      <c r="W19" s="288">
        <f t="shared" si="0"/>
        <v>0</v>
      </c>
      <c r="X19" s="288"/>
    </row>
    <row r="20" spans="1:24" ht="11.25" customHeight="1" x14ac:dyDescent="0.2">
      <c r="A20" s="244"/>
      <c r="B20" s="245"/>
      <c r="C20" s="245" t="s">
        <v>640</v>
      </c>
      <c r="D20" s="248"/>
      <c r="E20" s="306"/>
      <c r="F20" s="309"/>
      <c r="G20" s="353"/>
      <c r="H20" s="271">
        <v>1</v>
      </c>
      <c r="I20" s="369"/>
      <c r="J20" s="263"/>
      <c r="K20" s="276"/>
      <c r="L20" s="263"/>
      <c r="M20" s="263"/>
      <c r="N20" s="314"/>
      <c r="O20" s="292"/>
      <c r="P20" s="289"/>
      <c r="Q20" s="289"/>
      <c r="R20" s="289"/>
      <c r="S20" s="292"/>
      <c r="T20" s="289"/>
      <c r="U20" s="289"/>
      <c r="V20" s="289"/>
      <c r="W20" s="289"/>
      <c r="X20" s="289"/>
    </row>
    <row r="21" spans="1:24" ht="11.25" customHeight="1" x14ac:dyDescent="0.2">
      <c r="A21" s="244"/>
      <c r="B21" s="245"/>
      <c r="C21" s="36"/>
      <c r="D21" s="43"/>
      <c r="E21" s="300"/>
      <c r="F21" s="310"/>
      <c r="G21" s="354"/>
      <c r="H21" s="279" t="str">
        <f>CHAR(132)</f>
        <v>„</v>
      </c>
      <c r="I21" s="279"/>
      <c r="J21" s="280"/>
      <c r="K21" s="281"/>
      <c r="L21" s="280"/>
      <c r="M21" s="280"/>
      <c r="N21" s="315"/>
      <c r="O21" s="293"/>
      <c r="P21" s="290"/>
      <c r="Q21" s="290"/>
      <c r="R21" s="290"/>
      <c r="S21" s="293"/>
      <c r="T21" s="290"/>
      <c r="U21" s="290"/>
      <c r="V21" s="290"/>
      <c r="W21" s="290"/>
      <c r="X21" s="290"/>
    </row>
    <row r="22" spans="1:24" ht="11.25" customHeight="1" x14ac:dyDescent="0.2">
      <c r="A22" s="236" t="s">
        <v>24</v>
      </c>
      <c r="B22" s="14" t="s">
        <v>557</v>
      </c>
      <c r="C22" s="208"/>
      <c r="D22" s="49"/>
      <c r="E22" s="300"/>
      <c r="F22" s="307"/>
      <c r="G22" s="351" t="s">
        <v>558</v>
      </c>
      <c r="H22" s="269"/>
      <c r="I22" s="368"/>
      <c r="J22" s="280"/>
      <c r="K22" s="281"/>
      <c r="L22" s="280"/>
      <c r="M22" s="280"/>
      <c r="N22" s="313">
        <f t="shared" ref="N22:W22" si="1">N23+N30</f>
        <v>0</v>
      </c>
      <c r="O22" s="291">
        <f t="shared" si="1"/>
        <v>0</v>
      </c>
      <c r="P22" s="288">
        <f t="shared" si="1"/>
        <v>0</v>
      </c>
      <c r="Q22" s="288">
        <f t="shared" si="1"/>
        <v>0</v>
      </c>
      <c r="R22" s="288"/>
      <c r="S22" s="291">
        <f t="shared" si="1"/>
        <v>0</v>
      </c>
      <c r="T22" s="288">
        <f t="shared" si="1"/>
        <v>0</v>
      </c>
      <c r="U22" s="288">
        <f t="shared" si="1"/>
        <v>0</v>
      </c>
      <c r="V22" s="288">
        <f t="shared" si="1"/>
        <v>0</v>
      </c>
      <c r="W22" s="288">
        <f t="shared" si="1"/>
        <v>0</v>
      </c>
      <c r="X22" s="288"/>
    </row>
    <row r="23" spans="1:24" ht="11.25" customHeight="1" x14ac:dyDescent="0.2">
      <c r="A23" s="244"/>
      <c r="B23" s="245" t="s">
        <v>18</v>
      </c>
      <c r="C23" s="36" t="s">
        <v>630</v>
      </c>
      <c r="D23" s="43"/>
      <c r="E23" s="300"/>
      <c r="F23" s="307"/>
      <c r="G23" s="351" t="s">
        <v>636</v>
      </c>
      <c r="H23" s="269"/>
      <c r="I23" s="368"/>
      <c r="J23" s="280"/>
      <c r="K23" s="281"/>
      <c r="L23" s="280"/>
      <c r="M23" s="280"/>
      <c r="N23" s="313">
        <f t="shared" ref="N23:W23" si="2">N24+N27</f>
        <v>0</v>
      </c>
      <c r="O23" s="291">
        <f t="shared" si="2"/>
        <v>0</v>
      </c>
      <c r="P23" s="288">
        <f t="shared" si="2"/>
        <v>0</v>
      </c>
      <c r="Q23" s="288">
        <f t="shared" si="2"/>
        <v>0</v>
      </c>
      <c r="R23" s="288"/>
      <c r="S23" s="291">
        <f t="shared" si="2"/>
        <v>0</v>
      </c>
      <c r="T23" s="288">
        <f t="shared" si="2"/>
        <v>0</v>
      </c>
      <c r="U23" s="288">
        <f t="shared" si="2"/>
        <v>0</v>
      </c>
      <c r="V23" s="288">
        <f t="shared" si="2"/>
        <v>0</v>
      </c>
      <c r="W23" s="288">
        <f t="shared" si="2"/>
        <v>0</v>
      </c>
      <c r="X23" s="288"/>
    </row>
    <row r="24" spans="1:24" ht="11.25" customHeight="1" x14ac:dyDescent="0.2">
      <c r="A24" s="236"/>
      <c r="B24" s="208"/>
      <c r="C24" s="14" t="s">
        <v>62</v>
      </c>
      <c r="D24" s="49" t="s">
        <v>632</v>
      </c>
      <c r="E24" s="300"/>
      <c r="F24" s="308"/>
      <c r="G24" s="351" t="s">
        <v>637</v>
      </c>
      <c r="H24" s="270" t="s">
        <v>655</v>
      </c>
      <c r="I24" s="368"/>
      <c r="J24" s="280"/>
      <c r="K24" s="281"/>
      <c r="L24" s="280"/>
      <c r="M24" s="280"/>
      <c r="N24" s="313">
        <f t="shared" ref="N24:W24" si="3">SUM(N25:N26)</f>
        <v>0</v>
      </c>
      <c r="O24" s="291">
        <f t="shared" si="3"/>
        <v>0</v>
      </c>
      <c r="P24" s="288">
        <f t="shared" si="3"/>
        <v>0</v>
      </c>
      <c r="Q24" s="288">
        <f t="shared" si="3"/>
        <v>0</v>
      </c>
      <c r="R24" s="288"/>
      <c r="S24" s="291">
        <f t="shared" si="3"/>
        <v>0</v>
      </c>
      <c r="T24" s="288">
        <f t="shared" si="3"/>
        <v>0</v>
      </c>
      <c r="U24" s="288">
        <f t="shared" si="3"/>
        <v>0</v>
      </c>
      <c r="V24" s="288">
        <f t="shared" si="3"/>
        <v>0</v>
      </c>
      <c r="W24" s="288">
        <f t="shared" si="3"/>
        <v>0</v>
      </c>
      <c r="X24" s="288"/>
    </row>
    <row r="25" spans="1:24" ht="11.25" customHeight="1" x14ac:dyDescent="0.2">
      <c r="A25" s="244"/>
      <c r="B25" s="245"/>
      <c r="C25" s="245" t="s">
        <v>640</v>
      </c>
      <c r="D25" s="248"/>
      <c r="E25" s="306"/>
      <c r="F25" s="309"/>
      <c r="G25" s="353"/>
      <c r="H25" s="271">
        <v>1</v>
      </c>
      <c r="I25" s="369"/>
      <c r="J25" s="263"/>
      <c r="K25" s="276"/>
      <c r="L25" s="263"/>
      <c r="M25" s="263"/>
      <c r="N25" s="314"/>
      <c r="O25" s="292"/>
      <c r="P25" s="289"/>
      <c r="Q25" s="289"/>
      <c r="R25" s="289"/>
      <c r="S25" s="292"/>
      <c r="T25" s="289"/>
      <c r="U25" s="289"/>
      <c r="V25" s="289"/>
      <c r="W25" s="289"/>
      <c r="X25" s="289"/>
    </row>
    <row r="26" spans="1:24" ht="11.25" customHeight="1" x14ac:dyDescent="0.2">
      <c r="A26" s="244"/>
      <c r="B26" s="245"/>
      <c r="C26" s="245"/>
      <c r="D26" s="43"/>
      <c r="E26" s="300"/>
      <c r="F26" s="310"/>
      <c r="G26" s="354"/>
      <c r="H26" s="279" t="str">
        <f>CHAR(132)</f>
        <v>„</v>
      </c>
      <c r="I26" s="279"/>
      <c r="J26" s="280"/>
      <c r="K26" s="281"/>
      <c r="L26" s="280"/>
      <c r="M26" s="280"/>
      <c r="N26" s="315"/>
      <c r="O26" s="293"/>
      <c r="P26" s="290"/>
      <c r="Q26" s="290"/>
      <c r="R26" s="290"/>
      <c r="S26" s="293"/>
      <c r="T26" s="290"/>
      <c r="U26" s="290"/>
      <c r="V26" s="290"/>
      <c r="W26" s="290"/>
      <c r="X26" s="290"/>
    </row>
    <row r="27" spans="1:24" ht="11.25" customHeight="1" x14ac:dyDescent="0.2">
      <c r="A27" s="244"/>
      <c r="B27" s="245"/>
      <c r="C27" s="36" t="s">
        <v>68</v>
      </c>
      <c r="D27" s="43" t="s">
        <v>592</v>
      </c>
      <c r="E27" s="300"/>
      <c r="F27" s="308"/>
      <c r="G27" s="351" t="s">
        <v>597</v>
      </c>
      <c r="H27" s="270" t="s">
        <v>656</v>
      </c>
      <c r="I27" s="368"/>
      <c r="J27" s="280"/>
      <c r="K27" s="281"/>
      <c r="L27" s="280"/>
      <c r="M27" s="280"/>
      <c r="N27" s="313">
        <f>SUM(N28:N29)</f>
        <v>0</v>
      </c>
      <c r="O27" s="291">
        <f>SUM(O28:O29)</f>
        <v>0</v>
      </c>
      <c r="P27" s="288">
        <f t="shared" ref="P27:W27" si="4">SUM(P28:P29)</f>
        <v>0</v>
      </c>
      <c r="Q27" s="288">
        <f t="shared" si="4"/>
        <v>0</v>
      </c>
      <c r="R27" s="288"/>
      <c r="S27" s="291">
        <f t="shared" si="4"/>
        <v>0</v>
      </c>
      <c r="T27" s="288">
        <f t="shared" si="4"/>
        <v>0</v>
      </c>
      <c r="U27" s="288">
        <f t="shared" si="4"/>
        <v>0</v>
      </c>
      <c r="V27" s="288">
        <f t="shared" si="4"/>
        <v>0</v>
      </c>
      <c r="W27" s="288">
        <f t="shared" si="4"/>
        <v>0</v>
      </c>
      <c r="X27" s="288"/>
    </row>
    <row r="28" spans="1:24" ht="11.25" customHeight="1" x14ac:dyDescent="0.2">
      <c r="A28" s="244"/>
      <c r="B28" s="245"/>
      <c r="C28" s="245" t="s">
        <v>640</v>
      </c>
      <c r="D28" s="248"/>
      <c r="E28" s="306"/>
      <c r="F28" s="309"/>
      <c r="G28" s="353"/>
      <c r="H28" s="271">
        <v>1</v>
      </c>
      <c r="I28" s="369"/>
      <c r="J28" s="263"/>
      <c r="K28" s="276"/>
      <c r="L28" s="263"/>
      <c r="M28" s="263"/>
      <c r="N28" s="314"/>
      <c r="O28" s="292"/>
      <c r="P28" s="289"/>
      <c r="Q28" s="289"/>
      <c r="R28" s="289"/>
      <c r="S28" s="292"/>
      <c r="T28" s="289"/>
      <c r="U28" s="289"/>
      <c r="V28" s="289"/>
      <c r="W28" s="289"/>
      <c r="X28" s="289"/>
    </row>
    <row r="29" spans="1:24" ht="11.25" customHeight="1" x14ac:dyDescent="0.2">
      <c r="A29" s="244"/>
      <c r="B29" s="245"/>
      <c r="C29" s="245"/>
      <c r="D29" s="43"/>
      <c r="E29" s="300"/>
      <c r="F29" s="310"/>
      <c r="G29" s="354"/>
      <c r="H29" s="279" t="str">
        <f>CHAR(132)</f>
        <v>„</v>
      </c>
      <c r="I29" s="279"/>
      <c r="J29" s="280"/>
      <c r="K29" s="281"/>
      <c r="L29" s="280"/>
      <c r="M29" s="280"/>
      <c r="N29" s="315"/>
      <c r="O29" s="293"/>
      <c r="P29" s="290"/>
      <c r="Q29" s="290"/>
      <c r="R29" s="290"/>
      <c r="S29" s="293"/>
      <c r="T29" s="290"/>
      <c r="U29" s="290"/>
      <c r="V29" s="290"/>
      <c r="W29" s="290"/>
      <c r="X29" s="290"/>
    </row>
    <row r="30" spans="1:24" ht="11.25" customHeight="1" x14ac:dyDescent="0.2">
      <c r="A30" s="236"/>
      <c r="B30" s="208" t="s">
        <v>21</v>
      </c>
      <c r="C30" s="14" t="s">
        <v>634</v>
      </c>
      <c r="D30" s="49"/>
      <c r="E30" s="300"/>
      <c r="F30" s="308"/>
      <c r="G30" s="351" t="s">
        <v>599</v>
      </c>
      <c r="H30" s="270" t="s">
        <v>657</v>
      </c>
      <c r="I30" s="368"/>
      <c r="J30" s="280"/>
      <c r="K30" s="281"/>
      <c r="L30" s="280"/>
      <c r="M30" s="280"/>
      <c r="N30" s="313">
        <f>SUM(N31:N32)</f>
        <v>0</v>
      </c>
      <c r="O30" s="291">
        <f>SUM(O31:O32)</f>
        <v>0</v>
      </c>
      <c r="P30" s="288">
        <f t="shared" ref="P30:W30" si="5">SUM(P31:P32)</f>
        <v>0</v>
      </c>
      <c r="Q30" s="288">
        <f t="shared" si="5"/>
        <v>0</v>
      </c>
      <c r="R30" s="288"/>
      <c r="S30" s="291">
        <f t="shared" si="5"/>
        <v>0</v>
      </c>
      <c r="T30" s="288">
        <f t="shared" si="5"/>
        <v>0</v>
      </c>
      <c r="U30" s="288">
        <f t="shared" si="5"/>
        <v>0</v>
      </c>
      <c r="V30" s="288">
        <f t="shared" si="5"/>
        <v>0</v>
      </c>
      <c r="W30" s="288">
        <f t="shared" si="5"/>
        <v>0</v>
      </c>
      <c r="X30" s="288"/>
    </row>
    <row r="31" spans="1:24" ht="11.25" customHeight="1" x14ac:dyDescent="0.2">
      <c r="A31" s="244"/>
      <c r="B31" s="245"/>
      <c r="C31" s="245" t="s">
        <v>640</v>
      </c>
      <c r="D31" s="248"/>
      <c r="E31" s="306"/>
      <c r="F31" s="309"/>
      <c r="G31" s="353"/>
      <c r="H31" s="271">
        <v>1</v>
      </c>
      <c r="I31" s="369"/>
      <c r="J31" s="263"/>
      <c r="K31" s="276"/>
      <c r="L31" s="263"/>
      <c r="M31" s="263"/>
      <c r="N31" s="314"/>
      <c r="O31" s="292"/>
      <c r="P31" s="289"/>
      <c r="Q31" s="289"/>
      <c r="R31" s="289"/>
      <c r="S31" s="292"/>
      <c r="T31" s="289"/>
      <c r="U31" s="289"/>
      <c r="V31" s="289"/>
      <c r="W31" s="289"/>
      <c r="X31" s="289"/>
    </row>
    <row r="32" spans="1:24" ht="11.25" customHeight="1" x14ac:dyDescent="0.2">
      <c r="A32" s="244"/>
      <c r="B32" s="245"/>
      <c r="C32" s="36"/>
      <c r="D32" s="43"/>
      <c r="E32" s="300"/>
      <c r="F32" s="310"/>
      <c r="G32" s="353"/>
      <c r="H32" s="279" t="str">
        <f>CHAR(132)</f>
        <v>„</v>
      </c>
      <c r="I32" s="279"/>
      <c r="J32" s="280"/>
      <c r="K32" s="281"/>
      <c r="L32" s="280"/>
      <c r="M32" s="280"/>
      <c r="N32" s="315"/>
      <c r="O32" s="293"/>
      <c r="P32" s="290"/>
      <c r="Q32" s="290"/>
      <c r="R32" s="290"/>
      <c r="S32" s="293"/>
      <c r="T32" s="290"/>
      <c r="U32" s="290"/>
      <c r="V32" s="290"/>
      <c r="W32" s="290"/>
      <c r="X32" s="290"/>
    </row>
    <row r="33" spans="1:26" ht="11.25" customHeight="1" x14ac:dyDescent="0.2">
      <c r="A33" s="244" t="s">
        <v>29</v>
      </c>
      <c r="B33" s="36" t="s">
        <v>568</v>
      </c>
      <c r="C33" s="245"/>
      <c r="D33" s="43"/>
      <c r="E33" s="300"/>
      <c r="F33" s="307"/>
      <c r="G33" s="351" t="s">
        <v>569</v>
      </c>
      <c r="H33" s="269"/>
      <c r="I33" s="368"/>
      <c r="J33" s="280"/>
      <c r="K33" s="281"/>
      <c r="L33" s="280"/>
      <c r="M33" s="280"/>
      <c r="N33" s="313">
        <f>N34+N41</f>
        <v>0</v>
      </c>
      <c r="O33" s="291">
        <f>O34+O41</f>
        <v>0</v>
      </c>
      <c r="P33" s="288">
        <f t="shared" ref="P33:W33" si="6">P34+P41</f>
        <v>0</v>
      </c>
      <c r="Q33" s="288">
        <f t="shared" si="6"/>
        <v>0</v>
      </c>
      <c r="R33" s="288"/>
      <c r="S33" s="291">
        <f t="shared" si="6"/>
        <v>0</v>
      </c>
      <c r="T33" s="288">
        <f t="shared" si="6"/>
        <v>0</v>
      </c>
      <c r="U33" s="288">
        <f t="shared" si="6"/>
        <v>0</v>
      </c>
      <c r="V33" s="288">
        <f t="shared" si="6"/>
        <v>0</v>
      </c>
      <c r="W33" s="288">
        <f t="shared" si="6"/>
        <v>0</v>
      </c>
      <c r="X33" s="288"/>
      <c r="Y33" s="207"/>
      <c r="Z33" s="207"/>
    </row>
    <row r="34" spans="1:26" ht="11.25" customHeight="1" x14ac:dyDescent="0.2">
      <c r="A34" s="236"/>
      <c r="B34" s="208" t="s">
        <v>18</v>
      </c>
      <c r="C34" s="14" t="s">
        <v>630</v>
      </c>
      <c r="D34" s="49"/>
      <c r="E34" s="300"/>
      <c r="F34" s="307"/>
      <c r="G34" s="351" t="s">
        <v>638</v>
      </c>
      <c r="H34" s="269"/>
      <c r="I34" s="368"/>
      <c r="J34" s="280"/>
      <c r="K34" s="281"/>
      <c r="L34" s="280"/>
      <c r="M34" s="280"/>
      <c r="N34" s="313">
        <f>N35+N38</f>
        <v>0</v>
      </c>
      <c r="O34" s="291">
        <f>O35+O38</f>
        <v>0</v>
      </c>
      <c r="P34" s="288">
        <f t="shared" ref="P34:W34" si="7">P35+P38</f>
        <v>0</v>
      </c>
      <c r="Q34" s="288">
        <f t="shared" si="7"/>
        <v>0</v>
      </c>
      <c r="R34" s="288"/>
      <c r="S34" s="291">
        <f t="shared" si="7"/>
        <v>0</v>
      </c>
      <c r="T34" s="288">
        <f t="shared" si="7"/>
        <v>0</v>
      </c>
      <c r="U34" s="288">
        <f t="shared" si="7"/>
        <v>0</v>
      </c>
      <c r="V34" s="288">
        <f t="shared" si="7"/>
        <v>0</v>
      </c>
      <c r="W34" s="288">
        <f t="shared" si="7"/>
        <v>0</v>
      </c>
      <c r="X34" s="288"/>
      <c r="Y34" s="207"/>
      <c r="Z34" s="207"/>
    </row>
    <row r="35" spans="1:26" ht="11.25" customHeight="1" x14ac:dyDescent="0.2">
      <c r="A35" s="244"/>
      <c r="B35" s="245"/>
      <c r="C35" s="36" t="s">
        <v>62</v>
      </c>
      <c r="D35" s="43" t="s">
        <v>632</v>
      </c>
      <c r="E35" s="300"/>
      <c r="F35" s="308"/>
      <c r="G35" s="351" t="s">
        <v>639</v>
      </c>
      <c r="H35" s="270" t="s">
        <v>658</v>
      </c>
      <c r="I35" s="368"/>
      <c r="J35" s="280"/>
      <c r="K35" s="281"/>
      <c r="L35" s="280"/>
      <c r="M35" s="280"/>
      <c r="N35" s="313">
        <f>SUM(N36:N37)</f>
        <v>0</v>
      </c>
      <c r="O35" s="291">
        <f>SUM(O36:O37)</f>
        <v>0</v>
      </c>
      <c r="P35" s="288">
        <f t="shared" ref="P35:W35" si="8">SUM(P36:P37)</f>
        <v>0</v>
      </c>
      <c r="Q35" s="288">
        <f t="shared" si="8"/>
        <v>0</v>
      </c>
      <c r="R35" s="288"/>
      <c r="S35" s="291">
        <f t="shared" si="8"/>
        <v>0</v>
      </c>
      <c r="T35" s="288">
        <f t="shared" si="8"/>
        <v>0</v>
      </c>
      <c r="U35" s="288">
        <f t="shared" si="8"/>
        <v>0</v>
      </c>
      <c r="V35" s="288">
        <f t="shared" si="8"/>
        <v>0</v>
      </c>
      <c r="W35" s="288">
        <f t="shared" si="8"/>
        <v>0</v>
      </c>
      <c r="X35" s="288"/>
    </row>
    <row r="36" spans="1:26" ht="11.25" customHeight="1" x14ac:dyDescent="0.2">
      <c r="A36" s="244"/>
      <c r="B36" s="245"/>
      <c r="C36" s="246" t="s">
        <v>640</v>
      </c>
      <c r="D36" s="248"/>
      <c r="E36" s="306"/>
      <c r="F36" s="309"/>
      <c r="G36" s="353"/>
      <c r="H36" s="271">
        <v>1</v>
      </c>
      <c r="I36" s="369"/>
      <c r="J36" s="263"/>
      <c r="K36" s="276"/>
      <c r="L36" s="263"/>
      <c r="M36" s="263"/>
      <c r="N36" s="314"/>
      <c r="O36" s="292"/>
      <c r="P36" s="289"/>
      <c r="Q36" s="289"/>
      <c r="R36" s="289"/>
      <c r="S36" s="292"/>
      <c r="T36" s="289"/>
      <c r="U36" s="289"/>
      <c r="V36" s="289"/>
      <c r="W36" s="289"/>
      <c r="X36" s="289"/>
    </row>
    <row r="37" spans="1:26" ht="11.25" customHeight="1" x14ac:dyDescent="0.2">
      <c r="A37" s="244"/>
      <c r="B37" s="245"/>
      <c r="C37" s="245"/>
      <c r="D37" s="43"/>
      <c r="E37" s="300"/>
      <c r="F37" s="310"/>
      <c r="G37" s="354"/>
      <c r="H37" s="279" t="str">
        <f>CHAR(132)</f>
        <v>„</v>
      </c>
      <c r="I37" s="279"/>
      <c r="J37" s="280"/>
      <c r="K37" s="281"/>
      <c r="L37" s="280"/>
      <c r="M37" s="280"/>
      <c r="N37" s="315"/>
      <c r="O37" s="293"/>
      <c r="P37" s="290"/>
      <c r="Q37" s="290"/>
      <c r="R37" s="290"/>
      <c r="S37" s="293"/>
      <c r="T37" s="290"/>
      <c r="U37" s="290"/>
      <c r="V37" s="290"/>
      <c r="W37" s="290"/>
      <c r="X37" s="290"/>
    </row>
    <row r="38" spans="1:26" ht="11.25" customHeight="1" x14ac:dyDescent="0.2">
      <c r="A38" s="236"/>
      <c r="B38" s="208"/>
      <c r="C38" s="14" t="s">
        <v>68</v>
      </c>
      <c r="D38" s="49" t="s">
        <v>592</v>
      </c>
      <c r="E38" s="300"/>
      <c r="F38" s="308"/>
      <c r="G38" s="351" t="s">
        <v>603</v>
      </c>
      <c r="H38" s="270" t="s">
        <v>659</v>
      </c>
      <c r="I38" s="368"/>
      <c r="J38" s="280"/>
      <c r="K38" s="281"/>
      <c r="L38" s="280"/>
      <c r="M38" s="280"/>
      <c r="N38" s="313">
        <f>SUM(N39:N40)</f>
        <v>0</v>
      </c>
      <c r="O38" s="291">
        <f>SUM(O39:O40)</f>
        <v>0</v>
      </c>
      <c r="P38" s="288">
        <f t="shared" ref="P38:W38" si="9">SUM(P39:P40)</f>
        <v>0</v>
      </c>
      <c r="Q38" s="288">
        <f t="shared" si="9"/>
        <v>0</v>
      </c>
      <c r="R38" s="288"/>
      <c r="S38" s="291">
        <f t="shared" si="9"/>
        <v>0</v>
      </c>
      <c r="T38" s="288">
        <f t="shared" si="9"/>
        <v>0</v>
      </c>
      <c r="U38" s="288">
        <f t="shared" si="9"/>
        <v>0</v>
      </c>
      <c r="V38" s="288">
        <f t="shared" si="9"/>
        <v>0</v>
      </c>
      <c r="W38" s="288">
        <f t="shared" si="9"/>
        <v>0</v>
      </c>
      <c r="X38" s="288"/>
    </row>
    <row r="39" spans="1:26" ht="11.25" customHeight="1" x14ac:dyDescent="0.2">
      <c r="A39" s="244"/>
      <c r="B39" s="245"/>
      <c r="C39" s="246" t="s">
        <v>640</v>
      </c>
      <c r="D39" s="248"/>
      <c r="E39" s="306"/>
      <c r="F39" s="309"/>
      <c r="G39" s="353"/>
      <c r="H39" s="271">
        <v>1</v>
      </c>
      <c r="I39" s="369"/>
      <c r="J39" s="263"/>
      <c r="K39" s="276"/>
      <c r="L39" s="263"/>
      <c r="M39" s="263"/>
      <c r="N39" s="314"/>
      <c r="O39" s="292"/>
      <c r="P39" s="289"/>
      <c r="Q39" s="289"/>
      <c r="R39" s="289"/>
      <c r="S39" s="292"/>
      <c r="T39" s="289"/>
      <c r="U39" s="289"/>
      <c r="V39" s="289"/>
      <c r="W39" s="289"/>
      <c r="X39" s="289"/>
    </row>
    <row r="40" spans="1:26" ht="11.25" customHeight="1" x14ac:dyDescent="0.2">
      <c r="A40" s="244"/>
      <c r="B40" s="245"/>
      <c r="C40" s="245"/>
      <c r="D40" s="43"/>
      <c r="E40" s="300"/>
      <c r="F40" s="310"/>
      <c r="G40" s="354"/>
      <c r="H40" s="279" t="str">
        <f>CHAR(132)</f>
        <v>„</v>
      </c>
      <c r="I40" s="279"/>
      <c r="J40" s="280"/>
      <c r="K40" s="281"/>
      <c r="L40" s="280"/>
      <c r="M40" s="280"/>
      <c r="N40" s="315"/>
      <c r="O40" s="293"/>
      <c r="P40" s="290"/>
      <c r="Q40" s="290"/>
      <c r="R40" s="290"/>
      <c r="S40" s="293"/>
      <c r="T40" s="290"/>
      <c r="U40" s="290"/>
      <c r="V40" s="290"/>
      <c r="W40" s="290"/>
      <c r="X40" s="290"/>
    </row>
    <row r="41" spans="1:26" ht="11.25" customHeight="1" x14ac:dyDescent="0.2">
      <c r="A41" s="244"/>
      <c r="B41" s="245" t="s">
        <v>21</v>
      </c>
      <c r="C41" s="36" t="s">
        <v>634</v>
      </c>
      <c r="D41" s="43"/>
      <c r="E41" s="300"/>
      <c r="F41" s="308"/>
      <c r="G41" s="351" t="s">
        <v>604</v>
      </c>
      <c r="H41" s="270" t="s">
        <v>660</v>
      </c>
      <c r="I41" s="368"/>
      <c r="J41" s="280"/>
      <c r="K41" s="281"/>
      <c r="L41" s="280"/>
      <c r="M41" s="280"/>
      <c r="N41" s="313">
        <f t="shared" ref="N41:W41" si="10">SUM(N42:N43)</f>
        <v>0</v>
      </c>
      <c r="O41" s="291">
        <f t="shared" si="10"/>
        <v>0</v>
      </c>
      <c r="P41" s="288">
        <f t="shared" si="10"/>
        <v>0</v>
      </c>
      <c r="Q41" s="288">
        <f t="shared" si="10"/>
        <v>0</v>
      </c>
      <c r="R41" s="288"/>
      <c r="S41" s="291">
        <f t="shared" si="10"/>
        <v>0</v>
      </c>
      <c r="T41" s="288">
        <f t="shared" si="10"/>
        <v>0</v>
      </c>
      <c r="U41" s="288">
        <f t="shared" si="10"/>
        <v>0</v>
      </c>
      <c r="V41" s="288">
        <f t="shared" si="10"/>
        <v>0</v>
      </c>
      <c r="W41" s="288">
        <f t="shared" si="10"/>
        <v>0</v>
      </c>
      <c r="X41" s="288"/>
    </row>
    <row r="42" spans="1:26" ht="11.25" customHeight="1" x14ac:dyDescent="0.2">
      <c r="A42" s="244"/>
      <c r="B42" s="245"/>
      <c r="C42" s="246" t="s">
        <v>640</v>
      </c>
      <c r="D42" s="248"/>
      <c r="E42" s="306"/>
      <c r="F42" s="309"/>
      <c r="G42" s="353"/>
      <c r="H42" s="271">
        <v>1</v>
      </c>
      <c r="I42" s="369"/>
      <c r="J42" s="263"/>
      <c r="K42" s="276"/>
      <c r="L42" s="263"/>
      <c r="M42" s="263"/>
      <c r="N42" s="314"/>
      <c r="O42" s="292"/>
      <c r="P42" s="289"/>
      <c r="Q42" s="289"/>
      <c r="R42" s="289"/>
      <c r="S42" s="292"/>
      <c r="T42" s="289"/>
      <c r="U42" s="289"/>
      <c r="V42" s="289"/>
      <c r="W42" s="289"/>
      <c r="X42" s="289"/>
    </row>
    <row r="43" spans="1:26" ht="11.25" customHeight="1" x14ac:dyDescent="0.2">
      <c r="A43" s="247"/>
      <c r="B43" s="245"/>
      <c r="C43" s="246"/>
      <c r="D43" s="43"/>
      <c r="E43" s="300"/>
      <c r="F43" s="310"/>
      <c r="G43" s="354"/>
      <c r="H43" s="279" t="str">
        <f>CHAR(132)</f>
        <v>„</v>
      </c>
      <c r="I43" s="279"/>
      <c r="J43" s="280"/>
      <c r="K43" s="281"/>
      <c r="L43" s="280"/>
      <c r="M43" s="280"/>
      <c r="N43" s="315"/>
      <c r="O43" s="293"/>
      <c r="P43" s="290"/>
      <c r="Q43" s="290"/>
      <c r="R43" s="290"/>
      <c r="S43" s="293"/>
      <c r="T43" s="290"/>
      <c r="U43" s="290"/>
      <c r="V43" s="290"/>
      <c r="W43" s="290"/>
      <c r="X43" s="290"/>
    </row>
    <row r="44" spans="1:26" ht="11.25" customHeight="1" x14ac:dyDescent="0.2">
      <c r="A44" s="237" t="s">
        <v>449</v>
      </c>
      <c r="B44" s="229"/>
      <c r="C44" s="229"/>
      <c r="D44" s="238"/>
      <c r="E44" s="300"/>
      <c r="F44" s="307"/>
      <c r="G44" s="353" t="s">
        <v>579</v>
      </c>
      <c r="H44" s="269"/>
      <c r="I44" s="368"/>
      <c r="J44" s="280"/>
      <c r="K44" s="281"/>
      <c r="L44" s="280"/>
      <c r="M44" s="280"/>
      <c r="N44" s="313">
        <f t="shared" ref="N44:W44" si="11">N45+N56+N67</f>
        <v>0</v>
      </c>
      <c r="O44" s="333"/>
      <c r="P44" s="284"/>
      <c r="Q44" s="284"/>
      <c r="R44" s="284"/>
      <c r="S44" s="291">
        <f t="shared" si="11"/>
        <v>0</v>
      </c>
      <c r="T44" s="288">
        <f t="shared" si="11"/>
        <v>0</v>
      </c>
      <c r="U44" s="288">
        <f t="shared" si="11"/>
        <v>0</v>
      </c>
      <c r="V44" s="288">
        <f t="shared" si="11"/>
        <v>0</v>
      </c>
      <c r="W44" s="288">
        <f t="shared" si="11"/>
        <v>0</v>
      </c>
      <c r="X44" s="288"/>
    </row>
    <row r="45" spans="1:26" ht="11.25" customHeight="1" x14ac:dyDescent="0.2">
      <c r="A45" s="241" t="s">
        <v>15</v>
      </c>
      <c r="B45" s="242" t="s">
        <v>538</v>
      </c>
      <c r="C45" s="242"/>
      <c r="D45" s="243"/>
      <c r="E45" s="300"/>
      <c r="F45" s="307"/>
      <c r="G45" s="351" t="s">
        <v>580</v>
      </c>
      <c r="H45" s="269"/>
      <c r="I45" s="368"/>
      <c r="J45" s="280"/>
      <c r="K45" s="281"/>
      <c r="L45" s="280"/>
      <c r="M45" s="280"/>
      <c r="N45" s="313">
        <f t="shared" ref="N45:W45" si="12">N46+N53</f>
        <v>0</v>
      </c>
      <c r="O45" s="333"/>
      <c r="P45" s="284"/>
      <c r="Q45" s="284"/>
      <c r="R45" s="284"/>
      <c r="S45" s="291">
        <f t="shared" si="12"/>
        <v>0</v>
      </c>
      <c r="T45" s="288">
        <f t="shared" si="12"/>
        <v>0</v>
      </c>
      <c r="U45" s="288">
        <f t="shared" si="12"/>
        <v>0</v>
      </c>
      <c r="V45" s="288">
        <f t="shared" si="12"/>
        <v>0</v>
      </c>
      <c r="W45" s="288">
        <f t="shared" si="12"/>
        <v>0</v>
      </c>
      <c r="X45" s="288"/>
    </row>
    <row r="46" spans="1:26" ht="11.25" customHeight="1" x14ac:dyDescent="0.2">
      <c r="A46" s="236"/>
      <c r="B46" s="208" t="s">
        <v>18</v>
      </c>
      <c r="C46" s="14" t="s">
        <v>630</v>
      </c>
      <c r="D46" s="49"/>
      <c r="E46" s="300"/>
      <c r="F46" s="307"/>
      <c r="G46" s="351" t="s">
        <v>641</v>
      </c>
      <c r="H46" s="269"/>
      <c r="I46" s="368"/>
      <c r="J46" s="280"/>
      <c r="K46" s="281"/>
      <c r="L46" s="280"/>
      <c r="M46" s="280"/>
      <c r="N46" s="313">
        <f t="shared" ref="N46:W46" si="13">N47+N50</f>
        <v>0</v>
      </c>
      <c r="O46" s="333"/>
      <c r="P46" s="284"/>
      <c r="Q46" s="284"/>
      <c r="R46" s="284"/>
      <c r="S46" s="291">
        <f t="shared" si="13"/>
        <v>0</v>
      </c>
      <c r="T46" s="288">
        <f t="shared" si="13"/>
        <v>0</v>
      </c>
      <c r="U46" s="288">
        <f t="shared" si="13"/>
        <v>0</v>
      </c>
      <c r="V46" s="288">
        <f t="shared" si="13"/>
        <v>0</v>
      </c>
      <c r="W46" s="288">
        <f t="shared" si="13"/>
        <v>0</v>
      </c>
      <c r="X46" s="288"/>
    </row>
    <row r="47" spans="1:26" ht="11.25" customHeight="1" x14ac:dyDescent="0.2">
      <c r="A47" s="244"/>
      <c r="B47" s="245"/>
      <c r="C47" s="36" t="s">
        <v>62</v>
      </c>
      <c r="D47" s="43" t="s">
        <v>632</v>
      </c>
      <c r="E47" s="300"/>
      <c r="F47" s="308"/>
      <c r="G47" s="351" t="s">
        <v>642</v>
      </c>
      <c r="H47" s="270" t="s">
        <v>661</v>
      </c>
      <c r="I47" s="368"/>
      <c r="J47" s="280"/>
      <c r="K47" s="281"/>
      <c r="L47" s="280"/>
      <c r="M47" s="280"/>
      <c r="N47" s="313">
        <f t="shared" ref="N47:W47" si="14">SUM(N48:N49)</f>
        <v>0</v>
      </c>
      <c r="O47" s="333"/>
      <c r="P47" s="284"/>
      <c r="Q47" s="284"/>
      <c r="R47" s="284"/>
      <c r="S47" s="291">
        <f t="shared" si="14"/>
        <v>0</v>
      </c>
      <c r="T47" s="288">
        <f t="shared" si="14"/>
        <v>0</v>
      </c>
      <c r="U47" s="288">
        <f t="shared" si="14"/>
        <v>0</v>
      </c>
      <c r="V47" s="288">
        <f t="shared" si="14"/>
        <v>0</v>
      </c>
      <c r="W47" s="288">
        <f t="shared" si="14"/>
        <v>0</v>
      </c>
      <c r="X47" s="288"/>
    </row>
    <row r="48" spans="1:26" ht="11.25" customHeight="1" x14ac:dyDescent="0.2">
      <c r="A48" s="244"/>
      <c r="B48" s="245"/>
      <c r="C48" s="246" t="s">
        <v>640</v>
      </c>
      <c r="D48" s="248"/>
      <c r="E48" s="306"/>
      <c r="F48" s="309"/>
      <c r="G48" s="353"/>
      <c r="H48" s="271">
        <v>1</v>
      </c>
      <c r="I48" s="369"/>
      <c r="J48" s="263"/>
      <c r="K48" s="276"/>
      <c r="L48" s="263"/>
      <c r="M48" s="263"/>
      <c r="N48" s="314"/>
      <c r="O48" s="334"/>
      <c r="P48" s="285"/>
      <c r="Q48" s="285"/>
      <c r="R48" s="285"/>
      <c r="S48" s="292"/>
      <c r="T48" s="289"/>
      <c r="U48" s="289"/>
      <c r="V48" s="289"/>
      <c r="W48" s="289"/>
      <c r="X48" s="289"/>
    </row>
    <row r="49" spans="1:24" ht="11.25" customHeight="1" x14ac:dyDescent="0.2">
      <c r="A49" s="244"/>
      <c r="B49" s="245"/>
      <c r="C49" s="245"/>
      <c r="D49" s="43"/>
      <c r="E49" s="300"/>
      <c r="F49" s="310"/>
      <c r="G49" s="354"/>
      <c r="H49" s="279" t="str">
        <f>CHAR(132)</f>
        <v>„</v>
      </c>
      <c r="I49" s="279"/>
      <c r="J49" s="280"/>
      <c r="K49" s="281"/>
      <c r="L49" s="280"/>
      <c r="M49" s="280"/>
      <c r="N49" s="315"/>
      <c r="O49" s="334"/>
      <c r="P49" s="285"/>
      <c r="Q49" s="285"/>
      <c r="R49" s="285"/>
      <c r="S49" s="293"/>
      <c r="T49" s="290"/>
      <c r="U49" s="290"/>
      <c r="V49" s="290"/>
      <c r="W49" s="290"/>
      <c r="X49" s="290"/>
    </row>
    <row r="50" spans="1:24" ht="11.25" customHeight="1" x14ac:dyDescent="0.2">
      <c r="A50" s="236"/>
      <c r="B50" s="208"/>
      <c r="C50" s="14" t="s">
        <v>68</v>
      </c>
      <c r="D50" s="49" t="s">
        <v>592</v>
      </c>
      <c r="E50" s="300"/>
      <c r="F50" s="308"/>
      <c r="G50" s="351" t="s">
        <v>609</v>
      </c>
      <c r="H50" s="270" t="s">
        <v>662</v>
      </c>
      <c r="I50" s="368"/>
      <c r="J50" s="280"/>
      <c r="K50" s="281"/>
      <c r="L50" s="280"/>
      <c r="M50" s="280"/>
      <c r="N50" s="313">
        <f>SUM(N51:N52)</f>
        <v>0</v>
      </c>
      <c r="O50" s="333"/>
      <c r="P50" s="284"/>
      <c r="Q50" s="284"/>
      <c r="R50" s="284"/>
      <c r="S50" s="291">
        <f>SUM(S51:S52)</f>
        <v>0</v>
      </c>
      <c r="T50" s="288">
        <f>SUM(T51:T52)</f>
        <v>0</v>
      </c>
      <c r="U50" s="288">
        <f>SUM(U51:U52)</f>
        <v>0</v>
      </c>
      <c r="V50" s="288">
        <f>SUM(V51:V52)</f>
        <v>0</v>
      </c>
      <c r="W50" s="288">
        <f>SUM(W51:W52)</f>
        <v>0</v>
      </c>
      <c r="X50" s="288"/>
    </row>
    <row r="51" spans="1:24" ht="11.25" customHeight="1" x14ac:dyDescent="0.2">
      <c r="A51" s="244"/>
      <c r="B51" s="245"/>
      <c r="C51" s="246" t="s">
        <v>640</v>
      </c>
      <c r="D51" s="248"/>
      <c r="E51" s="306"/>
      <c r="F51" s="309"/>
      <c r="G51" s="353"/>
      <c r="H51" s="271">
        <v>1</v>
      </c>
      <c r="I51" s="369"/>
      <c r="J51" s="263"/>
      <c r="K51" s="276"/>
      <c r="L51" s="263"/>
      <c r="M51" s="263"/>
      <c r="N51" s="314"/>
      <c r="O51" s="334"/>
      <c r="P51" s="285"/>
      <c r="Q51" s="285"/>
      <c r="R51" s="285"/>
      <c r="S51" s="292"/>
      <c r="T51" s="289"/>
      <c r="U51" s="289"/>
      <c r="V51" s="289"/>
      <c r="W51" s="289"/>
      <c r="X51" s="289"/>
    </row>
    <row r="52" spans="1:24" ht="11.25" customHeight="1" x14ac:dyDescent="0.2">
      <c r="A52" s="244"/>
      <c r="B52" s="245"/>
      <c r="C52" s="245"/>
      <c r="D52" s="43"/>
      <c r="E52" s="300"/>
      <c r="F52" s="310"/>
      <c r="G52" s="354"/>
      <c r="H52" s="279" t="str">
        <f>CHAR(132)</f>
        <v>„</v>
      </c>
      <c r="I52" s="279"/>
      <c r="J52" s="280"/>
      <c r="K52" s="281"/>
      <c r="L52" s="280"/>
      <c r="M52" s="280"/>
      <c r="N52" s="315"/>
      <c r="O52" s="334"/>
      <c r="P52" s="285"/>
      <c r="Q52" s="285"/>
      <c r="R52" s="285"/>
      <c r="S52" s="293"/>
      <c r="T52" s="290"/>
      <c r="U52" s="290"/>
      <c r="V52" s="290"/>
      <c r="W52" s="290"/>
      <c r="X52" s="290"/>
    </row>
    <row r="53" spans="1:24" ht="11.25" customHeight="1" x14ac:dyDescent="0.2">
      <c r="A53" s="244"/>
      <c r="B53" s="245" t="s">
        <v>21</v>
      </c>
      <c r="C53" s="36" t="s">
        <v>634</v>
      </c>
      <c r="D53" s="43"/>
      <c r="E53" s="300"/>
      <c r="F53" s="308"/>
      <c r="G53" s="351" t="s">
        <v>643</v>
      </c>
      <c r="H53" s="270" t="s">
        <v>663</v>
      </c>
      <c r="I53" s="368"/>
      <c r="J53" s="280"/>
      <c r="K53" s="281"/>
      <c r="L53" s="280"/>
      <c r="M53" s="280"/>
      <c r="N53" s="313">
        <f>SUM(N54:N55)</f>
        <v>0</v>
      </c>
      <c r="O53" s="333"/>
      <c r="P53" s="284"/>
      <c r="Q53" s="284"/>
      <c r="R53" s="284"/>
      <c r="S53" s="291">
        <f>SUM(S54:S55)</f>
        <v>0</v>
      </c>
      <c r="T53" s="288">
        <f>SUM(T54:T55)</f>
        <v>0</v>
      </c>
      <c r="U53" s="288">
        <f>SUM(U54:U55)</f>
        <v>0</v>
      </c>
      <c r="V53" s="288">
        <f>SUM(V54:V55)</f>
        <v>0</v>
      </c>
      <c r="W53" s="288">
        <f>SUM(W54:W55)</f>
        <v>0</v>
      </c>
      <c r="X53" s="288"/>
    </row>
    <row r="54" spans="1:24" ht="11.25" customHeight="1" x14ac:dyDescent="0.2">
      <c r="A54" s="244"/>
      <c r="B54" s="245"/>
      <c r="C54" s="246" t="s">
        <v>640</v>
      </c>
      <c r="D54" s="248"/>
      <c r="E54" s="306"/>
      <c r="F54" s="309"/>
      <c r="G54" s="353"/>
      <c r="H54" s="271">
        <v>1</v>
      </c>
      <c r="I54" s="369"/>
      <c r="J54" s="263"/>
      <c r="K54" s="276"/>
      <c r="L54" s="263"/>
      <c r="M54" s="263"/>
      <c r="N54" s="314"/>
      <c r="O54" s="334"/>
      <c r="P54" s="285"/>
      <c r="Q54" s="285"/>
      <c r="R54" s="285"/>
      <c r="S54" s="292"/>
      <c r="T54" s="289"/>
      <c r="U54" s="289"/>
      <c r="V54" s="289"/>
      <c r="W54" s="289"/>
      <c r="X54" s="289"/>
    </row>
    <row r="55" spans="1:24" ht="11.25" customHeight="1" x14ac:dyDescent="0.2">
      <c r="A55" s="244"/>
      <c r="B55" s="245"/>
      <c r="C55" s="36"/>
      <c r="D55" s="43"/>
      <c r="E55" s="300"/>
      <c r="F55" s="310"/>
      <c r="G55" s="354"/>
      <c r="H55" s="279" t="str">
        <f>CHAR(132)</f>
        <v>„</v>
      </c>
      <c r="I55" s="279"/>
      <c r="J55" s="280"/>
      <c r="K55" s="281"/>
      <c r="L55" s="280"/>
      <c r="M55" s="280"/>
      <c r="N55" s="315"/>
      <c r="O55" s="334"/>
      <c r="P55" s="285"/>
      <c r="Q55" s="285"/>
      <c r="R55" s="285"/>
      <c r="S55" s="293"/>
      <c r="T55" s="290"/>
      <c r="U55" s="290"/>
      <c r="V55" s="290"/>
      <c r="W55" s="290"/>
      <c r="X55" s="290"/>
    </row>
    <row r="56" spans="1:24" ht="11.25" customHeight="1" x14ac:dyDescent="0.2">
      <c r="A56" s="236" t="s">
        <v>24</v>
      </c>
      <c r="B56" s="14" t="s">
        <v>557</v>
      </c>
      <c r="C56" s="208"/>
      <c r="D56" s="49"/>
      <c r="E56" s="300"/>
      <c r="F56" s="307"/>
      <c r="G56" s="351" t="s">
        <v>581</v>
      </c>
      <c r="H56" s="269"/>
      <c r="I56" s="368"/>
      <c r="J56" s="280"/>
      <c r="K56" s="281"/>
      <c r="L56" s="280"/>
      <c r="M56" s="280"/>
      <c r="N56" s="313">
        <f>N57+N64</f>
        <v>0</v>
      </c>
      <c r="O56" s="333"/>
      <c r="P56" s="284"/>
      <c r="Q56" s="284"/>
      <c r="R56" s="284"/>
      <c r="S56" s="291">
        <f>S57+S64</f>
        <v>0</v>
      </c>
      <c r="T56" s="288">
        <f>T57+T64</f>
        <v>0</v>
      </c>
      <c r="U56" s="288">
        <f>U57+U64</f>
        <v>0</v>
      </c>
      <c r="V56" s="288">
        <f>V57+V64</f>
        <v>0</v>
      </c>
      <c r="W56" s="288">
        <f>W57+W64</f>
        <v>0</v>
      </c>
      <c r="X56" s="288"/>
    </row>
    <row r="57" spans="1:24" ht="11.25" customHeight="1" x14ac:dyDescent="0.2">
      <c r="A57" s="244"/>
      <c r="B57" s="245" t="s">
        <v>18</v>
      </c>
      <c r="C57" s="36" t="s">
        <v>630</v>
      </c>
      <c r="D57" s="43"/>
      <c r="E57" s="300"/>
      <c r="F57" s="307"/>
      <c r="G57" s="351" t="s">
        <v>644</v>
      </c>
      <c r="H57" s="269"/>
      <c r="I57" s="368"/>
      <c r="J57" s="280"/>
      <c r="K57" s="281"/>
      <c r="L57" s="280"/>
      <c r="M57" s="280"/>
      <c r="N57" s="313">
        <f>N58+N61</f>
        <v>0</v>
      </c>
      <c r="O57" s="333"/>
      <c r="P57" s="284"/>
      <c r="Q57" s="284"/>
      <c r="R57" s="284"/>
      <c r="S57" s="291">
        <f>S58+S61</f>
        <v>0</v>
      </c>
      <c r="T57" s="288">
        <f>T58+T61</f>
        <v>0</v>
      </c>
      <c r="U57" s="288">
        <f>U58+U61</f>
        <v>0</v>
      </c>
      <c r="V57" s="288">
        <f>V58+V61</f>
        <v>0</v>
      </c>
      <c r="W57" s="288">
        <f>W58+W61</f>
        <v>0</v>
      </c>
      <c r="X57" s="288"/>
    </row>
    <row r="58" spans="1:24" ht="11.25" customHeight="1" x14ac:dyDescent="0.2">
      <c r="A58" s="236"/>
      <c r="B58" s="208"/>
      <c r="C58" s="14" t="s">
        <v>62</v>
      </c>
      <c r="D58" s="49" t="s">
        <v>632</v>
      </c>
      <c r="E58" s="300"/>
      <c r="F58" s="308"/>
      <c r="G58" s="351" t="s">
        <v>645</v>
      </c>
      <c r="H58" s="270" t="s">
        <v>664</v>
      </c>
      <c r="I58" s="368"/>
      <c r="J58" s="280"/>
      <c r="K58" s="281"/>
      <c r="L58" s="280"/>
      <c r="M58" s="280"/>
      <c r="N58" s="313">
        <f>SUM(N59:N60)</f>
        <v>0</v>
      </c>
      <c r="O58" s="333"/>
      <c r="P58" s="284"/>
      <c r="Q58" s="284"/>
      <c r="R58" s="284"/>
      <c r="S58" s="291">
        <f>SUM(S59:S60)</f>
        <v>0</v>
      </c>
      <c r="T58" s="288">
        <f>SUM(T59:T60)</f>
        <v>0</v>
      </c>
      <c r="U58" s="288">
        <f>SUM(U59:U60)</f>
        <v>0</v>
      </c>
      <c r="V58" s="288">
        <f>SUM(V59:V60)</f>
        <v>0</v>
      </c>
      <c r="W58" s="288">
        <f>SUM(W59:W60)</f>
        <v>0</v>
      </c>
      <c r="X58" s="288"/>
    </row>
    <row r="59" spans="1:24" ht="11.25" customHeight="1" x14ac:dyDescent="0.2">
      <c r="A59" s="244"/>
      <c r="B59" s="245"/>
      <c r="C59" s="246" t="s">
        <v>640</v>
      </c>
      <c r="D59" s="248"/>
      <c r="E59" s="306"/>
      <c r="F59" s="309"/>
      <c r="G59" s="353"/>
      <c r="H59" s="271">
        <v>1</v>
      </c>
      <c r="I59" s="369"/>
      <c r="J59" s="263"/>
      <c r="K59" s="276"/>
      <c r="L59" s="263"/>
      <c r="M59" s="263"/>
      <c r="N59" s="314"/>
      <c r="O59" s="334"/>
      <c r="P59" s="285"/>
      <c r="Q59" s="285"/>
      <c r="R59" s="285"/>
      <c r="S59" s="292"/>
      <c r="T59" s="289"/>
      <c r="U59" s="289"/>
      <c r="V59" s="289"/>
      <c r="W59" s="289"/>
      <c r="X59" s="289"/>
    </row>
    <row r="60" spans="1:24" ht="11.25" customHeight="1" x14ac:dyDescent="0.2">
      <c r="A60" s="244"/>
      <c r="B60" s="245"/>
      <c r="C60" s="245"/>
      <c r="D60" s="43"/>
      <c r="E60" s="300"/>
      <c r="F60" s="310"/>
      <c r="G60" s="354"/>
      <c r="H60" s="279" t="str">
        <f>CHAR(132)</f>
        <v>„</v>
      </c>
      <c r="I60" s="279"/>
      <c r="J60" s="280"/>
      <c r="K60" s="281"/>
      <c r="L60" s="280"/>
      <c r="M60" s="280"/>
      <c r="N60" s="315"/>
      <c r="O60" s="334"/>
      <c r="P60" s="285"/>
      <c r="Q60" s="285"/>
      <c r="R60" s="285"/>
      <c r="S60" s="293"/>
      <c r="T60" s="290"/>
      <c r="U60" s="290"/>
      <c r="V60" s="290"/>
      <c r="W60" s="290"/>
      <c r="X60" s="290"/>
    </row>
    <row r="61" spans="1:24" ht="11.25" customHeight="1" x14ac:dyDescent="0.2">
      <c r="A61" s="244"/>
      <c r="B61" s="245"/>
      <c r="C61" s="36" t="s">
        <v>68</v>
      </c>
      <c r="D61" s="43" t="s">
        <v>592</v>
      </c>
      <c r="E61" s="300"/>
      <c r="F61" s="308"/>
      <c r="G61" s="351" t="s">
        <v>613</v>
      </c>
      <c r="H61" s="270" t="s">
        <v>665</v>
      </c>
      <c r="I61" s="368"/>
      <c r="J61" s="280"/>
      <c r="K61" s="281"/>
      <c r="L61" s="280"/>
      <c r="M61" s="280"/>
      <c r="N61" s="313">
        <f>SUM(N62:N63)</f>
        <v>0</v>
      </c>
      <c r="O61" s="333"/>
      <c r="P61" s="284"/>
      <c r="Q61" s="284"/>
      <c r="R61" s="284"/>
      <c r="S61" s="291">
        <f>SUM(S62:S63)</f>
        <v>0</v>
      </c>
      <c r="T61" s="288">
        <f>SUM(T62:T63)</f>
        <v>0</v>
      </c>
      <c r="U61" s="288">
        <f>SUM(U62:U63)</f>
        <v>0</v>
      </c>
      <c r="V61" s="288">
        <f>SUM(V62:V63)</f>
        <v>0</v>
      </c>
      <c r="W61" s="288">
        <f>SUM(W62:W63)</f>
        <v>0</v>
      </c>
      <c r="X61" s="288"/>
    </row>
    <row r="62" spans="1:24" ht="11.25" customHeight="1" x14ac:dyDescent="0.2">
      <c r="A62" s="244"/>
      <c r="B62" s="245"/>
      <c r="C62" s="246" t="s">
        <v>640</v>
      </c>
      <c r="D62" s="248"/>
      <c r="E62" s="306"/>
      <c r="F62" s="309"/>
      <c r="G62" s="353"/>
      <c r="H62" s="271">
        <v>1</v>
      </c>
      <c r="I62" s="369"/>
      <c r="J62" s="263"/>
      <c r="K62" s="276"/>
      <c r="L62" s="263"/>
      <c r="M62" s="263"/>
      <c r="N62" s="314"/>
      <c r="O62" s="334"/>
      <c r="P62" s="285"/>
      <c r="Q62" s="285"/>
      <c r="R62" s="285"/>
      <c r="S62" s="292"/>
      <c r="T62" s="289"/>
      <c r="U62" s="289"/>
      <c r="V62" s="289"/>
      <c r="W62" s="289"/>
      <c r="X62" s="289"/>
    </row>
    <row r="63" spans="1:24" ht="11.25" customHeight="1" x14ac:dyDescent="0.2">
      <c r="A63" s="244"/>
      <c r="B63" s="245"/>
      <c r="C63" s="245"/>
      <c r="D63" s="43"/>
      <c r="E63" s="300"/>
      <c r="F63" s="310"/>
      <c r="G63" s="354"/>
      <c r="H63" s="279" t="str">
        <f>CHAR(132)</f>
        <v>„</v>
      </c>
      <c r="I63" s="279"/>
      <c r="J63" s="280"/>
      <c r="K63" s="281"/>
      <c r="L63" s="280"/>
      <c r="M63" s="280"/>
      <c r="N63" s="315"/>
      <c r="O63" s="334"/>
      <c r="P63" s="285"/>
      <c r="Q63" s="285"/>
      <c r="R63" s="285"/>
      <c r="S63" s="293"/>
      <c r="T63" s="290"/>
      <c r="U63" s="290"/>
      <c r="V63" s="290"/>
      <c r="W63" s="290"/>
      <c r="X63" s="290"/>
    </row>
    <row r="64" spans="1:24" ht="11.25" customHeight="1" x14ac:dyDescent="0.2">
      <c r="A64" s="236"/>
      <c r="B64" s="208" t="s">
        <v>21</v>
      </c>
      <c r="C64" s="14" t="s">
        <v>634</v>
      </c>
      <c r="D64" s="49"/>
      <c r="E64" s="300"/>
      <c r="F64" s="308"/>
      <c r="G64" s="351" t="s">
        <v>614</v>
      </c>
      <c r="H64" s="270" t="s">
        <v>666</v>
      </c>
      <c r="I64" s="368"/>
      <c r="J64" s="280"/>
      <c r="K64" s="281"/>
      <c r="L64" s="280"/>
      <c r="M64" s="280"/>
      <c r="N64" s="313">
        <f>SUM(N65:N66)</f>
        <v>0</v>
      </c>
      <c r="O64" s="333"/>
      <c r="P64" s="284"/>
      <c r="Q64" s="284"/>
      <c r="R64" s="284"/>
      <c r="S64" s="291">
        <f>SUM(S65:S66)</f>
        <v>0</v>
      </c>
      <c r="T64" s="288">
        <f>SUM(T65:T66)</f>
        <v>0</v>
      </c>
      <c r="U64" s="288">
        <f>SUM(U65:U66)</f>
        <v>0</v>
      </c>
      <c r="V64" s="288">
        <f>SUM(V65:V66)</f>
        <v>0</v>
      </c>
      <c r="W64" s="288">
        <f>SUM(W65:W66)</f>
        <v>0</v>
      </c>
      <c r="X64" s="288"/>
    </row>
    <row r="65" spans="1:24" ht="11.25" customHeight="1" x14ac:dyDescent="0.2">
      <c r="A65" s="244"/>
      <c r="B65" s="245"/>
      <c r="C65" s="246" t="s">
        <v>640</v>
      </c>
      <c r="D65" s="248"/>
      <c r="E65" s="306"/>
      <c r="F65" s="309"/>
      <c r="G65" s="353"/>
      <c r="H65" s="271">
        <v>1</v>
      </c>
      <c r="I65" s="369"/>
      <c r="J65" s="263"/>
      <c r="K65" s="276"/>
      <c r="L65" s="263"/>
      <c r="M65" s="263"/>
      <c r="N65" s="314"/>
      <c r="O65" s="334"/>
      <c r="P65" s="285"/>
      <c r="Q65" s="285"/>
      <c r="R65" s="285"/>
      <c r="S65" s="292"/>
      <c r="T65" s="289"/>
      <c r="U65" s="289"/>
      <c r="V65" s="289"/>
      <c r="W65" s="289"/>
      <c r="X65" s="289"/>
    </row>
    <row r="66" spans="1:24" ht="11.25" customHeight="1" x14ac:dyDescent="0.2">
      <c r="A66" s="244"/>
      <c r="B66" s="245"/>
      <c r="C66" s="36"/>
      <c r="D66" s="43"/>
      <c r="E66" s="300"/>
      <c r="F66" s="310"/>
      <c r="G66" s="354"/>
      <c r="H66" s="279" t="str">
        <f>CHAR(132)</f>
        <v>„</v>
      </c>
      <c r="I66" s="279"/>
      <c r="J66" s="280"/>
      <c r="K66" s="281"/>
      <c r="L66" s="280"/>
      <c r="M66" s="280"/>
      <c r="N66" s="315"/>
      <c r="O66" s="334"/>
      <c r="P66" s="285"/>
      <c r="Q66" s="285"/>
      <c r="R66" s="285"/>
      <c r="S66" s="293"/>
      <c r="T66" s="290"/>
      <c r="U66" s="290"/>
      <c r="V66" s="290"/>
      <c r="W66" s="290"/>
      <c r="X66" s="290"/>
    </row>
    <row r="67" spans="1:24" ht="11.25" customHeight="1" x14ac:dyDescent="0.2">
      <c r="A67" s="244" t="s">
        <v>29</v>
      </c>
      <c r="B67" s="36" t="s">
        <v>568</v>
      </c>
      <c r="C67" s="245"/>
      <c r="D67" s="43"/>
      <c r="E67" s="300"/>
      <c r="F67" s="307"/>
      <c r="G67" s="351" t="s">
        <v>582</v>
      </c>
      <c r="H67" s="269"/>
      <c r="I67" s="368"/>
      <c r="J67" s="280"/>
      <c r="K67" s="281"/>
      <c r="L67" s="280"/>
      <c r="M67" s="280"/>
      <c r="N67" s="313">
        <f t="shared" ref="N67:W67" si="15">N68+N75</f>
        <v>0</v>
      </c>
      <c r="O67" s="333"/>
      <c r="P67" s="284"/>
      <c r="Q67" s="284"/>
      <c r="R67" s="284"/>
      <c r="S67" s="291">
        <f t="shared" si="15"/>
        <v>0</v>
      </c>
      <c r="T67" s="288">
        <f t="shared" si="15"/>
        <v>0</v>
      </c>
      <c r="U67" s="288">
        <f t="shared" si="15"/>
        <v>0</v>
      </c>
      <c r="V67" s="288">
        <f t="shared" si="15"/>
        <v>0</v>
      </c>
      <c r="W67" s="288">
        <f t="shared" si="15"/>
        <v>0</v>
      </c>
      <c r="X67" s="288"/>
    </row>
    <row r="68" spans="1:24" ht="11.25" customHeight="1" x14ac:dyDescent="0.2">
      <c r="A68" s="236"/>
      <c r="B68" s="208" t="s">
        <v>18</v>
      </c>
      <c r="C68" s="14" t="s">
        <v>630</v>
      </c>
      <c r="D68" s="49"/>
      <c r="E68" s="300"/>
      <c r="F68" s="307"/>
      <c r="G68" s="351" t="s">
        <v>646</v>
      </c>
      <c r="H68" s="269"/>
      <c r="I68" s="368"/>
      <c r="J68" s="280"/>
      <c r="K68" s="281"/>
      <c r="L68" s="280"/>
      <c r="M68" s="280"/>
      <c r="N68" s="313">
        <f t="shared" ref="N68:W68" si="16">N69+N72</f>
        <v>0</v>
      </c>
      <c r="O68" s="333"/>
      <c r="P68" s="284"/>
      <c r="Q68" s="284"/>
      <c r="R68" s="284"/>
      <c r="S68" s="291">
        <f t="shared" si="16"/>
        <v>0</v>
      </c>
      <c r="T68" s="288">
        <f t="shared" si="16"/>
        <v>0</v>
      </c>
      <c r="U68" s="288">
        <f t="shared" si="16"/>
        <v>0</v>
      </c>
      <c r="V68" s="288">
        <f t="shared" si="16"/>
        <v>0</v>
      </c>
      <c r="W68" s="288">
        <f t="shared" si="16"/>
        <v>0</v>
      </c>
      <c r="X68" s="288"/>
    </row>
    <row r="69" spans="1:24" ht="11.25" customHeight="1" x14ac:dyDescent="0.2">
      <c r="A69" s="244"/>
      <c r="B69" s="245"/>
      <c r="C69" s="36" t="s">
        <v>62</v>
      </c>
      <c r="D69" s="43" t="s">
        <v>632</v>
      </c>
      <c r="E69" s="300"/>
      <c r="F69" s="308"/>
      <c r="G69" s="351" t="s">
        <v>647</v>
      </c>
      <c r="H69" s="270" t="s">
        <v>667</v>
      </c>
      <c r="I69" s="368"/>
      <c r="J69" s="280"/>
      <c r="K69" s="281"/>
      <c r="L69" s="280"/>
      <c r="M69" s="280"/>
      <c r="N69" s="313">
        <f t="shared" ref="N69:W69" si="17">SUM(N70:N71)</f>
        <v>0</v>
      </c>
      <c r="O69" s="333"/>
      <c r="P69" s="284"/>
      <c r="Q69" s="284"/>
      <c r="R69" s="284"/>
      <c r="S69" s="291">
        <f t="shared" si="17"/>
        <v>0</v>
      </c>
      <c r="T69" s="288">
        <f t="shared" si="17"/>
        <v>0</v>
      </c>
      <c r="U69" s="288">
        <f t="shared" si="17"/>
        <v>0</v>
      </c>
      <c r="V69" s="288">
        <f t="shared" si="17"/>
        <v>0</v>
      </c>
      <c r="W69" s="288">
        <f t="shared" si="17"/>
        <v>0</v>
      </c>
      <c r="X69" s="288"/>
    </row>
    <row r="70" spans="1:24" ht="11.25" customHeight="1" x14ac:dyDescent="0.2">
      <c r="A70" s="244"/>
      <c r="B70" s="245"/>
      <c r="C70" s="246" t="s">
        <v>640</v>
      </c>
      <c r="D70" s="248"/>
      <c r="E70" s="306"/>
      <c r="F70" s="309"/>
      <c r="G70" s="353"/>
      <c r="H70" s="271">
        <v>1</v>
      </c>
      <c r="I70" s="369"/>
      <c r="J70" s="263"/>
      <c r="K70" s="276"/>
      <c r="L70" s="263"/>
      <c r="M70" s="263"/>
      <c r="N70" s="314"/>
      <c r="O70" s="334"/>
      <c r="P70" s="285"/>
      <c r="Q70" s="285"/>
      <c r="R70" s="285"/>
      <c r="S70" s="292"/>
      <c r="T70" s="289"/>
      <c r="U70" s="289"/>
      <c r="V70" s="289"/>
      <c r="W70" s="289"/>
      <c r="X70" s="289"/>
    </row>
    <row r="71" spans="1:24" ht="11.25" customHeight="1" x14ac:dyDescent="0.2">
      <c r="A71" s="244"/>
      <c r="B71" s="245"/>
      <c r="C71" s="245"/>
      <c r="D71" s="43"/>
      <c r="E71" s="300"/>
      <c r="F71" s="310"/>
      <c r="G71" s="354"/>
      <c r="H71" s="279" t="str">
        <f>CHAR(132)</f>
        <v>„</v>
      </c>
      <c r="I71" s="279"/>
      <c r="J71" s="280"/>
      <c r="K71" s="281"/>
      <c r="L71" s="280"/>
      <c r="M71" s="280"/>
      <c r="N71" s="315"/>
      <c r="O71" s="334"/>
      <c r="P71" s="285"/>
      <c r="Q71" s="285"/>
      <c r="R71" s="285"/>
      <c r="S71" s="293"/>
      <c r="T71" s="290"/>
      <c r="U71" s="290"/>
      <c r="V71" s="290"/>
      <c r="W71" s="290"/>
      <c r="X71" s="290"/>
    </row>
    <row r="72" spans="1:24" ht="11.25" customHeight="1" x14ac:dyDescent="0.2">
      <c r="A72" s="236"/>
      <c r="B72" s="208"/>
      <c r="C72" s="14" t="s">
        <v>68</v>
      </c>
      <c r="D72" s="49" t="s">
        <v>592</v>
      </c>
      <c r="E72" s="300"/>
      <c r="F72" s="308"/>
      <c r="G72" s="351" t="s">
        <v>618</v>
      </c>
      <c r="H72" s="270" t="s">
        <v>668</v>
      </c>
      <c r="I72" s="368"/>
      <c r="J72" s="280"/>
      <c r="K72" s="281"/>
      <c r="L72" s="280"/>
      <c r="M72" s="280"/>
      <c r="N72" s="313">
        <f>SUM(N73:N74)</f>
        <v>0</v>
      </c>
      <c r="O72" s="333"/>
      <c r="P72" s="284"/>
      <c r="Q72" s="284"/>
      <c r="R72" s="284"/>
      <c r="S72" s="291">
        <f>SUM(S73:S74)</f>
        <v>0</v>
      </c>
      <c r="T72" s="288">
        <f>SUM(T73:T74)</f>
        <v>0</v>
      </c>
      <c r="U72" s="288">
        <f>SUM(U73:U74)</f>
        <v>0</v>
      </c>
      <c r="V72" s="288">
        <f>SUM(V73:V74)</f>
        <v>0</v>
      </c>
      <c r="W72" s="288">
        <f>SUM(W73:W74)</f>
        <v>0</v>
      </c>
      <c r="X72" s="288"/>
    </row>
    <row r="73" spans="1:24" ht="11.25" customHeight="1" x14ac:dyDescent="0.2">
      <c r="A73" s="244"/>
      <c r="B73" s="245"/>
      <c r="C73" s="246" t="s">
        <v>640</v>
      </c>
      <c r="D73" s="248"/>
      <c r="E73" s="306"/>
      <c r="F73" s="309"/>
      <c r="G73" s="353"/>
      <c r="H73" s="271">
        <v>1</v>
      </c>
      <c r="I73" s="369"/>
      <c r="J73" s="263"/>
      <c r="K73" s="276"/>
      <c r="L73" s="263"/>
      <c r="M73" s="263"/>
      <c r="N73" s="314"/>
      <c r="O73" s="334"/>
      <c r="P73" s="285"/>
      <c r="Q73" s="285"/>
      <c r="R73" s="285"/>
      <c r="S73" s="292"/>
      <c r="T73" s="289"/>
      <c r="U73" s="289"/>
      <c r="V73" s="289"/>
      <c r="W73" s="289"/>
      <c r="X73" s="289"/>
    </row>
    <row r="74" spans="1:24" ht="11.25" customHeight="1" x14ac:dyDescent="0.2">
      <c r="A74" s="244"/>
      <c r="B74" s="245"/>
      <c r="C74" s="245"/>
      <c r="D74" s="43"/>
      <c r="E74" s="300"/>
      <c r="F74" s="310"/>
      <c r="G74" s="354"/>
      <c r="H74" s="279" t="str">
        <f>CHAR(132)</f>
        <v>„</v>
      </c>
      <c r="I74" s="279"/>
      <c r="J74" s="280"/>
      <c r="K74" s="281"/>
      <c r="L74" s="280"/>
      <c r="M74" s="280"/>
      <c r="N74" s="315"/>
      <c r="O74" s="334"/>
      <c r="P74" s="285"/>
      <c r="Q74" s="285"/>
      <c r="R74" s="285"/>
      <c r="S74" s="293"/>
      <c r="T74" s="290"/>
      <c r="U74" s="290"/>
      <c r="V74" s="290"/>
      <c r="W74" s="290"/>
      <c r="X74" s="290"/>
    </row>
    <row r="75" spans="1:24" ht="11.25" customHeight="1" x14ac:dyDescent="0.2">
      <c r="A75" s="244"/>
      <c r="B75" s="245" t="s">
        <v>21</v>
      </c>
      <c r="C75" s="36" t="s">
        <v>634</v>
      </c>
      <c r="D75" s="43"/>
      <c r="E75" s="300"/>
      <c r="F75" s="308"/>
      <c r="G75" s="351" t="s">
        <v>619</v>
      </c>
      <c r="H75" s="270" t="s">
        <v>669</v>
      </c>
      <c r="I75" s="368"/>
      <c r="J75" s="280"/>
      <c r="K75" s="281"/>
      <c r="L75" s="280"/>
      <c r="M75" s="280"/>
      <c r="N75" s="313">
        <f>SUM(N76:N77)</f>
        <v>0</v>
      </c>
      <c r="O75" s="333"/>
      <c r="P75" s="284"/>
      <c r="Q75" s="284"/>
      <c r="R75" s="284"/>
      <c r="S75" s="291">
        <f>SUM(S76:S77)</f>
        <v>0</v>
      </c>
      <c r="T75" s="288">
        <f>SUM(T76:T77)</f>
        <v>0</v>
      </c>
      <c r="U75" s="288">
        <f>SUM(U76:U77)</f>
        <v>0</v>
      </c>
      <c r="V75" s="288">
        <f>SUM(V76:V77)</f>
        <v>0</v>
      </c>
      <c r="W75" s="288">
        <f>SUM(W76:W77)</f>
        <v>0</v>
      </c>
      <c r="X75" s="288"/>
    </row>
    <row r="76" spans="1:24" ht="11.25" customHeight="1" x14ac:dyDescent="0.2">
      <c r="A76" s="244"/>
      <c r="B76" s="245"/>
      <c r="C76" s="246" t="s">
        <v>640</v>
      </c>
      <c r="D76" s="248"/>
      <c r="E76" s="306"/>
      <c r="F76" s="309"/>
      <c r="G76" s="353"/>
      <c r="H76" s="271">
        <v>1</v>
      </c>
      <c r="I76" s="369"/>
      <c r="J76" s="263"/>
      <c r="K76" s="276"/>
      <c r="L76" s="263"/>
      <c r="M76" s="263"/>
      <c r="N76" s="314"/>
      <c r="O76" s="334"/>
      <c r="P76" s="285"/>
      <c r="Q76" s="285"/>
      <c r="R76" s="285"/>
      <c r="S76" s="292"/>
      <c r="T76" s="289"/>
      <c r="U76" s="289"/>
      <c r="V76" s="289"/>
      <c r="W76" s="289"/>
      <c r="X76" s="289"/>
    </row>
    <row r="77" spans="1:24" ht="11.25" customHeight="1" x14ac:dyDescent="0.2">
      <c r="A77" s="247"/>
      <c r="B77" s="245"/>
      <c r="C77" s="36"/>
      <c r="D77" s="43"/>
      <c r="E77" s="300"/>
      <c r="F77" s="310"/>
      <c r="G77" s="354"/>
      <c r="H77" s="279" t="str">
        <f>CHAR(132)</f>
        <v>„</v>
      </c>
      <c r="I77" s="279"/>
      <c r="J77" s="280"/>
      <c r="K77" s="281"/>
      <c r="L77" s="280"/>
      <c r="M77" s="280"/>
      <c r="N77" s="315"/>
      <c r="O77" s="334"/>
      <c r="P77" s="285"/>
      <c r="Q77" s="285"/>
      <c r="R77" s="285"/>
      <c r="S77" s="293"/>
      <c r="T77" s="290"/>
      <c r="U77" s="290"/>
      <c r="V77" s="290"/>
      <c r="W77" s="290"/>
      <c r="X77" s="290"/>
    </row>
    <row r="78" spans="1:24" s="63" customFormat="1" ht="11.25" customHeight="1" x14ac:dyDescent="0.2">
      <c r="A78" s="283" t="s">
        <v>46</v>
      </c>
      <c r="B78" s="239"/>
      <c r="C78" s="169"/>
      <c r="D78" s="240"/>
      <c r="E78" s="301"/>
      <c r="F78" s="311"/>
      <c r="G78" s="352" t="s">
        <v>583</v>
      </c>
      <c r="H78" s="272"/>
      <c r="I78" s="368"/>
      <c r="J78" s="280"/>
      <c r="K78" s="281"/>
      <c r="L78" s="280"/>
      <c r="M78" s="280"/>
      <c r="N78" s="313">
        <f>N10+N44</f>
        <v>0</v>
      </c>
      <c r="O78" s="291">
        <f>O10+O44</f>
        <v>0</v>
      </c>
      <c r="P78" s="288">
        <f>P10+P44</f>
        <v>0</v>
      </c>
      <c r="Q78" s="288">
        <f>Q10+Q44</f>
        <v>0</v>
      </c>
      <c r="R78" s="288"/>
      <c r="S78" s="291">
        <f>S10+S44</f>
        <v>0</v>
      </c>
      <c r="T78" s="288">
        <f>T10+T44</f>
        <v>0</v>
      </c>
      <c r="U78" s="288">
        <f>U10+U44</f>
        <v>0</v>
      </c>
      <c r="V78" s="288">
        <f>V10+V44</f>
        <v>0</v>
      </c>
      <c r="W78" s="288">
        <f>W10+W44</f>
        <v>0</v>
      </c>
      <c r="X78" s="288"/>
    </row>
    <row r="79" spans="1:24" ht="11.25" customHeight="1" x14ac:dyDescent="0.2">
      <c r="A79" s="231"/>
      <c r="B79" s="41"/>
      <c r="C79" s="41"/>
      <c r="D79" s="41"/>
      <c r="E79" s="302"/>
      <c r="G79" s="268" t="s">
        <v>48</v>
      </c>
      <c r="H79" s="273"/>
      <c r="I79" s="273"/>
      <c r="J79" s="14"/>
      <c r="K79" s="21"/>
      <c r="L79" s="14"/>
      <c r="M79" s="14"/>
      <c r="N79" s="316"/>
      <c r="O79" s="261"/>
      <c r="P79" s="14"/>
      <c r="Q79" s="14"/>
      <c r="R79" s="14"/>
      <c r="S79" s="261"/>
      <c r="T79" s="14"/>
      <c r="U79" s="14"/>
      <c r="V79" s="14"/>
      <c r="W79" s="14"/>
      <c r="X79" s="14"/>
    </row>
    <row r="80" spans="1:24" ht="11.25" customHeight="1" x14ac:dyDescent="0.2">
      <c r="A80" s="40" t="s">
        <v>648</v>
      </c>
      <c r="B80" s="28" t="s">
        <v>678</v>
      </c>
      <c r="C80" s="28"/>
      <c r="D80" s="28"/>
      <c r="E80" s="303"/>
      <c r="G80" s="28"/>
      <c r="H80" s="28"/>
      <c r="I80" s="28"/>
      <c r="J80" s="28"/>
      <c r="K80" s="28"/>
      <c r="L80" s="28"/>
      <c r="M80" s="28"/>
      <c r="N80" s="317"/>
      <c r="O80" s="261"/>
      <c r="P80" s="14"/>
      <c r="Q80" s="14"/>
      <c r="R80" s="14"/>
      <c r="S80" s="261"/>
      <c r="T80" s="14"/>
      <c r="U80" s="14"/>
      <c r="V80" s="14"/>
      <c r="W80" s="14"/>
      <c r="X80" s="14"/>
    </row>
    <row r="81" spans="1:24" ht="11.25" customHeight="1" x14ac:dyDescent="0.2">
      <c r="A81" s="40"/>
      <c r="B81" s="28" t="s">
        <v>677</v>
      </c>
      <c r="C81" s="28"/>
      <c r="D81" s="28"/>
      <c r="E81" s="303"/>
      <c r="G81" s="28"/>
      <c r="H81" s="28"/>
      <c r="I81" s="28"/>
      <c r="J81" s="28"/>
      <c r="K81" s="28"/>
      <c r="L81" s="28"/>
      <c r="M81" s="28"/>
      <c r="N81" s="317"/>
      <c r="O81" s="261"/>
      <c r="P81" s="14"/>
      <c r="Q81" s="14"/>
      <c r="R81" s="14"/>
      <c r="S81" s="261"/>
      <c r="T81" s="14"/>
      <c r="U81" s="14"/>
      <c r="V81" s="14"/>
      <c r="W81" s="14"/>
      <c r="X81" s="14"/>
    </row>
    <row r="82" spans="1:24" ht="11.25" customHeight="1" x14ac:dyDescent="0.2">
      <c r="A82" s="231"/>
      <c r="B82" s="28" t="s">
        <v>679</v>
      </c>
      <c r="C82" s="28"/>
      <c r="D82" s="28"/>
      <c r="E82" s="303"/>
      <c r="G82" s="28"/>
      <c r="H82" s="28"/>
      <c r="I82" s="28"/>
      <c r="J82" s="28"/>
      <c r="K82" s="28"/>
      <c r="L82" s="28"/>
      <c r="M82" s="28"/>
      <c r="N82" s="317"/>
      <c r="O82" s="261"/>
      <c r="P82" s="14"/>
      <c r="Q82" s="14"/>
      <c r="R82" s="14"/>
      <c r="S82" s="261"/>
      <c r="T82" s="14"/>
      <c r="U82" s="14"/>
      <c r="V82" s="14"/>
      <c r="W82" s="14"/>
      <c r="X82" s="14"/>
    </row>
    <row r="83" spans="1:24" ht="11.25" customHeight="1" x14ac:dyDescent="0.2">
      <c r="A83" s="231"/>
      <c r="B83" s="28" t="s">
        <v>680</v>
      </c>
      <c r="C83" s="28"/>
      <c r="D83" s="28"/>
      <c r="E83" s="303"/>
      <c r="G83" s="28"/>
      <c r="H83" s="28"/>
      <c r="I83" s="28"/>
      <c r="J83" s="28"/>
      <c r="K83" s="28"/>
      <c r="L83" s="28"/>
      <c r="M83" s="28"/>
      <c r="N83" s="317"/>
      <c r="O83" s="261"/>
      <c r="P83" s="14"/>
      <c r="Q83" s="14"/>
      <c r="R83" s="14"/>
      <c r="S83" s="261"/>
      <c r="T83" s="14"/>
      <c r="U83" s="14"/>
      <c r="V83" s="14"/>
      <c r="W83" s="14"/>
      <c r="X83" s="14"/>
    </row>
    <row r="84" spans="1:24" ht="11.25" customHeight="1" x14ac:dyDescent="0.2">
      <c r="A84" s="231"/>
      <c r="B84" s="28" t="s">
        <v>682</v>
      </c>
      <c r="C84" s="28"/>
      <c r="D84" s="28"/>
      <c r="E84" s="303"/>
      <c r="G84" s="28"/>
      <c r="H84" s="28"/>
      <c r="I84" s="28"/>
      <c r="J84" s="28"/>
      <c r="K84" s="28"/>
      <c r="L84" s="28"/>
      <c r="M84" s="28"/>
      <c r="N84" s="317"/>
      <c r="O84" s="261"/>
      <c r="P84" s="14"/>
      <c r="Q84" s="14"/>
      <c r="R84" s="14"/>
      <c r="S84" s="261"/>
      <c r="T84" s="14"/>
      <c r="U84" s="14"/>
      <c r="V84" s="14"/>
      <c r="W84" s="14"/>
      <c r="X84" s="14"/>
    </row>
    <row r="85" spans="1:24" ht="11.25" customHeight="1" x14ac:dyDescent="0.2">
      <c r="B85" s="28" t="s">
        <v>681</v>
      </c>
      <c r="C85" s="28"/>
      <c r="D85" s="28"/>
      <c r="E85" s="303"/>
      <c r="G85" s="28"/>
      <c r="H85" s="28"/>
      <c r="I85" s="28"/>
      <c r="J85" s="28"/>
      <c r="K85" s="28"/>
      <c r="L85" s="28"/>
      <c r="M85" s="28"/>
      <c r="N85" s="317"/>
    </row>
    <row r="86" spans="1:24" ht="11.25" customHeight="1" x14ac:dyDescent="0.2">
      <c r="B86" s="28"/>
      <c r="C86" s="28"/>
      <c r="D86" s="28"/>
      <c r="E86" s="303"/>
      <c r="G86" s="28"/>
      <c r="H86" s="28"/>
      <c r="J86" s="28"/>
      <c r="K86" s="28"/>
      <c r="L86" s="28"/>
      <c r="M86" s="28"/>
      <c r="N86" s="317"/>
    </row>
  </sheetData>
  <sheetProtection password="A6C5" sheet="1" objects="1" scenarios="1" selectLockedCells="1"/>
  <mergeCells count="28">
    <mergeCell ref="D7:D9"/>
    <mergeCell ref="E7:E9"/>
    <mergeCell ref="A7:C9"/>
    <mergeCell ref="O7:R7"/>
    <mergeCell ref="J7:K7"/>
    <mergeCell ref="J8:J9"/>
    <mergeCell ref="O8:O9"/>
    <mergeCell ref="P8:P9"/>
    <mergeCell ref="I7:I9"/>
    <mergeCell ref="Q8:Q9"/>
    <mergeCell ref="S7:X7"/>
    <mergeCell ref="S8:S9"/>
    <mergeCell ref="T8:U8"/>
    <mergeCell ref="V8:W8"/>
    <mergeCell ref="X8:X9"/>
    <mergeCell ref="R8:R9"/>
    <mergeCell ref="F7:F9"/>
    <mergeCell ref="G7:G9"/>
    <mergeCell ref="H7:H9"/>
    <mergeCell ref="L7:L9"/>
    <mergeCell ref="M7:M9"/>
    <mergeCell ref="N7:N9"/>
    <mergeCell ref="A5:X5"/>
    <mergeCell ref="A1:X1"/>
    <mergeCell ref="A2:X2"/>
    <mergeCell ref="A3:X3"/>
    <mergeCell ref="A4:X4"/>
    <mergeCell ref="A6:X6"/>
  </mergeCells>
  <phoneticPr fontId="8" type="noConversion"/>
  <dataValidations count="6">
    <dataValidation type="list" allowBlank="1" showInputMessage="1" showErrorMessage="1" sqref="M78 M10:M17 M75:M76 M50:M51 M53:M54 M56:M59 M61:M62 M64:M65 M67:M70 M27:M28 M30:M31 M33:M36 M38:M39 M41:M42 M19:M20 M22:M25 M44:M48 M72:M73">
      <formula1>$A$3:$A$4</formula1>
    </dataValidation>
    <dataValidation type="whole" allowBlank="1" showInputMessage="1" showErrorMessage="1" error="Please enter whole amount only." sqref="O1:O1048576 S1:S1048576">
      <formula1>0</formula1>
      <formula2>999999999</formula2>
    </dataValidation>
    <dataValidation operator="equal" allowBlank="1" showInputMessage="1" showErrorMessage="1" sqref="E1:E1048576"/>
    <dataValidation type="decimal" operator="greaterThanOrEqual" allowBlank="1" showInputMessage="1" showErrorMessage="1" sqref="P10:R78 T10:X78">
      <formula1>0</formula1>
    </dataValidation>
    <dataValidation type="list" allowBlank="1" showInputMessage="1" showErrorMessage="1" sqref="AB1">
      <formula1>$Z$9:$Z$22</formula1>
    </dataValidation>
    <dataValidation type="decimal" allowBlank="1" showInputMessage="1" showErrorMessage="1" sqref="N1:N1048576">
      <formula1>0</formula1>
      <formula2>999999999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15b&amp;U
  &amp;P of &amp;N&amp;C&amp;"Arial,Bold"&amp;8 MAXIMUM SAVINGS BANK, INC.  [ 03-070011 ]
 As of: June 30, 2019</oddHeader>
  </headerFooter>
  <drawing r:id="rId2"/>
  <legacyDrawing r:id="rId3"/>
  <controls>
    <mc:AlternateContent xmlns:mc="http://schemas.openxmlformats.org/markup-compatibility/2006">
      <mc:Choice Requires="x14">
        <control shapeId="2073" r:id="rId4" name="Label_s">
          <controlPr defaultSize="0" autoLine="0" r:id="rId5">
            <anchor moveWithCells="1">
              <from>
                <xdr:col>7</xdr:col>
                <xdr:colOff>247650</xdr:colOff>
                <xdr:row>76</xdr:row>
                <xdr:rowOff>9525</xdr:rowOff>
              </from>
              <to>
                <xdr:col>7</xdr:col>
                <xdr:colOff>457200</xdr:colOff>
                <xdr:row>76</xdr:row>
                <xdr:rowOff>133350</xdr:rowOff>
              </to>
            </anchor>
          </controlPr>
        </control>
      </mc:Choice>
      <mc:Fallback>
        <control shapeId="2073" r:id="rId4" name="Label_s"/>
      </mc:Fallback>
    </mc:AlternateContent>
    <mc:AlternateContent xmlns:mc="http://schemas.openxmlformats.org/markup-compatibility/2006">
      <mc:Choice Requires="x14">
        <control shapeId="2072" r:id="rId6" name="Label_r">
          <controlPr defaultSize="0" autoLine="0" r:id="rId7">
            <anchor moveWithCells="1">
              <from>
                <xdr:col>7</xdr:col>
                <xdr:colOff>247650</xdr:colOff>
                <xdr:row>73</xdr:row>
                <xdr:rowOff>9525</xdr:rowOff>
              </from>
              <to>
                <xdr:col>7</xdr:col>
                <xdr:colOff>457200</xdr:colOff>
                <xdr:row>73</xdr:row>
                <xdr:rowOff>133350</xdr:rowOff>
              </to>
            </anchor>
          </controlPr>
        </control>
      </mc:Choice>
      <mc:Fallback>
        <control shapeId="2072" r:id="rId6" name="Label_r"/>
      </mc:Fallback>
    </mc:AlternateContent>
    <mc:AlternateContent xmlns:mc="http://schemas.openxmlformats.org/markup-compatibility/2006">
      <mc:Choice Requires="x14">
        <control shapeId="2071" r:id="rId8" name="Label_q">
          <controlPr defaultSize="0" autoLine="0" r:id="rId9">
            <anchor moveWithCells="1">
              <from>
                <xdr:col>7</xdr:col>
                <xdr:colOff>247650</xdr:colOff>
                <xdr:row>70</xdr:row>
                <xdr:rowOff>9525</xdr:rowOff>
              </from>
              <to>
                <xdr:col>7</xdr:col>
                <xdr:colOff>457200</xdr:colOff>
                <xdr:row>70</xdr:row>
                <xdr:rowOff>133350</xdr:rowOff>
              </to>
            </anchor>
          </controlPr>
        </control>
      </mc:Choice>
      <mc:Fallback>
        <control shapeId="2071" r:id="rId8" name="Label_q"/>
      </mc:Fallback>
    </mc:AlternateContent>
    <mc:AlternateContent xmlns:mc="http://schemas.openxmlformats.org/markup-compatibility/2006">
      <mc:Choice Requires="x14">
        <control shapeId="2070" r:id="rId10" name="Label_p">
          <controlPr defaultSize="0" autoLine="0" r:id="rId11">
            <anchor moveWithCells="1">
              <from>
                <xdr:col>7</xdr:col>
                <xdr:colOff>247650</xdr:colOff>
                <xdr:row>65</xdr:row>
                <xdr:rowOff>19050</xdr:rowOff>
              </from>
              <to>
                <xdr:col>7</xdr:col>
                <xdr:colOff>457200</xdr:colOff>
                <xdr:row>66</xdr:row>
                <xdr:rowOff>0</xdr:rowOff>
              </to>
            </anchor>
          </controlPr>
        </control>
      </mc:Choice>
      <mc:Fallback>
        <control shapeId="2070" r:id="rId10" name="Label_p"/>
      </mc:Fallback>
    </mc:AlternateContent>
    <mc:AlternateContent xmlns:mc="http://schemas.openxmlformats.org/markup-compatibility/2006">
      <mc:Choice Requires="x14">
        <control shapeId="2069" r:id="rId12" name="Label_o">
          <controlPr defaultSize="0" autoLine="0" r:id="rId13">
            <anchor moveWithCells="1">
              <from>
                <xdr:col>7</xdr:col>
                <xdr:colOff>247650</xdr:colOff>
                <xdr:row>62</xdr:row>
                <xdr:rowOff>9525</xdr:rowOff>
              </from>
              <to>
                <xdr:col>7</xdr:col>
                <xdr:colOff>457200</xdr:colOff>
                <xdr:row>62</xdr:row>
                <xdr:rowOff>133350</xdr:rowOff>
              </to>
            </anchor>
          </controlPr>
        </control>
      </mc:Choice>
      <mc:Fallback>
        <control shapeId="2069" r:id="rId12" name="Label_o"/>
      </mc:Fallback>
    </mc:AlternateContent>
    <mc:AlternateContent xmlns:mc="http://schemas.openxmlformats.org/markup-compatibility/2006">
      <mc:Choice Requires="x14">
        <control shapeId="2068" r:id="rId14" name="Label_n">
          <controlPr defaultSize="0" autoLine="0" r:id="rId15">
            <anchor moveWithCells="1">
              <from>
                <xdr:col>7</xdr:col>
                <xdr:colOff>247650</xdr:colOff>
                <xdr:row>59</xdr:row>
                <xdr:rowOff>0</xdr:rowOff>
              </from>
              <to>
                <xdr:col>7</xdr:col>
                <xdr:colOff>457200</xdr:colOff>
                <xdr:row>59</xdr:row>
                <xdr:rowOff>123825</xdr:rowOff>
              </to>
            </anchor>
          </controlPr>
        </control>
      </mc:Choice>
      <mc:Fallback>
        <control shapeId="2068" r:id="rId14" name="Label_n"/>
      </mc:Fallback>
    </mc:AlternateContent>
    <mc:AlternateContent xmlns:mc="http://schemas.openxmlformats.org/markup-compatibility/2006">
      <mc:Choice Requires="x14">
        <control shapeId="2067" r:id="rId16" name="Label_m">
          <controlPr defaultSize="0" autoLine="0" r:id="rId17">
            <anchor moveWithCells="1">
              <from>
                <xdr:col>7</xdr:col>
                <xdr:colOff>247650</xdr:colOff>
                <xdr:row>54</xdr:row>
                <xdr:rowOff>19050</xdr:rowOff>
              </from>
              <to>
                <xdr:col>7</xdr:col>
                <xdr:colOff>457200</xdr:colOff>
                <xdr:row>55</xdr:row>
                <xdr:rowOff>0</xdr:rowOff>
              </to>
            </anchor>
          </controlPr>
        </control>
      </mc:Choice>
      <mc:Fallback>
        <control shapeId="2067" r:id="rId16" name="Label_m"/>
      </mc:Fallback>
    </mc:AlternateContent>
    <mc:AlternateContent xmlns:mc="http://schemas.openxmlformats.org/markup-compatibility/2006">
      <mc:Choice Requires="x14">
        <control shapeId="2066" r:id="rId18" name="Label_k">
          <controlPr defaultSize="0" autoLine="0" r:id="rId19">
            <anchor moveWithCells="1">
              <from>
                <xdr:col>7</xdr:col>
                <xdr:colOff>247650</xdr:colOff>
                <xdr:row>51</xdr:row>
                <xdr:rowOff>19050</xdr:rowOff>
              </from>
              <to>
                <xdr:col>7</xdr:col>
                <xdr:colOff>457200</xdr:colOff>
                <xdr:row>52</xdr:row>
                <xdr:rowOff>0</xdr:rowOff>
              </to>
            </anchor>
          </controlPr>
        </control>
      </mc:Choice>
      <mc:Fallback>
        <control shapeId="2066" r:id="rId18" name="Label_k"/>
      </mc:Fallback>
    </mc:AlternateContent>
    <mc:AlternateContent xmlns:mc="http://schemas.openxmlformats.org/markup-compatibility/2006">
      <mc:Choice Requires="x14">
        <control shapeId="2065" r:id="rId20" name="Label_j">
          <controlPr defaultSize="0" autoLine="0" r:id="rId21">
            <anchor moveWithCells="1">
              <from>
                <xdr:col>7</xdr:col>
                <xdr:colOff>247650</xdr:colOff>
                <xdr:row>48</xdr:row>
                <xdr:rowOff>9525</xdr:rowOff>
              </from>
              <to>
                <xdr:col>7</xdr:col>
                <xdr:colOff>457200</xdr:colOff>
                <xdr:row>48</xdr:row>
                <xdr:rowOff>133350</xdr:rowOff>
              </to>
            </anchor>
          </controlPr>
        </control>
      </mc:Choice>
      <mc:Fallback>
        <control shapeId="2065" r:id="rId20" name="Label_j"/>
      </mc:Fallback>
    </mc:AlternateContent>
    <mc:AlternateContent xmlns:mc="http://schemas.openxmlformats.org/markup-compatibility/2006">
      <mc:Choice Requires="x14">
        <control shapeId="2064" r:id="rId22" name="Label_i">
          <controlPr defaultSize="0" autoLine="0" r:id="rId23">
            <anchor moveWithCells="1">
              <from>
                <xdr:col>7</xdr:col>
                <xdr:colOff>247650</xdr:colOff>
                <xdr:row>42</xdr:row>
                <xdr:rowOff>9525</xdr:rowOff>
              </from>
              <to>
                <xdr:col>7</xdr:col>
                <xdr:colOff>457200</xdr:colOff>
                <xdr:row>42</xdr:row>
                <xdr:rowOff>133350</xdr:rowOff>
              </to>
            </anchor>
          </controlPr>
        </control>
      </mc:Choice>
      <mc:Fallback>
        <control shapeId="2064" r:id="rId22" name="Label_i"/>
      </mc:Fallback>
    </mc:AlternateContent>
    <mc:AlternateContent xmlns:mc="http://schemas.openxmlformats.org/markup-compatibility/2006">
      <mc:Choice Requires="x14">
        <control shapeId="2063" r:id="rId24" name="Label_h">
          <controlPr defaultSize="0" autoLine="0" r:id="rId25">
            <anchor moveWithCells="1">
              <from>
                <xdr:col>7</xdr:col>
                <xdr:colOff>247650</xdr:colOff>
                <xdr:row>39</xdr:row>
                <xdr:rowOff>9525</xdr:rowOff>
              </from>
              <to>
                <xdr:col>7</xdr:col>
                <xdr:colOff>457200</xdr:colOff>
                <xdr:row>39</xdr:row>
                <xdr:rowOff>133350</xdr:rowOff>
              </to>
            </anchor>
          </controlPr>
        </control>
      </mc:Choice>
      <mc:Fallback>
        <control shapeId="2063" r:id="rId24" name="Label_h"/>
      </mc:Fallback>
    </mc:AlternateContent>
    <mc:AlternateContent xmlns:mc="http://schemas.openxmlformats.org/markup-compatibility/2006">
      <mc:Choice Requires="x14">
        <control shapeId="2062" r:id="rId26" name="Label_g">
          <controlPr defaultSize="0" autoLine="0" r:id="rId27">
            <anchor moveWithCells="1">
              <from>
                <xdr:col>7</xdr:col>
                <xdr:colOff>247650</xdr:colOff>
                <xdr:row>36</xdr:row>
                <xdr:rowOff>19050</xdr:rowOff>
              </from>
              <to>
                <xdr:col>7</xdr:col>
                <xdr:colOff>457200</xdr:colOff>
                <xdr:row>37</xdr:row>
                <xdr:rowOff>0</xdr:rowOff>
              </to>
            </anchor>
          </controlPr>
        </control>
      </mc:Choice>
      <mc:Fallback>
        <control shapeId="2062" r:id="rId26" name="Label_g"/>
      </mc:Fallback>
    </mc:AlternateContent>
    <mc:AlternateContent xmlns:mc="http://schemas.openxmlformats.org/markup-compatibility/2006">
      <mc:Choice Requires="x14">
        <control shapeId="2061" r:id="rId28" name="Label_f">
          <controlPr defaultSize="0" autoLine="0" r:id="rId29">
            <anchor moveWithCells="1">
              <from>
                <xdr:col>7</xdr:col>
                <xdr:colOff>247650</xdr:colOff>
                <xdr:row>31</xdr:row>
                <xdr:rowOff>19050</xdr:rowOff>
              </from>
              <to>
                <xdr:col>7</xdr:col>
                <xdr:colOff>457200</xdr:colOff>
                <xdr:row>32</xdr:row>
                <xdr:rowOff>0</xdr:rowOff>
              </to>
            </anchor>
          </controlPr>
        </control>
      </mc:Choice>
      <mc:Fallback>
        <control shapeId="2061" r:id="rId28" name="Label_f"/>
      </mc:Fallback>
    </mc:AlternateContent>
    <mc:AlternateContent xmlns:mc="http://schemas.openxmlformats.org/markup-compatibility/2006">
      <mc:Choice Requires="x14">
        <control shapeId="2060" r:id="rId30" name="Label_e">
          <controlPr defaultSize="0" autoLine="0" r:id="rId31">
            <anchor moveWithCells="1">
              <from>
                <xdr:col>7</xdr:col>
                <xdr:colOff>247650</xdr:colOff>
                <xdr:row>28</xdr:row>
                <xdr:rowOff>19050</xdr:rowOff>
              </from>
              <to>
                <xdr:col>7</xdr:col>
                <xdr:colOff>457200</xdr:colOff>
                <xdr:row>29</xdr:row>
                <xdr:rowOff>0</xdr:rowOff>
              </to>
            </anchor>
          </controlPr>
        </control>
      </mc:Choice>
      <mc:Fallback>
        <control shapeId="2060" r:id="rId30" name="Label_e"/>
      </mc:Fallback>
    </mc:AlternateContent>
    <mc:AlternateContent xmlns:mc="http://schemas.openxmlformats.org/markup-compatibility/2006">
      <mc:Choice Requires="x14">
        <control shapeId="2059" r:id="rId32" name="Label_d">
          <controlPr defaultSize="0" autoLine="0" r:id="rId33">
            <anchor moveWithCells="1">
              <from>
                <xdr:col>7</xdr:col>
                <xdr:colOff>247650</xdr:colOff>
                <xdr:row>25</xdr:row>
                <xdr:rowOff>9525</xdr:rowOff>
              </from>
              <to>
                <xdr:col>7</xdr:col>
                <xdr:colOff>457200</xdr:colOff>
                <xdr:row>25</xdr:row>
                <xdr:rowOff>133350</xdr:rowOff>
              </to>
            </anchor>
          </controlPr>
        </control>
      </mc:Choice>
      <mc:Fallback>
        <control shapeId="2059" r:id="rId32" name="Label_d"/>
      </mc:Fallback>
    </mc:AlternateContent>
    <mc:AlternateContent xmlns:mc="http://schemas.openxmlformats.org/markup-compatibility/2006">
      <mc:Choice Requires="x14">
        <control shapeId="2058" r:id="rId34" name="Label_c">
          <controlPr defaultSize="0" autoLine="0" r:id="rId35">
            <anchor moveWithCells="1">
              <from>
                <xdr:col>7</xdr:col>
                <xdr:colOff>247650</xdr:colOff>
                <xdr:row>20</xdr:row>
                <xdr:rowOff>9525</xdr:rowOff>
              </from>
              <to>
                <xdr:col>7</xdr:col>
                <xdr:colOff>457200</xdr:colOff>
                <xdr:row>20</xdr:row>
                <xdr:rowOff>133350</xdr:rowOff>
              </to>
            </anchor>
          </controlPr>
        </control>
      </mc:Choice>
      <mc:Fallback>
        <control shapeId="2058" r:id="rId34" name="Label_c"/>
      </mc:Fallback>
    </mc:AlternateContent>
    <mc:AlternateContent xmlns:mc="http://schemas.openxmlformats.org/markup-compatibility/2006">
      <mc:Choice Requires="x14">
        <control shapeId="2057" r:id="rId36" name="Label_b">
          <controlPr defaultSize="0" autoLine="0" r:id="rId37">
            <anchor moveWithCells="1">
              <from>
                <xdr:col>7</xdr:col>
                <xdr:colOff>247650</xdr:colOff>
                <xdr:row>17</xdr:row>
                <xdr:rowOff>19050</xdr:rowOff>
              </from>
              <to>
                <xdr:col>7</xdr:col>
                <xdr:colOff>457200</xdr:colOff>
                <xdr:row>18</xdr:row>
                <xdr:rowOff>0</xdr:rowOff>
              </to>
            </anchor>
          </controlPr>
        </control>
      </mc:Choice>
      <mc:Fallback>
        <control shapeId="2057" r:id="rId36" name="Label_b"/>
      </mc:Fallback>
    </mc:AlternateContent>
    <mc:AlternateContent xmlns:mc="http://schemas.openxmlformats.org/markup-compatibility/2006">
      <mc:Choice Requires="x14">
        <control shapeId="2056" r:id="rId38" name="Label_a">
          <controlPr defaultSize="0" autoLine="0" r:id="rId39">
            <anchor moveWithCells="1">
              <from>
                <xdr:col>7</xdr:col>
                <xdr:colOff>247650</xdr:colOff>
                <xdr:row>14</xdr:row>
                <xdr:rowOff>19050</xdr:rowOff>
              </from>
              <to>
                <xdr:col>7</xdr:col>
                <xdr:colOff>457200</xdr:colOff>
                <xdr:row>15</xdr:row>
                <xdr:rowOff>0</xdr:rowOff>
              </to>
            </anchor>
          </controlPr>
        </control>
      </mc:Choice>
      <mc:Fallback>
        <control shapeId="2056" r:id="rId38" name="Label_a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22"/>
  <sheetViews>
    <sheetView workbookViewId="0"/>
  </sheetViews>
  <sheetFormatPr defaultRowHeight="12.75" x14ac:dyDescent="0.2"/>
  <cols>
    <col min="1" max="1" width="101.7109375" style="375" customWidth="1"/>
    <col min="2" max="16384" width="9.140625" style="375"/>
  </cols>
  <sheetData>
    <row r="1" spans="1:1" x14ac:dyDescent="0.2">
      <c r="A1" s="376" t="s">
        <v>818</v>
      </c>
    </row>
    <row r="2" spans="1:1" x14ac:dyDescent="0.2">
      <c r="A2" s="373" t="s">
        <v>800</v>
      </c>
    </row>
    <row r="3" spans="1:1" x14ac:dyDescent="0.2">
      <c r="A3" s="374" t="s">
        <v>801</v>
      </c>
    </row>
    <row r="4" spans="1:1" x14ac:dyDescent="0.2">
      <c r="A4" s="374" t="s">
        <v>802</v>
      </c>
    </row>
    <row r="5" spans="1:1" x14ac:dyDescent="0.2">
      <c r="A5" s="374" t="s">
        <v>803</v>
      </c>
    </row>
    <row r="6" spans="1:1" x14ac:dyDescent="0.2">
      <c r="A6" s="374" t="s">
        <v>804</v>
      </c>
    </row>
    <row r="7" spans="1:1" x14ac:dyDescent="0.2">
      <c r="A7" s="374" t="s">
        <v>805</v>
      </c>
    </row>
    <row r="8" spans="1:1" x14ac:dyDescent="0.2">
      <c r="A8" s="374" t="s">
        <v>701</v>
      </c>
    </row>
    <row r="9" spans="1:1" x14ac:dyDescent="0.2">
      <c r="A9" s="374" t="s">
        <v>702</v>
      </c>
    </row>
    <row r="10" spans="1:1" x14ac:dyDescent="0.2">
      <c r="A10" s="374" t="s">
        <v>806</v>
      </c>
    </row>
    <row r="11" spans="1:1" x14ac:dyDescent="0.2">
      <c r="A11" s="374" t="s">
        <v>807</v>
      </c>
    </row>
    <row r="12" spans="1:1" x14ac:dyDescent="0.2">
      <c r="A12" s="374" t="s">
        <v>808</v>
      </c>
    </row>
    <row r="13" spans="1:1" x14ac:dyDescent="0.2">
      <c r="A13" s="374" t="s">
        <v>809</v>
      </c>
    </row>
    <row r="14" spans="1:1" x14ac:dyDescent="0.2">
      <c r="A14" s="374" t="s">
        <v>703</v>
      </c>
    </row>
    <row r="15" spans="1:1" x14ac:dyDescent="0.2">
      <c r="A15" s="374" t="s">
        <v>704</v>
      </c>
    </row>
    <row r="16" spans="1:1" x14ac:dyDescent="0.2">
      <c r="A16" s="374" t="s">
        <v>810</v>
      </c>
    </row>
    <row r="17" spans="1:1" x14ac:dyDescent="0.2">
      <c r="A17" s="374" t="s">
        <v>811</v>
      </c>
    </row>
    <row r="18" spans="1:1" x14ac:dyDescent="0.2">
      <c r="A18" s="374" t="s">
        <v>812</v>
      </c>
    </row>
    <row r="19" spans="1:1" x14ac:dyDescent="0.2">
      <c r="A19" s="374" t="s">
        <v>813</v>
      </c>
    </row>
    <row r="20" spans="1:1" x14ac:dyDescent="0.2">
      <c r="A20" s="374" t="s">
        <v>814</v>
      </c>
    </row>
    <row r="21" spans="1:1" x14ac:dyDescent="0.2">
      <c r="A21" s="374" t="s">
        <v>815</v>
      </c>
    </row>
    <row r="22" spans="1:1" x14ac:dyDescent="0.2">
      <c r="A22" s="374" t="s">
        <v>816</v>
      </c>
    </row>
  </sheetData>
  <sheetProtection password="8679"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18</vt:i4>
      </vt:variant>
    </vt:vector>
  </HeadingPairs>
  <TitlesOfParts>
    <vt:vector size="29" baseType="lpstr">
      <vt:lpstr>Bank</vt:lpstr>
      <vt:lpstr>13</vt:lpstr>
      <vt:lpstr>13A</vt:lpstr>
      <vt:lpstr>13B</vt:lpstr>
      <vt:lpstr>13C</vt:lpstr>
      <vt:lpstr>13D</vt:lpstr>
      <vt:lpstr>14</vt:lpstr>
      <vt:lpstr>15</vt:lpstr>
      <vt:lpstr>15A</vt:lpstr>
      <vt:lpstr>15B</vt:lpstr>
      <vt:lpstr>List</vt:lpstr>
      <vt:lpstr>'13'!Print_Area</vt:lpstr>
      <vt:lpstr>'13A'!Print_Area</vt:lpstr>
      <vt:lpstr>'13B'!Print_Area</vt:lpstr>
      <vt:lpstr>'13C'!Print_Area</vt:lpstr>
      <vt:lpstr>'13D'!Print_Area</vt:lpstr>
      <vt:lpstr>'14'!Print_Area</vt:lpstr>
      <vt:lpstr>'15'!Print_Area</vt:lpstr>
      <vt:lpstr>'15A'!Print_Area</vt:lpstr>
      <vt:lpstr>'15B'!Print_Area</vt:lpstr>
      <vt:lpstr>'13'!Print_Titles</vt:lpstr>
      <vt:lpstr>'13A'!Print_Titles</vt:lpstr>
      <vt:lpstr>'13B'!Print_Titles</vt:lpstr>
      <vt:lpstr>'13C'!Print_Titles</vt:lpstr>
      <vt:lpstr>'13D'!Print_Titles</vt:lpstr>
      <vt:lpstr>'14'!Print_Titles</vt:lpstr>
      <vt:lpstr>'15'!Print_Titles</vt:lpstr>
      <vt:lpstr>'15A'!Print_Titles</vt:lpstr>
      <vt:lpstr>'15B'!Print_Titles</vt:lpstr>
    </vt:vector>
  </TitlesOfParts>
  <Company>Bangko Sentral ng Pilipinas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2007-05-04T08:26:22Z</cp:lastPrinted>
  <dcterms:created xsi:type="dcterms:W3CDTF">2006-02-06T06:33:05Z</dcterms:created>
  <dcterms:modified xsi:type="dcterms:W3CDTF">2019-09-20T05:59:21Z</dcterms:modified>
</cp:coreProperties>
</file>